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CQWMY6BU797A0V9GQAR8ZL0D7ZQ0OAVR9U06NJDBXFFRTQWT6MBJDCJVFY5TPD6RAUM6OOLRZI7D8LNJRJFA0FF68RZMWMLBAOOOMHB35B0775E559778E5C5D2D3B6D2D7B97D4" Type="http://schemas.microsoft.com/office/2006/relationships/officeDocumentMain" Target="docProps/core.xml"/><Relationship Id="CKWFP6BV79VQ05BGQZR8ZLJF7NMMO7GREX06BJEDXFMRTEWTZ7BRDCJ6FYYHPDRRXOMXCOZFZI678LNJQEFAPFFA8RLMWLLBAXOODHB3F7A31EB2997D763429122BE850BC29FF" Type="http://schemas.microsoft.com/office/2006/relationships/officeDocumentExtended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npan/Desktop/预算系统/"/>
    </mc:Choice>
  </mc:AlternateContent>
  <xr:revisionPtr revIDLastSave="0" documentId="13_ncr:1_{D6A68A8D-266B-8B4D-A54F-55AF03DFAF48}" xr6:coauthVersionLast="47" xr6:coauthVersionMax="47" xr10:uidLastSave="{00000000-0000-0000-0000-000000000000}"/>
  <bookViews>
    <workbookView xWindow="0" yWindow="640" windowWidth="30240" windowHeight="17200" activeTab="1" xr2:uid="{00000000-000D-0000-FFFF-FFFF00000000}"/>
  </bookViews>
  <sheets>
    <sheet name="预算部门" sheetId="13" r:id="rId1"/>
    <sheet name="部门预算科目" sheetId="11" r:id="rId2"/>
    <sheet name="产品预算科目" sheetId="17" r:id="rId3"/>
  </sheets>
  <definedNames>
    <definedName name="COST_ARRAY">#REF!</definedName>
    <definedName name="last_month">#REF!</definedName>
    <definedName name="PL_ARRAY">#REF!</definedName>
    <definedName name="report_day">#REF!</definedName>
    <definedName name="报表日期">#REF!</definedName>
    <definedName name="本外币">#REF!</definedName>
    <definedName name="动态条件">#REF!</definedName>
    <definedName name="核心是否增设">#REF!</definedName>
    <definedName name="核心新增">#REF!</definedName>
    <definedName name="货币符">#REF!</definedName>
    <definedName name="机构号">#REF!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6" i="11" l="1"/>
  <c r="D38" i="11" l="1"/>
  <c r="D34" i="11" s="1"/>
  <c r="D20" i="11"/>
  <c r="D18" i="11" s="1"/>
  <c r="D5" i="11"/>
  <c r="D4" i="11" s="1"/>
  <c r="D3" i="11" s="1"/>
</calcChain>
</file>

<file path=xl/sharedStrings.xml><?xml version="1.0" encoding="utf-8"?>
<sst xmlns="http://schemas.openxmlformats.org/spreadsheetml/2006/main" count="491" uniqueCount="200">
  <si>
    <t>职工工资</t>
  </si>
  <si>
    <t>职工福利费</t>
  </si>
  <si>
    <t>工会经费</t>
  </si>
  <si>
    <t>职工教育经费</t>
  </si>
  <si>
    <t>劳务支出</t>
  </si>
  <si>
    <t>人员招聘费</t>
  </si>
  <si>
    <t>其他人力资源费用</t>
  </si>
  <si>
    <t>车船使用费</t>
  </si>
  <si>
    <t>邮电费</t>
  </si>
  <si>
    <t>网络通讯费</t>
  </si>
  <si>
    <t>办公费用</t>
  </si>
  <si>
    <t>审计费</t>
  </si>
  <si>
    <t>电子设备运转费</t>
  </si>
  <si>
    <t>外包服务费</t>
  </si>
  <si>
    <t>装修及修理费</t>
  </si>
  <si>
    <t>存款保险费</t>
  </si>
  <si>
    <t>监管费</t>
  </si>
  <si>
    <t>短信费</t>
  </si>
  <si>
    <t>董事会费</t>
  </si>
  <si>
    <t>监事会费</t>
  </si>
  <si>
    <t>企金风险部</t>
  </si>
  <si>
    <t>国际发展部</t>
  </si>
  <si>
    <t>办公室</t>
  </si>
  <si>
    <t>科技业务</t>
  </si>
  <si>
    <t>消费者金融业务</t>
  </si>
  <si>
    <t>运营费用</t>
  </si>
  <si>
    <t>运营其他</t>
  </si>
  <si>
    <t>职场费用</t>
  </si>
  <si>
    <t>日常费用</t>
  </si>
  <si>
    <t>营销费用</t>
  </si>
  <si>
    <t>事业群</t>
    <phoneticPr fontId="6" type="noConversion"/>
  </si>
  <si>
    <t>个人金融事业群</t>
  </si>
  <si>
    <t>个金信贷部</t>
  </si>
  <si>
    <t>个金存款部</t>
  </si>
  <si>
    <t>个金互联网产品部</t>
  </si>
  <si>
    <t>个金市场部</t>
  </si>
  <si>
    <t>个金风险部</t>
  </si>
  <si>
    <t>个金运营管理部</t>
  </si>
  <si>
    <t>个金共享平台部</t>
  </si>
  <si>
    <t>个金资产保全部</t>
  </si>
  <si>
    <t>反洗钱工作办公室</t>
  </si>
  <si>
    <t>个金管理部</t>
  </si>
  <si>
    <t>汽车金融部</t>
  </si>
  <si>
    <t>财富及养老金融部</t>
  </si>
  <si>
    <t>财富产品部</t>
  </si>
  <si>
    <t>数字产品部</t>
  </si>
  <si>
    <t>财富数字产品部</t>
  </si>
  <si>
    <t>企业及机构金融事业群</t>
  </si>
  <si>
    <t>企业金融业务</t>
  </si>
  <si>
    <t>普惠金融部</t>
  </si>
  <si>
    <t>企业产品部</t>
  </si>
  <si>
    <t>产业及绿色金融部</t>
  </si>
  <si>
    <t>企金管理部</t>
  </si>
  <si>
    <t>企业业务支持部</t>
  </si>
  <si>
    <t>科技金融部</t>
  </si>
  <si>
    <t>票据业务部</t>
  </si>
  <si>
    <t>企金数字智能应用部</t>
  </si>
  <si>
    <t>企业数字营销部</t>
  </si>
  <si>
    <t>企业营销部</t>
  </si>
  <si>
    <t>金融市场及同业部</t>
  </si>
  <si>
    <t>科技及智能事业群</t>
  </si>
  <si>
    <t xml:space="preserve">科技业务 </t>
  </si>
  <si>
    <t>资源管理及管控职能群</t>
    <phoneticPr fontId="6" type="noConversion"/>
  </si>
  <si>
    <t>风险及运营管理部</t>
  </si>
  <si>
    <t>法律合规部</t>
  </si>
  <si>
    <t>消费者权益保护部</t>
  </si>
  <si>
    <t>采购及资产管理部</t>
  </si>
  <si>
    <t>资产负债管理及企划部</t>
  </si>
  <si>
    <t>财务会计部</t>
  </si>
  <si>
    <t>人力资源部</t>
  </si>
  <si>
    <t>审计部</t>
  </si>
  <si>
    <t>公司治理部</t>
    <phoneticPr fontId="6" type="noConversion"/>
  </si>
  <si>
    <t>总监室</t>
  </si>
  <si>
    <t>其他</t>
  </si>
  <si>
    <t>行长室</t>
    <phoneticPr fontId="6" type="noConversion"/>
  </si>
  <si>
    <t>直通运营部</t>
  </si>
  <si>
    <t>主体</t>
    <phoneticPr fontId="1" type="noConversion"/>
  </si>
  <si>
    <t>微众银行</t>
    <phoneticPr fontId="1" type="noConversion"/>
  </si>
  <si>
    <t>创新孵化项目组</t>
  </si>
  <si>
    <t>生活金融部</t>
  </si>
  <si>
    <t>个体工商金融项目组</t>
  </si>
  <si>
    <t>运营管理部</t>
  </si>
  <si>
    <t>战略发展部</t>
  </si>
  <si>
    <t>品牌公关部</t>
  </si>
  <si>
    <t>前海项目办公室</t>
  </si>
  <si>
    <t>历史架构</t>
    <phoneticPr fontId="1" type="noConversion"/>
  </si>
  <si>
    <t>业务及管理费</t>
    <phoneticPr fontId="6" type="noConversion"/>
  </si>
  <si>
    <t>人力费用</t>
    <phoneticPr fontId="6" type="noConversion"/>
  </si>
  <si>
    <t>常规人力费用</t>
  </si>
  <si>
    <t>1.0倍人力费用</t>
    <phoneticPr fontId="1" type="noConversion"/>
  </si>
  <si>
    <t>超额奖金</t>
  </si>
  <si>
    <t>利润分享</t>
    <phoneticPr fontId="6" type="noConversion"/>
  </si>
  <si>
    <t>业务费用</t>
    <phoneticPr fontId="6" type="noConversion"/>
  </si>
  <si>
    <t>运营费用</t>
    <phoneticPr fontId="6" type="noConversion"/>
  </si>
  <si>
    <t>客服费</t>
    <phoneticPr fontId="1" type="noConversion"/>
  </si>
  <si>
    <t>IT费用</t>
    <phoneticPr fontId="6" type="noConversion"/>
  </si>
  <si>
    <t>日常费用</t>
    <phoneticPr fontId="6" type="noConversion"/>
  </si>
  <si>
    <t>一级</t>
    <phoneticPr fontId="1" type="noConversion"/>
  </si>
  <si>
    <t>二级</t>
    <phoneticPr fontId="1" type="noConversion"/>
  </si>
  <si>
    <t>三级</t>
    <phoneticPr fontId="1" type="noConversion"/>
  </si>
  <si>
    <t>层级</t>
    <phoneticPr fontId="1" type="noConversion"/>
  </si>
  <si>
    <t>预算科目</t>
    <phoneticPr fontId="1" type="noConversion"/>
  </si>
  <si>
    <t>四级</t>
  </si>
  <si>
    <t>四级</t>
    <phoneticPr fontId="1" type="noConversion"/>
  </si>
  <si>
    <t>IT外包服务费</t>
  </si>
  <si>
    <t>IT咨询费</t>
  </si>
  <si>
    <t>IT低端费用</t>
  </si>
  <si>
    <t>IT协会费</t>
  </si>
  <si>
    <t>职场费用</t>
    <phoneticPr fontId="6" type="noConversion"/>
  </si>
  <si>
    <t>业务招待费</t>
    <phoneticPr fontId="6" type="noConversion"/>
  </si>
  <si>
    <t>日常其他</t>
  </si>
  <si>
    <t>非IT咨询费</t>
  </si>
  <si>
    <t>协会费</t>
  </si>
  <si>
    <t>部门会议费</t>
  </si>
  <si>
    <t>安全保卫费</t>
  </si>
  <si>
    <t>商标域名</t>
  </si>
  <si>
    <t>律师及诉讼费（股东大会见证）</t>
  </si>
  <si>
    <t>办公杂费</t>
  </si>
  <si>
    <t>财产保险费</t>
  </si>
  <si>
    <t>律师及诉讼费</t>
    <phoneticPr fontId="1" type="noConversion"/>
  </si>
  <si>
    <t>外包服务费</t>
    <phoneticPr fontId="1" type="noConversion"/>
  </si>
  <si>
    <t>部门经费</t>
    <phoneticPr fontId="1" type="noConversion"/>
  </si>
  <si>
    <t>办公室</t>
    <phoneticPr fontId="1" type="noConversion"/>
  </si>
  <si>
    <t>法律合规部</t>
    <phoneticPr fontId="1" type="noConversion"/>
  </si>
  <si>
    <t>财务会计部</t>
    <phoneticPr fontId="1" type="noConversion"/>
  </si>
  <si>
    <t>人力资源部</t>
    <phoneticPr fontId="1" type="noConversion"/>
  </si>
  <si>
    <t>直接费用</t>
  </si>
  <si>
    <t>间接费用</t>
  </si>
  <si>
    <t>消费金融</t>
  </si>
  <si>
    <t>微账户</t>
  </si>
  <si>
    <t>汽车金融</t>
  </si>
  <si>
    <t>企业金融</t>
  </si>
  <si>
    <t>财富业务</t>
  </si>
  <si>
    <t>数字金融</t>
  </si>
  <si>
    <t>金融市场及同业</t>
  </si>
  <si>
    <t>生活金融</t>
  </si>
  <si>
    <t>国际业务</t>
  </si>
  <si>
    <t>创新孵化项目</t>
  </si>
  <si>
    <t>司库</t>
  </si>
  <si>
    <t>01</t>
  </si>
  <si>
    <t>0606</t>
  </si>
  <si>
    <t>IT科技费用</t>
  </si>
  <si>
    <t>0608</t>
  </si>
  <si>
    <t>IT日常费用</t>
  </si>
  <si>
    <t>08</t>
  </si>
  <si>
    <t>07</t>
  </si>
  <si>
    <t>02</t>
  </si>
  <si>
    <t>0607</t>
  </si>
  <si>
    <t>IT职场费用</t>
  </si>
  <si>
    <t>05</t>
  </si>
  <si>
    <t>0601</t>
  </si>
  <si>
    <t>IT人力费用</t>
  </si>
  <si>
    <t>0605</t>
  </si>
  <si>
    <t>IT运营费用</t>
  </si>
  <si>
    <t>0602</t>
  </si>
  <si>
    <t>IT营销费用</t>
  </si>
  <si>
    <t>人力（不含IT）</t>
    <phoneticPr fontId="1" type="noConversion"/>
  </si>
  <si>
    <t>费用类别</t>
    <phoneticPr fontId="1" type="noConversion"/>
  </si>
  <si>
    <t>常规人力</t>
  </si>
  <si>
    <t>特别人力</t>
  </si>
  <si>
    <t>IT常规人力</t>
  </si>
  <si>
    <t>IT特别人力</t>
  </si>
  <si>
    <t>利润分享</t>
  </si>
  <si>
    <t>5501010601</t>
  </si>
  <si>
    <t>5501010602</t>
  </si>
  <si>
    <t>5501010603</t>
  </si>
  <si>
    <t>管会科目代码</t>
    <phoneticPr fontId="1" type="noConversion"/>
  </si>
  <si>
    <t>合计</t>
    <phoneticPr fontId="1" type="noConversion"/>
  </si>
  <si>
    <t>风险及运营管理部</t>
    <phoneticPr fontId="1" type="noConversion"/>
  </si>
  <si>
    <t>管会费用代码</t>
    <phoneticPr fontId="1" type="noConversion"/>
  </si>
  <si>
    <t>特别奖励</t>
    <phoneticPr fontId="1" type="noConversion"/>
  </si>
  <si>
    <t>=01-特别人力</t>
    <phoneticPr fontId="1" type="noConversion"/>
  </si>
  <si>
    <t>=06-IT特别人力</t>
    <phoneticPr fontId="1" type="noConversion"/>
  </si>
  <si>
    <t>科技子</t>
    <phoneticPr fontId="1" type="noConversion"/>
  </si>
  <si>
    <t>科技子-行业应用部</t>
    <phoneticPr fontId="1" type="noConversion"/>
  </si>
  <si>
    <t>科技子-智能应用部</t>
    <phoneticPr fontId="1" type="noConversion"/>
  </si>
  <si>
    <t>科技子-科技服务部</t>
    <phoneticPr fontId="1" type="noConversion"/>
  </si>
  <si>
    <t>科技孙-微众科技服务有限公司</t>
    <phoneticPr fontId="1" type="noConversion"/>
  </si>
  <si>
    <t>小鹅流量经营团队</t>
  </si>
  <si>
    <t>管会一级机构
("部门架构"sheet中的产品预算部门)</t>
    <phoneticPr fontId="1" type="noConversion"/>
  </si>
  <si>
    <t>费用归属部门</t>
    <phoneticPr fontId="6" type="noConversion"/>
  </si>
  <si>
    <t>归口管理部门</t>
  </si>
  <si>
    <t>五级</t>
    <phoneticPr fontId="1" type="noConversion"/>
  </si>
  <si>
    <t>常规奖金</t>
  </si>
  <si>
    <t>社保公积金</t>
  </si>
  <si>
    <t>IT资产摊销及折旧</t>
    <phoneticPr fontId="1" type="noConversion"/>
  </si>
  <si>
    <t>差旅及会议费</t>
    <phoneticPr fontId="1" type="noConversion"/>
  </si>
  <si>
    <t>全行工作会议</t>
  </si>
  <si>
    <t>办公资产摊销及折旧</t>
    <phoneticPr fontId="1" type="noConversion"/>
  </si>
  <si>
    <t>商标域名资产摊销及折旧</t>
    <phoneticPr fontId="1" type="noConversion"/>
  </si>
  <si>
    <t>公式</t>
    <phoneticPr fontId="1" type="noConversion"/>
  </si>
  <si>
    <t>虚拟部门</t>
    <phoneticPr fontId="1" type="noConversion"/>
  </si>
  <si>
    <t>科技孙</t>
    <phoneticPr fontId="1" type="noConversion"/>
  </si>
  <si>
    <t>总监室</t>
    <phoneticPr fontId="1" type="noConversion"/>
  </si>
  <si>
    <t>行长室</t>
    <phoneticPr fontId="1" type="noConversion"/>
  </si>
  <si>
    <t>其他</t>
    <phoneticPr fontId="1" type="noConversion"/>
  </si>
  <si>
    <t>其他</t>
    <phoneticPr fontId="6" type="noConversion"/>
  </si>
  <si>
    <t>费用发生部门</t>
    <phoneticPr fontId="6" type="noConversion"/>
  </si>
  <si>
    <t>公司治理部</t>
    <phoneticPr fontId="1" type="noConversion"/>
  </si>
  <si>
    <t>科技业务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</si>
</sst>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 * #,##0.00_ ;_ * \-#,##0.00_ ;_ * &quot;-&quot;??_ ;_ @_ "/>
    <numFmt numFmtId="177" formatCode="_([$€-2]* #,##0.0000000000_);_([$€-2]* \(#,##0.0000000000\);_([$€-2]* &quot;-&quot;??_)"/>
    <numFmt numFmtId="178" formatCode="0_ "/>
    <numFmt numFmtId="179" formatCode="#,##0;\-#,##0;&quot;-&quot;??_ ;_ @_ "/>
  </numFmts>
  <fonts count="14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indexed="8"/>
      <name val="宋体"/>
      <family val="3"/>
      <charset val="134"/>
    </font>
    <font>
      <sz val="10"/>
      <name val="Arial"/>
      <family val="2"/>
    </font>
    <font>
      <sz val="9"/>
      <name val="等线"/>
      <family val="3"/>
      <charset val="134"/>
      <scheme val="minor"/>
    </font>
    <font>
      <b/>
      <sz val="11"/>
      <color theme="1"/>
      <name val="楷体"/>
      <family val="3"/>
      <charset val="134"/>
    </font>
    <font>
      <b/>
      <sz val="11"/>
      <name val="楷体"/>
      <family val="3"/>
      <charset val="134"/>
    </font>
    <font>
      <sz val="11"/>
      <name val="楷体"/>
      <family val="3"/>
      <charset val="134"/>
    </font>
    <font>
      <sz val="11"/>
      <color theme="1"/>
      <name val="楷体"/>
      <family val="3"/>
      <charset val="134"/>
    </font>
    <font>
      <sz val="12"/>
      <color rgb="FF000000"/>
      <name val="楷体"/>
      <family val="3"/>
      <charset val="134"/>
    </font>
    <font>
      <b/>
      <u/>
      <sz val="11"/>
      <name val="楷体"/>
      <family val="3"/>
      <charset val="134"/>
    </font>
    <font>
      <sz val="11"/>
      <color rgb="FF000000"/>
      <name val="楷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3" fillId="0" borderId="0"/>
    <xf numFmtId="176" fontId="3" fillId="0" borderId="0" applyFont="0" applyFill="0" applyBorder="0" applyAlignment="0" applyProtection="0">
      <alignment vertical="center"/>
    </xf>
    <xf numFmtId="177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5" fillId="0" borderId="0"/>
    <xf numFmtId="0" fontId="3" fillId="0" borderId="0"/>
  </cellStyleXfs>
  <cellXfs count="38">
    <xf numFmtId="0" fontId="0" fillId="0" borderId="0" xfId="0">
      <alignment vertical="center"/>
    </xf>
    <xf numFmtId="179" fontId="7" fillId="0" borderId="0" xfId="0" applyNumberFormat="1" applyFont="1" applyAlignment="1"/>
    <xf numFmtId="179" fontId="8" fillId="0" borderId="0" xfId="0" applyNumberFormat="1" applyFont="1" applyAlignment="1">
      <alignment horizontal="left" vertical="center" wrapText="1" indent="2" readingOrder="1"/>
    </xf>
    <xf numFmtId="179" fontId="9" fillId="0" borderId="0" xfId="0" applyNumberFormat="1" applyFont="1" applyAlignment="1">
      <alignment horizontal="left" vertical="center" wrapText="1" indent="3" readingOrder="1"/>
    </xf>
    <xf numFmtId="179" fontId="9" fillId="0" borderId="0" xfId="0" applyNumberFormat="1" applyFont="1" applyAlignment="1">
      <alignment horizontal="left" vertical="center" wrapText="1" indent="4" readingOrder="1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4"/>
    </xf>
    <xf numFmtId="179" fontId="9" fillId="0" borderId="0" xfId="0" applyNumberFormat="1" applyFont="1" applyAlignment="1">
      <alignment horizontal="left" vertical="center" indent="3" readingOrder="1"/>
    </xf>
    <xf numFmtId="0" fontId="10" fillId="0" borderId="0" xfId="0" applyFont="1" applyAlignment="1">
      <alignment horizontal="left" vertical="center" indent="5"/>
    </xf>
    <xf numFmtId="0" fontId="8" fillId="0" borderId="0" xfId="7" applyFont="1" applyAlignment="1">
      <alignment horizontal="center" vertical="center"/>
    </xf>
    <xf numFmtId="178" fontId="9" fillId="0" borderId="0" xfId="7" applyNumberFormat="1" applyFont="1" applyAlignment="1">
      <alignment horizontal="left" vertical="center" wrapText="1"/>
    </xf>
    <xf numFmtId="0" fontId="9" fillId="0" borderId="0" xfId="7" applyFont="1"/>
    <xf numFmtId="0" fontId="9" fillId="0" borderId="0" xfId="7" applyFont="1" applyAlignment="1">
      <alignment vertical="top"/>
    </xf>
    <xf numFmtId="0" fontId="8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9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 indent="2"/>
    </xf>
    <xf numFmtId="0" fontId="9" fillId="0" borderId="1" xfId="0" applyFont="1" applyBorder="1" applyAlignment="1">
      <alignment horizontal="left" vertical="center" wrapText="1" indent="3"/>
    </xf>
    <xf numFmtId="0" fontId="9" fillId="0" borderId="1" xfId="0" applyFont="1" applyBorder="1" applyAlignment="1">
      <alignment horizontal="left" vertical="center" wrapText="1" indent="1"/>
    </xf>
    <xf numFmtId="0" fontId="9" fillId="0" borderId="1" xfId="0" quotePrefix="1" applyFont="1" applyBorder="1" applyAlignment="1">
      <alignment horizontal="left" vertical="center" wrapText="1" indent="2"/>
    </xf>
    <xf numFmtId="0" fontId="8" fillId="0" borderId="0" xfId="7" applyFont="1" applyAlignment="1">
      <alignment horizontal="center" vertical="center" wrapText="1"/>
    </xf>
    <xf numFmtId="179" fontId="9" fillId="0" borderId="0" xfId="0" applyNumberFormat="1" applyFont="1" applyAlignment="1">
      <alignment horizontal="left" vertical="center" wrapText="1" indent="5" readingOrder="1"/>
    </xf>
    <xf numFmtId="0" fontId="11" fillId="0" borderId="0" xfId="0" applyFont="1" applyAlignment="1">
      <alignment horizontal="left" vertical="center" wrapText="1"/>
    </xf>
    <xf numFmtId="176" fontId="7" fillId="0" borderId="0" xfId="1" applyFont="1" applyAlignment="1">
      <alignment horizontal="center" vertical="center"/>
    </xf>
    <xf numFmtId="176" fontId="10" fillId="0" borderId="0" xfId="1" applyFont="1">
      <alignment vertical="center"/>
    </xf>
    <xf numFmtId="176" fontId="10" fillId="0" borderId="0" xfId="1" applyFont="1" applyFill="1">
      <alignment vertical="center"/>
    </xf>
    <xf numFmtId="176" fontId="10" fillId="0" borderId="0" xfId="1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 wrapText="1" readingOrder="1"/>
    </xf>
  </cellXfs>
  <cellStyles count="8">
    <cellStyle name="常规" xfId="0" builtinId="0"/>
    <cellStyle name="常规 2" xfId="4" xr:uid="{2A8C9A5D-3EBB-4F8F-AABE-6FC664BD4B2F}"/>
    <cellStyle name="常规 3" xfId="2" xr:uid="{0BA529EE-865B-4CFC-AC70-7BC1A34D8300}"/>
    <cellStyle name="常规 46" xfId="6" xr:uid="{2F090CF2-92AB-432C-AF00-1059A8B5C675}"/>
    <cellStyle name="常规 9 2 2 2 2 2 2" xfId="7" xr:uid="{421A4364-19EF-4C88-A3B5-571CE056DA93}"/>
    <cellStyle name="千位分隔" xfId="1" builtinId="3"/>
    <cellStyle name="千位分隔 2" xfId="5" xr:uid="{74EF7946-B881-4317-8A0B-A3383C151AA2}"/>
    <cellStyle name="千位分隔 4 2" xfId="3" xr:uid="{C393D769-AC67-4029-8D03-41D0D6BFB324}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6B7F7-1CF1-4236-8A6F-BF9E92F244EB}">
  <dimension ref="A1:D59"/>
  <sheetViews>
    <sheetView workbookViewId="0">
      <pane xSplit="4" ySplit="1" topLeftCell="E49" activePane="bottomRight" state="frozen"/>
      <selection pane="topRight" activeCell="E1" sqref="E1"/>
      <selection pane="bottomLeft" activeCell="A2" sqref="A2"/>
      <selection pane="bottomRight" activeCell="G78" sqref="G78"/>
    </sheetView>
  </sheetViews>
  <sheetFormatPr baseColWidth="10" defaultColWidth="8.83203125" defaultRowHeight="14"/>
  <cols>
    <col min="1" max="1" width="12.33203125" style="6" customWidth="1"/>
    <col min="2" max="2" width="21.83203125" style="6" customWidth="1"/>
    <col min="3" max="3" width="24.1640625" style="6" customWidth="1"/>
    <col min="4" max="4" width="37" style="6" customWidth="1"/>
    <col min="5" max="5" width="15.33203125" style="6" customWidth="1"/>
    <col min="6" max="16384" width="8.83203125" style="6"/>
  </cols>
  <sheetData>
    <row r="1" spans="1:4" s="7" customFormat="1" ht="15">
      <c r="A1" s="7" t="s">
        <v>76</v>
      </c>
      <c r="B1" s="11" t="s">
        <v>30</v>
      </c>
      <c r="C1" s="11" t="s">
        <v>180</v>
      </c>
      <c r="D1" s="27" t="s">
        <v>197</v>
      </c>
    </row>
    <row r="2" spans="1:4" ht="15">
      <c r="A2" s="6" t="s">
        <v>77</v>
      </c>
      <c r="B2" s="12" t="s">
        <v>31</v>
      </c>
      <c r="C2" s="13" t="s">
        <v>24</v>
      </c>
      <c r="D2" s="14" t="s">
        <v>32</v>
      </c>
    </row>
    <row r="3" spans="1:4" ht="15">
      <c r="A3" s="6" t="s">
        <v>77</v>
      </c>
      <c r="B3" s="12" t="s">
        <v>31</v>
      </c>
      <c r="C3" s="13" t="s">
        <v>24</v>
      </c>
      <c r="D3" s="14" t="s">
        <v>32</v>
      </c>
    </row>
    <row r="4" spans="1:4" ht="15">
      <c r="A4" s="6" t="s">
        <v>77</v>
      </c>
      <c r="B4" s="12" t="s">
        <v>31</v>
      </c>
      <c r="C4" s="13" t="s">
        <v>24</v>
      </c>
      <c r="D4" s="14" t="s">
        <v>33</v>
      </c>
    </row>
    <row r="5" spans="1:4" ht="15">
      <c r="A5" s="6" t="s">
        <v>77</v>
      </c>
      <c r="B5" s="12" t="s">
        <v>31</v>
      </c>
      <c r="C5" s="13" t="s">
        <v>24</v>
      </c>
      <c r="D5" s="14" t="s">
        <v>34</v>
      </c>
    </row>
    <row r="6" spans="1:4" ht="15">
      <c r="A6" s="6" t="s">
        <v>77</v>
      </c>
      <c r="B6" s="12" t="s">
        <v>31</v>
      </c>
      <c r="C6" s="13" t="s">
        <v>24</v>
      </c>
      <c r="D6" s="14" t="s">
        <v>35</v>
      </c>
    </row>
    <row r="7" spans="1:4" ht="15">
      <c r="A7" s="6" t="s">
        <v>77</v>
      </c>
      <c r="B7" s="12" t="s">
        <v>31</v>
      </c>
      <c r="C7" s="13" t="s">
        <v>24</v>
      </c>
      <c r="D7" s="14" t="s">
        <v>36</v>
      </c>
    </row>
    <row r="8" spans="1:4" ht="15">
      <c r="A8" s="6" t="s">
        <v>77</v>
      </c>
      <c r="B8" s="12" t="s">
        <v>31</v>
      </c>
      <c r="C8" s="13" t="s">
        <v>24</v>
      </c>
      <c r="D8" s="14" t="s">
        <v>37</v>
      </c>
    </row>
    <row r="9" spans="1:4" ht="15">
      <c r="A9" s="6" t="s">
        <v>77</v>
      </c>
      <c r="B9" s="12" t="s">
        <v>31</v>
      </c>
      <c r="C9" s="13" t="s">
        <v>24</v>
      </c>
      <c r="D9" s="14" t="s">
        <v>38</v>
      </c>
    </row>
    <row r="10" spans="1:4" ht="15">
      <c r="A10" s="6" t="s">
        <v>77</v>
      </c>
      <c r="B10" s="12" t="s">
        <v>31</v>
      </c>
      <c r="C10" s="13" t="s">
        <v>24</v>
      </c>
      <c r="D10" s="14" t="s">
        <v>39</v>
      </c>
    </row>
    <row r="11" spans="1:4" ht="15">
      <c r="A11" s="6" t="s">
        <v>77</v>
      </c>
      <c r="B11" s="12" t="s">
        <v>31</v>
      </c>
      <c r="C11" s="13" t="s">
        <v>24</v>
      </c>
      <c r="D11" s="14" t="s">
        <v>40</v>
      </c>
    </row>
    <row r="12" spans="1:4" ht="15">
      <c r="A12" s="6" t="s">
        <v>77</v>
      </c>
      <c r="B12" s="12" t="s">
        <v>31</v>
      </c>
      <c r="C12" s="13" t="s">
        <v>41</v>
      </c>
      <c r="D12" s="14" t="s">
        <v>41</v>
      </c>
    </row>
    <row r="13" spans="1:4" ht="15">
      <c r="A13" s="6" t="s">
        <v>77</v>
      </c>
      <c r="B13" s="12" t="s">
        <v>31</v>
      </c>
      <c r="C13" s="13" t="s">
        <v>42</v>
      </c>
      <c r="D13" s="14" t="s">
        <v>42</v>
      </c>
    </row>
    <row r="14" spans="1:4" ht="15">
      <c r="A14" s="6" t="s">
        <v>77</v>
      </c>
      <c r="B14" s="12" t="s">
        <v>31</v>
      </c>
      <c r="C14" s="13" t="s">
        <v>43</v>
      </c>
      <c r="D14" s="14" t="s">
        <v>43</v>
      </c>
    </row>
    <row r="15" spans="1:4" ht="15">
      <c r="A15" s="6" t="s">
        <v>77</v>
      </c>
      <c r="B15" s="12" t="s">
        <v>31</v>
      </c>
      <c r="C15" s="13" t="s">
        <v>44</v>
      </c>
      <c r="D15" s="14" t="s">
        <v>44</v>
      </c>
    </row>
    <row r="16" spans="1:4" ht="15">
      <c r="A16" s="6" t="s">
        <v>77</v>
      </c>
      <c r="B16" s="12" t="s">
        <v>31</v>
      </c>
      <c r="C16" s="13" t="s">
        <v>45</v>
      </c>
      <c r="D16" s="14" t="s">
        <v>46</v>
      </c>
    </row>
    <row r="17" spans="1:4" ht="15">
      <c r="A17" s="6" t="s">
        <v>77</v>
      </c>
      <c r="B17" s="12" t="s">
        <v>47</v>
      </c>
      <c r="C17" s="13" t="s">
        <v>48</v>
      </c>
      <c r="D17" s="14" t="s">
        <v>49</v>
      </c>
    </row>
    <row r="18" spans="1:4" ht="15">
      <c r="A18" s="6" t="s">
        <v>77</v>
      </c>
      <c r="B18" s="12" t="s">
        <v>47</v>
      </c>
      <c r="C18" s="13" t="s">
        <v>48</v>
      </c>
      <c r="D18" s="14" t="s">
        <v>50</v>
      </c>
    </row>
    <row r="19" spans="1:4" ht="15">
      <c r="A19" s="6" t="s">
        <v>77</v>
      </c>
      <c r="B19" s="12" t="s">
        <v>47</v>
      </c>
      <c r="C19" s="13" t="s">
        <v>48</v>
      </c>
      <c r="D19" s="14" t="s">
        <v>51</v>
      </c>
    </row>
    <row r="20" spans="1:4" ht="15">
      <c r="A20" s="6" t="s">
        <v>77</v>
      </c>
      <c r="B20" s="12" t="s">
        <v>47</v>
      </c>
      <c r="C20" s="13" t="s">
        <v>48</v>
      </c>
      <c r="D20" s="14" t="s">
        <v>52</v>
      </c>
    </row>
    <row r="21" spans="1:4" ht="15">
      <c r="A21" s="6" t="s">
        <v>77</v>
      </c>
      <c r="B21" s="12" t="s">
        <v>47</v>
      </c>
      <c r="C21" s="13" t="s">
        <v>48</v>
      </c>
      <c r="D21" s="14" t="s">
        <v>53</v>
      </c>
    </row>
    <row r="22" spans="1:4" ht="15">
      <c r="A22" s="6" t="s">
        <v>77</v>
      </c>
      <c r="B22" s="12" t="s">
        <v>47</v>
      </c>
      <c r="C22" s="13" t="s">
        <v>48</v>
      </c>
      <c r="D22" s="14" t="s">
        <v>54</v>
      </c>
    </row>
    <row r="23" spans="1:4" ht="15">
      <c r="A23" s="6" t="s">
        <v>77</v>
      </c>
      <c r="B23" s="12" t="s">
        <v>47</v>
      </c>
      <c r="C23" s="13" t="s">
        <v>48</v>
      </c>
      <c r="D23" s="14" t="s">
        <v>55</v>
      </c>
    </row>
    <row r="24" spans="1:4" ht="15">
      <c r="A24" s="6" t="s">
        <v>77</v>
      </c>
      <c r="B24" s="12" t="s">
        <v>47</v>
      </c>
      <c r="C24" s="13" t="s">
        <v>48</v>
      </c>
      <c r="D24" s="14" t="s">
        <v>56</v>
      </c>
    </row>
    <row r="25" spans="1:4" ht="15">
      <c r="A25" s="6" t="s">
        <v>77</v>
      </c>
      <c r="B25" s="12" t="s">
        <v>47</v>
      </c>
      <c r="C25" s="13" t="s">
        <v>48</v>
      </c>
      <c r="D25" s="14" t="s">
        <v>57</v>
      </c>
    </row>
    <row r="26" spans="1:4" ht="15">
      <c r="A26" s="6" t="s">
        <v>77</v>
      </c>
      <c r="B26" s="12" t="s">
        <v>47</v>
      </c>
      <c r="C26" s="13" t="s">
        <v>48</v>
      </c>
      <c r="D26" s="14" t="s">
        <v>58</v>
      </c>
    </row>
    <row r="27" spans="1:4" ht="15">
      <c r="A27" s="6" t="s">
        <v>77</v>
      </c>
      <c r="B27" s="12" t="s">
        <v>47</v>
      </c>
      <c r="C27" s="13" t="s">
        <v>59</v>
      </c>
      <c r="D27" s="14" t="s">
        <v>59</v>
      </c>
    </row>
    <row r="28" spans="1:4" ht="15">
      <c r="A28" s="6" t="s">
        <v>77</v>
      </c>
      <c r="B28" s="12" t="s">
        <v>47</v>
      </c>
      <c r="C28" s="13" t="s">
        <v>20</v>
      </c>
      <c r="D28" s="14" t="s">
        <v>20</v>
      </c>
    </row>
    <row r="29" spans="1:4" ht="15">
      <c r="A29" s="6" t="s">
        <v>77</v>
      </c>
      <c r="B29" s="12" t="s">
        <v>60</v>
      </c>
      <c r="C29" s="13" t="s">
        <v>61</v>
      </c>
      <c r="D29" s="14" t="s">
        <v>23</v>
      </c>
    </row>
    <row r="30" spans="1:4" ht="15">
      <c r="A30" s="6" t="s">
        <v>77</v>
      </c>
      <c r="B30" s="12" t="s">
        <v>21</v>
      </c>
      <c r="C30" s="14" t="s">
        <v>21</v>
      </c>
      <c r="D30" s="14" t="s">
        <v>21</v>
      </c>
    </row>
    <row r="31" spans="1:4" ht="15">
      <c r="A31" s="6" t="s">
        <v>77</v>
      </c>
      <c r="B31" s="12" t="s">
        <v>62</v>
      </c>
      <c r="C31" s="13" t="s">
        <v>63</v>
      </c>
      <c r="D31" s="14" t="s">
        <v>63</v>
      </c>
    </row>
    <row r="32" spans="1:4" ht="15">
      <c r="A32" s="6" t="s">
        <v>77</v>
      </c>
      <c r="B32" s="12" t="s">
        <v>62</v>
      </c>
      <c r="C32" s="13" t="s">
        <v>64</v>
      </c>
      <c r="D32" s="14" t="s">
        <v>64</v>
      </c>
    </row>
    <row r="33" spans="1:4" ht="15">
      <c r="A33" s="6" t="s">
        <v>77</v>
      </c>
      <c r="B33" s="12" t="s">
        <v>62</v>
      </c>
      <c r="C33" s="13" t="s">
        <v>65</v>
      </c>
      <c r="D33" s="14" t="s">
        <v>65</v>
      </c>
    </row>
    <row r="34" spans="1:4" ht="15">
      <c r="A34" s="6" t="s">
        <v>77</v>
      </c>
      <c r="B34" s="12" t="s">
        <v>62</v>
      </c>
      <c r="C34" s="13" t="s">
        <v>22</v>
      </c>
      <c r="D34" s="14" t="s">
        <v>22</v>
      </c>
    </row>
    <row r="35" spans="1:4" ht="15">
      <c r="A35" s="6" t="s">
        <v>77</v>
      </c>
      <c r="B35" s="12" t="s">
        <v>62</v>
      </c>
      <c r="C35" s="13" t="s">
        <v>66</v>
      </c>
      <c r="D35" s="14" t="s">
        <v>66</v>
      </c>
    </row>
    <row r="36" spans="1:4" ht="15">
      <c r="A36" s="6" t="s">
        <v>77</v>
      </c>
      <c r="B36" s="12" t="s">
        <v>62</v>
      </c>
      <c r="C36" s="13" t="s">
        <v>67</v>
      </c>
      <c r="D36" s="14" t="s">
        <v>67</v>
      </c>
    </row>
    <row r="37" spans="1:4" ht="15">
      <c r="A37" s="6" t="s">
        <v>77</v>
      </c>
      <c r="B37" s="12" t="s">
        <v>62</v>
      </c>
      <c r="C37" s="13" t="s">
        <v>68</v>
      </c>
      <c r="D37" s="14" t="s">
        <v>68</v>
      </c>
    </row>
    <row r="38" spans="1:4" ht="15">
      <c r="A38" s="6" t="s">
        <v>77</v>
      </c>
      <c r="B38" s="12" t="s">
        <v>62</v>
      </c>
      <c r="C38" s="13" t="s">
        <v>69</v>
      </c>
      <c r="D38" s="14" t="s">
        <v>69</v>
      </c>
    </row>
    <row r="39" spans="1:4" ht="15">
      <c r="A39" s="6" t="s">
        <v>77</v>
      </c>
      <c r="B39" s="12" t="s">
        <v>62</v>
      </c>
      <c r="C39" s="13" t="s">
        <v>70</v>
      </c>
      <c r="D39" s="14" t="s">
        <v>70</v>
      </c>
    </row>
    <row r="40" spans="1:4" ht="15">
      <c r="A40" s="6" t="s">
        <v>77</v>
      </c>
      <c r="B40" s="12" t="s">
        <v>62</v>
      </c>
      <c r="C40" s="13" t="s">
        <v>71</v>
      </c>
      <c r="D40" s="13" t="s">
        <v>71</v>
      </c>
    </row>
    <row r="41" spans="1:4">
      <c r="A41" s="6" t="s">
        <v>77</v>
      </c>
      <c r="B41" s="13" t="s">
        <v>195</v>
      </c>
      <c r="C41" s="13" t="s">
        <v>193</v>
      </c>
      <c r="D41" s="13" t="s">
        <v>72</v>
      </c>
    </row>
    <row r="42" spans="1:4">
      <c r="A42" s="6" t="s">
        <v>77</v>
      </c>
      <c r="B42" s="13" t="s">
        <v>196</v>
      </c>
      <c r="C42" s="13" t="s">
        <v>194</v>
      </c>
      <c r="D42" s="13" t="s">
        <v>74</v>
      </c>
    </row>
    <row r="43" spans="1:4">
      <c r="A43" s="6" t="s">
        <v>77</v>
      </c>
      <c r="B43" s="6" t="s">
        <v>85</v>
      </c>
      <c r="C43" s="6" t="s">
        <v>85</v>
      </c>
      <c r="D43" s="6" t="s">
        <v>79</v>
      </c>
    </row>
    <row r="44" spans="1:4">
      <c r="A44" s="6" t="s">
        <v>77</v>
      </c>
      <c r="B44" s="6" t="s">
        <v>85</v>
      </c>
      <c r="C44" s="6" t="s">
        <v>85</v>
      </c>
      <c r="D44" s="6" t="s">
        <v>45</v>
      </c>
    </row>
    <row r="45" spans="1:4">
      <c r="A45" s="6" t="s">
        <v>77</v>
      </c>
      <c r="B45" s="6" t="s">
        <v>85</v>
      </c>
      <c r="C45" s="6" t="s">
        <v>85</v>
      </c>
      <c r="D45" s="6" t="s">
        <v>81</v>
      </c>
    </row>
    <row r="46" spans="1:4">
      <c r="A46" s="6" t="s">
        <v>77</v>
      </c>
      <c r="B46" s="6" t="s">
        <v>85</v>
      </c>
      <c r="C46" s="6" t="s">
        <v>85</v>
      </c>
      <c r="D46" s="6" t="s">
        <v>82</v>
      </c>
    </row>
    <row r="47" spans="1:4">
      <c r="A47" s="6" t="s">
        <v>77</v>
      </c>
      <c r="B47" s="6" t="s">
        <v>85</v>
      </c>
      <c r="C47" s="6" t="s">
        <v>85</v>
      </c>
      <c r="D47" s="6" t="s">
        <v>75</v>
      </c>
    </row>
    <row r="48" spans="1:4">
      <c r="A48" s="6" t="s">
        <v>77</v>
      </c>
      <c r="B48" s="6" t="s">
        <v>85</v>
      </c>
      <c r="C48" s="6" t="s">
        <v>85</v>
      </c>
      <c r="D48" s="6" t="s">
        <v>84</v>
      </c>
    </row>
    <row r="49" spans="1:4">
      <c r="A49" s="6" t="s">
        <v>77</v>
      </c>
      <c r="B49" s="6" t="s">
        <v>85</v>
      </c>
      <c r="C49" s="6" t="s">
        <v>85</v>
      </c>
      <c r="D49" s="6" t="s">
        <v>83</v>
      </c>
    </row>
    <row r="50" spans="1:4">
      <c r="A50" s="6" t="s">
        <v>77</v>
      </c>
      <c r="B50" s="6" t="s">
        <v>85</v>
      </c>
      <c r="C50" s="6" t="s">
        <v>85</v>
      </c>
      <c r="D50" s="6" t="s">
        <v>78</v>
      </c>
    </row>
    <row r="51" spans="1:4">
      <c r="A51" s="6" t="s">
        <v>77</v>
      </c>
      <c r="B51" s="6" t="s">
        <v>85</v>
      </c>
      <c r="C51" s="6" t="s">
        <v>85</v>
      </c>
      <c r="D51" s="6" t="s">
        <v>80</v>
      </c>
    </row>
    <row r="52" spans="1:4">
      <c r="A52" s="6" t="s">
        <v>77</v>
      </c>
      <c r="B52" s="6" t="s">
        <v>191</v>
      </c>
      <c r="C52" s="6" t="s">
        <v>191</v>
      </c>
      <c r="D52" s="16" t="s">
        <v>178</v>
      </c>
    </row>
    <row r="53" spans="1:4">
      <c r="A53" s="6" t="s">
        <v>77</v>
      </c>
      <c r="B53" s="6" t="s">
        <v>191</v>
      </c>
      <c r="C53" s="16" t="s">
        <v>173</v>
      </c>
      <c r="D53" s="16" t="s">
        <v>173</v>
      </c>
    </row>
    <row r="54" spans="1:4">
      <c r="A54" s="6" t="s">
        <v>77</v>
      </c>
      <c r="B54" s="6" t="s">
        <v>191</v>
      </c>
      <c r="C54" s="16" t="s">
        <v>174</v>
      </c>
      <c r="D54" s="16" t="s">
        <v>174</v>
      </c>
    </row>
    <row r="55" spans="1:4">
      <c r="A55" s="6" t="s">
        <v>77</v>
      </c>
      <c r="B55" s="6" t="s">
        <v>191</v>
      </c>
      <c r="C55" s="16" t="s">
        <v>175</v>
      </c>
      <c r="D55" s="16" t="s">
        <v>175</v>
      </c>
    </row>
    <row r="56" spans="1:4">
      <c r="A56" s="6" t="s">
        <v>77</v>
      </c>
      <c r="B56" s="6" t="s">
        <v>191</v>
      </c>
      <c r="C56" s="16" t="s">
        <v>176</v>
      </c>
      <c r="D56" s="16" t="s">
        <v>176</v>
      </c>
    </row>
    <row r="57" spans="1:4">
      <c r="A57" s="6" t="s">
        <v>77</v>
      </c>
      <c r="B57" s="6" t="s">
        <v>191</v>
      </c>
      <c r="C57" s="16" t="s">
        <v>177</v>
      </c>
      <c r="D57" s="16" t="s">
        <v>177</v>
      </c>
    </row>
    <row r="58" spans="1:4">
      <c r="A58" s="6" t="s">
        <v>173</v>
      </c>
      <c r="B58" s="6" t="s">
        <v>173</v>
      </c>
      <c r="C58" s="6" t="s">
        <v>173</v>
      </c>
      <c r="D58" s="6" t="s">
        <v>173</v>
      </c>
    </row>
    <row r="59" spans="1:4">
      <c r="A59" s="6" t="s">
        <v>192</v>
      </c>
      <c r="B59" s="6" t="s">
        <v>192</v>
      </c>
      <c r="C59" s="6" t="s">
        <v>192</v>
      </c>
      <c r="D59" s="6" t="s">
        <v>192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2F7ED-0B61-42D4-9BAE-90EBB48E0FEF}">
  <dimension ref="A1:I60"/>
  <sheetViews>
    <sheetView tabSelected="1" workbookViewId="0">
      <pane xSplit="2" ySplit="1" topLeftCell="C33" activePane="bottomRight" state="frozen"/>
      <selection pane="topRight" activeCell="C1" sqref="C1"/>
      <selection pane="bottomLeft" activeCell="A2" sqref="A2"/>
      <selection pane="bottomRight" activeCell="C36" sqref="C36"/>
    </sheetView>
  </sheetViews>
  <sheetFormatPr baseColWidth="10" defaultColWidth="8.83203125" defaultRowHeight="14"/>
  <cols>
    <col min="1" max="1" width="10.5" style="6" customWidth="1"/>
    <col min="2" max="2" width="29.5" style="6" customWidth="1"/>
    <col min="3" max="3" width="31.5" style="6" customWidth="1"/>
    <col min="4" max="4" width="18.83203125" style="31" customWidth="1"/>
    <col min="5" max="5" width="20.1640625" style="6" customWidth="1"/>
    <col min="6" max="7" width="8.83203125" style="6"/>
    <col min="8" max="8" width="17.33203125" style="6" customWidth="1"/>
    <col min="9" max="9" width="15.1640625" style="6" customWidth="1"/>
    <col min="10" max="10" width="22.5" style="6" customWidth="1"/>
    <col min="11" max="16384" width="8.83203125" style="6"/>
  </cols>
  <sheetData>
    <row r="1" spans="1:5" s="7" customFormat="1">
      <c r="A1" s="7" t="s">
        <v>100</v>
      </c>
      <c r="B1" s="7" t="s">
        <v>101</v>
      </c>
      <c r="C1" s="7" t="s">
        <v>181</v>
      </c>
      <c r="D1" s="30" t="s">
        <v>190</v>
      </c>
    </row>
    <row r="2" spans="1:5">
      <c r="A2" s="6" t="s">
        <v>97</v>
      </c>
      <c r="B2" s="1" t="s">
        <v>86</v>
      </c>
    </row>
    <row r="3" spans="1:5" ht="15">
      <c r="A3" s="6" t="s">
        <v>98</v>
      </c>
      <c r="B3" s="2" t="s">
        <v>87</v>
      </c>
      <c r="C3" s="5" t="s">
        <v>125</v>
      </c>
      <c r="D3" s="31">
        <f>D4++D16+D17</f>
        <v>0</v>
      </c>
    </row>
    <row r="4" spans="1:5" ht="15">
      <c r="A4" s="6" t="s">
        <v>99</v>
      </c>
      <c r="B4" s="3" t="s">
        <v>88</v>
      </c>
      <c r="C4" s="5" t="s">
        <v>125</v>
      </c>
      <c r="D4" s="31">
        <f>D5+D15</f>
        <v>0</v>
      </c>
      <c r="E4" s="5"/>
    </row>
    <row r="5" spans="1:5" ht="15">
      <c r="A5" s="6" t="s">
        <v>103</v>
      </c>
      <c r="B5" s="4" t="s">
        <v>89</v>
      </c>
      <c r="C5" s="5" t="s">
        <v>125</v>
      </c>
      <c r="D5" s="32">
        <f>SUM(D6:D14)</f>
        <v>0</v>
      </c>
      <c r="E5" s="5"/>
    </row>
    <row r="6" spans="1:5" ht="15">
      <c r="A6" s="6" t="s">
        <v>182</v>
      </c>
      <c r="B6" s="28" t="s">
        <v>0</v>
      </c>
      <c r="C6" s="5" t="s">
        <v>125</v>
      </c>
      <c r="D6" s="32"/>
      <c r="E6" s="5"/>
    </row>
    <row r="7" spans="1:5" ht="15">
      <c r="A7" s="6" t="s">
        <v>182</v>
      </c>
      <c r="B7" s="28" t="s">
        <v>183</v>
      </c>
      <c r="C7" s="5" t="s">
        <v>125</v>
      </c>
      <c r="D7" s="32"/>
      <c r="E7" s="5"/>
    </row>
    <row r="8" spans="1:5" ht="15">
      <c r="A8" s="6" t="s">
        <v>182</v>
      </c>
      <c r="B8" s="28" t="s">
        <v>1</v>
      </c>
      <c r="C8" s="5" t="s">
        <v>125</v>
      </c>
      <c r="D8" s="32"/>
      <c r="E8" s="5"/>
    </row>
    <row r="9" spans="1:5" ht="15">
      <c r="A9" s="6" t="s">
        <v>182</v>
      </c>
      <c r="B9" s="28" t="s">
        <v>184</v>
      </c>
      <c r="C9" s="5" t="s">
        <v>125</v>
      </c>
      <c r="D9" s="32"/>
      <c r="E9" s="5"/>
    </row>
    <row r="10" spans="1:5" ht="15">
      <c r="A10" s="6" t="s">
        <v>182</v>
      </c>
      <c r="B10" s="28" t="s">
        <v>3</v>
      </c>
      <c r="C10" s="5" t="s">
        <v>125</v>
      </c>
      <c r="D10" s="32"/>
      <c r="E10" s="5"/>
    </row>
    <row r="11" spans="1:5" ht="15">
      <c r="A11" s="6" t="s">
        <v>182</v>
      </c>
      <c r="B11" s="28" t="s">
        <v>5</v>
      </c>
      <c r="C11" s="5" t="s">
        <v>125</v>
      </c>
      <c r="D11" s="32"/>
      <c r="E11" s="5"/>
    </row>
    <row r="12" spans="1:5" ht="15">
      <c r="A12" s="6" t="s">
        <v>182</v>
      </c>
      <c r="B12" s="28" t="s">
        <v>4</v>
      </c>
      <c r="C12" s="5" t="s">
        <v>125</v>
      </c>
      <c r="D12" s="32"/>
      <c r="E12" s="5"/>
    </row>
    <row r="13" spans="1:5" ht="15">
      <c r="A13" s="6" t="s">
        <v>182</v>
      </c>
      <c r="B13" s="28" t="s">
        <v>2</v>
      </c>
      <c r="C13" s="5" t="s">
        <v>125</v>
      </c>
      <c r="D13" s="32"/>
      <c r="E13" s="5"/>
    </row>
    <row r="14" spans="1:5" ht="15">
      <c r="A14" s="6" t="s">
        <v>182</v>
      </c>
      <c r="B14" s="28" t="s">
        <v>6</v>
      </c>
      <c r="C14" s="5" t="s">
        <v>125</v>
      </c>
      <c r="D14" s="32"/>
      <c r="E14" s="5"/>
    </row>
    <row r="15" spans="1:5" ht="15">
      <c r="A15" s="6" t="s">
        <v>103</v>
      </c>
      <c r="B15" s="4" t="s">
        <v>90</v>
      </c>
      <c r="C15" s="5" t="s">
        <v>125</v>
      </c>
      <c r="D15" s="32"/>
      <c r="E15" s="5"/>
    </row>
    <row r="16" spans="1:5" ht="15">
      <c r="A16" s="6" t="s">
        <v>99</v>
      </c>
      <c r="B16" s="3" t="s">
        <v>91</v>
      </c>
      <c r="C16" s="5" t="s">
        <v>125</v>
      </c>
      <c r="D16" s="32"/>
      <c r="E16" s="5"/>
    </row>
    <row r="17" spans="1:5" ht="15">
      <c r="A17" s="6" t="s">
        <v>99</v>
      </c>
      <c r="B17" s="3" t="s">
        <v>170</v>
      </c>
      <c r="C17" s="5" t="s">
        <v>125</v>
      </c>
      <c r="D17" s="32"/>
      <c r="E17" s="5"/>
    </row>
    <row r="18" spans="1:5" ht="15">
      <c r="A18" s="6" t="s">
        <v>98</v>
      </c>
      <c r="B18" s="2" t="s">
        <v>92</v>
      </c>
      <c r="D18" s="31">
        <f>D19+D20</f>
        <v>0</v>
      </c>
      <c r="E18" s="5"/>
    </row>
    <row r="19" spans="1:5" ht="15">
      <c r="A19" s="6" t="s">
        <v>99</v>
      </c>
      <c r="B19" s="3" t="s">
        <v>29</v>
      </c>
      <c r="C19" s="5"/>
      <c r="E19" s="5"/>
    </row>
    <row r="20" spans="1:5" ht="15">
      <c r="A20" s="6" t="s">
        <v>99</v>
      </c>
      <c r="B20" s="3" t="s">
        <v>93</v>
      </c>
      <c r="D20" s="31">
        <f>SUM(D21:D25)</f>
        <v>0</v>
      </c>
      <c r="E20" s="5"/>
    </row>
    <row r="21" spans="1:5" ht="15">
      <c r="A21" s="6" t="s">
        <v>103</v>
      </c>
      <c r="B21" s="4" t="s">
        <v>15</v>
      </c>
      <c r="C21" s="5" t="s">
        <v>67</v>
      </c>
      <c r="E21" s="5"/>
    </row>
    <row r="22" spans="1:5" ht="15">
      <c r="A22" s="6" t="s">
        <v>103</v>
      </c>
      <c r="B22" s="4" t="s">
        <v>94</v>
      </c>
      <c r="C22" s="5"/>
      <c r="E22" s="5"/>
    </row>
    <row r="23" spans="1:5" ht="15">
      <c r="A23" s="6" t="s">
        <v>103</v>
      </c>
      <c r="B23" s="4" t="s">
        <v>17</v>
      </c>
      <c r="C23" s="5"/>
      <c r="E23" s="5"/>
    </row>
    <row r="24" spans="1:5" ht="15">
      <c r="A24" s="6" t="s">
        <v>103</v>
      </c>
      <c r="B24" s="4" t="s">
        <v>13</v>
      </c>
      <c r="C24" s="5"/>
      <c r="E24" s="5"/>
    </row>
    <row r="25" spans="1:5" ht="15">
      <c r="A25" s="6" t="s">
        <v>103</v>
      </c>
      <c r="B25" s="4" t="s">
        <v>26</v>
      </c>
      <c r="C25" s="5"/>
      <c r="E25" s="5"/>
    </row>
    <row r="26" spans="1:5" ht="15">
      <c r="A26" s="6" t="s">
        <v>98</v>
      </c>
      <c r="B26" s="2" t="s">
        <v>95</v>
      </c>
      <c r="C26" s="34" t="s">
        <v>199</v>
      </c>
      <c r="D26" s="31">
        <f>SUM(D27:D33)</f>
        <v>0</v>
      </c>
      <c r="E26" s="5"/>
    </row>
    <row r="27" spans="1:5">
      <c r="A27" s="6" t="s">
        <v>99</v>
      </c>
      <c r="B27" s="8" t="s">
        <v>12</v>
      </c>
      <c r="C27" s="5" t="s">
        <v>199</v>
      </c>
      <c r="D27" s="33"/>
      <c r="E27" s="5"/>
    </row>
    <row r="28" spans="1:5">
      <c r="A28" s="6" t="s">
        <v>99</v>
      </c>
      <c r="B28" s="8" t="s">
        <v>9</v>
      </c>
      <c r="C28" s="5" t="s">
        <v>199</v>
      </c>
      <c r="E28" s="5"/>
    </row>
    <row r="29" spans="1:5">
      <c r="A29" s="6" t="s">
        <v>99</v>
      </c>
      <c r="B29" s="8" t="s">
        <v>104</v>
      </c>
      <c r="C29" s="5" t="s">
        <v>199</v>
      </c>
      <c r="E29" s="5"/>
    </row>
    <row r="30" spans="1:5">
      <c r="A30" s="6" t="s">
        <v>99</v>
      </c>
      <c r="B30" s="8" t="s">
        <v>185</v>
      </c>
      <c r="C30" s="5" t="s">
        <v>199</v>
      </c>
      <c r="E30" s="5"/>
    </row>
    <row r="31" spans="1:5">
      <c r="A31" s="6" t="s">
        <v>99</v>
      </c>
      <c r="B31" s="8" t="s">
        <v>105</v>
      </c>
      <c r="C31" s="5" t="s">
        <v>199</v>
      </c>
      <c r="E31" s="5"/>
    </row>
    <row r="32" spans="1:5">
      <c r="A32" s="6" t="s">
        <v>99</v>
      </c>
      <c r="B32" s="8" t="s">
        <v>106</v>
      </c>
      <c r="C32" s="5" t="s">
        <v>199</v>
      </c>
      <c r="E32" s="5"/>
    </row>
    <row r="33" spans="1:5">
      <c r="A33" s="6" t="s">
        <v>99</v>
      </c>
      <c r="B33" s="8" t="s">
        <v>107</v>
      </c>
      <c r="C33" s="5" t="s">
        <v>199</v>
      </c>
      <c r="E33" s="5"/>
    </row>
    <row r="34" spans="1:5" ht="15">
      <c r="A34" s="6" t="s">
        <v>98</v>
      </c>
      <c r="B34" s="2" t="s">
        <v>96</v>
      </c>
      <c r="D34" s="31">
        <f>D35+D36+D37+D38</f>
        <v>0</v>
      </c>
    </row>
    <row r="35" spans="1:5" ht="15">
      <c r="A35" s="6" t="s">
        <v>99</v>
      </c>
      <c r="B35" s="3" t="s">
        <v>108</v>
      </c>
      <c r="C35" s="5" t="s">
        <v>122</v>
      </c>
    </row>
    <row r="36" spans="1:5" ht="15">
      <c r="A36" s="6" t="s">
        <v>99</v>
      </c>
      <c r="B36" s="3" t="s">
        <v>109</v>
      </c>
      <c r="C36" s="5"/>
    </row>
    <row r="37" spans="1:5">
      <c r="A37" s="6" t="s">
        <v>99</v>
      </c>
      <c r="B37" s="9" t="s">
        <v>186</v>
      </c>
      <c r="C37" s="5"/>
    </row>
    <row r="38" spans="1:5" ht="15">
      <c r="A38" s="6" t="s">
        <v>99</v>
      </c>
      <c r="B38" s="3" t="s">
        <v>110</v>
      </c>
      <c r="D38" s="31">
        <f>SUM(D39:D60)</f>
        <v>0</v>
      </c>
    </row>
    <row r="39" spans="1:5">
      <c r="A39" s="6" t="s">
        <v>102</v>
      </c>
      <c r="B39" s="10" t="s">
        <v>8</v>
      </c>
      <c r="C39" s="5" t="s">
        <v>122</v>
      </c>
    </row>
    <row r="40" spans="1:5">
      <c r="A40" s="6" t="s">
        <v>102</v>
      </c>
      <c r="B40" s="10" t="s">
        <v>10</v>
      </c>
      <c r="C40" s="5" t="s">
        <v>122</v>
      </c>
    </row>
    <row r="41" spans="1:5">
      <c r="A41" s="6" t="s">
        <v>102</v>
      </c>
      <c r="B41" s="10" t="s">
        <v>7</v>
      </c>
      <c r="C41" s="5" t="s">
        <v>122</v>
      </c>
    </row>
    <row r="42" spans="1:5">
      <c r="A42" s="6" t="s">
        <v>102</v>
      </c>
      <c r="B42" s="10" t="s">
        <v>114</v>
      </c>
      <c r="C42" s="5" t="s">
        <v>122</v>
      </c>
    </row>
    <row r="43" spans="1:5">
      <c r="A43" s="6" t="s">
        <v>102</v>
      </c>
      <c r="B43" s="10" t="s">
        <v>14</v>
      </c>
      <c r="C43" s="5" t="s">
        <v>122</v>
      </c>
    </row>
    <row r="44" spans="1:5">
      <c r="A44" s="6" t="s">
        <v>102</v>
      </c>
      <c r="B44" s="10" t="s">
        <v>118</v>
      </c>
      <c r="C44" s="5" t="s">
        <v>122</v>
      </c>
    </row>
    <row r="45" spans="1:5">
      <c r="A45" s="6" t="s">
        <v>102</v>
      </c>
      <c r="B45" s="10" t="s">
        <v>187</v>
      </c>
      <c r="C45" s="5" t="s">
        <v>122</v>
      </c>
    </row>
    <row r="46" spans="1:5">
      <c r="A46" s="6" t="s">
        <v>102</v>
      </c>
      <c r="B46" s="10" t="s">
        <v>188</v>
      </c>
      <c r="C46" s="5" t="s">
        <v>122</v>
      </c>
    </row>
    <row r="47" spans="1:5">
      <c r="A47" s="6" t="s">
        <v>102</v>
      </c>
      <c r="B47" s="10" t="s">
        <v>119</v>
      </c>
      <c r="C47" s="5" t="s">
        <v>123</v>
      </c>
    </row>
    <row r="48" spans="1:5">
      <c r="A48" s="6" t="s">
        <v>102</v>
      </c>
      <c r="B48" s="10" t="s">
        <v>115</v>
      </c>
      <c r="C48" s="5" t="s">
        <v>123</v>
      </c>
    </row>
    <row r="49" spans="1:9">
      <c r="A49" s="6" t="s">
        <v>102</v>
      </c>
      <c r="B49" s="10" t="s">
        <v>189</v>
      </c>
      <c r="C49" s="5" t="s">
        <v>123</v>
      </c>
    </row>
    <row r="50" spans="1:9" ht="15">
      <c r="A50" s="6" t="s">
        <v>102</v>
      </c>
      <c r="B50" s="10" t="s">
        <v>11</v>
      </c>
      <c r="C50" s="5" t="s">
        <v>124</v>
      </c>
      <c r="F50" s="29"/>
      <c r="H50" s="29"/>
      <c r="I50" s="29"/>
    </row>
    <row r="51" spans="1:9">
      <c r="A51" s="6" t="s">
        <v>102</v>
      </c>
      <c r="B51" s="10" t="s">
        <v>16</v>
      </c>
      <c r="C51" s="5" t="s">
        <v>124</v>
      </c>
    </row>
    <row r="52" spans="1:9">
      <c r="A52" s="6" t="s">
        <v>102</v>
      </c>
      <c r="B52" s="10" t="s">
        <v>19</v>
      </c>
      <c r="C52" s="5" t="s">
        <v>198</v>
      </c>
    </row>
    <row r="53" spans="1:9">
      <c r="A53" s="6" t="s">
        <v>102</v>
      </c>
      <c r="B53" s="10" t="s">
        <v>18</v>
      </c>
      <c r="C53" s="5" t="s">
        <v>198</v>
      </c>
    </row>
    <row r="54" spans="1:9">
      <c r="A54" s="6" t="s">
        <v>102</v>
      </c>
      <c r="B54" s="10" t="s">
        <v>116</v>
      </c>
      <c r="C54" s="5" t="s">
        <v>198</v>
      </c>
    </row>
    <row r="55" spans="1:9">
      <c r="A55" s="6" t="s">
        <v>102</v>
      </c>
      <c r="B55" s="10" t="s">
        <v>111</v>
      </c>
      <c r="C55" s="5"/>
    </row>
    <row r="56" spans="1:9">
      <c r="A56" s="6" t="s">
        <v>102</v>
      </c>
      <c r="B56" s="10" t="s">
        <v>112</v>
      </c>
      <c r="C56" s="5"/>
    </row>
    <row r="57" spans="1:9">
      <c r="A57" s="6" t="s">
        <v>102</v>
      </c>
      <c r="B57" s="10" t="s">
        <v>120</v>
      </c>
      <c r="C57" s="5"/>
    </row>
    <row r="58" spans="1:9">
      <c r="A58" s="6" t="s">
        <v>102</v>
      </c>
      <c r="B58" s="10" t="s">
        <v>121</v>
      </c>
      <c r="C58" s="5"/>
    </row>
    <row r="59" spans="1:9">
      <c r="A59" s="6" t="s">
        <v>102</v>
      </c>
      <c r="B59" s="10" t="s">
        <v>113</v>
      </c>
      <c r="C59" s="5"/>
    </row>
    <row r="60" spans="1:9">
      <c r="A60" s="6" t="s">
        <v>102</v>
      </c>
      <c r="B60" s="10" t="s">
        <v>117</v>
      </c>
      <c r="C60" s="5"/>
    </row>
  </sheetData>
  <phoneticPr fontId="1" type="noConversion"/>
  <conditionalFormatting sqref="B3:B26">
    <cfRule type="cellIs" dxfId="3" priority="1" operator="lessThan">
      <formula>0</formula>
    </cfRule>
  </conditionalFormatting>
  <conditionalFormatting sqref="B34:B38">
    <cfRule type="cellIs" dxfId="2" priority="2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8EB26-C234-4C21-AA5F-25D5D8092B24}">
  <dimension ref="A1:AB23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D20" sqref="D20"/>
    </sheetView>
  </sheetViews>
  <sheetFormatPr baseColWidth="10" defaultColWidth="8.83203125" defaultRowHeight="14"/>
  <cols>
    <col min="1" max="1" width="34.5" style="16" customWidth="1"/>
    <col min="2" max="2" width="12.83203125" style="16" customWidth="1"/>
    <col min="3" max="3" width="18.5" style="16" customWidth="1"/>
    <col min="4" max="4" width="22.6640625" style="16" customWidth="1"/>
    <col min="5" max="5" width="19.1640625" style="16" customWidth="1"/>
    <col min="6" max="28" width="16.6640625" style="16" customWidth="1"/>
    <col min="29" max="16384" width="8.83203125" style="16"/>
  </cols>
  <sheetData>
    <row r="1" spans="1:28" s="15" customFormat="1" ht="15">
      <c r="A1" s="35" t="s">
        <v>179</v>
      </c>
      <c r="B1" s="37" t="s">
        <v>169</v>
      </c>
      <c r="C1" s="37" t="s">
        <v>166</v>
      </c>
      <c r="D1" s="37" t="s">
        <v>157</v>
      </c>
      <c r="E1" s="36" t="s">
        <v>167</v>
      </c>
      <c r="F1" s="35" t="s">
        <v>126</v>
      </c>
      <c r="G1" s="35"/>
      <c r="H1" s="35"/>
      <c r="I1" s="35"/>
      <c r="J1" s="35"/>
      <c r="K1" s="35"/>
      <c r="L1" s="35"/>
      <c r="M1" s="35"/>
      <c r="N1" s="35"/>
      <c r="O1" s="35"/>
      <c r="P1" s="35"/>
      <c r="Q1" s="18" t="s">
        <v>127</v>
      </c>
      <c r="R1" s="18"/>
      <c r="S1" s="19" t="s">
        <v>127</v>
      </c>
      <c r="T1" s="19"/>
      <c r="U1" s="19"/>
      <c r="V1" s="19"/>
      <c r="W1" s="19"/>
      <c r="X1" s="19"/>
      <c r="Y1" s="19"/>
      <c r="Z1" s="19"/>
      <c r="AA1" s="19"/>
      <c r="AB1" s="19"/>
    </row>
    <row r="2" spans="1:28" ht="15">
      <c r="A2" s="36"/>
      <c r="B2" s="37"/>
      <c r="C2" s="37"/>
      <c r="D2" s="37"/>
      <c r="E2" s="36"/>
      <c r="F2" s="20" t="s">
        <v>128</v>
      </c>
      <c r="G2" s="20" t="s">
        <v>129</v>
      </c>
      <c r="H2" s="20" t="s">
        <v>130</v>
      </c>
      <c r="I2" s="20" t="s">
        <v>131</v>
      </c>
      <c r="J2" s="20" t="s">
        <v>132</v>
      </c>
      <c r="K2" s="20" t="s">
        <v>133</v>
      </c>
      <c r="L2" s="20" t="s">
        <v>134</v>
      </c>
      <c r="M2" s="20" t="s">
        <v>135</v>
      </c>
      <c r="N2" s="20" t="s">
        <v>136</v>
      </c>
      <c r="O2" s="20" t="s">
        <v>137</v>
      </c>
      <c r="P2" s="20" t="s">
        <v>73</v>
      </c>
      <c r="Q2" s="20" t="s">
        <v>128</v>
      </c>
      <c r="R2" s="20" t="s">
        <v>129</v>
      </c>
      <c r="S2" s="20" t="s">
        <v>130</v>
      </c>
      <c r="T2" s="20" t="s">
        <v>131</v>
      </c>
      <c r="U2" s="20" t="s">
        <v>132</v>
      </c>
      <c r="V2" s="20" t="s">
        <v>133</v>
      </c>
      <c r="W2" s="20" t="s">
        <v>134</v>
      </c>
      <c r="X2" s="20" t="s">
        <v>135</v>
      </c>
      <c r="Y2" s="20" t="s">
        <v>138</v>
      </c>
      <c r="Z2" s="20" t="s">
        <v>136</v>
      </c>
      <c r="AA2" s="20" t="s">
        <v>137</v>
      </c>
      <c r="AB2" s="20" t="s">
        <v>73</v>
      </c>
    </row>
    <row r="3" spans="1:28" ht="15">
      <c r="A3" s="17" t="s">
        <v>168</v>
      </c>
      <c r="B3" s="21" t="s">
        <v>139</v>
      </c>
      <c r="C3" s="21"/>
      <c r="D3" s="22" t="s">
        <v>156</v>
      </c>
      <c r="E3" s="22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spans="1:28" ht="15">
      <c r="A4" s="17" t="s">
        <v>168</v>
      </c>
      <c r="B4" s="21"/>
      <c r="C4" s="21"/>
      <c r="D4" s="23" t="s">
        <v>158</v>
      </c>
      <c r="E4" s="26" t="s">
        <v>171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spans="1:28" ht="15">
      <c r="A5" s="17" t="s">
        <v>168</v>
      </c>
      <c r="B5" s="21"/>
      <c r="C5" s="21"/>
      <c r="D5" s="23" t="s">
        <v>159</v>
      </c>
      <c r="E5" s="23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spans="1:28" ht="15">
      <c r="A6" s="17" t="s">
        <v>168</v>
      </c>
      <c r="B6" s="21"/>
      <c r="C6" s="21" t="s">
        <v>163</v>
      </c>
      <c r="D6" s="24" t="s">
        <v>90</v>
      </c>
      <c r="E6" s="24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spans="1:28" ht="15">
      <c r="A7" s="17" t="s">
        <v>168</v>
      </c>
      <c r="B7" s="21"/>
      <c r="C7" s="21" t="s">
        <v>164</v>
      </c>
      <c r="D7" s="24" t="s">
        <v>162</v>
      </c>
      <c r="E7" s="24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1:28" ht="15">
      <c r="A8" s="17" t="s">
        <v>168</v>
      </c>
      <c r="B8" s="21"/>
      <c r="C8" s="21" t="s">
        <v>165</v>
      </c>
      <c r="D8" s="24" t="s">
        <v>170</v>
      </c>
      <c r="E8" s="24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spans="1:28" ht="15">
      <c r="A9" s="17" t="s">
        <v>168</v>
      </c>
      <c r="B9" s="21" t="s">
        <v>146</v>
      </c>
      <c r="C9" s="21"/>
      <c r="D9" s="22" t="s">
        <v>29</v>
      </c>
      <c r="E9" s="22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spans="1:28" ht="15">
      <c r="A10" s="17" t="s">
        <v>168</v>
      </c>
      <c r="B10" s="21" t="s">
        <v>149</v>
      </c>
      <c r="C10" s="21"/>
      <c r="D10" s="22" t="s">
        <v>25</v>
      </c>
      <c r="E10" s="22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1:28" ht="15">
      <c r="A11" s="17" t="s">
        <v>168</v>
      </c>
      <c r="B11" s="21" t="s">
        <v>150</v>
      </c>
      <c r="C11" s="21"/>
      <c r="D11" s="22" t="s">
        <v>151</v>
      </c>
      <c r="E11" s="22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spans="1:28" ht="15">
      <c r="A12" s="17" t="s">
        <v>168</v>
      </c>
      <c r="B12" s="21"/>
      <c r="C12" s="21"/>
      <c r="D12" s="25" t="s">
        <v>160</v>
      </c>
      <c r="E12" s="26" t="s">
        <v>172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spans="1:28" ht="15">
      <c r="A13" s="17" t="s">
        <v>168</v>
      </c>
      <c r="B13" s="21"/>
      <c r="C13" s="21"/>
      <c r="D13" s="25" t="s">
        <v>161</v>
      </c>
      <c r="E13" s="25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pans="1:28" ht="15">
      <c r="A14" s="17" t="s">
        <v>168</v>
      </c>
      <c r="B14" s="21"/>
      <c r="C14" s="21" t="s">
        <v>163</v>
      </c>
      <c r="D14" s="24" t="s">
        <v>90</v>
      </c>
      <c r="E14" s="24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spans="1:28" ht="15">
      <c r="A15" s="17" t="s">
        <v>168</v>
      </c>
      <c r="B15" s="21"/>
      <c r="C15" s="21" t="s">
        <v>164</v>
      </c>
      <c r="D15" s="24" t="s">
        <v>162</v>
      </c>
      <c r="E15" s="24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spans="1:28" ht="15">
      <c r="A16" s="17" t="s">
        <v>168</v>
      </c>
      <c r="B16" s="21"/>
      <c r="C16" s="21" t="s">
        <v>165</v>
      </c>
      <c r="D16" s="24" t="s">
        <v>170</v>
      </c>
      <c r="E16" s="24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spans="1:28" ht="15">
      <c r="A17" s="17" t="s">
        <v>168</v>
      </c>
      <c r="B17" s="21" t="s">
        <v>154</v>
      </c>
      <c r="C17" s="21"/>
      <c r="D17" s="22" t="s">
        <v>155</v>
      </c>
      <c r="E17" s="22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spans="1:28" ht="15">
      <c r="A18" s="17" t="s">
        <v>168</v>
      </c>
      <c r="B18" s="21" t="s">
        <v>152</v>
      </c>
      <c r="C18" s="21"/>
      <c r="D18" s="22" t="s">
        <v>153</v>
      </c>
      <c r="E18" s="22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spans="1:28" ht="15">
      <c r="A19" s="17" t="s">
        <v>168</v>
      </c>
      <c r="B19" s="21" t="s">
        <v>140</v>
      </c>
      <c r="C19" s="21"/>
      <c r="D19" s="22" t="s">
        <v>141</v>
      </c>
      <c r="E19" s="22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spans="1:28" ht="15">
      <c r="A20" s="17" t="s">
        <v>168</v>
      </c>
      <c r="B20" s="21" t="s">
        <v>147</v>
      </c>
      <c r="C20" s="21"/>
      <c r="D20" s="22" t="s">
        <v>148</v>
      </c>
      <c r="E20" s="22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spans="1:28" ht="15">
      <c r="A21" s="17" t="s">
        <v>168</v>
      </c>
      <c r="B21" s="21" t="s">
        <v>142</v>
      </c>
      <c r="C21" s="21"/>
      <c r="D21" s="22" t="s">
        <v>143</v>
      </c>
      <c r="E21" s="22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spans="1:28" ht="15">
      <c r="A22" s="17" t="s">
        <v>168</v>
      </c>
      <c r="B22" s="21" t="s">
        <v>145</v>
      </c>
      <c r="C22" s="21"/>
      <c r="D22" s="22" t="s">
        <v>27</v>
      </c>
      <c r="E22" s="22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 spans="1:28" ht="15">
      <c r="A23" s="17" t="s">
        <v>168</v>
      </c>
      <c r="B23" s="21" t="s">
        <v>144</v>
      </c>
      <c r="C23" s="21"/>
      <c r="D23" s="22" t="s">
        <v>28</v>
      </c>
      <c r="E23" s="22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</sheetData>
  <mergeCells count="6">
    <mergeCell ref="A1:A2"/>
    <mergeCell ref="F1:P1"/>
    <mergeCell ref="D1:D2"/>
    <mergeCell ref="C1:C2"/>
    <mergeCell ref="B1:B2"/>
    <mergeCell ref="E1:E2"/>
  </mergeCells>
  <phoneticPr fontId="1" type="noConversion"/>
  <conditionalFormatting sqref="B1:D1">
    <cfRule type="cellIs" dxfId="1" priority="7" operator="lessThan">
      <formula>0</formula>
    </cfRule>
  </conditionalFormatting>
  <conditionalFormatting sqref="B3:E18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预算部门</vt:lpstr>
      <vt:lpstr>部门预算科目</vt:lpstr>
      <vt:lpstr>产品预算科目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yingdzhou(周英栋)</dc:creator>
  <cp:lastModifiedBy>yukypan(潘莉妮）</cp:lastModifiedBy>
  <dcterms:created xsi:type="dcterms:W3CDTF">2022-05-10T15:24:57Z</dcterms:created>
  <dcterms:modified xsi:type="dcterms:W3CDTF">2026-05-07T15:29:25Z</dcterms:modified>
</cp:coreProperties>
</file>