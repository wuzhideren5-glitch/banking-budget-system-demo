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 activeTab="2"/>
  </bookViews>
  <sheets>
    <sheet name="B01企业金融业务状况表" sheetId="1" r:id="rId1"/>
    <sheet name="B01企业金融业务支出评估" sheetId="2" r:id="rId2"/>
    <sheet name="AA微众银行业务状况表" sheetId="3" r:id="rId3"/>
    <sheet name="AA微众银行业务支出评估" sheetId="4" r:id="rId4"/>
    <sheet name="AA微众银行损益表" sheetId="5" r:id="rId5"/>
    <sheet name="AA微众银行资产质量表" sheetId="6" r:id="rId6"/>
    <sheet name="AA微众银行利息净收入表" sheetId="7" r:id="rId7"/>
    <sheet name="A个金群业务状况表" sheetId="8" r:id="rId8"/>
    <sheet name="A个金群业务支出评估" sheetId="9" r:id="rId9"/>
    <sheet name="A01泛微粒贷业务状况表" sheetId="10" r:id="rId10"/>
    <sheet name="A01泛微粒贷业务支出评估" sheetId="11" r:id="rId11"/>
    <sheet name="A02微账户业务状况表" sheetId="12" r:id="rId12"/>
    <sheet name="A02微账户业务支出评估" sheetId="13" r:id="rId13"/>
    <sheet name="A03汽车金融业务状况表" sheetId="14" r:id="rId14"/>
    <sheet name="A03汽车金融业务支出评估" sheetId="15" r:id="rId15"/>
    <sheet name="A04财富业务状况表" sheetId="16" r:id="rId16"/>
    <sheet name="A04财富业务支出评估" sheetId="17" r:id="rId17"/>
    <sheet name="A05小鹅业务状况表" sheetId="18" r:id="rId18"/>
    <sheet name="A05小鹅业务支出评估" sheetId="19" r:id="rId19"/>
    <sheet name="B企金群业务状况表" sheetId="20" r:id="rId20"/>
    <sheet name="B企金群业务支出评估" sheetId="21" r:id="rId21"/>
    <sheet name="B02金融市场业务状况表" sheetId="22" r:id="rId22"/>
    <sheet name="B02金融市场业务支出评估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<sst xmlns="http://schemas.openxmlformats.org/spreadsheetml/2006/main" count="8941" uniqueCount="2354">
  <si>
    <t>科目层级</t>
  </si>
  <si>
    <t>科目性质</t>
  </si>
  <si>
    <t>科目代码</t>
  </si>
  <si>
    <t>科目名称</t>
  </si>
  <si>
    <t>25年实际</t>
  </si>
  <si>
    <t>26年预算</t>
  </si>
  <si>
    <t>26年预测</t>
  </si>
  <si>
    <t>26年1月实际</t>
  </si>
  <si>
    <t>26年2月实际</t>
  </si>
  <si>
    <t>26年3月实际</t>
  </si>
  <si>
    <t>26年4月预测</t>
  </si>
  <si>
    <t>26年5月预测</t>
  </si>
  <si>
    <t>26年6月预测</t>
  </si>
  <si>
    <t>26年7月预测</t>
  </si>
  <si>
    <t>26年8月预测</t>
  </si>
  <si>
    <t>26年9月预测</t>
  </si>
  <si>
    <t>26年10月预测</t>
  </si>
  <si>
    <t>26年11月预测</t>
  </si>
  <si>
    <t>26年12月预测</t>
  </si>
  <si>
    <t>二级</t>
  </si>
  <si>
    <t>收入</t>
  </si>
  <si>
    <t>B01.01</t>
  </si>
  <si>
    <t>营业收入</t>
  </si>
  <si>
    <t>三级</t>
  </si>
  <si>
    <t>B01.01.01</t>
  </si>
  <si>
    <t>利息净收入</t>
  </si>
  <si>
    <t>四级</t>
  </si>
  <si>
    <t>B01.01.01.01</t>
  </si>
  <si>
    <t>资产业务</t>
  </si>
  <si>
    <t>B01.01.01.02</t>
  </si>
  <si>
    <t>负债业务</t>
  </si>
  <si>
    <t>B01.01.02</t>
  </si>
  <si>
    <t>手续费净收入</t>
  </si>
  <si>
    <t>B01.01.03</t>
  </si>
  <si>
    <t>其他营收</t>
  </si>
  <si>
    <t>支出</t>
  </si>
  <si>
    <t>B01.02</t>
  </si>
  <si>
    <t>减:风险成本</t>
  </si>
  <si>
    <t>B01.03</t>
  </si>
  <si>
    <t>净收入</t>
  </si>
  <si>
    <t>B01.04</t>
  </si>
  <si>
    <t>减:税金及附加</t>
  </si>
  <si>
    <t>B01.05</t>
  </si>
  <si>
    <t>减:直接费用</t>
  </si>
  <si>
    <t>B01.05.01</t>
  </si>
  <si>
    <t>人力费用(不含IT)</t>
  </si>
  <si>
    <t>B01.05.01.01</t>
  </si>
  <si>
    <t>常规人力</t>
  </si>
  <si>
    <t>B01.05.01.02</t>
  </si>
  <si>
    <t>特别人力</t>
  </si>
  <si>
    <t>B01.05.02</t>
  </si>
  <si>
    <t>业务费用</t>
  </si>
  <si>
    <t>B01.05.02.01</t>
  </si>
  <si>
    <t>营销费用</t>
  </si>
  <si>
    <t>B01.05.02.02</t>
  </si>
  <si>
    <t>运营费用</t>
  </si>
  <si>
    <t>B01.05.03</t>
  </si>
  <si>
    <t>IT费用</t>
  </si>
  <si>
    <t>B01.05.03.01</t>
  </si>
  <si>
    <t>IT人力</t>
  </si>
  <si>
    <t>五级</t>
  </si>
  <si>
    <t>B01.05.03.01.01</t>
  </si>
  <si>
    <t>IT常规人力</t>
  </si>
  <si>
    <t>B01.05.03.01.02</t>
  </si>
  <si>
    <t>IT特别人力</t>
  </si>
  <si>
    <t>B01.05.03.02</t>
  </si>
  <si>
    <t>科技费用</t>
  </si>
  <si>
    <t>B01.05.03.03</t>
  </si>
  <si>
    <t>IT职场</t>
  </si>
  <si>
    <t>B01.05.03.04</t>
  </si>
  <si>
    <t>IT日常</t>
  </si>
  <si>
    <t>B01.05.04</t>
  </si>
  <si>
    <t>职场费用</t>
  </si>
  <si>
    <t>B01.05.05</t>
  </si>
  <si>
    <t>日常费用</t>
  </si>
  <si>
    <t>B01.06</t>
  </si>
  <si>
    <t>加:营业外净收入</t>
  </si>
  <si>
    <t>利润</t>
  </si>
  <si>
    <t>B01.07</t>
  </si>
  <si>
    <t>分摊前利润</t>
  </si>
  <si>
    <t>B01.08</t>
  </si>
  <si>
    <t>减:固定管理费</t>
  </si>
  <si>
    <t>B01.09</t>
  </si>
  <si>
    <t>税前利润</t>
  </si>
  <si>
    <t>资产余额</t>
  </si>
  <si>
    <t>B01.10</t>
  </si>
  <si>
    <t>管理贷款余额</t>
  </si>
  <si>
    <t>B01.10.01</t>
  </si>
  <si>
    <t>自持余额</t>
  </si>
  <si>
    <t>B01.10.01.01</t>
  </si>
  <si>
    <t>一般贷款</t>
  </si>
  <si>
    <t>B01.10.01.01.01</t>
  </si>
  <si>
    <t>常规部分</t>
  </si>
  <si>
    <t>B01.10.01.01.02</t>
  </si>
  <si>
    <t>战略部分</t>
  </si>
  <si>
    <t>B01.10.01.02</t>
  </si>
  <si>
    <t>票据融资</t>
  </si>
  <si>
    <t>B01.10.01.02.01</t>
  </si>
  <si>
    <t>票据贴现</t>
  </si>
  <si>
    <t>B01.10.01.02.02</t>
  </si>
  <si>
    <t>贸易融资</t>
  </si>
  <si>
    <t>B01.10.02</t>
  </si>
  <si>
    <t>联贷</t>
  </si>
  <si>
    <t>B01.10.03</t>
  </si>
  <si>
    <t>流转</t>
  </si>
  <si>
    <t>B01.10.03.01</t>
  </si>
  <si>
    <t>ABS</t>
  </si>
  <si>
    <t>B01.10.03.02</t>
  </si>
  <si>
    <t>ABN</t>
  </si>
  <si>
    <t>B01.10.03.03</t>
  </si>
  <si>
    <t>债转</t>
  </si>
  <si>
    <t>B01.10.04</t>
  </si>
  <si>
    <t>银承保函</t>
  </si>
  <si>
    <t>资产日均</t>
  </si>
  <si>
    <t>B01.11</t>
  </si>
  <si>
    <t>管理贷款日均</t>
  </si>
  <si>
    <t>B01.11.01</t>
  </si>
  <si>
    <t>自持</t>
  </si>
  <si>
    <t>B01.11.01.01</t>
  </si>
  <si>
    <t>B01.11.01.01.01</t>
  </si>
  <si>
    <t>B01.11.01.01.02</t>
  </si>
  <si>
    <t>B01.11.01.02</t>
  </si>
  <si>
    <t>B01.11.01.02.01</t>
  </si>
  <si>
    <t>B01.11.01.02.02</t>
  </si>
  <si>
    <t>B01.11.02</t>
  </si>
  <si>
    <t>B01.11.03</t>
  </si>
  <si>
    <t>B01.11.03.01</t>
  </si>
  <si>
    <t>B01.11.03.02</t>
  </si>
  <si>
    <t>B01.11.03.03</t>
  </si>
  <si>
    <t>B01.11.04</t>
  </si>
  <si>
    <t>负债余额</t>
  </si>
  <si>
    <t>B01.12</t>
  </si>
  <si>
    <t>管理资产余额</t>
  </si>
  <si>
    <t>B01.12.01</t>
  </si>
  <si>
    <t>存款余额</t>
  </si>
  <si>
    <t>B01.12.01.01</t>
  </si>
  <si>
    <t>常规存款</t>
  </si>
  <si>
    <t>B01.12.01.02</t>
  </si>
  <si>
    <t>银承保函保证金</t>
  </si>
  <si>
    <t>B01.12.02</t>
  </si>
  <si>
    <t>代销理财</t>
  </si>
  <si>
    <t>B01.13</t>
  </si>
  <si>
    <t>管理资产日均</t>
  </si>
  <si>
    <t>负债日均</t>
  </si>
  <si>
    <t>B01.13.01</t>
  </si>
  <si>
    <t>存款日均</t>
  </si>
  <si>
    <t>B01.13.01.01</t>
  </si>
  <si>
    <t>B01.13.01.02</t>
  </si>
  <si>
    <t>B01.13.02</t>
  </si>
  <si>
    <t>代销理财日均</t>
  </si>
  <si>
    <t>B01.24</t>
  </si>
  <si>
    <t>同业资产余额</t>
  </si>
  <si>
    <t>B01.24.01</t>
  </si>
  <si>
    <t>存放同业</t>
  </si>
  <si>
    <t>B01.24.03</t>
  </si>
  <si>
    <t>买入返售</t>
  </si>
  <si>
    <t>B01.24.04</t>
  </si>
  <si>
    <t>债券投资</t>
  </si>
  <si>
    <t>B01.24.04.09</t>
  </si>
  <si>
    <t>B01.25</t>
  </si>
  <si>
    <t>同业资产日均</t>
  </si>
  <si>
    <t>B01.25.01</t>
  </si>
  <si>
    <t>B01.25.03</t>
  </si>
  <si>
    <t>B01.25.04</t>
  </si>
  <si>
    <t>B01.25.04.09</t>
  </si>
  <si>
    <t>B01.26</t>
  </si>
  <si>
    <t>同业负债余额</t>
  </si>
  <si>
    <t>B01.26.02</t>
  </si>
  <si>
    <t>同业存放</t>
  </si>
  <si>
    <t>B01.26.05</t>
  </si>
  <si>
    <t>卖出回购</t>
  </si>
  <si>
    <t>B01.27</t>
  </si>
  <si>
    <t>同业负债日均</t>
  </si>
  <si>
    <t>B01.27.02</t>
  </si>
  <si>
    <t>B01.27.05</t>
  </si>
  <si>
    <t>B01.14</t>
  </si>
  <si>
    <t>利息收入</t>
  </si>
  <si>
    <t>B01.14.01</t>
  </si>
  <si>
    <t>贷款利息收入</t>
  </si>
  <si>
    <t>其他</t>
  </si>
  <si>
    <t>B01.14.01.01</t>
  </si>
  <si>
    <t>贷款账面收息率</t>
  </si>
  <si>
    <t>B01.14.01.02</t>
  </si>
  <si>
    <t>贷款还原收息率</t>
  </si>
  <si>
    <t>B01.14.01.03</t>
  </si>
  <si>
    <t>一般贷款利息收入</t>
  </si>
  <si>
    <t>B01.14.01.03.01</t>
  </si>
  <si>
    <t>一般贷款账面收息率</t>
  </si>
  <si>
    <t>B01.14.01.03.02</t>
  </si>
  <si>
    <t>一般贷款还原收息率</t>
  </si>
  <si>
    <t>B01.14.01.03.03</t>
  </si>
  <si>
    <t>常规部分利息收入</t>
  </si>
  <si>
    <t>六级</t>
  </si>
  <si>
    <t>B01.14.01.03.03.01</t>
  </si>
  <si>
    <t>常规账面收息率</t>
  </si>
  <si>
    <t>B01.14.01.03.03.02</t>
  </si>
  <si>
    <t>常规还原利息收入</t>
  </si>
  <si>
    <t>B01.14.01.03.03.03</t>
  </si>
  <si>
    <t>常规还原收息率</t>
  </si>
  <si>
    <t>B01.14.01.03.03.04</t>
  </si>
  <si>
    <t>清仓回购利息收入</t>
  </si>
  <si>
    <t>B01.14.01.03.03.05</t>
  </si>
  <si>
    <t>渠道费抵减利息收入</t>
  </si>
  <si>
    <t>B01.14.01.03.03.06</t>
  </si>
  <si>
    <t>增值税回冲</t>
  </si>
  <si>
    <t>B01.14.01.03.04</t>
  </si>
  <si>
    <t>战略部分利息收入</t>
  </si>
  <si>
    <t>B01.14.01.03.04.01</t>
  </si>
  <si>
    <t>战略账面收息率</t>
  </si>
  <si>
    <t>B01.14.01.03.04.02</t>
  </si>
  <si>
    <t>战略还原利息收入</t>
  </si>
  <si>
    <t>B01.14.01.03.04.03</t>
  </si>
  <si>
    <t>战略还原收息率</t>
  </si>
  <si>
    <t>B01.14.01.03.04.04</t>
  </si>
  <si>
    <t>B01.14.01.03.04.05</t>
  </si>
  <si>
    <t>B01.14.01.03.04.06</t>
  </si>
  <si>
    <t>B01.14.01.04</t>
  </si>
  <si>
    <t>票据贴现利息收入</t>
  </si>
  <si>
    <t>B01.14.01.04.01</t>
  </si>
  <si>
    <t>票据贴现收息率</t>
  </si>
  <si>
    <t>B01.14.01.05</t>
  </si>
  <si>
    <t>贸易融资利息收入</t>
  </si>
  <si>
    <t>B01.14.01.05.01</t>
  </si>
  <si>
    <t>贸易融资收息率</t>
  </si>
  <si>
    <t>B01.14.02</t>
  </si>
  <si>
    <t>金融机构往来利息收入</t>
  </si>
  <si>
    <t>B01.14.02.02</t>
  </si>
  <si>
    <t>存放同业利息收入</t>
  </si>
  <si>
    <t>B01.14.02.02.01</t>
  </si>
  <si>
    <t>存放同业收息率</t>
  </si>
  <si>
    <t>B01.14.02.04</t>
  </si>
  <si>
    <t>买入返售利息收入</t>
  </si>
  <si>
    <t>B01.14.02.04.01</t>
  </si>
  <si>
    <t>买入返售收息率</t>
  </si>
  <si>
    <t>B01.14.03</t>
  </si>
  <si>
    <t>投资利息收入</t>
  </si>
  <si>
    <t>B01.14.03.09</t>
  </si>
  <si>
    <t>ABS投资利息收入</t>
  </si>
  <si>
    <t>B01.14.03.09.01</t>
  </si>
  <si>
    <t>ABS收息率</t>
  </si>
  <si>
    <t>B01.15</t>
  </si>
  <si>
    <t>FTP成本</t>
  </si>
  <si>
    <t>B01.15.01</t>
  </si>
  <si>
    <t>贷款FTP成本</t>
  </si>
  <si>
    <t>B01.15.01.01</t>
  </si>
  <si>
    <t>一般贷款FTP成本</t>
  </si>
  <si>
    <t>B01.15.01.01.01</t>
  </si>
  <si>
    <t>一般贷款FTP</t>
  </si>
  <si>
    <t>B01.15.01.01.02</t>
  </si>
  <si>
    <t>常规部分FTP成本</t>
  </si>
  <si>
    <t>B01.15.01.01.02.01</t>
  </si>
  <si>
    <t>常规部分FTP</t>
  </si>
  <si>
    <t>B01.15.01.01.03</t>
  </si>
  <si>
    <t>战略部分FTP成本</t>
  </si>
  <si>
    <t>B01.15.01.01.03.01</t>
  </si>
  <si>
    <t>战略部分FTP</t>
  </si>
  <si>
    <t>B01.15.01.02</t>
  </si>
  <si>
    <t>票据贴现FTP成本</t>
  </si>
  <si>
    <t>B01.15.01.02.01</t>
  </si>
  <si>
    <t>票据贴现FTP</t>
  </si>
  <si>
    <t>B01.15.01.03</t>
  </si>
  <si>
    <t>贸易融资FTP成本</t>
  </si>
  <si>
    <t>B01.15.01.03.01</t>
  </si>
  <si>
    <t>贸易融资FTP</t>
  </si>
  <si>
    <t>B01.15.02</t>
  </si>
  <si>
    <t>金融机构往来FTP成本</t>
  </si>
  <si>
    <t>B01.15.02.02</t>
  </si>
  <si>
    <t>存放同业FTP成本</t>
  </si>
  <si>
    <t>B01.15.02.02.01</t>
  </si>
  <si>
    <t>存放同业FTP</t>
  </si>
  <si>
    <t>B01.15.02.04</t>
  </si>
  <si>
    <t>买入返售FTP成本</t>
  </si>
  <si>
    <t>B01.15.02.04.01</t>
  </si>
  <si>
    <t>买入返售FTP</t>
  </si>
  <si>
    <t>B01.15.03</t>
  </si>
  <si>
    <t>投资FTP成本</t>
  </si>
  <si>
    <t>B01.15.03.09</t>
  </si>
  <si>
    <t>ABS投资FTP成本</t>
  </si>
  <si>
    <t>B01.15.03.09.01</t>
  </si>
  <si>
    <t>ABS投资FTP</t>
  </si>
  <si>
    <t>B01.15.99</t>
  </si>
  <si>
    <t>其他FTP成本</t>
  </si>
  <si>
    <t>B01.15.99.01</t>
  </si>
  <si>
    <t>流动性备付FTP成本</t>
  </si>
  <si>
    <t>B01.16</t>
  </si>
  <si>
    <t>利息支出</t>
  </si>
  <si>
    <t>B01.16.01</t>
  </si>
  <si>
    <t>存款利息支出</t>
  </si>
  <si>
    <t>B01.16.01.01</t>
  </si>
  <si>
    <t>存款付息率</t>
  </si>
  <si>
    <t>B01.16.01.02</t>
  </si>
  <si>
    <t>常规存款利息支出</t>
  </si>
  <si>
    <t>B01.16.01.02.01</t>
  </si>
  <si>
    <t>常规存款付息率</t>
  </si>
  <si>
    <t>B01.16.01.03</t>
  </si>
  <si>
    <t>保证金存款利息支出</t>
  </si>
  <si>
    <t>B01.16.01.03.01</t>
  </si>
  <si>
    <t>保证金存款付息率</t>
  </si>
  <si>
    <t>B01.16.02</t>
  </si>
  <si>
    <t>金融机构往来利息支出</t>
  </si>
  <si>
    <t>B01.16.02.02</t>
  </si>
  <si>
    <t>同业存放利息支出</t>
  </si>
  <si>
    <t>B01.16.02.02.01</t>
  </si>
  <si>
    <t>同业存放付息率</t>
  </si>
  <si>
    <t>B01.16.02.05</t>
  </si>
  <si>
    <t>卖出回购利息支出</t>
  </si>
  <si>
    <t>B01.16.02.05.01</t>
  </si>
  <si>
    <t>卖出回购付息率</t>
  </si>
  <si>
    <t>B01.17</t>
  </si>
  <si>
    <t>FTP收入</t>
  </si>
  <si>
    <t>B01.17.01</t>
  </si>
  <si>
    <t>存款FTP收入</t>
  </si>
  <si>
    <t>B01.17.01.01</t>
  </si>
  <si>
    <t>存款FTP</t>
  </si>
  <si>
    <t>B01.17.01.02</t>
  </si>
  <si>
    <t>常规存款FTP收入</t>
  </si>
  <si>
    <t>B01.17.01.02.01</t>
  </si>
  <si>
    <t>常规存款FTP</t>
  </si>
  <si>
    <t>B01.17.01.03</t>
  </si>
  <si>
    <t>保证金存款FTP收入</t>
  </si>
  <si>
    <t>B01.17.01.03.01</t>
  </si>
  <si>
    <t>保证金存款FTP</t>
  </si>
  <si>
    <t>B01.17.02</t>
  </si>
  <si>
    <t>金融机构往来FTP收入</t>
  </si>
  <si>
    <t>B01.17.02.02</t>
  </si>
  <si>
    <t>同业存放FTP收入</t>
  </si>
  <si>
    <t>B01.17.02.02.01</t>
  </si>
  <si>
    <t>同业存放FTP</t>
  </si>
  <si>
    <t>B01.17.02.05</t>
  </si>
  <si>
    <t>卖出回购FTP收入</t>
  </si>
  <si>
    <t>B01.17.02.05.01</t>
  </si>
  <si>
    <t>卖出回购FTP</t>
  </si>
  <si>
    <t>B01.17.99</t>
  </si>
  <si>
    <t>其他FTP收入</t>
  </si>
  <si>
    <t>B01.17.99.01</t>
  </si>
  <si>
    <t>应付款FTP收入</t>
  </si>
  <si>
    <t>B01.18</t>
  </si>
  <si>
    <t>手续费收入</t>
  </si>
  <si>
    <t>B01.18.01</t>
  </si>
  <si>
    <t>联贷分成收入</t>
  </si>
  <si>
    <t>B01.18.01.01</t>
  </si>
  <si>
    <t>联贷收益率</t>
  </si>
  <si>
    <t>B01.18.01.02</t>
  </si>
  <si>
    <t>小微银银收入</t>
  </si>
  <si>
    <t>B01.18.01.02.01</t>
  </si>
  <si>
    <t>小微银银收益率</t>
  </si>
  <si>
    <t>B01.18.01.03</t>
  </si>
  <si>
    <t>冲销金额</t>
  </si>
  <si>
    <t>B01.18.02</t>
  </si>
  <si>
    <t>ABS收入</t>
  </si>
  <si>
    <t>B01.18.03</t>
  </si>
  <si>
    <t>ABN收入</t>
  </si>
  <si>
    <t>B01.18.04</t>
  </si>
  <si>
    <t>流量经营收入</t>
  </si>
  <si>
    <t>B01.18.05</t>
  </si>
  <si>
    <t>企金代销收入</t>
  </si>
  <si>
    <t>B01.18.05.01</t>
  </si>
  <si>
    <t>代销保险</t>
  </si>
  <si>
    <t>B01.18.05.02</t>
  </si>
  <si>
    <t>B01.18.08</t>
  </si>
  <si>
    <t>银承保函收入</t>
  </si>
  <si>
    <t>B01.18.06</t>
  </si>
  <si>
    <t>催收费收入</t>
  </si>
  <si>
    <t>B01.18.99</t>
  </si>
  <si>
    <t>B01.19</t>
  </si>
  <si>
    <t>手续费支出</t>
  </si>
  <si>
    <t>B01.19.01</t>
  </si>
  <si>
    <t>催收费</t>
  </si>
  <si>
    <t>B01.19.01.01</t>
  </si>
  <si>
    <t>费率</t>
  </si>
  <si>
    <t>B01.19.02</t>
  </si>
  <si>
    <t>征信费</t>
  </si>
  <si>
    <t>B01.19.02.01</t>
  </si>
  <si>
    <t>B01.19.03</t>
  </si>
  <si>
    <t>清算费</t>
  </si>
  <si>
    <t>B01.19.03.01</t>
  </si>
  <si>
    <t>B01.19.04</t>
  </si>
  <si>
    <t>代偿保费</t>
  </si>
  <si>
    <t>B01.19.05</t>
  </si>
  <si>
    <t>担保费用</t>
  </si>
  <si>
    <t>B01.19.14</t>
  </si>
  <si>
    <t>渠道费</t>
  </si>
  <si>
    <t>B01.19.14.01</t>
  </si>
  <si>
    <t>渠道费率</t>
  </si>
  <si>
    <t>B01.19.99</t>
  </si>
  <si>
    <t>B01.20</t>
  </si>
  <si>
    <t>其他外部营收</t>
  </si>
  <si>
    <t>B01.20.01</t>
  </si>
  <si>
    <t>票据转贴现</t>
  </si>
  <si>
    <t>B01.20.02</t>
  </si>
  <si>
    <t>小微激励金</t>
  </si>
  <si>
    <t>B01.21</t>
  </si>
  <si>
    <t>内部营业净收入</t>
  </si>
  <si>
    <t>费用</t>
  </si>
  <si>
    <t>B01.90</t>
  </si>
  <si>
    <t>业务及管理费</t>
  </si>
  <si>
    <t>B01.90.01</t>
  </si>
  <si>
    <t>直接费用</t>
  </si>
  <si>
    <t>B01.90.01.01</t>
  </si>
  <si>
    <t>人力(不含IT)</t>
  </si>
  <si>
    <t>B01.90.01.01.01</t>
  </si>
  <si>
    <t>业务人力</t>
  </si>
  <si>
    <t>B01.90.01.01.02</t>
  </si>
  <si>
    <t>B01.90.01.02</t>
  </si>
  <si>
    <t>B01.90.01.02.01</t>
  </si>
  <si>
    <t>营销</t>
  </si>
  <si>
    <t>B01.90.01.02.02</t>
  </si>
  <si>
    <t>运营</t>
  </si>
  <si>
    <t>B01.90.01.03</t>
  </si>
  <si>
    <t>IT</t>
  </si>
  <si>
    <t>B01.90.01.03.01</t>
  </si>
  <si>
    <t>B01.90.01.03.01.001</t>
  </si>
  <si>
    <t>B01.90.01.03.01.002</t>
  </si>
  <si>
    <t>B01.90.01.03.02</t>
  </si>
  <si>
    <t>科技</t>
  </si>
  <si>
    <t>B01.90.01.03.03</t>
  </si>
  <si>
    <t>B01.90.01.03.04</t>
  </si>
  <si>
    <t>B01.90.01.04</t>
  </si>
  <si>
    <t>职场</t>
  </si>
  <si>
    <t>B01.90.01.05</t>
  </si>
  <si>
    <t>日常</t>
  </si>
  <si>
    <t>B01.90.02</t>
  </si>
  <si>
    <t>间接费用</t>
  </si>
  <si>
    <t>B01.90.02.01</t>
  </si>
  <si>
    <t>B01.90.02.01.01</t>
  </si>
  <si>
    <t>B01.90.02.01.02</t>
  </si>
  <si>
    <t>B01.90.02.02</t>
  </si>
  <si>
    <t>B01.90.02.02.01</t>
  </si>
  <si>
    <t>B01.90.02.02.02</t>
  </si>
  <si>
    <t>B01.90.02.03</t>
  </si>
  <si>
    <t>B01.90.02.03.01</t>
  </si>
  <si>
    <t>B01.90.02.03.01.001</t>
  </si>
  <si>
    <t>B01.90.02.03.01.002</t>
  </si>
  <si>
    <t>B01.90.02.03.02</t>
  </si>
  <si>
    <t>B01.90.02.03.03</t>
  </si>
  <si>
    <t>B01.90.02.03.04</t>
  </si>
  <si>
    <t>B01.90.02.04</t>
  </si>
  <si>
    <t>B01.90.02.05</t>
  </si>
  <si>
    <t>投入产出</t>
  </si>
  <si>
    <t>B01.91</t>
  </si>
  <si>
    <t>业务支出评估</t>
  </si>
  <si>
    <t>B01.91.01</t>
  </si>
  <si>
    <t>客户经营指标</t>
  </si>
  <si>
    <t>B01.91.01.01</t>
  </si>
  <si>
    <t>客户营销与投入</t>
  </si>
  <si>
    <t>B01.91.01.01.001</t>
  </si>
  <si>
    <t>新客营销支出</t>
  </si>
  <si>
    <t>B01.91.01.01.002</t>
  </si>
  <si>
    <t>存客营销支出</t>
  </si>
  <si>
    <t>B01.91.01.01.003</t>
  </si>
  <si>
    <t>新开通客户投入</t>
  </si>
  <si>
    <t>B01.91.01.01.004</t>
  </si>
  <si>
    <t>新发放投入</t>
  </si>
  <si>
    <t>B01.91.01.02</t>
  </si>
  <si>
    <t>客户规模与数量</t>
  </si>
  <si>
    <t>B01.91.01.02.101</t>
  </si>
  <si>
    <t>LUM规模</t>
  </si>
  <si>
    <t>B01.91.01.02.001</t>
  </si>
  <si>
    <t>新客日均LUM</t>
  </si>
  <si>
    <t>B01.91.01.02.002</t>
  </si>
  <si>
    <t>存客日均LUM</t>
  </si>
  <si>
    <t>B01.91.01.02.005</t>
  </si>
  <si>
    <t>新发放LUM</t>
  </si>
  <si>
    <t>B01.91.01.02.006</t>
  </si>
  <si>
    <t>新发放LUM(标服)</t>
  </si>
  <si>
    <t>B01.91.01.02.010</t>
  </si>
  <si>
    <t>日均LUM</t>
  </si>
  <si>
    <t>B01.91.01.02.102</t>
  </si>
  <si>
    <t>AuM规模</t>
  </si>
  <si>
    <t>B01.91.01.02.007</t>
  </si>
  <si>
    <t>存客日均AuM</t>
  </si>
  <si>
    <t>B01.91.01.02.008</t>
  </si>
  <si>
    <t>新客AuM余额</t>
  </si>
  <si>
    <t>B01.91.01.02.011</t>
  </si>
  <si>
    <t>日均AuM</t>
  </si>
  <si>
    <t>B01.91.01.02.103</t>
  </si>
  <si>
    <t>客户数量</t>
  </si>
  <si>
    <t>B01.91.01.02.003</t>
  </si>
  <si>
    <t>新开通客户数</t>
  </si>
  <si>
    <t>B01.91.01.02.004</t>
  </si>
  <si>
    <t>平均有效客户数</t>
  </si>
  <si>
    <t>B01.91.01.02.009</t>
  </si>
  <si>
    <t>MFAU客户数</t>
  </si>
  <si>
    <t>B01.91.01.03</t>
  </si>
  <si>
    <t>客户回收与催收</t>
  </si>
  <si>
    <t>B01.91.01.03.001</t>
  </si>
  <si>
    <t>内催回收额</t>
  </si>
  <si>
    <t>B01.91.01.03.002</t>
  </si>
  <si>
    <t>M6-压降金额</t>
  </si>
  <si>
    <t>B01.91.01.03.003</t>
  </si>
  <si>
    <t>M7+现金回收额</t>
  </si>
  <si>
    <t>一级</t>
  </si>
  <si>
    <t>AA.01</t>
  </si>
  <si>
    <t>AA.01.01</t>
  </si>
  <si>
    <t>AA.14</t>
  </si>
  <si>
    <t>AA.16</t>
  </si>
  <si>
    <t>AA.01.02</t>
  </si>
  <si>
    <t>净手续费收入</t>
  </si>
  <si>
    <t>AA.18</t>
  </si>
  <si>
    <t>AA.19</t>
  </si>
  <si>
    <t>AA.01.03</t>
  </si>
  <si>
    <t>AA.02</t>
  </si>
  <si>
    <t>减:资产减值损失</t>
  </si>
  <si>
    <t>AA.02.01</t>
  </si>
  <si>
    <t>贷款减值损失</t>
  </si>
  <si>
    <t>AA.02.01.01</t>
  </si>
  <si>
    <t>实际风险成本</t>
  </si>
  <si>
    <t>AA.02.01.02</t>
  </si>
  <si>
    <t>超额拨备</t>
  </si>
  <si>
    <t>AA.02.02</t>
  </si>
  <si>
    <t>非贷减值损失</t>
  </si>
  <si>
    <t>AA.03</t>
  </si>
  <si>
    <t>AA.04</t>
  </si>
  <si>
    <t>AA.05</t>
  </si>
  <si>
    <t>减:业务及管理费</t>
  </si>
  <si>
    <t>AA.05.01</t>
  </si>
  <si>
    <t>人力费用</t>
  </si>
  <si>
    <t>AA.05.01.01</t>
  </si>
  <si>
    <t>AA.05.01.02</t>
  </si>
  <si>
    <t>利润分享</t>
  </si>
  <si>
    <t>AA.05.01.03</t>
  </si>
  <si>
    <t>专项费用</t>
  </si>
  <si>
    <t>AA.05.02</t>
  </si>
  <si>
    <t>AA.05.02.01</t>
  </si>
  <si>
    <t>AA.05.02.02</t>
  </si>
  <si>
    <t>AA.05.03</t>
  </si>
  <si>
    <t>AA.06</t>
  </si>
  <si>
    <t>AA.09</t>
  </si>
  <si>
    <t>AA.30</t>
  </si>
  <si>
    <t>减:所得税</t>
  </si>
  <si>
    <t>AA.31</t>
  </si>
  <si>
    <t>净利润</t>
  </si>
  <si>
    <t>AA.10</t>
  </si>
  <si>
    <t>AA.10.01</t>
  </si>
  <si>
    <t>AA.10.01.01</t>
  </si>
  <si>
    <t>AA.10.01.02</t>
  </si>
  <si>
    <t>AA.10.02</t>
  </si>
  <si>
    <t>AA.10.03</t>
  </si>
  <si>
    <t>AA.10.04</t>
  </si>
  <si>
    <t>AA.12</t>
  </si>
  <si>
    <t>AA.12.01</t>
  </si>
  <si>
    <t>各项存款</t>
  </si>
  <si>
    <t>AA.12.02</t>
  </si>
  <si>
    <t>AA.12.03</t>
  </si>
  <si>
    <t>商户结算便利应付款</t>
  </si>
  <si>
    <t>AA.12.04</t>
  </si>
  <si>
    <t>存款服务</t>
  </si>
  <si>
    <t>AA.45</t>
  </si>
  <si>
    <t>拨备覆盖率</t>
  </si>
  <si>
    <t>AA.46</t>
  </si>
  <si>
    <t>贷款拨备率</t>
  </si>
  <si>
    <t>AA.47</t>
  </si>
  <si>
    <t>资产减值准备</t>
  </si>
  <si>
    <t>AA.47.01</t>
  </si>
  <si>
    <t>贷款减值准备</t>
  </si>
  <si>
    <t>AA.47.01.01</t>
  </si>
  <si>
    <t>AA.47.02</t>
  </si>
  <si>
    <t>非贷减值准备</t>
  </si>
  <si>
    <t>AA.54</t>
  </si>
  <si>
    <t>年初资产减值准备</t>
  </si>
  <si>
    <t>AA.54.01</t>
  </si>
  <si>
    <t>年初贷款减值准备</t>
  </si>
  <si>
    <t>AA.54.02</t>
  </si>
  <si>
    <t>年初非贷减值准备</t>
  </si>
  <si>
    <t>AA.48</t>
  </si>
  <si>
    <t>贷款风险成本率</t>
  </si>
  <si>
    <t>AA.38</t>
  </si>
  <si>
    <t>实际风险成本率</t>
  </si>
  <si>
    <t>AA.48.01</t>
  </si>
  <si>
    <t>超额风险成本率</t>
  </si>
  <si>
    <t>AA.49</t>
  </si>
  <si>
    <t>财务指标</t>
  </si>
  <si>
    <t>AA.49.01</t>
  </si>
  <si>
    <t>手续费净收入占比</t>
  </si>
  <si>
    <t>AA.49.02</t>
  </si>
  <si>
    <t>非息收入占比</t>
  </si>
  <si>
    <t>AA.49.03</t>
  </si>
  <si>
    <t>ROA</t>
  </si>
  <si>
    <t>AA.49.04</t>
  </si>
  <si>
    <t>ROAE</t>
  </si>
  <si>
    <t>AA.49.05</t>
  </si>
  <si>
    <t>成本收入比</t>
  </si>
  <si>
    <t>AA.90</t>
  </si>
  <si>
    <t>AA.90.01</t>
  </si>
  <si>
    <t>AA.90.01.01</t>
  </si>
  <si>
    <t>AA.90.01.01.01</t>
  </si>
  <si>
    <t>AA.90.01.01.02</t>
  </si>
  <si>
    <t>AA.90.01.02</t>
  </si>
  <si>
    <t>AA.90.01.02.01</t>
  </si>
  <si>
    <t>AA.90.01.02.02</t>
  </si>
  <si>
    <t>AA.90.01.03</t>
  </si>
  <si>
    <t>AA.90.01.03.01</t>
  </si>
  <si>
    <t>AA.90.01.03.01.001</t>
  </si>
  <si>
    <t>AA.90.01.03.01.002</t>
  </si>
  <si>
    <t>AA.90.01.03.02</t>
  </si>
  <si>
    <t>AA.90.01.03.03</t>
  </si>
  <si>
    <t>AA.90.01.03.04</t>
  </si>
  <si>
    <t>AA.90.01.04</t>
  </si>
  <si>
    <t>AA.90.01.05</t>
  </si>
  <si>
    <t>AA.90.02</t>
  </si>
  <si>
    <t>AA.90.02.01</t>
  </si>
  <si>
    <t>AA.90.02.01.01</t>
  </si>
  <si>
    <t>AA.90.02.01.02</t>
  </si>
  <si>
    <t>AA.90.02.02</t>
  </si>
  <si>
    <t>AA.90.02.02.01</t>
  </si>
  <si>
    <t>AA.90.02.02.02</t>
  </si>
  <si>
    <t>AA.90.02.03</t>
  </si>
  <si>
    <t>AA.90.02.03.01</t>
  </si>
  <si>
    <t>AA.90.02.03.01.001</t>
  </si>
  <si>
    <t>AA.90.02.03.01.002</t>
  </si>
  <si>
    <t>AA.90.02.03.02</t>
  </si>
  <si>
    <t>AA.90.02.03.03</t>
  </si>
  <si>
    <t>AA.90.02.03.04</t>
  </si>
  <si>
    <t>AA.90.02.04</t>
  </si>
  <si>
    <t>AA.90.02.05</t>
  </si>
  <si>
    <t>AA.91</t>
  </si>
  <si>
    <t>AA.91.01</t>
  </si>
  <si>
    <t>AA.91.01.01</t>
  </si>
  <si>
    <t>AA.91.01.01.001</t>
  </si>
  <si>
    <t>AA.91.01.01.002</t>
  </si>
  <si>
    <t>AA.91.01.01.003</t>
  </si>
  <si>
    <t>AA.91.01.01.004</t>
  </si>
  <si>
    <t>AA.91.01.02</t>
  </si>
  <si>
    <t>AA.91.01.02.101</t>
  </si>
  <si>
    <t>AA.91.01.02.001</t>
  </si>
  <si>
    <t>AA.91.01.02.002</t>
  </si>
  <si>
    <t>AA.91.01.02.005</t>
  </si>
  <si>
    <t>AA.91.01.02.006</t>
  </si>
  <si>
    <t>AA.91.01.02.010</t>
  </si>
  <si>
    <t>AA.91.01.02.102</t>
  </si>
  <si>
    <t>AA.91.01.02.007</t>
  </si>
  <si>
    <t>AA.91.01.02.008</t>
  </si>
  <si>
    <t>AA.91.01.02.011</t>
  </si>
  <si>
    <t>AA.91.01.02.103</t>
  </si>
  <si>
    <t>AA.91.01.02.003</t>
  </si>
  <si>
    <t>AA.91.01.02.004</t>
  </si>
  <si>
    <t>AA.91.01.02.009</t>
  </si>
  <si>
    <t>AA.91.01.03</t>
  </si>
  <si>
    <t>AA.91.01.03.001</t>
  </si>
  <si>
    <t>AA.91.01.03.002</t>
  </si>
  <si>
    <t>AA.91.01.03.003</t>
  </si>
  <si>
    <t>风险成本率</t>
  </si>
  <si>
    <t>AA.38.01</t>
  </si>
  <si>
    <t>泛微粒贷</t>
  </si>
  <si>
    <t>AA.38.01.01</t>
  </si>
  <si>
    <t>微粒贷</t>
  </si>
  <si>
    <t>AA.38.01.02</t>
  </si>
  <si>
    <t>分付</t>
  </si>
  <si>
    <t>AA.38.02</t>
  </si>
  <si>
    <t>汽车金融</t>
  </si>
  <si>
    <t>AA.38.03</t>
  </si>
  <si>
    <t>财富</t>
  </si>
  <si>
    <t>AA.38.04</t>
  </si>
  <si>
    <t>小鹅</t>
  </si>
  <si>
    <t>AA.38.05</t>
  </si>
  <si>
    <t>企业金融</t>
  </si>
  <si>
    <t>AA.38.05.01</t>
  </si>
  <si>
    <t>风险成本</t>
  </si>
  <si>
    <t>AA.39</t>
  </si>
  <si>
    <t>不良贷款率</t>
  </si>
  <si>
    <t>AA.39.01</t>
  </si>
  <si>
    <t>AA.39.01.01</t>
  </si>
  <si>
    <t>AA.39.01.02</t>
  </si>
  <si>
    <t>AA.39.02</t>
  </si>
  <si>
    <t>AA.39.03</t>
  </si>
  <si>
    <t>AA.39.04</t>
  </si>
  <si>
    <t>AA.39.05</t>
  </si>
  <si>
    <t>AA.39.05.01</t>
  </si>
  <si>
    <t>AA.40</t>
  </si>
  <si>
    <t>不良贷款余额</t>
  </si>
  <si>
    <t>AA.40.01</t>
  </si>
  <si>
    <t>AA.40.01.01</t>
  </si>
  <si>
    <t>AA.40.01.02</t>
  </si>
  <si>
    <t>AA.40.02</t>
  </si>
  <si>
    <t>AA.40.03</t>
  </si>
  <si>
    <t>AA.40.04</t>
  </si>
  <si>
    <t>AA.40.05</t>
  </si>
  <si>
    <t>AA.40.05.01</t>
  </si>
  <si>
    <t>AA.41</t>
  </si>
  <si>
    <t>不良贷款原值余额</t>
  </si>
  <si>
    <t>AA.41.01</t>
  </si>
  <si>
    <t>AA.41.01.01</t>
  </si>
  <si>
    <t>AA.41.01.02</t>
  </si>
  <si>
    <t>AA.41.02</t>
  </si>
  <si>
    <t>AA.41.03</t>
  </si>
  <si>
    <t>AA.41.04</t>
  </si>
  <si>
    <t>AA.41.05</t>
  </si>
  <si>
    <t>AA.41.05.01</t>
  </si>
  <si>
    <t>AA.42</t>
  </si>
  <si>
    <t>年初不良贷款原值余额</t>
  </si>
  <si>
    <t>AA.42.01</t>
  </si>
  <si>
    <t>AA.42.01.01</t>
  </si>
  <si>
    <t>AA.42.01.02</t>
  </si>
  <si>
    <t>AA.42.02</t>
  </si>
  <si>
    <t>AA.42.03</t>
  </si>
  <si>
    <t>AA.42.04</t>
  </si>
  <si>
    <t>AA.42.05</t>
  </si>
  <si>
    <t>AA.42.05.01</t>
  </si>
  <si>
    <t>AA.43</t>
  </si>
  <si>
    <t>核销净额</t>
  </si>
  <si>
    <t>AA.43.01</t>
  </si>
  <si>
    <t>AA.43.01.01</t>
  </si>
  <si>
    <t>AA.43.01.02</t>
  </si>
  <si>
    <t>AA.43.02</t>
  </si>
  <si>
    <t>AA.43.03</t>
  </si>
  <si>
    <t>AA.43.04</t>
  </si>
  <si>
    <t>AA.43.05</t>
  </si>
  <si>
    <t>AA.43.05.01</t>
  </si>
  <si>
    <t>AA.44</t>
  </si>
  <si>
    <t>代偿和转让</t>
  </si>
  <si>
    <t>AA.44.01</t>
  </si>
  <si>
    <t>微粒贷保险代偿金额</t>
  </si>
  <si>
    <t>AA.44.01.01</t>
  </si>
  <si>
    <t>微粒贷保险代偿净额</t>
  </si>
  <si>
    <t>AA.44.02</t>
  </si>
  <si>
    <t>汽金代偿金代偿金额</t>
  </si>
  <si>
    <t>AA.44.03</t>
  </si>
  <si>
    <t>企金担保代偿金额</t>
  </si>
  <si>
    <t>AA.44.04</t>
  </si>
  <si>
    <t>企金保险代偿金额</t>
  </si>
  <si>
    <t>AA.44.05</t>
  </si>
  <si>
    <t>企金不良转让金额</t>
  </si>
  <si>
    <t>AA.44.05.01</t>
  </si>
  <si>
    <t>企金不良转让净额</t>
  </si>
  <si>
    <t>AA.50</t>
  </si>
  <si>
    <t>生息资产日均规模</t>
  </si>
  <si>
    <t>AA.11.01</t>
  </si>
  <si>
    <t>各项贷款</t>
  </si>
  <si>
    <t>AA.23</t>
  </si>
  <si>
    <t>存放央行</t>
  </si>
  <si>
    <t>AA.25</t>
  </si>
  <si>
    <t>同业资产</t>
  </si>
  <si>
    <t>AA.25.01</t>
  </si>
  <si>
    <t>AA.25.02</t>
  </si>
  <si>
    <t>拆放同业</t>
  </si>
  <si>
    <t>AA.25.03</t>
  </si>
  <si>
    <t>AA.25.04</t>
  </si>
  <si>
    <t>AA.25.05</t>
  </si>
  <si>
    <t>同业存单投资</t>
  </si>
  <si>
    <t>AA.51</t>
  </si>
  <si>
    <t>付息负债日均规模</t>
  </si>
  <si>
    <t>AA.13.01</t>
  </si>
  <si>
    <t>AA.27</t>
  </si>
  <si>
    <t>同业负债</t>
  </si>
  <si>
    <t>AA.27.01</t>
  </si>
  <si>
    <t>向央行借款</t>
  </si>
  <si>
    <t>AA.27.02</t>
  </si>
  <si>
    <t>AA.27.03</t>
  </si>
  <si>
    <t>同业拆入</t>
  </si>
  <si>
    <t>AA.27.04</t>
  </si>
  <si>
    <t>转贷款</t>
  </si>
  <si>
    <t>AA.27.05</t>
  </si>
  <si>
    <t>AA.27.06</t>
  </si>
  <si>
    <t>发行同业存单</t>
  </si>
  <si>
    <t>生息资产利息收入</t>
  </si>
  <si>
    <t>AA.14.01</t>
  </si>
  <si>
    <t>AA.14.02</t>
  </si>
  <si>
    <t>AA.14.03</t>
  </si>
  <si>
    <t>AA.14.03.01</t>
  </si>
  <si>
    <t>AA.14.03.02</t>
  </si>
  <si>
    <t>AA.14.03.03</t>
  </si>
  <si>
    <t>AA.14.03.04</t>
  </si>
  <si>
    <t>AA.14.03.05</t>
  </si>
  <si>
    <t>付息负债利息支出</t>
  </si>
  <si>
    <t>AA.16.01</t>
  </si>
  <si>
    <t>AA.16.02</t>
  </si>
  <si>
    <t>AA.16.02.01</t>
  </si>
  <si>
    <t>AA.16.02.02</t>
  </si>
  <si>
    <t>AA.16.02.03</t>
  </si>
  <si>
    <t>AA.16.02.04</t>
  </si>
  <si>
    <t>AA.16.02.05</t>
  </si>
  <si>
    <t>AA.16.02.06</t>
  </si>
  <si>
    <t>AA.52</t>
  </si>
  <si>
    <t>生息资产收息率</t>
  </si>
  <si>
    <t>AA.52.01</t>
  </si>
  <si>
    <t>AA.52.02</t>
  </si>
  <si>
    <t>AA.52.03</t>
  </si>
  <si>
    <t>AA.52.04</t>
  </si>
  <si>
    <t>AA.52.05</t>
  </si>
  <si>
    <t>AA.52.06</t>
  </si>
  <si>
    <t>AA.52.07</t>
  </si>
  <si>
    <t>AA.52.08</t>
  </si>
  <si>
    <t>AA.53</t>
  </si>
  <si>
    <t>付息负债付息率</t>
  </si>
  <si>
    <t>AA.53.01</t>
  </si>
  <si>
    <t>AA.53.02</t>
  </si>
  <si>
    <t>AA.53.03</t>
  </si>
  <si>
    <t>AA.53.04</t>
  </si>
  <si>
    <t>AA.53.05</t>
  </si>
  <si>
    <t>AA.53.06</t>
  </si>
  <si>
    <t>AA.53.07</t>
  </si>
  <si>
    <t>AA.53.08</t>
  </si>
  <si>
    <t>A.01</t>
  </si>
  <si>
    <t>A.01.01</t>
  </si>
  <si>
    <t>A.01.01.01</t>
  </si>
  <si>
    <t>A.14</t>
  </si>
  <si>
    <t>A.15</t>
  </si>
  <si>
    <t>A.01.01.02</t>
  </si>
  <si>
    <t>A.16</t>
  </si>
  <si>
    <t>A.17</t>
  </si>
  <si>
    <t>A.01.02</t>
  </si>
  <si>
    <t>A.18</t>
  </si>
  <si>
    <t>A.19</t>
  </si>
  <si>
    <t>A.01.03</t>
  </si>
  <si>
    <t>A.02</t>
  </si>
  <si>
    <t>A.03</t>
  </si>
  <si>
    <t>A.04</t>
  </si>
  <si>
    <t>A.05</t>
  </si>
  <si>
    <t>A.05.01</t>
  </si>
  <si>
    <t>A.05.01.01</t>
  </si>
  <si>
    <t>A.05.01.02</t>
  </si>
  <si>
    <t>A.05.02</t>
  </si>
  <si>
    <t>A.05.02.01</t>
  </si>
  <si>
    <t>A.05.02.02</t>
  </si>
  <si>
    <t>A.05.03</t>
  </si>
  <si>
    <t>A.05.03.01</t>
  </si>
  <si>
    <t>A.05.03.01.01</t>
  </si>
  <si>
    <t>A.05.03.01.02</t>
  </si>
  <si>
    <t>A.05.03.02</t>
  </si>
  <si>
    <t>A.05.03.03</t>
  </si>
  <si>
    <t>A.05.03.04</t>
  </si>
  <si>
    <t>A.05.04</t>
  </si>
  <si>
    <t>A.05.05</t>
  </si>
  <si>
    <t>A.06</t>
  </si>
  <si>
    <t>A.07</t>
  </si>
  <si>
    <t>A.08</t>
  </si>
  <si>
    <t>A.09</t>
  </si>
  <si>
    <t>A.10</t>
  </si>
  <si>
    <t>A.10.01</t>
  </si>
  <si>
    <t>A.10.01.01</t>
  </si>
  <si>
    <t>A.10.02</t>
  </si>
  <si>
    <t>A.10.03</t>
  </si>
  <si>
    <t>A.11</t>
  </si>
  <si>
    <t>A.11.01</t>
  </si>
  <si>
    <t>A.11.01.01</t>
  </si>
  <si>
    <t>A.11.02</t>
  </si>
  <si>
    <t>A.11.03</t>
  </si>
  <si>
    <t>A.12</t>
  </si>
  <si>
    <t>A.12.01</t>
  </si>
  <si>
    <t>A.12.02</t>
  </si>
  <si>
    <t>A.12.03</t>
  </si>
  <si>
    <t>A.12.04</t>
  </si>
  <si>
    <t>A.13</t>
  </si>
  <si>
    <t>A.13.01</t>
  </si>
  <si>
    <t>A.13.02</t>
  </si>
  <si>
    <t>A.13.03</t>
  </si>
  <si>
    <t>A.13.04</t>
  </si>
  <si>
    <t>A.90</t>
  </si>
  <si>
    <t>A.90.01</t>
  </si>
  <si>
    <t>A.90.01.01</t>
  </si>
  <si>
    <t>A.90.01.01.01</t>
  </si>
  <si>
    <t>A.90.01.01.02</t>
  </si>
  <si>
    <t>A.90.01.02</t>
  </si>
  <si>
    <t>A.90.01.02.01</t>
  </si>
  <si>
    <t>A.90.01.02.02</t>
  </si>
  <si>
    <t>A.90.01.03</t>
  </si>
  <si>
    <t>A.90.01.03.01</t>
  </si>
  <si>
    <t>A.90.01.03.01.001</t>
  </si>
  <si>
    <t>A.90.01.03.01.002</t>
  </si>
  <si>
    <t>A.90.01.03.02</t>
  </si>
  <si>
    <t>A.90.01.03.03</t>
  </si>
  <si>
    <t>A.90.01.03.04</t>
  </si>
  <si>
    <t>A.90.01.04</t>
  </si>
  <si>
    <t>A.90.01.05</t>
  </si>
  <si>
    <t>A.90.02</t>
  </si>
  <si>
    <t>A.90.02.01</t>
  </si>
  <si>
    <t>A.90.02.01.01</t>
  </si>
  <si>
    <t>A.90.02.01.02</t>
  </si>
  <si>
    <t>A.90.02.02</t>
  </si>
  <si>
    <t>A.90.02.02.01</t>
  </si>
  <si>
    <t>A.90.02.02.02</t>
  </si>
  <si>
    <t>A.90.02.03</t>
  </si>
  <si>
    <t>A.90.02.03.01</t>
  </si>
  <si>
    <t>A.90.02.03.01.001</t>
  </si>
  <si>
    <t>A.90.02.03.01.002</t>
  </si>
  <si>
    <t>A.90.02.03.02</t>
  </si>
  <si>
    <t>A.90.02.03.03</t>
  </si>
  <si>
    <t>A.90.02.03.04</t>
  </si>
  <si>
    <t>A.90.02.04</t>
  </si>
  <si>
    <t>A.90.02.05</t>
  </si>
  <si>
    <t>A.91</t>
  </si>
  <si>
    <t>A.91.01</t>
  </si>
  <si>
    <t>A.91.01.01</t>
  </si>
  <si>
    <t>A.91.01.01.001</t>
  </si>
  <si>
    <t>A.91.01.01.002</t>
  </si>
  <si>
    <t>A.91.01.01.003</t>
  </si>
  <si>
    <t>A.91.01.01.004</t>
  </si>
  <si>
    <t>A.91.01.02</t>
  </si>
  <si>
    <t>A.91.01.02.101</t>
  </si>
  <si>
    <t>A.91.01.02.001</t>
  </si>
  <si>
    <t>A.91.01.02.002</t>
  </si>
  <si>
    <t>A.91.01.02.005</t>
  </si>
  <si>
    <t>A.91.01.02.006</t>
  </si>
  <si>
    <t>A.91.01.02.010</t>
  </si>
  <si>
    <t>A.91.01.02.102</t>
  </si>
  <si>
    <t>A.91.01.02.007</t>
  </si>
  <si>
    <t>A.91.01.02.008</t>
  </si>
  <si>
    <t>A.91.01.02.011</t>
  </si>
  <si>
    <t>A.91.01.02.103</t>
  </si>
  <si>
    <t>A.91.01.02.003</t>
  </si>
  <si>
    <t>A.91.01.02.004</t>
  </si>
  <si>
    <t>A.91.01.02.009</t>
  </si>
  <si>
    <t>A.91.01.03</t>
  </si>
  <si>
    <t>A.91.01.03.001</t>
  </si>
  <si>
    <t>A.91.01.03.002</t>
  </si>
  <si>
    <t>A.91.01.03.003</t>
  </si>
  <si>
    <t>A01.01</t>
  </si>
  <si>
    <t>A01.01.01</t>
  </si>
  <si>
    <t>A01.01.01.01</t>
  </si>
  <si>
    <t>A01.01.01.02</t>
  </si>
  <si>
    <t>A01.01.02</t>
  </si>
  <si>
    <t>A01.01.03</t>
  </si>
  <si>
    <t>A01.02</t>
  </si>
  <si>
    <t>A01.03</t>
  </si>
  <si>
    <t>A01.04</t>
  </si>
  <si>
    <t>A01.05</t>
  </si>
  <si>
    <t>A01.05.01</t>
  </si>
  <si>
    <t>A01.05.01.01</t>
  </si>
  <si>
    <t>A01.05.01.02</t>
  </si>
  <si>
    <t>A01.05.02</t>
  </si>
  <si>
    <t>A01.05.02.01</t>
  </si>
  <si>
    <t>A01.05.02.02</t>
  </si>
  <si>
    <t>A01.05.03</t>
  </si>
  <si>
    <t>A01.05.03.01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</si>
  <si>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</si>
  <si>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</si>
  <si>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</si>
  <si>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</si>
  <si>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</si>
  <si>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</si>
  <si>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</si>
  <si>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</si>
  <si>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</si>
  <si>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A01.08</t>
  </si>
  <si>
    <t>A01.09</t>
  </si>
  <si>
    <t>A01.10</t>
  </si>
  <si>
    <t>A01.10.01</t>
  </si>
  <si>
    <t>A01.10.01.01</t>
  </si>
  <si>
    <t>A01.10.01.01.01</t>
  </si>
  <si>
    <t>A01.10.01.01.01.01</t>
  </si>
  <si>
    <t>其中:分期</t>
  </si>
  <si>
    <t>A01.10.01.01.02</t>
  </si>
  <si>
    <t>A01.10.02</t>
  </si>
  <si>
    <t>A01.10.03</t>
  </si>
  <si>
    <t>A01.11</t>
  </si>
  <si>
    <t>A01.11.01</t>
  </si>
  <si>
    <t>A01.11.01.01</t>
  </si>
  <si>
    <t>A01.11.01.01.01</t>
  </si>
  <si>
    <t>A01.11.01.01.01.01</t>
  </si>
  <si>
    <t>A01.11.01.01.02</t>
  </si>
  <si>
    <t>A01.11.02</t>
  </si>
  <si>
    <t>A01.11.03</t>
  </si>
  <si>
    <t>A01.12</t>
  </si>
  <si>
    <t>A01.12.01</t>
  </si>
  <si>
    <t>存款</t>
  </si>
  <si>
    <t>A01.13</t>
  </si>
  <si>
    <t>A01.13.01</t>
  </si>
  <si>
    <t>A01.24</t>
  </si>
  <si>
    <t>A01.24.01</t>
  </si>
  <si>
    <t>存放同业余额</t>
  </si>
  <si>
    <t>A01.25</t>
  </si>
  <si>
    <t>A01.25.01</t>
  </si>
  <si>
    <t>存放同业日均</t>
  </si>
  <si>
    <t>A01.26</t>
  </si>
  <si>
    <t>A01.26.02</t>
  </si>
  <si>
    <t>同业存放余额</t>
  </si>
  <si>
    <t>A01.27</t>
  </si>
  <si>
    <t>A01.27.02</t>
  </si>
  <si>
    <t>同业存放日均</t>
  </si>
  <si>
    <t>A01.14</t>
  </si>
  <si>
    <t>A01.14.01</t>
  </si>
  <si>
    <t>A01.14.01.01</t>
  </si>
  <si>
    <t>微粒贷利息收入</t>
  </si>
  <si>
    <t>A01.14.01.01.01</t>
  </si>
  <si>
    <t>微粒贷收息率</t>
  </si>
  <si>
    <t>A01.14.01.01.02</t>
  </si>
  <si>
    <t>微粒贷利息收入(渠道费、清仓回购前)</t>
  </si>
  <si>
    <t>A01.14.01.01.02.01</t>
  </si>
  <si>
    <t>微粒贷平均利率(渠道费、清仓回购前)</t>
  </si>
  <si>
    <t>A01.14.01.01.02.02</t>
  </si>
  <si>
    <t>微粒贷平均财务利率</t>
  </si>
  <si>
    <t>A01.14.01.01.02.03</t>
  </si>
  <si>
    <t>微粒贷逾期90+占比</t>
  </si>
  <si>
    <t>A01.14.01.01.02.04</t>
  </si>
  <si>
    <t>微粒贷财务利率调整幅度</t>
  </si>
  <si>
    <t>A01.14.01.01.02.05</t>
  </si>
  <si>
    <t>微粒贷自营联贷差异</t>
  </si>
  <si>
    <t>A01.14.01.01.03</t>
  </si>
  <si>
    <t>微粒贷自营腾讯渠道费</t>
  </si>
  <si>
    <t>A01.14.01.01.03.01</t>
  </si>
  <si>
    <t>微粒贷自营腾讯渠道费率</t>
  </si>
  <si>
    <t>A01.14.01.01.03.02</t>
  </si>
  <si>
    <t>微粒贷合同渠道费率</t>
  </si>
  <si>
    <t>A01.14.01.01.03.03</t>
  </si>
  <si>
    <t>微粒贷免收渠道费占比</t>
  </si>
  <si>
    <t>A01.14.01.01.03.04</t>
  </si>
  <si>
    <t>AA+同业存单收益率</t>
  </si>
  <si>
    <t>A01.14.01.01.04</t>
  </si>
  <si>
    <t>微粒贷电信分期渠道费</t>
  </si>
  <si>
    <t>A01.14.01.01.04.01</t>
  </si>
  <si>
    <t>微粒贷电信分期渠道费率</t>
  </si>
  <si>
    <t>A01.14.01.01.05</t>
  </si>
  <si>
    <t>微粒贷清仓回购利息收入</t>
  </si>
  <si>
    <t>A01.14.01.01.06</t>
  </si>
  <si>
    <t>微粒贷清仓回购腾讯渠道费</t>
  </si>
  <si>
    <t>A01.14.01.02</t>
  </si>
  <si>
    <t>分付利息收入</t>
  </si>
  <si>
    <t>A01.14.01.02.01</t>
  </si>
  <si>
    <t>分付收息率</t>
  </si>
  <si>
    <t>A01.14.01.02.02</t>
  </si>
  <si>
    <t>分付利息收入(渠道费前)</t>
  </si>
  <si>
    <t>A01.14.01.02.02.01</t>
  </si>
  <si>
    <t>分付对客利率</t>
  </si>
  <si>
    <t>A01.14.01.02.02.02</t>
  </si>
  <si>
    <t>分付平均利率(渠道费前)</t>
  </si>
  <si>
    <t>A01.14.01.02.03</t>
  </si>
  <si>
    <t>分付腾讯渠道费</t>
  </si>
  <si>
    <t>A01.14.01.02.03.01</t>
  </si>
  <si>
    <t>分付腾讯渠道费率</t>
  </si>
  <si>
    <t>A01.14.01.02.03.02</t>
  </si>
  <si>
    <t>分付腾讯合同渠道费率</t>
  </si>
  <si>
    <t>A01.14.01.02.03.03</t>
  </si>
  <si>
    <t>分付实收利息比例</t>
  </si>
  <si>
    <t>A01.14.02</t>
  </si>
  <si>
    <t>A01.14.02.02</t>
  </si>
  <si>
    <t>A01.14.02.02.01</t>
  </si>
  <si>
    <t>A01.15</t>
  </si>
  <si>
    <t>A01.15.01</t>
  </si>
  <si>
    <t>A01.15.01.01</t>
  </si>
  <si>
    <t>微粒贷FTP成本</t>
  </si>
  <si>
    <t>A01.15.01.01.01</t>
  </si>
  <si>
    <t>微粒贷FTP</t>
  </si>
  <si>
    <t>A01.15.01.02</t>
  </si>
  <si>
    <t>分付FTP成本</t>
  </si>
  <si>
    <t>A01.15.01.02.01</t>
  </si>
  <si>
    <t>分付FTP</t>
  </si>
  <si>
    <t>A01.15.02</t>
  </si>
  <si>
    <t>A01.15.02.02</t>
  </si>
  <si>
    <t>A01.15.02.02.01</t>
  </si>
  <si>
    <t>A01.15.99</t>
  </si>
  <si>
    <t>A01.15.99.01</t>
  </si>
  <si>
    <t>流动性备付</t>
  </si>
  <si>
    <t>A01.16</t>
  </si>
  <si>
    <t>A01.16.01</t>
  </si>
  <si>
    <t>A01.16.01.01</t>
  </si>
  <si>
    <t>A01.16.02</t>
  </si>
  <si>
    <t>A01.16.02.02</t>
  </si>
  <si>
    <t>A01.16.02.02.01</t>
  </si>
  <si>
    <t>A01.17</t>
  </si>
  <si>
    <t>A01.17.01</t>
  </si>
  <si>
    <t>A01.17.01.01</t>
  </si>
  <si>
    <t>A01.17.02</t>
  </si>
  <si>
    <t>A01.17.02.02</t>
  </si>
  <si>
    <t>A01.17.02.02.01</t>
  </si>
  <si>
    <t>A01.18</t>
  </si>
  <si>
    <t>A01.18.01</t>
  </si>
  <si>
    <t>微粒贷联贷分成收入</t>
  </si>
  <si>
    <t>A01.18.01.01</t>
  </si>
  <si>
    <t>微粒贷联贷总收益率</t>
  </si>
  <si>
    <t>A01.18.01.02</t>
  </si>
  <si>
    <t>微粒贷联贷平台费收入</t>
  </si>
  <si>
    <t>A01.18.01.02.01</t>
  </si>
  <si>
    <t>微粒贷联贷收益率</t>
  </si>
  <si>
    <t>A01.18.01.02.02</t>
  </si>
  <si>
    <t>微粒贷联贷平均财务利率</t>
  </si>
  <si>
    <t>A01.18.01.02.03</t>
  </si>
  <si>
    <t>平台费率</t>
  </si>
  <si>
    <t>A01.18.01.02.04</t>
  </si>
  <si>
    <t>折扣率</t>
  </si>
  <si>
    <t>A01.18.01.03</t>
  </si>
  <si>
    <t>微粒贷信托收益</t>
  </si>
  <si>
    <t>A01.18.06</t>
  </si>
  <si>
    <t>微粒贷同业催收费收入</t>
  </si>
  <si>
    <t>A01.18.06.01</t>
  </si>
  <si>
    <t>收益率</t>
  </si>
  <si>
    <t>A01.18.06.02.01</t>
  </si>
  <si>
    <t>规模占比</t>
  </si>
  <si>
    <t>A01.18.06.02.02</t>
  </si>
  <si>
    <t>系数</t>
  </si>
  <si>
    <t>A01.18.02</t>
  </si>
  <si>
    <t>微粒贷资产流转收入</t>
  </si>
  <si>
    <t>A01.18.04</t>
  </si>
  <si>
    <t>微粒贷导流收入</t>
  </si>
  <si>
    <t>A01.18.99</t>
  </si>
  <si>
    <t>结算便利等其他</t>
  </si>
  <si>
    <t>A01.19</t>
  </si>
  <si>
    <t>A01.19.01</t>
  </si>
  <si>
    <t>A01.19.01.01</t>
  </si>
  <si>
    <t>A01.19.02</t>
  </si>
  <si>
    <t>A01.19.02.01</t>
  </si>
  <si>
    <t>A01.19.03</t>
  </si>
  <si>
    <t>A01.19.03.01</t>
  </si>
  <si>
    <t>A01.19.04</t>
  </si>
  <si>
    <t>A01.19.06</t>
  </si>
  <si>
    <t>微粒贷联贷腾讯渠道费</t>
  </si>
  <si>
    <t>A01.19.06.01</t>
  </si>
  <si>
    <t>微粒贷联贷总渠道费率</t>
  </si>
  <si>
    <t>A01.19.06.02</t>
  </si>
  <si>
    <t>微粒贷联贷平台费收入渠道费</t>
  </si>
  <si>
    <t>A01.19.06.02.01</t>
  </si>
  <si>
    <t>微粒贷联贷渠道费率</t>
  </si>
  <si>
    <t>A01.19.06.02.02</t>
  </si>
  <si>
    <t>微粒贷联贷逾期90+占比</t>
  </si>
  <si>
    <t>A01.19.06.02.03</t>
  </si>
  <si>
    <t>微粒贷联贷免收渠道费占比</t>
  </si>
  <si>
    <t>A01.19.06.03</t>
  </si>
  <si>
    <t>微粒贷信托收益渠道费</t>
  </si>
  <si>
    <t>A01.19.07</t>
  </si>
  <si>
    <t>微粒贷流转腾讯渠道费</t>
  </si>
  <si>
    <t>A01.19.08</t>
  </si>
  <si>
    <t>微粒贷导流腾讯渠道费</t>
  </si>
  <si>
    <t>A01.19.08.01</t>
  </si>
  <si>
    <t>微粒贷导流合同渠道费率</t>
  </si>
  <si>
    <t>A01.19.08.02</t>
  </si>
  <si>
    <t>A01.19.09</t>
  </si>
  <si>
    <t>A01.19.99</t>
  </si>
  <si>
    <t>A01.20</t>
  </si>
  <si>
    <t>A01.21</t>
  </si>
  <si>
    <t>A01.90</t>
  </si>
  <si>
    <t>A01.90.01</t>
  </si>
  <si>
    <t>A01.90.01.01</t>
  </si>
  <si>
    <t>A01.90.01.01.01</t>
  </si>
  <si>
    <t>A01.90.01.01.02</t>
  </si>
  <si>
    <t>A01.90.01.02</t>
  </si>
  <si>
    <t>A01.90.01.02.01</t>
  </si>
  <si>
    <t>A01.90.01.02.02</t>
  </si>
  <si>
    <t>A01.90.01.03</t>
  </si>
  <si>
    <t>A01.90.01.03.01</t>
  </si>
  <si>
    <t>A01.90.01.03.01.001</t>
  </si>
  <si>
    <t>A01.90.01.03.01.002</t>
  </si>
  <si>
    <t>A01.90.01.03.02</t>
  </si>
  <si>
    <t>A01.90.01.03.03</t>
  </si>
  <si>
    <t>A01.90.01.03.04</t>
  </si>
  <si>
    <t>A01.90.01.04</t>
  </si>
  <si>
    <t>A01.90.01.05</t>
  </si>
  <si>
    <t>A01.90.02</t>
  </si>
  <si>
    <t>A01.90.02.01</t>
  </si>
  <si>
    <t>A01.90.02.01.01</t>
  </si>
  <si>
    <t>A01.90.02.01.02</t>
  </si>
  <si>
    <t>A01.90.02.02</t>
  </si>
  <si>
    <t>A01.90.02.02.01</t>
  </si>
  <si>
    <t>A01.90.02.02.02</t>
  </si>
  <si>
    <t>A01.90.02.03</t>
  </si>
  <si>
    <t>A01.90.02.03.01</t>
  </si>
  <si>
    <t>A01.90.02.03.01.001</t>
  </si>
  <si>
    <t>A01.90.02.03.01.002</t>
  </si>
  <si>
    <t>A01.90.02.03.02</t>
  </si>
  <si>
    <t>A01.90.02.03.03</t>
  </si>
  <si>
    <t>A01.90.02.03.04</t>
  </si>
  <si>
    <t>A01.90.02.04</t>
  </si>
  <si>
    <t>A01.90.02.05</t>
  </si>
  <si>
    <t>A01.91</t>
  </si>
  <si>
    <t>A01.91.01</t>
  </si>
  <si>
    <t>A01.91.01.01</t>
  </si>
  <si>
    <t>A01.91.01.01.001</t>
  </si>
  <si>
    <t>A01.91.01.01.002</t>
  </si>
  <si>
    <t>A01.91.01.01.003</t>
  </si>
  <si>
    <t>A01.91.01.01.004</t>
  </si>
  <si>
    <t>A01.91.01.02</t>
  </si>
  <si>
    <t>A01.91.01.02.101</t>
  </si>
  <si>
    <t>A01.91.01.02.001</t>
  </si>
  <si>
    <t>A01.91.01.02.002</t>
  </si>
  <si>
    <t>A01.91.01.02.005</t>
  </si>
  <si>
    <t>A01.91.01.02.006</t>
  </si>
  <si>
    <t>A01.91.01.02.010</t>
  </si>
  <si>
    <t>A01.91.01.02.102</t>
  </si>
  <si>
    <t>A01.91.01.02.007</t>
  </si>
  <si>
    <t>A01.91.01.02.008</t>
  </si>
  <si>
    <t>A01.91.01.02.011</t>
  </si>
  <si>
    <t>A01.91.01.02.103</t>
  </si>
  <si>
    <t>A01.91.01.02.003</t>
  </si>
  <si>
    <t>A01.91.01.02.004</t>
  </si>
  <si>
    <t>A01.91.01.02.009</t>
  </si>
  <si>
    <t>A01.91.01.03</t>
  </si>
  <si>
    <t>A01.91.01.03.001</t>
  </si>
  <si>
    <t>A01.91.01.03.002</t>
  </si>
  <si>
    <t>A01.91.01.03.003</t>
  </si>
  <si>
    <t>A02.01</t>
  </si>
  <si>
    <t>A02.01.01</t>
  </si>
  <si>
    <t>A02.01.01.01</t>
  </si>
  <si>
    <t>A02.01.01.02</t>
  </si>
  <si>
    <t>A02.01.02</t>
  </si>
  <si>
    <t>A02.01.03</t>
  </si>
  <si>
    <t>A02.02</t>
  </si>
  <si>
    <t>A02.03</t>
  </si>
  <si>
    <t>A02.04</t>
  </si>
  <si>
    <t>A02.05</t>
  </si>
  <si>
    <t>A02.05.01</t>
  </si>
  <si>
    <t>A02.05.01.01</t>
  </si>
  <si>
    <t>A02.05.01.02</t>
  </si>
  <si>
    <t>A02.05.02</t>
  </si>
  <si>
    <t>A02.05.02.01</t>
  </si>
  <si>
    <t>A02.05.02.02</t>
  </si>
  <si>
    <t>A02.05.03</t>
  </si>
  <si>
    <t>A02.05.03.01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</si>
  <si>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</si>
  <si>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</si>
  <si>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</si>
  <si>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</si>
  <si>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</si>
  <si>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</si>
  <si>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</si>
  <si>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</si>
  <si>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</si>
  <si>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A02.08</t>
  </si>
  <si>
    <t>A02.09</t>
  </si>
  <si>
    <t>A02.12</t>
  </si>
  <si>
    <t>A02.12.01</t>
  </si>
  <si>
    <t>零钱+</t>
  </si>
  <si>
    <t>A02.12.01.01</t>
  </si>
  <si>
    <t>经营部分</t>
  </si>
  <si>
    <t>A02.17.01.01.04</t>
  </si>
  <si>
    <t>流动性专项备付</t>
  </si>
  <si>
    <t>A02.12.02</t>
  </si>
  <si>
    <t>零钱通</t>
  </si>
  <si>
    <t>A02.12.03</t>
  </si>
  <si>
    <t>A02.12.04</t>
  </si>
  <si>
    <t>A02.13</t>
  </si>
  <si>
    <t>A02.13.01</t>
  </si>
  <si>
    <t>A02.13.01.01</t>
  </si>
  <si>
    <t>A02.13.01.02</t>
  </si>
  <si>
    <t>A02.13.02</t>
  </si>
  <si>
    <t>A02.13.03</t>
  </si>
  <si>
    <t>A02.13.04</t>
  </si>
  <si>
    <t>A02.24</t>
  </si>
  <si>
    <t>A02.24.01</t>
  </si>
  <si>
    <t>A02.25</t>
  </si>
  <si>
    <t>A02.25.01</t>
  </si>
  <si>
    <t>A02.26</t>
  </si>
  <si>
    <t>A02.26.02</t>
  </si>
  <si>
    <t>A02.27</t>
  </si>
  <si>
    <t>A02.27.02</t>
  </si>
  <si>
    <t>A02.14</t>
  </si>
  <si>
    <t>A02.14.02</t>
  </si>
  <si>
    <t>A02.14.02.02</t>
  </si>
  <si>
    <t>A02.14.02.02.01</t>
  </si>
  <si>
    <t>A02.15</t>
  </si>
  <si>
    <t>A02.15.02</t>
  </si>
  <si>
    <t>A02.15.02.02</t>
  </si>
  <si>
    <t>A02.15.02.02.01</t>
  </si>
  <si>
    <t>A02.15.99</t>
  </si>
  <si>
    <t>A02.15.99.01</t>
  </si>
  <si>
    <t>商户结算便利服务FTP成本</t>
  </si>
  <si>
    <t>A02.15.99.02</t>
  </si>
  <si>
    <t>数字人民FTP成本</t>
  </si>
  <si>
    <t>A02.16</t>
  </si>
  <si>
    <t>A02.16.01</t>
  </si>
  <si>
    <t>A02.16.01.01</t>
  </si>
  <si>
    <t>零钱+利息支出</t>
  </si>
  <si>
    <t>A02.16.01.01.01</t>
  </si>
  <si>
    <t>零钱+付息率</t>
  </si>
  <si>
    <t>A02.16.01.01.02</t>
  </si>
  <si>
    <t>零钱+腾讯渠道费</t>
  </si>
  <si>
    <t>A02.16.01.01.02.01</t>
  </si>
  <si>
    <t>零钱+腾讯渠道费率</t>
  </si>
  <si>
    <t>A02.16.01.01.03</t>
  </si>
  <si>
    <t>零钱+对客利息支出</t>
  </si>
  <si>
    <t>A02.16.01.01.03.01</t>
  </si>
  <si>
    <t>零钱+对客付息率</t>
  </si>
  <si>
    <t>A02.16.01.01.04</t>
  </si>
  <si>
    <t>经营部分利息支出</t>
  </si>
  <si>
    <t>A02.16.01.01.04.01</t>
  </si>
  <si>
    <t>经营部分付息率</t>
  </si>
  <si>
    <t>A02.16.01.01.04.02</t>
  </si>
  <si>
    <t>经营部分对客利息支出</t>
  </si>
  <si>
    <t>A02.16.01.01.04.03</t>
  </si>
  <si>
    <t>经营部分对客付息率</t>
  </si>
  <si>
    <t>A02.16.01.01.04.04</t>
  </si>
  <si>
    <t>经营部分腾讯渠道费</t>
  </si>
  <si>
    <t>A02.16.01.01.04.05</t>
  </si>
  <si>
    <t>经营部分腾讯渠道费率</t>
  </si>
  <si>
    <t>A02.16.01.01.05</t>
  </si>
  <si>
    <t>流动性专项备付利息支出</t>
  </si>
  <si>
    <t>A02.16.01.01.05.01</t>
  </si>
  <si>
    <t>专项备付付息率</t>
  </si>
  <si>
    <t>A02.16.01.01.05.02</t>
  </si>
  <si>
    <t>专项备付对客利息支出</t>
  </si>
  <si>
    <t>A02.16.01.01.05.03</t>
  </si>
  <si>
    <t>专项备付对客付息率</t>
  </si>
  <si>
    <t>A02.16.01.01.05.04</t>
  </si>
  <si>
    <t>专项备付腾讯渠道费</t>
  </si>
  <si>
    <t>A02.16.01.01.05.05</t>
  </si>
  <si>
    <t>专项备付腾讯渠道费率</t>
  </si>
  <si>
    <t>A02.16.01.02</t>
  </si>
  <si>
    <t>WE卡存款利息支出</t>
  </si>
  <si>
    <t>A02.16.01.02.01</t>
  </si>
  <si>
    <t>WE卡存款余额</t>
  </si>
  <si>
    <t>A02.16.01.02.02</t>
  </si>
  <si>
    <t>WE卡存款日均</t>
  </si>
  <si>
    <t>A02.16.01.02.03</t>
  </si>
  <si>
    <t>WE卡存款付息率</t>
  </si>
  <si>
    <t>A02.16.01.03</t>
  </si>
  <si>
    <t>数字人民币存款利息支出</t>
  </si>
  <si>
    <t>A02.16.01.03.01</t>
  </si>
  <si>
    <t>数字人民存款币余额</t>
  </si>
  <si>
    <t>A02.16.01.03.02</t>
  </si>
  <si>
    <t>数字人民币存款日均</t>
  </si>
  <si>
    <t>A02.16.01.03.03</t>
  </si>
  <si>
    <t>数字人民币存款付息率</t>
  </si>
  <si>
    <t>A02.16.02</t>
  </si>
  <si>
    <t>A02.16.02.02</t>
  </si>
  <si>
    <t>A02.16.02.02.01</t>
  </si>
  <si>
    <t>A02.17</t>
  </si>
  <si>
    <t>A02.17.01</t>
  </si>
  <si>
    <t>A02.17.01.01</t>
  </si>
  <si>
    <t>零钱+FTP收入</t>
  </si>
  <si>
    <t>A02.17.01.01.01</t>
  </si>
  <si>
    <t>零钱+FTP</t>
  </si>
  <si>
    <t>A02.17.01.01.02</t>
  </si>
  <si>
    <t>零钱+FTP点差</t>
  </si>
  <si>
    <t>A02.17.01.01.03</t>
  </si>
  <si>
    <t>经营部分FTP收入</t>
  </si>
  <si>
    <t>A02.17.01.01.03.01</t>
  </si>
  <si>
    <t>经营部分FTP</t>
  </si>
  <si>
    <t>A02.17.01.01.03.02</t>
  </si>
  <si>
    <t>经营部分FTP点差</t>
  </si>
  <si>
    <t>A02.17.01.01.04.01</t>
  </si>
  <si>
    <t>专项备付FTP</t>
  </si>
  <si>
    <t>A02.17.01.01.04.02</t>
  </si>
  <si>
    <t>专项备付FTP点差</t>
  </si>
  <si>
    <t>A02.17.01.02</t>
  </si>
  <si>
    <t>WE卡存款FTP收入</t>
  </si>
  <si>
    <t>A02.17.01.02.01</t>
  </si>
  <si>
    <t>WE卡存款FTP</t>
  </si>
  <si>
    <t>A02.17.01.03</t>
  </si>
  <si>
    <t>数字人民币存款FTP收入</t>
  </si>
  <si>
    <t>A02.17.01.03.01</t>
  </si>
  <si>
    <t>数字人民币存款FTP</t>
  </si>
  <si>
    <t>A02.17.02</t>
  </si>
  <si>
    <t>A02.17.02.02</t>
  </si>
  <si>
    <t>A02.17.02.02.01</t>
  </si>
  <si>
    <t>A02.17.99</t>
  </si>
  <si>
    <t>A02.17.99.01</t>
  </si>
  <si>
    <t>商户结算便利应付款FTP收入</t>
  </si>
  <si>
    <t>A02.17.99.01.01</t>
  </si>
  <si>
    <t>商户结算便利应付款FTP</t>
  </si>
  <si>
    <t>A02.17.99.02</t>
  </si>
  <si>
    <t>零钱通净申购款FTP收入</t>
  </si>
  <si>
    <t>A02.18</t>
  </si>
  <si>
    <t>A02.18.05</t>
  </si>
  <si>
    <t>零钱通收入</t>
  </si>
  <si>
    <t>A02.18.05.01</t>
  </si>
  <si>
    <t>零钱通收益率</t>
  </si>
  <si>
    <t>A02.18.99</t>
  </si>
  <si>
    <t>A02.19</t>
  </si>
  <si>
    <t>A02.19.10</t>
  </si>
  <si>
    <t>零钱通腾讯渠道费</t>
  </si>
  <si>
    <t>A02.19.10.01</t>
  </si>
  <si>
    <t>零钱通腾讯渠道费率</t>
  </si>
  <si>
    <t>A02.19.11</t>
  </si>
  <si>
    <t>商户结算便利应付款腾讯渠道费</t>
  </si>
  <si>
    <t>A02.19.99</t>
  </si>
  <si>
    <t>A02.20</t>
  </si>
  <si>
    <t>A02.21</t>
  </si>
  <si>
    <t>A02.99</t>
  </si>
  <si>
    <t>微账户参数</t>
  </si>
  <si>
    <t>A02.99.01</t>
  </si>
  <si>
    <t>A02.99.02</t>
  </si>
  <si>
    <t>各项贷款(不含票据)/微账户</t>
  </si>
  <si>
    <t>A02.99.03</t>
  </si>
  <si>
    <t>法定存款准备金率</t>
  </si>
  <si>
    <t>A02.99.04</t>
  </si>
  <si>
    <t>同业资产收益率(不含存放央行)</t>
  </si>
  <si>
    <t>A02.99.04.01</t>
  </si>
  <si>
    <t>同业利息收入</t>
  </si>
  <si>
    <t>A02.99.04.02</t>
  </si>
  <si>
    <t>同业日均规模</t>
  </si>
  <si>
    <t>A02.99.05</t>
  </si>
  <si>
    <t>存放同业比例</t>
  </si>
  <si>
    <t>A02.99.06</t>
  </si>
  <si>
    <t>存放同业利率</t>
  </si>
  <si>
    <t>A02.99.07</t>
  </si>
  <si>
    <t>微账户存款对客挂牌利率</t>
  </si>
  <si>
    <t>A02.99.08</t>
  </si>
  <si>
    <t>法定存款准备金利率</t>
  </si>
  <si>
    <t>A02.99.09</t>
  </si>
  <si>
    <t>超额存款准备金利率</t>
  </si>
  <si>
    <t>A02.90</t>
  </si>
  <si>
    <t>A02.90.01</t>
  </si>
  <si>
    <t>A02.90.01.01</t>
  </si>
  <si>
    <t>A02.90.01.01.01</t>
  </si>
  <si>
    <t>A02.90.01.01.02</t>
  </si>
  <si>
    <t>A02.90.01.02</t>
  </si>
  <si>
    <t>A02.90.01.02.01</t>
  </si>
  <si>
    <t>A02.90.01.02.02</t>
  </si>
  <si>
    <t>A02.90.01.03</t>
  </si>
  <si>
    <t>A02.90.01.03.01</t>
  </si>
  <si>
    <t>A02.90.01.03.01.001</t>
  </si>
  <si>
    <t>A02.90.01.03.01.002</t>
  </si>
  <si>
    <t>A02.90.01.03.02</t>
  </si>
  <si>
    <t>A02.90.01.03.03</t>
  </si>
  <si>
    <t>A02.90.01.03.04</t>
  </si>
  <si>
    <t>A02.90.01.04</t>
  </si>
  <si>
    <t>A02.90.01.05</t>
  </si>
  <si>
    <t>A02.90.02</t>
  </si>
  <si>
    <t>A02.90.02.01</t>
  </si>
  <si>
    <t>A02.90.02.01.01</t>
  </si>
  <si>
    <t>A02.90.02.01.02</t>
  </si>
  <si>
    <t>A02.90.02.02</t>
  </si>
  <si>
    <t>A02.90.02.02.01</t>
  </si>
  <si>
    <t>A02.90.02.02.02</t>
  </si>
  <si>
    <t>A02.90.02.03</t>
  </si>
  <si>
    <t>A02.90.02.03.01</t>
  </si>
  <si>
    <t>A02.90.02.03.01.001</t>
  </si>
  <si>
    <t>A02.90.02.03.01.002</t>
  </si>
  <si>
    <t>A02.90.02.03.02</t>
  </si>
  <si>
    <t>A02.90.02.03.03</t>
  </si>
  <si>
    <t>A02.90.02.03.04</t>
  </si>
  <si>
    <t>A02.90.02.04</t>
  </si>
  <si>
    <t>A02.90.02.05</t>
  </si>
  <si>
    <t>A02.91</t>
  </si>
  <si>
    <t>A02.91.01</t>
  </si>
  <si>
    <t>A02.91.01.01</t>
  </si>
  <si>
    <t>A02.91.01.01.001</t>
  </si>
  <si>
    <t>A02.91.01.01.002</t>
  </si>
  <si>
    <t>A02.91.01.01.003</t>
  </si>
  <si>
    <t>A02.91.01.01.004</t>
  </si>
  <si>
    <t>A02.91.01.02</t>
  </si>
  <si>
    <t>A02.91.01.02.101</t>
  </si>
  <si>
    <t>A02.91.01.02.001</t>
  </si>
  <si>
    <t>A02.91.01.02.002</t>
  </si>
  <si>
    <t>A02.91.01.02.005</t>
  </si>
  <si>
    <t>A02.91.01.02.006</t>
  </si>
  <si>
    <t>A02.91.01.02.010</t>
  </si>
  <si>
    <t>A02.91.01.02.102</t>
  </si>
  <si>
    <t>A02.91.01.02.007</t>
  </si>
  <si>
    <t>A02.91.01.02.008</t>
  </si>
  <si>
    <t>A02.91.01.02.011</t>
  </si>
  <si>
    <t>A02.91.01.02.103</t>
  </si>
  <si>
    <t>A02.91.01.02.003</t>
  </si>
  <si>
    <t>A02.91.01.02.004</t>
  </si>
  <si>
    <t>A02.91.01.02.009</t>
  </si>
  <si>
    <t>A02.91.01.03</t>
  </si>
  <si>
    <t>A02.91.01.03.001</t>
  </si>
  <si>
    <t>A02.91.01.03.002</t>
  </si>
  <si>
    <t>A02.91.01.03.003</t>
  </si>
  <si>
    <t>A03.01</t>
  </si>
  <si>
    <t>A03.01.01</t>
  </si>
  <si>
    <t>A03.01.01.01</t>
  </si>
  <si>
    <t>A03.01.01.02</t>
  </si>
  <si>
    <t>A03.01.02</t>
  </si>
  <si>
    <t>A03.01.03</t>
  </si>
  <si>
    <t>A03.02</t>
  </si>
  <si>
    <t>A03.03</t>
  </si>
  <si>
    <t>A03.04</t>
  </si>
  <si>
    <t>A03.05</t>
  </si>
  <si>
    <t>A03.05.01</t>
  </si>
  <si>
    <t>A03.05.01.01</t>
  </si>
  <si>
    <t>A03.05.01.02</t>
  </si>
  <si>
    <t>A03.05.02</t>
  </si>
  <si>
    <t>A03.05.02.01</t>
  </si>
  <si>
    <t>A03.05.02.02</t>
  </si>
  <si>
    <t>A03.05.03</t>
  </si>
  <si>
    <t>A03.05.03.01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</si>
  <si>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</si>
  <si>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</si>
  <si>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</si>
  <si>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</si>
  <si>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</si>
  <si>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</si>
  <si>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</si>
  <si>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</si>
  <si>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</si>
  <si>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A03.08</t>
  </si>
  <si>
    <t>A03.09</t>
  </si>
  <si>
    <t>A03.10</t>
  </si>
  <si>
    <t>管理贷款</t>
  </si>
  <si>
    <t>A03.10.01</t>
  </si>
  <si>
    <t>A03.10.01.01</t>
  </si>
  <si>
    <t>A03.10.02</t>
  </si>
  <si>
    <t>A03.10.03</t>
  </si>
  <si>
    <t>A03.11</t>
  </si>
  <si>
    <t>A03.11.01</t>
  </si>
  <si>
    <t>A03.11.01.01</t>
  </si>
  <si>
    <t>A03.11.02</t>
  </si>
  <si>
    <t>A03.11.03</t>
  </si>
  <si>
    <t>A03.12</t>
  </si>
  <si>
    <t>A03.12.01</t>
  </si>
  <si>
    <t>A03.13</t>
  </si>
  <si>
    <t>A03.13.01</t>
  </si>
  <si>
    <t>A03.26</t>
  </si>
  <si>
    <t>A03.26.02</t>
  </si>
  <si>
    <t>A03.27</t>
  </si>
  <si>
    <t>A03.27.02</t>
  </si>
  <si>
    <t>A03.14</t>
  </si>
  <si>
    <t>A03.14.01</t>
  </si>
  <si>
    <t>A03.14.01.01</t>
  </si>
  <si>
    <t>贷款收息率</t>
  </si>
  <si>
    <t>A03.15</t>
  </si>
  <si>
    <t>A03.15.01</t>
  </si>
  <si>
    <t>A03.15.01.01</t>
  </si>
  <si>
    <t>贷款FTP</t>
  </si>
  <si>
    <t>A03.15.99</t>
  </si>
  <si>
    <t>A03.15.99.01</t>
  </si>
  <si>
    <t>A03.16</t>
  </si>
  <si>
    <t>A03.16.01</t>
  </si>
  <si>
    <t>A03.16.01.01</t>
  </si>
  <si>
    <t>A03.16.02</t>
  </si>
  <si>
    <t>A03.16.02.02</t>
  </si>
  <si>
    <t>A03.16.02.02.01</t>
  </si>
  <si>
    <t>A03.17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</si>
  <si>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</si>
  <si>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</si>
  <si>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</si>
  <si>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</si>
  <si>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</si>
  <si>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</si>
  <si>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</si>
  <si>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>A03.17.99.01.01</t>
  </si>
  <si>
    <t>应付款余额</t>
  </si>
  <si>
    <t>A03.17.99.01.02</t>
  </si>
  <si>
    <t>应付款日均</t>
  </si>
  <si>
    <t>A03.17.99.01.03</t>
  </si>
  <si>
    <t>应付款FTP</t>
  </si>
  <si>
    <t>A03.18</t>
  </si>
  <si>
    <t>A03.18.01</t>
  </si>
  <si>
    <t>A03.18.01.01</t>
  </si>
  <si>
    <t>A03.18.07</t>
  </si>
  <si>
    <t>对公平台服务费收入</t>
  </si>
  <si>
    <t>A03.18.99</t>
  </si>
  <si>
    <t>A03.19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</si>
  <si>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</si>
  <si>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</si>
  <si>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</si>
  <si>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</si>
  <si>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</si>
  <si>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</si>
  <si>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</si>
  <si>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>A03.19.12.01</t>
  </si>
  <si>
    <t>自持渠道费</t>
  </si>
  <si>
    <t>A03.19.12.01.01</t>
  </si>
  <si>
    <t>自持渠道费率</t>
  </si>
  <si>
    <t>A03.19.99</t>
  </si>
  <si>
    <t>A03.20</t>
  </si>
  <si>
    <t>A03.21</t>
  </si>
  <si>
    <t>A03.90</t>
  </si>
  <si>
    <t>A03.90.01</t>
  </si>
  <si>
    <t>A03.90.01.01</t>
  </si>
  <si>
    <t>A03.90.01.01.01</t>
  </si>
  <si>
    <t>A03.90.01.01.02</t>
  </si>
  <si>
    <t>A03.90.01.02</t>
  </si>
  <si>
    <t>A03.90.01.02.01</t>
  </si>
  <si>
    <t>A03.90.01.02.02</t>
  </si>
  <si>
    <t>A03.90.01.03</t>
  </si>
  <si>
    <t>A03.90.01.03.01</t>
  </si>
  <si>
    <t>A03.90.01.03.01.001</t>
  </si>
  <si>
    <t>A03.90.01.03.01.002</t>
  </si>
  <si>
    <t>A03.90.01.03.02</t>
  </si>
  <si>
    <t>A03.90.01.03.03</t>
  </si>
  <si>
    <t>A03.90.01.03.04</t>
  </si>
  <si>
    <t>A03.90.01.04</t>
  </si>
  <si>
    <t>A03.90.01.05</t>
  </si>
  <si>
    <t>A03.90.02</t>
  </si>
  <si>
    <t>A03.90.02.01</t>
  </si>
  <si>
    <t>A03.90.02.01.01</t>
  </si>
  <si>
    <t>A03.90.02.01.02</t>
  </si>
  <si>
    <t>A03.90.02.02</t>
  </si>
  <si>
    <t>A03.90.02.02.01</t>
  </si>
  <si>
    <t>A03.90.02.02.02</t>
  </si>
  <si>
    <t>A03.90.02.03</t>
  </si>
  <si>
    <t>A03.90.02.03.01</t>
  </si>
  <si>
    <t>A03.90.02.03.01.001</t>
  </si>
  <si>
    <t>A03.90.02.03.01.002</t>
  </si>
  <si>
    <t>A03.90.02.03.02</t>
  </si>
  <si>
    <t>A03.90.02.03.03</t>
  </si>
  <si>
    <t>A03.90.02.03.04</t>
  </si>
  <si>
    <t>A03.90.02.04</t>
  </si>
  <si>
    <t>A03.90.02.05</t>
  </si>
  <si>
    <t>A03.91</t>
  </si>
  <si>
    <t>A03.91.01</t>
  </si>
  <si>
    <t>A03.91.01.01</t>
  </si>
  <si>
    <t>A03.91.01.01.001</t>
  </si>
  <si>
    <t>A03.91.01.01.002</t>
  </si>
  <si>
    <t>A03.91.01.01.003</t>
  </si>
  <si>
    <t>A03.91.01.01.004</t>
  </si>
  <si>
    <t>A03.91.01.02</t>
  </si>
  <si>
    <t>A03.91.01.02.101</t>
  </si>
  <si>
    <t>A03.91.01.02.001</t>
  </si>
  <si>
    <t>A03.91.01.02.002</t>
  </si>
  <si>
    <t>A03.91.01.02.005</t>
  </si>
  <si>
    <t>A03.91.01.02.006</t>
  </si>
  <si>
    <t>A03.91.01.02.010</t>
  </si>
  <si>
    <t>A03.91.01.02.102</t>
  </si>
  <si>
    <t>A03.91.01.02.007</t>
  </si>
  <si>
    <t>A03.91.01.02.008</t>
  </si>
  <si>
    <t>A03.91.01.02.011</t>
  </si>
  <si>
    <t>A03.91.01.02.103</t>
  </si>
  <si>
    <t>A03.91.01.02.003</t>
  </si>
  <si>
    <t>A03.91.01.02.004</t>
  </si>
  <si>
    <t>A03.91.01.02.009</t>
  </si>
  <si>
    <t>A03.91.01.03</t>
  </si>
  <si>
    <t>A03.91.01.03.001</t>
  </si>
  <si>
    <t>A03.91.01.03.002</t>
  </si>
  <si>
    <t>A03.91.01.03.003</t>
  </si>
  <si>
    <t>A04.01</t>
  </si>
  <si>
    <t>A04.01.01</t>
  </si>
  <si>
    <t>A04.01.01.01</t>
  </si>
  <si>
    <t>A04.01.01.02</t>
  </si>
  <si>
    <t>A04.01.02</t>
  </si>
  <si>
    <t>A04.01.03</t>
  </si>
  <si>
    <t>A04.02</t>
  </si>
  <si>
    <t>A04.03</t>
  </si>
  <si>
    <t>A04.04</t>
  </si>
  <si>
    <t>A04.05</t>
  </si>
  <si>
    <t>A04.05.01</t>
  </si>
  <si>
    <t>A04.05.01.01</t>
  </si>
  <si>
    <t>A04.05.01.02</t>
  </si>
  <si>
    <t>A04.05.02</t>
  </si>
  <si>
    <t>A04.05.02.01</t>
  </si>
  <si>
    <t>A04.05.02.02</t>
  </si>
  <si>
    <t>A04.05.03</t>
  </si>
  <si>
    <t>A04.05.03.01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</si>
  <si>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</si>
  <si>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</si>
  <si>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</si>
  <si>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</si>
  <si>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</si>
  <si>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</si>
  <si>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</si>
  <si>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</si>
  <si>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</si>
  <si>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A04.08</t>
  </si>
  <si>
    <t>A04.09</t>
  </si>
  <si>
    <t>A04.10</t>
  </si>
  <si>
    <t>A04.10.01</t>
  </si>
  <si>
    <t>A04.10.01.01</t>
  </si>
  <si>
    <t>A04.10.02</t>
  </si>
  <si>
    <t>A04.10.03</t>
  </si>
  <si>
    <t>A04.11</t>
  </si>
  <si>
    <t>A04.11.01</t>
  </si>
  <si>
    <t>A04.11.01.01</t>
  </si>
  <si>
    <t>A04.11.02</t>
  </si>
  <si>
    <t>A04.11.03</t>
  </si>
  <si>
    <t>A04.12</t>
  </si>
  <si>
    <t>A04.12.01</t>
  </si>
  <si>
    <t>财富存款</t>
  </si>
  <si>
    <t>A04.12.01.01</t>
  </si>
  <si>
    <t>活期</t>
  </si>
  <si>
    <t>A04.12.01.02</t>
  </si>
  <si>
    <t>定期</t>
  </si>
  <si>
    <t>A04.12.02</t>
  </si>
  <si>
    <t>财富代销</t>
  </si>
  <si>
    <t>A04.13</t>
  </si>
  <si>
    <t>A04.13.01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</si>
  <si>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</si>
  <si>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</si>
  <si>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</si>
  <si>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</si>
  <si>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</si>
  <si>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</si>
  <si>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</si>
  <si>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</si>
  <si>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</si>
  <si>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</si>
  <si>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</si>
  <si>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</t>
  </si>
  <si>
    <t>A04.14.01</t>
  </si>
  <si>
    <t>A04.14.01.01</t>
  </si>
  <si>
    <t>A04.14.02</t>
  </si>
  <si>
    <t>A04.14.02.02</t>
  </si>
  <si>
    <t>A04.14.02.02.01</t>
  </si>
  <si>
    <t>A04.15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</si>
  <si>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</si>
  <si>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</si>
  <si>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</si>
  <si>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</si>
  <si>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</si>
  <si>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</si>
  <si>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</si>
  <si>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</si>
  <si>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</t>
  </si>
  <si>
    <t>A04.16.01.01</t>
  </si>
  <si>
    <t>A04.16.01.02</t>
  </si>
  <si>
    <t>个人活存利息支出</t>
  </si>
  <si>
    <t>A04.16.01.02.01</t>
  </si>
  <si>
    <t>个人活存付息率</t>
  </si>
  <si>
    <t>A04.16.01.03</t>
  </si>
  <si>
    <t>个人定存利息支出</t>
  </si>
  <si>
    <t>A04.16.01.03.01</t>
  </si>
  <si>
    <t>个人定存付息率</t>
  </si>
  <si>
    <t>A04.16.02</t>
  </si>
  <si>
    <t>A04.16.02.02</t>
  </si>
  <si>
    <t>A04.16.02.02.01</t>
  </si>
  <si>
    <t>A04.17</t>
  </si>
  <si>
    <t>A04.17.01</t>
  </si>
  <si>
    <t>A04.17.01.01</t>
  </si>
  <si>
    <t>A04.17.01.02</t>
  </si>
  <si>
    <t>个人活存FTP收入</t>
  </si>
  <si>
    <t>A04.17.01.02.01</t>
  </si>
  <si>
    <t>个人活存FTP</t>
  </si>
  <si>
    <t>A04.17.01.03</t>
  </si>
  <si>
    <t>个人定存FTP收入</t>
  </si>
  <si>
    <t>A04.17.01.03.01</t>
  </si>
  <si>
    <t>个人定存FTP</t>
  </si>
  <si>
    <t>A04.17.02</t>
  </si>
  <si>
    <t>A04.17.02.02</t>
  </si>
  <si>
    <t>A04.17.02.02.01</t>
  </si>
  <si>
    <t>A04.17.99</t>
  </si>
  <si>
    <t>A04.17.99.01</t>
  </si>
  <si>
    <t>A04.18</t>
  </si>
  <si>
    <t>A04.18.05</t>
  </si>
  <si>
    <t>代销手续费收入</t>
  </si>
  <si>
    <t>A04.18.05.01</t>
  </si>
  <si>
    <t>A04.18.99</t>
  </si>
  <si>
    <t>A04.19</t>
  </si>
  <si>
    <t>A04.19.03</t>
  </si>
  <si>
    <t>A04.19.03.01</t>
  </si>
  <si>
    <t>A04.19.15</t>
  </si>
  <si>
    <t>积分</t>
  </si>
  <si>
    <t>A04.19.15.01</t>
  </si>
  <si>
    <t>A04.19.99</t>
  </si>
  <si>
    <t>A04.20</t>
  </si>
  <si>
    <t>A04.21</t>
  </si>
  <si>
    <t>A04.90</t>
  </si>
  <si>
    <t>A04.90.01</t>
  </si>
  <si>
    <t>A04.90.01.01</t>
  </si>
  <si>
    <t>A04.90.01.01.01</t>
  </si>
  <si>
    <t>A04.90.01.01.02</t>
  </si>
  <si>
    <t>A04.90.01.02</t>
  </si>
  <si>
    <t>A04.90.01.02.01</t>
  </si>
  <si>
    <t>A04.90.01.02.02</t>
  </si>
  <si>
    <t>A04.90.01.03</t>
  </si>
  <si>
    <t>A04.90.01.03.01</t>
  </si>
  <si>
    <t>A04.90.01.03.01.001</t>
  </si>
  <si>
    <t>A04.90.01.03.01.002</t>
  </si>
  <si>
    <t>A04.90.01.03.02</t>
  </si>
  <si>
    <t>A04.90.01.03.03</t>
  </si>
  <si>
    <t>A04.90.01.03.04</t>
  </si>
  <si>
    <t>A04.90.01.04</t>
  </si>
  <si>
    <t>A04.90.01.05</t>
  </si>
  <si>
    <t>A04.90.02</t>
  </si>
  <si>
    <t>A04.90.02.01</t>
  </si>
  <si>
    <t>A04.90.02.01.01</t>
  </si>
  <si>
    <t>A04.90.02.01.02</t>
  </si>
  <si>
    <t>A04.90.02.02</t>
  </si>
  <si>
    <t>A04.90.02.02.01</t>
  </si>
  <si>
    <t>A04.90.02.02.02</t>
  </si>
  <si>
    <t>A04.90.02.03</t>
  </si>
  <si>
    <t>A04.90.02.03.01</t>
  </si>
  <si>
    <t>A04.90.02.03.01.001</t>
  </si>
  <si>
    <t>A04.90.02.03.01.002</t>
  </si>
  <si>
    <t>A04.90.02.03.02</t>
  </si>
  <si>
    <t>A04.90.02.03.03</t>
  </si>
  <si>
    <t>A04.90.02.03.04</t>
  </si>
  <si>
    <t>A04.90.02.04</t>
  </si>
  <si>
    <t>A04.90.02.05</t>
  </si>
  <si>
    <t>A04.91</t>
  </si>
  <si>
    <t>A04.91.01</t>
  </si>
  <si>
    <t>A04.91.01.01</t>
  </si>
  <si>
    <t>A04.91.01.01.001</t>
  </si>
  <si>
    <t>A04.91.01.01.002</t>
  </si>
  <si>
    <t>A04.91.01.01.003</t>
  </si>
  <si>
    <t>A04.91.01.01.004</t>
  </si>
  <si>
    <t>A04.91.01.02</t>
  </si>
  <si>
    <t>A04.91.01.02.101</t>
  </si>
  <si>
    <t>A04.91.01.02.001</t>
  </si>
  <si>
    <t>A04.91.01.02.002</t>
  </si>
  <si>
    <t>A04.91.01.02.005</t>
  </si>
  <si>
    <t>A04.91.01.02.006</t>
  </si>
  <si>
    <t>A04.91.01.02.010</t>
  </si>
  <si>
    <t>A04.91.01.02.102</t>
  </si>
  <si>
    <t>A04.91.01.02.007</t>
  </si>
  <si>
    <t>A04.91.01.02.008</t>
  </si>
  <si>
    <t>A04.91.01.02.011</t>
  </si>
  <si>
    <t>A04.91.01.02.103</t>
  </si>
  <si>
    <t>A04.91.01.02.003</t>
  </si>
  <si>
    <t>A04.91.01.02.004</t>
  </si>
  <si>
    <t>A04.91.01.02.009</t>
  </si>
  <si>
    <t>A04.91.01.03</t>
  </si>
  <si>
    <t>A04.91.01.03.001</t>
  </si>
  <si>
    <t>A04.91.01.03.002</t>
  </si>
  <si>
    <t>A04.91.01.03.003</t>
  </si>
  <si>
    <t>A05.01</t>
  </si>
  <si>
    <t>A05.01.01</t>
  </si>
  <si>
    <t>A05.01.01.01</t>
  </si>
  <si>
    <t>A05.01.01.02</t>
  </si>
  <si>
    <t>A05.01.02</t>
  </si>
  <si>
    <t>A05.01.03</t>
  </si>
  <si>
    <t>A05.02</t>
  </si>
  <si>
    <t>A05.03</t>
  </si>
  <si>
    <t>A05.04</t>
  </si>
  <si>
    <t>A05.05</t>
  </si>
  <si>
    <t>A05.05.01</t>
  </si>
  <si>
    <t>A05.05.01.01</t>
  </si>
  <si>
    <t>A05.05.01.02</t>
  </si>
  <si>
    <t>A05.05.02</t>
  </si>
  <si>
    <t>A05.05.02.01</t>
  </si>
  <si>
    <t>A05.05.02.02</t>
  </si>
  <si>
    <t>A05.05.03</t>
  </si>
  <si>
    <t>A05.05.03.01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</si>
  <si>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</si>
  <si>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</si>
  <si>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</si>
  <si>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</si>
  <si>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</si>
  <si>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</si>
  <si>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</si>
  <si>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</si>
  <si>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</si>
  <si>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A05.08</t>
  </si>
  <si>
    <t>A05.09</t>
  </si>
  <si>
    <t>A05.10</t>
  </si>
  <si>
    <t>A05.10.01</t>
  </si>
  <si>
    <t>A05.10.01.01</t>
  </si>
  <si>
    <t>A05.10.02</t>
  </si>
  <si>
    <t>A05.10.03</t>
  </si>
  <si>
    <t>A05.11</t>
  </si>
  <si>
    <t>A05.11.01</t>
  </si>
  <si>
    <t>A05.11.01.01</t>
  </si>
  <si>
    <t>A05.11.02</t>
  </si>
  <si>
    <t>A05.11.03</t>
  </si>
  <si>
    <t>A05.12</t>
  </si>
  <si>
    <t>A05.12.01</t>
  </si>
  <si>
    <t>A05.13</t>
  </si>
  <si>
    <t>A05.13.01</t>
  </si>
  <si>
    <t>A05.14</t>
  </si>
  <si>
    <t>A05.14.01</t>
  </si>
  <si>
    <t>A05.14.01.01</t>
  </si>
  <si>
    <t>A05.15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</si>
  <si>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</si>
  <si>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</si>
  <si>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</si>
  <si>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</si>
  <si>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</si>
  <si>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</si>
  <si>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</si>
  <si>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</si>
  <si>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</si>
  <si>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</si>
  <si>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</si>
  <si>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</si>
  <si>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>A05.19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</si>
  <si>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</si>
  <si>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</si>
  <si>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</si>
  <si>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</si>
  <si>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</si>
  <si>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</si>
  <si>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</si>
  <si>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</si>
  <si>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>A05.19.99</t>
  </si>
  <si>
    <t>A05.20</t>
  </si>
  <si>
    <t>A05.21</t>
  </si>
  <si>
    <t>A05.90</t>
  </si>
  <si>
    <t>A05.90.01</t>
  </si>
  <si>
    <t>A05.90.01.01</t>
  </si>
  <si>
    <t>A05.90.01.01.01</t>
  </si>
  <si>
    <t>A05.90.01.01.02</t>
  </si>
  <si>
    <t>A05.90.01.02</t>
  </si>
  <si>
    <t>A05.90.01.02.01</t>
  </si>
  <si>
    <t>A05.90.01.02.02</t>
  </si>
  <si>
    <t>A05.90.01.03</t>
  </si>
  <si>
    <t>A05.90.01.03.01</t>
  </si>
  <si>
    <t>A05.90.01.03.01.001</t>
  </si>
  <si>
    <t>A05.90.01.03.01.002</t>
  </si>
  <si>
    <t>A05.90.01.03.02</t>
  </si>
  <si>
    <t>A05.90.01.03.03</t>
  </si>
  <si>
    <t>A05.90.01.03.04</t>
  </si>
  <si>
    <t>A05.90.01.04</t>
  </si>
  <si>
    <t>A05.90.01.05</t>
  </si>
  <si>
    <t>A05.90.02</t>
  </si>
  <si>
    <t>A05.90.02.01</t>
  </si>
  <si>
    <t>A05.90.02.01.01</t>
  </si>
  <si>
    <t>A05.90.02.01.02</t>
  </si>
  <si>
    <t>A05.90.02.02</t>
  </si>
  <si>
    <t>A05.90.02.02.01</t>
  </si>
  <si>
    <t>A05.90.02.02.02</t>
  </si>
  <si>
    <t>A05.90.02.03</t>
  </si>
  <si>
    <t>A05.90.02.03.01</t>
  </si>
  <si>
    <t>A05.90.02.03.01.001</t>
  </si>
  <si>
    <t>A05.90.02.03.01.002</t>
  </si>
  <si>
    <t>A05.90.02.03.02</t>
  </si>
  <si>
    <t>A05.90.02.03.03</t>
  </si>
  <si>
    <t>A05.90.02.03.04</t>
  </si>
  <si>
    <t>A05.90.02.04</t>
  </si>
  <si>
    <t>A05.90.02.05</t>
  </si>
  <si>
    <t>A05.91</t>
  </si>
  <si>
    <t>A05.91.01</t>
  </si>
  <si>
    <t>A05.91.01.01</t>
  </si>
  <si>
    <t>A05.91.01.01.001</t>
  </si>
  <si>
    <t>A05.91.01.01.002</t>
  </si>
  <si>
    <t>A05.91.01.01.003</t>
  </si>
  <si>
    <t>A05.91.01.01.004</t>
  </si>
  <si>
    <t>A05.91.01.02</t>
  </si>
  <si>
    <t>A05.91.01.02.101</t>
  </si>
  <si>
    <t>A05.91.01.02.001</t>
  </si>
  <si>
    <t>A05.91.01.02.002</t>
  </si>
  <si>
    <t>A05.91.01.02.005</t>
  </si>
  <si>
    <t>A05.91.01.02.006</t>
  </si>
  <si>
    <t>A05.91.01.02.010</t>
  </si>
  <si>
    <t>A05.91.01.02.102</t>
  </si>
  <si>
    <t>A05.91.01.02.007</t>
  </si>
  <si>
    <t>A05.91.01.02.008</t>
  </si>
  <si>
    <t>A05.91.01.02.011</t>
  </si>
  <si>
    <t>A05.91.01.02.103</t>
  </si>
  <si>
    <t>A05.91.01.02.003</t>
  </si>
  <si>
    <t>A05.91.01.02.004</t>
  </si>
  <si>
    <t>A05.91.01.02.009</t>
  </si>
  <si>
    <t>A05.91.01.03</t>
  </si>
  <si>
    <t>A05.91.01.03.001</t>
  </si>
  <si>
    <t>A05.91.01.03.002</t>
  </si>
  <si>
    <t>A05.91.01.03.003</t>
  </si>
  <si>
    <t>B.01</t>
  </si>
  <si>
    <t>B.01.01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</si>
  <si>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</si>
  <si>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</si>
  <si>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</si>
  <si>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</si>
  <si>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</si>
  <si>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</si>
  <si>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</si>
  <si>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</si>
  <si>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</si>
  <si>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</si>
  <si>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</si>
  <si>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</si>
  <si>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</si>
  <si>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</si>
  <si>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B.05.01</t>
  </si>
  <si>
    <t>B.05.01.01</t>
  </si>
  <si>
    <t>B.05.01.02</t>
  </si>
  <si>
    <t>B.05.02</t>
  </si>
  <si>
    <t>B.05.02.01</t>
  </si>
  <si>
    <t>B.05.02.02</t>
  </si>
  <si>
    <t>B.05.03</t>
  </si>
  <si>
    <t>B.05.03.01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</si>
  <si>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</si>
  <si>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</si>
  <si>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</si>
  <si>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</si>
  <si>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</si>
  <si>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</si>
  <si>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</si>
  <si>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</si>
  <si>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</si>
  <si>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</si>
  <si>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</si>
  <si>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</si>
  <si>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</t>
  </si>
  <si>
    <t>B.10.01.01</t>
  </si>
  <si>
    <t>B.10.01.02</t>
  </si>
  <si>
    <t>B.10.02</t>
  </si>
  <si>
    <t>B.10.03</t>
  </si>
  <si>
    <t>B.10.04</t>
  </si>
  <si>
    <t>B.11</t>
  </si>
  <si>
    <t>B.11.01</t>
  </si>
  <si>
    <t>B.11.01.01</t>
  </si>
  <si>
    <t>B.11.01.02</t>
  </si>
  <si>
    <t>B.11.02</t>
  </si>
  <si>
    <t>B.11.03</t>
  </si>
  <si>
    <t>B.11.04</t>
  </si>
  <si>
    <t>B.12</t>
  </si>
  <si>
    <t>B.12.01</t>
  </si>
  <si>
    <t>B.12.02</t>
  </si>
  <si>
    <t>B.13</t>
  </si>
  <si>
    <t>B.13.01</t>
  </si>
  <si>
    <t>B.13.02</t>
  </si>
  <si>
    <t>B.90</t>
  </si>
  <si>
    <t>B.90.01</t>
  </si>
  <si>
    <t>B.90.01.01</t>
  </si>
  <si>
    <t>B.90.01.01.01</t>
  </si>
  <si>
    <t>B.90.01.01.02</t>
  </si>
  <si>
    <t>B.90.01.02</t>
  </si>
  <si>
    <t>B.90.01.02.01</t>
  </si>
  <si>
    <t>B.90.01.02.02</t>
  </si>
  <si>
    <t>B.90.01.03</t>
  </si>
  <si>
    <t>B.90.01.03.01</t>
  </si>
  <si>
    <t>B.90.01.03.01.001</t>
  </si>
  <si>
    <t>B.90.01.03.01.002</t>
  </si>
  <si>
    <t>B.90.01.03.02</t>
  </si>
  <si>
    <t>B.90.01.03.03</t>
  </si>
  <si>
    <t>B.90.01.03.04</t>
  </si>
  <si>
    <t>B.90.01.04</t>
  </si>
  <si>
    <t>B.90.01.05</t>
  </si>
  <si>
    <t>B.90.02</t>
  </si>
  <si>
    <t>B.90.02.01</t>
  </si>
  <si>
    <t>B.90.02.01.01</t>
  </si>
  <si>
    <t>B.90.02.01.02</t>
  </si>
  <si>
    <t>B.90.02.02</t>
  </si>
  <si>
    <t>B.90.02.02.01</t>
  </si>
  <si>
    <t>B.90.02.02.02</t>
  </si>
  <si>
    <t>B.90.02.03</t>
  </si>
  <si>
    <t>B.90.02.03.01</t>
  </si>
  <si>
    <t>B.90.02.03.01.001</t>
  </si>
  <si>
    <t>B.90.02.03.01.002</t>
  </si>
  <si>
    <t>B.90.02.03.02</t>
  </si>
  <si>
    <t>B.90.02.03.03</t>
  </si>
  <si>
    <t>B.90.02.03.04</t>
  </si>
  <si>
    <t>B.90.02.04</t>
  </si>
  <si>
    <t>B.90.02.05</t>
  </si>
  <si>
    <t>B.91</t>
  </si>
  <si>
    <t>B.91.01</t>
  </si>
  <si>
    <t>B.91.01.01</t>
  </si>
  <si>
    <t>B.91.01.01.001</t>
  </si>
  <si>
    <t>B.91.01.01.002</t>
  </si>
  <si>
    <t>B.91.01.01.003</t>
  </si>
  <si>
    <t>B.91.01.01.004</t>
  </si>
  <si>
    <t>B.91.01.02</t>
  </si>
  <si>
    <t>B.91.01.02.101</t>
  </si>
  <si>
    <t>B.91.01.02.001</t>
  </si>
  <si>
    <t>B.91.01.02.002</t>
  </si>
  <si>
    <t>B.91.01.02.005</t>
  </si>
  <si>
    <t>B.91.01.02.006</t>
  </si>
  <si>
    <t>B.91.01.02.010</t>
  </si>
  <si>
    <t>B.91.01.02.102</t>
  </si>
  <si>
    <t>B.91.01.02.007</t>
  </si>
  <si>
    <t>B.91.01.02.008</t>
  </si>
  <si>
    <t>B.91.01.02.011</t>
  </si>
  <si>
    <t>B.91.01.02.103</t>
  </si>
  <si>
    <t>B.91.01.02.003</t>
  </si>
  <si>
    <t>B.91.01.02.004</t>
  </si>
  <si>
    <t>B.91.01.02.009</t>
  </si>
  <si>
    <t>B.91.01.03</t>
  </si>
  <si>
    <t>B.91.01.03.001</t>
  </si>
  <si>
    <t>B.91.01.03.002</t>
  </si>
  <si>
    <t>B.91.01.03.003</t>
  </si>
  <si>
    <t>B02.01</t>
  </si>
  <si>
    <t>B02.01.01</t>
  </si>
  <si>
    <t>B02.01.01.01</t>
  </si>
  <si>
    <t>B02.01.01.02</t>
  </si>
  <si>
    <t>B02.01.02</t>
  </si>
  <si>
    <t>B02.01.03</t>
  </si>
  <si>
    <t>B02.02</t>
  </si>
  <si>
    <t>B02.03</t>
  </si>
  <si>
    <t>B02.04</t>
  </si>
  <si>
    <t>B02.05</t>
  </si>
  <si>
    <t>B02.05.01</t>
  </si>
  <si>
    <t>B02.05.01.01</t>
  </si>
  <si>
    <t>B02.05.01.02</t>
  </si>
  <si>
    <t>B02.05.02</t>
  </si>
  <si>
    <t>B02.05.02.01</t>
  </si>
  <si>
    <t>B02.05.02.02</t>
  </si>
  <si>
    <t>B02.05.03</t>
  </si>
  <si>
    <t>B02.05.03.01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</si>
  <si>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</si>
  <si>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</si>
  <si>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</si>
  <si>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</si>
  <si>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</si>
  <si>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</si>
  <si>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</si>
  <si>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</si>
  <si>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</si>
  <si>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B02.08</t>
  </si>
  <si>
    <t>B02.09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</si>
  <si>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</si>
  <si>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</si>
  <si>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</si>
  <si>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</si>
  <si>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</si>
  <si>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</si>
  <si>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</si>
  <si>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</si>
  <si>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</t>
  </si>
  <si>
    <t>法准</t>
  </si>
  <si>
    <t>B02.22.02</t>
  </si>
  <si>
    <t>超备</t>
  </si>
  <si>
    <t>B02.23</t>
  </si>
  <si>
    <t>存放央行日均</t>
  </si>
  <si>
    <t>B02.23.01</t>
  </si>
  <si>
    <t>B02.23.02</t>
  </si>
  <si>
    <t>B02.24</t>
  </si>
  <si>
    <t>B02.24.01</t>
  </si>
  <si>
    <t>B02.24.02</t>
  </si>
  <si>
    <t>B02.24.03</t>
  </si>
  <si>
    <t>B02.24.04</t>
  </si>
  <si>
    <t>B02.24.04.01</t>
  </si>
  <si>
    <t>利率债</t>
  </si>
  <si>
    <t>B02.24.04.01.01</t>
  </si>
  <si>
    <t>AC和OCI</t>
  </si>
  <si>
    <t>B02.24.04.01.02</t>
  </si>
  <si>
    <t>PL</t>
  </si>
  <si>
    <t>B02.24.04.02</t>
  </si>
  <si>
    <t>国债</t>
  </si>
  <si>
    <t>B02.24.04.03</t>
  </si>
  <si>
    <t>政金债</t>
  </si>
  <si>
    <t>B02.24.04.04</t>
  </si>
  <si>
    <t>地方债</t>
  </si>
  <si>
    <t>B02.24.04.05</t>
  </si>
  <si>
    <t>铁道债</t>
  </si>
  <si>
    <t>B02.24.04.06</t>
  </si>
  <si>
    <t>银行债</t>
  </si>
  <si>
    <t>B02.24.04.07</t>
  </si>
  <si>
    <t>非银债</t>
  </si>
  <si>
    <t>B02.24.04.08</t>
  </si>
  <si>
    <t>信用债</t>
  </si>
  <si>
    <t>B02.24.04.08.01</t>
  </si>
  <si>
    <t>B02.24.04.08.02</t>
  </si>
  <si>
    <t>B02.24.04.09</t>
  </si>
  <si>
    <t>B02.24.04.10</t>
  </si>
  <si>
    <t>二级资本债</t>
  </si>
  <si>
    <t>B02.24.05</t>
  </si>
  <si>
    <t>B02.24.05.01</t>
  </si>
  <si>
    <t>B02.24.05.02</t>
  </si>
  <si>
    <t>B02.24.06</t>
  </si>
  <si>
    <t>基金投资</t>
  </si>
  <si>
    <t>B02.24.06.01</t>
  </si>
  <si>
    <t>货基</t>
  </si>
  <si>
    <t>B02.24.06.02</t>
  </si>
  <si>
    <t>债基</t>
  </si>
  <si>
    <t>B02.25</t>
  </si>
  <si>
    <t>B02.25.01</t>
  </si>
  <si>
    <t>B02.25.02</t>
  </si>
  <si>
    <t>B02.25.03</t>
  </si>
  <si>
    <t>B02.25.04</t>
  </si>
  <si>
    <t>B02.25.04.01</t>
  </si>
  <si>
    <t>B02.25.04.02</t>
  </si>
  <si>
    <t>B02.25.04.03</t>
  </si>
  <si>
    <t>B02.25.04.04</t>
  </si>
  <si>
    <t>B02.25.04.05</t>
  </si>
  <si>
    <t>B02.25.04.06</t>
  </si>
  <si>
    <t>B02.25.04.07</t>
  </si>
  <si>
    <t>B02.25.04.08</t>
  </si>
  <si>
    <t>B02.25.04.09</t>
  </si>
  <si>
    <t>B02.25.04.10</t>
  </si>
  <si>
    <t>B02.25.05</t>
  </si>
  <si>
    <t>B02.25.06</t>
  </si>
  <si>
    <t>B02.25.06.01</t>
  </si>
  <si>
    <t>B02.25.06.02</t>
  </si>
  <si>
    <t>B02.25.07</t>
  </si>
  <si>
    <t>其他PL资产</t>
  </si>
  <si>
    <t>B02.25.07.01</t>
  </si>
  <si>
    <t>PL利率债</t>
  </si>
  <si>
    <t>B02.25.07.02</t>
  </si>
  <si>
    <t>PL信用债</t>
  </si>
  <si>
    <t>B02.25.07.03</t>
  </si>
  <si>
    <t>PL同业存单投资</t>
  </si>
  <si>
    <t>B02.26</t>
  </si>
  <si>
    <t>B02.26.02</t>
  </si>
  <si>
    <t>B02.26.03</t>
  </si>
  <si>
    <t>B02.26.04</t>
  </si>
  <si>
    <t>B02.26.05</t>
  </si>
  <si>
    <t>B02.26.06</t>
  </si>
  <si>
    <t>B02.26.07</t>
  </si>
  <si>
    <t>交易性金融负债</t>
  </si>
  <si>
    <t>B02.27</t>
  </si>
  <si>
    <t>B02.27.02</t>
  </si>
  <si>
    <t>B02.27.03</t>
  </si>
  <si>
    <t>B02.27.04</t>
  </si>
  <si>
    <t>B02.27.05</t>
  </si>
  <si>
    <t>B02.27.06</t>
  </si>
  <si>
    <t>B02.27.07</t>
  </si>
  <si>
    <t>B02.14</t>
  </si>
  <si>
    <t>B02.14.01</t>
  </si>
  <si>
    <t>B02.14.01.01</t>
  </si>
  <si>
    <t>B02.14.02</t>
  </si>
  <si>
    <t>B02.14.02.01</t>
  </si>
  <si>
    <t>B02.14.02.01.01</t>
  </si>
  <si>
    <t>收息率</t>
  </si>
  <si>
    <t>B02.14.02.02</t>
  </si>
  <si>
    <t>B02.14.02.02.01</t>
  </si>
  <si>
    <t>B02.14.02.03</t>
  </si>
  <si>
    <t>B02.14.02.03.01</t>
  </si>
  <si>
    <t>B02.14.02.04</t>
  </si>
  <si>
    <t>B02.14.02.04.01</t>
  </si>
  <si>
    <t>B02.14.02.05</t>
  </si>
  <si>
    <t>B02.14.02.05.01</t>
  </si>
  <si>
    <t>B02.14.03</t>
  </si>
  <si>
    <t>B02.14.03.01</t>
  </si>
  <si>
    <t>B02.14.03.01.01</t>
  </si>
  <si>
    <t>B02.14.03.02</t>
  </si>
  <si>
    <t>B02.14.03.02.01</t>
  </si>
  <si>
    <t>B02.14.03.03</t>
  </si>
  <si>
    <t>B02.14.03.03.01</t>
  </si>
  <si>
    <t>B02.14.03.04</t>
  </si>
  <si>
    <t>B02.14.03.04.01</t>
  </si>
  <si>
    <t>B02.14.03.05</t>
  </si>
  <si>
    <t>B02.14.03.05.01</t>
  </si>
  <si>
    <t>B02.14.03.06</t>
  </si>
  <si>
    <t>B02.14.03.06.01</t>
  </si>
  <si>
    <t>B02.14.03.07</t>
  </si>
  <si>
    <t>B02.14.03.07.01</t>
  </si>
  <si>
    <t>B02.14.03.08</t>
  </si>
  <si>
    <t>B02.14.03.08.01</t>
  </si>
  <si>
    <t>B02.14.03.09</t>
  </si>
  <si>
    <t>ABS投资</t>
  </si>
  <si>
    <t>B02.14.03.09.01</t>
  </si>
  <si>
    <t>B02.14.03.10</t>
  </si>
  <si>
    <t>B02.14.03.10.01</t>
  </si>
  <si>
    <t>B02.15</t>
  </si>
  <si>
    <t>B02.15.01</t>
  </si>
  <si>
    <t>B02.15.01.01</t>
  </si>
  <si>
    <t>B02.15.02</t>
  </si>
  <si>
    <t>B02.15.02.01</t>
  </si>
  <si>
    <t>B02.15.02.01.01</t>
  </si>
  <si>
    <t>FTP</t>
  </si>
  <si>
    <t>B02.15.02.02</t>
  </si>
  <si>
    <t>B02.15.02.02.01</t>
  </si>
  <si>
    <t>B02.15.02.03</t>
  </si>
  <si>
    <t>B02.15.02.03.01</t>
  </si>
  <si>
    <t>B02.15.02.04</t>
  </si>
  <si>
    <t>B02.15.02.04.01</t>
  </si>
  <si>
    <t>B02.15.02.05</t>
  </si>
  <si>
    <t>B02.15.02.05.01</t>
  </si>
  <si>
    <t>B02.15.03</t>
  </si>
  <si>
    <t>B02.15.03.01</t>
  </si>
  <si>
    <t>B02.15.03.01.01</t>
  </si>
  <si>
    <t>B02.15.03.02</t>
  </si>
  <si>
    <t>B02.15.03.02.01</t>
  </si>
  <si>
    <t>B02.15.03.03</t>
  </si>
  <si>
    <t>B02.15.03.03.01</t>
  </si>
  <si>
    <t>B02.15.03.04</t>
  </si>
  <si>
    <t>B02.15.03.04.01</t>
  </si>
  <si>
    <t>B02.15.03.05</t>
  </si>
  <si>
    <t>B02.15.03.05.01</t>
  </si>
  <si>
    <t>B02.15.03.06</t>
  </si>
  <si>
    <t>B02.15.03.06.01</t>
  </si>
  <si>
    <t>B02.15.03.07</t>
  </si>
  <si>
    <t>B02.15.03.07.01</t>
  </si>
  <si>
    <t>B02.15.03.08</t>
  </si>
  <si>
    <t>B02.15.03.08.01</t>
  </si>
  <si>
    <t>B02.15.03.09</t>
  </si>
  <si>
    <t>B02.15.03.09.01</t>
  </si>
  <si>
    <t>B02.15.03.10</t>
  </si>
  <si>
    <t>B02.15.03.10.01</t>
  </si>
  <si>
    <t>B02.15.03.11</t>
  </si>
  <si>
    <t>B02.15.03.11.01</t>
  </si>
  <si>
    <t>B02.15.03.12</t>
  </si>
  <si>
    <t>B02.15.03.12.01</t>
  </si>
  <si>
    <t>B02.16</t>
  </si>
  <si>
    <t>B02.16.02</t>
  </si>
  <si>
    <t>B02.16.02.02</t>
  </si>
  <si>
    <t>B02.16.02.02.01</t>
  </si>
  <si>
    <t>付息率</t>
  </si>
  <si>
    <t>B02.16.02.03</t>
  </si>
  <si>
    <t>B02.16.02.03.01</t>
  </si>
  <si>
    <t>B02.16.02.04</t>
  </si>
  <si>
    <t>B02.16.02.04.01</t>
  </si>
  <si>
    <t>B02.16.02.05</t>
  </si>
  <si>
    <t>B02.16.02.05.01</t>
  </si>
  <si>
    <t>B02.16.02.06</t>
  </si>
  <si>
    <t>B02.16.02.06.01</t>
  </si>
  <si>
    <t>B02.17</t>
  </si>
  <si>
    <t>B02.17.02</t>
  </si>
  <si>
    <t>B02.17.02.01</t>
  </si>
  <si>
    <t>B02.17.02.01.01</t>
  </si>
  <si>
    <t>B02.17.02.02</t>
  </si>
  <si>
    <t>B02.17.02.02.01</t>
  </si>
  <si>
    <t>B02.17.02.03</t>
  </si>
  <si>
    <t>B02.17.02.03.01</t>
  </si>
  <si>
    <t>B02.17.02.04</t>
  </si>
  <si>
    <t>B02.17.02.04.01</t>
  </si>
  <si>
    <t>B02.17.02.05</t>
  </si>
  <si>
    <t>B02.17.02.05.01</t>
  </si>
  <si>
    <t>B02.17.03</t>
  </si>
  <si>
    <t>B02.17.03.01</t>
  </si>
  <si>
    <t>B02.18</t>
  </si>
  <si>
    <t>B02.18.99</t>
  </si>
  <si>
    <t>B02.19</t>
  </si>
  <si>
    <t>B02.19.99</t>
  </si>
  <si>
    <t>B02.20</t>
  </si>
  <si>
    <t>B02.20.01</t>
  </si>
  <si>
    <t>价差+公允价值变动损益</t>
  </si>
  <si>
    <t>B02.20.01.01</t>
  </si>
  <si>
    <t>债券价差</t>
  </si>
  <si>
    <t>B02.20.01.02</t>
  </si>
  <si>
    <t>债券公允价值变动</t>
  </si>
  <si>
    <t>B02.20.01.03</t>
  </si>
  <si>
    <t>同业存单价差</t>
  </si>
  <si>
    <t>B02.20.01.04</t>
  </si>
  <si>
    <t>同业存单公允价值变动</t>
  </si>
  <si>
    <t>B02.20.01.05</t>
  </si>
  <si>
    <t>交易性金融负债价差</t>
  </si>
  <si>
    <t>B02.20.01.06</t>
  </si>
  <si>
    <t>交易性金融负债公允价值变动</t>
  </si>
  <si>
    <t>B02.20.01.99</t>
  </si>
  <si>
    <t>B02.20.02</t>
  </si>
  <si>
    <t>PL债券投资利息收入</t>
  </si>
  <si>
    <t>B02.20.02.01</t>
  </si>
  <si>
    <t>B02.20.03</t>
  </si>
  <si>
    <t>PL同业存单投资利息收入</t>
  </si>
  <si>
    <t>B02.20.03.01</t>
  </si>
  <si>
    <t>B02.20.04</t>
  </si>
  <si>
    <t>货基投资</t>
  </si>
  <si>
    <t>B02.20.04.01</t>
  </si>
  <si>
    <t>B02.20.05</t>
  </si>
  <si>
    <t>债基投资</t>
  </si>
  <si>
    <t>B02.20.05.01</t>
  </si>
  <si>
    <t>B02.20.06</t>
  </si>
  <si>
    <t>B02.20.06.01</t>
  </si>
  <si>
    <t>B02.20.99</t>
  </si>
  <si>
    <t>返税收入</t>
  </si>
  <si>
    <t>B02.20.99.01</t>
  </si>
  <si>
    <t>B02.20.99.01.01</t>
  </si>
  <si>
    <t>B02.20.99.01.02</t>
  </si>
  <si>
    <t>返税后收益率</t>
  </si>
  <si>
    <t>B02.20.99.01.03</t>
  </si>
  <si>
    <t>B02.20.99.01.04</t>
  </si>
  <si>
    <t>B02.20.99.02</t>
  </si>
  <si>
    <t>基金</t>
  </si>
  <si>
    <t>B02.20.99.02.01</t>
  </si>
  <si>
    <t>B02.20.99.02.02</t>
  </si>
  <si>
    <t>B02.20.99.02.03</t>
  </si>
  <si>
    <t>B02.20.99.02.04</t>
  </si>
  <si>
    <t>B02.21</t>
  </si>
  <si>
    <t>B02.90</t>
  </si>
  <si>
    <t>B02.90.01</t>
  </si>
  <si>
    <t>B02.90.01.01</t>
  </si>
  <si>
    <t>B02.90.01.01.01</t>
  </si>
  <si>
    <t>B02.90.01.01.02</t>
  </si>
  <si>
    <t>B02.90.01.02</t>
  </si>
  <si>
    <t>B02.90.01.02.01</t>
  </si>
  <si>
    <t>B02.90.01.02.02</t>
  </si>
  <si>
    <t>B02.90.01.03</t>
  </si>
  <si>
    <t>B02.90.01.03.01</t>
  </si>
  <si>
    <t>B02.90.01.03.01.001</t>
  </si>
  <si>
    <t>B02.90.01.03.01.002</t>
  </si>
  <si>
    <t>B02.90.01.03.02</t>
  </si>
  <si>
    <t>B02.90.01.03.03</t>
  </si>
  <si>
    <t>B02.90.01.03.04</t>
  </si>
  <si>
    <t>B02.90.01.04</t>
  </si>
  <si>
    <t>B02.90.01.05</t>
  </si>
  <si>
    <t>B02.90.02</t>
  </si>
  <si>
    <t>B02.90.02.01</t>
  </si>
  <si>
    <t>B02.90.02.01.01</t>
  </si>
  <si>
    <t>B02.90.02.01.02</t>
  </si>
  <si>
    <t>B02.90.02.02</t>
  </si>
  <si>
    <t>B02.90.02.02.01</t>
  </si>
  <si>
    <t>B02.90.02.02.02</t>
  </si>
  <si>
    <t>B02.90.02.03</t>
  </si>
  <si>
    <t>B02.90.02.03.01</t>
  </si>
  <si>
    <t>B02.90.02.03.01.001</t>
  </si>
  <si>
    <t>B02.90.02.03.01.002</t>
  </si>
  <si>
    <t>B02.90.02.03.02</t>
  </si>
  <si>
    <t>B02.90.02.03.03</t>
  </si>
  <si>
    <t>B02.90.02.03.04</t>
  </si>
  <si>
    <t>B02.90.02.04</t>
  </si>
  <si>
    <t>B02.90.02.05</t>
  </si>
  <si>
    <t>B02.91</t>
  </si>
  <si>
    <t>B02.91.01</t>
  </si>
  <si>
    <t>B02.91.01.01</t>
  </si>
  <si>
    <t>B02.91.01.01.001</t>
  </si>
  <si>
    <t>B02.91.01.01.002</t>
  </si>
  <si>
    <t>B02.91.01.01.003</t>
  </si>
  <si>
    <t>B02.91.01.01.004</t>
  </si>
  <si>
    <t>B02.91.01.02</t>
  </si>
  <si>
    <t>B02.91.01.02.101</t>
  </si>
  <si>
    <t>B02.91.01.02.001</t>
  </si>
  <si>
    <t>B02.91.01.02.002</t>
  </si>
  <si>
    <t>B02.91.01.02.005</t>
  </si>
  <si>
    <t>B02.91.01.02.006</t>
  </si>
  <si>
    <t>B02.91.01.02.010</t>
  </si>
  <si>
    <t>B02.91.01.02.102</t>
  </si>
  <si>
    <t>B02.91.01.02.007</t>
  </si>
  <si>
    <t>B02.91.01.02.008</t>
  </si>
  <si>
    <t>B02.91.01.02.011</t>
  </si>
  <si>
    <t>B02.91.01.02.103</t>
  </si>
  <si>
    <t>B02.91.01.02.003</t>
  </si>
  <si>
    <t>B02.91.01.02.004</t>
  </si>
  <si>
    <t>B02.91.01.02.009</t>
  </si>
  <si>
    <t>B02.91.01.03</t>
  </si>
  <si>
    <t>B02.91.01.03.001</t>
  </si>
  <si>
    <t>B02.91.01.03.002</t>
  </si>
  <si>
    <t>B02.91.01.03.003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</si>
</sst>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workbookViewId="0">
      <selection activeCell="H10" sqref="H10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H2">
        <f t="shared" ref="H2:S2" si="0">H3+H6+H7</f>
        <v>646100000</v>
      </c>
      <c r="I2">
        <f t="shared" si="0"/>
        <v>599950000</v>
      </c>
      <c r="J2">
        <f t="shared" si="0"/>
        <v>719940000</v>
      </c>
      <c r="K2">
        <f t="shared" si="0"/>
        <v>148000000</v>
      </c>
      <c r="L2">
        <f t="shared" si="0"/>
        <v>151700000</v>
      </c>
      <c r="M2">
        <f t="shared" si="0"/>
        <v>157250000</v>
      </c>
      <c r="N2">
        <f t="shared" si="0"/>
        <v>162800000</v>
      </c>
      <c r="O2">
        <f t="shared" si="0"/>
        <v>160950000</v>
      </c>
      <c r="P2">
        <f t="shared" si="0"/>
        <v>157250000</v>
      </c>
      <c r="Q2">
        <f t="shared" si="0"/>
        <v>172050000</v>
      </c>
      <c r="R2">
        <f t="shared" si="0"/>
        <v>170200000</v>
      </c>
      <c r="S2">
        <f t="shared" si="0"/>
        <v>175750000</v>
      </c>
    </row>
    <row r="3" spans="1:19">
      <c r="A3" t="s">
        <v>23</v>
      </c>
      <c r="B3" t="s">
        <v>20</v>
      </c>
      <c r="C3" t="s">
        <v>24</v>
      </c>
      <c r="D3" t="s">
        <v>25</v>
      </c>
      <c r="H3">
        <f t="shared" ref="H3:S3" si="1">H4+H5</f>
        <v>486500000</v>
      </c>
      <c r="I3">
        <f t="shared" si="1"/>
        <v>451750000</v>
      </c>
      <c r="J3">
        <f t="shared" si="1"/>
        <v>542100000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</row>
    <row r="4" spans="1:19">
      <c r="A4" t="s">
        <v>26</v>
      </c>
      <c r="B4" t="s">
        <v>20</v>
      </c>
      <c r="C4" t="s">
        <v>27</v>
      </c>
      <c r="D4" t="s">
        <v>28</v>
      </c>
      <c r="H4">
        <f t="shared" ref="H4:S4" si="2">H85-H118</f>
        <v>612500000</v>
      </c>
      <c r="I4">
        <f t="shared" si="2"/>
        <v>568750000</v>
      </c>
      <c r="J4">
        <f t="shared" si="2"/>
        <v>682500000</v>
      </c>
      <c r="K4">
        <f t="shared" si="2"/>
        <v>0</v>
      </c>
      <c r="L4">
        <f t="shared" si="2"/>
        <v>0</v>
      </c>
      <c r="M4">
        <f t="shared" si="2"/>
        <v>0</v>
      </c>
      <c r="N4">
        <f t="shared" si="2"/>
        <v>0</v>
      </c>
      <c r="O4">
        <f t="shared" si="2"/>
        <v>0</v>
      </c>
      <c r="P4">
        <f t="shared" si="2"/>
        <v>0</v>
      </c>
      <c r="Q4">
        <f t="shared" si="2"/>
        <v>0</v>
      </c>
      <c r="R4">
        <f t="shared" si="2"/>
        <v>0</v>
      </c>
      <c r="S4">
        <f t="shared" si="2"/>
        <v>0</v>
      </c>
    </row>
    <row r="5" spans="1:19">
      <c r="A5" t="s">
        <v>26</v>
      </c>
      <c r="B5" t="s">
        <v>20</v>
      </c>
      <c r="C5" t="s">
        <v>29</v>
      </c>
      <c r="D5" t="s">
        <v>30</v>
      </c>
      <c r="H5">
        <f t="shared" ref="H5:S5" si="3">H152-H140</f>
        <v>-126000000</v>
      </c>
      <c r="I5">
        <f t="shared" si="3"/>
        <v>-117000000</v>
      </c>
      <c r="J5">
        <f t="shared" si="3"/>
        <v>-140400000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>
        <f t="shared" si="3"/>
        <v>0</v>
      </c>
      <c r="R5">
        <f t="shared" si="3"/>
        <v>0</v>
      </c>
      <c r="S5">
        <f t="shared" si="3"/>
        <v>0</v>
      </c>
    </row>
    <row r="6" spans="1:19">
      <c r="A6" t="s">
        <v>23</v>
      </c>
      <c r="B6" t="s">
        <v>20</v>
      </c>
      <c r="C6" t="s">
        <v>31</v>
      </c>
      <c r="D6" t="s">
        <v>32</v>
      </c>
      <c r="H6">
        <f t="shared" ref="H6:S6" si="4">H166-H181</f>
        <v>159600000</v>
      </c>
      <c r="I6">
        <f t="shared" si="4"/>
        <v>148200000</v>
      </c>
      <c r="J6">
        <f t="shared" si="4"/>
        <v>177840000</v>
      </c>
      <c r="K6">
        <f t="shared" si="4"/>
        <v>148000000</v>
      </c>
      <c r="L6">
        <f t="shared" si="4"/>
        <v>151700000</v>
      </c>
      <c r="M6">
        <f t="shared" si="4"/>
        <v>157250000</v>
      </c>
      <c r="N6">
        <f t="shared" si="4"/>
        <v>162800000</v>
      </c>
      <c r="O6">
        <f t="shared" si="4"/>
        <v>160950000</v>
      </c>
      <c r="P6">
        <f t="shared" si="4"/>
        <v>157250000</v>
      </c>
      <c r="Q6">
        <f t="shared" si="4"/>
        <v>172050000</v>
      </c>
      <c r="R6">
        <f t="shared" si="4"/>
        <v>170200000</v>
      </c>
      <c r="S6">
        <f t="shared" si="4"/>
        <v>175750000</v>
      </c>
    </row>
    <row r="7" spans="1:19">
      <c r="A7" t="s">
        <v>23</v>
      </c>
      <c r="B7" t="s">
        <v>20</v>
      </c>
      <c r="C7" t="s">
        <v>33</v>
      </c>
      <c r="D7" t="s">
        <v>34</v>
      </c>
      <c r="H7">
        <f t="shared" ref="H7:S7" si="5">H193+H196</f>
        <v>0</v>
      </c>
      <c r="I7">
        <f t="shared" si="5"/>
        <v>0</v>
      </c>
      <c r="J7">
        <f t="shared" si="5"/>
        <v>0</v>
      </c>
      <c r="K7">
        <f t="shared" si="5"/>
        <v>0</v>
      </c>
      <c r="L7">
        <f t="shared" si="5"/>
        <v>0</v>
      </c>
      <c r="M7">
        <f t="shared" si="5"/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</row>
    <row r="8" spans="1:19">
      <c r="A8" t="s">
        <v>19</v>
      </c>
      <c r="B8" t="s">
        <v>35</v>
      </c>
      <c r="C8" t="s">
        <v>36</v>
      </c>
      <c r="D8" t="s">
        <v>37</v>
      </c>
      <c r="H8">
        <v>220500000</v>
      </c>
      <c r="I8">
        <v>204750000</v>
      </c>
      <c r="J8">
        <v>245700000</v>
      </c>
      <c r="K8">
        <v>252000000</v>
      </c>
      <c r="L8">
        <v>258300000</v>
      </c>
      <c r="M8">
        <v>267750000</v>
      </c>
      <c r="N8">
        <v>277200000</v>
      </c>
      <c r="O8">
        <v>274050000</v>
      </c>
      <c r="P8">
        <v>267750000</v>
      </c>
      <c r="Q8">
        <v>292950000</v>
      </c>
      <c r="R8">
        <v>289800000</v>
      </c>
      <c r="S8">
        <v>299250000</v>
      </c>
    </row>
    <row r="9" spans="1:19">
      <c r="A9" t="s">
        <v>19</v>
      </c>
      <c r="B9" t="s">
        <v>20</v>
      </c>
      <c r="C9" t="s">
        <v>38</v>
      </c>
      <c r="D9" t="s">
        <v>39</v>
      </c>
      <c r="H9">
        <f t="shared" ref="H9:S9" si="6">H2-H8</f>
        <v>425600000</v>
      </c>
      <c r="I9">
        <f t="shared" si="6"/>
        <v>395200000</v>
      </c>
      <c r="J9">
        <f t="shared" si="6"/>
        <v>474240000</v>
      </c>
      <c r="K9">
        <f t="shared" si="6"/>
        <v>-104000000</v>
      </c>
      <c r="L9">
        <f t="shared" si="6"/>
        <v>-106600000</v>
      </c>
      <c r="M9">
        <f t="shared" si="6"/>
        <v>-110500000</v>
      </c>
      <c r="N9">
        <f t="shared" si="6"/>
        <v>-114400000</v>
      </c>
      <c r="O9">
        <f t="shared" si="6"/>
        <v>-113100000</v>
      </c>
      <c r="P9">
        <f t="shared" si="6"/>
        <v>-110500000</v>
      </c>
      <c r="Q9">
        <f t="shared" si="6"/>
        <v>-120900000</v>
      </c>
      <c r="R9">
        <f t="shared" si="6"/>
        <v>-119600000</v>
      </c>
      <c r="S9">
        <f t="shared" si="6"/>
        <v>-123500000</v>
      </c>
    </row>
    <row r="10" spans="1:19">
      <c r="A10" t="s">
        <v>19</v>
      </c>
      <c r="B10" t="s">
        <v>35</v>
      </c>
      <c r="C10" t="s">
        <v>40</v>
      </c>
      <c r="D10" t="s">
        <v>41</v>
      </c>
      <c r="H10">
        <v>10500000</v>
      </c>
      <c r="I10">
        <v>9750000</v>
      </c>
      <c r="J10">
        <v>11700000</v>
      </c>
      <c r="K10">
        <v>12000000</v>
      </c>
      <c r="L10">
        <v>12300000</v>
      </c>
      <c r="M10">
        <v>12750000</v>
      </c>
      <c r="N10">
        <v>13200000</v>
      </c>
      <c r="O10">
        <v>13050000</v>
      </c>
      <c r="P10">
        <v>12750000</v>
      </c>
      <c r="Q10">
        <v>13950000</v>
      </c>
      <c r="R10">
        <v>13800000</v>
      </c>
      <c r="S10">
        <v>14250000</v>
      </c>
    </row>
    <row r="11" spans="1:19">
      <c r="A11" t="s">
        <v>19</v>
      </c>
      <c r="B11" t="s">
        <v>35</v>
      </c>
      <c r="C11" t="s">
        <v>42</v>
      </c>
      <c r="D11" t="s">
        <v>43</v>
      </c>
      <c r="H11">
        <f t="shared" ref="H11:S11" si="7">H12+H15+H18+H25+H26</f>
        <v>144900000</v>
      </c>
      <c r="I11">
        <f t="shared" si="7"/>
        <v>134550000</v>
      </c>
      <c r="J11">
        <f t="shared" si="7"/>
        <v>161460000</v>
      </c>
      <c r="K11">
        <f t="shared" si="7"/>
        <v>165600000</v>
      </c>
      <c r="L11">
        <f t="shared" si="7"/>
        <v>169740000</v>
      </c>
      <c r="M11">
        <f t="shared" si="7"/>
        <v>175950000</v>
      </c>
      <c r="N11">
        <f t="shared" si="7"/>
        <v>182160000</v>
      </c>
      <c r="O11">
        <f t="shared" si="7"/>
        <v>180090000</v>
      </c>
      <c r="P11">
        <f t="shared" si="7"/>
        <v>175950000</v>
      </c>
      <c r="Q11">
        <f t="shared" si="7"/>
        <v>192510000</v>
      </c>
      <c r="R11">
        <f t="shared" si="7"/>
        <v>190440000</v>
      </c>
      <c r="S11">
        <f t="shared" si="7"/>
        <v>196650000</v>
      </c>
    </row>
    <row r="12" spans="1:19">
      <c r="A12" t="s">
        <v>23</v>
      </c>
      <c r="B12" t="s">
        <v>35</v>
      </c>
      <c r="C12" t="s">
        <v>44</v>
      </c>
      <c r="D12" t="s">
        <v>45</v>
      </c>
      <c r="H12">
        <f t="shared" ref="H12:S12" si="8">H13+H14</f>
        <v>56700000</v>
      </c>
      <c r="I12">
        <f t="shared" si="8"/>
        <v>52650000</v>
      </c>
      <c r="J12">
        <f t="shared" si="8"/>
        <v>63180000</v>
      </c>
      <c r="K12">
        <f t="shared" si="8"/>
        <v>64800000</v>
      </c>
      <c r="L12">
        <f t="shared" si="8"/>
        <v>66420000</v>
      </c>
      <c r="M12">
        <f t="shared" si="8"/>
        <v>68850000</v>
      </c>
      <c r="N12">
        <f t="shared" si="8"/>
        <v>71280000</v>
      </c>
      <c r="O12">
        <f t="shared" si="8"/>
        <v>70470000</v>
      </c>
      <c r="P12">
        <f t="shared" si="8"/>
        <v>68850000</v>
      </c>
      <c r="Q12">
        <f t="shared" si="8"/>
        <v>75330000</v>
      </c>
      <c r="R12">
        <f t="shared" si="8"/>
        <v>74520000</v>
      </c>
      <c r="S12">
        <f t="shared" si="8"/>
        <v>76950000</v>
      </c>
    </row>
    <row r="13" spans="1:19">
      <c r="A13" t="s">
        <v>26</v>
      </c>
      <c r="B13" t="s">
        <v>35</v>
      </c>
      <c r="C13" t="s">
        <v>46</v>
      </c>
      <c r="D13" t="s">
        <v>47</v>
      </c>
      <c r="H13">
        <v>37800000</v>
      </c>
      <c r="I13">
        <v>35100000</v>
      </c>
      <c r="J13">
        <v>42120000</v>
      </c>
      <c r="K13">
        <v>43200000</v>
      </c>
      <c r="L13">
        <v>44280000</v>
      </c>
      <c r="M13">
        <v>45900000</v>
      </c>
      <c r="N13">
        <v>47520000</v>
      </c>
      <c r="O13">
        <v>46980000</v>
      </c>
      <c r="P13">
        <v>45900000</v>
      </c>
      <c r="Q13">
        <v>50220000</v>
      </c>
      <c r="R13">
        <v>49680000</v>
      </c>
      <c r="S13">
        <v>51300000</v>
      </c>
    </row>
    <row r="14" spans="1:19">
      <c r="A14" t="s">
        <v>26</v>
      </c>
      <c r="B14" t="s">
        <v>35</v>
      </c>
      <c r="C14" t="s">
        <v>48</v>
      </c>
      <c r="D14" t="s">
        <v>49</v>
      </c>
      <c r="H14">
        <v>18900000</v>
      </c>
      <c r="I14">
        <v>17550000</v>
      </c>
      <c r="J14">
        <v>21060000</v>
      </c>
      <c r="K14">
        <v>21600000</v>
      </c>
      <c r="L14">
        <v>22140000</v>
      </c>
      <c r="M14">
        <v>22950000</v>
      </c>
      <c r="N14">
        <v>23760000</v>
      </c>
      <c r="O14">
        <v>23490000</v>
      </c>
      <c r="P14">
        <v>22950000</v>
      </c>
      <c r="Q14">
        <v>25110000</v>
      </c>
      <c r="R14">
        <v>24840000</v>
      </c>
      <c r="S14">
        <v>25650000</v>
      </c>
    </row>
    <row r="15" spans="1:19">
      <c r="A15" t="s">
        <v>23</v>
      </c>
      <c r="B15" t="s">
        <v>35</v>
      </c>
      <c r="C15" t="s">
        <v>50</v>
      </c>
      <c r="D15" t="s">
        <v>51</v>
      </c>
      <c r="H15">
        <f t="shared" ref="H15:S15" si="9">H16+H17</f>
        <v>37800000</v>
      </c>
      <c r="I15">
        <f t="shared" si="9"/>
        <v>35100000</v>
      </c>
      <c r="J15">
        <f t="shared" si="9"/>
        <v>42120000</v>
      </c>
      <c r="K15">
        <f t="shared" si="9"/>
        <v>43200000</v>
      </c>
      <c r="L15">
        <f t="shared" si="9"/>
        <v>44280000</v>
      </c>
      <c r="M15">
        <f t="shared" si="9"/>
        <v>45900000</v>
      </c>
      <c r="N15">
        <f t="shared" si="9"/>
        <v>47520000</v>
      </c>
      <c r="O15">
        <f t="shared" si="9"/>
        <v>46980000</v>
      </c>
      <c r="P15">
        <f t="shared" si="9"/>
        <v>45900000</v>
      </c>
      <c r="Q15">
        <f t="shared" si="9"/>
        <v>50220000</v>
      </c>
      <c r="R15">
        <f t="shared" si="9"/>
        <v>49680000</v>
      </c>
      <c r="S15">
        <f t="shared" si="9"/>
        <v>51300000</v>
      </c>
    </row>
    <row r="16" spans="1:19">
      <c r="A16" t="s">
        <v>26</v>
      </c>
      <c r="B16" t="s">
        <v>35</v>
      </c>
      <c r="C16" t="s">
        <v>52</v>
      </c>
      <c r="D16" t="s">
        <v>53</v>
      </c>
      <c r="H16">
        <v>22400000</v>
      </c>
      <c r="I16">
        <v>20800000</v>
      </c>
      <c r="J16">
        <v>24960000</v>
      </c>
      <c r="K16">
        <v>25600000</v>
      </c>
      <c r="L16">
        <v>26240000</v>
      </c>
      <c r="M16">
        <v>27200000</v>
      </c>
      <c r="N16">
        <v>28160000</v>
      </c>
      <c r="O16">
        <v>27840000</v>
      </c>
      <c r="P16">
        <v>27200000</v>
      </c>
      <c r="Q16">
        <v>29760000</v>
      </c>
      <c r="R16">
        <v>29440000</v>
      </c>
      <c r="S16">
        <v>30400000</v>
      </c>
    </row>
    <row r="17" spans="1:19">
      <c r="A17" t="s">
        <v>26</v>
      </c>
      <c r="B17" t="s">
        <v>35</v>
      </c>
      <c r="C17" t="s">
        <v>54</v>
      </c>
      <c r="D17" t="s">
        <v>55</v>
      </c>
      <c r="H17">
        <v>15400000</v>
      </c>
      <c r="I17">
        <v>14300000</v>
      </c>
      <c r="J17">
        <v>17160000</v>
      </c>
      <c r="K17">
        <v>17600000</v>
      </c>
      <c r="L17">
        <v>18040000</v>
      </c>
      <c r="M17">
        <v>18700000</v>
      </c>
      <c r="N17">
        <v>19360000</v>
      </c>
      <c r="O17">
        <v>19140000</v>
      </c>
      <c r="P17">
        <v>18700000</v>
      </c>
      <c r="Q17">
        <v>20460000</v>
      </c>
      <c r="R17">
        <v>20240000</v>
      </c>
      <c r="S17">
        <v>20900000</v>
      </c>
    </row>
    <row r="18" spans="1:19">
      <c r="A18" t="s">
        <v>23</v>
      </c>
      <c r="B18" t="s">
        <v>35</v>
      </c>
      <c r="C18" t="s">
        <v>56</v>
      </c>
      <c r="D18" t="s">
        <v>57</v>
      </c>
      <c r="H18">
        <f t="shared" ref="H18:S18" si="10">H19+H22+H23+H24</f>
        <v>31500000</v>
      </c>
      <c r="I18">
        <f t="shared" si="10"/>
        <v>29250000</v>
      </c>
      <c r="J18">
        <f t="shared" si="10"/>
        <v>35100000</v>
      </c>
      <c r="K18">
        <f t="shared" si="10"/>
        <v>36000000</v>
      </c>
      <c r="L18">
        <f t="shared" si="10"/>
        <v>36900000</v>
      </c>
      <c r="M18">
        <f t="shared" si="10"/>
        <v>38250000</v>
      </c>
      <c r="N18">
        <f t="shared" si="10"/>
        <v>39600000</v>
      </c>
      <c r="O18">
        <f t="shared" si="10"/>
        <v>39150000</v>
      </c>
      <c r="P18">
        <f t="shared" si="10"/>
        <v>38250000</v>
      </c>
      <c r="Q18">
        <f t="shared" si="10"/>
        <v>41850000</v>
      </c>
      <c r="R18">
        <f t="shared" si="10"/>
        <v>41400000</v>
      </c>
      <c r="S18">
        <f t="shared" si="10"/>
        <v>42750000</v>
      </c>
    </row>
    <row r="19" spans="1:19">
      <c r="A19" t="s">
        <v>26</v>
      </c>
      <c r="B19" t="s">
        <v>35</v>
      </c>
      <c r="C19" t="s">
        <v>58</v>
      </c>
      <c r="D19" t="s">
        <v>59</v>
      </c>
      <c r="H19">
        <f t="shared" ref="H19:S19" si="11">H20+H21</f>
        <v>15400000</v>
      </c>
      <c r="I19">
        <f t="shared" si="11"/>
        <v>14300000</v>
      </c>
      <c r="J19">
        <f t="shared" si="11"/>
        <v>17160000</v>
      </c>
      <c r="K19">
        <f t="shared" si="11"/>
        <v>17600000</v>
      </c>
      <c r="L19">
        <f t="shared" si="11"/>
        <v>18040000</v>
      </c>
      <c r="M19">
        <f t="shared" si="11"/>
        <v>18700000</v>
      </c>
      <c r="N19">
        <f t="shared" si="11"/>
        <v>19360000</v>
      </c>
      <c r="O19">
        <f t="shared" si="11"/>
        <v>19140000</v>
      </c>
      <c r="P19">
        <f t="shared" si="11"/>
        <v>18700000</v>
      </c>
      <c r="Q19">
        <f t="shared" si="11"/>
        <v>20460000</v>
      </c>
      <c r="R19">
        <f t="shared" si="11"/>
        <v>20240000</v>
      </c>
      <c r="S19">
        <f t="shared" si="11"/>
        <v>20900000</v>
      </c>
    </row>
    <row r="20" spans="1:19">
      <c r="A20" t="s">
        <v>60</v>
      </c>
      <c r="B20" t="s">
        <v>35</v>
      </c>
      <c r="C20" t="s">
        <v>61</v>
      </c>
      <c r="D20" t="s">
        <v>62</v>
      </c>
      <c r="H20">
        <v>9100000</v>
      </c>
      <c r="I20">
        <v>8450000</v>
      </c>
      <c r="J20">
        <v>10140000</v>
      </c>
      <c r="K20">
        <v>10400000</v>
      </c>
      <c r="L20">
        <v>10660000</v>
      </c>
      <c r="M20">
        <v>11050000</v>
      </c>
      <c r="N20">
        <v>11440000</v>
      </c>
      <c r="O20">
        <v>11310000</v>
      </c>
      <c r="P20">
        <v>11050000</v>
      </c>
      <c r="Q20">
        <v>12090000</v>
      </c>
      <c r="R20">
        <v>11960000</v>
      </c>
      <c r="S20">
        <v>12350000</v>
      </c>
    </row>
    <row r="21" spans="1:19">
      <c r="A21" t="s">
        <v>60</v>
      </c>
      <c r="B21" t="s">
        <v>35</v>
      </c>
      <c r="C21" t="s">
        <v>63</v>
      </c>
      <c r="D21" t="s">
        <v>64</v>
      </c>
      <c r="H21">
        <v>6300000</v>
      </c>
      <c r="I21">
        <v>5850000</v>
      </c>
      <c r="J21">
        <v>7020000</v>
      </c>
      <c r="K21">
        <v>7200000</v>
      </c>
      <c r="L21">
        <v>7380000</v>
      </c>
      <c r="M21">
        <v>7650000</v>
      </c>
      <c r="N21">
        <v>7920000</v>
      </c>
      <c r="O21">
        <v>7830000</v>
      </c>
      <c r="P21">
        <v>7650000</v>
      </c>
      <c r="Q21">
        <v>8370000</v>
      </c>
      <c r="R21">
        <v>8280000</v>
      </c>
      <c r="S21">
        <v>8550000</v>
      </c>
    </row>
    <row r="22" spans="1:19">
      <c r="A22" t="s">
        <v>26</v>
      </c>
      <c r="B22" t="s">
        <v>35</v>
      </c>
      <c r="C22" t="s">
        <v>65</v>
      </c>
      <c r="D22" t="s">
        <v>66</v>
      </c>
      <c r="H22">
        <v>6300000</v>
      </c>
      <c r="I22">
        <v>5850000</v>
      </c>
      <c r="J22">
        <v>7020000</v>
      </c>
      <c r="K22">
        <v>7200000</v>
      </c>
      <c r="L22">
        <v>7380000</v>
      </c>
      <c r="M22">
        <v>7650000</v>
      </c>
      <c r="N22">
        <v>7920000</v>
      </c>
      <c r="O22">
        <v>7830000</v>
      </c>
      <c r="P22">
        <v>7650000</v>
      </c>
      <c r="Q22">
        <v>8370000</v>
      </c>
      <c r="R22">
        <v>8280000</v>
      </c>
      <c r="S22">
        <v>8550000</v>
      </c>
    </row>
    <row r="23" spans="1:19">
      <c r="A23" t="s">
        <v>26</v>
      </c>
      <c r="B23" t="s">
        <v>35</v>
      </c>
      <c r="C23" t="s">
        <v>67</v>
      </c>
      <c r="D23" t="s">
        <v>68</v>
      </c>
      <c r="H23">
        <v>4900000</v>
      </c>
      <c r="I23">
        <v>4550000</v>
      </c>
      <c r="J23">
        <v>5460000</v>
      </c>
      <c r="K23">
        <v>5600000</v>
      </c>
      <c r="L23">
        <v>5740000</v>
      </c>
      <c r="M23">
        <v>5950000</v>
      </c>
      <c r="N23">
        <v>6160000</v>
      </c>
      <c r="O23">
        <v>6090000</v>
      </c>
      <c r="P23">
        <v>5950000</v>
      </c>
      <c r="Q23">
        <v>6510000</v>
      </c>
      <c r="R23">
        <v>6440000</v>
      </c>
      <c r="S23">
        <v>6650000</v>
      </c>
    </row>
    <row r="24" spans="1:19">
      <c r="A24" t="s">
        <v>26</v>
      </c>
      <c r="B24" t="s">
        <v>35</v>
      </c>
      <c r="C24" t="s">
        <v>69</v>
      </c>
      <c r="D24" t="s">
        <v>70</v>
      </c>
      <c r="H24">
        <v>4900000</v>
      </c>
      <c r="I24">
        <v>4550000</v>
      </c>
      <c r="J24">
        <v>5460000</v>
      </c>
      <c r="K24">
        <v>5600000</v>
      </c>
      <c r="L24">
        <v>5740000</v>
      </c>
      <c r="M24">
        <v>5950000</v>
      </c>
      <c r="N24">
        <v>6160000</v>
      </c>
      <c r="O24">
        <v>6090000</v>
      </c>
      <c r="P24">
        <v>5950000</v>
      </c>
      <c r="Q24">
        <v>6510000</v>
      </c>
      <c r="R24">
        <v>6440000</v>
      </c>
      <c r="S24">
        <v>6650000</v>
      </c>
    </row>
    <row r="25" spans="1:19">
      <c r="A25" t="s">
        <v>23</v>
      </c>
      <c r="B25" t="s">
        <v>35</v>
      </c>
      <c r="C25" t="s">
        <v>71</v>
      </c>
      <c r="D25" t="s">
        <v>72</v>
      </c>
      <c r="H25">
        <v>9800000</v>
      </c>
      <c r="I25">
        <v>9100000</v>
      </c>
      <c r="J25">
        <v>10920000</v>
      </c>
      <c r="K25">
        <v>11200000</v>
      </c>
      <c r="L25">
        <v>11480000</v>
      </c>
      <c r="M25">
        <v>11900000</v>
      </c>
      <c r="N25">
        <v>12320000</v>
      </c>
      <c r="O25">
        <v>12180000</v>
      </c>
      <c r="P25">
        <v>11900000</v>
      </c>
      <c r="Q25">
        <v>13020000</v>
      </c>
      <c r="R25">
        <v>12880000</v>
      </c>
      <c r="S25">
        <v>13300000</v>
      </c>
    </row>
    <row r="26" spans="1:19">
      <c r="A26" t="s">
        <v>23</v>
      </c>
      <c r="B26" t="s">
        <v>35</v>
      </c>
      <c r="C26" t="s">
        <v>73</v>
      </c>
      <c r="D26" t="s">
        <v>74</v>
      </c>
      <c r="H26">
        <v>9100000</v>
      </c>
      <c r="I26">
        <v>8450000</v>
      </c>
      <c r="J26">
        <v>10140000</v>
      </c>
      <c r="K26">
        <v>10400000</v>
      </c>
      <c r="L26">
        <v>10660000</v>
      </c>
      <c r="M26">
        <v>11050000</v>
      </c>
      <c r="N26">
        <v>11440000</v>
      </c>
      <c r="O26">
        <v>11310000</v>
      </c>
      <c r="P26">
        <v>11050000</v>
      </c>
      <c r="Q26">
        <v>12090000</v>
      </c>
      <c r="R26">
        <v>11960000</v>
      </c>
      <c r="S26">
        <v>12350000</v>
      </c>
    </row>
    <row r="27" spans="1:19">
      <c r="A27" t="s">
        <v>19</v>
      </c>
      <c r="B27" t="s">
        <v>20</v>
      </c>
      <c r="C27" t="s">
        <v>75</v>
      </c>
      <c r="D27" t="s">
        <v>76</v>
      </c>
      <c r="H27">
        <v>4200000</v>
      </c>
      <c r="I27">
        <v>3900000</v>
      </c>
      <c r="J27">
        <v>4680000</v>
      </c>
      <c r="K27">
        <v>4800000</v>
      </c>
      <c r="L27">
        <v>4920000</v>
      </c>
      <c r="M27">
        <v>5100000</v>
      </c>
      <c r="N27">
        <v>5280000</v>
      </c>
      <c r="O27">
        <v>5220000</v>
      </c>
      <c r="P27">
        <v>5100000</v>
      </c>
      <c r="Q27">
        <v>5580000</v>
      </c>
      <c r="R27">
        <v>5520000</v>
      </c>
      <c r="S27">
        <v>5700000</v>
      </c>
    </row>
    <row r="28" spans="1:19">
      <c r="A28" t="s">
        <v>19</v>
      </c>
      <c r="B28" t="s">
        <v>77</v>
      </c>
      <c r="C28" t="s">
        <v>78</v>
      </c>
      <c r="D28" t="s">
        <v>79</v>
      </c>
      <c r="H28">
        <f t="shared" ref="H28:S28" si="12">H9-H10-H11+H27</f>
        <v>274400000</v>
      </c>
      <c r="I28">
        <f t="shared" si="12"/>
        <v>254800000</v>
      </c>
      <c r="J28">
        <f t="shared" si="12"/>
        <v>305760000</v>
      </c>
      <c r="K28">
        <f t="shared" si="12"/>
        <v>-276800000</v>
      </c>
      <c r="L28">
        <f t="shared" si="12"/>
        <v>-283720000</v>
      </c>
      <c r="M28">
        <f t="shared" si="12"/>
        <v>-294100000</v>
      </c>
      <c r="N28">
        <f t="shared" si="12"/>
        <v>-304480000</v>
      </c>
      <c r="O28">
        <f t="shared" si="12"/>
        <v>-301020000</v>
      </c>
      <c r="P28">
        <f t="shared" si="12"/>
        <v>-294100000</v>
      </c>
      <c r="Q28">
        <f t="shared" si="12"/>
        <v>-321780000</v>
      </c>
      <c r="R28">
        <f t="shared" si="12"/>
        <v>-318320000</v>
      </c>
      <c r="S28">
        <f t="shared" si="12"/>
        <v>-328700000</v>
      </c>
    </row>
    <row r="29" spans="1:19">
      <c r="A29" t="s">
        <v>19</v>
      </c>
      <c r="B29" t="s">
        <v>35</v>
      </c>
      <c r="C29" t="s">
        <v>80</v>
      </c>
      <c r="D29" t="s">
        <v>81</v>
      </c>
      <c r="H29">
        <v>21000000</v>
      </c>
      <c r="I29">
        <v>19500000</v>
      </c>
      <c r="J29">
        <v>23400000</v>
      </c>
      <c r="K29">
        <v>24000000</v>
      </c>
      <c r="L29">
        <v>24600000</v>
      </c>
      <c r="M29">
        <v>25500000</v>
      </c>
      <c r="N29">
        <v>26400000</v>
      </c>
      <c r="O29">
        <v>26100000</v>
      </c>
      <c r="P29">
        <v>25500000</v>
      </c>
      <c r="Q29">
        <v>27900000</v>
      </c>
      <c r="R29">
        <v>27600000</v>
      </c>
      <c r="S29">
        <v>28500000</v>
      </c>
    </row>
    <row r="30" spans="1:19">
      <c r="A30" t="s">
        <v>19</v>
      </c>
      <c r="B30" t="s">
        <v>77</v>
      </c>
      <c r="C30" t="s">
        <v>82</v>
      </c>
      <c r="D30" t="s">
        <v>83</v>
      </c>
      <c r="H30">
        <f t="shared" ref="H30:S30" si="13">H28-H29</f>
        <v>253400000</v>
      </c>
      <c r="I30">
        <f t="shared" si="13"/>
        <v>235300000</v>
      </c>
      <c r="J30">
        <f t="shared" si="13"/>
        <v>282360000</v>
      </c>
      <c r="K30">
        <f t="shared" si="13"/>
        <v>-300800000</v>
      </c>
      <c r="L30">
        <f t="shared" si="13"/>
        <v>-308320000</v>
      </c>
      <c r="M30">
        <f t="shared" si="13"/>
        <v>-319600000</v>
      </c>
      <c r="N30">
        <f t="shared" si="13"/>
        <v>-330880000</v>
      </c>
      <c r="O30">
        <f t="shared" si="13"/>
        <v>-327120000</v>
      </c>
      <c r="P30">
        <f t="shared" si="13"/>
        <v>-319600000</v>
      </c>
      <c r="Q30">
        <f t="shared" si="13"/>
        <v>-349680000</v>
      </c>
      <c r="R30">
        <f t="shared" si="13"/>
        <v>-345920000</v>
      </c>
      <c r="S30">
        <f t="shared" si="13"/>
        <v>-357200000</v>
      </c>
    </row>
    <row r="31" spans="1:19">
      <c r="A31" t="s">
        <v>19</v>
      </c>
      <c r="B31" t="s">
        <v>84</v>
      </c>
      <c r="C31" t="s">
        <v>85</v>
      </c>
      <c r="D31" t="s">
        <v>86</v>
      </c>
      <c r="H31">
        <f t="shared" ref="H31:S31" si="14">H32+H39+H40+H44</f>
        <v>7245000000</v>
      </c>
      <c r="I31">
        <f t="shared" si="14"/>
        <v>7534800000</v>
      </c>
      <c r="J31">
        <f t="shared" si="14"/>
        <v>7921200000</v>
      </c>
      <c r="K31">
        <f t="shared" si="14"/>
        <v>8017800000</v>
      </c>
      <c r="L31">
        <f t="shared" si="14"/>
        <v>8211000000</v>
      </c>
      <c r="M31">
        <f t="shared" si="14"/>
        <v>8404200000</v>
      </c>
      <c r="N31">
        <f t="shared" si="14"/>
        <v>8500800000</v>
      </c>
      <c r="O31">
        <f t="shared" si="14"/>
        <v>8307600000</v>
      </c>
      <c r="P31">
        <f t="shared" si="14"/>
        <v>8114400000</v>
      </c>
      <c r="Q31">
        <f t="shared" si="14"/>
        <v>8017800000</v>
      </c>
      <c r="R31">
        <f t="shared" si="14"/>
        <v>7921200000</v>
      </c>
      <c r="S31">
        <f t="shared" si="14"/>
        <v>8404200000</v>
      </c>
    </row>
    <row r="32" spans="1:19">
      <c r="A32" t="s">
        <v>23</v>
      </c>
      <c r="B32" t="s">
        <v>84</v>
      </c>
      <c r="C32" t="s">
        <v>87</v>
      </c>
      <c r="D32" t="s">
        <v>88</v>
      </c>
      <c r="H32">
        <f t="shared" ref="H32:S32" si="15">H33+H36</f>
        <v>5512500000</v>
      </c>
      <c r="I32">
        <f t="shared" si="15"/>
        <v>5733000000</v>
      </c>
      <c r="J32">
        <f t="shared" si="15"/>
        <v>6027000000</v>
      </c>
      <c r="K32">
        <f t="shared" si="15"/>
        <v>6100500000</v>
      </c>
      <c r="L32">
        <f t="shared" si="15"/>
        <v>6247500000</v>
      </c>
      <c r="M32">
        <f t="shared" si="15"/>
        <v>6394500000</v>
      </c>
      <c r="N32">
        <f t="shared" si="15"/>
        <v>6468000000</v>
      </c>
      <c r="O32">
        <f t="shared" si="15"/>
        <v>6321000000</v>
      </c>
      <c r="P32">
        <f t="shared" si="15"/>
        <v>6174000000</v>
      </c>
      <c r="Q32">
        <f t="shared" si="15"/>
        <v>6100500000</v>
      </c>
      <c r="R32">
        <f t="shared" si="15"/>
        <v>6027000000</v>
      </c>
      <c r="S32">
        <f t="shared" si="15"/>
        <v>6394500000</v>
      </c>
    </row>
    <row r="33" spans="1:19">
      <c r="A33" t="s">
        <v>26</v>
      </c>
      <c r="B33" t="s">
        <v>84</v>
      </c>
      <c r="C33" t="s">
        <v>89</v>
      </c>
      <c r="D33" t="s">
        <v>90</v>
      </c>
      <c r="H33">
        <f t="shared" ref="H33:S33" si="16">H34+H35</f>
        <v>4725000000</v>
      </c>
      <c r="I33">
        <f t="shared" si="16"/>
        <v>4914000000</v>
      </c>
      <c r="J33">
        <f t="shared" si="16"/>
        <v>5166000000</v>
      </c>
      <c r="K33">
        <f t="shared" si="16"/>
        <v>5229000000</v>
      </c>
      <c r="L33">
        <f t="shared" si="16"/>
        <v>5355000000</v>
      </c>
      <c r="M33">
        <f t="shared" si="16"/>
        <v>5481000000</v>
      </c>
      <c r="N33">
        <f t="shared" si="16"/>
        <v>5544000000</v>
      </c>
      <c r="O33">
        <f t="shared" si="16"/>
        <v>5418000000</v>
      </c>
      <c r="P33">
        <f t="shared" si="16"/>
        <v>5292000000</v>
      </c>
      <c r="Q33">
        <f t="shared" si="16"/>
        <v>5229000000</v>
      </c>
      <c r="R33">
        <f t="shared" si="16"/>
        <v>5166000000</v>
      </c>
      <c r="S33">
        <f t="shared" si="16"/>
        <v>5481000000</v>
      </c>
    </row>
    <row r="34" spans="1:19">
      <c r="A34" t="s">
        <v>60</v>
      </c>
      <c r="B34" t="s">
        <v>84</v>
      </c>
      <c r="C34" t="s">
        <v>91</v>
      </c>
      <c r="D34" t="s">
        <v>92</v>
      </c>
      <c r="H34">
        <v>2756250000</v>
      </c>
      <c r="I34">
        <v>2866500000</v>
      </c>
      <c r="J34">
        <v>3013500000</v>
      </c>
      <c r="K34">
        <v>3050250000</v>
      </c>
      <c r="L34">
        <v>3123750000</v>
      </c>
      <c r="M34">
        <v>3197250000</v>
      </c>
      <c r="N34">
        <v>3234000000</v>
      </c>
      <c r="O34">
        <v>3160500000</v>
      </c>
      <c r="P34">
        <v>3087000000</v>
      </c>
      <c r="Q34">
        <v>3050250000</v>
      </c>
      <c r="R34">
        <v>3013500000</v>
      </c>
      <c r="S34">
        <v>3197250000</v>
      </c>
    </row>
    <row r="35" spans="1:19">
      <c r="A35" t="s">
        <v>60</v>
      </c>
      <c r="B35" t="s">
        <v>84</v>
      </c>
      <c r="C35" t="s">
        <v>93</v>
      </c>
      <c r="D35" t="s">
        <v>94</v>
      </c>
      <c r="H35">
        <v>1968750000</v>
      </c>
      <c r="I35">
        <v>2047500000</v>
      </c>
      <c r="J35">
        <v>2152500000</v>
      </c>
      <c r="K35">
        <v>2178750000</v>
      </c>
      <c r="L35">
        <v>2231250000</v>
      </c>
      <c r="M35">
        <v>2283750000</v>
      </c>
      <c r="N35">
        <v>2310000000</v>
      </c>
      <c r="O35">
        <v>2257500000</v>
      </c>
      <c r="P35">
        <v>2205000000</v>
      </c>
      <c r="Q35">
        <v>2178750000</v>
      </c>
      <c r="R35">
        <v>2152500000</v>
      </c>
      <c r="S35">
        <v>2283750000</v>
      </c>
    </row>
    <row r="36" spans="1:19">
      <c r="A36" t="s">
        <v>26</v>
      </c>
      <c r="B36" t="s">
        <v>84</v>
      </c>
      <c r="C36" t="s">
        <v>95</v>
      </c>
      <c r="D36" t="s">
        <v>96</v>
      </c>
      <c r="H36">
        <f t="shared" ref="H36:S36" si="17">H37+H38</f>
        <v>787500000</v>
      </c>
      <c r="I36">
        <f t="shared" si="17"/>
        <v>819000000</v>
      </c>
      <c r="J36">
        <f t="shared" si="17"/>
        <v>861000000</v>
      </c>
      <c r="K36">
        <f t="shared" si="17"/>
        <v>871500000</v>
      </c>
      <c r="L36">
        <f t="shared" si="17"/>
        <v>892500000</v>
      </c>
      <c r="M36">
        <f t="shared" si="17"/>
        <v>913500000</v>
      </c>
      <c r="N36">
        <f t="shared" si="17"/>
        <v>924000000</v>
      </c>
      <c r="O36">
        <f t="shared" si="17"/>
        <v>903000000</v>
      </c>
      <c r="P36">
        <f t="shared" si="17"/>
        <v>882000000</v>
      </c>
      <c r="Q36">
        <f t="shared" si="17"/>
        <v>871500000</v>
      </c>
      <c r="R36">
        <f t="shared" si="17"/>
        <v>861000000</v>
      </c>
      <c r="S36">
        <f t="shared" si="17"/>
        <v>913500000</v>
      </c>
    </row>
    <row r="37" spans="1:19">
      <c r="A37" t="s">
        <v>60</v>
      </c>
      <c r="B37" t="s">
        <v>84</v>
      </c>
      <c r="C37" t="s">
        <v>97</v>
      </c>
      <c r="D37" t="s">
        <v>98</v>
      </c>
      <c r="H37">
        <v>472500000</v>
      </c>
      <c r="I37">
        <v>491400000</v>
      </c>
      <c r="J37">
        <v>516600000</v>
      </c>
      <c r="K37">
        <v>522900000</v>
      </c>
      <c r="L37">
        <v>535500000</v>
      </c>
      <c r="M37">
        <v>548100000</v>
      </c>
      <c r="N37">
        <v>554400000</v>
      </c>
      <c r="O37">
        <v>541800000</v>
      </c>
      <c r="P37">
        <v>529200000</v>
      </c>
      <c r="Q37">
        <v>522900000</v>
      </c>
      <c r="R37">
        <v>516600000</v>
      </c>
      <c r="S37">
        <v>548100000</v>
      </c>
    </row>
    <row r="38" spans="1:19">
      <c r="A38" t="s">
        <v>60</v>
      </c>
      <c r="B38" t="s">
        <v>84</v>
      </c>
      <c r="C38" t="s">
        <v>99</v>
      </c>
      <c r="D38" t="s">
        <v>100</v>
      </c>
      <c r="H38">
        <v>315000000</v>
      </c>
      <c r="I38">
        <v>327600000</v>
      </c>
      <c r="J38">
        <v>344400000</v>
      </c>
      <c r="K38">
        <v>348600000</v>
      </c>
      <c r="L38">
        <v>357000000</v>
      </c>
      <c r="M38">
        <v>365400000</v>
      </c>
      <c r="N38">
        <v>369600000</v>
      </c>
      <c r="O38">
        <v>361200000</v>
      </c>
      <c r="P38">
        <v>352800000</v>
      </c>
      <c r="Q38">
        <v>348600000</v>
      </c>
      <c r="R38">
        <v>344400000</v>
      </c>
      <c r="S38">
        <v>365400000</v>
      </c>
    </row>
    <row r="39" spans="1:19">
      <c r="A39" t="s">
        <v>23</v>
      </c>
      <c r="B39" t="s">
        <v>84</v>
      </c>
      <c r="C39" t="s">
        <v>101</v>
      </c>
      <c r="D39" t="s">
        <v>102</v>
      </c>
      <c r="H39">
        <v>1181250000</v>
      </c>
      <c r="I39">
        <v>1228500000</v>
      </c>
      <c r="J39">
        <v>1291500000</v>
      </c>
      <c r="K39">
        <v>1307250000</v>
      </c>
      <c r="L39">
        <v>1338750000</v>
      </c>
      <c r="M39">
        <v>1370250000</v>
      </c>
      <c r="N39">
        <v>1386000000</v>
      </c>
      <c r="O39">
        <v>1354500000</v>
      </c>
      <c r="P39">
        <v>1323000000</v>
      </c>
      <c r="Q39">
        <v>1307250000</v>
      </c>
      <c r="R39">
        <v>1291500000</v>
      </c>
      <c r="S39">
        <v>1370250000</v>
      </c>
    </row>
    <row r="40" spans="1:19">
      <c r="A40" t="s">
        <v>23</v>
      </c>
      <c r="B40" t="s">
        <v>84</v>
      </c>
      <c r="C40" t="s">
        <v>103</v>
      </c>
      <c r="D40" t="s">
        <v>104</v>
      </c>
      <c r="H40">
        <f t="shared" ref="H40:S40" si="18">H41+H42+H43</f>
        <v>0</v>
      </c>
      <c r="I40">
        <f t="shared" si="18"/>
        <v>0</v>
      </c>
      <c r="J40">
        <f t="shared" si="18"/>
        <v>0</v>
      </c>
      <c r="K40">
        <f t="shared" si="18"/>
        <v>0</v>
      </c>
      <c r="L40">
        <f t="shared" si="18"/>
        <v>0</v>
      </c>
      <c r="M40">
        <f t="shared" si="18"/>
        <v>0</v>
      </c>
      <c r="N40">
        <f t="shared" si="18"/>
        <v>0</v>
      </c>
      <c r="O40">
        <f t="shared" si="18"/>
        <v>0</v>
      </c>
      <c r="P40">
        <f t="shared" si="18"/>
        <v>0</v>
      </c>
      <c r="Q40">
        <f t="shared" si="18"/>
        <v>0</v>
      </c>
      <c r="R40">
        <f t="shared" si="18"/>
        <v>0</v>
      </c>
      <c r="S40">
        <f t="shared" si="18"/>
        <v>0</v>
      </c>
    </row>
    <row r="41" spans="1:19">
      <c r="A41" t="s">
        <v>26</v>
      </c>
      <c r="B41" t="s">
        <v>84</v>
      </c>
      <c r="C41" t="s">
        <v>105</v>
      </c>
      <c r="D41" t="s">
        <v>106</v>
      </c>
    </row>
    <row r="42" spans="1:19">
      <c r="A42" t="s">
        <v>26</v>
      </c>
      <c r="B42" t="s">
        <v>84</v>
      </c>
      <c r="C42" t="s">
        <v>107</v>
      </c>
      <c r="D42" t="s">
        <v>108</v>
      </c>
    </row>
    <row r="43" spans="1:19">
      <c r="A43" t="s">
        <v>26</v>
      </c>
      <c r="B43" t="s">
        <v>84</v>
      </c>
      <c r="C43" t="s">
        <v>109</v>
      </c>
      <c r="D43" t="s">
        <v>110</v>
      </c>
    </row>
    <row r="44" spans="1:19">
      <c r="A44" t="s">
        <v>23</v>
      </c>
      <c r="B44" t="s">
        <v>84</v>
      </c>
      <c r="C44" t="s">
        <v>111</v>
      </c>
      <c r="D44" t="s">
        <v>112</v>
      </c>
      <c r="H44">
        <v>551250000</v>
      </c>
      <c r="I44">
        <v>573300000</v>
      </c>
      <c r="J44">
        <v>602700000</v>
      </c>
      <c r="K44">
        <v>610050000</v>
      </c>
      <c r="L44">
        <v>624750000</v>
      </c>
      <c r="M44">
        <v>639450000</v>
      </c>
      <c r="N44">
        <v>646800000</v>
      </c>
      <c r="O44">
        <v>632100000</v>
      </c>
      <c r="P44">
        <v>617400000</v>
      </c>
      <c r="Q44">
        <v>610050000</v>
      </c>
      <c r="R44">
        <v>602700000</v>
      </c>
      <c r="S44">
        <v>639450000</v>
      </c>
    </row>
    <row r="45" spans="1:19">
      <c r="A45" t="s">
        <v>19</v>
      </c>
      <c r="B45" t="s">
        <v>113</v>
      </c>
      <c r="C45" t="s">
        <v>114</v>
      </c>
      <c r="D45" t="s">
        <v>115</v>
      </c>
      <c r="H45">
        <f t="shared" ref="H45:S45" si="19">H46+H53+H54+H58</f>
        <v>1732500000</v>
      </c>
      <c r="I45">
        <f t="shared" si="19"/>
        <v>1801800000</v>
      </c>
      <c r="J45">
        <f t="shared" si="19"/>
        <v>1894200000</v>
      </c>
      <c r="K45">
        <f t="shared" si="19"/>
        <v>1917300000</v>
      </c>
      <c r="L45">
        <f t="shared" si="19"/>
        <v>1963500000</v>
      </c>
      <c r="M45">
        <f t="shared" si="19"/>
        <v>2009700000</v>
      </c>
      <c r="N45">
        <f t="shared" si="19"/>
        <v>2032800000</v>
      </c>
      <c r="O45">
        <f t="shared" si="19"/>
        <v>1986600000</v>
      </c>
      <c r="P45">
        <f t="shared" si="19"/>
        <v>1940400000</v>
      </c>
      <c r="Q45">
        <f t="shared" si="19"/>
        <v>1917300000</v>
      </c>
      <c r="R45">
        <f t="shared" si="19"/>
        <v>1894200000</v>
      </c>
      <c r="S45">
        <f t="shared" si="19"/>
        <v>2009700000</v>
      </c>
    </row>
    <row r="46" spans="1:19">
      <c r="A46" t="s">
        <v>23</v>
      </c>
      <c r="B46" t="s">
        <v>113</v>
      </c>
      <c r="C46" t="s">
        <v>116</v>
      </c>
      <c r="D46" t="s">
        <v>117</v>
      </c>
      <c r="H46">
        <f t="shared" ref="H46:S46" si="20">H47+H50</f>
        <v>0</v>
      </c>
      <c r="I46">
        <f t="shared" si="20"/>
        <v>0</v>
      </c>
      <c r="J46">
        <f t="shared" si="20"/>
        <v>0</v>
      </c>
      <c r="K46">
        <f t="shared" si="20"/>
        <v>0</v>
      </c>
      <c r="L46">
        <f t="shared" si="20"/>
        <v>0</v>
      </c>
      <c r="M46">
        <f t="shared" si="20"/>
        <v>0</v>
      </c>
      <c r="N46">
        <f t="shared" si="20"/>
        <v>0</v>
      </c>
      <c r="O46">
        <f t="shared" si="20"/>
        <v>0</v>
      </c>
      <c r="P46">
        <f t="shared" si="20"/>
        <v>0</v>
      </c>
      <c r="Q46">
        <f t="shared" si="20"/>
        <v>0</v>
      </c>
      <c r="R46">
        <f t="shared" si="20"/>
        <v>0</v>
      </c>
      <c r="S46">
        <f t="shared" si="20"/>
        <v>0</v>
      </c>
    </row>
    <row r="47" spans="1:19">
      <c r="A47" t="s">
        <v>26</v>
      </c>
      <c r="B47" t="s">
        <v>113</v>
      </c>
      <c r="C47" t="s">
        <v>118</v>
      </c>
      <c r="D47" t="s">
        <v>90</v>
      </c>
      <c r="H47">
        <f t="shared" ref="H47:S47" si="21">H48+H49</f>
        <v>0</v>
      </c>
      <c r="I47">
        <f t="shared" si="21"/>
        <v>0</v>
      </c>
      <c r="J47">
        <f t="shared" si="21"/>
        <v>0</v>
      </c>
      <c r="K47">
        <f t="shared" si="21"/>
        <v>0</v>
      </c>
      <c r="L47">
        <f t="shared" si="21"/>
        <v>0</v>
      </c>
      <c r="M47">
        <f t="shared" si="21"/>
        <v>0</v>
      </c>
      <c r="N47">
        <f t="shared" si="21"/>
        <v>0</v>
      </c>
      <c r="O47">
        <f t="shared" si="21"/>
        <v>0</v>
      </c>
      <c r="P47">
        <f t="shared" si="21"/>
        <v>0</v>
      </c>
      <c r="Q47">
        <f t="shared" si="21"/>
        <v>0</v>
      </c>
      <c r="R47">
        <f t="shared" si="21"/>
        <v>0</v>
      </c>
      <c r="S47">
        <f t="shared" si="21"/>
        <v>0</v>
      </c>
    </row>
    <row r="48" spans="1:19">
      <c r="A48" t="s">
        <v>60</v>
      </c>
      <c r="B48" t="s">
        <v>113</v>
      </c>
      <c r="C48" t="s">
        <v>119</v>
      </c>
      <c r="D48" t="s">
        <v>92</v>
      </c>
    </row>
    <row r="49" spans="1:19">
      <c r="A49" t="s">
        <v>60</v>
      </c>
      <c r="B49" t="s">
        <v>113</v>
      </c>
      <c r="C49" t="s">
        <v>120</v>
      </c>
      <c r="D49" t="s">
        <v>94</v>
      </c>
    </row>
    <row r="50" spans="1:19">
      <c r="A50" t="s">
        <v>26</v>
      </c>
      <c r="B50" t="s">
        <v>113</v>
      </c>
      <c r="C50" t="s">
        <v>121</v>
      </c>
      <c r="D50" t="s">
        <v>96</v>
      </c>
      <c r="H50">
        <f t="shared" ref="H50:S50" si="22">H51+H52</f>
        <v>0</v>
      </c>
      <c r="I50">
        <f t="shared" si="22"/>
        <v>0</v>
      </c>
      <c r="J50">
        <f t="shared" si="22"/>
        <v>0</v>
      </c>
      <c r="K50">
        <f t="shared" si="22"/>
        <v>0</v>
      </c>
      <c r="L50">
        <f t="shared" si="22"/>
        <v>0</v>
      </c>
      <c r="M50">
        <f t="shared" si="22"/>
        <v>0</v>
      </c>
      <c r="N50">
        <f t="shared" si="22"/>
        <v>0</v>
      </c>
      <c r="O50">
        <f t="shared" si="22"/>
        <v>0</v>
      </c>
      <c r="P50">
        <f t="shared" si="22"/>
        <v>0</v>
      </c>
      <c r="Q50">
        <f t="shared" si="22"/>
        <v>0</v>
      </c>
      <c r="R50">
        <f t="shared" si="22"/>
        <v>0</v>
      </c>
      <c r="S50">
        <f t="shared" si="22"/>
        <v>0</v>
      </c>
    </row>
    <row r="51" spans="1:19">
      <c r="A51" t="s">
        <v>60</v>
      </c>
      <c r="B51" t="s">
        <v>113</v>
      </c>
      <c r="C51" t="s">
        <v>122</v>
      </c>
      <c r="D51" t="s">
        <v>98</v>
      </c>
    </row>
    <row r="52" spans="1:19">
      <c r="A52" t="s">
        <v>60</v>
      </c>
      <c r="B52" t="s">
        <v>113</v>
      </c>
      <c r="C52" t="s">
        <v>123</v>
      </c>
      <c r="D52" t="s">
        <v>100</v>
      </c>
    </row>
    <row r="53" spans="1:19">
      <c r="A53" t="s">
        <v>23</v>
      </c>
      <c r="B53" t="s">
        <v>113</v>
      </c>
      <c r="C53" t="s">
        <v>124</v>
      </c>
      <c r="D53" t="s">
        <v>102</v>
      </c>
      <c r="H53">
        <v>1181250000</v>
      </c>
      <c r="I53">
        <v>1228500000</v>
      </c>
      <c r="J53">
        <v>1291500000</v>
      </c>
      <c r="K53">
        <v>1307250000</v>
      </c>
      <c r="L53">
        <v>1338750000</v>
      </c>
      <c r="M53">
        <v>1370250000</v>
      </c>
      <c r="N53">
        <v>1386000000</v>
      </c>
      <c r="O53">
        <v>1354500000</v>
      </c>
      <c r="P53">
        <v>1323000000</v>
      </c>
      <c r="Q53">
        <v>1307250000</v>
      </c>
      <c r="R53">
        <v>1291500000</v>
      </c>
      <c r="S53">
        <v>1370250000</v>
      </c>
    </row>
    <row r="54" spans="1:19">
      <c r="A54" t="s">
        <v>23</v>
      </c>
      <c r="B54" t="s">
        <v>113</v>
      </c>
      <c r="C54" t="s">
        <v>125</v>
      </c>
      <c r="D54" t="s">
        <v>104</v>
      </c>
      <c r="H54">
        <f t="shared" ref="H54:S54" si="23">H55+H56+H57</f>
        <v>0</v>
      </c>
      <c r="I54">
        <f t="shared" si="23"/>
        <v>0</v>
      </c>
      <c r="J54">
        <f t="shared" si="23"/>
        <v>0</v>
      </c>
      <c r="K54">
        <f t="shared" si="23"/>
        <v>0</v>
      </c>
      <c r="L54">
        <f t="shared" si="23"/>
        <v>0</v>
      </c>
      <c r="M54">
        <f t="shared" si="23"/>
        <v>0</v>
      </c>
      <c r="N54">
        <f t="shared" si="23"/>
        <v>0</v>
      </c>
      <c r="O54">
        <f t="shared" si="23"/>
        <v>0</v>
      </c>
      <c r="P54">
        <f t="shared" si="23"/>
        <v>0</v>
      </c>
      <c r="Q54">
        <f t="shared" si="23"/>
        <v>0</v>
      </c>
      <c r="R54">
        <f t="shared" si="23"/>
        <v>0</v>
      </c>
      <c r="S54">
        <f t="shared" si="23"/>
        <v>0</v>
      </c>
    </row>
    <row r="55" spans="1:19">
      <c r="A55" t="s">
        <v>26</v>
      </c>
      <c r="B55" t="s">
        <v>113</v>
      </c>
      <c r="C55" t="s">
        <v>126</v>
      </c>
      <c r="D55" t="s">
        <v>106</v>
      </c>
    </row>
    <row r="56" spans="1:19">
      <c r="A56" t="s">
        <v>26</v>
      </c>
      <c r="B56" t="s">
        <v>113</v>
      </c>
      <c r="C56" t="s">
        <v>127</v>
      </c>
      <c r="D56" t="s">
        <v>108</v>
      </c>
    </row>
    <row r="57" spans="1:19">
      <c r="A57" t="s">
        <v>26</v>
      </c>
      <c r="B57" t="s">
        <v>113</v>
      </c>
      <c r="C57" t="s">
        <v>128</v>
      </c>
      <c r="D57" t="s">
        <v>110</v>
      </c>
    </row>
    <row r="58" spans="1:19">
      <c r="A58" t="s">
        <v>23</v>
      </c>
      <c r="B58" t="s">
        <v>113</v>
      </c>
      <c r="C58" t="s">
        <v>129</v>
      </c>
      <c r="D58" t="s">
        <v>112</v>
      </c>
      <c r="H58">
        <v>551250000</v>
      </c>
      <c r="I58">
        <v>573300000</v>
      </c>
      <c r="J58">
        <v>602700000</v>
      </c>
      <c r="K58">
        <v>610050000</v>
      </c>
      <c r="L58">
        <v>624750000</v>
      </c>
      <c r="M58">
        <v>639450000</v>
      </c>
      <c r="N58">
        <v>646800000</v>
      </c>
      <c r="O58">
        <v>632100000</v>
      </c>
      <c r="P58">
        <v>617400000</v>
      </c>
      <c r="Q58">
        <v>610050000</v>
      </c>
      <c r="R58">
        <v>602700000</v>
      </c>
      <c r="S58">
        <v>639450000</v>
      </c>
    </row>
    <row r="59" spans="1:19">
      <c r="A59" t="s">
        <v>19</v>
      </c>
      <c r="B59" t="s">
        <v>130</v>
      </c>
      <c r="C59" t="s">
        <v>131</v>
      </c>
      <c r="D59" t="s">
        <v>132</v>
      </c>
      <c r="H59">
        <f t="shared" ref="H59:S59" si="24">H60+H63</f>
        <v>393750000</v>
      </c>
      <c r="I59">
        <f t="shared" si="24"/>
        <v>409500000</v>
      </c>
      <c r="J59">
        <f t="shared" si="24"/>
        <v>430500000</v>
      </c>
      <c r="K59">
        <f t="shared" si="24"/>
        <v>435750000</v>
      </c>
      <c r="L59">
        <f t="shared" si="24"/>
        <v>446250000</v>
      </c>
      <c r="M59">
        <f t="shared" si="24"/>
        <v>456750000</v>
      </c>
      <c r="N59">
        <f t="shared" si="24"/>
        <v>462000000</v>
      </c>
      <c r="O59">
        <f t="shared" si="24"/>
        <v>451500000</v>
      </c>
      <c r="P59">
        <f t="shared" si="24"/>
        <v>441000000</v>
      </c>
      <c r="Q59">
        <f t="shared" si="24"/>
        <v>435750000</v>
      </c>
      <c r="R59">
        <f t="shared" si="24"/>
        <v>430500000</v>
      </c>
      <c r="S59">
        <f t="shared" si="24"/>
        <v>456750000</v>
      </c>
    </row>
    <row r="60" spans="1:19">
      <c r="A60" t="s">
        <v>23</v>
      </c>
      <c r="B60" t="s">
        <v>130</v>
      </c>
      <c r="C60" t="s">
        <v>133</v>
      </c>
      <c r="D60" t="s">
        <v>134</v>
      </c>
      <c r="H60">
        <f t="shared" ref="H60:S60" si="25">H61+H62</f>
        <v>0</v>
      </c>
      <c r="I60">
        <f t="shared" si="25"/>
        <v>0</v>
      </c>
      <c r="J60">
        <f t="shared" si="25"/>
        <v>0</v>
      </c>
      <c r="K60">
        <f t="shared" si="25"/>
        <v>0</v>
      </c>
      <c r="L60">
        <f t="shared" si="25"/>
        <v>0</v>
      </c>
      <c r="M60">
        <f t="shared" si="25"/>
        <v>0</v>
      </c>
      <c r="N60">
        <f t="shared" si="25"/>
        <v>0</v>
      </c>
      <c r="O60">
        <f t="shared" si="25"/>
        <v>0</v>
      </c>
      <c r="P60">
        <f t="shared" si="25"/>
        <v>0</v>
      </c>
      <c r="Q60">
        <f t="shared" si="25"/>
        <v>0</v>
      </c>
      <c r="R60">
        <f t="shared" si="25"/>
        <v>0</v>
      </c>
      <c r="S60">
        <f t="shared" si="25"/>
        <v>0</v>
      </c>
    </row>
    <row r="61" spans="1:19">
      <c r="A61" t="s">
        <v>26</v>
      </c>
      <c r="B61" t="s">
        <v>130</v>
      </c>
      <c r="C61" t="s">
        <v>135</v>
      </c>
      <c r="D61" t="s">
        <v>136</v>
      </c>
    </row>
    <row r="62" spans="1:19">
      <c r="A62" t="s">
        <v>26</v>
      </c>
      <c r="B62" t="s">
        <v>130</v>
      </c>
      <c r="C62" t="s">
        <v>137</v>
      </c>
      <c r="D62" t="s">
        <v>138</v>
      </c>
    </row>
    <row r="63" spans="1:19">
      <c r="A63" t="s">
        <v>23</v>
      </c>
      <c r="B63" t="s">
        <v>130</v>
      </c>
      <c r="C63" t="s">
        <v>139</v>
      </c>
      <c r="D63" t="s">
        <v>140</v>
      </c>
      <c r="H63">
        <v>393750000</v>
      </c>
      <c r="I63">
        <v>409500000</v>
      </c>
      <c r="J63">
        <v>430500000</v>
      </c>
      <c r="K63">
        <v>435750000</v>
      </c>
      <c r="L63">
        <v>446250000</v>
      </c>
      <c r="M63">
        <v>456750000</v>
      </c>
      <c r="N63">
        <v>462000000</v>
      </c>
      <c r="O63">
        <v>451500000</v>
      </c>
      <c r="P63">
        <v>441000000</v>
      </c>
      <c r="Q63">
        <v>435750000</v>
      </c>
      <c r="R63">
        <v>430500000</v>
      </c>
      <c r="S63">
        <v>456750000</v>
      </c>
    </row>
    <row r="64" spans="1:19">
      <c r="A64" t="s">
        <v>19</v>
      </c>
      <c r="B64" t="s">
        <v>130</v>
      </c>
      <c r="C64" t="s">
        <v>141</v>
      </c>
      <c r="D64" t="s">
        <v>142</v>
      </c>
      <c r="H64">
        <f t="shared" ref="H64:S64" si="26">H65+H68</f>
        <v>393750000</v>
      </c>
      <c r="I64">
        <f t="shared" si="26"/>
        <v>409500000</v>
      </c>
      <c r="J64">
        <f t="shared" si="26"/>
        <v>430500000</v>
      </c>
      <c r="K64">
        <f t="shared" si="26"/>
        <v>435750000</v>
      </c>
      <c r="L64">
        <f t="shared" si="26"/>
        <v>446250000</v>
      </c>
      <c r="M64">
        <f t="shared" si="26"/>
        <v>456750000</v>
      </c>
      <c r="N64">
        <f t="shared" si="26"/>
        <v>462000000</v>
      </c>
      <c r="O64">
        <f t="shared" si="26"/>
        <v>451500000</v>
      </c>
      <c r="P64">
        <f t="shared" si="26"/>
        <v>441000000</v>
      </c>
      <c r="Q64">
        <f t="shared" si="26"/>
        <v>435750000</v>
      </c>
      <c r="R64">
        <f t="shared" si="26"/>
        <v>430500000</v>
      </c>
      <c r="S64">
        <f t="shared" si="26"/>
        <v>456750000</v>
      </c>
    </row>
    <row r="65" spans="1:19">
      <c r="A65" t="s">
        <v>23</v>
      </c>
      <c r="B65" t="s">
        <v>143</v>
      </c>
      <c r="C65" t="s">
        <v>144</v>
      </c>
      <c r="D65" t="s">
        <v>145</v>
      </c>
      <c r="H65">
        <f t="shared" ref="H65:S65" si="27">H66+H67</f>
        <v>0</v>
      </c>
      <c r="I65">
        <f t="shared" si="27"/>
        <v>0</v>
      </c>
      <c r="J65">
        <f t="shared" si="27"/>
        <v>0</v>
      </c>
      <c r="K65">
        <f t="shared" si="27"/>
        <v>0</v>
      </c>
      <c r="L65">
        <f t="shared" si="27"/>
        <v>0</v>
      </c>
      <c r="M65">
        <f t="shared" si="27"/>
        <v>0</v>
      </c>
      <c r="N65">
        <f t="shared" si="27"/>
        <v>0</v>
      </c>
      <c r="O65">
        <f t="shared" si="27"/>
        <v>0</v>
      </c>
      <c r="P65">
        <f t="shared" si="27"/>
        <v>0</v>
      </c>
      <c r="Q65">
        <f t="shared" si="27"/>
        <v>0</v>
      </c>
      <c r="R65">
        <f t="shared" si="27"/>
        <v>0</v>
      </c>
      <c r="S65">
        <f t="shared" si="27"/>
        <v>0</v>
      </c>
    </row>
    <row r="66" spans="1:19">
      <c r="A66" t="s">
        <v>26</v>
      </c>
      <c r="B66" t="s">
        <v>143</v>
      </c>
      <c r="C66" t="s">
        <v>146</v>
      </c>
      <c r="D66" t="s">
        <v>136</v>
      </c>
    </row>
    <row r="67" spans="1:19">
      <c r="A67" t="s">
        <v>26</v>
      </c>
      <c r="B67" t="s">
        <v>143</v>
      </c>
      <c r="C67" t="s">
        <v>147</v>
      </c>
      <c r="D67" t="s">
        <v>138</v>
      </c>
    </row>
    <row r="68" spans="1:19">
      <c r="A68" t="s">
        <v>23</v>
      </c>
      <c r="B68" t="s">
        <v>143</v>
      </c>
      <c r="C68" t="s">
        <v>148</v>
      </c>
      <c r="D68" t="s">
        <v>149</v>
      </c>
      <c r="H68">
        <v>393750000</v>
      </c>
      <c r="I68">
        <v>409500000</v>
      </c>
      <c r="J68">
        <v>430500000</v>
      </c>
      <c r="K68">
        <v>435750000</v>
      </c>
      <c r="L68">
        <v>446250000</v>
      </c>
      <c r="M68">
        <v>456750000</v>
      </c>
      <c r="N68">
        <v>462000000</v>
      </c>
      <c r="O68">
        <v>451500000</v>
      </c>
      <c r="P68">
        <v>441000000</v>
      </c>
      <c r="Q68">
        <v>435750000</v>
      </c>
      <c r="R68">
        <v>430500000</v>
      </c>
      <c r="S68">
        <v>456750000</v>
      </c>
    </row>
    <row r="69" spans="1:19">
      <c r="A69" t="s">
        <v>19</v>
      </c>
      <c r="B69" t="s">
        <v>84</v>
      </c>
      <c r="C69" t="s">
        <v>150</v>
      </c>
      <c r="D69" t="s">
        <v>151</v>
      </c>
      <c r="H69">
        <f t="shared" ref="H69:S69" si="28">H70+H71+H72</f>
        <v>2100000000</v>
      </c>
      <c r="I69">
        <f t="shared" si="28"/>
        <v>2184000000</v>
      </c>
      <c r="J69">
        <f t="shared" si="28"/>
        <v>2296000000</v>
      </c>
      <c r="K69">
        <f t="shared" si="28"/>
        <v>2324000000</v>
      </c>
      <c r="L69">
        <f t="shared" si="28"/>
        <v>2380000000</v>
      </c>
      <c r="M69">
        <f t="shared" si="28"/>
        <v>2436000000</v>
      </c>
      <c r="N69">
        <f t="shared" si="28"/>
        <v>2464000000</v>
      </c>
      <c r="O69">
        <f t="shared" si="28"/>
        <v>2408000000</v>
      </c>
      <c r="P69">
        <f t="shared" si="28"/>
        <v>2352000000</v>
      </c>
      <c r="Q69">
        <f t="shared" si="28"/>
        <v>2324000000</v>
      </c>
      <c r="R69">
        <f t="shared" si="28"/>
        <v>2296000000</v>
      </c>
      <c r="S69">
        <f t="shared" si="28"/>
        <v>2436000000</v>
      </c>
    </row>
    <row r="70" spans="1:19">
      <c r="A70" t="s">
        <v>23</v>
      </c>
      <c r="B70" t="s">
        <v>84</v>
      </c>
      <c r="C70" t="s">
        <v>152</v>
      </c>
      <c r="D70" t="s">
        <v>153</v>
      </c>
      <c r="H70">
        <v>1500000000</v>
      </c>
      <c r="I70">
        <v>1560000000</v>
      </c>
      <c r="J70">
        <v>1640000000</v>
      </c>
      <c r="K70">
        <v>1660000000</v>
      </c>
      <c r="L70">
        <v>1700000000</v>
      </c>
      <c r="M70">
        <v>1740000000</v>
      </c>
      <c r="N70">
        <v>1760000000</v>
      </c>
      <c r="O70">
        <v>1720000000</v>
      </c>
      <c r="P70">
        <v>1680000000</v>
      </c>
      <c r="Q70">
        <v>1660000000</v>
      </c>
      <c r="R70">
        <v>1640000000</v>
      </c>
      <c r="S70">
        <v>1740000000</v>
      </c>
    </row>
    <row r="71" spans="1:19">
      <c r="A71" t="s">
        <v>23</v>
      </c>
      <c r="B71" t="s">
        <v>84</v>
      </c>
      <c r="C71" t="s">
        <v>154</v>
      </c>
      <c r="D71" t="s">
        <v>155</v>
      </c>
      <c r="H71">
        <v>600000000</v>
      </c>
      <c r="I71">
        <v>624000000</v>
      </c>
      <c r="J71">
        <v>656000000</v>
      </c>
      <c r="K71">
        <v>664000000</v>
      </c>
      <c r="L71">
        <v>680000000</v>
      </c>
      <c r="M71">
        <v>696000000</v>
      </c>
      <c r="N71">
        <v>704000000</v>
      </c>
      <c r="O71">
        <v>688000000</v>
      </c>
      <c r="P71">
        <v>672000000</v>
      </c>
      <c r="Q71">
        <v>664000000</v>
      </c>
      <c r="R71">
        <v>656000000</v>
      </c>
      <c r="S71">
        <v>696000000</v>
      </c>
    </row>
    <row r="72" spans="1:19">
      <c r="A72" t="s">
        <v>23</v>
      </c>
      <c r="B72" t="s">
        <v>84</v>
      </c>
      <c r="C72" t="s">
        <v>156</v>
      </c>
      <c r="D72" t="s">
        <v>157</v>
      </c>
      <c r="H72">
        <f t="shared" ref="H72:S72" si="29">H73</f>
        <v>0</v>
      </c>
      <c r="I72">
        <f t="shared" si="29"/>
        <v>0</v>
      </c>
      <c r="J72">
        <f t="shared" si="29"/>
        <v>0</v>
      </c>
      <c r="K72">
        <f t="shared" si="29"/>
        <v>0</v>
      </c>
      <c r="L72">
        <f t="shared" si="29"/>
        <v>0</v>
      </c>
      <c r="M72">
        <f t="shared" si="29"/>
        <v>0</v>
      </c>
      <c r="N72">
        <f t="shared" si="29"/>
        <v>0</v>
      </c>
      <c r="O72">
        <f t="shared" si="29"/>
        <v>0</v>
      </c>
      <c r="P72">
        <f t="shared" si="29"/>
        <v>0</v>
      </c>
      <c r="Q72">
        <f t="shared" si="29"/>
        <v>0</v>
      </c>
      <c r="R72">
        <f t="shared" si="29"/>
        <v>0</v>
      </c>
      <c r="S72">
        <f t="shared" si="29"/>
        <v>0</v>
      </c>
    </row>
    <row r="73" spans="1:19">
      <c r="A73" t="s">
        <v>26</v>
      </c>
      <c r="B73" t="s">
        <v>84</v>
      </c>
      <c r="C73" t="s">
        <v>158</v>
      </c>
      <c r="D73" t="s">
        <v>106</v>
      </c>
    </row>
    <row r="74" spans="1:19">
      <c r="A74" t="s">
        <v>19</v>
      </c>
      <c r="B74" t="s">
        <v>113</v>
      </c>
      <c r="C74" t="s">
        <v>159</v>
      </c>
      <c r="D74" t="s">
        <v>160</v>
      </c>
      <c r="H74">
        <f t="shared" ref="H74:S74" si="30">H75+H76+H77</f>
        <v>2100000000</v>
      </c>
      <c r="I74">
        <f t="shared" si="30"/>
        <v>2184000000</v>
      </c>
      <c r="J74">
        <f t="shared" si="30"/>
        <v>2296000000</v>
      </c>
      <c r="K74">
        <f t="shared" si="30"/>
        <v>2324000000</v>
      </c>
      <c r="L74">
        <f t="shared" si="30"/>
        <v>2380000000</v>
      </c>
      <c r="M74">
        <f t="shared" si="30"/>
        <v>2436000000</v>
      </c>
      <c r="N74">
        <f t="shared" si="30"/>
        <v>2464000000</v>
      </c>
      <c r="O74">
        <f t="shared" si="30"/>
        <v>2408000000</v>
      </c>
      <c r="P74">
        <f t="shared" si="30"/>
        <v>2352000000</v>
      </c>
      <c r="Q74">
        <f t="shared" si="30"/>
        <v>2324000000</v>
      </c>
      <c r="R74">
        <f t="shared" si="30"/>
        <v>2296000000</v>
      </c>
      <c r="S74">
        <f t="shared" si="30"/>
        <v>2436000000</v>
      </c>
    </row>
    <row r="75" spans="1:19">
      <c r="A75" t="s">
        <v>23</v>
      </c>
      <c r="B75" t="s">
        <v>113</v>
      </c>
      <c r="C75" t="s">
        <v>161</v>
      </c>
      <c r="D75" t="s">
        <v>153</v>
      </c>
      <c r="H75">
        <v>1500000000</v>
      </c>
      <c r="I75">
        <v>1560000000</v>
      </c>
      <c r="J75">
        <v>1640000000</v>
      </c>
      <c r="K75">
        <v>1660000000</v>
      </c>
      <c r="L75">
        <v>1700000000</v>
      </c>
      <c r="M75">
        <v>1740000000</v>
      </c>
      <c r="N75">
        <v>1760000000</v>
      </c>
      <c r="O75">
        <v>1720000000</v>
      </c>
      <c r="P75">
        <v>1680000000</v>
      </c>
      <c r="Q75">
        <v>1660000000</v>
      </c>
      <c r="R75">
        <v>1640000000</v>
      </c>
      <c r="S75">
        <v>1740000000</v>
      </c>
    </row>
    <row r="76" spans="1:19">
      <c r="A76" t="s">
        <v>23</v>
      </c>
      <c r="B76" t="s">
        <v>113</v>
      </c>
      <c r="C76" t="s">
        <v>162</v>
      </c>
      <c r="D76" t="s">
        <v>155</v>
      </c>
      <c r="H76">
        <v>600000000</v>
      </c>
      <c r="I76">
        <v>624000000</v>
      </c>
      <c r="J76">
        <v>656000000</v>
      </c>
      <c r="K76">
        <v>664000000</v>
      </c>
      <c r="L76">
        <v>680000000</v>
      </c>
      <c r="M76">
        <v>696000000</v>
      </c>
      <c r="N76">
        <v>704000000</v>
      </c>
      <c r="O76">
        <v>688000000</v>
      </c>
      <c r="P76">
        <v>672000000</v>
      </c>
      <c r="Q76">
        <v>664000000</v>
      </c>
      <c r="R76">
        <v>656000000</v>
      </c>
      <c r="S76">
        <v>696000000</v>
      </c>
    </row>
    <row r="77" spans="1:19">
      <c r="A77" t="s">
        <v>23</v>
      </c>
      <c r="B77" t="s">
        <v>113</v>
      </c>
      <c r="C77" t="s">
        <v>163</v>
      </c>
      <c r="D77" t="s">
        <v>157</v>
      </c>
      <c r="H77">
        <f t="shared" ref="H77:S77" si="31">H78</f>
        <v>0</v>
      </c>
      <c r="I77">
        <f t="shared" si="31"/>
        <v>0</v>
      </c>
      <c r="J77">
        <f t="shared" si="31"/>
        <v>0</v>
      </c>
      <c r="K77">
        <f t="shared" si="31"/>
        <v>0</v>
      </c>
      <c r="L77">
        <f t="shared" si="31"/>
        <v>0</v>
      </c>
      <c r="M77">
        <f t="shared" si="31"/>
        <v>0</v>
      </c>
      <c r="N77">
        <f t="shared" si="31"/>
        <v>0</v>
      </c>
      <c r="O77">
        <f t="shared" si="31"/>
        <v>0</v>
      </c>
      <c r="P77">
        <f t="shared" si="31"/>
        <v>0</v>
      </c>
      <c r="Q77">
        <f t="shared" si="31"/>
        <v>0</v>
      </c>
      <c r="R77">
        <f t="shared" si="31"/>
        <v>0</v>
      </c>
      <c r="S77">
        <f t="shared" si="31"/>
        <v>0</v>
      </c>
    </row>
    <row r="78" spans="1:19">
      <c r="A78" t="s">
        <v>26</v>
      </c>
      <c r="B78" t="s">
        <v>113</v>
      </c>
      <c r="C78" t="s">
        <v>164</v>
      </c>
      <c r="D78" t="s">
        <v>106</v>
      </c>
    </row>
    <row r="79" spans="1:19">
      <c r="A79" t="s">
        <v>19</v>
      </c>
      <c r="B79" t="s">
        <v>130</v>
      </c>
      <c r="C79" t="s">
        <v>165</v>
      </c>
      <c r="D79" t="s">
        <v>166</v>
      </c>
      <c r="H79">
        <f t="shared" ref="H79:S79" si="32">H80+H81</f>
        <v>2625000000</v>
      </c>
      <c r="I79">
        <f t="shared" si="32"/>
        <v>2730000000</v>
      </c>
      <c r="J79">
        <f t="shared" si="32"/>
        <v>2870000000</v>
      </c>
      <c r="K79">
        <f t="shared" si="32"/>
        <v>2905000000</v>
      </c>
      <c r="L79">
        <f t="shared" si="32"/>
        <v>2975000000</v>
      </c>
      <c r="M79">
        <f t="shared" si="32"/>
        <v>3045000000</v>
      </c>
      <c r="N79">
        <f t="shared" si="32"/>
        <v>3080000000</v>
      </c>
      <c r="O79">
        <f t="shared" si="32"/>
        <v>3010000000</v>
      </c>
      <c r="P79">
        <f t="shared" si="32"/>
        <v>2940000000</v>
      </c>
      <c r="Q79">
        <f t="shared" si="32"/>
        <v>2905000000</v>
      </c>
      <c r="R79">
        <f t="shared" si="32"/>
        <v>2870000000</v>
      </c>
      <c r="S79">
        <f t="shared" si="32"/>
        <v>3045000000</v>
      </c>
    </row>
    <row r="80" spans="1:19">
      <c r="A80" t="s">
        <v>23</v>
      </c>
      <c r="B80" t="s">
        <v>130</v>
      </c>
      <c r="C80" t="s">
        <v>167</v>
      </c>
      <c r="D80" t="s">
        <v>168</v>
      </c>
      <c r="H80">
        <v>1875000000</v>
      </c>
      <c r="I80">
        <v>1950000000</v>
      </c>
      <c r="J80">
        <v>2050000000</v>
      </c>
      <c r="K80">
        <v>2075000000</v>
      </c>
      <c r="L80">
        <v>2125000000</v>
      </c>
      <c r="M80">
        <v>2175000000</v>
      </c>
      <c r="N80">
        <v>2200000000</v>
      </c>
      <c r="O80">
        <v>2150000000</v>
      </c>
      <c r="P80">
        <v>2100000000</v>
      </c>
      <c r="Q80">
        <v>2075000000</v>
      </c>
      <c r="R80">
        <v>2050000000</v>
      </c>
      <c r="S80">
        <v>2175000000</v>
      </c>
    </row>
    <row r="81" spans="1:19">
      <c r="A81" t="s">
        <v>23</v>
      </c>
      <c r="B81" t="s">
        <v>130</v>
      </c>
      <c r="C81" t="s">
        <v>169</v>
      </c>
      <c r="D81" t="s">
        <v>170</v>
      </c>
      <c r="H81">
        <v>750000000</v>
      </c>
      <c r="I81">
        <v>780000000</v>
      </c>
      <c r="J81">
        <v>820000000</v>
      </c>
      <c r="K81">
        <v>830000000</v>
      </c>
      <c r="L81">
        <v>850000000</v>
      </c>
      <c r="M81">
        <v>870000000</v>
      </c>
      <c r="N81">
        <v>880000000</v>
      </c>
      <c r="O81">
        <v>860000000</v>
      </c>
      <c r="P81">
        <v>840000000</v>
      </c>
      <c r="Q81">
        <v>830000000</v>
      </c>
      <c r="R81">
        <v>820000000</v>
      </c>
      <c r="S81">
        <v>870000000</v>
      </c>
    </row>
    <row r="82" spans="1:19">
      <c r="A82" t="s">
        <v>19</v>
      </c>
      <c r="B82" t="s">
        <v>143</v>
      </c>
      <c r="C82" t="s">
        <v>171</v>
      </c>
      <c r="D82" t="s">
        <v>172</v>
      </c>
      <c r="H82">
        <f t="shared" ref="H82:S82" si="33">H83+H84</f>
        <v>2625000000</v>
      </c>
      <c r="I82">
        <f t="shared" si="33"/>
        <v>2730000000</v>
      </c>
      <c r="J82">
        <f t="shared" si="33"/>
        <v>2870000000</v>
      </c>
      <c r="K82">
        <f t="shared" si="33"/>
        <v>2905000000</v>
      </c>
      <c r="L82">
        <f t="shared" si="33"/>
        <v>2975000000</v>
      </c>
      <c r="M82">
        <f t="shared" si="33"/>
        <v>3045000000</v>
      </c>
      <c r="N82">
        <f t="shared" si="33"/>
        <v>3080000000</v>
      </c>
      <c r="O82">
        <f t="shared" si="33"/>
        <v>3010000000</v>
      </c>
      <c r="P82">
        <f t="shared" si="33"/>
        <v>2940000000</v>
      </c>
      <c r="Q82">
        <f t="shared" si="33"/>
        <v>2905000000</v>
      </c>
      <c r="R82">
        <f t="shared" si="33"/>
        <v>2870000000</v>
      </c>
      <c r="S82">
        <f t="shared" si="33"/>
        <v>3045000000</v>
      </c>
    </row>
    <row r="83" spans="1:19">
      <c r="A83" t="s">
        <v>23</v>
      </c>
      <c r="B83" t="s">
        <v>143</v>
      </c>
      <c r="C83" t="s">
        <v>173</v>
      </c>
      <c r="D83" t="s">
        <v>168</v>
      </c>
      <c r="H83">
        <v>1875000000</v>
      </c>
      <c r="I83">
        <v>1950000000</v>
      </c>
      <c r="J83">
        <v>2050000000</v>
      </c>
      <c r="K83">
        <v>2075000000</v>
      </c>
      <c r="L83">
        <v>2125000000</v>
      </c>
      <c r="M83">
        <v>2175000000</v>
      </c>
      <c r="N83">
        <v>2200000000</v>
      </c>
      <c r="O83">
        <v>2150000000</v>
      </c>
      <c r="P83">
        <v>2100000000</v>
      </c>
      <c r="Q83">
        <v>2075000000</v>
      </c>
      <c r="R83">
        <v>2050000000</v>
      </c>
      <c r="S83">
        <v>2175000000</v>
      </c>
    </row>
    <row r="84" spans="1:19">
      <c r="A84" t="s">
        <v>23</v>
      </c>
      <c r="B84" t="s">
        <v>143</v>
      </c>
      <c r="C84" t="s">
        <v>174</v>
      </c>
      <c r="D84" t="s">
        <v>170</v>
      </c>
      <c r="H84">
        <v>750000000</v>
      </c>
      <c r="I84">
        <v>780000000</v>
      </c>
      <c r="J84">
        <v>820000000</v>
      </c>
      <c r="K84">
        <v>830000000</v>
      </c>
      <c r="L84">
        <v>850000000</v>
      </c>
      <c r="M84">
        <v>870000000</v>
      </c>
      <c r="N84">
        <v>880000000</v>
      </c>
      <c r="O84">
        <v>860000000</v>
      </c>
      <c r="P84">
        <v>840000000</v>
      </c>
      <c r="Q84">
        <v>830000000</v>
      </c>
      <c r="R84">
        <v>820000000</v>
      </c>
      <c r="S84">
        <v>870000000</v>
      </c>
    </row>
    <row r="85" spans="1:19">
      <c r="A85" t="s">
        <v>19</v>
      </c>
      <c r="B85" t="s">
        <v>20</v>
      </c>
      <c r="C85" t="s">
        <v>175</v>
      </c>
      <c r="D85" t="s">
        <v>176</v>
      </c>
      <c r="H85">
        <f t="shared" ref="H85:S85" si="34">H86+H110+H115</f>
        <v>612500000</v>
      </c>
      <c r="I85">
        <f t="shared" si="34"/>
        <v>568750000</v>
      </c>
      <c r="J85">
        <f t="shared" si="34"/>
        <v>682500000</v>
      </c>
      <c r="K85">
        <f t="shared" si="34"/>
        <v>0</v>
      </c>
      <c r="L85">
        <f t="shared" si="34"/>
        <v>0</v>
      </c>
      <c r="M85">
        <f t="shared" si="34"/>
        <v>0</v>
      </c>
      <c r="N85">
        <f t="shared" si="34"/>
        <v>0</v>
      </c>
      <c r="O85">
        <f t="shared" si="34"/>
        <v>0</v>
      </c>
      <c r="P85">
        <f t="shared" si="34"/>
        <v>0</v>
      </c>
      <c r="Q85">
        <f t="shared" si="34"/>
        <v>0</v>
      </c>
      <c r="R85">
        <f t="shared" si="34"/>
        <v>0</v>
      </c>
      <c r="S85">
        <f t="shared" si="34"/>
        <v>0</v>
      </c>
    </row>
    <row r="86" spans="1:19">
      <c r="A86" t="s">
        <v>23</v>
      </c>
      <c r="B86" t="s">
        <v>20</v>
      </c>
      <c r="C86" t="s">
        <v>177</v>
      </c>
      <c r="D86" t="s">
        <v>178</v>
      </c>
      <c r="H86">
        <f t="shared" ref="H86:S86" si="35">H89+H106+H108</f>
        <v>521500000</v>
      </c>
      <c r="I86">
        <f t="shared" si="35"/>
        <v>484250000</v>
      </c>
      <c r="J86">
        <f t="shared" si="35"/>
        <v>581100000</v>
      </c>
      <c r="K86">
        <f t="shared" si="35"/>
        <v>0</v>
      </c>
      <c r="L86">
        <f t="shared" si="35"/>
        <v>0</v>
      </c>
      <c r="M86">
        <f t="shared" si="35"/>
        <v>0</v>
      </c>
      <c r="N86">
        <f t="shared" si="35"/>
        <v>0</v>
      </c>
      <c r="O86">
        <f t="shared" si="35"/>
        <v>0</v>
      </c>
      <c r="P86">
        <f t="shared" si="35"/>
        <v>0</v>
      </c>
      <c r="Q86">
        <f t="shared" si="35"/>
        <v>0</v>
      </c>
      <c r="R86">
        <f t="shared" si="35"/>
        <v>0</v>
      </c>
      <c r="S86">
        <f t="shared" si="35"/>
        <v>0</v>
      </c>
    </row>
    <row r="87" spans="1:19">
      <c r="A87" t="s">
        <v>26</v>
      </c>
      <c r="B87" t="s">
        <v>179</v>
      </c>
      <c r="C87" t="s">
        <v>180</v>
      </c>
      <c r="D87" t="s">
        <v>181</v>
      </c>
      <c r="H87" t="e">
        <f t="shared" ref="H87:S87" si="36">H86/H46</f>
        <v>#DIV/0!</v>
      </c>
      <c r="I87" t="e">
        <f t="shared" si="36"/>
        <v>#DIV/0!</v>
      </c>
      <c r="J87" t="e">
        <f t="shared" si="36"/>
        <v>#DIV/0!</v>
      </c>
      <c r="K87" t="e">
        <f t="shared" si="36"/>
        <v>#DIV/0!</v>
      </c>
      <c r="L87" t="e">
        <f t="shared" si="36"/>
        <v>#DIV/0!</v>
      </c>
      <c r="M87" t="e">
        <f t="shared" si="36"/>
        <v>#DIV/0!</v>
      </c>
      <c r="N87" t="e">
        <f t="shared" si="36"/>
        <v>#DIV/0!</v>
      </c>
      <c r="O87" t="e">
        <f t="shared" si="36"/>
        <v>#DIV/0!</v>
      </c>
      <c r="P87" t="e">
        <f t="shared" si="36"/>
        <v>#DIV/0!</v>
      </c>
      <c r="Q87" t="e">
        <f t="shared" si="36"/>
        <v>#DIV/0!</v>
      </c>
      <c r="R87" t="e">
        <f t="shared" si="36"/>
        <v>#DIV/0!</v>
      </c>
      <c r="S87" t="e">
        <f t="shared" si="36"/>
        <v>#DIV/0!</v>
      </c>
    </row>
    <row r="88" spans="1:19">
      <c r="A88" t="s">
        <v>26</v>
      </c>
      <c r="B88" t="s">
        <v>179</v>
      </c>
      <c r="C88" t="s">
        <v>182</v>
      </c>
      <c r="D88" t="s">
        <v>183</v>
      </c>
      <c r="H88" t="e">
        <f t="shared" ref="H88:S88" si="37">(H86-H96-H97-H98-H103-H104-H105)/H46</f>
        <v>#DIV/0!</v>
      </c>
      <c r="I88" t="e">
        <f t="shared" si="37"/>
        <v>#DIV/0!</v>
      </c>
      <c r="J88" t="e">
        <f t="shared" si="37"/>
        <v>#DIV/0!</v>
      </c>
      <c r="K88" t="e">
        <f t="shared" si="37"/>
        <v>#DIV/0!</v>
      </c>
      <c r="L88" t="e">
        <f t="shared" si="37"/>
        <v>#DIV/0!</v>
      </c>
      <c r="M88" t="e">
        <f t="shared" si="37"/>
        <v>#DIV/0!</v>
      </c>
      <c r="N88" t="e">
        <f t="shared" si="37"/>
        <v>#DIV/0!</v>
      </c>
      <c r="O88" t="e">
        <f t="shared" si="37"/>
        <v>#DIV/0!</v>
      </c>
      <c r="P88" t="e">
        <f t="shared" si="37"/>
        <v>#DIV/0!</v>
      </c>
      <c r="Q88" t="e">
        <f t="shared" si="37"/>
        <v>#DIV/0!</v>
      </c>
      <c r="R88" t="e">
        <f t="shared" si="37"/>
        <v>#DIV/0!</v>
      </c>
      <c r="S88" t="e">
        <f t="shared" si="37"/>
        <v>#DIV/0!</v>
      </c>
    </row>
    <row r="89" spans="1:19">
      <c r="A89" t="s">
        <v>26</v>
      </c>
      <c r="B89" t="s">
        <v>20</v>
      </c>
      <c r="C89" t="s">
        <v>184</v>
      </c>
      <c r="D89" t="s">
        <v>185</v>
      </c>
      <c r="H89">
        <f t="shared" ref="H89:S89" si="38">H92+H99</f>
        <v>411600000</v>
      </c>
      <c r="I89">
        <f t="shared" si="38"/>
        <v>382200000</v>
      </c>
      <c r="J89">
        <f t="shared" si="38"/>
        <v>458640000</v>
      </c>
      <c r="K89">
        <f t="shared" si="38"/>
        <v>0</v>
      </c>
      <c r="L89">
        <f t="shared" si="38"/>
        <v>0</v>
      </c>
      <c r="M89">
        <f t="shared" si="38"/>
        <v>0</v>
      </c>
      <c r="N89">
        <f t="shared" si="38"/>
        <v>0</v>
      </c>
      <c r="O89">
        <f t="shared" si="38"/>
        <v>0</v>
      </c>
      <c r="P89">
        <f t="shared" si="38"/>
        <v>0</v>
      </c>
      <c r="Q89">
        <f t="shared" si="38"/>
        <v>0</v>
      </c>
      <c r="R89">
        <f t="shared" si="38"/>
        <v>0</v>
      </c>
      <c r="S89">
        <f t="shared" si="38"/>
        <v>0</v>
      </c>
    </row>
    <row r="90" spans="1:19">
      <c r="A90" t="s">
        <v>60</v>
      </c>
      <c r="B90" t="s">
        <v>179</v>
      </c>
      <c r="C90" t="s">
        <v>186</v>
      </c>
      <c r="D90" t="s">
        <v>187</v>
      </c>
      <c r="H90" t="e">
        <f t="shared" ref="H90:S90" si="39">H89/H47</f>
        <v>#DIV/0!</v>
      </c>
      <c r="I90" t="e">
        <f t="shared" si="39"/>
        <v>#DIV/0!</v>
      </c>
      <c r="J90" t="e">
        <f t="shared" si="39"/>
        <v>#DIV/0!</v>
      </c>
      <c r="K90" t="e">
        <f t="shared" si="39"/>
        <v>#DIV/0!</v>
      </c>
      <c r="L90" t="e">
        <f t="shared" si="39"/>
        <v>#DIV/0!</v>
      </c>
      <c r="M90" t="e">
        <f t="shared" si="39"/>
        <v>#DIV/0!</v>
      </c>
      <c r="N90" t="e">
        <f t="shared" si="39"/>
        <v>#DIV/0!</v>
      </c>
      <c r="O90" t="e">
        <f t="shared" si="39"/>
        <v>#DIV/0!</v>
      </c>
      <c r="P90" t="e">
        <f t="shared" si="39"/>
        <v>#DIV/0!</v>
      </c>
      <c r="Q90" t="e">
        <f t="shared" si="39"/>
        <v>#DIV/0!</v>
      </c>
      <c r="R90" t="e">
        <f t="shared" si="39"/>
        <v>#DIV/0!</v>
      </c>
      <c r="S90" t="e">
        <f t="shared" si="39"/>
        <v>#DIV/0!</v>
      </c>
    </row>
    <row r="91" spans="1:19">
      <c r="A91" t="s">
        <v>60</v>
      </c>
      <c r="B91" t="s">
        <v>179</v>
      </c>
      <c r="C91" t="s">
        <v>188</v>
      </c>
      <c r="D91" t="s">
        <v>189</v>
      </c>
      <c r="H91" t="e">
        <f t="shared" ref="H91:S91" si="40">(H89-H96-H97-H98)/H47</f>
        <v>#DIV/0!</v>
      </c>
      <c r="I91" t="e">
        <f t="shared" si="40"/>
        <v>#DIV/0!</v>
      </c>
      <c r="J91" t="e">
        <f t="shared" si="40"/>
        <v>#DIV/0!</v>
      </c>
      <c r="K91" t="e">
        <f t="shared" si="40"/>
        <v>#DIV/0!</v>
      </c>
      <c r="L91" t="e">
        <f t="shared" si="40"/>
        <v>#DIV/0!</v>
      </c>
      <c r="M91" t="e">
        <f t="shared" si="40"/>
        <v>#DIV/0!</v>
      </c>
      <c r="N91" t="e">
        <f t="shared" si="40"/>
        <v>#DIV/0!</v>
      </c>
      <c r="O91" t="e">
        <f t="shared" si="40"/>
        <v>#DIV/0!</v>
      </c>
      <c r="P91" t="e">
        <f t="shared" si="40"/>
        <v>#DIV/0!</v>
      </c>
      <c r="Q91" t="e">
        <f t="shared" si="40"/>
        <v>#DIV/0!</v>
      </c>
      <c r="R91" t="e">
        <f t="shared" si="40"/>
        <v>#DIV/0!</v>
      </c>
      <c r="S91" t="e">
        <f t="shared" si="40"/>
        <v>#DIV/0!</v>
      </c>
    </row>
    <row r="92" spans="1:19">
      <c r="A92" t="s">
        <v>60</v>
      </c>
      <c r="B92" t="s">
        <v>20</v>
      </c>
      <c r="C92" t="s">
        <v>190</v>
      </c>
      <c r="D92" t="s">
        <v>191</v>
      </c>
      <c r="H92">
        <v>279300000</v>
      </c>
      <c r="I92">
        <v>259350000</v>
      </c>
      <c r="J92">
        <v>311220000</v>
      </c>
      <c r="K92">
        <f t="shared" ref="K92:S92" si="41">K94+K96+K97+K98</f>
        <v>0</v>
      </c>
      <c r="L92">
        <f t="shared" si="41"/>
        <v>0</v>
      </c>
      <c r="M92">
        <f t="shared" si="41"/>
        <v>0</v>
      </c>
      <c r="N92">
        <f t="shared" si="41"/>
        <v>0</v>
      </c>
      <c r="O92">
        <f t="shared" si="41"/>
        <v>0</v>
      </c>
      <c r="P92">
        <f t="shared" si="41"/>
        <v>0</v>
      </c>
      <c r="Q92">
        <f t="shared" si="41"/>
        <v>0</v>
      </c>
      <c r="R92">
        <f t="shared" si="41"/>
        <v>0</v>
      </c>
      <c r="S92">
        <f t="shared" si="41"/>
        <v>0</v>
      </c>
    </row>
    <row r="93" spans="1:19">
      <c r="A93" t="s">
        <v>192</v>
      </c>
      <c r="B93" t="s">
        <v>179</v>
      </c>
      <c r="C93" t="s">
        <v>193</v>
      </c>
      <c r="D93" t="s">
        <v>194</v>
      </c>
      <c r="H93" t="e">
        <f t="shared" ref="H93:S93" si="42">H92/H48</f>
        <v>#DIV/0!</v>
      </c>
      <c r="I93" t="e">
        <f t="shared" si="42"/>
        <v>#DIV/0!</v>
      </c>
      <c r="J93" t="e">
        <f t="shared" si="42"/>
        <v>#DIV/0!</v>
      </c>
      <c r="K93" t="e">
        <f t="shared" si="42"/>
        <v>#DIV/0!</v>
      </c>
      <c r="L93" t="e">
        <f t="shared" si="42"/>
        <v>#DIV/0!</v>
      </c>
      <c r="M93" t="e">
        <f t="shared" si="42"/>
        <v>#DIV/0!</v>
      </c>
      <c r="N93" t="e">
        <f t="shared" si="42"/>
        <v>#DIV/0!</v>
      </c>
      <c r="O93" t="e">
        <f t="shared" si="42"/>
        <v>#DIV/0!</v>
      </c>
      <c r="P93" t="e">
        <f t="shared" si="42"/>
        <v>#DIV/0!</v>
      </c>
      <c r="Q93" t="e">
        <f t="shared" si="42"/>
        <v>#DIV/0!</v>
      </c>
      <c r="R93" t="e">
        <f t="shared" si="42"/>
        <v>#DIV/0!</v>
      </c>
      <c r="S93" t="e">
        <f t="shared" si="42"/>
        <v>#DIV/0!</v>
      </c>
    </row>
    <row r="94" spans="1:19">
      <c r="A94" t="s">
        <v>192</v>
      </c>
      <c r="B94" t="s">
        <v>20</v>
      </c>
      <c r="C94" t="s">
        <v>195</v>
      </c>
      <c r="D94" t="s">
        <v>196</v>
      </c>
      <c r="H94">
        <f>H92-H96-H97-H98</f>
        <v>279300000</v>
      </c>
      <c r="I94">
        <f>I92-I96-I97-I98</f>
        <v>259350000</v>
      </c>
      <c r="J94">
        <f>J92-J96-J97-J98</f>
        <v>311220000</v>
      </c>
      <c r="K94">
        <f t="shared" ref="K94:S94" si="43">K48*K95</f>
        <v>0</v>
      </c>
      <c r="L94">
        <f t="shared" si="43"/>
        <v>0</v>
      </c>
      <c r="M94">
        <f t="shared" si="43"/>
        <v>0</v>
      </c>
      <c r="N94">
        <f t="shared" si="43"/>
        <v>0</v>
      </c>
      <c r="O94">
        <f t="shared" si="43"/>
        <v>0</v>
      </c>
      <c r="P94">
        <f t="shared" si="43"/>
        <v>0</v>
      </c>
      <c r="Q94">
        <f t="shared" si="43"/>
        <v>0</v>
      </c>
      <c r="R94">
        <f t="shared" si="43"/>
        <v>0</v>
      </c>
      <c r="S94">
        <f t="shared" si="43"/>
        <v>0</v>
      </c>
    </row>
    <row r="95" spans="1:19">
      <c r="A95" t="s">
        <v>192</v>
      </c>
      <c r="B95" t="s">
        <v>179</v>
      </c>
      <c r="C95" t="s">
        <v>197</v>
      </c>
      <c r="D95" t="s">
        <v>198</v>
      </c>
      <c r="H95" t="e">
        <f>H94/H48</f>
        <v>#DIV/0!</v>
      </c>
      <c r="I95" t="e">
        <f>I94/I48</f>
        <v>#DIV/0!</v>
      </c>
      <c r="J95" t="e">
        <f>J94/J48</f>
        <v>#DIV/0!</v>
      </c>
    </row>
    <row r="96" spans="1:19">
      <c r="A96" t="s">
        <v>192</v>
      </c>
      <c r="B96" t="s">
        <v>20</v>
      </c>
      <c r="C96" t="s">
        <v>199</v>
      </c>
      <c r="D96" t="s">
        <v>200</v>
      </c>
    </row>
    <row r="97" spans="1:19">
      <c r="A97" t="s">
        <v>192</v>
      </c>
      <c r="B97" t="s">
        <v>20</v>
      </c>
      <c r="C97" t="s">
        <v>201</v>
      </c>
      <c r="D97" t="s">
        <v>202</v>
      </c>
    </row>
    <row r="98" spans="1:19">
      <c r="A98" t="s">
        <v>192</v>
      </c>
      <c r="B98" t="s">
        <v>20</v>
      </c>
      <c r="C98" t="s">
        <v>203</v>
      </c>
      <c r="D98" t="s">
        <v>204</v>
      </c>
    </row>
    <row r="99" spans="1:19">
      <c r="A99" t="s">
        <v>60</v>
      </c>
      <c r="B99" t="s">
        <v>20</v>
      </c>
      <c r="C99" t="s">
        <v>205</v>
      </c>
      <c r="D99" t="s">
        <v>206</v>
      </c>
      <c r="H99">
        <v>132300000</v>
      </c>
      <c r="I99">
        <v>122850000</v>
      </c>
      <c r="J99">
        <v>147420000</v>
      </c>
      <c r="K99">
        <f t="shared" ref="K99:S99" si="44">K101+K103+K104+K105</f>
        <v>0</v>
      </c>
      <c r="L99">
        <f t="shared" si="44"/>
        <v>0</v>
      </c>
      <c r="M99">
        <f t="shared" si="44"/>
        <v>0</v>
      </c>
      <c r="N99">
        <f t="shared" si="44"/>
        <v>0</v>
      </c>
      <c r="O99">
        <f t="shared" si="44"/>
        <v>0</v>
      </c>
      <c r="P99">
        <f t="shared" si="44"/>
        <v>0</v>
      </c>
      <c r="Q99">
        <f t="shared" si="44"/>
        <v>0</v>
      </c>
      <c r="R99">
        <f t="shared" si="44"/>
        <v>0</v>
      </c>
      <c r="S99">
        <f t="shared" si="44"/>
        <v>0</v>
      </c>
    </row>
    <row r="100" spans="1:19">
      <c r="A100" t="s">
        <v>192</v>
      </c>
      <c r="B100" t="s">
        <v>179</v>
      </c>
      <c r="C100" t="s">
        <v>207</v>
      </c>
      <c r="D100" t="s">
        <v>208</v>
      </c>
      <c r="H100" t="e">
        <f t="shared" ref="H100:S100" si="45">H99/H49</f>
        <v>#DIV/0!</v>
      </c>
      <c r="I100" t="e">
        <f t="shared" si="45"/>
        <v>#DIV/0!</v>
      </c>
      <c r="J100" t="e">
        <f t="shared" si="45"/>
        <v>#DIV/0!</v>
      </c>
      <c r="K100" t="e">
        <f t="shared" si="45"/>
        <v>#DIV/0!</v>
      </c>
      <c r="L100" t="e">
        <f t="shared" si="45"/>
        <v>#DIV/0!</v>
      </c>
      <c r="M100" t="e">
        <f t="shared" si="45"/>
        <v>#DIV/0!</v>
      </c>
      <c r="N100" t="e">
        <f t="shared" si="45"/>
        <v>#DIV/0!</v>
      </c>
      <c r="O100" t="e">
        <f t="shared" si="45"/>
        <v>#DIV/0!</v>
      </c>
      <c r="P100" t="e">
        <f t="shared" si="45"/>
        <v>#DIV/0!</v>
      </c>
      <c r="Q100" t="e">
        <f t="shared" si="45"/>
        <v>#DIV/0!</v>
      </c>
      <c r="R100" t="e">
        <f t="shared" si="45"/>
        <v>#DIV/0!</v>
      </c>
      <c r="S100" t="e">
        <f t="shared" si="45"/>
        <v>#DIV/0!</v>
      </c>
    </row>
    <row r="101" spans="1:19">
      <c r="A101" t="s">
        <v>192</v>
      </c>
      <c r="B101" t="s">
        <v>20</v>
      </c>
      <c r="C101" t="s">
        <v>209</v>
      </c>
      <c r="D101" t="s">
        <v>210</v>
      </c>
      <c r="H101">
        <f>H99-H103-H104-H105</f>
        <v>132300000</v>
      </c>
      <c r="I101">
        <f>I99-I103-I104-I105</f>
        <v>122850000</v>
      </c>
      <c r="J101">
        <f>J99-J103-J104-J105</f>
        <v>147420000</v>
      </c>
      <c r="K101">
        <f t="shared" ref="K101:S101" si="46">K49*K102</f>
        <v>0</v>
      </c>
      <c r="L101">
        <f t="shared" si="46"/>
        <v>0</v>
      </c>
      <c r="M101">
        <f t="shared" si="46"/>
        <v>0</v>
      </c>
      <c r="N101">
        <f t="shared" si="46"/>
        <v>0</v>
      </c>
      <c r="O101">
        <f t="shared" si="46"/>
        <v>0</v>
      </c>
      <c r="P101">
        <f t="shared" si="46"/>
        <v>0</v>
      </c>
      <c r="Q101">
        <f t="shared" si="46"/>
        <v>0</v>
      </c>
      <c r="R101">
        <f t="shared" si="46"/>
        <v>0</v>
      </c>
      <c r="S101">
        <f t="shared" si="46"/>
        <v>0</v>
      </c>
    </row>
    <row r="102" spans="1:19">
      <c r="A102" t="s">
        <v>192</v>
      </c>
      <c r="B102" t="s">
        <v>179</v>
      </c>
      <c r="C102" t="s">
        <v>211</v>
      </c>
      <c r="D102" t="s">
        <v>212</v>
      </c>
      <c r="H102" t="e">
        <f>H101/H49</f>
        <v>#DIV/0!</v>
      </c>
      <c r="I102" t="e">
        <f>I101/I49</f>
        <v>#DIV/0!</v>
      </c>
      <c r="J102" t="e">
        <f>J101/J49</f>
        <v>#DIV/0!</v>
      </c>
    </row>
    <row r="103" spans="1:19">
      <c r="A103" t="s">
        <v>192</v>
      </c>
      <c r="B103" t="s">
        <v>20</v>
      </c>
      <c r="C103" t="s">
        <v>213</v>
      </c>
      <c r="D103" t="s">
        <v>200</v>
      </c>
    </row>
    <row r="104" spans="1:19">
      <c r="A104" t="s">
        <v>192</v>
      </c>
      <c r="B104" t="s">
        <v>20</v>
      </c>
      <c r="C104" t="s">
        <v>214</v>
      </c>
      <c r="D104" t="s">
        <v>202</v>
      </c>
    </row>
    <row r="105" spans="1:19">
      <c r="A105" t="s">
        <v>192</v>
      </c>
      <c r="B105" t="s">
        <v>20</v>
      </c>
      <c r="C105" t="s">
        <v>215</v>
      </c>
      <c r="D105" t="s">
        <v>204</v>
      </c>
    </row>
    <row r="106" spans="1:19">
      <c r="A106" t="s">
        <v>26</v>
      </c>
      <c r="B106" t="s">
        <v>20</v>
      </c>
      <c r="C106" t="s">
        <v>216</v>
      </c>
      <c r="D106" t="s">
        <v>217</v>
      </c>
      <c r="H106">
        <v>65800000</v>
      </c>
      <c r="I106">
        <v>61100000</v>
      </c>
      <c r="J106">
        <v>73320000</v>
      </c>
      <c r="K106">
        <f t="shared" ref="K106:S106" si="47">K51*K107</f>
        <v>0</v>
      </c>
      <c r="L106">
        <f t="shared" si="47"/>
        <v>0</v>
      </c>
      <c r="M106">
        <f t="shared" si="47"/>
        <v>0</v>
      </c>
      <c r="N106">
        <f t="shared" si="47"/>
        <v>0</v>
      </c>
      <c r="O106">
        <f t="shared" si="47"/>
        <v>0</v>
      </c>
      <c r="P106">
        <f t="shared" si="47"/>
        <v>0</v>
      </c>
      <c r="Q106">
        <f t="shared" si="47"/>
        <v>0</v>
      </c>
      <c r="R106">
        <f t="shared" si="47"/>
        <v>0</v>
      </c>
      <c r="S106">
        <f t="shared" si="47"/>
        <v>0</v>
      </c>
    </row>
    <row r="107" spans="1:19">
      <c r="A107" t="s">
        <v>60</v>
      </c>
      <c r="B107" t="s">
        <v>179</v>
      </c>
      <c r="C107" t="s">
        <v>218</v>
      </c>
      <c r="D107" t="s">
        <v>219</v>
      </c>
      <c r="H107" t="e">
        <f>H106/H51</f>
        <v>#DIV/0!</v>
      </c>
      <c r="I107" t="e">
        <f>I106/I51</f>
        <v>#DIV/0!</v>
      </c>
      <c r="J107" t="e">
        <f>J106/J51</f>
        <v>#DIV/0!</v>
      </c>
    </row>
    <row r="108" spans="1:19">
      <c r="A108" t="s">
        <v>26</v>
      </c>
      <c r="B108" t="s">
        <v>20</v>
      </c>
      <c r="C108" t="s">
        <v>220</v>
      </c>
      <c r="D108" t="s">
        <v>221</v>
      </c>
      <c r="H108">
        <v>44100000</v>
      </c>
      <c r="I108">
        <v>40950000</v>
      </c>
      <c r="J108">
        <v>49140000</v>
      </c>
      <c r="K108">
        <f t="shared" ref="K108:S108" si="48">K52*K109</f>
        <v>0</v>
      </c>
      <c r="L108">
        <f t="shared" si="48"/>
        <v>0</v>
      </c>
      <c r="M108">
        <f t="shared" si="48"/>
        <v>0</v>
      </c>
      <c r="N108">
        <f t="shared" si="48"/>
        <v>0</v>
      </c>
      <c r="O108">
        <f t="shared" si="48"/>
        <v>0</v>
      </c>
      <c r="P108">
        <f t="shared" si="48"/>
        <v>0</v>
      </c>
      <c r="Q108">
        <f t="shared" si="48"/>
        <v>0</v>
      </c>
      <c r="R108">
        <f t="shared" si="48"/>
        <v>0</v>
      </c>
      <c r="S108">
        <f t="shared" si="48"/>
        <v>0</v>
      </c>
    </row>
    <row r="109" spans="1:19">
      <c r="A109" t="s">
        <v>60</v>
      </c>
      <c r="B109" t="s">
        <v>179</v>
      </c>
      <c r="C109" t="s">
        <v>222</v>
      </c>
      <c r="D109" t="s">
        <v>223</v>
      </c>
      <c r="H109" t="e">
        <f>H108/H52</f>
        <v>#DIV/0!</v>
      </c>
      <c r="I109" t="e">
        <f>I108/I52</f>
        <v>#DIV/0!</v>
      </c>
      <c r="J109" t="e">
        <f>J108/J52</f>
        <v>#DIV/0!</v>
      </c>
    </row>
    <row r="110" spans="1:19">
      <c r="A110" t="s">
        <v>23</v>
      </c>
      <c r="B110" t="s">
        <v>20</v>
      </c>
      <c r="C110" t="s">
        <v>224</v>
      </c>
      <c r="D110" t="s">
        <v>225</v>
      </c>
      <c r="H110">
        <f t="shared" ref="H110:S110" si="49">H111+H113</f>
        <v>56000000</v>
      </c>
      <c r="I110">
        <f t="shared" si="49"/>
        <v>52000000</v>
      </c>
      <c r="J110">
        <f t="shared" si="49"/>
        <v>62400000</v>
      </c>
      <c r="K110">
        <f t="shared" si="49"/>
        <v>0</v>
      </c>
      <c r="L110">
        <f t="shared" si="49"/>
        <v>0</v>
      </c>
      <c r="M110">
        <f t="shared" si="49"/>
        <v>0</v>
      </c>
      <c r="N110">
        <f t="shared" si="49"/>
        <v>0</v>
      </c>
      <c r="O110">
        <f t="shared" si="49"/>
        <v>0</v>
      </c>
      <c r="P110">
        <f t="shared" si="49"/>
        <v>0</v>
      </c>
      <c r="Q110">
        <f t="shared" si="49"/>
        <v>0</v>
      </c>
      <c r="R110">
        <f t="shared" si="49"/>
        <v>0</v>
      </c>
      <c r="S110">
        <f t="shared" si="49"/>
        <v>0</v>
      </c>
    </row>
    <row r="111" spans="1:19">
      <c r="A111" t="s">
        <v>26</v>
      </c>
      <c r="B111" t="s">
        <v>20</v>
      </c>
      <c r="C111" t="s">
        <v>226</v>
      </c>
      <c r="D111" t="s">
        <v>227</v>
      </c>
      <c r="H111">
        <v>35000000</v>
      </c>
      <c r="I111">
        <v>32500000</v>
      </c>
      <c r="J111">
        <v>39000000</v>
      </c>
      <c r="K111">
        <f t="shared" ref="K111:S111" si="50">K75*K112</f>
        <v>0</v>
      </c>
      <c r="L111">
        <f t="shared" si="50"/>
        <v>0</v>
      </c>
      <c r="M111">
        <f t="shared" si="50"/>
        <v>0</v>
      </c>
      <c r="N111">
        <f t="shared" si="50"/>
        <v>0</v>
      </c>
      <c r="O111">
        <f t="shared" si="50"/>
        <v>0</v>
      </c>
      <c r="P111">
        <f t="shared" si="50"/>
        <v>0</v>
      </c>
      <c r="Q111">
        <f t="shared" si="50"/>
        <v>0</v>
      </c>
      <c r="R111">
        <f t="shared" si="50"/>
        <v>0</v>
      </c>
      <c r="S111">
        <f t="shared" si="50"/>
        <v>0</v>
      </c>
    </row>
    <row r="112" spans="1:19">
      <c r="A112" t="s">
        <v>60</v>
      </c>
      <c r="B112" t="s">
        <v>179</v>
      </c>
      <c r="C112" t="s">
        <v>228</v>
      </c>
      <c r="D112" t="s">
        <v>229</v>
      </c>
      <c r="H112">
        <f>H111/H75</f>
        <v>0.0233333333333333</v>
      </c>
      <c r="I112">
        <f>I111/I75</f>
        <v>0.0208333333333333</v>
      </c>
      <c r="J112">
        <f>J111/J75</f>
        <v>0.023780487804878</v>
      </c>
    </row>
    <row r="113" spans="1:19">
      <c r="A113" t="s">
        <v>26</v>
      </c>
      <c r="B113" t="s">
        <v>20</v>
      </c>
      <c r="C113" t="s">
        <v>230</v>
      </c>
      <c r="D113" t="s">
        <v>231</v>
      </c>
      <c r="H113">
        <v>21000000</v>
      </c>
      <c r="I113">
        <v>19500000</v>
      </c>
      <c r="J113">
        <v>23400000</v>
      </c>
      <c r="K113">
        <f t="shared" ref="K113:S113" si="51">K76*K114</f>
        <v>0</v>
      </c>
      <c r="L113">
        <f t="shared" si="51"/>
        <v>0</v>
      </c>
      <c r="M113">
        <f t="shared" si="51"/>
        <v>0</v>
      </c>
      <c r="N113">
        <f t="shared" si="51"/>
        <v>0</v>
      </c>
      <c r="O113">
        <f t="shared" si="51"/>
        <v>0</v>
      </c>
      <c r="P113">
        <f t="shared" si="51"/>
        <v>0</v>
      </c>
      <c r="Q113">
        <f t="shared" si="51"/>
        <v>0</v>
      </c>
      <c r="R113">
        <f t="shared" si="51"/>
        <v>0</v>
      </c>
      <c r="S113">
        <f t="shared" si="51"/>
        <v>0</v>
      </c>
    </row>
    <row r="114" spans="1:19">
      <c r="A114" t="s">
        <v>60</v>
      </c>
      <c r="B114" t="s">
        <v>179</v>
      </c>
      <c r="C114" t="s">
        <v>232</v>
      </c>
      <c r="D114" t="s">
        <v>233</v>
      </c>
      <c r="H114">
        <f>H113/H76</f>
        <v>0.035</v>
      </c>
      <c r="I114">
        <f>I113/I76</f>
        <v>0.03125</v>
      </c>
      <c r="J114">
        <f>J113/J76</f>
        <v>0.0356707317073171</v>
      </c>
    </row>
    <row r="115" spans="1:19">
      <c r="A115" t="s">
        <v>23</v>
      </c>
      <c r="B115" t="s">
        <v>20</v>
      </c>
      <c r="C115" t="s">
        <v>234</v>
      </c>
      <c r="D115" t="s">
        <v>235</v>
      </c>
      <c r="H115">
        <f t="shared" ref="H115:S115" si="52">H116</f>
        <v>35000000</v>
      </c>
      <c r="I115">
        <f t="shared" si="52"/>
        <v>32500000</v>
      </c>
      <c r="J115">
        <f t="shared" si="52"/>
        <v>39000000</v>
      </c>
      <c r="K115">
        <f t="shared" si="52"/>
        <v>0</v>
      </c>
      <c r="L115">
        <f t="shared" si="52"/>
        <v>0</v>
      </c>
      <c r="M115">
        <f t="shared" si="52"/>
        <v>0</v>
      </c>
      <c r="N115">
        <f t="shared" si="52"/>
        <v>0</v>
      </c>
      <c r="O115">
        <f t="shared" si="52"/>
        <v>0</v>
      </c>
      <c r="P115">
        <f t="shared" si="52"/>
        <v>0</v>
      </c>
      <c r="Q115">
        <f t="shared" si="52"/>
        <v>0</v>
      </c>
      <c r="R115">
        <f t="shared" si="52"/>
        <v>0</v>
      </c>
      <c r="S115">
        <f t="shared" si="52"/>
        <v>0</v>
      </c>
    </row>
    <row r="116" spans="1:19">
      <c r="A116" t="s">
        <v>26</v>
      </c>
      <c r="B116" t="s">
        <v>20</v>
      </c>
      <c r="C116" t="s">
        <v>236</v>
      </c>
      <c r="D116" t="s">
        <v>237</v>
      </c>
      <c r="H116">
        <v>35000000</v>
      </c>
      <c r="I116">
        <v>32500000</v>
      </c>
      <c r="J116">
        <v>39000000</v>
      </c>
      <c r="K116">
        <f t="shared" ref="K116:S116" si="53">K78*K117</f>
        <v>0</v>
      </c>
      <c r="L116">
        <f t="shared" si="53"/>
        <v>0</v>
      </c>
      <c r="M116">
        <f t="shared" si="53"/>
        <v>0</v>
      </c>
      <c r="N116">
        <f t="shared" si="53"/>
        <v>0</v>
      </c>
      <c r="O116">
        <f t="shared" si="53"/>
        <v>0</v>
      </c>
      <c r="P116">
        <f t="shared" si="53"/>
        <v>0</v>
      </c>
      <c r="Q116">
        <f t="shared" si="53"/>
        <v>0</v>
      </c>
      <c r="R116">
        <f t="shared" si="53"/>
        <v>0</v>
      </c>
      <c r="S116">
        <f t="shared" si="53"/>
        <v>0</v>
      </c>
    </row>
    <row r="117" spans="1:19">
      <c r="A117" t="s">
        <v>60</v>
      </c>
      <c r="B117" t="s">
        <v>179</v>
      </c>
      <c r="C117" t="s">
        <v>238</v>
      </c>
      <c r="D117" t="s">
        <v>239</v>
      </c>
      <c r="H117" t="e">
        <f>H116/H78</f>
        <v>#DIV/0!</v>
      </c>
      <c r="I117" t="e">
        <f>I116/I78</f>
        <v>#DIV/0!</v>
      </c>
      <c r="J117" t="e">
        <f>J116/J78</f>
        <v>#DIV/0!</v>
      </c>
    </row>
    <row r="118" spans="1:19">
      <c r="A118" t="s">
        <v>19</v>
      </c>
      <c r="B118" t="s">
        <v>35</v>
      </c>
      <c r="C118" t="s">
        <v>240</v>
      </c>
      <c r="D118" t="s">
        <v>241</v>
      </c>
      <c r="H118">
        <f t="shared" ref="H118:S118" si="54">H119+H130+H135+H138</f>
        <v>0</v>
      </c>
      <c r="I118">
        <f t="shared" si="54"/>
        <v>0</v>
      </c>
      <c r="J118">
        <f t="shared" si="54"/>
        <v>0</v>
      </c>
      <c r="K118">
        <f t="shared" si="54"/>
        <v>0</v>
      </c>
      <c r="L118">
        <f t="shared" si="54"/>
        <v>0</v>
      </c>
      <c r="M118">
        <f t="shared" si="54"/>
        <v>0</v>
      </c>
      <c r="N118">
        <f t="shared" si="54"/>
        <v>0</v>
      </c>
      <c r="O118">
        <f t="shared" si="54"/>
        <v>0</v>
      </c>
      <c r="P118">
        <f t="shared" si="54"/>
        <v>0</v>
      </c>
      <c r="Q118">
        <f t="shared" si="54"/>
        <v>0</v>
      </c>
      <c r="R118">
        <f t="shared" si="54"/>
        <v>0</v>
      </c>
      <c r="S118">
        <f t="shared" si="54"/>
        <v>0</v>
      </c>
    </row>
    <row r="119" spans="1:19">
      <c r="A119" t="s">
        <v>23</v>
      </c>
      <c r="B119" t="s">
        <v>35</v>
      </c>
      <c r="C119" t="s">
        <v>242</v>
      </c>
      <c r="D119" t="s">
        <v>243</v>
      </c>
      <c r="H119">
        <f t="shared" ref="H119:S119" si="55">H120+H126+H128</f>
        <v>0</v>
      </c>
      <c r="I119">
        <f t="shared" si="55"/>
        <v>0</v>
      </c>
      <c r="J119">
        <f t="shared" si="55"/>
        <v>0</v>
      </c>
      <c r="K119">
        <f t="shared" si="55"/>
        <v>0</v>
      </c>
      <c r="L119">
        <f t="shared" si="55"/>
        <v>0</v>
      </c>
      <c r="M119">
        <f t="shared" si="55"/>
        <v>0</v>
      </c>
      <c r="N119">
        <f t="shared" si="55"/>
        <v>0</v>
      </c>
      <c r="O119">
        <f t="shared" si="55"/>
        <v>0</v>
      </c>
      <c r="P119">
        <f t="shared" si="55"/>
        <v>0</v>
      </c>
      <c r="Q119">
        <f t="shared" si="55"/>
        <v>0</v>
      </c>
      <c r="R119">
        <f t="shared" si="55"/>
        <v>0</v>
      </c>
      <c r="S119">
        <f t="shared" si="55"/>
        <v>0</v>
      </c>
    </row>
    <row r="120" spans="1:19">
      <c r="A120" t="s">
        <v>26</v>
      </c>
      <c r="B120" t="s">
        <v>35</v>
      </c>
      <c r="C120" t="s">
        <v>244</v>
      </c>
      <c r="D120" t="s">
        <v>245</v>
      </c>
      <c r="H120">
        <f t="shared" ref="H120:S120" si="56">H122+H124</f>
        <v>0</v>
      </c>
      <c r="I120">
        <f t="shared" si="56"/>
        <v>0</v>
      </c>
      <c r="J120">
        <f t="shared" si="56"/>
        <v>0</v>
      </c>
      <c r="K120">
        <f t="shared" si="56"/>
        <v>0</v>
      </c>
      <c r="L120">
        <f t="shared" si="56"/>
        <v>0</v>
      </c>
      <c r="M120">
        <f t="shared" si="56"/>
        <v>0</v>
      </c>
      <c r="N120">
        <f t="shared" si="56"/>
        <v>0</v>
      </c>
      <c r="O120">
        <f t="shared" si="56"/>
        <v>0</v>
      </c>
      <c r="P120">
        <f t="shared" si="56"/>
        <v>0</v>
      </c>
      <c r="Q120">
        <f t="shared" si="56"/>
        <v>0</v>
      </c>
      <c r="R120">
        <f t="shared" si="56"/>
        <v>0</v>
      </c>
      <c r="S120">
        <f t="shared" si="56"/>
        <v>0</v>
      </c>
    </row>
    <row r="121" spans="1:19">
      <c r="A121" t="s">
        <v>60</v>
      </c>
      <c r="B121" t="s">
        <v>179</v>
      </c>
      <c r="C121" t="s">
        <v>246</v>
      </c>
      <c r="D121" t="s">
        <v>247</v>
      </c>
      <c r="H121" t="e">
        <f t="shared" ref="H121:S121" si="57">H120/H47</f>
        <v>#DIV/0!</v>
      </c>
      <c r="I121" t="e">
        <f t="shared" si="57"/>
        <v>#DIV/0!</v>
      </c>
      <c r="J121" t="e">
        <f t="shared" si="57"/>
        <v>#DIV/0!</v>
      </c>
      <c r="K121" t="e">
        <f t="shared" si="57"/>
        <v>#DIV/0!</v>
      </c>
      <c r="L121" t="e">
        <f t="shared" si="57"/>
        <v>#DIV/0!</v>
      </c>
      <c r="M121" t="e">
        <f t="shared" si="57"/>
        <v>#DIV/0!</v>
      </c>
      <c r="N121" t="e">
        <f t="shared" si="57"/>
        <v>#DIV/0!</v>
      </c>
      <c r="O121" t="e">
        <f t="shared" si="57"/>
        <v>#DIV/0!</v>
      </c>
      <c r="P121" t="e">
        <f t="shared" si="57"/>
        <v>#DIV/0!</v>
      </c>
      <c r="Q121" t="e">
        <f t="shared" si="57"/>
        <v>#DIV/0!</v>
      </c>
      <c r="R121" t="e">
        <f t="shared" si="57"/>
        <v>#DIV/0!</v>
      </c>
      <c r="S121" t="e">
        <f t="shared" si="57"/>
        <v>#DIV/0!</v>
      </c>
    </row>
    <row r="122" spans="1:19">
      <c r="A122" t="s">
        <v>60</v>
      </c>
      <c r="B122" t="s">
        <v>35</v>
      </c>
      <c r="C122" t="s">
        <v>248</v>
      </c>
      <c r="D122" t="s">
        <v>249</v>
      </c>
      <c r="K122">
        <f t="shared" ref="K122:S122" si="58">K48*K123</f>
        <v>0</v>
      </c>
      <c r="L122">
        <f t="shared" si="58"/>
        <v>0</v>
      </c>
      <c r="M122">
        <f t="shared" si="58"/>
        <v>0</v>
      </c>
      <c r="N122">
        <f t="shared" si="58"/>
        <v>0</v>
      </c>
      <c r="O122">
        <f t="shared" si="58"/>
        <v>0</v>
      </c>
      <c r="P122">
        <f t="shared" si="58"/>
        <v>0</v>
      </c>
      <c r="Q122">
        <f t="shared" si="58"/>
        <v>0</v>
      </c>
      <c r="R122">
        <f t="shared" si="58"/>
        <v>0</v>
      </c>
      <c r="S122">
        <f t="shared" si="58"/>
        <v>0</v>
      </c>
    </row>
    <row r="123" spans="1:19">
      <c r="A123" t="s">
        <v>192</v>
      </c>
      <c r="B123" t="s">
        <v>179</v>
      </c>
      <c r="C123" t="s">
        <v>250</v>
      </c>
      <c r="D123" t="s">
        <v>251</v>
      </c>
      <c r="H123" t="e">
        <f>H122/H48</f>
        <v>#DIV/0!</v>
      </c>
      <c r="I123" t="e">
        <f>I122/I48</f>
        <v>#DIV/0!</v>
      </c>
      <c r="J123" t="e">
        <f>J122/J48</f>
        <v>#DIV/0!</v>
      </c>
    </row>
    <row r="124" spans="1:19">
      <c r="A124" t="s">
        <v>60</v>
      </c>
      <c r="B124" t="s">
        <v>35</v>
      </c>
      <c r="C124" t="s">
        <v>252</v>
      </c>
      <c r="D124" t="s">
        <v>253</v>
      </c>
      <c r="K124">
        <f t="shared" ref="K124:S124" si="59">K49*K125</f>
        <v>0</v>
      </c>
      <c r="L124">
        <f t="shared" si="59"/>
        <v>0</v>
      </c>
      <c r="M124">
        <f t="shared" si="59"/>
        <v>0</v>
      </c>
      <c r="N124">
        <f t="shared" si="59"/>
        <v>0</v>
      </c>
      <c r="O124">
        <f t="shared" si="59"/>
        <v>0</v>
      </c>
      <c r="P124">
        <f t="shared" si="59"/>
        <v>0</v>
      </c>
      <c r="Q124">
        <f t="shared" si="59"/>
        <v>0</v>
      </c>
      <c r="R124">
        <f t="shared" si="59"/>
        <v>0</v>
      </c>
      <c r="S124">
        <f t="shared" si="59"/>
        <v>0</v>
      </c>
    </row>
    <row r="125" spans="1:19">
      <c r="A125" t="s">
        <v>192</v>
      </c>
      <c r="B125" t="s">
        <v>179</v>
      </c>
      <c r="C125" t="s">
        <v>254</v>
      </c>
      <c r="D125" t="s">
        <v>255</v>
      </c>
      <c r="H125" t="e">
        <f>H124/H49</f>
        <v>#DIV/0!</v>
      </c>
      <c r="I125" t="e">
        <f>I124/I49</f>
        <v>#DIV/0!</v>
      </c>
      <c r="J125" t="e">
        <f>J124/J49</f>
        <v>#DIV/0!</v>
      </c>
    </row>
    <row r="126" spans="1:19">
      <c r="A126" t="s">
        <v>26</v>
      </c>
      <c r="B126" t="s">
        <v>35</v>
      </c>
      <c r="C126" t="s">
        <v>256</v>
      </c>
      <c r="D126" t="s">
        <v>257</v>
      </c>
      <c r="K126">
        <f t="shared" ref="K126:S126" si="60">K51*K127</f>
        <v>0</v>
      </c>
      <c r="L126">
        <f t="shared" si="60"/>
        <v>0</v>
      </c>
      <c r="M126">
        <f t="shared" si="60"/>
        <v>0</v>
      </c>
      <c r="N126">
        <f t="shared" si="60"/>
        <v>0</v>
      </c>
      <c r="O126">
        <f t="shared" si="60"/>
        <v>0</v>
      </c>
      <c r="P126">
        <f t="shared" si="60"/>
        <v>0</v>
      </c>
      <c r="Q126">
        <f t="shared" si="60"/>
        <v>0</v>
      </c>
      <c r="R126">
        <f t="shared" si="60"/>
        <v>0</v>
      </c>
      <c r="S126">
        <f t="shared" si="60"/>
        <v>0</v>
      </c>
    </row>
    <row r="127" spans="1:19">
      <c r="A127" t="s">
        <v>60</v>
      </c>
      <c r="B127" t="s">
        <v>179</v>
      </c>
      <c r="C127" t="s">
        <v>258</v>
      </c>
      <c r="D127" t="s">
        <v>259</v>
      </c>
      <c r="H127" t="e">
        <f>H126/H51</f>
        <v>#DIV/0!</v>
      </c>
      <c r="I127" t="e">
        <f>I126/I51</f>
        <v>#DIV/0!</v>
      </c>
      <c r="J127" t="e">
        <f>J126/J51</f>
        <v>#DIV/0!</v>
      </c>
    </row>
    <row r="128" spans="1:19">
      <c r="A128" t="s">
        <v>26</v>
      </c>
      <c r="B128" t="s">
        <v>35</v>
      </c>
      <c r="C128" t="s">
        <v>260</v>
      </c>
      <c r="D128" t="s">
        <v>261</v>
      </c>
      <c r="K128">
        <f t="shared" ref="K128:S128" si="61">K52*K129</f>
        <v>0</v>
      </c>
      <c r="L128">
        <f t="shared" si="61"/>
        <v>0</v>
      </c>
      <c r="M128">
        <f t="shared" si="61"/>
        <v>0</v>
      </c>
      <c r="N128">
        <f t="shared" si="61"/>
        <v>0</v>
      </c>
      <c r="O128">
        <f t="shared" si="61"/>
        <v>0</v>
      </c>
      <c r="P128">
        <f t="shared" si="61"/>
        <v>0</v>
      </c>
      <c r="Q128">
        <f t="shared" si="61"/>
        <v>0</v>
      </c>
      <c r="R128">
        <f t="shared" si="61"/>
        <v>0</v>
      </c>
      <c r="S128">
        <f t="shared" si="61"/>
        <v>0</v>
      </c>
    </row>
    <row r="129" spans="1:19">
      <c r="A129" t="s">
        <v>60</v>
      </c>
      <c r="B129" t="s">
        <v>179</v>
      </c>
      <c r="C129" t="s">
        <v>262</v>
      </c>
      <c r="D129" t="s">
        <v>263</v>
      </c>
      <c r="H129" t="e">
        <f>H128/H52</f>
        <v>#DIV/0!</v>
      </c>
      <c r="I129" t="e">
        <f>I128/I52</f>
        <v>#DIV/0!</v>
      </c>
      <c r="J129" t="e">
        <f>J128/J52</f>
        <v>#DIV/0!</v>
      </c>
    </row>
    <row r="130" spans="1:19">
      <c r="A130" t="s">
        <v>23</v>
      </c>
      <c r="B130" t="s">
        <v>35</v>
      </c>
      <c r="C130" t="s">
        <v>264</v>
      </c>
      <c r="D130" t="s">
        <v>265</v>
      </c>
      <c r="H130">
        <f t="shared" ref="H130:S130" si="62">H131+H133</f>
        <v>0</v>
      </c>
      <c r="I130">
        <f t="shared" si="62"/>
        <v>0</v>
      </c>
      <c r="J130">
        <f t="shared" si="62"/>
        <v>0</v>
      </c>
      <c r="K130">
        <f t="shared" si="62"/>
        <v>0</v>
      </c>
      <c r="L130">
        <f t="shared" si="62"/>
        <v>0</v>
      </c>
      <c r="M130">
        <f t="shared" si="62"/>
        <v>0</v>
      </c>
      <c r="N130">
        <f t="shared" si="62"/>
        <v>0</v>
      </c>
      <c r="O130">
        <f t="shared" si="62"/>
        <v>0</v>
      </c>
      <c r="P130">
        <f t="shared" si="62"/>
        <v>0</v>
      </c>
      <c r="Q130">
        <f t="shared" si="62"/>
        <v>0</v>
      </c>
      <c r="R130">
        <f t="shared" si="62"/>
        <v>0</v>
      </c>
      <c r="S130">
        <f t="shared" si="62"/>
        <v>0</v>
      </c>
    </row>
    <row r="131" spans="1:19">
      <c r="A131" t="s">
        <v>26</v>
      </c>
      <c r="B131" t="s">
        <v>35</v>
      </c>
      <c r="C131" t="s">
        <v>266</v>
      </c>
      <c r="D131" t="s">
        <v>267</v>
      </c>
      <c r="K131">
        <f t="shared" ref="K131:S131" si="63">K75*K132</f>
        <v>0</v>
      </c>
      <c r="L131">
        <f t="shared" si="63"/>
        <v>0</v>
      </c>
      <c r="M131">
        <f t="shared" si="63"/>
        <v>0</v>
      </c>
      <c r="N131">
        <f t="shared" si="63"/>
        <v>0</v>
      </c>
      <c r="O131">
        <f t="shared" si="63"/>
        <v>0</v>
      </c>
      <c r="P131">
        <f t="shared" si="63"/>
        <v>0</v>
      </c>
      <c r="Q131">
        <f t="shared" si="63"/>
        <v>0</v>
      </c>
      <c r="R131">
        <f t="shared" si="63"/>
        <v>0</v>
      </c>
      <c r="S131">
        <f t="shared" si="63"/>
        <v>0</v>
      </c>
    </row>
    <row r="132" spans="1:19">
      <c r="A132" t="s">
        <v>60</v>
      </c>
      <c r="B132" t="s">
        <v>179</v>
      </c>
      <c r="C132" t="s">
        <v>268</v>
      </c>
      <c r="D132" t="s">
        <v>269</v>
      </c>
      <c r="H132">
        <f>H131/H75</f>
        <v>0</v>
      </c>
      <c r="I132">
        <f>I131/I75</f>
        <v>0</v>
      </c>
      <c r="J132">
        <f>J131/J75</f>
        <v>0</v>
      </c>
    </row>
    <row r="133" spans="1:19">
      <c r="A133" t="s">
        <v>26</v>
      </c>
      <c r="B133" t="s">
        <v>35</v>
      </c>
      <c r="C133" t="s">
        <v>270</v>
      </c>
      <c r="D133" t="s">
        <v>271</v>
      </c>
      <c r="K133">
        <f t="shared" ref="K133:S133" si="64">K76*K134</f>
        <v>0</v>
      </c>
      <c r="L133">
        <f t="shared" si="64"/>
        <v>0</v>
      </c>
      <c r="M133">
        <f t="shared" si="64"/>
        <v>0</v>
      </c>
      <c r="N133">
        <f t="shared" si="64"/>
        <v>0</v>
      </c>
      <c r="O133">
        <f t="shared" si="64"/>
        <v>0</v>
      </c>
      <c r="P133">
        <f t="shared" si="64"/>
        <v>0</v>
      </c>
      <c r="Q133">
        <f t="shared" si="64"/>
        <v>0</v>
      </c>
      <c r="R133">
        <f t="shared" si="64"/>
        <v>0</v>
      </c>
      <c r="S133">
        <f t="shared" si="64"/>
        <v>0</v>
      </c>
    </row>
    <row r="134" spans="1:19">
      <c r="A134" t="s">
        <v>60</v>
      </c>
      <c r="B134" t="s">
        <v>179</v>
      </c>
      <c r="C134" t="s">
        <v>272</v>
      </c>
      <c r="D134" t="s">
        <v>273</v>
      </c>
      <c r="H134">
        <f>H133/H76</f>
        <v>0</v>
      </c>
      <c r="I134">
        <f>I133/I76</f>
        <v>0</v>
      </c>
      <c r="J134">
        <f>J133/J76</f>
        <v>0</v>
      </c>
    </row>
    <row r="135" spans="1:19">
      <c r="A135" t="s">
        <v>23</v>
      </c>
      <c r="B135" t="s">
        <v>35</v>
      </c>
      <c r="C135" t="s">
        <v>274</v>
      </c>
      <c r="D135" t="s">
        <v>275</v>
      </c>
      <c r="H135">
        <f t="shared" ref="H135:S135" si="65">H136</f>
        <v>0</v>
      </c>
      <c r="I135">
        <f t="shared" si="65"/>
        <v>0</v>
      </c>
      <c r="J135">
        <f t="shared" si="65"/>
        <v>0</v>
      </c>
      <c r="K135">
        <f t="shared" si="65"/>
        <v>0</v>
      </c>
      <c r="L135">
        <f t="shared" si="65"/>
        <v>0</v>
      </c>
      <c r="M135">
        <f t="shared" si="65"/>
        <v>0</v>
      </c>
      <c r="N135">
        <f t="shared" si="65"/>
        <v>0</v>
      </c>
      <c r="O135">
        <f t="shared" si="65"/>
        <v>0</v>
      </c>
      <c r="P135">
        <f t="shared" si="65"/>
        <v>0</v>
      </c>
      <c r="Q135">
        <f t="shared" si="65"/>
        <v>0</v>
      </c>
      <c r="R135">
        <f t="shared" si="65"/>
        <v>0</v>
      </c>
      <c r="S135">
        <f t="shared" si="65"/>
        <v>0</v>
      </c>
    </row>
    <row r="136" spans="1:19">
      <c r="A136" t="s">
        <v>26</v>
      </c>
      <c r="B136" t="s">
        <v>35</v>
      </c>
      <c r="C136" t="s">
        <v>276</v>
      </c>
      <c r="D136" t="s">
        <v>277</v>
      </c>
      <c r="K136">
        <f t="shared" ref="K136:S136" si="66">K78*K137</f>
        <v>0</v>
      </c>
      <c r="L136">
        <f t="shared" si="66"/>
        <v>0</v>
      </c>
      <c r="M136">
        <f t="shared" si="66"/>
        <v>0</v>
      </c>
      <c r="N136">
        <f t="shared" si="66"/>
        <v>0</v>
      </c>
      <c r="O136">
        <f t="shared" si="66"/>
        <v>0</v>
      </c>
      <c r="P136">
        <f t="shared" si="66"/>
        <v>0</v>
      </c>
      <c r="Q136">
        <f t="shared" si="66"/>
        <v>0</v>
      </c>
      <c r="R136">
        <f t="shared" si="66"/>
        <v>0</v>
      </c>
      <c r="S136">
        <f t="shared" si="66"/>
        <v>0</v>
      </c>
    </row>
    <row r="137" spans="1:19">
      <c r="A137" t="s">
        <v>60</v>
      </c>
      <c r="B137" t="s">
        <v>179</v>
      </c>
      <c r="C137" t="s">
        <v>278</v>
      </c>
      <c r="D137" t="s">
        <v>279</v>
      </c>
      <c r="H137" t="e">
        <f>H136/H78</f>
        <v>#DIV/0!</v>
      </c>
      <c r="I137" t="e">
        <f>I136/I78</f>
        <v>#DIV/0!</v>
      </c>
      <c r="J137" t="e">
        <f>J136/J78</f>
        <v>#DIV/0!</v>
      </c>
    </row>
    <row r="138" spans="1:19">
      <c r="A138" t="s">
        <v>23</v>
      </c>
      <c r="B138" t="s">
        <v>35</v>
      </c>
      <c r="C138" t="s">
        <v>280</v>
      </c>
      <c r="D138" t="s">
        <v>281</v>
      </c>
      <c r="H138">
        <f t="shared" ref="H138:S138" si="67">H139</f>
        <v>0</v>
      </c>
      <c r="I138">
        <f t="shared" si="67"/>
        <v>0</v>
      </c>
      <c r="J138">
        <f t="shared" si="67"/>
        <v>0</v>
      </c>
      <c r="K138">
        <f t="shared" si="67"/>
        <v>0</v>
      </c>
      <c r="L138">
        <f t="shared" si="67"/>
        <v>0</v>
      </c>
      <c r="M138">
        <f t="shared" si="67"/>
        <v>0</v>
      </c>
      <c r="N138">
        <f t="shared" si="67"/>
        <v>0</v>
      </c>
      <c r="O138">
        <f t="shared" si="67"/>
        <v>0</v>
      </c>
      <c r="P138">
        <f t="shared" si="67"/>
        <v>0</v>
      </c>
      <c r="Q138">
        <f t="shared" si="67"/>
        <v>0</v>
      </c>
      <c r="R138">
        <f t="shared" si="67"/>
        <v>0</v>
      </c>
      <c r="S138">
        <f t="shared" si="67"/>
        <v>0</v>
      </c>
    </row>
    <row r="139" spans="1:19">
      <c r="A139" t="s">
        <v>26</v>
      </c>
      <c r="B139" t="s">
        <v>35</v>
      </c>
      <c r="C139" t="s">
        <v>282</v>
      </c>
      <c r="D139" t="s">
        <v>283</v>
      </c>
    </row>
    <row r="140" spans="1:19">
      <c r="A140" t="s">
        <v>19</v>
      </c>
      <c r="B140" t="s">
        <v>35</v>
      </c>
      <c r="C140" t="s">
        <v>284</v>
      </c>
      <c r="D140" t="s">
        <v>285</v>
      </c>
      <c r="H140">
        <f t="shared" ref="H140:S140" si="68">H141+H147</f>
        <v>126000000</v>
      </c>
      <c r="I140">
        <f t="shared" si="68"/>
        <v>117000000</v>
      </c>
      <c r="J140">
        <f t="shared" si="68"/>
        <v>140400000</v>
      </c>
      <c r="K140">
        <f t="shared" si="68"/>
        <v>0</v>
      </c>
      <c r="L140">
        <f t="shared" si="68"/>
        <v>0</v>
      </c>
      <c r="M140">
        <f t="shared" si="68"/>
        <v>0</v>
      </c>
      <c r="N140">
        <f t="shared" si="68"/>
        <v>0</v>
      </c>
      <c r="O140">
        <f t="shared" si="68"/>
        <v>0</v>
      </c>
      <c r="P140">
        <f t="shared" si="68"/>
        <v>0</v>
      </c>
      <c r="Q140">
        <f t="shared" si="68"/>
        <v>0</v>
      </c>
      <c r="R140">
        <f t="shared" si="68"/>
        <v>0</v>
      </c>
      <c r="S140">
        <f t="shared" si="68"/>
        <v>0</v>
      </c>
    </row>
    <row r="141" spans="1:19">
      <c r="A141" t="s">
        <v>23</v>
      </c>
      <c r="B141" t="s">
        <v>35</v>
      </c>
      <c r="C141" t="s">
        <v>286</v>
      </c>
      <c r="D141" t="s">
        <v>287</v>
      </c>
      <c r="H141">
        <f t="shared" ref="H141:S141" si="69">H143+H145</f>
        <v>70000000</v>
      </c>
      <c r="I141">
        <f t="shared" si="69"/>
        <v>65000000</v>
      </c>
      <c r="J141">
        <f t="shared" si="69"/>
        <v>78000000</v>
      </c>
      <c r="K141">
        <f t="shared" si="69"/>
        <v>0</v>
      </c>
      <c r="L141">
        <f t="shared" si="69"/>
        <v>0</v>
      </c>
      <c r="M141">
        <f t="shared" si="69"/>
        <v>0</v>
      </c>
      <c r="N141">
        <f t="shared" si="69"/>
        <v>0</v>
      </c>
      <c r="O141">
        <f t="shared" si="69"/>
        <v>0</v>
      </c>
      <c r="P141">
        <f t="shared" si="69"/>
        <v>0</v>
      </c>
      <c r="Q141">
        <f t="shared" si="69"/>
        <v>0</v>
      </c>
      <c r="R141">
        <f t="shared" si="69"/>
        <v>0</v>
      </c>
      <c r="S141">
        <f t="shared" si="69"/>
        <v>0</v>
      </c>
    </row>
    <row r="142" spans="1:19">
      <c r="A142" t="s">
        <v>26</v>
      </c>
      <c r="B142" t="s">
        <v>179</v>
      </c>
      <c r="C142" t="s">
        <v>288</v>
      </c>
      <c r="D142" t="s">
        <v>289</v>
      </c>
      <c r="H142" t="e">
        <f t="shared" ref="H142:S142" si="70">H141/H65</f>
        <v>#DIV/0!</v>
      </c>
      <c r="I142" t="e">
        <f t="shared" si="70"/>
        <v>#DIV/0!</v>
      </c>
      <c r="J142" t="e">
        <f t="shared" si="70"/>
        <v>#DIV/0!</v>
      </c>
      <c r="K142" t="e">
        <f t="shared" si="70"/>
        <v>#DIV/0!</v>
      </c>
      <c r="L142" t="e">
        <f t="shared" si="70"/>
        <v>#DIV/0!</v>
      </c>
      <c r="M142" t="e">
        <f t="shared" si="70"/>
        <v>#DIV/0!</v>
      </c>
      <c r="N142" t="e">
        <f t="shared" si="70"/>
        <v>#DIV/0!</v>
      </c>
      <c r="O142" t="e">
        <f t="shared" si="70"/>
        <v>#DIV/0!</v>
      </c>
      <c r="P142" t="e">
        <f t="shared" si="70"/>
        <v>#DIV/0!</v>
      </c>
      <c r="Q142" t="e">
        <f t="shared" si="70"/>
        <v>#DIV/0!</v>
      </c>
      <c r="R142" t="e">
        <f t="shared" si="70"/>
        <v>#DIV/0!</v>
      </c>
      <c r="S142" t="e">
        <f t="shared" si="70"/>
        <v>#DIV/0!</v>
      </c>
    </row>
    <row r="143" spans="1:19">
      <c r="A143" t="s">
        <v>26</v>
      </c>
      <c r="B143" t="s">
        <v>35</v>
      </c>
      <c r="C143" t="s">
        <v>290</v>
      </c>
      <c r="D143" t="s">
        <v>291</v>
      </c>
      <c r="H143">
        <v>42000000</v>
      </c>
      <c r="I143">
        <v>39000000</v>
      </c>
      <c r="J143">
        <v>46800000</v>
      </c>
      <c r="K143">
        <f t="shared" ref="K143:S143" si="71">K66*K144</f>
        <v>0</v>
      </c>
      <c r="L143">
        <f t="shared" si="71"/>
        <v>0</v>
      </c>
      <c r="M143">
        <f t="shared" si="71"/>
        <v>0</v>
      </c>
      <c r="N143">
        <f t="shared" si="71"/>
        <v>0</v>
      </c>
      <c r="O143">
        <f t="shared" si="71"/>
        <v>0</v>
      </c>
      <c r="P143">
        <f t="shared" si="71"/>
        <v>0</v>
      </c>
      <c r="Q143">
        <f t="shared" si="71"/>
        <v>0</v>
      </c>
      <c r="R143">
        <f t="shared" si="71"/>
        <v>0</v>
      </c>
      <c r="S143">
        <f t="shared" si="71"/>
        <v>0</v>
      </c>
    </row>
    <row r="144" spans="1:19">
      <c r="A144" t="s">
        <v>60</v>
      </c>
      <c r="B144" t="s">
        <v>179</v>
      </c>
      <c r="C144" t="s">
        <v>292</v>
      </c>
      <c r="D144" t="s">
        <v>293</v>
      </c>
      <c r="H144" t="e">
        <f>H143/H66</f>
        <v>#DIV/0!</v>
      </c>
      <c r="I144" t="e">
        <f>I143/I66</f>
        <v>#DIV/0!</v>
      </c>
      <c r="J144" t="e">
        <f>J143/J66</f>
        <v>#DIV/0!</v>
      </c>
    </row>
    <row r="145" spans="1:19">
      <c r="A145" t="s">
        <v>26</v>
      </c>
      <c r="B145" t="s">
        <v>35</v>
      </c>
      <c r="C145" t="s">
        <v>294</v>
      </c>
      <c r="D145" t="s">
        <v>295</v>
      </c>
      <c r="H145">
        <v>28000000</v>
      </c>
      <c r="I145">
        <v>26000000</v>
      </c>
      <c r="J145">
        <v>31200000</v>
      </c>
      <c r="K145">
        <f t="shared" ref="K145:S145" si="72">K67*K146</f>
        <v>0</v>
      </c>
      <c r="L145">
        <f t="shared" si="72"/>
        <v>0</v>
      </c>
      <c r="M145">
        <f t="shared" si="72"/>
        <v>0</v>
      </c>
      <c r="N145">
        <f t="shared" si="72"/>
        <v>0</v>
      </c>
      <c r="O145">
        <f t="shared" si="72"/>
        <v>0</v>
      </c>
      <c r="P145">
        <f t="shared" si="72"/>
        <v>0</v>
      </c>
      <c r="Q145">
        <f t="shared" si="72"/>
        <v>0</v>
      </c>
      <c r="R145">
        <f t="shared" si="72"/>
        <v>0</v>
      </c>
      <c r="S145">
        <f t="shared" si="72"/>
        <v>0</v>
      </c>
    </row>
    <row r="146" spans="1:19">
      <c r="A146" t="s">
        <v>60</v>
      </c>
      <c r="B146" t="s">
        <v>179</v>
      </c>
      <c r="C146" t="s">
        <v>296</v>
      </c>
      <c r="D146" t="s">
        <v>297</v>
      </c>
      <c r="H146" t="e">
        <f>H145/H67</f>
        <v>#DIV/0!</v>
      </c>
      <c r="I146" t="e">
        <f>I145/I67</f>
        <v>#DIV/0!</v>
      </c>
      <c r="J146" t="e">
        <f>J145/J67</f>
        <v>#DIV/0!</v>
      </c>
    </row>
    <row r="147" spans="1:19">
      <c r="A147" t="s">
        <v>23</v>
      </c>
      <c r="B147" t="s">
        <v>35</v>
      </c>
      <c r="C147" t="s">
        <v>298</v>
      </c>
      <c r="D147" t="s">
        <v>299</v>
      </c>
      <c r="H147">
        <f t="shared" ref="H147:S147" si="73">H148+H150</f>
        <v>56000000</v>
      </c>
      <c r="I147">
        <f t="shared" si="73"/>
        <v>52000000</v>
      </c>
      <c r="J147">
        <f t="shared" si="73"/>
        <v>62400000</v>
      </c>
      <c r="K147">
        <f t="shared" si="73"/>
        <v>0</v>
      </c>
      <c r="L147">
        <f t="shared" si="73"/>
        <v>0</v>
      </c>
      <c r="M147">
        <f t="shared" si="73"/>
        <v>0</v>
      </c>
      <c r="N147">
        <f t="shared" si="73"/>
        <v>0</v>
      </c>
      <c r="O147">
        <f t="shared" si="73"/>
        <v>0</v>
      </c>
      <c r="P147">
        <f t="shared" si="73"/>
        <v>0</v>
      </c>
      <c r="Q147">
        <f t="shared" si="73"/>
        <v>0</v>
      </c>
      <c r="R147">
        <f t="shared" si="73"/>
        <v>0</v>
      </c>
      <c r="S147">
        <f t="shared" si="73"/>
        <v>0</v>
      </c>
    </row>
    <row r="148" spans="1:19">
      <c r="A148" t="s">
        <v>26</v>
      </c>
      <c r="B148" t="s">
        <v>35</v>
      </c>
      <c r="C148" t="s">
        <v>300</v>
      </c>
      <c r="D148" t="s">
        <v>301</v>
      </c>
      <c r="H148">
        <v>35000000</v>
      </c>
      <c r="I148">
        <v>32500000</v>
      </c>
      <c r="J148">
        <v>39000000</v>
      </c>
      <c r="K148">
        <f t="shared" ref="K148:S148" si="74">K83*K149</f>
        <v>0</v>
      </c>
      <c r="L148">
        <f t="shared" si="74"/>
        <v>0</v>
      </c>
      <c r="M148">
        <f t="shared" si="74"/>
        <v>0</v>
      </c>
      <c r="N148">
        <f t="shared" si="74"/>
        <v>0</v>
      </c>
      <c r="O148">
        <f t="shared" si="74"/>
        <v>0</v>
      </c>
      <c r="P148">
        <f t="shared" si="74"/>
        <v>0</v>
      </c>
      <c r="Q148">
        <f t="shared" si="74"/>
        <v>0</v>
      </c>
      <c r="R148">
        <f t="shared" si="74"/>
        <v>0</v>
      </c>
      <c r="S148">
        <f t="shared" si="74"/>
        <v>0</v>
      </c>
    </row>
    <row r="149" spans="1:19">
      <c r="A149" t="s">
        <v>60</v>
      </c>
      <c r="B149" t="s">
        <v>179</v>
      </c>
      <c r="C149" t="s">
        <v>302</v>
      </c>
      <c r="D149" t="s">
        <v>303</v>
      </c>
      <c r="H149">
        <f>H148/H83</f>
        <v>0.0186666666666667</v>
      </c>
      <c r="I149">
        <f>I148/I83</f>
        <v>0.0166666666666667</v>
      </c>
      <c r="J149">
        <f>J148/J83</f>
        <v>0.0190243902439024</v>
      </c>
    </row>
    <row r="150" spans="1:19">
      <c r="A150" t="s">
        <v>26</v>
      </c>
      <c r="B150" t="s">
        <v>35</v>
      </c>
      <c r="C150" t="s">
        <v>304</v>
      </c>
      <c r="D150" t="s">
        <v>305</v>
      </c>
      <c r="H150">
        <v>21000000</v>
      </c>
      <c r="I150">
        <v>19500000</v>
      </c>
      <c r="J150">
        <v>23400000</v>
      </c>
      <c r="K150">
        <f t="shared" ref="K150:S150" si="75">K84*K151</f>
        <v>0</v>
      </c>
      <c r="L150">
        <f t="shared" si="75"/>
        <v>0</v>
      </c>
      <c r="M150">
        <f t="shared" si="75"/>
        <v>0</v>
      </c>
      <c r="N150">
        <f t="shared" si="75"/>
        <v>0</v>
      </c>
      <c r="O150">
        <f t="shared" si="75"/>
        <v>0</v>
      </c>
      <c r="P150">
        <f t="shared" si="75"/>
        <v>0</v>
      </c>
      <c r="Q150">
        <f t="shared" si="75"/>
        <v>0</v>
      </c>
      <c r="R150">
        <f t="shared" si="75"/>
        <v>0</v>
      </c>
      <c r="S150">
        <f t="shared" si="75"/>
        <v>0</v>
      </c>
    </row>
    <row r="151" spans="1:19">
      <c r="A151" t="s">
        <v>60</v>
      </c>
      <c r="B151" t="s">
        <v>179</v>
      </c>
      <c r="C151" t="s">
        <v>306</v>
      </c>
      <c r="D151" t="s">
        <v>307</v>
      </c>
      <c r="H151">
        <f>H150/H84</f>
        <v>0.028</v>
      </c>
      <c r="I151">
        <f>I150/I84</f>
        <v>0.025</v>
      </c>
      <c r="J151">
        <f>J150/J84</f>
        <v>0.0285365853658537</v>
      </c>
    </row>
    <row r="152" spans="1:19">
      <c r="A152" t="s">
        <v>19</v>
      </c>
      <c r="B152" t="s">
        <v>20</v>
      </c>
      <c r="C152" t="s">
        <v>308</v>
      </c>
      <c r="D152" t="s">
        <v>309</v>
      </c>
      <c r="H152">
        <f t="shared" ref="H152:S152" si="76">H153+H159+H164</f>
        <v>0</v>
      </c>
      <c r="I152">
        <f t="shared" si="76"/>
        <v>0</v>
      </c>
      <c r="J152">
        <f t="shared" si="76"/>
        <v>0</v>
      </c>
      <c r="K152">
        <f t="shared" si="76"/>
        <v>0</v>
      </c>
      <c r="L152">
        <f t="shared" si="76"/>
        <v>0</v>
      </c>
      <c r="M152">
        <f t="shared" si="76"/>
        <v>0</v>
      </c>
      <c r="N152">
        <f t="shared" si="76"/>
        <v>0</v>
      </c>
      <c r="O152">
        <f t="shared" si="76"/>
        <v>0</v>
      </c>
      <c r="P152">
        <f t="shared" si="76"/>
        <v>0</v>
      </c>
      <c r="Q152">
        <f t="shared" si="76"/>
        <v>0</v>
      </c>
      <c r="R152">
        <f t="shared" si="76"/>
        <v>0</v>
      </c>
      <c r="S152">
        <f t="shared" si="76"/>
        <v>0</v>
      </c>
    </row>
    <row r="153" spans="1:19">
      <c r="A153" t="s">
        <v>23</v>
      </c>
      <c r="B153" t="s">
        <v>20</v>
      </c>
      <c r="C153" t="s">
        <v>310</v>
      </c>
      <c r="D153" t="s">
        <v>311</v>
      </c>
      <c r="H153">
        <f t="shared" ref="H153:S153" si="77">H155+H157</f>
        <v>0</v>
      </c>
      <c r="I153">
        <f t="shared" si="77"/>
        <v>0</v>
      </c>
      <c r="J153">
        <f t="shared" si="77"/>
        <v>0</v>
      </c>
      <c r="K153">
        <f t="shared" si="77"/>
        <v>0</v>
      </c>
      <c r="L153">
        <f t="shared" si="77"/>
        <v>0</v>
      </c>
      <c r="M153">
        <f t="shared" si="77"/>
        <v>0</v>
      </c>
      <c r="N153">
        <f t="shared" si="77"/>
        <v>0</v>
      </c>
      <c r="O153">
        <f t="shared" si="77"/>
        <v>0</v>
      </c>
      <c r="P153">
        <f t="shared" si="77"/>
        <v>0</v>
      </c>
      <c r="Q153">
        <f t="shared" si="77"/>
        <v>0</v>
      </c>
      <c r="R153">
        <f t="shared" si="77"/>
        <v>0</v>
      </c>
      <c r="S153">
        <f t="shared" si="77"/>
        <v>0</v>
      </c>
    </row>
    <row r="154" spans="1:19">
      <c r="A154" t="s">
        <v>26</v>
      </c>
      <c r="B154" t="s">
        <v>179</v>
      </c>
      <c r="C154" t="s">
        <v>312</v>
      </c>
      <c r="D154" t="s">
        <v>313</v>
      </c>
      <c r="H154" t="e">
        <f t="shared" ref="H154:S154" si="78">H153/H65</f>
        <v>#DIV/0!</v>
      </c>
      <c r="I154" t="e">
        <f t="shared" si="78"/>
        <v>#DIV/0!</v>
      </c>
      <c r="J154" t="e">
        <f t="shared" si="78"/>
        <v>#DIV/0!</v>
      </c>
      <c r="K154" t="e">
        <f t="shared" si="78"/>
        <v>#DIV/0!</v>
      </c>
      <c r="L154" t="e">
        <f t="shared" si="78"/>
        <v>#DIV/0!</v>
      </c>
      <c r="M154" t="e">
        <f t="shared" si="78"/>
        <v>#DIV/0!</v>
      </c>
      <c r="N154" t="e">
        <f t="shared" si="78"/>
        <v>#DIV/0!</v>
      </c>
      <c r="O154" t="e">
        <f t="shared" si="78"/>
        <v>#DIV/0!</v>
      </c>
      <c r="P154" t="e">
        <f t="shared" si="78"/>
        <v>#DIV/0!</v>
      </c>
      <c r="Q154" t="e">
        <f t="shared" si="78"/>
        <v>#DIV/0!</v>
      </c>
      <c r="R154" t="e">
        <f t="shared" si="78"/>
        <v>#DIV/0!</v>
      </c>
      <c r="S154" t="e">
        <f t="shared" si="78"/>
        <v>#DIV/0!</v>
      </c>
    </row>
    <row r="155" spans="1:19">
      <c r="A155" t="s">
        <v>26</v>
      </c>
      <c r="B155" t="s">
        <v>20</v>
      </c>
      <c r="C155" t="s">
        <v>314</v>
      </c>
      <c r="D155" t="s">
        <v>315</v>
      </c>
      <c r="K155">
        <f t="shared" ref="K155:S155" si="79">K66*K156</f>
        <v>0</v>
      </c>
      <c r="L155">
        <f t="shared" si="79"/>
        <v>0</v>
      </c>
      <c r="M155">
        <f t="shared" si="79"/>
        <v>0</v>
      </c>
      <c r="N155">
        <f t="shared" si="79"/>
        <v>0</v>
      </c>
      <c r="O155">
        <f t="shared" si="79"/>
        <v>0</v>
      </c>
      <c r="P155">
        <f t="shared" si="79"/>
        <v>0</v>
      </c>
      <c r="Q155">
        <f t="shared" si="79"/>
        <v>0</v>
      </c>
      <c r="R155">
        <f t="shared" si="79"/>
        <v>0</v>
      </c>
      <c r="S155">
        <f t="shared" si="79"/>
        <v>0</v>
      </c>
    </row>
    <row r="156" spans="1:19">
      <c r="A156" t="s">
        <v>60</v>
      </c>
      <c r="B156" t="s">
        <v>179</v>
      </c>
      <c r="C156" t="s">
        <v>316</v>
      </c>
      <c r="D156" t="s">
        <v>317</v>
      </c>
      <c r="H156" t="e">
        <f>H15/H66</f>
        <v>#DIV/0!</v>
      </c>
      <c r="I156" t="e">
        <f>I15/I66</f>
        <v>#DIV/0!</v>
      </c>
      <c r="J156" t="e">
        <f>J15/J66</f>
        <v>#DIV/0!</v>
      </c>
    </row>
    <row r="157" spans="1:19">
      <c r="A157" t="s">
        <v>26</v>
      </c>
      <c r="B157" t="s">
        <v>20</v>
      </c>
      <c r="C157" t="s">
        <v>318</v>
      </c>
      <c r="D157" t="s">
        <v>319</v>
      </c>
      <c r="K157">
        <f t="shared" ref="K157:S157" si="80">K67*K158</f>
        <v>0</v>
      </c>
      <c r="L157">
        <f t="shared" si="80"/>
        <v>0</v>
      </c>
      <c r="M157">
        <f t="shared" si="80"/>
        <v>0</v>
      </c>
      <c r="N157">
        <f t="shared" si="80"/>
        <v>0</v>
      </c>
      <c r="O157">
        <f t="shared" si="80"/>
        <v>0</v>
      </c>
      <c r="P157">
        <f t="shared" si="80"/>
        <v>0</v>
      </c>
      <c r="Q157">
        <f t="shared" si="80"/>
        <v>0</v>
      </c>
      <c r="R157">
        <f t="shared" si="80"/>
        <v>0</v>
      </c>
      <c r="S157">
        <f t="shared" si="80"/>
        <v>0</v>
      </c>
    </row>
    <row r="158" spans="1:19">
      <c r="A158" t="s">
        <v>60</v>
      </c>
      <c r="B158" t="s">
        <v>179</v>
      </c>
      <c r="C158" t="s">
        <v>320</v>
      </c>
      <c r="D158" t="s">
        <v>321</v>
      </c>
      <c r="H158" t="e">
        <f>H157/H67</f>
        <v>#DIV/0!</v>
      </c>
      <c r="I158" t="e">
        <f>I157/I67</f>
        <v>#DIV/0!</v>
      </c>
      <c r="J158" t="e">
        <f>J157/J67</f>
        <v>#DIV/0!</v>
      </c>
    </row>
    <row r="159" spans="1:19">
      <c r="A159" t="s">
        <v>23</v>
      </c>
      <c r="B159" t="s">
        <v>20</v>
      </c>
      <c r="C159" t="s">
        <v>322</v>
      </c>
      <c r="D159" t="s">
        <v>323</v>
      </c>
      <c r="H159">
        <f t="shared" ref="H159:S159" si="81">H160+H162</f>
        <v>0</v>
      </c>
      <c r="I159">
        <f t="shared" si="81"/>
        <v>0</v>
      </c>
      <c r="J159">
        <f t="shared" si="81"/>
        <v>0</v>
      </c>
      <c r="K159">
        <f t="shared" si="81"/>
        <v>0</v>
      </c>
      <c r="L159">
        <f t="shared" si="81"/>
        <v>0</v>
      </c>
      <c r="M159">
        <f t="shared" si="81"/>
        <v>0</v>
      </c>
      <c r="N159">
        <f t="shared" si="81"/>
        <v>0</v>
      </c>
      <c r="O159">
        <f t="shared" si="81"/>
        <v>0</v>
      </c>
      <c r="P159">
        <f t="shared" si="81"/>
        <v>0</v>
      </c>
      <c r="Q159">
        <f t="shared" si="81"/>
        <v>0</v>
      </c>
      <c r="R159">
        <f t="shared" si="81"/>
        <v>0</v>
      </c>
      <c r="S159">
        <f t="shared" si="81"/>
        <v>0</v>
      </c>
    </row>
    <row r="160" spans="1:19">
      <c r="A160" t="s">
        <v>26</v>
      </c>
      <c r="B160" t="s">
        <v>20</v>
      </c>
      <c r="C160" t="s">
        <v>324</v>
      </c>
      <c r="D160" t="s">
        <v>325</v>
      </c>
      <c r="K160">
        <f t="shared" ref="K160:S160" si="82">K83*K161</f>
        <v>0</v>
      </c>
      <c r="L160">
        <f t="shared" si="82"/>
        <v>0</v>
      </c>
      <c r="M160">
        <f t="shared" si="82"/>
        <v>0</v>
      </c>
      <c r="N160">
        <f t="shared" si="82"/>
        <v>0</v>
      </c>
      <c r="O160">
        <f t="shared" si="82"/>
        <v>0</v>
      </c>
      <c r="P160">
        <f t="shared" si="82"/>
        <v>0</v>
      </c>
      <c r="Q160">
        <f t="shared" si="82"/>
        <v>0</v>
      </c>
      <c r="R160">
        <f t="shared" si="82"/>
        <v>0</v>
      </c>
      <c r="S160">
        <f t="shared" si="82"/>
        <v>0</v>
      </c>
    </row>
    <row r="161" spans="1:19">
      <c r="A161" t="s">
        <v>60</v>
      </c>
      <c r="B161" t="s">
        <v>179</v>
      </c>
      <c r="C161" t="s">
        <v>326</v>
      </c>
      <c r="D161" t="s">
        <v>327</v>
      </c>
      <c r="H161">
        <f>H160/H83</f>
        <v>0</v>
      </c>
      <c r="I161">
        <f>I160/I83</f>
        <v>0</v>
      </c>
      <c r="J161">
        <f>J160/J83</f>
        <v>0</v>
      </c>
    </row>
    <row r="162" spans="1:19">
      <c r="A162" t="s">
        <v>26</v>
      </c>
      <c r="B162" t="s">
        <v>20</v>
      </c>
      <c r="C162" t="s">
        <v>328</v>
      </c>
      <c r="D162" t="s">
        <v>329</v>
      </c>
      <c r="K162">
        <f t="shared" ref="K162:S162" si="83">K84*K163</f>
        <v>0</v>
      </c>
      <c r="L162">
        <f t="shared" si="83"/>
        <v>0</v>
      </c>
      <c r="M162">
        <f t="shared" si="83"/>
        <v>0</v>
      </c>
      <c r="N162">
        <f t="shared" si="83"/>
        <v>0</v>
      </c>
      <c r="O162">
        <f t="shared" si="83"/>
        <v>0</v>
      </c>
      <c r="P162">
        <f t="shared" si="83"/>
        <v>0</v>
      </c>
      <c r="Q162">
        <f t="shared" si="83"/>
        <v>0</v>
      </c>
      <c r="R162">
        <f t="shared" si="83"/>
        <v>0</v>
      </c>
      <c r="S162">
        <f t="shared" si="83"/>
        <v>0</v>
      </c>
    </row>
    <row r="163" spans="1:19">
      <c r="A163" t="s">
        <v>60</v>
      </c>
      <c r="B163" t="s">
        <v>179</v>
      </c>
      <c r="C163" t="s">
        <v>330</v>
      </c>
      <c r="D163" t="s">
        <v>331</v>
      </c>
      <c r="H163">
        <f>H162/H84</f>
        <v>0</v>
      </c>
      <c r="I163">
        <f>I162/I84</f>
        <v>0</v>
      </c>
      <c r="J163">
        <f>J162/J84</f>
        <v>0</v>
      </c>
    </row>
    <row r="164" spans="1:19">
      <c r="A164" t="s">
        <v>23</v>
      </c>
      <c r="B164" t="s">
        <v>20</v>
      </c>
      <c r="C164" t="s">
        <v>332</v>
      </c>
      <c r="D164" t="s">
        <v>333</v>
      </c>
      <c r="H164">
        <f t="shared" ref="H164:S164" si="84">H165</f>
        <v>0</v>
      </c>
      <c r="I164">
        <f t="shared" si="84"/>
        <v>0</v>
      </c>
      <c r="J164">
        <f t="shared" si="84"/>
        <v>0</v>
      </c>
      <c r="K164">
        <f t="shared" si="84"/>
        <v>0</v>
      </c>
      <c r="L164">
        <f t="shared" si="84"/>
        <v>0</v>
      </c>
      <c r="M164">
        <f t="shared" si="84"/>
        <v>0</v>
      </c>
      <c r="N164">
        <f t="shared" si="84"/>
        <v>0</v>
      </c>
      <c r="O164">
        <f t="shared" si="84"/>
        <v>0</v>
      </c>
      <c r="P164">
        <f t="shared" si="84"/>
        <v>0</v>
      </c>
      <c r="Q164">
        <f t="shared" si="84"/>
        <v>0</v>
      </c>
      <c r="R164">
        <f t="shared" si="84"/>
        <v>0</v>
      </c>
      <c r="S164">
        <f t="shared" si="84"/>
        <v>0</v>
      </c>
    </row>
    <row r="165" spans="1:19">
      <c r="A165" t="s">
        <v>26</v>
      </c>
      <c r="B165" t="s">
        <v>20</v>
      </c>
      <c r="C165" t="s">
        <v>334</v>
      </c>
      <c r="D165" t="s">
        <v>335</v>
      </c>
    </row>
    <row r="166" spans="1:19">
      <c r="A166" t="s">
        <v>19</v>
      </c>
      <c r="B166" t="s">
        <v>20</v>
      </c>
      <c r="C166" t="s">
        <v>336</v>
      </c>
      <c r="D166" t="s">
        <v>337</v>
      </c>
      <c r="H166">
        <v>199500000</v>
      </c>
      <c r="I166">
        <v>185250000</v>
      </c>
      <c r="J166">
        <v>222300000</v>
      </c>
      <c r="K166">
        <f t="shared" ref="K166:S166" si="85">K167+K172+K173+K174+K175+K178+K179+K180</f>
        <v>164000000</v>
      </c>
      <c r="L166">
        <f t="shared" si="85"/>
        <v>168100000</v>
      </c>
      <c r="M166">
        <f t="shared" si="85"/>
        <v>174250000</v>
      </c>
      <c r="N166">
        <f t="shared" si="85"/>
        <v>180400000</v>
      </c>
      <c r="O166">
        <f t="shared" si="85"/>
        <v>178350000</v>
      </c>
      <c r="P166">
        <f t="shared" si="85"/>
        <v>174250000</v>
      </c>
      <c r="Q166">
        <f t="shared" si="85"/>
        <v>190650000</v>
      </c>
      <c r="R166">
        <f t="shared" si="85"/>
        <v>188600000</v>
      </c>
      <c r="S166">
        <f t="shared" si="85"/>
        <v>194750000</v>
      </c>
    </row>
    <row r="167" spans="1:19">
      <c r="A167" t="s">
        <v>23</v>
      </c>
      <c r="B167" t="s">
        <v>20</v>
      </c>
      <c r="C167" t="s">
        <v>338</v>
      </c>
      <c r="D167" t="s">
        <v>339</v>
      </c>
      <c r="H167">
        <f t="shared" ref="H167:S167" si="86">H169+H171</f>
        <v>0</v>
      </c>
      <c r="I167">
        <f t="shared" si="86"/>
        <v>0</v>
      </c>
      <c r="J167">
        <f t="shared" si="86"/>
        <v>0</v>
      </c>
      <c r="K167">
        <f t="shared" si="86"/>
        <v>0</v>
      </c>
      <c r="L167">
        <f t="shared" si="86"/>
        <v>0</v>
      </c>
      <c r="M167">
        <f t="shared" si="86"/>
        <v>0</v>
      </c>
      <c r="N167">
        <f t="shared" si="86"/>
        <v>0</v>
      </c>
      <c r="O167">
        <f t="shared" si="86"/>
        <v>0</v>
      </c>
      <c r="P167">
        <f t="shared" si="86"/>
        <v>0</v>
      </c>
      <c r="Q167">
        <f t="shared" si="86"/>
        <v>0</v>
      </c>
      <c r="R167">
        <f t="shared" si="86"/>
        <v>0</v>
      </c>
      <c r="S167">
        <f t="shared" si="86"/>
        <v>0</v>
      </c>
    </row>
    <row r="168" spans="1:19">
      <c r="A168" t="s">
        <v>26</v>
      </c>
      <c r="B168" t="s">
        <v>179</v>
      </c>
      <c r="C168" t="s">
        <v>340</v>
      </c>
      <c r="D168" t="s">
        <v>341</v>
      </c>
      <c r="H168">
        <f t="shared" ref="H168:S168" si="87">H167/H53</f>
        <v>0</v>
      </c>
      <c r="I168">
        <f t="shared" si="87"/>
        <v>0</v>
      </c>
      <c r="J168">
        <f t="shared" si="87"/>
        <v>0</v>
      </c>
      <c r="K168">
        <f t="shared" si="87"/>
        <v>0</v>
      </c>
      <c r="L168">
        <f t="shared" si="87"/>
        <v>0</v>
      </c>
      <c r="M168">
        <f t="shared" si="87"/>
        <v>0</v>
      </c>
      <c r="N168">
        <f t="shared" si="87"/>
        <v>0</v>
      </c>
      <c r="O168">
        <f t="shared" si="87"/>
        <v>0</v>
      </c>
      <c r="P168">
        <f t="shared" si="87"/>
        <v>0</v>
      </c>
      <c r="Q168">
        <f t="shared" si="87"/>
        <v>0</v>
      </c>
      <c r="R168">
        <f t="shared" si="87"/>
        <v>0</v>
      </c>
      <c r="S168">
        <f t="shared" si="87"/>
        <v>0</v>
      </c>
    </row>
    <row r="169" spans="1:19">
      <c r="A169" t="s">
        <v>26</v>
      </c>
      <c r="B169" t="s">
        <v>20</v>
      </c>
      <c r="C169" t="s">
        <v>342</v>
      </c>
      <c r="D169" t="s">
        <v>343</v>
      </c>
    </row>
    <row r="170" spans="1:19">
      <c r="A170" t="s">
        <v>60</v>
      </c>
      <c r="B170" t="s">
        <v>179</v>
      </c>
      <c r="C170" t="s">
        <v>344</v>
      </c>
      <c r="D170" t="s">
        <v>345</v>
      </c>
      <c r="H170">
        <f t="shared" ref="H170:S170" si="88">H169/H53</f>
        <v>0</v>
      </c>
      <c r="I170">
        <f t="shared" si="88"/>
        <v>0</v>
      </c>
      <c r="J170">
        <f t="shared" si="88"/>
        <v>0</v>
      </c>
      <c r="K170">
        <f t="shared" si="88"/>
        <v>0</v>
      </c>
      <c r="L170">
        <f t="shared" si="88"/>
        <v>0</v>
      </c>
      <c r="M170">
        <f t="shared" si="88"/>
        <v>0</v>
      </c>
      <c r="N170">
        <f t="shared" si="88"/>
        <v>0</v>
      </c>
      <c r="O170">
        <f t="shared" si="88"/>
        <v>0</v>
      </c>
      <c r="P170">
        <f t="shared" si="88"/>
        <v>0</v>
      </c>
      <c r="Q170">
        <f t="shared" si="88"/>
        <v>0</v>
      </c>
      <c r="R170">
        <f t="shared" si="88"/>
        <v>0</v>
      </c>
      <c r="S170">
        <f t="shared" si="88"/>
        <v>0</v>
      </c>
    </row>
    <row r="171" spans="1:19">
      <c r="A171" t="s">
        <v>26</v>
      </c>
      <c r="B171" t="s">
        <v>20</v>
      </c>
      <c r="C171" t="s">
        <v>346</v>
      </c>
      <c r="D171" t="s">
        <v>347</v>
      </c>
    </row>
    <row r="172" spans="1:19">
      <c r="A172" t="s">
        <v>23</v>
      </c>
      <c r="B172" t="s">
        <v>20</v>
      </c>
      <c r="C172" t="s">
        <v>348</v>
      </c>
      <c r="D172" t="s">
        <v>349</v>
      </c>
      <c r="H172">
        <v>35000000</v>
      </c>
      <c r="I172">
        <v>32500000</v>
      </c>
      <c r="J172">
        <v>39000000</v>
      </c>
      <c r="K172">
        <v>40000000</v>
      </c>
      <c r="L172">
        <v>41000000</v>
      </c>
      <c r="M172">
        <v>42500000</v>
      </c>
      <c r="N172">
        <v>44000000</v>
      </c>
      <c r="O172">
        <v>43500000</v>
      </c>
      <c r="P172">
        <v>42500000</v>
      </c>
      <c r="Q172">
        <v>46500000</v>
      </c>
      <c r="R172">
        <v>46000000</v>
      </c>
      <c r="S172">
        <v>47500000</v>
      </c>
    </row>
    <row r="173" spans="1:19">
      <c r="A173" t="s">
        <v>23</v>
      </c>
      <c r="B173" t="s">
        <v>20</v>
      </c>
      <c r="C173" t="s">
        <v>350</v>
      </c>
      <c r="D173" t="s">
        <v>351</v>
      </c>
      <c r="H173">
        <v>21000000</v>
      </c>
      <c r="I173">
        <v>19500000</v>
      </c>
      <c r="J173">
        <v>23400000</v>
      </c>
      <c r="K173">
        <v>24000000</v>
      </c>
      <c r="L173">
        <v>24600000</v>
      </c>
      <c r="M173">
        <v>25500000</v>
      </c>
      <c r="N173">
        <v>26400000</v>
      </c>
      <c r="O173">
        <v>26100000</v>
      </c>
      <c r="P173">
        <v>25500000</v>
      </c>
      <c r="Q173">
        <v>27900000</v>
      </c>
      <c r="R173">
        <v>27600000</v>
      </c>
      <c r="S173">
        <v>28500000</v>
      </c>
    </row>
    <row r="174" spans="1:19">
      <c r="A174" t="s">
        <v>23</v>
      </c>
      <c r="B174" t="s">
        <v>20</v>
      </c>
      <c r="C174" t="s">
        <v>352</v>
      </c>
      <c r="D174" t="s">
        <v>353</v>
      </c>
      <c r="H174">
        <v>21000000</v>
      </c>
      <c r="I174">
        <v>19500000</v>
      </c>
      <c r="J174">
        <v>23400000</v>
      </c>
      <c r="K174">
        <v>24000000</v>
      </c>
      <c r="L174">
        <v>24600000</v>
      </c>
      <c r="M174">
        <v>25500000</v>
      </c>
      <c r="N174">
        <v>26400000</v>
      </c>
      <c r="O174">
        <v>26100000</v>
      </c>
      <c r="P174">
        <v>25500000</v>
      </c>
      <c r="Q174">
        <v>27900000</v>
      </c>
      <c r="R174">
        <v>27600000</v>
      </c>
      <c r="S174">
        <v>28500000</v>
      </c>
    </row>
    <row r="175" spans="1:19">
      <c r="A175" t="s">
        <v>23</v>
      </c>
      <c r="B175" t="s">
        <v>20</v>
      </c>
      <c r="C175" t="s">
        <v>354</v>
      </c>
      <c r="D175" t="s">
        <v>355</v>
      </c>
      <c r="H175">
        <v>28000000</v>
      </c>
      <c r="I175">
        <v>26000000</v>
      </c>
      <c r="J175">
        <v>31200000</v>
      </c>
      <c r="K175">
        <v>32000000</v>
      </c>
      <c r="L175">
        <v>32800000</v>
      </c>
      <c r="M175">
        <v>34000000</v>
      </c>
      <c r="N175">
        <v>35200000</v>
      </c>
      <c r="O175">
        <v>34800000</v>
      </c>
      <c r="P175">
        <v>34000000</v>
      </c>
      <c r="Q175">
        <v>37200000</v>
      </c>
      <c r="R175">
        <v>36800000</v>
      </c>
      <c r="S175">
        <v>38000000</v>
      </c>
    </row>
    <row r="176" spans="1:19">
      <c r="A176" t="s">
        <v>26</v>
      </c>
      <c r="B176" t="s">
        <v>20</v>
      </c>
      <c r="C176" t="s">
        <v>356</v>
      </c>
      <c r="D176" t="s">
        <v>357</v>
      </c>
    </row>
    <row r="177" spans="1:19">
      <c r="A177" t="s">
        <v>26</v>
      </c>
      <c r="B177" t="s">
        <v>20</v>
      </c>
      <c r="C177" t="s">
        <v>358</v>
      </c>
      <c r="D177" t="s">
        <v>140</v>
      </c>
    </row>
    <row r="178" spans="1:19">
      <c r="A178" t="s">
        <v>23</v>
      </c>
      <c r="B178" t="s">
        <v>20</v>
      </c>
      <c r="C178" t="s">
        <v>359</v>
      </c>
      <c r="D178" t="s">
        <v>360</v>
      </c>
      <c r="H178">
        <v>21000000</v>
      </c>
      <c r="I178">
        <v>19500000</v>
      </c>
      <c r="J178">
        <v>23400000</v>
      </c>
      <c r="K178">
        <v>24000000</v>
      </c>
      <c r="L178">
        <v>24600000</v>
      </c>
      <c r="M178">
        <v>25500000</v>
      </c>
      <c r="N178">
        <v>26400000</v>
      </c>
      <c r="O178">
        <v>26100000</v>
      </c>
      <c r="P178">
        <v>25500000</v>
      </c>
      <c r="Q178">
        <v>27900000</v>
      </c>
      <c r="R178">
        <v>27600000</v>
      </c>
      <c r="S178">
        <v>28500000</v>
      </c>
    </row>
    <row r="179" spans="1:19">
      <c r="A179" t="s">
        <v>23</v>
      </c>
      <c r="B179" t="s">
        <v>20</v>
      </c>
      <c r="C179" t="s">
        <v>361</v>
      </c>
      <c r="D179" t="s">
        <v>362</v>
      </c>
      <c r="H179">
        <v>14000000</v>
      </c>
      <c r="I179">
        <v>13000000</v>
      </c>
      <c r="J179">
        <v>15600000</v>
      </c>
      <c r="K179">
        <v>16000000</v>
      </c>
      <c r="L179">
        <v>16400000</v>
      </c>
      <c r="M179">
        <v>17000000</v>
      </c>
      <c r="N179">
        <v>17600000</v>
      </c>
      <c r="O179">
        <v>17400000</v>
      </c>
      <c r="P179">
        <v>17000000</v>
      </c>
      <c r="Q179">
        <v>18600000</v>
      </c>
      <c r="R179">
        <v>18400000</v>
      </c>
      <c r="S179">
        <v>19000000</v>
      </c>
    </row>
    <row r="180" spans="1:19">
      <c r="A180" t="s">
        <v>23</v>
      </c>
      <c r="B180" t="s">
        <v>20</v>
      </c>
      <c r="C180" t="s">
        <v>363</v>
      </c>
      <c r="D180" t="s">
        <v>179</v>
      </c>
      <c r="H180">
        <f>H166-H167-H172-H173-H174-H175-H178-H179</f>
        <v>59500000</v>
      </c>
      <c r="I180">
        <f>I166-I167-I172-I173-I174-I175-I178-I179</f>
        <v>55250000</v>
      </c>
      <c r="J180">
        <f>J166-J167-J172-J173-J174-J175-J178-J179</f>
        <v>66300000</v>
      </c>
      <c r="K180">
        <v>4000000</v>
      </c>
      <c r="L180">
        <v>4100000</v>
      </c>
      <c r="M180">
        <v>4250000</v>
      </c>
      <c r="N180">
        <v>4400000</v>
      </c>
      <c r="O180">
        <v>4350000</v>
      </c>
      <c r="P180">
        <v>4250000</v>
      </c>
      <c r="Q180">
        <v>4650000</v>
      </c>
      <c r="R180">
        <v>4600000</v>
      </c>
      <c r="S180">
        <v>4750000</v>
      </c>
    </row>
    <row r="181" spans="1:19">
      <c r="A181" t="s">
        <v>19</v>
      </c>
      <c r="B181" t="s">
        <v>35</v>
      </c>
      <c r="C181" t="s">
        <v>364</v>
      </c>
      <c r="D181" t="s">
        <v>365</v>
      </c>
      <c r="H181">
        <v>39900000</v>
      </c>
      <c r="I181">
        <v>37050000</v>
      </c>
      <c r="J181">
        <v>44460000</v>
      </c>
      <c r="K181">
        <f t="shared" ref="K181:S181" si="89">K182+K184+K186+K188+K189+K190+K192</f>
        <v>16000000</v>
      </c>
      <c r="L181">
        <f t="shared" si="89"/>
        <v>16400000</v>
      </c>
      <c r="M181">
        <f t="shared" si="89"/>
        <v>17000000</v>
      </c>
      <c r="N181">
        <f t="shared" si="89"/>
        <v>17600000</v>
      </c>
      <c r="O181">
        <f t="shared" si="89"/>
        <v>17400000</v>
      </c>
      <c r="P181">
        <f t="shared" si="89"/>
        <v>17000000</v>
      </c>
      <c r="Q181">
        <f t="shared" si="89"/>
        <v>18600000</v>
      </c>
      <c r="R181">
        <f t="shared" si="89"/>
        <v>18400000</v>
      </c>
      <c r="S181">
        <f t="shared" si="89"/>
        <v>19000000</v>
      </c>
    </row>
    <row r="182" spans="1:19">
      <c r="A182" t="s">
        <v>23</v>
      </c>
      <c r="B182" t="s">
        <v>35</v>
      </c>
      <c r="C182" t="s">
        <v>366</v>
      </c>
      <c r="D182" t="s">
        <v>367</v>
      </c>
      <c r="H182">
        <v>7000000</v>
      </c>
      <c r="I182">
        <v>6500000</v>
      </c>
      <c r="J182">
        <v>7800000</v>
      </c>
      <c r="K182">
        <f t="shared" ref="K182:S182" si="90">K45*K183</f>
        <v>0</v>
      </c>
      <c r="L182">
        <f t="shared" si="90"/>
        <v>0</v>
      </c>
      <c r="M182">
        <f t="shared" si="90"/>
        <v>0</v>
      </c>
      <c r="N182">
        <f t="shared" si="90"/>
        <v>0</v>
      </c>
      <c r="O182">
        <f t="shared" si="90"/>
        <v>0</v>
      </c>
      <c r="P182">
        <f t="shared" si="90"/>
        <v>0</v>
      </c>
      <c r="Q182">
        <f t="shared" si="90"/>
        <v>0</v>
      </c>
      <c r="R182">
        <f t="shared" si="90"/>
        <v>0</v>
      </c>
      <c r="S182">
        <f t="shared" si="90"/>
        <v>0</v>
      </c>
    </row>
    <row r="183" spans="1:19">
      <c r="A183" t="s">
        <v>26</v>
      </c>
      <c r="B183" t="s">
        <v>179</v>
      </c>
      <c r="C183" t="s">
        <v>368</v>
      </c>
      <c r="D183" t="s">
        <v>369</v>
      </c>
      <c r="H183">
        <f>H182/H45</f>
        <v>0.00404040404040404</v>
      </c>
      <c r="I183">
        <f>I182/I45</f>
        <v>0.00360750360750361</v>
      </c>
      <c r="J183">
        <f>J182/J45</f>
        <v>0.00411783338612607</v>
      </c>
    </row>
    <row r="184" spans="1:19">
      <c r="A184" t="s">
        <v>23</v>
      </c>
      <c r="B184" t="s">
        <v>35</v>
      </c>
      <c r="C184" t="s">
        <v>370</v>
      </c>
      <c r="D184" t="s">
        <v>371</v>
      </c>
      <c r="H184">
        <v>7000000</v>
      </c>
      <c r="I184">
        <v>6500000</v>
      </c>
      <c r="J184">
        <v>7800000</v>
      </c>
      <c r="K184">
        <f t="shared" ref="K184:S184" si="91">K45*K185</f>
        <v>0</v>
      </c>
      <c r="L184">
        <f t="shared" si="91"/>
        <v>0</v>
      </c>
      <c r="M184">
        <f t="shared" si="91"/>
        <v>0</v>
      </c>
      <c r="N184">
        <f t="shared" si="91"/>
        <v>0</v>
      </c>
      <c r="O184">
        <f t="shared" si="91"/>
        <v>0</v>
      </c>
      <c r="P184">
        <f t="shared" si="91"/>
        <v>0</v>
      </c>
      <c r="Q184">
        <f t="shared" si="91"/>
        <v>0</v>
      </c>
      <c r="R184">
        <f t="shared" si="91"/>
        <v>0</v>
      </c>
      <c r="S184">
        <f t="shared" si="91"/>
        <v>0</v>
      </c>
    </row>
    <row r="185" spans="1:19">
      <c r="A185" t="s">
        <v>26</v>
      </c>
      <c r="B185" t="s">
        <v>179</v>
      </c>
      <c r="C185" t="s">
        <v>372</v>
      </c>
      <c r="D185" t="s">
        <v>369</v>
      </c>
      <c r="H185">
        <f>H184/H45</f>
        <v>0.00404040404040404</v>
      </c>
      <c r="I185">
        <f>I184/I45</f>
        <v>0.00360750360750361</v>
      </c>
      <c r="J185">
        <f>J184/J45</f>
        <v>0.00411783338612607</v>
      </c>
    </row>
    <row r="186" spans="1:19">
      <c r="A186" t="s">
        <v>23</v>
      </c>
      <c r="B186" t="s">
        <v>35</v>
      </c>
      <c r="C186" t="s">
        <v>373</v>
      </c>
      <c r="D186" t="s">
        <v>374</v>
      </c>
      <c r="H186">
        <v>3500000</v>
      </c>
      <c r="I186">
        <v>3250000</v>
      </c>
      <c r="J186">
        <v>3900000</v>
      </c>
      <c r="K186">
        <f t="shared" ref="K186:S186" si="92">K45*K187</f>
        <v>0</v>
      </c>
      <c r="L186">
        <f t="shared" si="92"/>
        <v>0</v>
      </c>
      <c r="M186">
        <f t="shared" si="92"/>
        <v>0</v>
      </c>
      <c r="N186">
        <f t="shared" si="92"/>
        <v>0</v>
      </c>
      <c r="O186">
        <f t="shared" si="92"/>
        <v>0</v>
      </c>
      <c r="P186">
        <f t="shared" si="92"/>
        <v>0</v>
      </c>
      <c r="Q186">
        <f t="shared" si="92"/>
        <v>0</v>
      </c>
      <c r="R186">
        <f t="shared" si="92"/>
        <v>0</v>
      </c>
      <c r="S186">
        <f t="shared" si="92"/>
        <v>0</v>
      </c>
    </row>
    <row r="187" spans="1:19">
      <c r="A187" t="s">
        <v>26</v>
      </c>
      <c r="B187" t="s">
        <v>179</v>
      </c>
      <c r="C187" t="s">
        <v>375</v>
      </c>
      <c r="D187" t="s">
        <v>369</v>
      </c>
      <c r="H187">
        <f>H186/H45</f>
        <v>0.00202020202020202</v>
      </c>
      <c r="I187">
        <f>I186/I45</f>
        <v>0.0018037518037518</v>
      </c>
      <c r="J187">
        <f>J186/J45</f>
        <v>0.00205891669306303</v>
      </c>
    </row>
    <row r="188" spans="1:19">
      <c r="A188" t="s">
        <v>23</v>
      </c>
      <c r="B188" t="s">
        <v>35</v>
      </c>
      <c r="C188" t="s">
        <v>376</v>
      </c>
      <c r="D188" t="s">
        <v>377</v>
      </c>
      <c r="H188">
        <v>7000000</v>
      </c>
      <c r="I188">
        <v>6500000</v>
      </c>
      <c r="J188">
        <v>7800000</v>
      </c>
      <c r="K188">
        <v>8000000</v>
      </c>
      <c r="L188">
        <v>8200000</v>
      </c>
      <c r="M188">
        <v>8500000</v>
      </c>
      <c r="N188">
        <v>8800000</v>
      </c>
      <c r="O188">
        <v>8700000</v>
      </c>
      <c r="P188">
        <v>8500000</v>
      </c>
      <c r="Q188">
        <v>9300000</v>
      </c>
      <c r="R188">
        <v>9200000</v>
      </c>
      <c r="S188">
        <v>9500000</v>
      </c>
    </row>
    <row r="189" spans="1:19">
      <c r="A189" t="s">
        <v>23</v>
      </c>
      <c r="B189" t="s">
        <v>35</v>
      </c>
      <c r="C189" t="s">
        <v>378</v>
      </c>
      <c r="D189" t="s">
        <v>379</v>
      </c>
      <c r="H189">
        <v>7000000</v>
      </c>
      <c r="I189">
        <v>6500000</v>
      </c>
      <c r="J189">
        <v>7800000</v>
      </c>
      <c r="K189">
        <v>8000000</v>
      </c>
      <c r="L189">
        <v>8200000</v>
      </c>
      <c r="M189">
        <v>8500000</v>
      </c>
      <c r="N189">
        <v>8800000</v>
      </c>
      <c r="O189">
        <v>8700000</v>
      </c>
      <c r="P189">
        <v>8500000</v>
      </c>
      <c r="Q189">
        <v>9300000</v>
      </c>
      <c r="R189">
        <v>9200000</v>
      </c>
      <c r="S189">
        <v>9500000</v>
      </c>
    </row>
    <row r="190" spans="1:19">
      <c r="A190" t="s">
        <v>23</v>
      </c>
      <c r="B190" t="s">
        <v>35</v>
      </c>
      <c r="C190" t="s">
        <v>380</v>
      </c>
      <c r="D190" t="s">
        <v>381</v>
      </c>
      <c r="H190">
        <v>7000000</v>
      </c>
      <c r="I190">
        <v>6500000</v>
      </c>
      <c r="J190">
        <v>7800000</v>
      </c>
      <c r="K190">
        <f t="shared" ref="K190:S190" si="93">K45*K191</f>
        <v>0</v>
      </c>
      <c r="L190">
        <f t="shared" si="93"/>
        <v>0</v>
      </c>
      <c r="M190">
        <f t="shared" si="93"/>
        <v>0</v>
      </c>
      <c r="N190">
        <f t="shared" si="93"/>
        <v>0</v>
      </c>
      <c r="O190">
        <f t="shared" si="93"/>
        <v>0</v>
      </c>
      <c r="P190">
        <f t="shared" si="93"/>
        <v>0</v>
      </c>
      <c r="Q190">
        <f t="shared" si="93"/>
        <v>0</v>
      </c>
      <c r="R190">
        <f t="shared" si="93"/>
        <v>0</v>
      </c>
      <c r="S190">
        <f t="shared" si="93"/>
        <v>0</v>
      </c>
    </row>
    <row r="191" spans="1:19">
      <c r="A191" t="s">
        <v>26</v>
      </c>
      <c r="B191" t="s">
        <v>179</v>
      </c>
      <c r="C191" t="s">
        <v>382</v>
      </c>
      <c r="D191" t="s">
        <v>383</v>
      </c>
      <c r="H191">
        <f>H190/H45</f>
        <v>0.00404040404040404</v>
      </c>
      <c r="I191">
        <f>I190/I45</f>
        <v>0.00360750360750361</v>
      </c>
      <c r="J191">
        <f>J190/J45</f>
        <v>0.00411783338612607</v>
      </c>
    </row>
    <row r="192" spans="1:19">
      <c r="A192" t="s">
        <v>23</v>
      </c>
      <c r="B192" t="s">
        <v>35</v>
      </c>
      <c r="C192" t="s">
        <v>384</v>
      </c>
      <c r="D192" t="s">
        <v>179</v>
      </c>
      <c r="H192">
        <f>H181-H182-H184-H186-H188-H189-H190</f>
        <v>1400000</v>
      </c>
      <c r="I192">
        <f>I181-I182-I184-I186-I188-I189-I190</f>
        <v>1300000</v>
      </c>
      <c r="J192">
        <f>J181-J182-J184-J186-J188-J189-J190</f>
        <v>1560000</v>
      </c>
    </row>
    <row r="193" spans="1:19">
      <c r="A193" t="s">
        <v>19</v>
      </c>
      <c r="B193" t="s">
        <v>20</v>
      </c>
      <c r="C193" t="s">
        <v>385</v>
      </c>
      <c r="D193" t="s">
        <v>386</v>
      </c>
      <c r="H193">
        <f t="shared" ref="H193:S193" si="94">H194+H195</f>
        <v>0</v>
      </c>
      <c r="I193">
        <f t="shared" si="94"/>
        <v>0</v>
      </c>
      <c r="J193">
        <f t="shared" si="94"/>
        <v>0</v>
      </c>
      <c r="K193">
        <f t="shared" si="94"/>
        <v>0</v>
      </c>
      <c r="L193">
        <f t="shared" si="94"/>
        <v>0</v>
      </c>
      <c r="M193">
        <f t="shared" si="94"/>
        <v>0</v>
      </c>
      <c r="N193">
        <f t="shared" si="94"/>
        <v>0</v>
      </c>
      <c r="O193">
        <f t="shared" si="94"/>
        <v>0</v>
      </c>
      <c r="P193">
        <f t="shared" si="94"/>
        <v>0</v>
      </c>
      <c r="Q193">
        <f t="shared" si="94"/>
        <v>0</v>
      </c>
      <c r="R193">
        <f t="shared" si="94"/>
        <v>0</v>
      </c>
      <c r="S193">
        <f t="shared" si="94"/>
        <v>0</v>
      </c>
    </row>
    <row r="194" spans="1:19">
      <c r="A194" t="s">
        <v>23</v>
      </c>
      <c r="B194" t="s">
        <v>20</v>
      </c>
      <c r="C194" t="s">
        <v>387</v>
      </c>
      <c r="D194" t="s">
        <v>388</v>
      </c>
    </row>
    <row r="195" spans="1:19">
      <c r="A195" t="s">
        <v>23</v>
      </c>
      <c r="B195" t="s">
        <v>20</v>
      </c>
      <c r="C195" t="s">
        <v>389</v>
      </c>
      <c r="D195" t="s">
        <v>390</v>
      </c>
    </row>
    <row r="196" spans="1:19">
      <c r="A196" t="s">
        <v>19</v>
      </c>
      <c r="B196" t="s">
        <v>20</v>
      </c>
      <c r="C196" t="s">
        <v>391</v>
      </c>
      <c r="D196" t="s">
        <v>392</v>
      </c>
    </row>
    <row r="197" spans="1:19">
      <c r="A197" t="s">
        <v>19</v>
      </c>
      <c r="B197" t="s">
        <v>393</v>
      </c>
      <c r="C197" t="s">
        <v>394</v>
      </c>
      <c r="D197" t="s">
        <v>395</v>
      </c>
      <c r="H197">
        <v>126000000</v>
      </c>
      <c r="I197">
        <v>117000000</v>
      </c>
      <c r="J197">
        <v>140400000</v>
      </c>
      <c r="K197">
        <v>144000000</v>
      </c>
      <c r="L197">
        <v>147600000</v>
      </c>
      <c r="M197">
        <v>153000000</v>
      </c>
      <c r="N197">
        <v>158400000</v>
      </c>
      <c r="O197">
        <v>156600000</v>
      </c>
      <c r="P197">
        <v>153000000</v>
      </c>
      <c r="Q197">
        <v>167400000</v>
      </c>
      <c r="R197">
        <v>165600000</v>
      </c>
      <c r="S197">
        <v>171000000</v>
      </c>
    </row>
    <row r="198" spans="1:19">
      <c r="A198" t="s">
        <v>23</v>
      </c>
      <c r="B198" t="s">
        <v>393</v>
      </c>
      <c r="C198" t="s">
        <v>396</v>
      </c>
      <c r="D198" t="s">
        <v>397</v>
      </c>
      <c r="H198">
        <v>88200000</v>
      </c>
      <c r="I198">
        <v>81900000</v>
      </c>
      <c r="J198">
        <v>98280000</v>
      </c>
      <c r="K198">
        <v>100800000</v>
      </c>
      <c r="L198">
        <v>103320000</v>
      </c>
      <c r="M198">
        <v>107100000</v>
      </c>
      <c r="N198">
        <v>110880000</v>
      </c>
      <c r="O198">
        <v>109620000</v>
      </c>
      <c r="P198">
        <v>107100000</v>
      </c>
      <c r="Q198">
        <v>117180000</v>
      </c>
      <c r="R198">
        <v>115920000</v>
      </c>
      <c r="S198">
        <v>119700000</v>
      </c>
    </row>
    <row r="199" spans="1:19">
      <c r="A199" t="s">
        <v>26</v>
      </c>
      <c r="B199" t="s">
        <v>393</v>
      </c>
      <c r="C199" t="s">
        <v>398</v>
      </c>
      <c r="D199" t="s">
        <v>399</v>
      </c>
      <c r="H199">
        <v>31500000</v>
      </c>
      <c r="I199">
        <v>29250000</v>
      </c>
      <c r="J199">
        <v>35100000</v>
      </c>
      <c r="K199">
        <v>36000000</v>
      </c>
      <c r="L199">
        <v>36900000</v>
      </c>
      <c r="M199">
        <v>38250000</v>
      </c>
      <c r="N199">
        <v>39600000</v>
      </c>
      <c r="O199">
        <v>39150000</v>
      </c>
      <c r="P199">
        <v>38250000</v>
      </c>
      <c r="Q199">
        <v>41850000</v>
      </c>
      <c r="R199">
        <v>41400000</v>
      </c>
      <c r="S199">
        <v>42750000</v>
      </c>
    </row>
    <row r="200" spans="1:19">
      <c r="A200" t="s">
        <v>60</v>
      </c>
      <c r="B200" t="s">
        <v>393</v>
      </c>
      <c r="C200" t="s">
        <v>400</v>
      </c>
      <c r="D200" t="s">
        <v>401</v>
      </c>
      <c r="H200">
        <v>22400000</v>
      </c>
      <c r="I200">
        <v>20800000</v>
      </c>
      <c r="J200">
        <v>24960000</v>
      </c>
      <c r="K200">
        <v>25600000</v>
      </c>
      <c r="L200">
        <v>26240000</v>
      </c>
      <c r="M200">
        <v>27200000</v>
      </c>
      <c r="N200">
        <v>28160000</v>
      </c>
      <c r="O200">
        <v>27840000</v>
      </c>
      <c r="P200">
        <v>27200000</v>
      </c>
      <c r="Q200">
        <v>29760000</v>
      </c>
      <c r="R200">
        <v>29440000</v>
      </c>
      <c r="S200">
        <v>30400000</v>
      </c>
    </row>
    <row r="201" spans="1:19">
      <c r="A201" t="s">
        <v>60</v>
      </c>
      <c r="B201" t="s">
        <v>393</v>
      </c>
      <c r="C201" t="s">
        <v>402</v>
      </c>
      <c r="D201" t="s">
        <v>49</v>
      </c>
      <c r="H201">
        <v>9100000</v>
      </c>
      <c r="I201">
        <v>8450000</v>
      </c>
      <c r="J201">
        <v>10140000</v>
      </c>
      <c r="K201">
        <v>10400000</v>
      </c>
      <c r="L201">
        <v>10660000</v>
      </c>
      <c r="M201">
        <v>11050000</v>
      </c>
      <c r="N201">
        <v>11440000</v>
      </c>
      <c r="O201">
        <v>11310000</v>
      </c>
      <c r="P201">
        <v>11050000</v>
      </c>
      <c r="Q201">
        <v>12090000</v>
      </c>
      <c r="R201">
        <v>11960000</v>
      </c>
      <c r="S201">
        <v>12350000</v>
      </c>
    </row>
    <row r="202" spans="1:19">
      <c r="A202" t="s">
        <v>26</v>
      </c>
      <c r="B202" t="s">
        <v>393</v>
      </c>
      <c r="C202" t="s">
        <v>403</v>
      </c>
      <c r="D202" t="s">
        <v>51</v>
      </c>
      <c r="H202">
        <v>25200000</v>
      </c>
      <c r="I202">
        <v>23400000</v>
      </c>
      <c r="J202">
        <v>28080000</v>
      </c>
      <c r="K202">
        <v>28800000</v>
      </c>
      <c r="L202">
        <v>29520000</v>
      </c>
      <c r="M202">
        <v>30600000</v>
      </c>
      <c r="N202">
        <v>31680000</v>
      </c>
      <c r="O202">
        <v>31320000</v>
      </c>
      <c r="P202">
        <v>30600000</v>
      </c>
      <c r="Q202">
        <v>33480000</v>
      </c>
      <c r="R202">
        <v>33120000</v>
      </c>
      <c r="S202">
        <v>34200000</v>
      </c>
    </row>
    <row r="203" spans="1:19">
      <c r="A203" t="s">
        <v>60</v>
      </c>
      <c r="B203" t="s">
        <v>393</v>
      </c>
      <c r="C203" t="s">
        <v>404</v>
      </c>
      <c r="D203" t="s">
        <v>405</v>
      </c>
      <c r="H203">
        <v>15400000</v>
      </c>
      <c r="I203">
        <v>14300000</v>
      </c>
      <c r="J203">
        <v>17160000</v>
      </c>
      <c r="K203">
        <v>17600000</v>
      </c>
      <c r="L203">
        <v>18040000</v>
      </c>
      <c r="M203">
        <v>18700000</v>
      </c>
      <c r="N203">
        <v>19360000</v>
      </c>
      <c r="O203">
        <v>19140000</v>
      </c>
      <c r="P203">
        <v>18700000</v>
      </c>
      <c r="Q203">
        <v>20460000</v>
      </c>
      <c r="R203">
        <v>20240000</v>
      </c>
      <c r="S203">
        <v>20900000</v>
      </c>
    </row>
    <row r="204" spans="1:19">
      <c r="A204" t="s">
        <v>60</v>
      </c>
      <c r="B204" t="s">
        <v>393</v>
      </c>
      <c r="C204" t="s">
        <v>406</v>
      </c>
      <c r="D204" t="s">
        <v>407</v>
      </c>
      <c r="H204">
        <v>9800000</v>
      </c>
      <c r="I204">
        <v>9100000</v>
      </c>
      <c r="J204">
        <v>10920000</v>
      </c>
      <c r="K204">
        <v>11200000</v>
      </c>
      <c r="L204">
        <v>11480000</v>
      </c>
      <c r="M204">
        <v>11900000</v>
      </c>
      <c r="N204">
        <v>12320000</v>
      </c>
      <c r="O204">
        <v>12180000</v>
      </c>
      <c r="P204">
        <v>11900000</v>
      </c>
      <c r="Q204">
        <v>13020000</v>
      </c>
      <c r="R204">
        <v>12880000</v>
      </c>
      <c r="S204">
        <v>13300000</v>
      </c>
    </row>
    <row r="205" spans="1:19">
      <c r="A205" t="s">
        <v>26</v>
      </c>
      <c r="B205" t="s">
        <v>393</v>
      </c>
      <c r="C205" t="s">
        <v>408</v>
      </c>
      <c r="D205" t="s">
        <v>409</v>
      </c>
      <c r="H205">
        <v>18900000</v>
      </c>
      <c r="I205">
        <v>17550000</v>
      </c>
      <c r="J205">
        <v>21060000</v>
      </c>
      <c r="K205">
        <v>21600000</v>
      </c>
      <c r="L205">
        <v>22140000</v>
      </c>
      <c r="M205">
        <v>22950000</v>
      </c>
      <c r="N205">
        <v>23760000</v>
      </c>
      <c r="O205">
        <v>23490000</v>
      </c>
      <c r="P205">
        <v>22950000</v>
      </c>
      <c r="Q205">
        <v>25110000</v>
      </c>
      <c r="R205">
        <v>24840000</v>
      </c>
      <c r="S205">
        <v>25650000</v>
      </c>
    </row>
    <row r="206" spans="1:19">
      <c r="A206" t="s">
        <v>60</v>
      </c>
      <c r="B206" t="s">
        <v>393</v>
      </c>
      <c r="C206" t="s">
        <v>410</v>
      </c>
      <c r="D206" t="s">
        <v>59</v>
      </c>
      <c r="H206">
        <v>9800000</v>
      </c>
      <c r="I206">
        <v>9100000</v>
      </c>
      <c r="J206">
        <v>10920000</v>
      </c>
      <c r="K206">
        <v>11200000</v>
      </c>
      <c r="L206">
        <v>11480000</v>
      </c>
      <c r="M206">
        <v>11900000</v>
      </c>
      <c r="N206">
        <v>12320000</v>
      </c>
      <c r="O206">
        <v>12180000</v>
      </c>
      <c r="P206">
        <v>11900000</v>
      </c>
      <c r="Q206">
        <v>13020000</v>
      </c>
      <c r="R206">
        <v>12880000</v>
      </c>
      <c r="S206">
        <v>13300000</v>
      </c>
    </row>
    <row r="207" spans="1:19">
      <c r="A207" t="s">
        <v>192</v>
      </c>
      <c r="B207" t="s">
        <v>393</v>
      </c>
      <c r="C207" t="s">
        <v>411</v>
      </c>
      <c r="D207" t="s">
        <v>62</v>
      </c>
      <c r="H207">
        <v>6300000</v>
      </c>
      <c r="I207">
        <v>5850000</v>
      </c>
      <c r="J207">
        <v>7020000</v>
      </c>
      <c r="K207">
        <v>7200000</v>
      </c>
      <c r="L207">
        <v>7380000</v>
      </c>
      <c r="M207">
        <v>7650000</v>
      </c>
      <c r="N207">
        <v>7920000</v>
      </c>
      <c r="O207">
        <v>7830000</v>
      </c>
      <c r="P207">
        <v>7650000</v>
      </c>
      <c r="Q207">
        <v>8370000</v>
      </c>
      <c r="R207">
        <v>8280000</v>
      </c>
      <c r="S207">
        <v>8550000</v>
      </c>
    </row>
    <row r="208" spans="1:19">
      <c r="A208" t="s">
        <v>192</v>
      </c>
      <c r="B208" t="s">
        <v>393</v>
      </c>
      <c r="C208" t="s">
        <v>412</v>
      </c>
      <c r="D208" t="s">
        <v>64</v>
      </c>
      <c r="H208">
        <v>3500000</v>
      </c>
      <c r="I208">
        <v>3250000</v>
      </c>
      <c r="J208">
        <v>3900000</v>
      </c>
      <c r="K208">
        <v>4000000</v>
      </c>
      <c r="L208">
        <v>4100000</v>
      </c>
      <c r="M208">
        <v>4250000</v>
      </c>
      <c r="N208">
        <v>4400000</v>
      </c>
      <c r="O208">
        <v>4350000</v>
      </c>
      <c r="P208">
        <v>4250000</v>
      </c>
      <c r="Q208">
        <v>4650000</v>
      </c>
      <c r="R208">
        <v>4600000</v>
      </c>
      <c r="S208">
        <v>4750000</v>
      </c>
    </row>
    <row r="209" spans="1:19">
      <c r="A209" t="s">
        <v>60</v>
      </c>
      <c r="B209" t="s">
        <v>393</v>
      </c>
      <c r="C209" t="s">
        <v>413</v>
      </c>
      <c r="D209" t="s">
        <v>414</v>
      </c>
      <c r="H209">
        <v>3500000</v>
      </c>
      <c r="I209">
        <v>3250000</v>
      </c>
      <c r="J209">
        <v>3900000</v>
      </c>
      <c r="K209">
        <v>4000000</v>
      </c>
      <c r="L209">
        <v>4100000</v>
      </c>
      <c r="M209">
        <v>4250000</v>
      </c>
      <c r="N209">
        <v>4400000</v>
      </c>
      <c r="O209">
        <v>4350000</v>
      </c>
      <c r="P209">
        <v>4250000</v>
      </c>
      <c r="Q209">
        <v>4650000</v>
      </c>
      <c r="R209">
        <v>4600000</v>
      </c>
      <c r="S209">
        <v>4750000</v>
      </c>
    </row>
    <row r="210" spans="1:19">
      <c r="A210" t="s">
        <v>60</v>
      </c>
      <c r="B210" t="s">
        <v>393</v>
      </c>
      <c r="C210" t="s">
        <v>415</v>
      </c>
      <c r="D210" t="s">
        <v>68</v>
      </c>
      <c r="H210">
        <v>2800000</v>
      </c>
      <c r="I210">
        <v>2600000</v>
      </c>
      <c r="J210">
        <v>3120000</v>
      </c>
      <c r="K210">
        <v>3200000</v>
      </c>
      <c r="L210">
        <v>3280000</v>
      </c>
      <c r="M210">
        <v>3400000</v>
      </c>
      <c r="N210">
        <v>3520000</v>
      </c>
      <c r="O210">
        <v>3480000</v>
      </c>
      <c r="P210">
        <v>3400000</v>
      </c>
      <c r="Q210">
        <v>3720000</v>
      </c>
      <c r="R210">
        <v>3680000</v>
      </c>
      <c r="S210">
        <v>3800000</v>
      </c>
    </row>
    <row r="211" spans="1:19">
      <c r="A211" t="s">
        <v>60</v>
      </c>
      <c r="B211" t="s">
        <v>393</v>
      </c>
      <c r="C211" t="s">
        <v>416</v>
      </c>
      <c r="D211" t="s">
        <v>70</v>
      </c>
      <c r="H211">
        <v>2800000</v>
      </c>
      <c r="I211">
        <v>2600000</v>
      </c>
      <c r="J211">
        <v>3120000</v>
      </c>
      <c r="K211">
        <v>3200000</v>
      </c>
      <c r="L211">
        <v>3280000</v>
      </c>
      <c r="M211">
        <v>3400000</v>
      </c>
      <c r="N211">
        <v>3520000</v>
      </c>
      <c r="O211">
        <v>3480000</v>
      </c>
      <c r="P211">
        <v>3400000</v>
      </c>
      <c r="Q211">
        <v>3720000</v>
      </c>
      <c r="R211">
        <v>3680000</v>
      </c>
      <c r="S211">
        <v>3800000</v>
      </c>
    </row>
    <row r="212" spans="1:19">
      <c r="A212" t="s">
        <v>26</v>
      </c>
      <c r="B212" t="s">
        <v>393</v>
      </c>
      <c r="C212" t="s">
        <v>417</v>
      </c>
      <c r="D212" t="s">
        <v>418</v>
      </c>
      <c r="H212">
        <v>6300000</v>
      </c>
      <c r="I212">
        <v>5850000</v>
      </c>
      <c r="J212">
        <v>7020000</v>
      </c>
      <c r="K212">
        <v>7200000</v>
      </c>
      <c r="L212">
        <v>7380000</v>
      </c>
      <c r="M212">
        <v>7650000</v>
      </c>
      <c r="N212">
        <v>7920000</v>
      </c>
      <c r="O212">
        <v>7830000</v>
      </c>
      <c r="P212">
        <v>7650000</v>
      </c>
      <c r="Q212">
        <v>8370000</v>
      </c>
      <c r="R212">
        <v>8280000</v>
      </c>
      <c r="S212">
        <v>8550000</v>
      </c>
    </row>
    <row r="213" spans="1:19">
      <c r="A213" t="s">
        <v>26</v>
      </c>
      <c r="B213" t="s">
        <v>393</v>
      </c>
      <c r="C213" t="s">
        <v>419</v>
      </c>
      <c r="D213" t="s">
        <v>420</v>
      </c>
      <c r="H213">
        <v>6300000</v>
      </c>
      <c r="I213">
        <v>5850000</v>
      </c>
      <c r="J213">
        <v>7020000</v>
      </c>
      <c r="K213">
        <v>7200000</v>
      </c>
      <c r="L213">
        <v>7380000</v>
      </c>
      <c r="M213">
        <v>7650000</v>
      </c>
      <c r="N213">
        <v>7920000</v>
      </c>
      <c r="O213">
        <v>7830000</v>
      </c>
      <c r="P213">
        <v>7650000</v>
      </c>
      <c r="Q213">
        <v>8370000</v>
      </c>
      <c r="R213">
        <v>8280000</v>
      </c>
      <c r="S213">
        <v>8550000</v>
      </c>
    </row>
    <row r="214" spans="1:19">
      <c r="A214" t="s">
        <v>23</v>
      </c>
      <c r="B214" t="s">
        <v>393</v>
      </c>
      <c r="C214" t="s">
        <v>421</v>
      </c>
      <c r="D214" t="s">
        <v>422</v>
      </c>
      <c r="H214">
        <v>37800000</v>
      </c>
      <c r="I214">
        <v>35100000</v>
      </c>
      <c r="J214">
        <v>42120000</v>
      </c>
      <c r="K214">
        <v>43200000</v>
      </c>
      <c r="L214">
        <v>44280000</v>
      </c>
      <c r="M214">
        <v>45900000</v>
      </c>
      <c r="N214">
        <v>47520000</v>
      </c>
      <c r="O214">
        <v>46980000</v>
      </c>
      <c r="P214">
        <v>45900000</v>
      </c>
      <c r="Q214">
        <v>50220000</v>
      </c>
      <c r="R214">
        <v>49680000</v>
      </c>
      <c r="S214">
        <v>51300000</v>
      </c>
    </row>
    <row r="215" spans="1:19">
      <c r="A215" t="s">
        <v>26</v>
      </c>
      <c r="B215" t="s">
        <v>393</v>
      </c>
      <c r="C215" t="s">
        <v>423</v>
      </c>
      <c r="D215" t="s">
        <v>399</v>
      </c>
      <c r="H215">
        <v>12600000</v>
      </c>
      <c r="I215">
        <v>11700000</v>
      </c>
      <c r="J215">
        <v>14040000</v>
      </c>
      <c r="K215">
        <v>14400000</v>
      </c>
      <c r="L215">
        <v>14760000</v>
      </c>
      <c r="M215">
        <v>15300000</v>
      </c>
      <c r="N215">
        <v>15840000</v>
      </c>
      <c r="O215">
        <v>15660000</v>
      </c>
      <c r="P215">
        <v>15300000</v>
      </c>
      <c r="Q215">
        <v>16740000</v>
      </c>
      <c r="R215">
        <v>16560000</v>
      </c>
      <c r="S215">
        <v>17100000</v>
      </c>
    </row>
    <row r="216" spans="1:19">
      <c r="A216" t="s">
        <v>60</v>
      </c>
      <c r="B216" t="s">
        <v>393</v>
      </c>
      <c r="C216" t="s">
        <v>424</v>
      </c>
      <c r="D216" t="s">
        <v>401</v>
      </c>
      <c r="H216">
        <v>9100000</v>
      </c>
      <c r="I216">
        <v>8450000</v>
      </c>
      <c r="J216">
        <v>10140000</v>
      </c>
      <c r="K216">
        <v>10400000</v>
      </c>
      <c r="L216">
        <v>10660000</v>
      </c>
      <c r="M216">
        <v>11050000</v>
      </c>
      <c r="N216">
        <v>11440000</v>
      </c>
      <c r="O216">
        <v>11310000</v>
      </c>
      <c r="P216">
        <v>11050000</v>
      </c>
      <c r="Q216">
        <v>12090000</v>
      </c>
      <c r="R216">
        <v>11960000</v>
      </c>
      <c r="S216">
        <v>12350000</v>
      </c>
    </row>
    <row r="217" spans="1:19">
      <c r="A217" t="s">
        <v>60</v>
      </c>
      <c r="B217" t="s">
        <v>393</v>
      </c>
      <c r="C217" t="s">
        <v>425</v>
      </c>
      <c r="D217" t="s">
        <v>49</v>
      </c>
      <c r="H217">
        <v>3500000</v>
      </c>
      <c r="I217">
        <v>3250000</v>
      </c>
      <c r="J217">
        <v>3900000</v>
      </c>
      <c r="K217">
        <v>4000000</v>
      </c>
      <c r="L217">
        <v>4100000</v>
      </c>
      <c r="M217">
        <v>4250000</v>
      </c>
      <c r="N217">
        <v>4400000</v>
      </c>
      <c r="O217">
        <v>4350000</v>
      </c>
      <c r="P217">
        <v>4250000</v>
      </c>
      <c r="Q217">
        <v>4650000</v>
      </c>
      <c r="R217">
        <v>4600000</v>
      </c>
      <c r="S217">
        <v>4750000</v>
      </c>
    </row>
    <row r="218" spans="1:19">
      <c r="A218" t="s">
        <v>26</v>
      </c>
      <c r="B218" t="s">
        <v>393</v>
      </c>
      <c r="C218" t="s">
        <v>426</v>
      </c>
      <c r="D218" t="s">
        <v>51</v>
      </c>
      <c r="H218">
        <v>9800000</v>
      </c>
      <c r="I218">
        <v>9100000</v>
      </c>
      <c r="J218">
        <v>10920000</v>
      </c>
      <c r="K218">
        <v>11200000</v>
      </c>
      <c r="L218">
        <v>11480000</v>
      </c>
      <c r="M218">
        <v>11900000</v>
      </c>
      <c r="N218">
        <v>12320000</v>
      </c>
      <c r="O218">
        <v>12180000</v>
      </c>
      <c r="P218">
        <v>11900000</v>
      </c>
      <c r="Q218">
        <v>13020000</v>
      </c>
      <c r="R218">
        <v>12880000</v>
      </c>
      <c r="S218">
        <v>13300000</v>
      </c>
    </row>
    <row r="219" spans="1:19">
      <c r="A219" t="s">
        <v>60</v>
      </c>
      <c r="B219" t="s">
        <v>393</v>
      </c>
      <c r="C219" t="s">
        <v>427</v>
      </c>
      <c r="D219" t="s">
        <v>405</v>
      </c>
      <c r="H219">
        <v>6300000</v>
      </c>
      <c r="I219">
        <v>5850000</v>
      </c>
      <c r="J219">
        <v>7020000</v>
      </c>
      <c r="K219">
        <v>7200000</v>
      </c>
      <c r="L219">
        <v>7380000</v>
      </c>
      <c r="M219">
        <v>7650000</v>
      </c>
      <c r="N219">
        <v>7920000</v>
      </c>
      <c r="O219">
        <v>7830000</v>
      </c>
      <c r="P219">
        <v>7650000</v>
      </c>
      <c r="Q219">
        <v>8370000</v>
      </c>
      <c r="R219">
        <v>8280000</v>
      </c>
      <c r="S219">
        <v>8550000</v>
      </c>
    </row>
    <row r="220" spans="1:19">
      <c r="A220" t="s">
        <v>60</v>
      </c>
      <c r="B220" t="s">
        <v>393</v>
      </c>
      <c r="C220" t="s">
        <v>428</v>
      </c>
      <c r="D220" t="s">
        <v>407</v>
      </c>
      <c r="H220">
        <v>3500000</v>
      </c>
      <c r="I220">
        <v>3250000</v>
      </c>
      <c r="J220">
        <v>3900000</v>
      </c>
      <c r="K220">
        <v>4000000</v>
      </c>
      <c r="L220">
        <v>4100000</v>
      </c>
      <c r="M220">
        <v>4250000</v>
      </c>
      <c r="N220">
        <v>4400000</v>
      </c>
      <c r="O220">
        <v>4350000</v>
      </c>
      <c r="P220">
        <v>4250000</v>
      </c>
      <c r="Q220">
        <v>4650000</v>
      </c>
      <c r="R220">
        <v>4600000</v>
      </c>
      <c r="S220">
        <v>4750000</v>
      </c>
    </row>
    <row r="221" spans="1:19">
      <c r="A221" t="s">
        <v>26</v>
      </c>
      <c r="B221" t="s">
        <v>393</v>
      </c>
      <c r="C221" t="s">
        <v>429</v>
      </c>
      <c r="D221" t="s">
        <v>409</v>
      </c>
      <c r="H221">
        <v>9100000</v>
      </c>
      <c r="I221">
        <v>8450000</v>
      </c>
      <c r="J221">
        <v>10140000</v>
      </c>
      <c r="K221">
        <v>10400000</v>
      </c>
      <c r="L221">
        <v>10660000</v>
      </c>
      <c r="M221">
        <v>11050000</v>
      </c>
      <c r="N221">
        <v>11440000</v>
      </c>
      <c r="O221">
        <v>11310000</v>
      </c>
      <c r="P221">
        <v>11050000</v>
      </c>
      <c r="Q221">
        <v>12090000</v>
      </c>
      <c r="R221">
        <v>11960000</v>
      </c>
      <c r="S221">
        <v>12350000</v>
      </c>
    </row>
    <row r="222" spans="1:19">
      <c r="A222" t="s">
        <v>60</v>
      </c>
      <c r="B222" t="s">
        <v>393</v>
      </c>
      <c r="C222" t="s">
        <v>430</v>
      </c>
      <c r="D222" t="s">
        <v>59</v>
      </c>
      <c r="H222">
        <v>4900000</v>
      </c>
      <c r="I222">
        <v>4550000</v>
      </c>
      <c r="J222">
        <v>5460000</v>
      </c>
      <c r="K222">
        <v>5600000</v>
      </c>
      <c r="L222">
        <v>5740000</v>
      </c>
      <c r="M222">
        <v>5950000</v>
      </c>
      <c r="N222">
        <v>6160000</v>
      </c>
      <c r="O222">
        <v>6090000</v>
      </c>
      <c r="P222">
        <v>5950000</v>
      </c>
      <c r="Q222">
        <v>6510000</v>
      </c>
      <c r="R222">
        <v>6440000</v>
      </c>
      <c r="S222">
        <v>6650000</v>
      </c>
    </row>
    <row r="223" spans="1:19">
      <c r="A223" t="s">
        <v>192</v>
      </c>
      <c r="B223" t="s">
        <v>393</v>
      </c>
      <c r="C223" t="s">
        <v>431</v>
      </c>
      <c r="D223" t="s">
        <v>62</v>
      </c>
      <c r="H223">
        <v>3500000</v>
      </c>
      <c r="I223">
        <v>3250000</v>
      </c>
      <c r="J223">
        <v>3900000</v>
      </c>
      <c r="K223">
        <v>4000000</v>
      </c>
      <c r="L223">
        <v>4100000</v>
      </c>
      <c r="M223">
        <v>4250000</v>
      </c>
      <c r="N223">
        <v>4400000</v>
      </c>
      <c r="O223">
        <v>4350000</v>
      </c>
      <c r="P223">
        <v>4250000</v>
      </c>
      <c r="Q223">
        <v>4650000</v>
      </c>
      <c r="R223">
        <v>4600000</v>
      </c>
      <c r="S223">
        <v>4750000</v>
      </c>
    </row>
    <row r="224" spans="1:19">
      <c r="A224" t="s">
        <v>192</v>
      </c>
      <c r="B224" t="s">
        <v>393</v>
      </c>
      <c r="C224" t="s">
        <v>432</v>
      </c>
      <c r="D224" t="s">
        <v>64</v>
      </c>
      <c r="H224">
        <v>2100000</v>
      </c>
      <c r="I224">
        <v>1950000</v>
      </c>
      <c r="J224">
        <v>2340000</v>
      </c>
      <c r="K224">
        <v>2400000</v>
      </c>
      <c r="L224">
        <v>2460000</v>
      </c>
      <c r="M224">
        <v>2550000</v>
      </c>
      <c r="N224">
        <v>2640000</v>
      </c>
      <c r="O224">
        <v>2610000</v>
      </c>
      <c r="P224">
        <v>2550000</v>
      </c>
      <c r="Q224">
        <v>2790000</v>
      </c>
      <c r="R224">
        <v>2760000</v>
      </c>
      <c r="S224">
        <v>2850000</v>
      </c>
    </row>
    <row r="225" spans="1:19">
      <c r="A225" t="s">
        <v>60</v>
      </c>
      <c r="B225" t="s">
        <v>393</v>
      </c>
      <c r="C225" t="s">
        <v>433</v>
      </c>
      <c r="D225" t="s">
        <v>414</v>
      </c>
      <c r="H225">
        <v>2100000</v>
      </c>
      <c r="I225">
        <v>1950000</v>
      </c>
      <c r="J225">
        <v>2340000</v>
      </c>
      <c r="K225">
        <v>2400000</v>
      </c>
      <c r="L225">
        <v>2460000</v>
      </c>
      <c r="M225">
        <v>2550000</v>
      </c>
      <c r="N225">
        <v>2640000</v>
      </c>
      <c r="O225">
        <v>2610000</v>
      </c>
      <c r="P225">
        <v>2550000</v>
      </c>
      <c r="Q225">
        <v>2790000</v>
      </c>
      <c r="R225">
        <v>2760000</v>
      </c>
      <c r="S225">
        <v>2850000</v>
      </c>
    </row>
    <row r="226" spans="1:19">
      <c r="A226" t="s">
        <v>60</v>
      </c>
      <c r="B226" t="s">
        <v>393</v>
      </c>
      <c r="C226" t="s">
        <v>434</v>
      </c>
      <c r="D226" t="s">
        <v>68</v>
      </c>
      <c r="H226">
        <v>1400000</v>
      </c>
      <c r="I226">
        <v>1300000</v>
      </c>
      <c r="J226">
        <v>1560000</v>
      </c>
      <c r="K226">
        <v>1600000</v>
      </c>
      <c r="L226">
        <v>1640000</v>
      </c>
      <c r="M226">
        <v>1700000</v>
      </c>
      <c r="N226">
        <v>1760000</v>
      </c>
      <c r="O226">
        <v>1740000</v>
      </c>
      <c r="P226">
        <v>1700000</v>
      </c>
      <c r="Q226">
        <v>1860000</v>
      </c>
      <c r="R226">
        <v>1840000</v>
      </c>
      <c r="S226">
        <v>1900000</v>
      </c>
    </row>
    <row r="227" spans="1:19">
      <c r="A227" t="s">
        <v>60</v>
      </c>
      <c r="B227" t="s">
        <v>393</v>
      </c>
      <c r="C227" t="s">
        <v>435</v>
      </c>
      <c r="D227" t="s">
        <v>70</v>
      </c>
      <c r="H227">
        <v>1400000</v>
      </c>
      <c r="I227">
        <v>1300000</v>
      </c>
      <c r="J227">
        <v>1560000</v>
      </c>
      <c r="K227">
        <v>1600000</v>
      </c>
      <c r="L227">
        <v>1640000</v>
      </c>
      <c r="M227">
        <v>1700000</v>
      </c>
      <c r="N227">
        <v>1760000</v>
      </c>
      <c r="O227">
        <v>1740000</v>
      </c>
      <c r="P227">
        <v>1700000</v>
      </c>
      <c r="Q227">
        <v>1860000</v>
      </c>
      <c r="R227">
        <v>1840000</v>
      </c>
      <c r="S227">
        <v>1900000</v>
      </c>
    </row>
    <row r="228" spans="1:19">
      <c r="A228" t="s">
        <v>26</v>
      </c>
      <c r="B228" t="s">
        <v>393</v>
      </c>
      <c r="C228" t="s">
        <v>436</v>
      </c>
      <c r="D228" t="s">
        <v>418</v>
      </c>
      <c r="H228">
        <v>6300000</v>
      </c>
      <c r="I228">
        <v>5850000</v>
      </c>
      <c r="J228">
        <v>7020000</v>
      </c>
      <c r="K228">
        <v>7200000</v>
      </c>
      <c r="L228">
        <v>7380000</v>
      </c>
      <c r="M228">
        <v>7650000</v>
      </c>
      <c r="N228">
        <v>7920000</v>
      </c>
      <c r="O228">
        <v>7830000</v>
      </c>
      <c r="P228">
        <v>7650000</v>
      </c>
      <c r="Q228">
        <v>8370000</v>
      </c>
      <c r="R228">
        <v>8280000</v>
      </c>
      <c r="S228">
        <v>8550000</v>
      </c>
    </row>
    <row r="229" spans="1:19">
      <c r="A229" t="s">
        <v>26</v>
      </c>
      <c r="B229" t="s">
        <v>393</v>
      </c>
      <c r="C229" t="s">
        <v>437</v>
      </c>
      <c r="D229" t="s">
        <v>420</v>
      </c>
      <c r="H229">
        <v>6300000</v>
      </c>
      <c r="I229">
        <v>5850000</v>
      </c>
      <c r="J229">
        <v>7020000</v>
      </c>
      <c r="K229">
        <v>7200000</v>
      </c>
      <c r="L229">
        <v>7380000</v>
      </c>
      <c r="M229">
        <v>7650000</v>
      </c>
      <c r="N229">
        <v>7920000</v>
      </c>
      <c r="O229">
        <v>7830000</v>
      </c>
      <c r="P229">
        <v>7650000</v>
      </c>
      <c r="Q229">
        <v>8370000</v>
      </c>
      <c r="R229">
        <v>8280000</v>
      </c>
      <c r="S229">
        <v>8550000</v>
      </c>
    </row>
    <row r="230" spans="1:19">
      <c r="A230" t="s">
        <v>19</v>
      </c>
      <c r="B230" t="s">
        <v>438</v>
      </c>
      <c r="C230" t="s">
        <v>439</v>
      </c>
      <c r="D230" t="s">
        <v>440</v>
      </c>
    </row>
    <row r="231" spans="1:19">
      <c r="A231" t="s">
        <v>23</v>
      </c>
      <c r="B231" t="s">
        <v>438</v>
      </c>
      <c r="C231" t="s">
        <v>441</v>
      </c>
      <c r="D231" t="s">
        <v>442</v>
      </c>
    </row>
    <row r="232" spans="1:19">
      <c r="A232" t="s">
        <v>26</v>
      </c>
      <c r="B232" t="s">
        <v>438</v>
      </c>
      <c r="C232" t="s">
        <v>443</v>
      </c>
      <c r="D232" t="s">
        <v>444</v>
      </c>
    </row>
    <row r="233" spans="1:19">
      <c r="A233" t="s">
        <v>60</v>
      </c>
      <c r="B233" t="s">
        <v>438</v>
      </c>
      <c r="C233" t="s">
        <v>445</v>
      </c>
      <c r="D233" t="s">
        <v>446</v>
      </c>
    </row>
    <row r="234" spans="1:19">
      <c r="A234" t="s">
        <v>60</v>
      </c>
      <c r="B234" t="s">
        <v>438</v>
      </c>
      <c r="C234" t="s">
        <v>447</v>
      </c>
      <c r="D234" t="s">
        <v>448</v>
      </c>
    </row>
    <row r="235" spans="1:19">
      <c r="A235" t="s">
        <v>60</v>
      </c>
      <c r="B235" t="s">
        <v>438</v>
      </c>
      <c r="C235" t="s">
        <v>449</v>
      </c>
      <c r="D235" t="s">
        <v>450</v>
      </c>
    </row>
    <row r="236" spans="1:19">
      <c r="A236" t="s">
        <v>60</v>
      </c>
      <c r="B236" t="s">
        <v>438</v>
      </c>
      <c r="C236" t="s">
        <v>451</v>
      </c>
      <c r="D236" t="s">
        <v>452</v>
      </c>
    </row>
    <row r="237" spans="1:19">
      <c r="A237" t="s">
        <v>26</v>
      </c>
      <c r="B237" t="s">
        <v>438</v>
      </c>
      <c r="C237" t="s">
        <v>453</v>
      </c>
      <c r="D237" t="s">
        <v>454</v>
      </c>
    </row>
    <row r="238" spans="1:19">
      <c r="A238" t="s">
        <v>60</v>
      </c>
      <c r="B238" t="s">
        <v>438</v>
      </c>
      <c r="C238" t="s">
        <v>455</v>
      </c>
      <c r="D238" t="s">
        <v>456</v>
      </c>
    </row>
    <row r="239" spans="1:19">
      <c r="A239" t="s">
        <v>60</v>
      </c>
      <c r="B239" t="s">
        <v>438</v>
      </c>
      <c r="C239" t="s">
        <v>457</v>
      </c>
      <c r="D239" t="s">
        <v>458</v>
      </c>
    </row>
    <row r="240" spans="1:19">
      <c r="A240" t="s">
        <v>60</v>
      </c>
      <c r="B240" t="s">
        <v>438</v>
      </c>
      <c r="C240" t="s">
        <v>459</v>
      </c>
      <c r="D240" t="s">
        <v>460</v>
      </c>
    </row>
    <row r="241" spans="1:4">
      <c r="A241" t="s">
        <v>60</v>
      </c>
      <c r="B241" t="s">
        <v>438</v>
      </c>
      <c r="C241" t="s">
        <v>461</v>
      </c>
      <c r="D241" t="s">
        <v>462</v>
      </c>
    </row>
    <row r="242" spans="1:4">
      <c r="A242" t="s">
        <v>60</v>
      </c>
      <c r="B242" t="s">
        <v>438</v>
      </c>
      <c r="C242" t="s">
        <v>463</v>
      </c>
      <c r="D242" t="s">
        <v>464</v>
      </c>
    </row>
    <row r="243" spans="1:4">
      <c r="A243" t="s">
        <v>60</v>
      </c>
      <c r="B243" t="s">
        <v>438</v>
      </c>
      <c r="C243" t="s">
        <v>465</v>
      </c>
      <c r="D243" t="s">
        <v>466</v>
      </c>
    </row>
    <row r="244" spans="1:4">
      <c r="A244" t="s">
        <v>60</v>
      </c>
      <c r="B244" t="s">
        <v>438</v>
      </c>
      <c r="C244" t="s">
        <v>467</v>
      </c>
      <c r="D244" t="s">
        <v>468</v>
      </c>
    </row>
    <row r="245" spans="1:4">
      <c r="A245" t="s">
        <v>60</v>
      </c>
      <c r="B245" t="s">
        <v>438</v>
      </c>
      <c r="C245" t="s">
        <v>469</v>
      </c>
      <c r="D245" t="s">
        <v>470</v>
      </c>
    </row>
    <row r="246" spans="1:4">
      <c r="A246" t="s">
        <v>60</v>
      </c>
      <c r="B246" t="s">
        <v>438</v>
      </c>
      <c r="C246" t="s">
        <v>471</v>
      </c>
      <c r="D246" t="s">
        <v>472</v>
      </c>
    </row>
    <row r="247" spans="1:4">
      <c r="A247" t="s">
        <v>60</v>
      </c>
      <c r="B247" t="s">
        <v>438</v>
      </c>
      <c r="C247" t="s">
        <v>473</v>
      </c>
      <c r="D247" t="s">
        <v>474</v>
      </c>
    </row>
    <row r="248" spans="1:4">
      <c r="A248" t="s">
        <v>60</v>
      </c>
      <c r="B248" t="s">
        <v>438</v>
      </c>
      <c r="C248" t="s">
        <v>475</v>
      </c>
      <c r="D248" t="s">
        <v>476</v>
      </c>
    </row>
    <row r="249" spans="1:4">
      <c r="A249" t="s">
        <v>60</v>
      </c>
      <c r="B249" t="s">
        <v>438</v>
      </c>
      <c r="C249" t="s">
        <v>477</v>
      </c>
      <c r="D249" t="s">
        <v>478</v>
      </c>
    </row>
    <row r="250" spans="1:4">
      <c r="A250" t="s">
        <v>60</v>
      </c>
      <c r="B250" t="s">
        <v>438</v>
      </c>
      <c r="C250" t="s">
        <v>479</v>
      </c>
      <c r="D250" t="s">
        <v>480</v>
      </c>
    </row>
    <row r="251" spans="1:4">
      <c r="A251" t="s">
        <v>60</v>
      </c>
      <c r="B251" t="s">
        <v>438</v>
      </c>
      <c r="C251" t="s">
        <v>481</v>
      </c>
      <c r="D251" t="s">
        <v>482</v>
      </c>
    </row>
    <row r="252" spans="1:4">
      <c r="A252" t="s">
        <v>26</v>
      </c>
      <c r="B252" t="s">
        <v>438</v>
      </c>
      <c r="C252" t="s">
        <v>483</v>
      </c>
      <c r="D252" t="s">
        <v>484</v>
      </c>
    </row>
    <row r="253" spans="1:4">
      <c r="A253" t="s">
        <v>60</v>
      </c>
      <c r="B253" t="s">
        <v>438</v>
      </c>
      <c r="C253" t="s">
        <v>485</v>
      </c>
      <c r="D253" t="s">
        <v>486</v>
      </c>
    </row>
    <row r="254" spans="1:4">
      <c r="A254" t="s">
        <v>60</v>
      </c>
      <c r="B254" t="s">
        <v>438</v>
      </c>
      <c r="C254" t="s">
        <v>487</v>
      </c>
      <c r="D254" t="s">
        <v>488</v>
      </c>
    </row>
    <row r="255" spans="1:4">
      <c r="A255" t="s">
        <v>60</v>
      </c>
      <c r="B255" t="s">
        <v>438</v>
      </c>
      <c r="C255" t="s">
        <v>489</v>
      </c>
      <c r="D255" t="s">
        <v>490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439</v>
      </c>
      <c r="D2" t="s">
        <v>440</v>
      </c>
    </row>
    <row r="3" spans="1:19">
      <c r="A3" t="s">
        <v>19</v>
      </c>
      <c r="B3" t="s">
        <v>179</v>
      </c>
      <c r="C3" t="s">
        <v>441</v>
      </c>
      <c r="D3" t="s">
        <v>442</v>
      </c>
    </row>
    <row r="4" spans="1:19">
      <c r="A4" t="s">
        <v>23</v>
      </c>
      <c r="B4" t="s">
        <v>179</v>
      </c>
      <c r="C4" t="s">
        <v>443</v>
      </c>
      <c r="D4" t="s">
        <v>444</v>
      </c>
    </row>
    <row r="5" spans="1:19">
      <c r="A5" t="s">
        <v>26</v>
      </c>
      <c r="B5" t="s">
        <v>179</v>
      </c>
      <c r="C5" t="s">
        <v>445</v>
      </c>
      <c r="D5" t="s">
        <v>446</v>
      </c>
      <c r="H5">
        <v>21000000</v>
      </c>
      <c r="I5">
        <v>19500000</v>
      </c>
      <c r="J5">
        <v>23400000</v>
      </c>
      <c r="K5">
        <v>24000000</v>
      </c>
      <c r="L5">
        <v>24600000</v>
      </c>
      <c r="M5">
        <v>25500000</v>
      </c>
      <c r="N5">
        <v>26400000</v>
      </c>
      <c r="O5">
        <v>26100000</v>
      </c>
      <c r="P5">
        <v>25500000</v>
      </c>
      <c r="Q5">
        <v>27900000</v>
      </c>
      <c r="R5">
        <v>27600000</v>
      </c>
      <c r="S5">
        <v>28500000</v>
      </c>
    </row>
    <row r="6" spans="1:19">
      <c r="A6" t="s">
        <v>26</v>
      </c>
      <c r="B6" t="s">
        <v>179</v>
      </c>
      <c r="C6" t="s">
        <v>447</v>
      </c>
      <c r="D6" t="s">
        <v>448</v>
      </c>
      <c r="H6">
        <v>14000000</v>
      </c>
      <c r="I6">
        <v>13000000</v>
      </c>
      <c r="J6">
        <v>15600000</v>
      </c>
      <c r="K6">
        <v>16000000</v>
      </c>
      <c r="L6">
        <v>16400000</v>
      </c>
      <c r="M6">
        <v>17000000</v>
      </c>
      <c r="N6">
        <v>17600000</v>
      </c>
      <c r="O6">
        <v>17400000</v>
      </c>
      <c r="P6">
        <v>17000000</v>
      </c>
      <c r="Q6">
        <v>18600000</v>
      </c>
      <c r="R6">
        <v>18400000</v>
      </c>
      <c r="S6">
        <v>19000000</v>
      </c>
    </row>
    <row r="7" spans="1:19">
      <c r="A7" t="s">
        <v>26</v>
      </c>
      <c r="B7" t="s">
        <v>179</v>
      </c>
      <c r="C7" t="s">
        <v>449</v>
      </c>
      <c r="D7" t="s">
        <v>450</v>
      </c>
      <c r="H7">
        <v>8400000</v>
      </c>
      <c r="I7">
        <v>7800000</v>
      </c>
      <c r="J7">
        <v>9360000</v>
      </c>
      <c r="K7">
        <v>9600000</v>
      </c>
      <c r="L7">
        <v>9840000</v>
      </c>
      <c r="M7">
        <v>10200000</v>
      </c>
      <c r="N7">
        <v>10560000</v>
      </c>
      <c r="O7">
        <v>10440000</v>
      </c>
      <c r="P7">
        <v>10200000</v>
      </c>
      <c r="Q7">
        <v>11160000</v>
      </c>
      <c r="R7">
        <v>11040000</v>
      </c>
      <c r="S7">
        <v>11400000</v>
      </c>
    </row>
    <row r="8" spans="1:19">
      <c r="A8" t="s">
        <v>26</v>
      </c>
      <c r="B8" t="s">
        <v>179</v>
      </c>
      <c r="C8" t="s">
        <v>451</v>
      </c>
      <c r="D8" t="s">
        <v>452</v>
      </c>
      <c r="H8">
        <v>7000000</v>
      </c>
      <c r="I8">
        <v>6500000</v>
      </c>
      <c r="J8">
        <v>7800000</v>
      </c>
      <c r="K8">
        <v>8000000</v>
      </c>
      <c r="L8">
        <v>8200000</v>
      </c>
      <c r="M8">
        <v>8500000</v>
      </c>
      <c r="N8">
        <v>8800000</v>
      </c>
      <c r="O8">
        <v>8700000</v>
      </c>
      <c r="P8">
        <v>8500000</v>
      </c>
      <c r="Q8">
        <v>9300000</v>
      </c>
      <c r="R8">
        <v>9200000</v>
      </c>
      <c r="S8">
        <v>9500000</v>
      </c>
    </row>
    <row r="9" spans="1:19">
      <c r="A9" t="s">
        <v>23</v>
      </c>
      <c r="B9" t="s">
        <v>179</v>
      </c>
      <c r="C9" t="s">
        <v>453</v>
      </c>
      <c r="D9" t="s">
        <v>454</v>
      </c>
    </row>
    <row r="10" spans="1:19">
      <c r="A10" t="s">
        <v>26</v>
      </c>
      <c r="B10" t="s">
        <v>179</v>
      </c>
      <c r="C10" t="s">
        <v>455</v>
      </c>
      <c r="D10" t="s">
        <v>456</v>
      </c>
      <c r="H10">
        <v>6000000000</v>
      </c>
      <c r="I10">
        <v>6240000000</v>
      </c>
      <c r="J10">
        <v>6560000000</v>
      </c>
      <c r="K10">
        <v>6640000000</v>
      </c>
      <c r="L10">
        <v>6800000000</v>
      </c>
      <c r="M10">
        <v>6960000000</v>
      </c>
      <c r="N10">
        <v>7040000000</v>
      </c>
      <c r="O10">
        <v>6880000000</v>
      </c>
      <c r="P10">
        <v>6720000000</v>
      </c>
      <c r="Q10">
        <v>6640000000</v>
      </c>
      <c r="R10">
        <v>6560000000</v>
      </c>
      <c r="S10">
        <v>6960000000</v>
      </c>
    </row>
    <row r="11" spans="1:19">
      <c r="A11" t="s">
        <v>26</v>
      </c>
      <c r="B11" t="s">
        <v>179</v>
      </c>
      <c r="C11" t="s">
        <v>457</v>
      </c>
      <c r="D11" t="s">
        <v>458</v>
      </c>
      <c r="H11">
        <v>2100000000</v>
      </c>
      <c r="I11">
        <v>1950000000</v>
      </c>
      <c r="J11">
        <v>2340000000</v>
      </c>
      <c r="K11">
        <v>2400000000</v>
      </c>
      <c r="L11">
        <v>2460000000</v>
      </c>
      <c r="M11">
        <v>2550000000</v>
      </c>
      <c r="N11">
        <v>2640000000</v>
      </c>
      <c r="O11">
        <v>2610000000</v>
      </c>
      <c r="P11">
        <v>2550000000</v>
      </c>
      <c r="Q11">
        <v>2790000000</v>
      </c>
      <c r="R11">
        <v>2760000000</v>
      </c>
      <c r="S11">
        <v>2850000000</v>
      </c>
    </row>
    <row r="12" spans="1:19">
      <c r="A12" t="s">
        <v>26</v>
      </c>
      <c r="B12" t="s">
        <v>179</v>
      </c>
      <c r="C12" t="s">
        <v>459</v>
      </c>
      <c r="D12" t="s">
        <v>460</v>
      </c>
      <c r="H12">
        <v>3500000000</v>
      </c>
      <c r="I12">
        <v>3250000000</v>
      </c>
      <c r="J12">
        <v>3900000000</v>
      </c>
      <c r="K12">
        <v>4000000000</v>
      </c>
      <c r="L12">
        <v>4100000000</v>
      </c>
      <c r="M12">
        <v>4250000000</v>
      </c>
      <c r="N12">
        <v>4400000000</v>
      </c>
      <c r="O12">
        <v>4350000000</v>
      </c>
      <c r="P12">
        <v>4250000000</v>
      </c>
      <c r="Q12">
        <v>4650000000</v>
      </c>
      <c r="R12">
        <v>4600000000</v>
      </c>
      <c r="S12">
        <v>4750000000</v>
      </c>
    </row>
    <row r="13" spans="1:19">
      <c r="A13" t="s">
        <v>26</v>
      </c>
      <c r="B13" t="s">
        <v>179</v>
      </c>
      <c r="C13" t="s">
        <v>461</v>
      </c>
      <c r="D13" t="s">
        <v>462</v>
      </c>
      <c r="H13">
        <v>840000000</v>
      </c>
      <c r="I13">
        <v>780000000</v>
      </c>
      <c r="J13">
        <v>936000000</v>
      </c>
      <c r="K13">
        <v>960000000</v>
      </c>
      <c r="L13">
        <v>984000000</v>
      </c>
      <c r="M13">
        <v>1020000000</v>
      </c>
      <c r="N13">
        <v>1056000000</v>
      </c>
      <c r="O13">
        <v>1044000000</v>
      </c>
      <c r="P13">
        <v>1020000000</v>
      </c>
      <c r="Q13">
        <v>1116000000</v>
      </c>
      <c r="R13">
        <v>1104000000</v>
      </c>
      <c r="S13">
        <v>1140000000</v>
      </c>
    </row>
    <row r="14" spans="1:19">
      <c r="A14" t="s">
        <v>26</v>
      </c>
      <c r="B14" t="s">
        <v>179</v>
      </c>
      <c r="C14" t="s">
        <v>463</v>
      </c>
      <c r="D14" t="s">
        <v>464</v>
      </c>
      <c r="H14">
        <v>350000000</v>
      </c>
      <c r="I14">
        <v>325000000</v>
      </c>
      <c r="J14">
        <v>390000000</v>
      </c>
      <c r="K14">
        <v>400000000</v>
      </c>
      <c r="L14">
        <v>410000000</v>
      </c>
      <c r="M14">
        <v>425000000</v>
      </c>
      <c r="N14">
        <v>440000000</v>
      </c>
      <c r="O14">
        <v>435000000</v>
      </c>
      <c r="P14">
        <v>425000000</v>
      </c>
      <c r="Q14">
        <v>465000000</v>
      </c>
      <c r="R14">
        <v>460000000</v>
      </c>
      <c r="S14">
        <v>475000000</v>
      </c>
    </row>
    <row r="15" spans="1:19">
      <c r="A15" t="s">
        <v>26</v>
      </c>
      <c r="B15" t="s">
        <v>179</v>
      </c>
      <c r="C15" t="s">
        <v>465</v>
      </c>
      <c r="D15" t="s">
        <v>466</v>
      </c>
      <c r="H15">
        <v>5600000000</v>
      </c>
      <c r="I15">
        <v>5200000000</v>
      </c>
      <c r="J15">
        <v>6240000000</v>
      </c>
      <c r="K15">
        <v>6400000000</v>
      </c>
      <c r="L15">
        <v>6560000000</v>
      </c>
      <c r="M15">
        <v>6800000000</v>
      </c>
      <c r="N15">
        <v>7040000000</v>
      </c>
      <c r="O15">
        <v>6960000000</v>
      </c>
      <c r="P15">
        <v>6800000000</v>
      </c>
      <c r="Q15">
        <v>7440000000</v>
      </c>
      <c r="R15">
        <v>7360000000</v>
      </c>
      <c r="S15">
        <v>7600000000</v>
      </c>
    </row>
    <row r="16" spans="1:19">
      <c r="A16" t="s">
        <v>26</v>
      </c>
      <c r="B16" t="s">
        <v>179</v>
      </c>
      <c r="C16" t="s">
        <v>467</v>
      </c>
      <c r="D16" t="s">
        <v>468</v>
      </c>
      <c r="H16">
        <v>4500000000</v>
      </c>
      <c r="I16">
        <v>4680000000</v>
      </c>
      <c r="J16">
        <v>4920000000</v>
      </c>
      <c r="K16">
        <v>4980000000</v>
      </c>
      <c r="L16">
        <v>5100000000</v>
      </c>
      <c r="M16">
        <v>5220000000</v>
      </c>
      <c r="N16">
        <v>5280000000</v>
      </c>
      <c r="O16">
        <v>5160000000</v>
      </c>
      <c r="P16">
        <v>5040000000</v>
      </c>
      <c r="Q16">
        <v>4980000000</v>
      </c>
      <c r="R16">
        <v>4920000000</v>
      </c>
      <c r="S16">
        <v>5220000000</v>
      </c>
    </row>
    <row r="17" spans="1:19">
      <c r="A17" t="s">
        <v>26</v>
      </c>
      <c r="B17" t="s">
        <v>179</v>
      </c>
      <c r="C17" t="s">
        <v>469</v>
      </c>
      <c r="D17" t="s">
        <v>470</v>
      </c>
      <c r="H17">
        <v>2450000000</v>
      </c>
      <c r="I17">
        <v>2275000000</v>
      </c>
      <c r="J17">
        <v>2730000000</v>
      </c>
      <c r="K17">
        <v>2800000000</v>
      </c>
      <c r="L17">
        <v>2870000000</v>
      </c>
      <c r="M17">
        <v>2975000000</v>
      </c>
      <c r="N17">
        <v>3080000000</v>
      </c>
      <c r="O17">
        <v>3045000000</v>
      </c>
      <c r="P17">
        <v>2975000000</v>
      </c>
      <c r="Q17">
        <v>3255000000</v>
      </c>
      <c r="R17">
        <v>3220000000</v>
      </c>
      <c r="S17">
        <v>3325000000</v>
      </c>
    </row>
    <row r="18" spans="1:19">
      <c r="A18" t="s">
        <v>26</v>
      </c>
      <c r="B18" t="s">
        <v>179</v>
      </c>
      <c r="C18" t="s">
        <v>471</v>
      </c>
      <c r="D18" t="s">
        <v>472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26</v>
      </c>
      <c r="B19" t="s">
        <v>179</v>
      </c>
      <c r="C19" t="s">
        <v>473</v>
      </c>
      <c r="D19" t="s">
        <v>474</v>
      </c>
      <c r="H19">
        <v>4200000000</v>
      </c>
      <c r="I19">
        <v>3900000000</v>
      </c>
      <c r="J19">
        <v>4680000000</v>
      </c>
      <c r="K19">
        <v>4800000000</v>
      </c>
      <c r="L19">
        <v>4920000000</v>
      </c>
      <c r="M19">
        <v>5100000000</v>
      </c>
      <c r="N19">
        <v>5280000000</v>
      </c>
      <c r="O19">
        <v>5220000000</v>
      </c>
      <c r="P19">
        <v>5100000000</v>
      </c>
      <c r="Q19">
        <v>5580000000</v>
      </c>
      <c r="R19">
        <v>5520000000</v>
      </c>
      <c r="S19">
        <v>5700000000</v>
      </c>
    </row>
    <row r="20" spans="1:19">
      <c r="A20" t="s">
        <v>26</v>
      </c>
      <c r="B20" t="s">
        <v>179</v>
      </c>
      <c r="C20" t="s">
        <v>475</v>
      </c>
      <c r="D20" t="s">
        <v>476</v>
      </c>
      <c r="H20">
        <v>6000000000</v>
      </c>
      <c r="I20">
        <v>6240000000</v>
      </c>
      <c r="J20">
        <v>6560000000</v>
      </c>
      <c r="K20">
        <v>6640000000</v>
      </c>
      <c r="L20">
        <v>6800000000</v>
      </c>
      <c r="M20">
        <v>6960000000</v>
      </c>
      <c r="N20">
        <v>7040000000</v>
      </c>
      <c r="O20">
        <v>6880000000</v>
      </c>
      <c r="P20">
        <v>6720000000</v>
      </c>
      <c r="Q20">
        <v>6640000000</v>
      </c>
      <c r="R20">
        <v>6560000000</v>
      </c>
      <c r="S20">
        <v>6960000000</v>
      </c>
    </row>
    <row r="21" spans="1:19">
      <c r="A21" t="s">
        <v>26</v>
      </c>
      <c r="B21" t="s">
        <v>179</v>
      </c>
      <c r="C21" t="s">
        <v>477</v>
      </c>
      <c r="D21" t="s">
        <v>478</v>
      </c>
      <c r="H21">
        <v>1400000000</v>
      </c>
      <c r="I21">
        <v>1300000000</v>
      </c>
      <c r="J21">
        <v>1560000000</v>
      </c>
      <c r="K21">
        <v>1600000000</v>
      </c>
      <c r="L21">
        <v>1640000000</v>
      </c>
      <c r="M21">
        <v>1700000000</v>
      </c>
      <c r="N21">
        <v>1760000000</v>
      </c>
      <c r="O21">
        <v>1740000000</v>
      </c>
      <c r="P21">
        <v>1700000000</v>
      </c>
      <c r="Q21">
        <v>1860000000</v>
      </c>
      <c r="R21">
        <v>1840000000</v>
      </c>
      <c r="S21">
        <v>1900000000</v>
      </c>
    </row>
    <row r="22" spans="1:19">
      <c r="A22" t="s">
        <v>26</v>
      </c>
      <c r="B22" t="s">
        <v>179</v>
      </c>
      <c r="C22" t="s">
        <v>479</v>
      </c>
      <c r="D22" t="s">
        <v>480</v>
      </c>
      <c r="H22">
        <v>4200000000</v>
      </c>
      <c r="I22">
        <v>3900000000</v>
      </c>
      <c r="J22">
        <v>4680000000</v>
      </c>
      <c r="K22">
        <v>4800000000</v>
      </c>
      <c r="L22">
        <v>4920000000</v>
      </c>
      <c r="M22">
        <v>5100000000</v>
      </c>
      <c r="N22">
        <v>5280000000</v>
      </c>
      <c r="O22">
        <v>5220000000</v>
      </c>
      <c r="P22">
        <v>5100000000</v>
      </c>
      <c r="Q22">
        <v>5580000000</v>
      </c>
      <c r="R22">
        <v>5520000000</v>
      </c>
      <c r="S22">
        <v>5700000000</v>
      </c>
    </row>
    <row r="23" spans="1:19">
      <c r="A23" t="s">
        <v>26</v>
      </c>
      <c r="B23" t="s">
        <v>179</v>
      </c>
      <c r="C23" t="s">
        <v>481</v>
      </c>
      <c r="D23" t="s">
        <v>482</v>
      </c>
      <c r="H23">
        <v>3500000000</v>
      </c>
      <c r="I23">
        <v>3250000000</v>
      </c>
      <c r="J23">
        <v>3900000000</v>
      </c>
      <c r="K23">
        <v>4000000000</v>
      </c>
      <c r="L23">
        <v>4100000000</v>
      </c>
      <c r="M23">
        <v>4250000000</v>
      </c>
      <c r="N23">
        <v>4400000000</v>
      </c>
      <c r="O23">
        <v>4350000000</v>
      </c>
      <c r="P23">
        <v>4250000000</v>
      </c>
      <c r="Q23">
        <v>4650000000</v>
      </c>
      <c r="R23">
        <v>4600000000</v>
      </c>
      <c r="S23">
        <v>4750000000</v>
      </c>
    </row>
    <row r="24" spans="1:19">
      <c r="A24" t="s">
        <v>23</v>
      </c>
      <c r="B24" t="s">
        <v>179</v>
      </c>
      <c r="C24" t="s">
        <v>483</v>
      </c>
      <c r="D24" t="s">
        <v>484</v>
      </c>
    </row>
    <row r="25" spans="1:19">
      <c r="A25" t="s">
        <v>26</v>
      </c>
      <c r="B25" t="s">
        <v>179</v>
      </c>
      <c r="C25" t="s">
        <v>485</v>
      </c>
      <c r="D25" t="s">
        <v>486</v>
      </c>
      <c r="H25">
        <v>35000000</v>
      </c>
      <c r="I25">
        <v>32500000</v>
      </c>
      <c r="J25">
        <v>39000000</v>
      </c>
      <c r="K25">
        <v>40000000</v>
      </c>
      <c r="L25">
        <v>41000000</v>
      </c>
      <c r="M25">
        <v>42500000</v>
      </c>
      <c r="N25">
        <v>44000000</v>
      </c>
      <c r="O25">
        <v>43500000</v>
      </c>
      <c r="P25">
        <v>42500000</v>
      </c>
      <c r="Q25">
        <v>46500000</v>
      </c>
      <c r="R25">
        <v>46000000</v>
      </c>
      <c r="S25">
        <v>47500000</v>
      </c>
    </row>
    <row r="26" spans="1:19">
      <c r="A26" t="s">
        <v>26</v>
      </c>
      <c r="B26" t="s">
        <v>179</v>
      </c>
      <c r="C26" t="s">
        <v>487</v>
      </c>
      <c r="D26" t="s">
        <v>488</v>
      </c>
      <c r="H26">
        <v>17500000</v>
      </c>
      <c r="I26">
        <v>16250000</v>
      </c>
      <c r="J26">
        <v>19500000</v>
      </c>
      <c r="K26">
        <v>20000000</v>
      </c>
      <c r="L26">
        <v>20500000</v>
      </c>
      <c r="M26">
        <v>21250000</v>
      </c>
      <c r="N26">
        <v>22000000</v>
      </c>
      <c r="O26">
        <v>21750000</v>
      </c>
      <c r="P26">
        <v>21250000</v>
      </c>
      <c r="Q26">
        <v>23250000</v>
      </c>
      <c r="R26">
        <v>23000000</v>
      </c>
      <c r="S26">
        <v>23750000</v>
      </c>
    </row>
    <row r="27" spans="1:19">
      <c r="A27" t="s">
        <v>26</v>
      </c>
      <c r="B27" t="s">
        <v>179</v>
      </c>
      <c r="C27" t="s">
        <v>489</v>
      </c>
      <c r="D27" t="s">
        <v>490</v>
      </c>
      <c r="H27">
        <v>10500000</v>
      </c>
      <c r="I27">
        <v>9750000</v>
      </c>
      <c r="J27">
        <v>11700000</v>
      </c>
      <c r="K27">
        <v>12000000</v>
      </c>
      <c r="L27">
        <v>12300000</v>
      </c>
      <c r="M27">
        <v>12750000</v>
      </c>
      <c r="N27">
        <v>13200000</v>
      </c>
      <c r="O27">
        <v>13050000</v>
      </c>
      <c r="P27">
        <v>12750000</v>
      </c>
      <c r="Q27">
        <v>13950000</v>
      </c>
      <c r="R27">
        <v>13800000</v>
      </c>
      <c r="S27">
        <v>14250000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8"/>
  <sheetViews>
    <sheetView tabSelected="1" workbookViewId="0">
      <selection activeCell="K9" sqref="K9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492</v>
      </c>
      <c r="D2" t="s">
        <v>22</v>
      </c>
      <c r="H2">
        <f t="shared" ref="H2:S2" si="0">H3+H6+H9</f>
        <v>2660000000</v>
      </c>
      <c r="I2">
        <f t="shared" si="0"/>
        <v>2470000000</v>
      </c>
      <c r="J2">
        <f t="shared" si="0"/>
        <v>2964000000</v>
      </c>
      <c r="K2">
        <f t="shared" si="0"/>
        <v>3040000000</v>
      </c>
      <c r="L2">
        <f t="shared" si="0"/>
        <v>3116000000</v>
      </c>
      <c r="M2">
        <f t="shared" si="0"/>
        <v>3230000000</v>
      </c>
      <c r="N2">
        <f t="shared" si="0"/>
        <v>3344000000</v>
      </c>
      <c r="O2">
        <f t="shared" si="0"/>
        <v>3306000000</v>
      </c>
      <c r="P2">
        <f t="shared" si="0"/>
        <v>3230000000</v>
      </c>
      <c r="Q2">
        <f t="shared" si="0"/>
        <v>3534000000</v>
      </c>
      <c r="R2">
        <f t="shared" si="0"/>
        <v>3496000000</v>
      </c>
      <c r="S2">
        <f t="shared" si="0"/>
        <v>3610000000</v>
      </c>
    </row>
    <row r="3" spans="1:19">
      <c r="A3" t="s">
        <v>23</v>
      </c>
      <c r="B3" t="s">
        <v>20</v>
      </c>
      <c r="C3" t="s">
        <v>493</v>
      </c>
      <c r="D3" t="s">
        <v>25</v>
      </c>
      <c r="H3">
        <f t="shared" ref="H3:S3" si="1">H4-H5</f>
        <v>1470000000</v>
      </c>
      <c r="I3">
        <f t="shared" si="1"/>
        <v>1365000000</v>
      </c>
      <c r="J3">
        <f t="shared" si="1"/>
        <v>1638000000</v>
      </c>
      <c r="K3">
        <f t="shared" si="1"/>
        <v>1680000000</v>
      </c>
      <c r="L3">
        <f t="shared" si="1"/>
        <v>1722000000</v>
      </c>
      <c r="M3">
        <f t="shared" si="1"/>
        <v>1785000000</v>
      </c>
      <c r="N3">
        <f t="shared" si="1"/>
        <v>1848000000</v>
      </c>
      <c r="O3">
        <f t="shared" si="1"/>
        <v>1827000000</v>
      </c>
      <c r="P3">
        <f t="shared" si="1"/>
        <v>1785000000</v>
      </c>
      <c r="Q3">
        <f t="shared" si="1"/>
        <v>1953000000</v>
      </c>
      <c r="R3">
        <f t="shared" si="1"/>
        <v>1932000000</v>
      </c>
      <c r="S3">
        <f t="shared" si="1"/>
        <v>1995000000</v>
      </c>
    </row>
    <row r="4" spans="1:19">
      <c r="A4" t="s">
        <v>19</v>
      </c>
      <c r="B4" t="s">
        <v>20</v>
      </c>
      <c r="C4" t="s">
        <v>494</v>
      </c>
      <c r="D4" t="s">
        <v>176</v>
      </c>
      <c r="H4">
        <v>2646000000</v>
      </c>
      <c r="I4">
        <v>2457000000</v>
      </c>
      <c r="J4">
        <v>2948400000</v>
      </c>
      <c r="K4">
        <v>3024000000</v>
      </c>
      <c r="L4">
        <v>3099600000</v>
      </c>
      <c r="M4">
        <v>3213000000</v>
      </c>
      <c r="N4">
        <v>3326400000</v>
      </c>
      <c r="O4">
        <v>3288600000</v>
      </c>
      <c r="P4">
        <v>3213000000</v>
      </c>
      <c r="Q4">
        <v>3515400000</v>
      </c>
      <c r="R4">
        <v>3477600000</v>
      </c>
      <c r="S4">
        <v>3591000000</v>
      </c>
    </row>
    <row r="5" spans="1:19">
      <c r="A5" t="s">
        <v>19</v>
      </c>
      <c r="B5" t="s">
        <v>35</v>
      </c>
      <c r="C5" t="s">
        <v>495</v>
      </c>
      <c r="D5" t="s">
        <v>285</v>
      </c>
      <c r="H5">
        <v>1176000000</v>
      </c>
      <c r="I5">
        <v>1092000000</v>
      </c>
      <c r="J5">
        <v>1310400000</v>
      </c>
      <c r="K5">
        <v>1344000000</v>
      </c>
      <c r="L5">
        <v>1377600000</v>
      </c>
      <c r="M5">
        <v>1428000000</v>
      </c>
      <c r="N5">
        <v>1478400000</v>
      </c>
      <c r="O5">
        <v>1461600000</v>
      </c>
      <c r="P5">
        <v>1428000000</v>
      </c>
      <c r="Q5">
        <v>1562400000</v>
      </c>
      <c r="R5">
        <v>1545600000</v>
      </c>
      <c r="S5">
        <v>1596000000</v>
      </c>
    </row>
    <row r="6" spans="1:19">
      <c r="A6" t="s">
        <v>23</v>
      </c>
      <c r="B6" t="s">
        <v>20</v>
      </c>
      <c r="C6" t="s">
        <v>496</v>
      </c>
      <c r="D6" t="s">
        <v>497</v>
      </c>
      <c r="H6">
        <f t="shared" ref="H6:S6" si="2">H7-H8</f>
        <v>840000000</v>
      </c>
      <c r="I6">
        <f t="shared" si="2"/>
        <v>780000000</v>
      </c>
      <c r="J6">
        <f t="shared" si="2"/>
        <v>936000000</v>
      </c>
      <c r="K6">
        <f t="shared" si="2"/>
        <v>960000000</v>
      </c>
      <c r="L6">
        <f t="shared" si="2"/>
        <v>984000000</v>
      </c>
      <c r="M6">
        <f t="shared" si="2"/>
        <v>1020000000</v>
      </c>
      <c r="N6">
        <f t="shared" si="2"/>
        <v>1056000000</v>
      </c>
      <c r="O6">
        <f t="shared" si="2"/>
        <v>1044000000</v>
      </c>
      <c r="P6">
        <f t="shared" si="2"/>
        <v>1020000000</v>
      </c>
      <c r="Q6">
        <f t="shared" si="2"/>
        <v>1116000000</v>
      </c>
      <c r="R6">
        <f t="shared" si="2"/>
        <v>1104000000</v>
      </c>
      <c r="S6">
        <f t="shared" si="2"/>
        <v>1140000000</v>
      </c>
    </row>
    <row r="7" spans="1:19">
      <c r="A7" t="s">
        <v>19</v>
      </c>
      <c r="B7" t="s">
        <v>20</v>
      </c>
      <c r="C7" t="s">
        <v>498</v>
      </c>
      <c r="D7" t="s">
        <v>337</v>
      </c>
      <c r="H7">
        <v>1050000000</v>
      </c>
      <c r="I7">
        <v>975000000</v>
      </c>
      <c r="J7">
        <v>1170000000</v>
      </c>
      <c r="K7">
        <v>1200000000</v>
      </c>
      <c r="L7">
        <v>1230000000</v>
      </c>
      <c r="M7">
        <v>1275000000</v>
      </c>
      <c r="N7">
        <v>1320000000</v>
      </c>
      <c r="O7">
        <v>1305000000</v>
      </c>
      <c r="P7">
        <v>1275000000</v>
      </c>
      <c r="Q7">
        <v>1395000000</v>
      </c>
      <c r="R7">
        <v>1380000000</v>
      </c>
      <c r="S7">
        <v>1425000000</v>
      </c>
    </row>
    <row r="8" spans="1:19">
      <c r="A8" t="s">
        <v>19</v>
      </c>
      <c r="B8" t="s">
        <v>35</v>
      </c>
      <c r="C8" t="s">
        <v>499</v>
      </c>
      <c r="D8" t="s">
        <v>365</v>
      </c>
      <c r="H8">
        <v>210000000</v>
      </c>
      <c r="I8">
        <v>195000000</v>
      </c>
      <c r="J8">
        <v>234000000</v>
      </c>
      <c r="K8">
        <v>240000000</v>
      </c>
      <c r="L8">
        <v>246000000</v>
      </c>
      <c r="M8">
        <v>255000000</v>
      </c>
      <c r="N8">
        <v>264000000</v>
      </c>
      <c r="O8">
        <v>261000000</v>
      </c>
      <c r="P8">
        <v>255000000</v>
      </c>
      <c r="Q8">
        <v>279000000</v>
      </c>
      <c r="R8">
        <v>276000000</v>
      </c>
      <c r="S8">
        <v>285000000</v>
      </c>
    </row>
    <row r="9" spans="1:19">
      <c r="A9" t="s">
        <v>23</v>
      </c>
      <c r="B9" t="s">
        <v>20</v>
      </c>
      <c r="C9" t="s">
        <v>500</v>
      </c>
      <c r="D9" t="s">
        <v>34</v>
      </c>
      <c r="H9">
        <v>350000000</v>
      </c>
      <c r="I9">
        <v>325000000</v>
      </c>
      <c r="J9">
        <v>390000000</v>
      </c>
      <c r="K9">
        <v>400000000</v>
      </c>
      <c r="L9">
        <v>410000000</v>
      </c>
      <c r="M9">
        <v>425000000</v>
      </c>
      <c r="N9">
        <v>440000000</v>
      </c>
      <c r="O9">
        <v>435000000</v>
      </c>
      <c r="P9">
        <v>425000000</v>
      </c>
      <c r="Q9">
        <v>465000000</v>
      </c>
      <c r="R9">
        <v>460000000</v>
      </c>
      <c r="S9">
        <v>475000000</v>
      </c>
    </row>
    <row r="10" spans="1:19">
      <c r="A10" t="s">
        <v>19</v>
      </c>
      <c r="B10" t="s">
        <v>35</v>
      </c>
      <c r="C10" t="s">
        <v>501</v>
      </c>
      <c r="D10" t="s">
        <v>502</v>
      </c>
      <c r="H10">
        <f t="shared" ref="H10:S10" si="3">H11+H14</f>
        <v>840000000</v>
      </c>
      <c r="I10">
        <f t="shared" si="3"/>
        <v>780000000</v>
      </c>
      <c r="J10">
        <f t="shared" si="3"/>
        <v>936000000</v>
      </c>
      <c r="K10">
        <f t="shared" si="3"/>
        <v>960000000</v>
      </c>
      <c r="L10">
        <f t="shared" si="3"/>
        <v>984000000</v>
      </c>
      <c r="M10">
        <f t="shared" si="3"/>
        <v>1020000000</v>
      </c>
      <c r="N10">
        <f t="shared" si="3"/>
        <v>1056000000</v>
      </c>
      <c r="O10">
        <f t="shared" si="3"/>
        <v>1044000000</v>
      </c>
      <c r="P10">
        <f t="shared" si="3"/>
        <v>1020000000</v>
      </c>
      <c r="Q10">
        <f t="shared" si="3"/>
        <v>1116000000</v>
      </c>
      <c r="R10">
        <f t="shared" si="3"/>
        <v>1104000000</v>
      </c>
      <c r="S10">
        <f t="shared" si="3"/>
        <v>1140000000</v>
      </c>
    </row>
    <row r="11" spans="1:19">
      <c r="A11" t="s">
        <v>23</v>
      </c>
      <c r="B11" t="s">
        <v>35</v>
      </c>
      <c r="C11" t="s">
        <v>503</v>
      </c>
      <c r="D11" t="s">
        <v>504</v>
      </c>
      <c r="H11">
        <f t="shared" ref="H11:S11" si="4">H12+H13</f>
        <v>798000000</v>
      </c>
      <c r="I11">
        <f t="shared" si="4"/>
        <v>741000000</v>
      </c>
      <c r="J11">
        <f t="shared" si="4"/>
        <v>889200000</v>
      </c>
      <c r="K11">
        <f t="shared" si="4"/>
        <v>912000000</v>
      </c>
      <c r="L11">
        <f t="shared" si="4"/>
        <v>934800000</v>
      </c>
      <c r="M11">
        <f t="shared" si="4"/>
        <v>969000000</v>
      </c>
      <c r="N11">
        <f t="shared" si="4"/>
        <v>1003200000</v>
      </c>
      <c r="O11">
        <f t="shared" si="4"/>
        <v>991800000</v>
      </c>
      <c r="P11">
        <f t="shared" si="4"/>
        <v>969000000</v>
      </c>
      <c r="Q11">
        <f t="shared" si="4"/>
        <v>1060200000</v>
      </c>
      <c r="R11">
        <f t="shared" si="4"/>
        <v>1048800000</v>
      </c>
      <c r="S11">
        <f t="shared" si="4"/>
        <v>1083000000</v>
      </c>
    </row>
    <row r="12" spans="1:19">
      <c r="A12" t="s">
        <v>26</v>
      </c>
      <c r="B12" t="s">
        <v>35</v>
      </c>
      <c r="C12" t="s">
        <v>505</v>
      </c>
      <c r="D12" t="s">
        <v>506</v>
      </c>
      <c r="H12">
        <v>714000000</v>
      </c>
      <c r="I12">
        <v>663000000</v>
      </c>
      <c r="J12">
        <v>795600000</v>
      </c>
      <c r="K12">
        <v>816000000</v>
      </c>
      <c r="L12">
        <v>836400000</v>
      </c>
      <c r="M12">
        <v>867000000</v>
      </c>
      <c r="N12">
        <v>897600000</v>
      </c>
      <c r="O12">
        <v>887400000</v>
      </c>
      <c r="P12">
        <v>867000000</v>
      </c>
      <c r="Q12">
        <v>948600000</v>
      </c>
      <c r="R12">
        <v>938400000</v>
      </c>
      <c r="S12">
        <v>969000000</v>
      </c>
    </row>
    <row r="13" spans="1:19">
      <c r="A13" t="s">
        <v>26</v>
      </c>
      <c r="B13" t="s">
        <v>35</v>
      </c>
      <c r="C13" t="s">
        <v>507</v>
      </c>
      <c r="D13" t="s">
        <v>508</v>
      </c>
      <c r="H13">
        <v>84000000</v>
      </c>
      <c r="I13">
        <v>78000000</v>
      </c>
      <c r="J13">
        <v>93600000</v>
      </c>
      <c r="K13">
        <v>96000000</v>
      </c>
      <c r="L13">
        <v>98400000</v>
      </c>
      <c r="M13">
        <v>102000000</v>
      </c>
      <c r="N13">
        <v>105600000</v>
      </c>
      <c r="O13">
        <v>104400000</v>
      </c>
      <c r="P13">
        <v>102000000</v>
      </c>
      <c r="Q13">
        <v>111600000</v>
      </c>
      <c r="R13">
        <v>110400000</v>
      </c>
      <c r="S13">
        <v>114000000</v>
      </c>
    </row>
    <row r="14" spans="1:19">
      <c r="A14" t="s">
        <v>23</v>
      </c>
      <c r="B14" t="s">
        <v>35</v>
      </c>
      <c r="C14" t="s">
        <v>509</v>
      </c>
      <c r="D14" t="s">
        <v>510</v>
      </c>
      <c r="H14">
        <v>42000000</v>
      </c>
      <c r="I14">
        <v>39000000</v>
      </c>
      <c r="J14">
        <v>46800000</v>
      </c>
      <c r="K14">
        <v>48000000</v>
      </c>
      <c r="L14">
        <v>49200000</v>
      </c>
      <c r="M14">
        <v>51000000</v>
      </c>
      <c r="N14">
        <v>52800000</v>
      </c>
      <c r="O14">
        <v>52200000</v>
      </c>
      <c r="P14">
        <v>51000000</v>
      </c>
      <c r="Q14">
        <v>55800000</v>
      </c>
      <c r="R14">
        <v>55200000</v>
      </c>
      <c r="S14">
        <v>57000000</v>
      </c>
    </row>
    <row r="15" spans="1:19">
      <c r="A15" t="s">
        <v>19</v>
      </c>
      <c r="B15" t="s">
        <v>20</v>
      </c>
      <c r="C15" t="s">
        <v>511</v>
      </c>
      <c r="D15" t="s">
        <v>39</v>
      </c>
      <c r="H15">
        <f t="shared" ref="H15:S15" si="5">H2-H10</f>
        <v>1820000000</v>
      </c>
      <c r="I15">
        <f t="shared" si="5"/>
        <v>1690000000</v>
      </c>
      <c r="J15">
        <f t="shared" si="5"/>
        <v>2028000000</v>
      </c>
      <c r="K15">
        <f t="shared" si="5"/>
        <v>2080000000</v>
      </c>
      <c r="L15">
        <f t="shared" si="5"/>
        <v>2132000000</v>
      </c>
      <c r="M15">
        <f t="shared" si="5"/>
        <v>2210000000</v>
      </c>
      <c r="N15">
        <f t="shared" si="5"/>
        <v>2288000000</v>
      </c>
      <c r="O15">
        <f t="shared" si="5"/>
        <v>2262000000</v>
      </c>
      <c r="P15">
        <f t="shared" si="5"/>
        <v>2210000000</v>
      </c>
      <c r="Q15">
        <f t="shared" si="5"/>
        <v>2418000000</v>
      </c>
      <c r="R15">
        <f t="shared" si="5"/>
        <v>2392000000</v>
      </c>
      <c r="S15">
        <f t="shared" si="5"/>
        <v>2470000000</v>
      </c>
    </row>
    <row r="16" spans="1:19">
      <c r="A16" t="s">
        <v>19</v>
      </c>
      <c r="B16" t="s">
        <v>35</v>
      </c>
      <c r="C16" t="s">
        <v>512</v>
      </c>
      <c r="D16" t="s">
        <v>41</v>
      </c>
      <c r="H16">
        <v>35000000</v>
      </c>
      <c r="I16">
        <v>32500000</v>
      </c>
      <c r="J16">
        <v>39000000</v>
      </c>
      <c r="K16">
        <v>40000000</v>
      </c>
      <c r="L16">
        <v>41000000</v>
      </c>
      <c r="M16">
        <v>42500000</v>
      </c>
      <c r="N16">
        <v>44000000</v>
      </c>
      <c r="O16">
        <v>43500000</v>
      </c>
      <c r="P16">
        <v>42500000</v>
      </c>
      <c r="Q16">
        <v>46500000</v>
      </c>
      <c r="R16">
        <v>46000000</v>
      </c>
      <c r="S16">
        <v>47500000</v>
      </c>
    </row>
    <row r="17" spans="1:19">
      <c r="A17" t="s">
        <v>19</v>
      </c>
      <c r="B17" t="s">
        <v>35</v>
      </c>
      <c r="C17" t="s">
        <v>513</v>
      </c>
      <c r="D17" t="s">
        <v>514</v>
      </c>
      <c r="H17">
        <f t="shared" ref="H17:S17" si="6">H18+H22+H25+H25</f>
        <v>504000000</v>
      </c>
      <c r="I17">
        <f t="shared" si="6"/>
        <v>468000000</v>
      </c>
      <c r="J17">
        <f t="shared" si="6"/>
        <v>561600000</v>
      </c>
      <c r="K17">
        <f t="shared" si="6"/>
        <v>576000000</v>
      </c>
      <c r="L17">
        <f t="shared" si="6"/>
        <v>590400000</v>
      </c>
      <c r="M17">
        <f t="shared" si="6"/>
        <v>612000000</v>
      </c>
      <c r="N17">
        <f t="shared" si="6"/>
        <v>633600000</v>
      </c>
      <c r="O17">
        <f t="shared" si="6"/>
        <v>626400000</v>
      </c>
      <c r="P17">
        <f t="shared" si="6"/>
        <v>612000000</v>
      </c>
      <c r="Q17">
        <f t="shared" si="6"/>
        <v>669600000</v>
      </c>
      <c r="R17">
        <f t="shared" si="6"/>
        <v>662400000</v>
      </c>
      <c r="S17">
        <f t="shared" si="6"/>
        <v>684000000</v>
      </c>
    </row>
    <row r="18" spans="1:19">
      <c r="A18" t="s">
        <v>23</v>
      </c>
      <c r="B18" t="s">
        <v>35</v>
      </c>
      <c r="C18" t="s">
        <v>515</v>
      </c>
      <c r="D18" t="s">
        <v>516</v>
      </c>
      <c r="H18">
        <f t="shared" ref="H18:S18" si="7">H19+H20+H21</f>
        <v>210000000</v>
      </c>
      <c r="I18">
        <f t="shared" si="7"/>
        <v>195000000</v>
      </c>
      <c r="J18">
        <f t="shared" si="7"/>
        <v>234000000</v>
      </c>
      <c r="K18">
        <f t="shared" si="7"/>
        <v>240000000</v>
      </c>
      <c r="L18">
        <f t="shared" si="7"/>
        <v>246000000</v>
      </c>
      <c r="M18">
        <f t="shared" si="7"/>
        <v>255000000</v>
      </c>
      <c r="N18">
        <f t="shared" si="7"/>
        <v>264000000</v>
      </c>
      <c r="O18">
        <f t="shared" si="7"/>
        <v>261000000</v>
      </c>
      <c r="P18">
        <f t="shared" si="7"/>
        <v>255000000</v>
      </c>
      <c r="Q18">
        <f t="shared" si="7"/>
        <v>279000000</v>
      </c>
      <c r="R18">
        <f t="shared" si="7"/>
        <v>276000000</v>
      </c>
      <c r="S18">
        <f t="shared" si="7"/>
        <v>285000000</v>
      </c>
    </row>
    <row r="19" spans="1:19">
      <c r="A19" t="s">
        <v>26</v>
      </c>
      <c r="B19" t="s">
        <v>35</v>
      </c>
      <c r="C19" t="s">
        <v>517</v>
      </c>
      <c r="D19" t="s">
        <v>47</v>
      </c>
      <c r="H19">
        <v>147000000</v>
      </c>
      <c r="I19">
        <v>136500000</v>
      </c>
      <c r="J19">
        <v>163800000</v>
      </c>
      <c r="K19">
        <v>168000000</v>
      </c>
      <c r="L19">
        <v>172200000</v>
      </c>
      <c r="M19">
        <v>178500000</v>
      </c>
      <c r="N19">
        <v>184800000</v>
      </c>
      <c r="O19">
        <v>182700000</v>
      </c>
      <c r="P19">
        <v>178500000</v>
      </c>
      <c r="Q19">
        <v>195300000</v>
      </c>
      <c r="R19">
        <v>193200000</v>
      </c>
      <c r="S19">
        <v>199500000</v>
      </c>
    </row>
    <row r="20" spans="1:19">
      <c r="A20" t="s">
        <v>26</v>
      </c>
      <c r="B20" t="s">
        <v>35</v>
      </c>
      <c r="C20" t="s">
        <v>518</v>
      </c>
      <c r="D20" t="s">
        <v>519</v>
      </c>
      <c r="H20">
        <v>42000000</v>
      </c>
      <c r="I20">
        <v>39000000</v>
      </c>
      <c r="J20">
        <v>46800000</v>
      </c>
      <c r="K20">
        <v>48000000</v>
      </c>
      <c r="L20">
        <v>49200000</v>
      </c>
      <c r="M20">
        <v>51000000</v>
      </c>
      <c r="N20">
        <v>52800000</v>
      </c>
      <c r="O20">
        <v>52200000</v>
      </c>
      <c r="P20">
        <v>51000000</v>
      </c>
      <c r="Q20">
        <v>55800000</v>
      </c>
      <c r="R20">
        <v>55200000</v>
      </c>
      <c r="S20">
        <v>57000000</v>
      </c>
    </row>
    <row r="21" spans="1:19">
      <c r="A21" t="s">
        <v>26</v>
      </c>
      <c r="B21" t="s">
        <v>35</v>
      </c>
      <c r="C21" t="s">
        <v>520</v>
      </c>
      <c r="D21" t="s">
        <v>521</v>
      </c>
      <c r="H21">
        <v>21000000</v>
      </c>
      <c r="I21">
        <v>19500000</v>
      </c>
      <c r="J21">
        <v>23400000</v>
      </c>
      <c r="K21">
        <v>24000000</v>
      </c>
      <c r="L21">
        <v>24600000</v>
      </c>
      <c r="M21">
        <v>25500000</v>
      </c>
      <c r="N21">
        <v>26400000</v>
      </c>
      <c r="O21">
        <v>26100000</v>
      </c>
      <c r="P21">
        <v>25500000</v>
      </c>
      <c r="Q21">
        <v>27900000</v>
      </c>
      <c r="R21">
        <v>27600000</v>
      </c>
      <c r="S21">
        <v>28500000</v>
      </c>
    </row>
    <row r="22" spans="1:19">
      <c r="A22" t="s">
        <v>23</v>
      </c>
      <c r="B22" t="s">
        <v>35</v>
      </c>
      <c r="C22" t="s">
        <v>522</v>
      </c>
      <c r="D22" t="s">
        <v>51</v>
      </c>
      <c r="H22">
        <f t="shared" ref="H22:S22" si="8">H24+H23</f>
        <v>126000000</v>
      </c>
      <c r="I22">
        <f t="shared" si="8"/>
        <v>117000000</v>
      </c>
      <c r="J22">
        <f t="shared" si="8"/>
        <v>140400000</v>
      </c>
      <c r="K22">
        <f t="shared" si="8"/>
        <v>144000000</v>
      </c>
      <c r="L22">
        <f t="shared" si="8"/>
        <v>147600000</v>
      </c>
      <c r="M22">
        <f t="shared" si="8"/>
        <v>153000000</v>
      </c>
      <c r="N22">
        <f t="shared" si="8"/>
        <v>158400000</v>
      </c>
      <c r="O22">
        <f t="shared" si="8"/>
        <v>156600000</v>
      </c>
      <c r="P22">
        <f t="shared" si="8"/>
        <v>153000000</v>
      </c>
      <c r="Q22">
        <f t="shared" si="8"/>
        <v>167400000</v>
      </c>
      <c r="R22">
        <f t="shared" si="8"/>
        <v>165600000</v>
      </c>
      <c r="S22">
        <f t="shared" si="8"/>
        <v>171000000</v>
      </c>
    </row>
    <row r="23" spans="1:19">
      <c r="A23" t="s">
        <v>26</v>
      </c>
      <c r="B23" t="s">
        <v>35</v>
      </c>
      <c r="C23" t="s">
        <v>523</v>
      </c>
      <c r="D23" t="s">
        <v>53</v>
      </c>
      <c r="H23">
        <v>75600000</v>
      </c>
      <c r="I23">
        <v>70200000</v>
      </c>
      <c r="J23">
        <v>84240000</v>
      </c>
      <c r="K23">
        <v>86400000</v>
      </c>
      <c r="L23">
        <v>88560000</v>
      </c>
      <c r="M23">
        <v>91800000</v>
      </c>
      <c r="N23">
        <v>95040000</v>
      </c>
      <c r="O23">
        <v>93960000</v>
      </c>
      <c r="P23">
        <v>91800000</v>
      </c>
      <c r="Q23">
        <v>100440000</v>
      </c>
      <c r="R23">
        <v>99360000</v>
      </c>
      <c r="S23">
        <v>102600000</v>
      </c>
    </row>
    <row r="24" spans="1:19">
      <c r="A24" t="s">
        <v>26</v>
      </c>
      <c r="B24" t="s">
        <v>35</v>
      </c>
      <c r="C24" t="s">
        <v>524</v>
      </c>
      <c r="D24" t="s">
        <v>55</v>
      </c>
      <c r="H24">
        <v>50400000</v>
      </c>
      <c r="I24">
        <v>46800000</v>
      </c>
      <c r="J24">
        <v>56160000</v>
      </c>
      <c r="K24">
        <v>57600000</v>
      </c>
      <c r="L24">
        <v>59040000</v>
      </c>
      <c r="M24">
        <v>61200000</v>
      </c>
      <c r="N24">
        <v>63360000</v>
      </c>
      <c r="O24">
        <v>62640000</v>
      </c>
      <c r="P24">
        <v>61200000</v>
      </c>
      <c r="Q24">
        <v>66960000</v>
      </c>
      <c r="R24">
        <v>66240000</v>
      </c>
      <c r="S24">
        <v>68400000</v>
      </c>
    </row>
    <row r="25" spans="1:19">
      <c r="A25" t="s">
        <v>23</v>
      </c>
      <c r="B25" t="s">
        <v>35</v>
      </c>
      <c r="C25" t="s">
        <v>525</v>
      </c>
      <c r="D25" t="s">
        <v>74</v>
      </c>
      <c r="H25">
        <v>84000000</v>
      </c>
      <c r="I25">
        <v>78000000</v>
      </c>
      <c r="J25">
        <v>93600000</v>
      </c>
      <c r="K25">
        <v>96000000</v>
      </c>
      <c r="L25">
        <v>98400000</v>
      </c>
      <c r="M25">
        <v>102000000</v>
      </c>
      <c r="N25">
        <v>105600000</v>
      </c>
      <c r="O25">
        <v>104400000</v>
      </c>
      <c r="P25">
        <v>102000000</v>
      </c>
      <c r="Q25">
        <v>111600000</v>
      </c>
      <c r="R25">
        <v>110400000</v>
      </c>
      <c r="S25">
        <v>114000000</v>
      </c>
    </row>
    <row r="26" spans="1:19">
      <c r="A26" t="s">
        <v>19</v>
      </c>
      <c r="B26" t="s">
        <v>20</v>
      </c>
      <c r="C26" t="s">
        <v>526</v>
      </c>
      <c r="D26" t="s">
        <v>76</v>
      </c>
      <c r="H26">
        <v>14000000</v>
      </c>
      <c r="I26">
        <v>13000000</v>
      </c>
      <c r="J26">
        <v>15600000</v>
      </c>
      <c r="K26">
        <v>16000000</v>
      </c>
      <c r="L26">
        <v>16400000</v>
      </c>
      <c r="M26">
        <v>17000000</v>
      </c>
      <c r="N26">
        <v>17600000</v>
      </c>
      <c r="O26">
        <v>17400000</v>
      </c>
      <c r="P26">
        <v>17000000</v>
      </c>
      <c r="Q26">
        <v>18600000</v>
      </c>
      <c r="R26">
        <v>18400000</v>
      </c>
      <c r="S26">
        <v>19000000</v>
      </c>
    </row>
    <row r="27" spans="1:19">
      <c r="A27" t="s">
        <v>19</v>
      </c>
      <c r="B27" t="s">
        <v>77</v>
      </c>
      <c r="C27" t="s">
        <v>527</v>
      </c>
      <c r="D27" t="s">
        <v>83</v>
      </c>
      <c r="H27">
        <f t="shared" ref="H27:S27" si="9">H15-H16-H17</f>
        <v>1281000000</v>
      </c>
      <c r="I27">
        <f t="shared" si="9"/>
        <v>1189500000</v>
      </c>
      <c r="J27">
        <f t="shared" si="9"/>
        <v>1427400000</v>
      </c>
      <c r="K27">
        <f t="shared" si="9"/>
        <v>1464000000</v>
      </c>
      <c r="L27">
        <f t="shared" si="9"/>
        <v>1500600000</v>
      </c>
      <c r="M27">
        <f t="shared" si="9"/>
        <v>1555500000</v>
      </c>
      <c r="N27">
        <f t="shared" si="9"/>
        <v>1610400000</v>
      </c>
      <c r="O27">
        <f t="shared" si="9"/>
        <v>1592100000</v>
      </c>
      <c r="P27">
        <f t="shared" si="9"/>
        <v>1555500000</v>
      </c>
      <c r="Q27">
        <f t="shared" si="9"/>
        <v>1701900000</v>
      </c>
      <c r="R27">
        <f t="shared" si="9"/>
        <v>1683600000</v>
      </c>
      <c r="S27">
        <f t="shared" si="9"/>
        <v>1738500000</v>
      </c>
    </row>
    <row r="28" spans="1:19">
      <c r="A28" t="s">
        <v>19</v>
      </c>
      <c r="B28" t="s">
        <v>35</v>
      </c>
      <c r="C28" t="s">
        <v>528</v>
      </c>
      <c r="D28" t="s">
        <v>529</v>
      </c>
      <c r="H28">
        <v>344400000</v>
      </c>
      <c r="I28">
        <v>319800000</v>
      </c>
      <c r="J28">
        <v>383760000</v>
      </c>
      <c r="K28">
        <v>393600000</v>
      </c>
      <c r="L28">
        <v>403440000</v>
      </c>
      <c r="M28">
        <v>418200000</v>
      </c>
      <c r="N28">
        <v>432960000</v>
      </c>
      <c r="O28">
        <v>428040000</v>
      </c>
      <c r="P28">
        <v>418200000</v>
      </c>
      <c r="Q28">
        <v>457560000</v>
      </c>
      <c r="R28">
        <v>452640000</v>
      </c>
      <c r="S28">
        <v>467400000</v>
      </c>
    </row>
    <row r="29" spans="1:19">
      <c r="A29" t="s">
        <v>19</v>
      </c>
      <c r="B29" t="s">
        <v>77</v>
      </c>
      <c r="C29" t="s">
        <v>530</v>
      </c>
      <c r="D29" t="s">
        <v>531</v>
      </c>
      <c r="H29">
        <f t="shared" ref="H29:S29" si="10">H27-H28</f>
        <v>936600000</v>
      </c>
      <c r="I29">
        <f t="shared" si="10"/>
        <v>869700000</v>
      </c>
      <c r="J29">
        <f t="shared" si="10"/>
        <v>1043640000</v>
      </c>
      <c r="K29">
        <f t="shared" si="10"/>
        <v>1070400000</v>
      </c>
      <c r="L29">
        <f t="shared" si="10"/>
        <v>1097160000</v>
      </c>
      <c r="M29">
        <f t="shared" si="10"/>
        <v>1137300000</v>
      </c>
      <c r="N29">
        <f t="shared" si="10"/>
        <v>1177440000</v>
      </c>
      <c r="O29">
        <f t="shared" si="10"/>
        <v>1164060000</v>
      </c>
      <c r="P29">
        <f t="shared" si="10"/>
        <v>1137300000</v>
      </c>
      <c r="Q29">
        <f t="shared" si="10"/>
        <v>1244340000</v>
      </c>
      <c r="R29">
        <f t="shared" si="10"/>
        <v>1230960000</v>
      </c>
      <c r="S29">
        <f t="shared" si="10"/>
        <v>1271100000</v>
      </c>
    </row>
    <row r="30" spans="1:19">
      <c r="A30" t="s">
        <v>19</v>
      </c>
      <c r="B30" t="s">
        <v>84</v>
      </c>
      <c r="C30" t="s">
        <v>532</v>
      </c>
      <c r="D30" t="s">
        <v>86</v>
      </c>
      <c r="H30">
        <f t="shared" ref="H30:S30" si="11">H31+H36+H35+H34</f>
        <v>26250000000</v>
      </c>
      <c r="I30">
        <f t="shared" si="11"/>
        <v>27300000000</v>
      </c>
      <c r="J30">
        <f t="shared" si="11"/>
        <v>28700000000</v>
      </c>
      <c r="K30">
        <f t="shared" si="11"/>
        <v>29050000000</v>
      </c>
      <c r="L30">
        <f t="shared" si="11"/>
        <v>29750000000</v>
      </c>
      <c r="M30">
        <f t="shared" si="11"/>
        <v>30450000000</v>
      </c>
      <c r="N30">
        <f t="shared" si="11"/>
        <v>30800000000</v>
      </c>
      <c r="O30">
        <f t="shared" si="11"/>
        <v>30100000000</v>
      </c>
      <c r="P30">
        <f t="shared" si="11"/>
        <v>29400000000</v>
      </c>
      <c r="Q30">
        <f t="shared" si="11"/>
        <v>29050000000</v>
      </c>
      <c r="R30">
        <f t="shared" si="11"/>
        <v>28700000000</v>
      </c>
      <c r="S30">
        <f t="shared" si="11"/>
        <v>30450000000</v>
      </c>
    </row>
    <row r="31" spans="1:19">
      <c r="A31" t="s">
        <v>23</v>
      </c>
      <c r="B31" t="s">
        <v>84</v>
      </c>
      <c r="C31" t="s">
        <v>533</v>
      </c>
      <c r="D31" t="s">
        <v>88</v>
      </c>
      <c r="H31">
        <f t="shared" ref="H31:S31" si="12">H32+H33</f>
        <v>18375000000</v>
      </c>
      <c r="I31">
        <f t="shared" si="12"/>
        <v>19110000000</v>
      </c>
      <c r="J31">
        <f t="shared" si="12"/>
        <v>20090000000</v>
      </c>
      <c r="K31">
        <f t="shared" si="12"/>
        <v>20335000000</v>
      </c>
      <c r="L31">
        <f t="shared" si="12"/>
        <v>20825000000</v>
      </c>
      <c r="M31">
        <f t="shared" si="12"/>
        <v>21315000000</v>
      </c>
      <c r="N31">
        <f t="shared" si="12"/>
        <v>21560000000</v>
      </c>
      <c r="O31">
        <f t="shared" si="12"/>
        <v>21070000000</v>
      </c>
      <c r="P31">
        <f t="shared" si="12"/>
        <v>20580000000</v>
      </c>
      <c r="Q31">
        <f t="shared" si="12"/>
        <v>20335000000</v>
      </c>
      <c r="R31">
        <f t="shared" si="12"/>
        <v>20090000000</v>
      </c>
      <c r="S31">
        <f t="shared" si="12"/>
        <v>21315000000</v>
      </c>
    </row>
    <row r="32" spans="1:19">
      <c r="A32" t="s">
        <v>26</v>
      </c>
      <c r="B32" t="s">
        <v>84</v>
      </c>
      <c r="C32" t="s">
        <v>534</v>
      </c>
      <c r="D32" t="s">
        <v>90</v>
      </c>
      <c r="H32">
        <v>15750000000</v>
      </c>
      <c r="I32">
        <v>16380000000</v>
      </c>
      <c r="J32">
        <v>17220000000</v>
      </c>
      <c r="K32">
        <v>17430000000</v>
      </c>
      <c r="L32">
        <v>17850000000</v>
      </c>
      <c r="M32">
        <v>18270000000</v>
      </c>
      <c r="N32">
        <v>18480000000</v>
      </c>
      <c r="O32">
        <v>18060000000</v>
      </c>
      <c r="P32">
        <v>17640000000</v>
      </c>
      <c r="Q32">
        <v>17430000000</v>
      </c>
      <c r="R32">
        <v>17220000000</v>
      </c>
      <c r="S32">
        <v>18270000000</v>
      </c>
    </row>
    <row r="33" spans="1:19">
      <c r="A33" t="s">
        <v>26</v>
      </c>
      <c r="B33" t="s">
        <v>84</v>
      </c>
      <c r="C33" t="s">
        <v>535</v>
      </c>
      <c r="D33" t="s">
        <v>96</v>
      </c>
      <c r="H33">
        <v>2625000000</v>
      </c>
      <c r="I33">
        <v>2730000000</v>
      </c>
      <c r="J33">
        <v>2870000000</v>
      </c>
      <c r="K33">
        <v>2905000000</v>
      </c>
      <c r="L33">
        <v>2975000000</v>
      </c>
      <c r="M33">
        <v>3045000000</v>
      </c>
      <c r="N33">
        <v>3080000000</v>
      </c>
      <c r="O33">
        <v>3010000000</v>
      </c>
      <c r="P33">
        <v>2940000000</v>
      </c>
      <c r="Q33">
        <v>2905000000</v>
      </c>
      <c r="R33">
        <v>2870000000</v>
      </c>
      <c r="S33">
        <v>3045000000</v>
      </c>
    </row>
    <row r="34" spans="1:19">
      <c r="A34" t="s">
        <v>23</v>
      </c>
      <c r="B34" t="s">
        <v>84</v>
      </c>
      <c r="C34" t="s">
        <v>536</v>
      </c>
      <c r="D34" t="s">
        <v>102</v>
      </c>
      <c r="H34">
        <v>4725000000</v>
      </c>
      <c r="I34">
        <v>4914000000</v>
      </c>
      <c r="J34">
        <v>5166000000</v>
      </c>
      <c r="K34">
        <v>5229000000</v>
      </c>
      <c r="L34">
        <v>5355000000</v>
      </c>
      <c r="M34">
        <v>5481000000</v>
      </c>
      <c r="N34">
        <v>5544000000</v>
      </c>
      <c r="O34">
        <v>5418000000</v>
      </c>
      <c r="P34">
        <v>5292000000</v>
      </c>
      <c r="Q34">
        <v>5229000000</v>
      </c>
      <c r="R34">
        <v>5166000000</v>
      </c>
      <c r="S34">
        <v>5481000000</v>
      </c>
    </row>
    <row r="35" spans="1:19">
      <c r="A35" t="s">
        <v>23</v>
      </c>
      <c r="B35" t="s">
        <v>84</v>
      </c>
      <c r="C35" t="s">
        <v>537</v>
      </c>
      <c r="D35" t="s">
        <v>104</v>
      </c>
      <c r="H35">
        <v>2100000000</v>
      </c>
      <c r="I35">
        <v>2184000000</v>
      </c>
      <c r="J35">
        <v>2296000000</v>
      </c>
      <c r="K35">
        <v>2324000000</v>
      </c>
      <c r="L35">
        <v>2380000000</v>
      </c>
      <c r="M35">
        <v>2436000000</v>
      </c>
      <c r="N35">
        <v>2464000000</v>
      </c>
      <c r="O35">
        <v>2408000000</v>
      </c>
      <c r="P35">
        <v>2352000000</v>
      </c>
      <c r="Q35">
        <v>2324000000</v>
      </c>
      <c r="R35">
        <v>2296000000</v>
      </c>
      <c r="S35">
        <v>2436000000</v>
      </c>
    </row>
    <row r="36" spans="1:19">
      <c r="A36" t="s">
        <v>23</v>
      </c>
      <c r="B36" t="s">
        <v>84</v>
      </c>
      <c r="C36" t="s">
        <v>538</v>
      </c>
      <c r="D36" t="s">
        <v>112</v>
      </c>
      <c r="H36">
        <v>1050000000</v>
      </c>
      <c r="I36">
        <v>1092000000</v>
      </c>
      <c r="J36">
        <v>1148000000</v>
      </c>
      <c r="K36">
        <v>1162000000</v>
      </c>
      <c r="L36">
        <v>1190000000</v>
      </c>
      <c r="M36">
        <v>1218000000</v>
      </c>
      <c r="N36">
        <v>1232000000</v>
      </c>
      <c r="O36">
        <v>1204000000</v>
      </c>
      <c r="P36">
        <v>1176000000</v>
      </c>
      <c r="Q36">
        <v>1162000000</v>
      </c>
      <c r="R36">
        <v>1148000000</v>
      </c>
      <c r="S36">
        <v>1218000000</v>
      </c>
    </row>
    <row r="37" spans="1:19">
      <c r="A37" t="s">
        <v>19</v>
      </c>
      <c r="B37" t="s">
        <v>130</v>
      </c>
      <c r="C37" t="s">
        <v>539</v>
      </c>
      <c r="D37" t="s">
        <v>132</v>
      </c>
      <c r="H37">
        <f t="shared" ref="H37:S37" si="13">H38+H39+H40+H41</f>
        <v>37500000000</v>
      </c>
      <c r="I37">
        <f t="shared" si="13"/>
        <v>39000000000</v>
      </c>
      <c r="J37">
        <f t="shared" si="13"/>
        <v>41000000000</v>
      </c>
      <c r="K37">
        <f t="shared" si="13"/>
        <v>41500000000</v>
      </c>
      <c r="L37">
        <f t="shared" si="13"/>
        <v>42500000000</v>
      </c>
      <c r="M37">
        <f t="shared" si="13"/>
        <v>43500000000</v>
      </c>
      <c r="N37">
        <f t="shared" si="13"/>
        <v>44000000000</v>
      </c>
      <c r="O37">
        <f t="shared" si="13"/>
        <v>43000000000</v>
      </c>
      <c r="P37">
        <f t="shared" si="13"/>
        <v>42000000000</v>
      </c>
      <c r="Q37">
        <f t="shared" si="13"/>
        <v>41500000000</v>
      </c>
      <c r="R37">
        <f t="shared" si="13"/>
        <v>41000000000</v>
      </c>
      <c r="S37">
        <f t="shared" si="13"/>
        <v>43500000000</v>
      </c>
    </row>
    <row r="38" spans="1:19">
      <c r="A38" t="s">
        <v>23</v>
      </c>
      <c r="B38" t="s">
        <v>130</v>
      </c>
      <c r="C38" t="s">
        <v>540</v>
      </c>
      <c r="D38" t="s">
        <v>541</v>
      </c>
      <c r="H38">
        <v>33750000000</v>
      </c>
      <c r="I38">
        <v>35100000000</v>
      </c>
      <c r="J38">
        <v>36900000000</v>
      </c>
      <c r="K38">
        <v>37350000000</v>
      </c>
      <c r="L38">
        <v>38250000000</v>
      </c>
      <c r="M38">
        <v>39150000000</v>
      </c>
      <c r="N38">
        <v>39600000000</v>
      </c>
      <c r="O38">
        <v>38700000000</v>
      </c>
      <c r="P38">
        <v>37800000000</v>
      </c>
      <c r="Q38">
        <v>37350000000</v>
      </c>
      <c r="R38">
        <v>36900000000</v>
      </c>
      <c r="S38">
        <v>39150000000</v>
      </c>
    </row>
    <row r="39" spans="1:19">
      <c r="A39" t="s">
        <v>23</v>
      </c>
      <c r="B39" t="s">
        <v>130</v>
      </c>
      <c r="C39" t="s">
        <v>542</v>
      </c>
      <c r="D39" t="s">
        <v>140</v>
      </c>
      <c r="H39">
        <v>2250000000</v>
      </c>
      <c r="I39">
        <v>2340000000</v>
      </c>
      <c r="J39">
        <v>2460000000</v>
      </c>
      <c r="K39">
        <v>2490000000</v>
      </c>
      <c r="L39">
        <v>2550000000</v>
      </c>
      <c r="M39">
        <v>2610000000</v>
      </c>
      <c r="N39">
        <v>2640000000</v>
      </c>
      <c r="O39">
        <v>2580000000</v>
      </c>
      <c r="P39">
        <v>2520000000</v>
      </c>
      <c r="Q39">
        <v>2490000000</v>
      </c>
      <c r="R39">
        <v>2460000000</v>
      </c>
      <c r="S39">
        <v>2610000000</v>
      </c>
    </row>
    <row r="40" spans="1:19">
      <c r="A40" t="s">
        <v>23</v>
      </c>
      <c r="B40" t="s">
        <v>130</v>
      </c>
      <c r="C40" t="s">
        <v>543</v>
      </c>
      <c r="D40" t="s">
        <v>544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23</v>
      </c>
      <c r="B41" t="s">
        <v>130</v>
      </c>
      <c r="C41" t="s">
        <v>545</v>
      </c>
      <c r="D41" t="s">
        <v>546</v>
      </c>
      <c r="H41">
        <v>750000000</v>
      </c>
      <c r="I41">
        <v>780000000</v>
      </c>
      <c r="J41">
        <v>820000000</v>
      </c>
      <c r="K41">
        <v>830000000</v>
      </c>
      <c r="L41">
        <v>850000000</v>
      </c>
      <c r="M41">
        <v>870000000</v>
      </c>
      <c r="N41">
        <v>880000000</v>
      </c>
      <c r="O41">
        <v>860000000</v>
      </c>
      <c r="P41">
        <v>840000000</v>
      </c>
      <c r="Q41">
        <v>830000000</v>
      </c>
      <c r="R41">
        <v>820000000</v>
      </c>
      <c r="S41">
        <v>870000000</v>
      </c>
    </row>
    <row r="42" spans="1:19">
      <c r="A42" t="s">
        <v>19</v>
      </c>
      <c r="B42" t="s">
        <v>179</v>
      </c>
      <c r="C42" t="s">
        <v>547</v>
      </c>
      <c r="D42" t="s">
        <v>548</v>
      </c>
      <c r="H42">
        <v>24.5</v>
      </c>
      <c r="I42">
        <v>22.75</v>
      </c>
      <c r="J42">
        <v>27.3</v>
      </c>
      <c r="K42">
        <v>28</v>
      </c>
      <c r="L42">
        <v>28.7</v>
      </c>
      <c r="M42">
        <v>29.75</v>
      </c>
      <c r="N42">
        <v>30.8</v>
      </c>
      <c r="O42">
        <v>30.45</v>
      </c>
      <c r="P42">
        <v>29.75</v>
      </c>
      <c r="Q42">
        <v>32.55</v>
      </c>
      <c r="R42">
        <v>32.2</v>
      </c>
      <c r="S42">
        <v>33.25</v>
      </c>
    </row>
    <row r="43" spans="1:19">
      <c r="A43" t="s">
        <v>19</v>
      </c>
      <c r="B43" t="s">
        <v>179</v>
      </c>
      <c r="C43" t="s">
        <v>549</v>
      </c>
      <c r="D43" t="s">
        <v>550</v>
      </c>
      <c r="H43">
        <v>0.25</v>
      </c>
      <c r="I43">
        <v>0.23</v>
      </c>
      <c r="J43">
        <v>0.27</v>
      </c>
      <c r="K43">
        <v>0.28</v>
      </c>
      <c r="L43">
        <v>0.29</v>
      </c>
      <c r="M43">
        <v>0.3</v>
      </c>
      <c r="N43">
        <v>0.31</v>
      </c>
      <c r="O43">
        <v>0.3</v>
      </c>
      <c r="P43">
        <v>0.3</v>
      </c>
      <c r="Q43">
        <v>0.33</v>
      </c>
      <c r="R43">
        <v>0.32</v>
      </c>
      <c r="S43">
        <v>0.33</v>
      </c>
    </row>
    <row r="44" spans="1:19">
      <c r="A44" t="s">
        <v>19</v>
      </c>
      <c r="B44" t="s">
        <v>84</v>
      </c>
      <c r="C44" t="s">
        <v>551</v>
      </c>
      <c r="D44" t="s">
        <v>552</v>
      </c>
      <c r="H44">
        <f t="shared" ref="H44:S44" si="14">H4+H6</f>
        <v>3486000000</v>
      </c>
      <c r="I44">
        <f t="shared" si="14"/>
        <v>3237000000</v>
      </c>
      <c r="J44">
        <f t="shared" si="14"/>
        <v>3884400000</v>
      </c>
      <c r="K44">
        <f t="shared" si="14"/>
        <v>3984000000</v>
      </c>
      <c r="L44">
        <f t="shared" si="14"/>
        <v>4083600000</v>
      </c>
      <c r="M44">
        <f t="shared" si="14"/>
        <v>4233000000</v>
      </c>
      <c r="N44">
        <f t="shared" si="14"/>
        <v>4382400000</v>
      </c>
      <c r="O44">
        <f t="shared" si="14"/>
        <v>4332600000</v>
      </c>
      <c r="P44">
        <f t="shared" si="14"/>
        <v>4233000000</v>
      </c>
      <c r="Q44">
        <f t="shared" si="14"/>
        <v>4631400000</v>
      </c>
      <c r="R44">
        <f t="shared" si="14"/>
        <v>4581600000</v>
      </c>
      <c r="S44">
        <f t="shared" si="14"/>
        <v>4731000000</v>
      </c>
    </row>
    <row r="45" spans="1:19">
      <c r="A45" t="s">
        <v>23</v>
      </c>
      <c r="B45" t="s">
        <v>84</v>
      </c>
      <c r="C45" t="s">
        <v>553</v>
      </c>
      <c r="D45" t="s">
        <v>554</v>
      </c>
      <c r="H45">
        <v>808500000</v>
      </c>
      <c r="I45">
        <v>750750000</v>
      </c>
      <c r="J45">
        <v>900900000</v>
      </c>
      <c r="K45">
        <v>924000000</v>
      </c>
      <c r="L45">
        <v>947100000</v>
      </c>
      <c r="M45">
        <v>981750000</v>
      </c>
      <c r="N45">
        <v>1016400000</v>
      </c>
      <c r="O45">
        <v>1004850000</v>
      </c>
      <c r="P45">
        <v>981750000</v>
      </c>
      <c r="Q45">
        <v>1074150000</v>
      </c>
      <c r="R45">
        <v>1062600000</v>
      </c>
      <c r="S45">
        <v>1097250000</v>
      </c>
    </row>
    <row r="46" spans="1:19">
      <c r="A46" t="s">
        <v>26</v>
      </c>
      <c r="B46" t="s">
        <v>84</v>
      </c>
      <c r="C46" t="s">
        <v>555</v>
      </c>
      <c r="D46" t="s">
        <v>508</v>
      </c>
      <c r="H46">
        <v>122500000</v>
      </c>
      <c r="I46">
        <v>113750000</v>
      </c>
      <c r="J46">
        <v>136500000</v>
      </c>
      <c r="K46">
        <v>140000000</v>
      </c>
      <c r="L46">
        <v>143500000</v>
      </c>
      <c r="M46">
        <v>148750000</v>
      </c>
      <c r="N46">
        <v>154000000</v>
      </c>
      <c r="O46">
        <v>152250000</v>
      </c>
      <c r="P46">
        <v>148750000</v>
      </c>
      <c r="Q46">
        <v>162750000</v>
      </c>
      <c r="R46">
        <v>161000000</v>
      </c>
      <c r="S46">
        <v>166250000</v>
      </c>
    </row>
    <row r="47" spans="1:19">
      <c r="A47" t="s">
        <v>23</v>
      </c>
      <c r="B47" t="s">
        <v>84</v>
      </c>
      <c r="C47" t="s">
        <v>556</v>
      </c>
      <c r="D47" t="s">
        <v>557</v>
      </c>
      <c r="H47">
        <v>49000000</v>
      </c>
      <c r="I47">
        <v>45500000</v>
      </c>
      <c r="J47">
        <v>54600000</v>
      </c>
      <c r="K47">
        <v>56000000</v>
      </c>
      <c r="L47">
        <v>57400000</v>
      </c>
      <c r="M47">
        <v>59500000</v>
      </c>
      <c r="N47">
        <v>61600000</v>
      </c>
      <c r="O47">
        <v>60900000</v>
      </c>
      <c r="P47">
        <v>59500000</v>
      </c>
      <c r="Q47">
        <v>65100000</v>
      </c>
      <c r="R47">
        <v>64400000</v>
      </c>
      <c r="S47">
        <v>66500000</v>
      </c>
    </row>
    <row r="48" spans="1:19">
      <c r="A48" t="s">
        <v>19</v>
      </c>
      <c r="B48" t="s">
        <v>84</v>
      </c>
      <c r="C48" t="s">
        <v>558</v>
      </c>
      <c r="D48" t="s">
        <v>559</v>
      </c>
      <c r="H48">
        <f t="shared" ref="H48:S48" si="15">H49+H50</f>
        <v>784000000</v>
      </c>
      <c r="I48">
        <f t="shared" si="15"/>
        <v>728000000</v>
      </c>
      <c r="J48">
        <f t="shared" si="15"/>
        <v>873600000</v>
      </c>
      <c r="K48">
        <f t="shared" si="15"/>
        <v>896000000</v>
      </c>
      <c r="L48">
        <f t="shared" si="15"/>
        <v>918400000</v>
      </c>
      <c r="M48">
        <f t="shared" si="15"/>
        <v>952000000</v>
      </c>
      <c r="N48">
        <f t="shared" si="15"/>
        <v>985600000</v>
      </c>
      <c r="O48">
        <f t="shared" si="15"/>
        <v>974400000</v>
      </c>
      <c r="P48">
        <f t="shared" si="15"/>
        <v>952000000</v>
      </c>
      <c r="Q48">
        <f t="shared" si="15"/>
        <v>1041600000</v>
      </c>
      <c r="R48">
        <f t="shared" si="15"/>
        <v>1030400000</v>
      </c>
      <c r="S48">
        <f t="shared" si="15"/>
        <v>1064000000</v>
      </c>
    </row>
    <row r="49" spans="1:19">
      <c r="A49" t="s">
        <v>23</v>
      </c>
      <c r="B49" t="s">
        <v>84</v>
      </c>
      <c r="C49" t="s">
        <v>560</v>
      </c>
      <c r="D49" t="s">
        <v>561</v>
      </c>
      <c r="H49">
        <v>735000000</v>
      </c>
      <c r="I49">
        <v>682500000</v>
      </c>
      <c r="J49">
        <v>819000000</v>
      </c>
      <c r="K49">
        <v>840000000</v>
      </c>
      <c r="L49">
        <v>861000000</v>
      </c>
      <c r="M49">
        <v>892500000</v>
      </c>
      <c r="N49">
        <v>924000000</v>
      </c>
      <c r="O49">
        <v>913500000</v>
      </c>
      <c r="P49">
        <v>892500000</v>
      </c>
      <c r="Q49">
        <v>976500000</v>
      </c>
      <c r="R49">
        <v>966000000</v>
      </c>
      <c r="S49">
        <v>997500000</v>
      </c>
    </row>
    <row r="50" spans="1:19">
      <c r="A50" t="s">
        <v>23</v>
      </c>
      <c r="B50" t="s">
        <v>84</v>
      </c>
      <c r="C50" t="s">
        <v>562</v>
      </c>
      <c r="D50" t="s">
        <v>563</v>
      </c>
      <c r="H50">
        <v>49000000</v>
      </c>
      <c r="I50">
        <v>45500000</v>
      </c>
      <c r="J50">
        <v>54600000</v>
      </c>
      <c r="K50">
        <v>56000000</v>
      </c>
      <c r="L50">
        <v>57400000</v>
      </c>
      <c r="M50">
        <v>59500000</v>
      </c>
      <c r="N50">
        <v>61600000</v>
      </c>
      <c r="O50">
        <v>60900000</v>
      </c>
      <c r="P50">
        <v>59500000</v>
      </c>
      <c r="Q50">
        <v>65100000</v>
      </c>
      <c r="R50">
        <v>64400000</v>
      </c>
      <c r="S50">
        <v>66500000</v>
      </c>
    </row>
    <row r="51" spans="1:19">
      <c r="A51" t="s">
        <v>19</v>
      </c>
      <c r="B51" t="s">
        <v>179</v>
      </c>
      <c r="C51" t="s">
        <v>564</v>
      </c>
      <c r="D51" t="s">
        <v>565</v>
      </c>
      <c r="H51">
        <f t="shared" ref="H51:S51" si="16">H52+H53</f>
        <v>0.25</v>
      </c>
      <c r="I51">
        <f t="shared" si="16"/>
        <v>0.23</v>
      </c>
      <c r="J51">
        <f t="shared" si="16"/>
        <v>0.27</v>
      </c>
      <c r="K51">
        <f t="shared" si="16"/>
        <v>0.28</v>
      </c>
      <c r="L51">
        <f t="shared" si="16"/>
        <v>0.29</v>
      </c>
      <c r="M51">
        <f t="shared" si="16"/>
        <v>0.3</v>
      </c>
      <c r="N51">
        <f t="shared" si="16"/>
        <v>0.31</v>
      </c>
      <c r="O51">
        <f t="shared" si="16"/>
        <v>0.3</v>
      </c>
      <c r="P51">
        <f t="shared" si="16"/>
        <v>0.3</v>
      </c>
      <c r="Q51">
        <f t="shared" si="16"/>
        <v>0.33</v>
      </c>
      <c r="R51">
        <f t="shared" si="16"/>
        <v>0.32</v>
      </c>
      <c r="S51">
        <f t="shared" si="16"/>
        <v>0.34</v>
      </c>
    </row>
    <row r="52" spans="1:19">
      <c r="A52" t="s">
        <v>19</v>
      </c>
      <c r="B52" t="s">
        <v>179</v>
      </c>
      <c r="C52" t="s">
        <v>566</v>
      </c>
      <c r="D52" t="s">
        <v>567</v>
      </c>
      <c r="H52">
        <v>0.2</v>
      </c>
      <c r="I52">
        <v>0.18</v>
      </c>
      <c r="J52">
        <v>0.22</v>
      </c>
      <c r="K52">
        <v>0.22</v>
      </c>
      <c r="L52">
        <v>0.23</v>
      </c>
      <c r="M52">
        <v>0.24</v>
      </c>
      <c r="N52">
        <v>0.25</v>
      </c>
      <c r="O52">
        <v>0.24</v>
      </c>
      <c r="P52">
        <v>0.24</v>
      </c>
      <c r="Q52">
        <v>0.26</v>
      </c>
      <c r="R52">
        <v>0.26</v>
      </c>
      <c r="S52">
        <v>0.27</v>
      </c>
    </row>
    <row r="53" spans="1:19">
      <c r="A53" t="s">
        <v>23</v>
      </c>
      <c r="B53" t="s">
        <v>179</v>
      </c>
      <c r="C53" t="s">
        <v>568</v>
      </c>
      <c r="D53" t="s">
        <v>569</v>
      </c>
      <c r="H53">
        <v>0.05</v>
      </c>
      <c r="I53">
        <v>0.05</v>
      </c>
      <c r="J53">
        <v>0.05</v>
      </c>
      <c r="K53">
        <v>0.06</v>
      </c>
      <c r="L53">
        <v>0.06</v>
      </c>
      <c r="M53">
        <v>0.06</v>
      </c>
      <c r="N53">
        <v>0.06</v>
      </c>
      <c r="O53">
        <v>0.06</v>
      </c>
      <c r="P53">
        <v>0.06</v>
      </c>
      <c r="Q53">
        <v>0.07</v>
      </c>
      <c r="R53">
        <v>0.06</v>
      </c>
      <c r="S53">
        <v>0.07</v>
      </c>
    </row>
    <row r="54" spans="1:19">
      <c r="A54" t="s">
        <v>19</v>
      </c>
      <c r="B54" t="s">
        <v>179</v>
      </c>
      <c r="C54" t="s">
        <v>570</v>
      </c>
      <c r="D54" t="s">
        <v>571</v>
      </c>
    </row>
    <row r="55" spans="1:19">
      <c r="A55" t="s">
        <v>23</v>
      </c>
      <c r="B55" t="s">
        <v>179</v>
      </c>
      <c r="C55" t="s">
        <v>572</v>
      </c>
      <c r="D55" t="s">
        <v>573</v>
      </c>
      <c r="H55">
        <v>1.66</v>
      </c>
      <c r="I55">
        <v>1.54</v>
      </c>
      <c r="J55">
        <v>1.85</v>
      </c>
      <c r="K55">
        <v>1.9</v>
      </c>
      <c r="L55">
        <v>1.94</v>
      </c>
      <c r="M55">
        <v>2.01</v>
      </c>
      <c r="N55">
        <v>2.09</v>
      </c>
      <c r="O55">
        <v>2.06</v>
      </c>
      <c r="P55">
        <v>2.01</v>
      </c>
      <c r="Q55">
        <v>2.2</v>
      </c>
      <c r="R55">
        <v>2.18</v>
      </c>
      <c r="S55">
        <v>2.25</v>
      </c>
    </row>
    <row r="56" spans="1:19">
      <c r="A56" t="s">
        <v>23</v>
      </c>
      <c r="B56" t="s">
        <v>179</v>
      </c>
      <c r="C56" t="s">
        <v>574</v>
      </c>
      <c r="D56" t="s">
        <v>575</v>
      </c>
      <c r="H56">
        <v>3.13</v>
      </c>
      <c r="I56">
        <v>2.91</v>
      </c>
      <c r="J56">
        <v>3.49</v>
      </c>
      <c r="K56">
        <v>3.58</v>
      </c>
      <c r="L56">
        <v>3.67</v>
      </c>
      <c r="M56">
        <v>3.8</v>
      </c>
      <c r="N56">
        <v>3.93</v>
      </c>
      <c r="O56">
        <v>3.89</v>
      </c>
      <c r="P56">
        <v>3.8</v>
      </c>
      <c r="Q56">
        <v>4.16</v>
      </c>
      <c r="R56">
        <v>4.11</v>
      </c>
      <c r="S56">
        <v>4.25</v>
      </c>
    </row>
    <row r="57" spans="1:19">
      <c r="A57" t="s">
        <v>23</v>
      </c>
      <c r="B57" t="s">
        <v>179</v>
      </c>
      <c r="C57" t="s">
        <v>576</v>
      </c>
      <c r="D57" t="s">
        <v>577</v>
      </c>
      <c r="H57">
        <v>0.15</v>
      </c>
      <c r="I57">
        <v>0.14</v>
      </c>
      <c r="J57">
        <v>0.16</v>
      </c>
      <c r="K57">
        <v>0.17</v>
      </c>
      <c r="L57">
        <v>0.17</v>
      </c>
      <c r="M57">
        <v>0.18</v>
      </c>
      <c r="N57">
        <v>0.19</v>
      </c>
      <c r="O57">
        <v>0.18</v>
      </c>
      <c r="P57">
        <v>0.18</v>
      </c>
      <c r="Q57">
        <v>0.2</v>
      </c>
      <c r="R57">
        <v>0.19</v>
      </c>
      <c r="S57">
        <v>0.2</v>
      </c>
    </row>
    <row r="58" spans="1:19">
      <c r="A58" t="s">
        <v>23</v>
      </c>
      <c r="B58" t="s">
        <v>179</v>
      </c>
      <c r="C58" t="s">
        <v>578</v>
      </c>
      <c r="D58" t="s">
        <v>579</v>
      </c>
      <c r="H58">
        <v>1.48</v>
      </c>
      <c r="I58">
        <v>1.37</v>
      </c>
      <c r="J58">
        <v>1.65</v>
      </c>
      <c r="K58">
        <v>1.69</v>
      </c>
      <c r="L58">
        <v>1.73</v>
      </c>
      <c r="M58">
        <v>1.79</v>
      </c>
      <c r="N58">
        <v>1.86</v>
      </c>
      <c r="O58">
        <v>1.84</v>
      </c>
      <c r="P58">
        <v>1.79</v>
      </c>
      <c r="Q58">
        <v>1.96</v>
      </c>
      <c r="R58">
        <v>1.94</v>
      </c>
      <c r="S58">
        <v>2</v>
      </c>
    </row>
    <row r="59" spans="1:19">
      <c r="A59" t="s">
        <v>23</v>
      </c>
      <c r="B59" t="s">
        <v>179</v>
      </c>
      <c r="C59" t="s">
        <v>580</v>
      </c>
      <c r="D59" t="s">
        <v>581</v>
      </c>
      <c r="H59">
        <v>1.11</v>
      </c>
      <c r="I59">
        <v>1.03</v>
      </c>
      <c r="J59">
        <v>1.23</v>
      </c>
      <c r="K59">
        <v>1.26</v>
      </c>
      <c r="L59">
        <v>1.3</v>
      </c>
      <c r="M59">
        <v>1.34</v>
      </c>
      <c r="N59">
        <v>1.39</v>
      </c>
      <c r="O59">
        <v>1.37</v>
      </c>
      <c r="P59">
        <v>1.34</v>
      </c>
      <c r="Q59">
        <v>1.47</v>
      </c>
      <c r="R59">
        <v>1.45</v>
      </c>
      <c r="S59">
        <v>1.5</v>
      </c>
    </row>
    <row r="60" spans="1:19">
      <c r="A60" t="s">
        <v>19</v>
      </c>
      <c r="B60" t="s">
        <v>393</v>
      </c>
      <c r="C60" t="s">
        <v>582</v>
      </c>
      <c r="D60" t="s">
        <v>395</v>
      </c>
      <c r="H60">
        <f t="shared" ref="H60:S60" si="17">H61+H77</f>
        <v>443100000</v>
      </c>
      <c r="I60">
        <f t="shared" si="17"/>
        <v>411450000</v>
      </c>
      <c r="J60">
        <f t="shared" si="17"/>
        <v>493740000</v>
      </c>
      <c r="K60">
        <f t="shared" si="17"/>
        <v>506400000</v>
      </c>
      <c r="L60">
        <f t="shared" si="17"/>
        <v>519060000</v>
      </c>
      <c r="M60">
        <f t="shared" si="17"/>
        <v>538050000</v>
      </c>
      <c r="N60">
        <f t="shared" si="17"/>
        <v>557040000</v>
      </c>
      <c r="O60">
        <f t="shared" si="17"/>
        <v>550710000</v>
      </c>
      <c r="P60">
        <f t="shared" si="17"/>
        <v>538050000</v>
      </c>
      <c r="Q60">
        <f t="shared" si="17"/>
        <v>588690000</v>
      </c>
      <c r="R60">
        <f t="shared" si="17"/>
        <v>582360000</v>
      </c>
      <c r="S60">
        <f t="shared" si="17"/>
        <v>601350000</v>
      </c>
    </row>
    <row r="61" spans="1:19">
      <c r="A61" t="s">
        <v>23</v>
      </c>
      <c r="B61" t="s">
        <v>393</v>
      </c>
      <c r="C61" t="s">
        <v>583</v>
      </c>
      <c r="D61" t="s">
        <v>397</v>
      </c>
      <c r="H61">
        <f t="shared" ref="H61:S61" si="18">H62+H65+H68+H75+H76</f>
        <v>294000000</v>
      </c>
      <c r="I61">
        <f t="shared" si="18"/>
        <v>273000000</v>
      </c>
      <c r="J61">
        <f t="shared" si="18"/>
        <v>327600000</v>
      </c>
      <c r="K61">
        <f t="shared" si="18"/>
        <v>336000000</v>
      </c>
      <c r="L61">
        <f t="shared" si="18"/>
        <v>344400000</v>
      </c>
      <c r="M61">
        <f t="shared" si="18"/>
        <v>357000000</v>
      </c>
      <c r="N61">
        <f t="shared" si="18"/>
        <v>369600000</v>
      </c>
      <c r="O61">
        <f t="shared" si="18"/>
        <v>365400000</v>
      </c>
      <c r="P61">
        <f t="shared" si="18"/>
        <v>357000000</v>
      </c>
      <c r="Q61">
        <f t="shared" si="18"/>
        <v>390600000</v>
      </c>
      <c r="R61">
        <f t="shared" si="18"/>
        <v>386400000</v>
      </c>
      <c r="S61">
        <f t="shared" si="18"/>
        <v>399000000</v>
      </c>
    </row>
    <row r="62" spans="1:19">
      <c r="A62" t="s">
        <v>26</v>
      </c>
      <c r="B62" t="s">
        <v>393</v>
      </c>
      <c r="C62" t="s">
        <v>584</v>
      </c>
      <c r="D62" t="s">
        <v>399</v>
      </c>
      <c r="H62">
        <f t="shared" ref="H62:S62" si="19">H63+H64</f>
        <v>105000000</v>
      </c>
      <c r="I62">
        <f t="shared" si="19"/>
        <v>97500000</v>
      </c>
      <c r="J62">
        <f t="shared" si="19"/>
        <v>117000000</v>
      </c>
      <c r="K62">
        <f t="shared" si="19"/>
        <v>120000000</v>
      </c>
      <c r="L62">
        <f t="shared" si="19"/>
        <v>123000000</v>
      </c>
      <c r="M62">
        <f t="shared" si="19"/>
        <v>127500000</v>
      </c>
      <c r="N62">
        <f t="shared" si="19"/>
        <v>132000000</v>
      </c>
      <c r="O62">
        <f t="shared" si="19"/>
        <v>130500000</v>
      </c>
      <c r="P62">
        <f t="shared" si="19"/>
        <v>127500000</v>
      </c>
      <c r="Q62">
        <f t="shared" si="19"/>
        <v>139500000</v>
      </c>
      <c r="R62">
        <f t="shared" si="19"/>
        <v>138000000</v>
      </c>
      <c r="S62">
        <f t="shared" si="19"/>
        <v>142500000</v>
      </c>
    </row>
    <row r="63" spans="1:19">
      <c r="A63" t="s">
        <v>60</v>
      </c>
      <c r="B63" t="s">
        <v>393</v>
      </c>
      <c r="C63" t="s">
        <v>585</v>
      </c>
      <c r="D63" t="s">
        <v>401</v>
      </c>
      <c r="H63">
        <v>75600000</v>
      </c>
      <c r="I63">
        <v>70200000</v>
      </c>
      <c r="J63">
        <v>84240000</v>
      </c>
      <c r="K63">
        <v>86400000</v>
      </c>
      <c r="L63">
        <v>88560000</v>
      </c>
      <c r="M63">
        <v>91800000</v>
      </c>
      <c r="N63">
        <v>95040000</v>
      </c>
      <c r="O63">
        <v>93960000</v>
      </c>
      <c r="P63">
        <v>91800000</v>
      </c>
      <c r="Q63">
        <v>100440000</v>
      </c>
      <c r="R63">
        <v>99360000</v>
      </c>
      <c r="S63">
        <v>102600000</v>
      </c>
    </row>
    <row r="64" spans="1:19">
      <c r="A64" t="s">
        <v>60</v>
      </c>
      <c r="B64" t="s">
        <v>393</v>
      </c>
      <c r="C64" t="s">
        <v>586</v>
      </c>
      <c r="D64" t="s">
        <v>49</v>
      </c>
      <c r="H64">
        <v>29400000</v>
      </c>
      <c r="I64">
        <v>27300000</v>
      </c>
      <c r="J64">
        <v>32760000</v>
      </c>
      <c r="K64">
        <v>33600000</v>
      </c>
      <c r="L64">
        <v>34440000</v>
      </c>
      <c r="M64">
        <v>35700000</v>
      </c>
      <c r="N64">
        <v>36960000</v>
      </c>
      <c r="O64">
        <v>36540000</v>
      </c>
      <c r="P64">
        <v>35700000</v>
      </c>
      <c r="Q64">
        <v>39060000</v>
      </c>
      <c r="R64">
        <v>38640000</v>
      </c>
      <c r="S64">
        <v>39900000</v>
      </c>
    </row>
    <row r="65" spans="1:19">
      <c r="A65" t="s">
        <v>26</v>
      </c>
      <c r="B65" t="s">
        <v>393</v>
      </c>
      <c r="C65" t="s">
        <v>587</v>
      </c>
      <c r="D65" t="s">
        <v>51</v>
      </c>
      <c r="H65">
        <f t="shared" ref="H65:S65" si="20">H66+H67</f>
        <v>84000000</v>
      </c>
      <c r="I65">
        <f t="shared" si="20"/>
        <v>78000000</v>
      </c>
      <c r="J65">
        <f t="shared" si="20"/>
        <v>93600000</v>
      </c>
      <c r="K65">
        <f t="shared" si="20"/>
        <v>96000000</v>
      </c>
      <c r="L65">
        <f t="shared" si="20"/>
        <v>98400000</v>
      </c>
      <c r="M65">
        <f t="shared" si="20"/>
        <v>102000000</v>
      </c>
      <c r="N65">
        <f t="shared" si="20"/>
        <v>105600000</v>
      </c>
      <c r="O65">
        <f t="shared" si="20"/>
        <v>104400000</v>
      </c>
      <c r="P65">
        <f t="shared" si="20"/>
        <v>102000000</v>
      </c>
      <c r="Q65">
        <f t="shared" si="20"/>
        <v>111600000</v>
      </c>
      <c r="R65">
        <f t="shared" si="20"/>
        <v>110400000</v>
      </c>
      <c r="S65">
        <f t="shared" si="20"/>
        <v>114000000</v>
      </c>
    </row>
    <row r="66" spans="1:19">
      <c r="A66" t="s">
        <v>60</v>
      </c>
      <c r="B66" t="s">
        <v>393</v>
      </c>
      <c r="C66" t="s">
        <v>588</v>
      </c>
      <c r="D66" t="s">
        <v>405</v>
      </c>
      <c r="H66">
        <v>50400000</v>
      </c>
      <c r="I66">
        <v>46800000</v>
      </c>
      <c r="J66">
        <v>56160000</v>
      </c>
      <c r="K66">
        <v>57600000</v>
      </c>
      <c r="L66">
        <v>59040000</v>
      </c>
      <c r="M66">
        <v>61200000</v>
      </c>
      <c r="N66">
        <v>63360000</v>
      </c>
      <c r="O66">
        <v>62640000</v>
      </c>
      <c r="P66">
        <v>61200000</v>
      </c>
      <c r="Q66">
        <v>66960000</v>
      </c>
      <c r="R66">
        <v>66240000</v>
      </c>
      <c r="S66">
        <v>68400000</v>
      </c>
    </row>
    <row r="67" spans="1:19">
      <c r="A67" t="s">
        <v>60</v>
      </c>
      <c r="B67" t="s">
        <v>393</v>
      </c>
      <c r="C67" t="s">
        <v>589</v>
      </c>
      <c r="D67" t="s">
        <v>407</v>
      </c>
      <c r="H67">
        <v>33600000</v>
      </c>
      <c r="I67">
        <v>31200000</v>
      </c>
      <c r="J67">
        <v>37440000</v>
      </c>
      <c r="K67">
        <v>38400000</v>
      </c>
      <c r="L67">
        <v>39360000</v>
      </c>
      <c r="M67">
        <v>40800000</v>
      </c>
      <c r="N67">
        <v>42240000</v>
      </c>
      <c r="O67">
        <v>41760000</v>
      </c>
      <c r="P67">
        <v>40800000</v>
      </c>
      <c r="Q67">
        <v>44640000</v>
      </c>
      <c r="R67">
        <v>44160000</v>
      </c>
      <c r="S67">
        <v>45600000</v>
      </c>
    </row>
    <row r="68" spans="1:19">
      <c r="A68" t="s">
        <v>26</v>
      </c>
      <c r="B68" t="s">
        <v>393</v>
      </c>
      <c r="C68" t="s">
        <v>590</v>
      </c>
      <c r="D68" t="s">
        <v>409</v>
      </c>
      <c r="H68">
        <f t="shared" ref="H68:S68" si="21">H69+H72+H73+H74</f>
        <v>63000000</v>
      </c>
      <c r="I68">
        <f t="shared" si="21"/>
        <v>58500000</v>
      </c>
      <c r="J68">
        <f t="shared" si="21"/>
        <v>70200000</v>
      </c>
      <c r="K68">
        <f t="shared" si="21"/>
        <v>72000000</v>
      </c>
      <c r="L68">
        <f t="shared" si="21"/>
        <v>73800000</v>
      </c>
      <c r="M68">
        <f t="shared" si="21"/>
        <v>76500000</v>
      </c>
      <c r="N68">
        <f t="shared" si="21"/>
        <v>79200000</v>
      </c>
      <c r="O68">
        <f t="shared" si="21"/>
        <v>78300000</v>
      </c>
      <c r="P68">
        <f t="shared" si="21"/>
        <v>76500000</v>
      </c>
      <c r="Q68">
        <f t="shared" si="21"/>
        <v>83700000</v>
      </c>
      <c r="R68">
        <f t="shared" si="21"/>
        <v>82800000</v>
      </c>
      <c r="S68">
        <f t="shared" si="21"/>
        <v>85500000</v>
      </c>
    </row>
    <row r="69" spans="1:19">
      <c r="A69" t="s">
        <v>60</v>
      </c>
      <c r="B69" t="s">
        <v>393</v>
      </c>
      <c r="C69" t="s">
        <v>591</v>
      </c>
      <c r="D69" t="s">
        <v>59</v>
      </c>
      <c r="H69">
        <f t="shared" ref="H69:S69" si="22">H70+H71</f>
        <v>33600000</v>
      </c>
      <c r="I69">
        <f t="shared" si="22"/>
        <v>31200000</v>
      </c>
      <c r="J69">
        <f t="shared" si="22"/>
        <v>37440000</v>
      </c>
      <c r="K69">
        <f t="shared" si="22"/>
        <v>38400000</v>
      </c>
      <c r="L69">
        <f t="shared" si="22"/>
        <v>39360000</v>
      </c>
      <c r="M69">
        <f t="shared" si="22"/>
        <v>40800000</v>
      </c>
      <c r="N69">
        <f t="shared" si="22"/>
        <v>42240000</v>
      </c>
      <c r="O69">
        <f t="shared" si="22"/>
        <v>41760000</v>
      </c>
      <c r="P69">
        <f t="shared" si="22"/>
        <v>40800000</v>
      </c>
      <c r="Q69">
        <f t="shared" si="22"/>
        <v>44640000</v>
      </c>
      <c r="R69">
        <f t="shared" si="22"/>
        <v>44160000</v>
      </c>
      <c r="S69">
        <f t="shared" si="22"/>
        <v>45600000</v>
      </c>
    </row>
    <row r="70" spans="1:19">
      <c r="A70" t="s">
        <v>192</v>
      </c>
      <c r="B70" t="s">
        <v>393</v>
      </c>
      <c r="C70" t="s">
        <v>592</v>
      </c>
      <c r="D70" t="s">
        <v>62</v>
      </c>
      <c r="H70">
        <v>21000000</v>
      </c>
      <c r="I70">
        <v>19500000</v>
      </c>
      <c r="J70">
        <v>23400000</v>
      </c>
      <c r="K70">
        <v>24000000</v>
      </c>
      <c r="L70">
        <v>24600000</v>
      </c>
      <c r="M70">
        <v>25500000</v>
      </c>
      <c r="N70">
        <v>26400000</v>
      </c>
      <c r="O70">
        <v>26100000</v>
      </c>
      <c r="P70">
        <v>25500000</v>
      </c>
      <c r="Q70">
        <v>27900000</v>
      </c>
      <c r="R70">
        <v>27600000</v>
      </c>
      <c r="S70">
        <v>28500000</v>
      </c>
    </row>
    <row r="71" spans="1:19">
      <c r="A71" t="s">
        <v>192</v>
      </c>
      <c r="B71" t="s">
        <v>393</v>
      </c>
      <c r="C71" t="s">
        <v>593</v>
      </c>
      <c r="D71" t="s">
        <v>64</v>
      </c>
      <c r="H71">
        <v>12600000</v>
      </c>
      <c r="I71">
        <v>11700000</v>
      </c>
      <c r="J71">
        <v>14040000</v>
      </c>
      <c r="K71">
        <v>14400000</v>
      </c>
      <c r="L71">
        <v>14760000</v>
      </c>
      <c r="M71">
        <v>15300000</v>
      </c>
      <c r="N71">
        <v>15840000</v>
      </c>
      <c r="O71">
        <v>15660000</v>
      </c>
      <c r="P71">
        <v>15300000</v>
      </c>
      <c r="Q71">
        <v>16740000</v>
      </c>
      <c r="R71">
        <v>16560000</v>
      </c>
      <c r="S71">
        <v>17100000</v>
      </c>
    </row>
    <row r="72" spans="1:19">
      <c r="A72" t="s">
        <v>60</v>
      </c>
      <c r="B72" t="s">
        <v>393</v>
      </c>
      <c r="C72" t="s">
        <v>594</v>
      </c>
      <c r="D72" t="s">
        <v>414</v>
      </c>
      <c r="H72">
        <v>12600000</v>
      </c>
      <c r="I72">
        <v>11700000</v>
      </c>
      <c r="J72">
        <v>14040000</v>
      </c>
      <c r="K72">
        <v>14400000</v>
      </c>
      <c r="L72">
        <v>14760000</v>
      </c>
      <c r="M72">
        <v>15300000</v>
      </c>
      <c r="N72">
        <v>15840000</v>
      </c>
      <c r="O72">
        <v>15660000</v>
      </c>
      <c r="P72">
        <v>15300000</v>
      </c>
      <c r="Q72">
        <v>16740000</v>
      </c>
      <c r="R72">
        <v>16560000</v>
      </c>
      <c r="S72">
        <v>17100000</v>
      </c>
    </row>
    <row r="73" spans="1:19">
      <c r="A73" t="s">
        <v>60</v>
      </c>
      <c r="B73" t="s">
        <v>393</v>
      </c>
      <c r="C73" t="s">
        <v>595</v>
      </c>
      <c r="D73" t="s">
        <v>68</v>
      </c>
      <c r="H73">
        <v>8400000</v>
      </c>
      <c r="I73">
        <v>7800000</v>
      </c>
      <c r="J73">
        <v>9360000</v>
      </c>
      <c r="K73">
        <v>9600000</v>
      </c>
      <c r="L73">
        <v>9840000</v>
      </c>
      <c r="M73">
        <v>10200000</v>
      </c>
      <c r="N73">
        <v>10560000</v>
      </c>
      <c r="O73">
        <v>10440000</v>
      </c>
      <c r="P73">
        <v>10200000</v>
      </c>
      <c r="Q73">
        <v>11160000</v>
      </c>
      <c r="R73">
        <v>11040000</v>
      </c>
      <c r="S73">
        <v>11400000</v>
      </c>
    </row>
    <row r="74" spans="1:19">
      <c r="A74" t="s">
        <v>60</v>
      </c>
      <c r="B74" t="s">
        <v>393</v>
      </c>
      <c r="C74" t="s">
        <v>596</v>
      </c>
      <c r="D74" t="s">
        <v>70</v>
      </c>
      <c r="H74">
        <v>8400000</v>
      </c>
      <c r="I74">
        <v>7800000</v>
      </c>
      <c r="J74">
        <v>9360000</v>
      </c>
      <c r="K74">
        <v>9600000</v>
      </c>
      <c r="L74">
        <v>9840000</v>
      </c>
      <c r="M74">
        <v>10200000</v>
      </c>
      <c r="N74">
        <v>10560000</v>
      </c>
      <c r="O74">
        <v>10440000</v>
      </c>
      <c r="P74">
        <v>10200000</v>
      </c>
      <c r="Q74">
        <v>11160000</v>
      </c>
      <c r="R74">
        <v>11040000</v>
      </c>
      <c r="S74">
        <v>11400000</v>
      </c>
    </row>
    <row r="75" spans="1:19">
      <c r="A75" t="s">
        <v>26</v>
      </c>
      <c r="B75" t="s">
        <v>393</v>
      </c>
      <c r="C75" t="s">
        <v>597</v>
      </c>
      <c r="D75" t="s">
        <v>418</v>
      </c>
      <c r="H75">
        <v>21000000</v>
      </c>
      <c r="I75">
        <v>19500000</v>
      </c>
      <c r="J75">
        <v>23400000</v>
      </c>
      <c r="K75">
        <v>24000000</v>
      </c>
      <c r="L75">
        <v>24600000</v>
      </c>
      <c r="M75">
        <v>25500000</v>
      </c>
      <c r="N75">
        <v>26400000</v>
      </c>
      <c r="O75">
        <v>26100000</v>
      </c>
      <c r="P75">
        <v>25500000</v>
      </c>
      <c r="Q75">
        <v>27900000</v>
      </c>
      <c r="R75">
        <v>27600000</v>
      </c>
      <c r="S75">
        <v>28500000</v>
      </c>
    </row>
    <row r="76" spans="1:19">
      <c r="A76" t="s">
        <v>26</v>
      </c>
      <c r="B76" t="s">
        <v>393</v>
      </c>
      <c r="C76" t="s">
        <v>598</v>
      </c>
      <c r="D76" t="s">
        <v>420</v>
      </c>
      <c r="H76">
        <v>21000000</v>
      </c>
      <c r="I76">
        <v>19500000</v>
      </c>
      <c r="J76">
        <v>23400000</v>
      </c>
      <c r="K76">
        <v>24000000</v>
      </c>
      <c r="L76">
        <v>24600000</v>
      </c>
      <c r="M76">
        <v>25500000</v>
      </c>
      <c r="N76">
        <v>26400000</v>
      </c>
      <c r="O76">
        <v>26100000</v>
      </c>
      <c r="P76">
        <v>25500000</v>
      </c>
      <c r="Q76">
        <v>27900000</v>
      </c>
      <c r="R76">
        <v>27600000</v>
      </c>
      <c r="S76">
        <v>28500000</v>
      </c>
    </row>
    <row r="77" spans="1:19">
      <c r="A77" t="s">
        <v>23</v>
      </c>
      <c r="B77" t="s">
        <v>393</v>
      </c>
      <c r="C77" t="s">
        <v>599</v>
      </c>
      <c r="D77" t="s">
        <v>422</v>
      </c>
      <c r="H77">
        <f t="shared" ref="H77:S77" si="23">H78+H81+H84+H91+H92</f>
        <v>149100000</v>
      </c>
      <c r="I77">
        <f t="shared" si="23"/>
        <v>138450000</v>
      </c>
      <c r="J77">
        <f t="shared" si="23"/>
        <v>166140000</v>
      </c>
      <c r="K77">
        <f t="shared" si="23"/>
        <v>170400000</v>
      </c>
      <c r="L77">
        <f t="shared" si="23"/>
        <v>174660000</v>
      </c>
      <c r="M77">
        <f t="shared" si="23"/>
        <v>181050000</v>
      </c>
      <c r="N77">
        <f t="shared" si="23"/>
        <v>187440000</v>
      </c>
      <c r="O77">
        <f t="shared" si="23"/>
        <v>185310000</v>
      </c>
      <c r="P77">
        <f t="shared" si="23"/>
        <v>181050000</v>
      </c>
      <c r="Q77">
        <f t="shared" si="23"/>
        <v>198090000</v>
      </c>
      <c r="R77">
        <f t="shared" si="23"/>
        <v>195960000</v>
      </c>
      <c r="S77">
        <f t="shared" si="23"/>
        <v>202350000</v>
      </c>
    </row>
    <row r="78" spans="1:19">
      <c r="A78" t="s">
        <v>26</v>
      </c>
      <c r="B78" t="s">
        <v>393</v>
      </c>
      <c r="C78" t="s">
        <v>600</v>
      </c>
      <c r="D78" t="s">
        <v>399</v>
      </c>
      <c r="H78">
        <f t="shared" ref="H78:S78" si="24">H79+H80</f>
        <v>42000000</v>
      </c>
      <c r="I78">
        <f t="shared" si="24"/>
        <v>39000000</v>
      </c>
      <c r="J78">
        <f t="shared" si="24"/>
        <v>46800000</v>
      </c>
      <c r="K78">
        <f t="shared" si="24"/>
        <v>48000000</v>
      </c>
      <c r="L78">
        <f t="shared" si="24"/>
        <v>49200000</v>
      </c>
      <c r="M78">
        <f t="shared" si="24"/>
        <v>51000000</v>
      </c>
      <c r="N78">
        <f t="shared" si="24"/>
        <v>52800000</v>
      </c>
      <c r="O78">
        <f t="shared" si="24"/>
        <v>52200000</v>
      </c>
      <c r="P78">
        <f t="shared" si="24"/>
        <v>51000000</v>
      </c>
      <c r="Q78">
        <f t="shared" si="24"/>
        <v>55800000</v>
      </c>
      <c r="R78">
        <f t="shared" si="24"/>
        <v>55200000</v>
      </c>
      <c r="S78">
        <f t="shared" si="24"/>
        <v>57000000</v>
      </c>
    </row>
    <row r="79" spans="1:19">
      <c r="A79" t="s">
        <v>60</v>
      </c>
      <c r="B79" t="s">
        <v>393</v>
      </c>
      <c r="C79" t="s">
        <v>601</v>
      </c>
      <c r="D79" t="s">
        <v>401</v>
      </c>
      <c r="H79">
        <v>29400000</v>
      </c>
      <c r="I79">
        <v>27300000</v>
      </c>
      <c r="J79">
        <v>32760000</v>
      </c>
      <c r="K79">
        <v>33600000</v>
      </c>
      <c r="L79">
        <v>34440000</v>
      </c>
      <c r="M79">
        <v>35700000</v>
      </c>
      <c r="N79">
        <v>36960000</v>
      </c>
      <c r="O79">
        <v>36540000</v>
      </c>
      <c r="P79">
        <v>35700000</v>
      </c>
      <c r="Q79">
        <v>39060000</v>
      </c>
      <c r="R79">
        <v>38640000</v>
      </c>
      <c r="S79">
        <v>39900000</v>
      </c>
    </row>
    <row r="80" spans="1:19">
      <c r="A80" t="s">
        <v>60</v>
      </c>
      <c r="B80" t="s">
        <v>393</v>
      </c>
      <c r="C80" t="s">
        <v>602</v>
      </c>
      <c r="D80" t="s">
        <v>49</v>
      </c>
      <c r="H80">
        <v>12600000</v>
      </c>
      <c r="I80">
        <v>11700000</v>
      </c>
      <c r="J80">
        <v>14040000</v>
      </c>
      <c r="K80">
        <v>14400000</v>
      </c>
      <c r="L80">
        <v>14760000</v>
      </c>
      <c r="M80">
        <v>15300000</v>
      </c>
      <c r="N80">
        <v>15840000</v>
      </c>
      <c r="O80">
        <v>15660000</v>
      </c>
      <c r="P80">
        <v>15300000</v>
      </c>
      <c r="Q80">
        <v>16740000</v>
      </c>
      <c r="R80">
        <v>16560000</v>
      </c>
      <c r="S80">
        <v>17100000</v>
      </c>
    </row>
    <row r="81" spans="1:19">
      <c r="A81" t="s">
        <v>26</v>
      </c>
      <c r="B81" t="s">
        <v>393</v>
      </c>
      <c r="C81" t="s">
        <v>603</v>
      </c>
      <c r="D81" t="s">
        <v>51</v>
      </c>
      <c r="H81">
        <f t="shared" ref="H81:S81" si="25">H82+H83</f>
        <v>33600000</v>
      </c>
      <c r="I81">
        <f t="shared" si="25"/>
        <v>31200000</v>
      </c>
      <c r="J81">
        <f t="shared" si="25"/>
        <v>37440000</v>
      </c>
      <c r="K81">
        <f t="shared" si="25"/>
        <v>38400000</v>
      </c>
      <c r="L81">
        <f t="shared" si="25"/>
        <v>39360000</v>
      </c>
      <c r="M81">
        <f t="shared" si="25"/>
        <v>40800000</v>
      </c>
      <c r="N81">
        <f t="shared" si="25"/>
        <v>42240000</v>
      </c>
      <c r="O81">
        <f t="shared" si="25"/>
        <v>41760000</v>
      </c>
      <c r="P81">
        <f t="shared" si="25"/>
        <v>40800000</v>
      </c>
      <c r="Q81">
        <f t="shared" si="25"/>
        <v>44640000</v>
      </c>
      <c r="R81">
        <f t="shared" si="25"/>
        <v>44160000</v>
      </c>
      <c r="S81">
        <f t="shared" si="25"/>
        <v>45600000</v>
      </c>
    </row>
    <row r="82" spans="1:19">
      <c r="A82" t="s">
        <v>60</v>
      </c>
      <c r="B82" t="s">
        <v>393</v>
      </c>
      <c r="C82" t="s">
        <v>604</v>
      </c>
      <c r="D82" t="s">
        <v>405</v>
      </c>
      <c r="H82">
        <v>21000000</v>
      </c>
      <c r="I82">
        <v>19500000</v>
      </c>
      <c r="J82">
        <v>23400000</v>
      </c>
      <c r="K82">
        <v>24000000</v>
      </c>
      <c r="L82">
        <v>24600000</v>
      </c>
      <c r="M82">
        <v>25500000</v>
      </c>
      <c r="N82">
        <v>26400000</v>
      </c>
      <c r="O82">
        <v>26100000</v>
      </c>
      <c r="P82">
        <v>25500000</v>
      </c>
      <c r="Q82">
        <v>27900000</v>
      </c>
      <c r="R82">
        <v>27600000</v>
      </c>
      <c r="S82">
        <v>28500000</v>
      </c>
    </row>
    <row r="83" spans="1:19">
      <c r="A83" t="s">
        <v>60</v>
      </c>
      <c r="B83" t="s">
        <v>393</v>
      </c>
      <c r="C83" t="s">
        <v>605</v>
      </c>
      <c r="D83" t="s">
        <v>407</v>
      </c>
      <c r="H83">
        <v>12600000</v>
      </c>
      <c r="I83">
        <v>11700000</v>
      </c>
      <c r="J83">
        <v>14040000</v>
      </c>
      <c r="K83">
        <v>14400000</v>
      </c>
      <c r="L83">
        <v>14760000</v>
      </c>
      <c r="M83">
        <v>15300000</v>
      </c>
      <c r="N83">
        <v>15840000</v>
      </c>
      <c r="O83">
        <v>15660000</v>
      </c>
      <c r="P83">
        <v>15300000</v>
      </c>
      <c r="Q83">
        <v>16740000</v>
      </c>
      <c r="R83">
        <v>16560000</v>
      </c>
      <c r="S83">
        <v>17100000</v>
      </c>
    </row>
    <row r="84" spans="1:19">
      <c r="A84" t="s">
        <v>26</v>
      </c>
      <c r="B84" t="s">
        <v>393</v>
      </c>
      <c r="C84" t="s">
        <v>606</v>
      </c>
      <c r="D84" t="s">
        <v>409</v>
      </c>
      <c r="H84">
        <f t="shared" ref="H84:S84" si="26">H85+H88+H89+H90</f>
        <v>31500000</v>
      </c>
      <c r="I84">
        <f t="shared" si="26"/>
        <v>29250000</v>
      </c>
      <c r="J84">
        <f t="shared" si="26"/>
        <v>35100000</v>
      </c>
      <c r="K84">
        <f t="shared" si="26"/>
        <v>36000000</v>
      </c>
      <c r="L84">
        <f t="shared" si="26"/>
        <v>36900000</v>
      </c>
      <c r="M84">
        <f t="shared" si="26"/>
        <v>38250000</v>
      </c>
      <c r="N84">
        <f t="shared" si="26"/>
        <v>39600000</v>
      </c>
      <c r="O84">
        <f t="shared" si="26"/>
        <v>39150000</v>
      </c>
      <c r="P84">
        <f t="shared" si="26"/>
        <v>38250000</v>
      </c>
      <c r="Q84">
        <f t="shared" si="26"/>
        <v>41850000</v>
      </c>
      <c r="R84">
        <f t="shared" si="26"/>
        <v>41400000</v>
      </c>
      <c r="S84">
        <f t="shared" si="26"/>
        <v>42750000</v>
      </c>
    </row>
    <row r="85" spans="1:19">
      <c r="A85" t="s">
        <v>60</v>
      </c>
      <c r="B85" t="s">
        <v>393</v>
      </c>
      <c r="C85" t="s">
        <v>607</v>
      </c>
      <c r="D85" t="s">
        <v>59</v>
      </c>
      <c r="H85">
        <f t="shared" ref="H85:S85" si="27">H86+H87</f>
        <v>16800000</v>
      </c>
      <c r="I85">
        <f t="shared" si="27"/>
        <v>15600000</v>
      </c>
      <c r="J85">
        <f t="shared" si="27"/>
        <v>18720000</v>
      </c>
      <c r="K85">
        <f t="shared" si="27"/>
        <v>19200000</v>
      </c>
      <c r="L85">
        <f t="shared" si="27"/>
        <v>19680000</v>
      </c>
      <c r="M85">
        <f t="shared" si="27"/>
        <v>20400000</v>
      </c>
      <c r="N85">
        <f t="shared" si="27"/>
        <v>21120000</v>
      </c>
      <c r="O85">
        <f t="shared" si="27"/>
        <v>20880000</v>
      </c>
      <c r="P85">
        <f t="shared" si="27"/>
        <v>20400000</v>
      </c>
      <c r="Q85">
        <f t="shared" si="27"/>
        <v>22320000</v>
      </c>
      <c r="R85">
        <f t="shared" si="27"/>
        <v>22080000</v>
      </c>
      <c r="S85">
        <f t="shared" si="27"/>
        <v>22800000</v>
      </c>
    </row>
    <row r="86" spans="1:19">
      <c r="A86" t="s">
        <v>192</v>
      </c>
      <c r="B86" t="s">
        <v>393</v>
      </c>
      <c r="C86" t="s">
        <v>608</v>
      </c>
      <c r="D86" t="s">
        <v>62</v>
      </c>
      <c r="H86">
        <v>10500000</v>
      </c>
      <c r="I86">
        <v>9750000</v>
      </c>
      <c r="J86">
        <v>11700000</v>
      </c>
      <c r="K86">
        <v>12000000</v>
      </c>
      <c r="L86">
        <v>12300000</v>
      </c>
      <c r="M86">
        <v>12750000</v>
      </c>
      <c r="N86">
        <v>13200000</v>
      </c>
      <c r="O86">
        <v>13050000</v>
      </c>
      <c r="P86">
        <v>12750000</v>
      </c>
      <c r="Q86">
        <v>13950000</v>
      </c>
      <c r="R86">
        <v>13800000</v>
      </c>
      <c r="S86">
        <v>14250000</v>
      </c>
    </row>
    <row r="87" spans="1:19">
      <c r="A87" t="s">
        <v>192</v>
      </c>
      <c r="B87" t="s">
        <v>393</v>
      </c>
      <c r="C87" t="s">
        <v>609</v>
      </c>
      <c r="D87" t="s">
        <v>64</v>
      </c>
      <c r="H87">
        <v>6300000</v>
      </c>
      <c r="I87">
        <v>5850000</v>
      </c>
      <c r="J87">
        <v>7020000</v>
      </c>
      <c r="K87">
        <v>7200000</v>
      </c>
      <c r="L87">
        <v>7380000</v>
      </c>
      <c r="M87">
        <v>7650000</v>
      </c>
      <c r="N87">
        <v>7920000</v>
      </c>
      <c r="O87">
        <v>7830000</v>
      </c>
      <c r="P87">
        <v>7650000</v>
      </c>
      <c r="Q87">
        <v>8370000</v>
      </c>
      <c r="R87">
        <v>8280000</v>
      </c>
      <c r="S87">
        <v>8550000</v>
      </c>
    </row>
    <row r="88" spans="1:19">
      <c r="A88" t="s">
        <v>60</v>
      </c>
      <c r="B88" t="s">
        <v>393</v>
      </c>
      <c r="C88" t="s">
        <v>610</v>
      </c>
      <c r="D88" t="s">
        <v>414</v>
      </c>
      <c r="H88">
        <v>6300000</v>
      </c>
      <c r="I88">
        <v>5850000</v>
      </c>
      <c r="J88">
        <v>7020000</v>
      </c>
      <c r="K88">
        <v>7200000</v>
      </c>
      <c r="L88">
        <v>7380000</v>
      </c>
      <c r="M88">
        <v>7650000</v>
      </c>
      <c r="N88">
        <v>7920000</v>
      </c>
      <c r="O88">
        <v>7830000</v>
      </c>
      <c r="P88">
        <v>7650000</v>
      </c>
      <c r="Q88">
        <v>8370000</v>
      </c>
      <c r="R88">
        <v>8280000</v>
      </c>
      <c r="S88">
        <v>8550000</v>
      </c>
    </row>
    <row r="89" spans="1:19">
      <c r="A89" t="s">
        <v>60</v>
      </c>
      <c r="B89" t="s">
        <v>393</v>
      </c>
      <c r="C89" t="s">
        <v>611</v>
      </c>
      <c r="D89" t="s">
        <v>68</v>
      </c>
      <c r="H89">
        <v>4200000</v>
      </c>
      <c r="I89">
        <v>3900000</v>
      </c>
      <c r="J89">
        <v>4680000</v>
      </c>
      <c r="K89">
        <v>4800000</v>
      </c>
      <c r="L89">
        <v>4920000</v>
      </c>
      <c r="M89">
        <v>5100000</v>
      </c>
      <c r="N89">
        <v>5280000</v>
      </c>
      <c r="O89">
        <v>5220000</v>
      </c>
      <c r="P89">
        <v>5100000</v>
      </c>
      <c r="Q89">
        <v>5580000</v>
      </c>
      <c r="R89">
        <v>5520000</v>
      </c>
      <c r="S89">
        <v>5700000</v>
      </c>
    </row>
    <row r="90" spans="1:19">
      <c r="A90" t="s">
        <v>60</v>
      </c>
      <c r="B90" t="s">
        <v>393</v>
      </c>
      <c r="C90" t="s">
        <v>612</v>
      </c>
      <c r="D90" t="s">
        <v>70</v>
      </c>
      <c r="H90">
        <v>4200000</v>
      </c>
      <c r="I90">
        <v>3900000</v>
      </c>
      <c r="J90">
        <v>4680000</v>
      </c>
      <c r="K90">
        <v>4800000</v>
      </c>
      <c r="L90">
        <v>4920000</v>
      </c>
      <c r="M90">
        <v>5100000</v>
      </c>
      <c r="N90">
        <v>5280000</v>
      </c>
      <c r="O90">
        <v>5220000</v>
      </c>
      <c r="P90">
        <v>5100000</v>
      </c>
      <c r="Q90">
        <v>5580000</v>
      </c>
      <c r="R90">
        <v>5520000</v>
      </c>
      <c r="S90">
        <v>5700000</v>
      </c>
    </row>
    <row r="91" spans="1:19">
      <c r="A91" t="s">
        <v>26</v>
      </c>
      <c r="B91" t="s">
        <v>393</v>
      </c>
      <c r="C91" t="s">
        <v>613</v>
      </c>
      <c r="D91" t="s">
        <v>418</v>
      </c>
      <c r="H91">
        <v>21000000</v>
      </c>
      <c r="I91">
        <v>19500000</v>
      </c>
      <c r="J91">
        <v>23400000</v>
      </c>
      <c r="K91">
        <v>24000000</v>
      </c>
      <c r="L91">
        <v>24600000</v>
      </c>
      <c r="M91">
        <v>25500000</v>
      </c>
      <c r="N91">
        <v>26400000</v>
      </c>
      <c r="O91">
        <v>26100000</v>
      </c>
      <c r="P91">
        <v>25500000</v>
      </c>
      <c r="Q91">
        <v>27900000</v>
      </c>
      <c r="R91">
        <v>27600000</v>
      </c>
      <c r="S91">
        <v>28500000</v>
      </c>
    </row>
    <row r="92" spans="1:19">
      <c r="A92" t="s">
        <v>26</v>
      </c>
      <c r="B92" t="s">
        <v>393</v>
      </c>
      <c r="C92" t="s">
        <v>614</v>
      </c>
      <c r="D92" t="s">
        <v>420</v>
      </c>
      <c r="H92">
        <v>21000000</v>
      </c>
      <c r="I92">
        <v>19500000</v>
      </c>
      <c r="J92">
        <v>23400000</v>
      </c>
      <c r="K92">
        <v>24000000</v>
      </c>
      <c r="L92">
        <v>24600000</v>
      </c>
      <c r="M92">
        <v>25500000</v>
      </c>
      <c r="N92">
        <v>26400000</v>
      </c>
      <c r="O92">
        <v>26100000</v>
      </c>
      <c r="P92">
        <v>25500000</v>
      </c>
      <c r="Q92">
        <v>27900000</v>
      </c>
      <c r="R92">
        <v>27600000</v>
      </c>
      <c r="S92">
        <v>28500000</v>
      </c>
    </row>
    <row r="93" spans="1:19">
      <c r="A93" t="s">
        <v>19</v>
      </c>
      <c r="B93" t="s">
        <v>438</v>
      </c>
      <c r="C93" t="s">
        <v>615</v>
      </c>
      <c r="D93" t="s">
        <v>440</v>
      </c>
    </row>
    <row r="94" spans="1:19">
      <c r="A94" t="s">
        <v>23</v>
      </c>
      <c r="B94" t="s">
        <v>438</v>
      </c>
      <c r="C94" t="s">
        <v>616</v>
      </c>
      <c r="D94" t="s">
        <v>442</v>
      </c>
    </row>
    <row r="95" spans="1:19">
      <c r="A95" t="s">
        <v>26</v>
      </c>
      <c r="B95" t="s">
        <v>438</v>
      </c>
      <c r="C95" t="s">
        <v>617</v>
      </c>
      <c r="D95" t="s">
        <v>444</v>
      </c>
    </row>
    <row r="96" spans="1:19">
      <c r="A96" t="s">
        <v>60</v>
      </c>
      <c r="B96" t="s">
        <v>438</v>
      </c>
      <c r="C96" t="s">
        <v>618</v>
      </c>
      <c r="D96" t="s">
        <v>446</v>
      </c>
    </row>
    <row r="97" spans="1:4">
      <c r="A97" t="s">
        <v>60</v>
      </c>
      <c r="B97" t="s">
        <v>438</v>
      </c>
      <c r="C97" t="s">
        <v>619</v>
      </c>
      <c r="D97" t="s">
        <v>448</v>
      </c>
    </row>
    <row r="98" spans="1:4">
      <c r="A98" t="s">
        <v>60</v>
      </c>
      <c r="B98" t="s">
        <v>438</v>
      </c>
      <c r="C98" t="s">
        <v>620</v>
      </c>
      <c r="D98" t="s">
        <v>450</v>
      </c>
    </row>
    <row r="99" spans="1:4">
      <c r="A99" t="s">
        <v>60</v>
      </c>
      <c r="B99" t="s">
        <v>438</v>
      </c>
      <c r="C99" t="s">
        <v>621</v>
      </c>
      <c r="D99" t="s">
        <v>452</v>
      </c>
    </row>
    <row r="100" spans="1:4">
      <c r="A100" t="s">
        <v>26</v>
      </c>
      <c r="B100" t="s">
        <v>438</v>
      </c>
      <c r="C100" t="s">
        <v>622</v>
      </c>
      <c r="D100" t="s">
        <v>454</v>
      </c>
    </row>
    <row r="101" spans="1:4">
      <c r="A101" t="s">
        <v>60</v>
      </c>
      <c r="B101" t="s">
        <v>438</v>
      </c>
      <c r="C101" t="s">
        <v>623</v>
      </c>
      <c r="D101" t="s">
        <v>456</v>
      </c>
    </row>
    <row r="102" spans="1:4">
      <c r="A102" t="s">
        <v>60</v>
      </c>
      <c r="B102" t="s">
        <v>438</v>
      </c>
      <c r="C102" t="s">
        <v>624</v>
      </c>
      <c r="D102" t="s">
        <v>458</v>
      </c>
    </row>
    <row r="103" spans="1:4">
      <c r="A103" t="s">
        <v>60</v>
      </c>
      <c r="B103" t="s">
        <v>438</v>
      </c>
      <c r="C103" t="s">
        <v>625</v>
      </c>
      <c r="D103" t="s">
        <v>460</v>
      </c>
    </row>
    <row r="104" spans="1:4">
      <c r="A104" t="s">
        <v>60</v>
      </c>
      <c r="B104" t="s">
        <v>438</v>
      </c>
      <c r="C104" t="s">
        <v>626</v>
      </c>
      <c r="D104" t="s">
        <v>462</v>
      </c>
    </row>
    <row r="105" spans="1:4">
      <c r="A105" t="s">
        <v>60</v>
      </c>
      <c r="B105" t="s">
        <v>438</v>
      </c>
      <c r="C105" t="s">
        <v>627</v>
      </c>
      <c r="D105" t="s">
        <v>464</v>
      </c>
    </row>
    <row r="106" spans="1:4">
      <c r="A106" t="s">
        <v>60</v>
      </c>
      <c r="B106" t="s">
        <v>438</v>
      </c>
      <c r="C106" t="s">
        <v>628</v>
      </c>
      <c r="D106" t="s">
        <v>466</v>
      </c>
    </row>
    <row r="107" spans="1:4">
      <c r="A107" t="s">
        <v>60</v>
      </c>
      <c r="B107" t="s">
        <v>438</v>
      </c>
      <c r="C107" t="s">
        <v>629</v>
      </c>
      <c r="D107" t="s">
        <v>468</v>
      </c>
    </row>
    <row r="108" spans="1:4">
      <c r="A108" t="s">
        <v>60</v>
      </c>
      <c r="B108" t="s">
        <v>438</v>
      </c>
      <c r="C108" t="s">
        <v>630</v>
      </c>
      <c r="D108" t="s">
        <v>470</v>
      </c>
    </row>
    <row r="109" spans="1:4">
      <c r="A109" t="s">
        <v>60</v>
      </c>
      <c r="B109" t="s">
        <v>438</v>
      </c>
      <c r="C109" t="s">
        <v>631</v>
      </c>
      <c r="D109" t="s">
        <v>472</v>
      </c>
    </row>
    <row r="110" spans="1:4">
      <c r="A110" t="s">
        <v>60</v>
      </c>
      <c r="B110" t="s">
        <v>438</v>
      </c>
      <c r="C110" t="s">
        <v>632</v>
      </c>
      <c r="D110" t="s">
        <v>474</v>
      </c>
    </row>
    <row r="111" spans="1:4">
      <c r="A111" t="s">
        <v>60</v>
      </c>
      <c r="B111" t="s">
        <v>438</v>
      </c>
      <c r="C111" t="s">
        <v>633</v>
      </c>
      <c r="D111" t="s">
        <v>476</v>
      </c>
    </row>
    <row r="112" spans="1:4">
      <c r="A112" t="s">
        <v>60</v>
      </c>
      <c r="B112" t="s">
        <v>438</v>
      </c>
      <c r="C112" t="s">
        <v>634</v>
      </c>
      <c r="D112" t="s">
        <v>478</v>
      </c>
    </row>
    <row r="113" spans="1:4">
      <c r="A113" t="s">
        <v>60</v>
      </c>
      <c r="B113" t="s">
        <v>438</v>
      </c>
      <c r="C113" t="s">
        <v>635</v>
      </c>
      <c r="D113" t="s">
        <v>480</v>
      </c>
    </row>
    <row r="114" spans="1:4">
      <c r="A114" t="s">
        <v>60</v>
      </c>
      <c r="B114" t="s">
        <v>438</v>
      </c>
      <c r="C114" t="s">
        <v>636</v>
      </c>
      <c r="D114" t="s">
        <v>482</v>
      </c>
    </row>
    <row r="115" spans="1:4">
      <c r="A115" t="s">
        <v>26</v>
      </c>
      <c r="B115" t="s">
        <v>438</v>
      </c>
      <c r="C115" t="s">
        <v>637</v>
      </c>
      <c r="D115" t="s">
        <v>484</v>
      </c>
    </row>
    <row r="116" spans="1:4">
      <c r="A116" t="s">
        <v>60</v>
      </c>
      <c r="B116" t="s">
        <v>438</v>
      </c>
      <c r="C116" t="s">
        <v>638</v>
      </c>
      <c r="D116" t="s">
        <v>486</v>
      </c>
    </row>
    <row r="117" spans="1:4">
      <c r="A117" t="s">
        <v>60</v>
      </c>
      <c r="B117" t="s">
        <v>438</v>
      </c>
      <c r="C117" t="s">
        <v>639</v>
      </c>
      <c r="D117" t="s">
        <v>488</v>
      </c>
    </row>
    <row r="118" spans="1:4">
      <c r="A118" t="s">
        <v>60</v>
      </c>
      <c r="B118" t="s">
        <v>438</v>
      </c>
      <c r="C118" t="s">
        <v>640</v>
      </c>
      <c r="D118" t="s">
        <v>490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615</v>
      </c>
      <c r="D2" t="s">
        <v>440</v>
      </c>
    </row>
    <row r="3" spans="1:19">
      <c r="A3" t="s">
        <v>19</v>
      </c>
      <c r="B3" t="s">
        <v>179</v>
      </c>
      <c r="C3" t="s">
        <v>616</v>
      </c>
      <c r="D3" t="s">
        <v>442</v>
      </c>
    </row>
    <row r="4" spans="1:19">
      <c r="A4" t="s">
        <v>23</v>
      </c>
      <c r="B4" t="s">
        <v>179</v>
      </c>
      <c r="C4" t="s">
        <v>617</v>
      </c>
      <c r="D4" t="s">
        <v>444</v>
      </c>
    </row>
    <row r="5" spans="1:19">
      <c r="A5" t="s">
        <v>26</v>
      </c>
      <c r="B5" t="s">
        <v>179</v>
      </c>
      <c r="C5" t="s">
        <v>618</v>
      </c>
      <c r="D5" t="s">
        <v>446</v>
      </c>
    </row>
    <row r="6" spans="1:19">
      <c r="A6" t="s">
        <v>26</v>
      </c>
      <c r="B6" t="s">
        <v>179</v>
      </c>
      <c r="C6" t="s">
        <v>619</v>
      </c>
      <c r="D6" t="s">
        <v>448</v>
      </c>
    </row>
    <row r="7" spans="1:19">
      <c r="A7" t="s">
        <v>26</v>
      </c>
      <c r="B7" t="s">
        <v>179</v>
      </c>
      <c r="C7" t="s">
        <v>620</v>
      </c>
      <c r="D7" t="s">
        <v>450</v>
      </c>
    </row>
    <row r="8" spans="1:19">
      <c r="A8" t="s">
        <v>26</v>
      </c>
      <c r="B8" t="s">
        <v>179</v>
      </c>
      <c r="C8" t="s">
        <v>621</v>
      </c>
      <c r="D8" t="s">
        <v>452</v>
      </c>
    </row>
    <row r="9" spans="1:19">
      <c r="A9" t="s">
        <v>23</v>
      </c>
      <c r="B9" t="s">
        <v>179</v>
      </c>
      <c r="C9" t="s">
        <v>622</v>
      </c>
      <c r="D9" t="s">
        <v>454</v>
      </c>
    </row>
    <row r="10" spans="1:19">
      <c r="A10" t="s">
        <v>26</v>
      </c>
      <c r="B10" t="s">
        <v>179</v>
      </c>
      <c r="C10" t="s">
        <v>623</v>
      </c>
      <c r="D10" t="s">
        <v>456</v>
      </c>
    </row>
    <row r="11" spans="1:19">
      <c r="A11" t="s">
        <v>26</v>
      </c>
      <c r="B11" t="s">
        <v>179</v>
      </c>
      <c r="C11" t="s">
        <v>624</v>
      </c>
      <c r="D11" t="s">
        <v>458</v>
      </c>
    </row>
    <row r="12" spans="1:19">
      <c r="A12" t="s">
        <v>26</v>
      </c>
      <c r="B12" t="s">
        <v>179</v>
      </c>
      <c r="C12" t="s">
        <v>625</v>
      </c>
      <c r="D12" t="s">
        <v>460</v>
      </c>
    </row>
    <row r="13" spans="1:19">
      <c r="A13" t="s">
        <v>26</v>
      </c>
      <c r="B13" t="s">
        <v>179</v>
      </c>
      <c r="C13" t="s">
        <v>626</v>
      </c>
      <c r="D13" t="s">
        <v>462</v>
      </c>
    </row>
    <row r="14" spans="1:19">
      <c r="A14" t="s">
        <v>26</v>
      </c>
      <c r="B14" t="s">
        <v>179</v>
      </c>
      <c r="C14" t="s">
        <v>627</v>
      </c>
      <c r="D14" t="s">
        <v>464</v>
      </c>
    </row>
    <row r="15" spans="1:19">
      <c r="A15" t="s">
        <v>26</v>
      </c>
      <c r="B15" t="s">
        <v>179</v>
      </c>
      <c r="C15" t="s">
        <v>628</v>
      </c>
      <c r="D15" t="s">
        <v>466</v>
      </c>
    </row>
    <row r="16" spans="1:19">
      <c r="A16" t="s">
        <v>26</v>
      </c>
      <c r="B16" t="s">
        <v>179</v>
      </c>
      <c r="C16" t="s">
        <v>629</v>
      </c>
      <c r="D16" t="s">
        <v>468</v>
      </c>
    </row>
    <row r="17" spans="1:4">
      <c r="A17" t="s">
        <v>26</v>
      </c>
      <c r="B17" t="s">
        <v>179</v>
      </c>
      <c r="C17" t="s">
        <v>630</v>
      </c>
      <c r="D17" t="s">
        <v>470</v>
      </c>
    </row>
    <row r="18" spans="1:4">
      <c r="A18" t="s">
        <v>26</v>
      </c>
      <c r="B18" t="s">
        <v>179</v>
      </c>
      <c r="C18" t="s">
        <v>631</v>
      </c>
      <c r="D18" t="s">
        <v>472</v>
      </c>
    </row>
    <row r="19" spans="1:4">
      <c r="A19" t="s">
        <v>26</v>
      </c>
      <c r="B19" t="s">
        <v>179</v>
      </c>
      <c r="C19" t="s">
        <v>632</v>
      </c>
      <c r="D19" t="s">
        <v>474</v>
      </c>
    </row>
    <row r="20" spans="1:4">
      <c r="A20" t="s">
        <v>26</v>
      </c>
      <c r="B20" t="s">
        <v>179</v>
      </c>
      <c r="C20" t="s">
        <v>633</v>
      </c>
      <c r="D20" t="s">
        <v>476</v>
      </c>
    </row>
    <row r="21" spans="1:4">
      <c r="A21" t="s">
        <v>26</v>
      </c>
      <c r="B21" t="s">
        <v>179</v>
      </c>
      <c r="C21" t="s">
        <v>634</v>
      </c>
      <c r="D21" t="s">
        <v>478</v>
      </c>
    </row>
    <row r="22" spans="1:4">
      <c r="A22" t="s">
        <v>26</v>
      </c>
      <c r="B22" t="s">
        <v>179</v>
      </c>
      <c r="C22" t="s">
        <v>635</v>
      </c>
      <c r="D22" t="s">
        <v>480</v>
      </c>
    </row>
    <row r="23" spans="1:4">
      <c r="A23" t="s">
        <v>26</v>
      </c>
      <c r="B23" t="s">
        <v>179</v>
      </c>
      <c r="C23" t="s">
        <v>636</v>
      </c>
      <c r="D23" t="s">
        <v>482</v>
      </c>
    </row>
    <row r="24" spans="1:4">
      <c r="A24" t="s">
        <v>23</v>
      </c>
      <c r="B24" t="s">
        <v>179</v>
      </c>
      <c r="C24" t="s">
        <v>637</v>
      </c>
      <c r="D24" t="s">
        <v>484</v>
      </c>
    </row>
    <row r="25" spans="1:4">
      <c r="A25" t="s">
        <v>26</v>
      </c>
      <c r="B25" t="s">
        <v>179</v>
      </c>
      <c r="C25" t="s">
        <v>638</v>
      </c>
      <c r="D25" t="s">
        <v>486</v>
      </c>
    </row>
    <row r="26" spans="1:4">
      <c r="A26" t="s">
        <v>26</v>
      </c>
      <c r="B26" t="s">
        <v>179</v>
      </c>
      <c r="C26" t="s">
        <v>639</v>
      </c>
      <c r="D26" t="s">
        <v>488</v>
      </c>
    </row>
    <row r="27" spans="1:4">
      <c r="A27" t="s">
        <v>26</v>
      </c>
      <c r="B27" t="s">
        <v>179</v>
      </c>
      <c r="C27" t="s">
        <v>640</v>
      </c>
      <c r="D27" t="s">
        <v>490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workbookViewId="0">
      <selection activeCell="A1" sqref="A1"/>
    </sheetView>
  </sheetViews>
  <sheetFormatPr defaultColWidth="9" defaultRowHeight="16.8" outlineLevelRow="5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549</v>
      </c>
      <c r="D2" t="s">
        <v>22</v>
      </c>
      <c r="H2">
        <v>0.25</v>
      </c>
      <c r="I2">
        <v>0.23</v>
      </c>
      <c r="J2">
        <v>0.27</v>
      </c>
      <c r="K2">
        <v>0.28</v>
      </c>
      <c r="L2">
        <v>0.29</v>
      </c>
      <c r="M2">
        <v>0.3</v>
      </c>
      <c r="N2">
        <v>0.31</v>
      </c>
      <c r="O2">
        <v>0.3</v>
      </c>
      <c r="P2">
        <v>0.3</v>
      </c>
      <c r="Q2">
        <v>0.33</v>
      </c>
      <c r="R2">
        <v>0.32</v>
      </c>
      <c r="S2">
        <v>0.33</v>
      </c>
    </row>
    <row r="3" spans="1:19">
      <c r="A3" t="s">
        <v>491</v>
      </c>
      <c r="B3" t="s">
        <v>84</v>
      </c>
      <c r="C3" t="s">
        <v>551</v>
      </c>
      <c r="D3" t="s">
        <v>502</v>
      </c>
      <c r="H3">
        <f t="shared" ref="H3:S3" si="0">H4+H6</f>
        <v>857500000</v>
      </c>
      <c r="I3">
        <f t="shared" si="0"/>
        <v>796250000</v>
      </c>
      <c r="J3">
        <f t="shared" si="0"/>
        <v>955500000</v>
      </c>
      <c r="K3">
        <f t="shared" si="0"/>
        <v>980000000</v>
      </c>
      <c r="L3">
        <f t="shared" si="0"/>
        <v>1004500000</v>
      </c>
      <c r="M3">
        <f t="shared" si="0"/>
        <v>1041250000</v>
      </c>
      <c r="N3">
        <f t="shared" si="0"/>
        <v>1078000000</v>
      </c>
      <c r="O3">
        <f t="shared" si="0"/>
        <v>1065750000</v>
      </c>
      <c r="P3">
        <f t="shared" si="0"/>
        <v>1041250000</v>
      </c>
      <c r="Q3">
        <f t="shared" si="0"/>
        <v>1139250000</v>
      </c>
      <c r="R3">
        <f t="shared" si="0"/>
        <v>1127000000</v>
      </c>
      <c r="S3">
        <f t="shared" si="0"/>
        <v>1163750000</v>
      </c>
    </row>
    <row r="4" spans="1:19">
      <c r="A4" t="s">
        <v>19</v>
      </c>
      <c r="B4" t="s">
        <v>84</v>
      </c>
      <c r="C4" t="s">
        <v>553</v>
      </c>
      <c r="D4" t="s">
        <v>504</v>
      </c>
      <c r="H4">
        <v>808500000</v>
      </c>
      <c r="I4">
        <v>750750000</v>
      </c>
      <c r="J4">
        <v>900900000</v>
      </c>
      <c r="K4">
        <v>924000000</v>
      </c>
      <c r="L4">
        <v>947100000</v>
      </c>
      <c r="M4">
        <v>981750000</v>
      </c>
      <c r="N4">
        <v>1016400000</v>
      </c>
      <c r="O4">
        <v>1004850000</v>
      </c>
      <c r="P4">
        <v>981750000</v>
      </c>
      <c r="Q4">
        <v>1074150000</v>
      </c>
      <c r="R4">
        <v>1062600000</v>
      </c>
      <c r="S4">
        <v>1097250000</v>
      </c>
    </row>
    <row r="5" spans="1:19">
      <c r="A5" t="s">
        <v>23</v>
      </c>
      <c r="B5" t="s">
        <v>84</v>
      </c>
      <c r="C5" t="s">
        <v>555</v>
      </c>
      <c r="D5" t="s">
        <v>506</v>
      </c>
      <c r="H5">
        <v>122500000</v>
      </c>
      <c r="I5">
        <v>113750000</v>
      </c>
      <c r="J5">
        <v>136500000</v>
      </c>
      <c r="K5">
        <v>140000000</v>
      </c>
      <c r="L5">
        <v>143500000</v>
      </c>
      <c r="M5">
        <v>148750000</v>
      </c>
      <c r="N5">
        <v>154000000</v>
      </c>
      <c r="O5">
        <v>152250000</v>
      </c>
      <c r="P5">
        <v>148750000</v>
      </c>
      <c r="Q5">
        <v>162750000</v>
      </c>
      <c r="R5">
        <v>161000000</v>
      </c>
      <c r="S5">
        <v>166250000</v>
      </c>
    </row>
    <row r="6" spans="1:19">
      <c r="A6" t="s">
        <v>19</v>
      </c>
      <c r="B6" t="s">
        <v>84</v>
      </c>
      <c r="C6" t="s">
        <v>556</v>
      </c>
      <c r="D6" t="s">
        <v>510</v>
      </c>
      <c r="H6">
        <v>49000000</v>
      </c>
      <c r="I6">
        <v>45500000</v>
      </c>
      <c r="J6">
        <v>54600000</v>
      </c>
      <c r="K6">
        <v>56000000</v>
      </c>
      <c r="L6">
        <v>57400000</v>
      </c>
      <c r="M6">
        <v>59500000</v>
      </c>
      <c r="N6">
        <v>61600000</v>
      </c>
      <c r="O6">
        <v>60900000</v>
      </c>
      <c r="P6">
        <v>59500000</v>
      </c>
      <c r="Q6">
        <v>65100000</v>
      </c>
      <c r="R6">
        <v>64400000</v>
      </c>
      <c r="S6">
        <v>66500000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179</v>
      </c>
      <c r="C2" t="s">
        <v>566</v>
      </c>
      <c r="D2" t="s">
        <v>641</v>
      </c>
      <c r="H2">
        <v>0.21</v>
      </c>
      <c r="I2">
        <v>0.22</v>
      </c>
      <c r="J2">
        <v>0.23</v>
      </c>
      <c r="K2">
        <v>0.23</v>
      </c>
      <c r="L2">
        <v>0.24</v>
      </c>
      <c r="M2">
        <v>0.24</v>
      </c>
      <c r="N2">
        <v>0.25</v>
      </c>
      <c r="O2">
        <v>0.24</v>
      </c>
      <c r="P2">
        <v>0.24</v>
      </c>
      <c r="Q2">
        <v>0.23</v>
      </c>
      <c r="R2">
        <v>0.23</v>
      </c>
      <c r="S2">
        <v>0.24</v>
      </c>
    </row>
    <row r="3" spans="1:19">
      <c r="A3" t="s">
        <v>23</v>
      </c>
      <c r="B3" t="s">
        <v>179</v>
      </c>
      <c r="C3" t="s">
        <v>642</v>
      </c>
      <c r="D3" t="s">
        <v>643</v>
      </c>
    </row>
    <row r="4" spans="1:19">
      <c r="A4" t="s">
        <v>26</v>
      </c>
      <c r="B4" t="s">
        <v>179</v>
      </c>
      <c r="C4" t="s">
        <v>644</v>
      </c>
      <c r="D4" t="s">
        <v>645</v>
      </c>
    </row>
    <row r="5" spans="1:19">
      <c r="A5" t="s">
        <v>26</v>
      </c>
      <c r="B5" t="s">
        <v>179</v>
      </c>
      <c r="C5" t="s">
        <v>646</v>
      </c>
      <c r="D5" t="s">
        <v>647</v>
      </c>
    </row>
    <row r="6" spans="1:19">
      <c r="A6" t="s">
        <v>23</v>
      </c>
      <c r="B6" t="s">
        <v>179</v>
      </c>
      <c r="C6" t="s">
        <v>648</v>
      </c>
      <c r="D6" t="s">
        <v>649</v>
      </c>
    </row>
    <row r="7" spans="1:19">
      <c r="A7" t="s">
        <v>23</v>
      </c>
      <c r="B7" t="s">
        <v>179</v>
      </c>
      <c r="C7" t="s">
        <v>650</v>
      </c>
      <c r="D7" t="s">
        <v>651</v>
      </c>
    </row>
    <row r="8" spans="1:19">
      <c r="A8" t="s">
        <v>23</v>
      </c>
      <c r="B8" t="s">
        <v>179</v>
      </c>
      <c r="C8" t="s">
        <v>652</v>
      </c>
      <c r="D8" t="s">
        <v>653</v>
      </c>
    </row>
    <row r="9" spans="1:19">
      <c r="A9" t="s">
        <v>23</v>
      </c>
      <c r="B9" t="s">
        <v>179</v>
      </c>
      <c r="C9" t="s">
        <v>654</v>
      </c>
      <c r="D9" t="s">
        <v>655</v>
      </c>
    </row>
    <row r="10" spans="1:19">
      <c r="A10" t="s">
        <v>26</v>
      </c>
      <c r="B10" t="s">
        <v>179</v>
      </c>
      <c r="C10" t="s">
        <v>656</v>
      </c>
      <c r="D10" t="s">
        <v>90</v>
      </c>
    </row>
    <row r="11" spans="1:19">
      <c r="A11" t="s">
        <v>19</v>
      </c>
      <c r="B11" t="s">
        <v>35</v>
      </c>
      <c r="C11" t="s">
        <v>501</v>
      </c>
      <c r="D11" t="s">
        <v>657</v>
      </c>
      <c r="H11">
        <v>900000000</v>
      </c>
      <c r="I11">
        <v>936000000</v>
      </c>
      <c r="J11">
        <v>984000000</v>
      </c>
      <c r="K11">
        <v>996000000</v>
      </c>
      <c r="L11">
        <v>1020000000</v>
      </c>
      <c r="M11">
        <v>1044000000</v>
      </c>
      <c r="N11">
        <v>1056000000</v>
      </c>
      <c r="O11">
        <v>1032000000</v>
      </c>
      <c r="P11">
        <v>1008000000</v>
      </c>
      <c r="Q11">
        <v>996000000</v>
      </c>
      <c r="R11">
        <v>984000000</v>
      </c>
      <c r="S11">
        <v>1044000000</v>
      </c>
    </row>
    <row r="12" spans="1:19">
      <c r="A12" t="s">
        <v>19</v>
      </c>
      <c r="B12" t="s">
        <v>179</v>
      </c>
      <c r="C12" t="s">
        <v>658</v>
      </c>
      <c r="D12" t="s">
        <v>659</v>
      </c>
    </row>
    <row r="13" spans="1:19">
      <c r="A13" t="s">
        <v>23</v>
      </c>
      <c r="B13" t="s">
        <v>179</v>
      </c>
      <c r="C13" t="s">
        <v>660</v>
      </c>
      <c r="D13" t="s">
        <v>643</v>
      </c>
    </row>
    <row r="14" spans="1:19">
      <c r="A14" t="s">
        <v>26</v>
      </c>
      <c r="B14" t="s">
        <v>179</v>
      </c>
      <c r="C14" t="s">
        <v>661</v>
      </c>
      <c r="D14" t="s">
        <v>645</v>
      </c>
    </row>
    <row r="15" spans="1:19">
      <c r="A15" t="s">
        <v>26</v>
      </c>
      <c r="B15" t="s">
        <v>179</v>
      </c>
      <c r="C15" t="s">
        <v>662</v>
      </c>
      <c r="D15" t="s">
        <v>647</v>
      </c>
    </row>
    <row r="16" spans="1:19">
      <c r="A16" t="s">
        <v>23</v>
      </c>
      <c r="B16" t="s">
        <v>179</v>
      </c>
      <c r="C16" t="s">
        <v>663</v>
      </c>
      <c r="D16" t="s">
        <v>649</v>
      </c>
    </row>
    <row r="17" spans="1:19">
      <c r="A17" t="s">
        <v>23</v>
      </c>
      <c r="B17" t="s">
        <v>179</v>
      </c>
      <c r="C17" t="s">
        <v>664</v>
      </c>
      <c r="D17" t="s">
        <v>651</v>
      </c>
    </row>
    <row r="18" spans="1:19">
      <c r="A18" t="s">
        <v>23</v>
      </c>
      <c r="B18" t="s">
        <v>179</v>
      </c>
      <c r="C18" t="s">
        <v>665</v>
      </c>
      <c r="D18" t="s">
        <v>653</v>
      </c>
    </row>
    <row r="19" spans="1:19">
      <c r="A19" t="s">
        <v>23</v>
      </c>
      <c r="B19" t="s">
        <v>179</v>
      </c>
      <c r="C19" t="s">
        <v>666</v>
      </c>
      <c r="D19" t="s">
        <v>655</v>
      </c>
    </row>
    <row r="20" spans="1:19">
      <c r="A20" t="s">
        <v>26</v>
      </c>
      <c r="B20" t="s">
        <v>179</v>
      </c>
      <c r="C20" t="s">
        <v>667</v>
      </c>
      <c r="D20" t="s">
        <v>90</v>
      </c>
    </row>
    <row r="21" spans="1:19">
      <c r="A21" t="s">
        <v>19</v>
      </c>
      <c r="B21" t="s">
        <v>84</v>
      </c>
      <c r="C21" t="s">
        <v>668</v>
      </c>
      <c r="D21" t="s">
        <v>669</v>
      </c>
      <c r="H21">
        <f t="shared" ref="H21:S21" si="0">H22+H25+H26+H27+H28</f>
        <v>0</v>
      </c>
      <c r="I21">
        <f t="shared" si="0"/>
        <v>0</v>
      </c>
      <c r="J21">
        <f t="shared" si="0"/>
        <v>0</v>
      </c>
      <c r="K21">
        <f t="shared" si="0"/>
        <v>0</v>
      </c>
      <c r="L21">
        <f t="shared" si="0"/>
        <v>0</v>
      </c>
      <c r="M21">
        <f t="shared" si="0"/>
        <v>0</v>
      </c>
      <c r="N21">
        <f t="shared" si="0"/>
        <v>0</v>
      </c>
      <c r="O21">
        <f t="shared" si="0"/>
        <v>0</v>
      </c>
      <c r="P21">
        <f t="shared" si="0"/>
        <v>0</v>
      </c>
      <c r="Q21">
        <f t="shared" si="0"/>
        <v>0</v>
      </c>
      <c r="R21">
        <f t="shared" si="0"/>
        <v>0</v>
      </c>
      <c r="S21">
        <f t="shared" si="0"/>
        <v>0</v>
      </c>
    </row>
    <row r="22" spans="1:19">
      <c r="A22" t="s">
        <v>23</v>
      </c>
      <c r="B22" t="s">
        <v>84</v>
      </c>
      <c r="C22" t="s">
        <v>670</v>
      </c>
      <c r="D22" t="s">
        <v>643</v>
      </c>
      <c r="H22">
        <f t="shared" ref="H22:S22" si="1">H23+H24</f>
        <v>0</v>
      </c>
      <c r="I22">
        <f t="shared" si="1"/>
        <v>0</v>
      </c>
      <c r="J22">
        <f t="shared" si="1"/>
        <v>0</v>
      </c>
      <c r="K22">
        <f t="shared" si="1"/>
        <v>0</v>
      </c>
      <c r="L22">
        <f t="shared" si="1"/>
        <v>0</v>
      </c>
      <c r="M22">
        <f t="shared" si="1"/>
        <v>0</v>
      </c>
      <c r="N22">
        <f t="shared" si="1"/>
        <v>0</v>
      </c>
      <c r="O22">
        <f t="shared" si="1"/>
        <v>0</v>
      </c>
      <c r="P22">
        <f t="shared" si="1"/>
        <v>0</v>
      </c>
      <c r="Q22">
        <f t="shared" si="1"/>
        <v>0</v>
      </c>
      <c r="R22">
        <f t="shared" si="1"/>
        <v>0</v>
      </c>
      <c r="S22">
        <f t="shared" si="1"/>
        <v>0</v>
      </c>
    </row>
    <row r="23" spans="1:19">
      <c r="A23" t="s">
        <v>26</v>
      </c>
      <c r="B23" t="s">
        <v>84</v>
      </c>
      <c r="C23" t="s">
        <v>671</v>
      </c>
      <c r="D23" t="s">
        <v>645</v>
      </c>
    </row>
    <row r="24" spans="1:19">
      <c r="A24" t="s">
        <v>26</v>
      </c>
      <c r="B24" t="s">
        <v>84</v>
      </c>
      <c r="C24" t="s">
        <v>672</v>
      </c>
      <c r="D24" t="s">
        <v>647</v>
      </c>
    </row>
    <row r="25" spans="1:19">
      <c r="A25" t="s">
        <v>23</v>
      </c>
      <c r="B25" t="s">
        <v>84</v>
      </c>
      <c r="C25" t="s">
        <v>673</v>
      </c>
      <c r="D25" t="s">
        <v>649</v>
      </c>
    </row>
    <row r="26" spans="1:19">
      <c r="A26" t="s">
        <v>23</v>
      </c>
      <c r="B26" t="s">
        <v>84</v>
      </c>
      <c r="C26" t="s">
        <v>674</v>
      </c>
      <c r="D26" t="s">
        <v>651</v>
      </c>
    </row>
    <row r="27" spans="1:19">
      <c r="A27" t="s">
        <v>23</v>
      </c>
      <c r="B27" t="s">
        <v>84</v>
      </c>
      <c r="C27" t="s">
        <v>675</v>
      </c>
      <c r="D27" t="s">
        <v>653</v>
      </c>
    </row>
    <row r="28" spans="1:19">
      <c r="A28" t="s">
        <v>23</v>
      </c>
      <c r="B28" t="s">
        <v>84</v>
      </c>
      <c r="C28" t="s">
        <v>676</v>
      </c>
      <c r="D28" t="s">
        <v>655</v>
      </c>
    </row>
    <row r="29" spans="1:19">
      <c r="A29" t="s">
        <v>26</v>
      </c>
      <c r="B29" t="s">
        <v>84</v>
      </c>
      <c r="C29" t="s">
        <v>677</v>
      </c>
      <c r="D29" t="s">
        <v>90</v>
      </c>
    </row>
    <row r="30" spans="1:19">
      <c r="A30" t="s">
        <v>19</v>
      </c>
      <c r="B30" t="s">
        <v>84</v>
      </c>
      <c r="C30" t="s">
        <v>678</v>
      </c>
      <c r="D30" t="s">
        <v>679</v>
      </c>
      <c r="H30">
        <f t="shared" ref="H30:S30" si="2">H31+H34+H35+H36+H37</f>
        <v>0</v>
      </c>
      <c r="I30">
        <f t="shared" si="2"/>
        <v>0</v>
      </c>
      <c r="J30">
        <f t="shared" si="2"/>
        <v>0</v>
      </c>
      <c r="K30">
        <f t="shared" si="2"/>
        <v>0</v>
      </c>
      <c r="L30">
        <f t="shared" si="2"/>
        <v>0</v>
      </c>
      <c r="M30">
        <f t="shared" si="2"/>
        <v>0</v>
      </c>
      <c r="N30">
        <f t="shared" si="2"/>
        <v>0</v>
      </c>
      <c r="O30">
        <f t="shared" si="2"/>
        <v>0</v>
      </c>
      <c r="P30">
        <f t="shared" si="2"/>
        <v>0</v>
      </c>
      <c r="Q30">
        <f t="shared" si="2"/>
        <v>0</v>
      </c>
      <c r="R30">
        <f t="shared" si="2"/>
        <v>0</v>
      </c>
      <c r="S30">
        <f t="shared" si="2"/>
        <v>0</v>
      </c>
    </row>
    <row r="31" spans="1:19">
      <c r="A31" t="s">
        <v>23</v>
      </c>
      <c r="B31" t="s">
        <v>84</v>
      </c>
      <c r="C31" t="s">
        <v>680</v>
      </c>
      <c r="D31" t="s">
        <v>643</v>
      </c>
      <c r="H31">
        <f t="shared" ref="H31:S31" si="3">H32+H33</f>
        <v>0</v>
      </c>
      <c r="I31">
        <f t="shared" si="3"/>
        <v>0</v>
      </c>
      <c r="J31">
        <f t="shared" si="3"/>
        <v>0</v>
      </c>
      <c r="K31">
        <f t="shared" si="3"/>
        <v>0</v>
      </c>
      <c r="L31">
        <f t="shared" si="3"/>
        <v>0</v>
      </c>
      <c r="M31">
        <f t="shared" si="3"/>
        <v>0</v>
      </c>
      <c r="N31">
        <f t="shared" si="3"/>
        <v>0</v>
      </c>
      <c r="O31">
        <f t="shared" si="3"/>
        <v>0</v>
      </c>
      <c r="P31">
        <f t="shared" si="3"/>
        <v>0</v>
      </c>
      <c r="Q31">
        <f t="shared" si="3"/>
        <v>0</v>
      </c>
      <c r="R31">
        <f t="shared" si="3"/>
        <v>0</v>
      </c>
      <c r="S31">
        <f t="shared" si="3"/>
        <v>0</v>
      </c>
    </row>
    <row r="32" spans="1:19">
      <c r="A32" t="s">
        <v>26</v>
      </c>
      <c r="B32" t="s">
        <v>84</v>
      </c>
      <c r="C32" t="s">
        <v>681</v>
      </c>
      <c r="D32" t="s">
        <v>645</v>
      </c>
    </row>
    <row r="33" spans="1:19">
      <c r="A33" t="s">
        <v>26</v>
      </c>
      <c r="B33" t="s">
        <v>84</v>
      </c>
      <c r="C33" t="s">
        <v>682</v>
      </c>
      <c r="D33" t="s">
        <v>647</v>
      </c>
    </row>
    <row r="34" spans="1:19">
      <c r="A34" t="s">
        <v>23</v>
      </c>
      <c r="B34" t="s">
        <v>84</v>
      </c>
      <c r="C34" t="s">
        <v>683</v>
      </c>
      <c r="D34" t="s">
        <v>649</v>
      </c>
    </row>
    <row r="35" spans="1:19">
      <c r="A35" t="s">
        <v>23</v>
      </c>
      <c r="B35" t="s">
        <v>84</v>
      </c>
      <c r="C35" t="s">
        <v>684</v>
      </c>
      <c r="D35" t="s">
        <v>651</v>
      </c>
    </row>
    <row r="36" spans="1:19">
      <c r="A36" t="s">
        <v>23</v>
      </c>
      <c r="B36" t="s">
        <v>84</v>
      </c>
      <c r="C36" t="s">
        <v>685</v>
      </c>
      <c r="D36" t="s">
        <v>653</v>
      </c>
    </row>
    <row r="37" spans="1:19">
      <c r="A37" t="s">
        <v>23</v>
      </c>
      <c r="B37" t="s">
        <v>84</v>
      </c>
      <c r="C37" t="s">
        <v>686</v>
      </c>
      <c r="D37" t="s">
        <v>655</v>
      </c>
    </row>
    <row r="38" spans="1:19">
      <c r="A38" t="s">
        <v>26</v>
      </c>
      <c r="B38" t="s">
        <v>84</v>
      </c>
      <c r="C38" t="s">
        <v>687</v>
      </c>
      <c r="D38" t="s">
        <v>90</v>
      </c>
    </row>
    <row r="39" spans="1:19">
      <c r="A39" t="s">
        <v>19</v>
      </c>
      <c r="B39" t="s">
        <v>84</v>
      </c>
      <c r="C39" t="s">
        <v>688</v>
      </c>
      <c r="D39" t="s">
        <v>689</v>
      </c>
      <c r="H39">
        <f t="shared" ref="H39:S39" si="4">H40+H43+H44+H45+H46</f>
        <v>0</v>
      </c>
      <c r="I39">
        <f t="shared" si="4"/>
        <v>0</v>
      </c>
      <c r="J39">
        <f t="shared" si="4"/>
        <v>0</v>
      </c>
      <c r="K39">
        <f t="shared" si="4"/>
        <v>0</v>
      </c>
      <c r="L39">
        <f t="shared" si="4"/>
        <v>0</v>
      </c>
      <c r="M39">
        <f t="shared" si="4"/>
        <v>0</v>
      </c>
      <c r="N39">
        <f t="shared" si="4"/>
        <v>0</v>
      </c>
      <c r="O39">
        <f t="shared" si="4"/>
        <v>0</v>
      </c>
      <c r="P39">
        <f t="shared" si="4"/>
        <v>0</v>
      </c>
      <c r="Q39">
        <f t="shared" si="4"/>
        <v>0</v>
      </c>
      <c r="R39">
        <f t="shared" si="4"/>
        <v>0</v>
      </c>
      <c r="S39">
        <f t="shared" si="4"/>
        <v>0</v>
      </c>
    </row>
    <row r="40" spans="1:19">
      <c r="A40" t="s">
        <v>23</v>
      </c>
      <c r="B40" t="s">
        <v>84</v>
      </c>
      <c r="C40" t="s">
        <v>690</v>
      </c>
      <c r="D40" t="s">
        <v>643</v>
      </c>
      <c r="H40">
        <f t="shared" ref="H40:S40" si="5">H41+H42</f>
        <v>0</v>
      </c>
      <c r="I40">
        <f t="shared" si="5"/>
        <v>0</v>
      </c>
      <c r="J40">
        <f t="shared" si="5"/>
        <v>0</v>
      </c>
      <c r="K40">
        <f t="shared" si="5"/>
        <v>0</v>
      </c>
      <c r="L40">
        <f t="shared" si="5"/>
        <v>0</v>
      </c>
      <c r="M40">
        <f t="shared" si="5"/>
        <v>0</v>
      </c>
      <c r="N40">
        <f t="shared" si="5"/>
        <v>0</v>
      </c>
      <c r="O40">
        <f t="shared" si="5"/>
        <v>0</v>
      </c>
      <c r="P40">
        <f t="shared" si="5"/>
        <v>0</v>
      </c>
      <c r="Q40">
        <f t="shared" si="5"/>
        <v>0</v>
      </c>
      <c r="R40">
        <f t="shared" si="5"/>
        <v>0</v>
      </c>
      <c r="S40">
        <f t="shared" si="5"/>
        <v>0</v>
      </c>
    </row>
    <row r="41" spans="1:19">
      <c r="A41" t="s">
        <v>26</v>
      </c>
      <c r="B41" t="s">
        <v>84</v>
      </c>
      <c r="C41" t="s">
        <v>691</v>
      </c>
      <c r="D41" t="s">
        <v>645</v>
      </c>
    </row>
    <row r="42" spans="1:19">
      <c r="A42" t="s">
        <v>26</v>
      </c>
      <c r="B42" t="s">
        <v>84</v>
      </c>
      <c r="C42" t="s">
        <v>692</v>
      </c>
      <c r="D42" t="s">
        <v>647</v>
      </c>
    </row>
    <row r="43" spans="1:19">
      <c r="A43" t="s">
        <v>23</v>
      </c>
      <c r="B43" t="s">
        <v>84</v>
      </c>
      <c r="C43" t="s">
        <v>693</v>
      </c>
      <c r="D43" t="s">
        <v>649</v>
      </c>
    </row>
    <row r="44" spans="1:19">
      <c r="A44" t="s">
        <v>23</v>
      </c>
      <c r="B44" t="s">
        <v>84</v>
      </c>
      <c r="C44" t="s">
        <v>694</v>
      </c>
      <c r="D44" t="s">
        <v>651</v>
      </c>
    </row>
    <row r="45" spans="1:19">
      <c r="A45" t="s">
        <v>23</v>
      </c>
      <c r="B45" t="s">
        <v>84</v>
      </c>
      <c r="C45" t="s">
        <v>695</v>
      </c>
      <c r="D45" t="s">
        <v>653</v>
      </c>
    </row>
    <row r="46" spans="1:19">
      <c r="A46" t="s">
        <v>23</v>
      </c>
      <c r="B46" t="s">
        <v>84</v>
      </c>
      <c r="C46" t="s">
        <v>696</v>
      </c>
      <c r="D46" t="s">
        <v>655</v>
      </c>
    </row>
    <row r="47" spans="1:19">
      <c r="A47" t="s">
        <v>26</v>
      </c>
      <c r="B47" t="s">
        <v>84</v>
      </c>
      <c r="C47" t="s">
        <v>697</v>
      </c>
      <c r="D47" t="s">
        <v>90</v>
      </c>
    </row>
    <row r="48" spans="1:19">
      <c r="A48" t="s">
        <v>19</v>
      </c>
      <c r="B48" t="s">
        <v>35</v>
      </c>
      <c r="C48" t="s">
        <v>698</v>
      </c>
      <c r="D48" t="s">
        <v>699</v>
      </c>
      <c r="H48">
        <f t="shared" ref="H48:S48" si="6">H49+H52+H53+H54+H55</f>
        <v>0</v>
      </c>
      <c r="I48">
        <f t="shared" si="6"/>
        <v>0</v>
      </c>
      <c r="J48">
        <f t="shared" si="6"/>
        <v>0</v>
      </c>
      <c r="K48">
        <f t="shared" si="6"/>
        <v>0</v>
      </c>
      <c r="L48">
        <f t="shared" si="6"/>
        <v>0</v>
      </c>
      <c r="M48">
        <f t="shared" si="6"/>
        <v>0</v>
      </c>
      <c r="N48">
        <f t="shared" si="6"/>
        <v>0</v>
      </c>
      <c r="O48">
        <f t="shared" si="6"/>
        <v>0</v>
      </c>
      <c r="P48">
        <f t="shared" si="6"/>
        <v>0</v>
      </c>
      <c r="Q48">
        <f t="shared" si="6"/>
        <v>0</v>
      </c>
      <c r="R48">
        <f t="shared" si="6"/>
        <v>0</v>
      </c>
      <c r="S48">
        <f t="shared" si="6"/>
        <v>0</v>
      </c>
    </row>
    <row r="49" spans="1:19">
      <c r="A49" t="s">
        <v>23</v>
      </c>
      <c r="B49" t="s">
        <v>35</v>
      </c>
      <c r="C49" t="s">
        <v>700</v>
      </c>
      <c r="D49" t="s">
        <v>643</v>
      </c>
      <c r="H49">
        <f t="shared" ref="H49:S49" si="7">H50+H51</f>
        <v>0</v>
      </c>
      <c r="I49">
        <f t="shared" si="7"/>
        <v>0</v>
      </c>
      <c r="J49">
        <f t="shared" si="7"/>
        <v>0</v>
      </c>
      <c r="K49">
        <f t="shared" si="7"/>
        <v>0</v>
      </c>
      <c r="L49">
        <f t="shared" si="7"/>
        <v>0</v>
      </c>
      <c r="M49">
        <f t="shared" si="7"/>
        <v>0</v>
      </c>
      <c r="N49">
        <f t="shared" si="7"/>
        <v>0</v>
      </c>
      <c r="O49">
        <f t="shared" si="7"/>
        <v>0</v>
      </c>
      <c r="P49">
        <f t="shared" si="7"/>
        <v>0</v>
      </c>
      <c r="Q49">
        <f t="shared" si="7"/>
        <v>0</v>
      </c>
      <c r="R49">
        <f t="shared" si="7"/>
        <v>0</v>
      </c>
      <c r="S49">
        <f t="shared" si="7"/>
        <v>0</v>
      </c>
    </row>
    <row r="50" spans="1:19">
      <c r="A50" t="s">
        <v>26</v>
      </c>
      <c r="B50" t="s">
        <v>35</v>
      </c>
      <c r="C50" t="s">
        <v>701</v>
      </c>
      <c r="D50" t="s">
        <v>645</v>
      </c>
    </row>
    <row r="51" spans="1:19">
      <c r="A51" t="s">
        <v>26</v>
      </c>
      <c r="B51" t="s">
        <v>35</v>
      </c>
      <c r="C51" t="s">
        <v>702</v>
      </c>
      <c r="D51" t="s">
        <v>647</v>
      </c>
    </row>
    <row r="52" spans="1:19">
      <c r="A52" t="s">
        <v>23</v>
      </c>
      <c r="B52" t="s">
        <v>35</v>
      </c>
      <c r="C52" t="s">
        <v>703</v>
      </c>
      <c r="D52" t="s">
        <v>649</v>
      </c>
    </row>
    <row r="53" spans="1:19">
      <c r="A53" t="s">
        <v>23</v>
      </c>
      <c r="B53" t="s">
        <v>35</v>
      </c>
      <c r="C53" t="s">
        <v>704</v>
      </c>
      <c r="D53" t="s">
        <v>651</v>
      </c>
    </row>
    <row r="54" spans="1:19">
      <c r="A54" t="s">
        <v>23</v>
      </c>
      <c r="B54" t="s">
        <v>35</v>
      </c>
      <c r="C54" t="s">
        <v>705</v>
      </c>
      <c r="D54" t="s">
        <v>653</v>
      </c>
    </row>
    <row r="55" spans="1:19">
      <c r="A55" t="s">
        <v>23</v>
      </c>
      <c r="B55" t="s">
        <v>35</v>
      </c>
      <c r="C55" t="s">
        <v>706</v>
      </c>
      <c r="D55" t="s">
        <v>655</v>
      </c>
    </row>
    <row r="56" spans="1:19">
      <c r="A56" t="s">
        <v>26</v>
      </c>
      <c r="B56" t="s">
        <v>35</v>
      </c>
      <c r="C56" t="s">
        <v>707</v>
      </c>
      <c r="D56" t="s">
        <v>90</v>
      </c>
    </row>
    <row r="57" spans="1:19">
      <c r="A57" t="s">
        <v>19</v>
      </c>
      <c r="B57" t="s">
        <v>35</v>
      </c>
      <c r="C57" t="s">
        <v>708</v>
      </c>
      <c r="D57" t="s">
        <v>709</v>
      </c>
      <c r="H57">
        <f t="shared" ref="H57:S57" si="8">H58+H61+H62+H63+H64</f>
        <v>0</v>
      </c>
      <c r="I57">
        <f t="shared" si="8"/>
        <v>0</v>
      </c>
      <c r="J57">
        <f t="shared" si="8"/>
        <v>0</v>
      </c>
      <c r="K57">
        <f t="shared" si="8"/>
        <v>0</v>
      </c>
      <c r="L57">
        <f t="shared" si="8"/>
        <v>0</v>
      </c>
      <c r="M57">
        <f t="shared" si="8"/>
        <v>0</v>
      </c>
      <c r="N57">
        <f t="shared" si="8"/>
        <v>0</v>
      </c>
      <c r="O57">
        <f t="shared" si="8"/>
        <v>0</v>
      </c>
      <c r="P57">
        <f t="shared" si="8"/>
        <v>0</v>
      </c>
      <c r="Q57">
        <f t="shared" si="8"/>
        <v>0</v>
      </c>
      <c r="R57">
        <f t="shared" si="8"/>
        <v>0</v>
      </c>
      <c r="S57">
        <f t="shared" si="8"/>
        <v>0</v>
      </c>
    </row>
    <row r="58" spans="1:19">
      <c r="A58" t="s">
        <v>23</v>
      </c>
      <c r="B58" t="s">
        <v>35</v>
      </c>
      <c r="C58" t="s">
        <v>710</v>
      </c>
      <c r="D58" t="s">
        <v>711</v>
      </c>
      <c r="H58">
        <f t="shared" ref="H58:S58" si="9">H59+H60</f>
        <v>0</v>
      </c>
      <c r="I58">
        <f t="shared" si="9"/>
        <v>0</v>
      </c>
      <c r="J58">
        <f t="shared" si="9"/>
        <v>0</v>
      </c>
      <c r="K58">
        <f t="shared" si="9"/>
        <v>0</v>
      </c>
      <c r="L58">
        <f t="shared" si="9"/>
        <v>0</v>
      </c>
      <c r="M58">
        <f t="shared" si="9"/>
        <v>0</v>
      </c>
      <c r="N58">
        <f t="shared" si="9"/>
        <v>0</v>
      </c>
      <c r="O58">
        <f t="shared" si="9"/>
        <v>0</v>
      </c>
      <c r="P58">
        <f t="shared" si="9"/>
        <v>0</v>
      </c>
      <c r="Q58">
        <f t="shared" si="9"/>
        <v>0</v>
      </c>
      <c r="R58">
        <f t="shared" si="9"/>
        <v>0</v>
      </c>
      <c r="S58">
        <f t="shared" si="9"/>
        <v>0</v>
      </c>
    </row>
    <row r="59" spans="1:19">
      <c r="A59" t="s">
        <v>26</v>
      </c>
      <c r="B59" t="s">
        <v>35</v>
      </c>
      <c r="C59" t="s">
        <v>712</v>
      </c>
      <c r="D59" t="s">
        <v>713</v>
      </c>
    </row>
    <row r="60" spans="1:19">
      <c r="A60" t="s">
        <v>23</v>
      </c>
      <c r="B60" t="s">
        <v>35</v>
      </c>
      <c r="C60" t="s">
        <v>714</v>
      </c>
      <c r="D60" t="s">
        <v>715</v>
      </c>
    </row>
    <row r="61" spans="1:19">
      <c r="A61" t="s">
        <v>23</v>
      </c>
      <c r="B61" t="s">
        <v>35</v>
      </c>
      <c r="C61" t="s">
        <v>716</v>
      </c>
      <c r="D61" t="s">
        <v>717</v>
      </c>
    </row>
    <row r="62" spans="1:19">
      <c r="A62" t="s">
        <v>23</v>
      </c>
      <c r="B62" t="s">
        <v>35</v>
      </c>
      <c r="C62" t="s">
        <v>718</v>
      </c>
      <c r="D62" t="s">
        <v>719</v>
      </c>
    </row>
    <row r="63" spans="1:19">
      <c r="A63" t="s">
        <v>23</v>
      </c>
      <c r="B63" t="s">
        <v>35</v>
      </c>
      <c r="C63" t="s">
        <v>720</v>
      </c>
      <c r="D63" t="s">
        <v>721</v>
      </c>
    </row>
    <row r="64" spans="1:19">
      <c r="A64" t="s">
        <v>26</v>
      </c>
      <c r="B64" t="s">
        <v>35</v>
      </c>
      <c r="C64" t="s">
        <v>722</v>
      </c>
      <c r="D64" t="s">
        <v>723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113</v>
      </c>
      <c r="C2" t="s">
        <v>724</v>
      </c>
      <c r="D2" t="s">
        <v>725</v>
      </c>
      <c r="H2">
        <f t="shared" ref="H2:S2" si="0">H3+H4+H5</f>
        <v>36750000000</v>
      </c>
      <c r="I2">
        <f t="shared" si="0"/>
        <v>38220000000</v>
      </c>
      <c r="J2">
        <f t="shared" si="0"/>
        <v>40180000000</v>
      </c>
      <c r="K2">
        <f t="shared" si="0"/>
        <v>40670000000</v>
      </c>
      <c r="L2">
        <f t="shared" si="0"/>
        <v>41650000000</v>
      </c>
      <c r="M2">
        <f t="shared" si="0"/>
        <v>42630000000</v>
      </c>
      <c r="N2">
        <f t="shared" si="0"/>
        <v>43120000000</v>
      </c>
      <c r="O2">
        <f t="shared" si="0"/>
        <v>42140000000</v>
      </c>
      <c r="P2">
        <f t="shared" si="0"/>
        <v>41160000000</v>
      </c>
      <c r="Q2">
        <f t="shared" si="0"/>
        <v>40670000000</v>
      </c>
      <c r="R2">
        <f t="shared" si="0"/>
        <v>40180000000</v>
      </c>
      <c r="S2">
        <f t="shared" si="0"/>
        <v>42630000000</v>
      </c>
    </row>
    <row r="3" spans="1:19">
      <c r="A3" t="s">
        <v>23</v>
      </c>
      <c r="B3" t="s">
        <v>113</v>
      </c>
      <c r="C3" t="s">
        <v>726</v>
      </c>
      <c r="D3" t="s">
        <v>727</v>
      </c>
      <c r="H3">
        <v>26250000000</v>
      </c>
      <c r="I3">
        <v>27300000000</v>
      </c>
      <c r="J3">
        <v>28700000000</v>
      </c>
      <c r="K3">
        <v>29050000000</v>
      </c>
      <c r="L3">
        <v>29750000000</v>
      </c>
      <c r="M3">
        <v>30450000000</v>
      </c>
      <c r="N3">
        <v>30800000000</v>
      </c>
      <c r="O3">
        <v>30100000000</v>
      </c>
      <c r="P3">
        <v>29400000000</v>
      </c>
      <c r="Q3">
        <v>29050000000</v>
      </c>
      <c r="R3">
        <v>28700000000</v>
      </c>
      <c r="S3">
        <v>30450000000</v>
      </c>
    </row>
    <row r="4" spans="1:19">
      <c r="A4" t="s">
        <v>19</v>
      </c>
      <c r="B4" t="s">
        <v>113</v>
      </c>
      <c r="C4" t="s">
        <v>728</v>
      </c>
      <c r="D4" t="s">
        <v>729</v>
      </c>
    </row>
    <row r="5" spans="1:19">
      <c r="A5" t="s">
        <v>19</v>
      </c>
      <c r="B5" t="s">
        <v>113</v>
      </c>
      <c r="C5" t="s">
        <v>730</v>
      </c>
      <c r="D5" t="s">
        <v>731</v>
      </c>
      <c r="H5">
        <f t="shared" ref="H5:S5" si="1">H6+H7+H8+H9+H10</f>
        <v>10500000000</v>
      </c>
      <c r="I5">
        <f t="shared" si="1"/>
        <v>10920000000</v>
      </c>
      <c r="J5">
        <f t="shared" si="1"/>
        <v>11480000000</v>
      </c>
      <c r="K5">
        <f t="shared" si="1"/>
        <v>11620000000</v>
      </c>
      <c r="L5">
        <f t="shared" si="1"/>
        <v>11900000000</v>
      </c>
      <c r="M5">
        <f t="shared" si="1"/>
        <v>12180000000</v>
      </c>
      <c r="N5">
        <f t="shared" si="1"/>
        <v>12320000000</v>
      </c>
      <c r="O5">
        <f t="shared" si="1"/>
        <v>12040000000</v>
      </c>
      <c r="P5">
        <f t="shared" si="1"/>
        <v>11760000000</v>
      </c>
      <c r="Q5">
        <f t="shared" si="1"/>
        <v>11620000000</v>
      </c>
      <c r="R5">
        <f t="shared" si="1"/>
        <v>11480000000</v>
      </c>
      <c r="S5">
        <f t="shared" si="1"/>
        <v>12180000000</v>
      </c>
    </row>
    <row r="6" spans="1:19">
      <c r="A6" t="s">
        <v>23</v>
      </c>
      <c r="B6" t="s">
        <v>113</v>
      </c>
      <c r="C6" t="s">
        <v>732</v>
      </c>
      <c r="D6" t="s">
        <v>153</v>
      </c>
      <c r="H6">
        <v>10500000000</v>
      </c>
      <c r="I6">
        <v>10920000000</v>
      </c>
      <c r="J6">
        <v>11480000000</v>
      </c>
      <c r="K6">
        <v>11620000000</v>
      </c>
      <c r="L6">
        <v>11900000000</v>
      </c>
      <c r="M6">
        <v>12180000000</v>
      </c>
      <c r="N6">
        <v>12320000000</v>
      </c>
      <c r="O6">
        <v>12040000000</v>
      </c>
      <c r="P6">
        <v>11760000000</v>
      </c>
      <c r="Q6">
        <v>11620000000</v>
      </c>
      <c r="R6">
        <v>11480000000</v>
      </c>
      <c r="S6">
        <v>12180000000</v>
      </c>
    </row>
    <row r="7" spans="1:19">
      <c r="A7" t="s">
        <v>23</v>
      </c>
      <c r="B7" t="s">
        <v>113</v>
      </c>
      <c r="C7" t="s">
        <v>733</v>
      </c>
      <c r="D7" t="s">
        <v>734</v>
      </c>
    </row>
    <row r="8" spans="1:19">
      <c r="A8" t="s">
        <v>23</v>
      </c>
      <c r="B8" t="s">
        <v>113</v>
      </c>
      <c r="C8" t="s">
        <v>735</v>
      </c>
      <c r="D8" t="s">
        <v>155</v>
      </c>
    </row>
    <row r="9" spans="1:19">
      <c r="A9" t="s">
        <v>23</v>
      </c>
      <c r="B9" t="s">
        <v>113</v>
      </c>
      <c r="C9" t="s">
        <v>736</v>
      </c>
      <c r="D9" t="s">
        <v>157</v>
      </c>
    </row>
    <row r="10" spans="1:19">
      <c r="A10" t="s">
        <v>23</v>
      </c>
      <c r="B10" t="s">
        <v>113</v>
      </c>
      <c r="C10" t="s">
        <v>737</v>
      </c>
      <c r="D10" t="s">
        <v>738</v>
      </c>
    </row>
    <row r="11" spans="1:19">
      <c r="A11" t="s">
        <v>19</v>
      </c>
      <c r="B11" t="s">
        <v>143</v>
      </c>
      <c r="C11" t="s">
        <v>739</v>
      </c>
      <c r="D11" t="s">
        <v>740</v>
      </c>
      <c r="H11">
        <f t="shared" ref="H11:S11" si="2">H12+H13</f>
        <v>44250000000</v>
      </c>
      <c r="I11">
        <f t="shared" si="2"/>
        <v>46020000000</v>
      </c>
      <c r="J11">
        <f t="shared" si="2"/>
        <v>48380000000</v>
      </c>
      <c r="K11">
        <f t="shared" si="2"/>
        <v>48970000000</v>
      </c>
      <c r="L11">
        <f t="shared" si="2"/>
        <v>50150000000</v>
      </c>
      <c r="M11">
        <f t="shared" si="2"/>
        <v>51330000000</v>
      </c>
      <c r="N11">
        <f t="shared" si="2"/>
        <v>51920000000</v>
      </c>
      <c r="O11">
        <f t="shared" si="2"/>
        <v>50740000000</v>
      </c>
      <c r="P11">
        <f t="shared" si="2"/>
        <v>49560000000</v>
      </c>
      <c r="Q11">
        <f t="shared" si="2"/>
        <v>48970000000</v>
      </c>
      <c r="R11">
        <f t="shared" si="2"/>
        <v>48380000000</v>
      </c>
      <c r="S11">
        <f t="shared" si="2"/>
        <v>51330000000</v>
      </c>
    </row>
    <row r="12" spans="1:19">
      <c r="A12" t="s">
        <v>23</v>
      </c>
      <c r="B12" t="s">
        <v>143</v>
      </c>
      <c r="C12" t="s">
        <v>741</v>
      </c>
      <c r="D12" t="s">
        <v>541</v>
      </c>
      <c r="H12">
        <v>33750000000</v>
      </c>
      <c r="I12">
        <v>35100000000</v>
      </c>
      <c r="J12">
        <v>36900000000</v>
      </c>
      <c r="K12">
        <v>37350000000</v>
      </c>
      <c r="L12">
        <v>38250000000</v>
      </c>
      <c r="M12">
        <v>39150000000</v>
      </c>
      <c r="N12">
        <v>39600000000</v>
      </c>
      <c r="O12">
        <v>38700000000</v>
      </c>
      <c r="P12">
        <v>37800000000</v>
      </c>
      <c r="Q12">
        <v>37350000000</v>
      </c>
      <c r="R12">
        <v>36900000000</v>
      </c>
      <c r="S12">
        <v>39150000000</v>
      </c>
    </row>
    <row r="13" spans="1:19">
      <c r="A13" t="s">
        <v>19</v>
      </c>
      <c r="B13" t="s">
        <v>143</v>
      </c>
      <c r="C13" t="s">
        <v>742</v>
      </c>
      <c r="D13" t="s">
        <v>743</v>
      </c>
      <c r="H13">
        <f t="shared" ref="H13:S13" si="3">H14+H15+H16+H17+H19+H18</f>
        <v>10500000000</v>
      </c>
      <c r="I13">
        <f t="shared" si="3"/>
        <v>10920000000</v>
      </c>
      <c r="J13">
        <f t="shared" si="3"/>
        <v>11480000000</v>
      </c>
      <c r="K13">
        <f t="shared" si="3"/>
        <v>11620000000</v>
      </c>
      <c r="L13">
        <f t="shared" si="3"/>
        <v>11900000000</v>
      </c>
      <c r="M13">
        <f t="shared" si="3"/>
        <v>12180000000</v>
      </c>
      <c r="N13">
        <f t="shared" si="3"/>
        <v>12320000000</v>
      </c>
      <c r="O13">
        <f t="shared" si="3"/>
        <v>12040000000</v>
      </c>
      <c r="P13">
        <f t="shared" si="3"/>
        <v>11760000000</v>
      </c>
      <c r="Q13">
        <f t="shared" si="3"/>
        <v>11620000000</v>
      </c>
      <c r="R13">
        <f t="shared" si="3"/>
        <v>11480000000</v>
      </c>
      <c r="S13">
        <f t="shared" si="3"/>
        <v>12180000000</v>
      </c>
    </row>
    <row r="14" spans="1:19">
      <c r="A14" t="s">
        <v>23</v>
      </c>
      <c r="B14" t="s">
        <v>143</v>
      </c>
      <c r="C14" t="s">
        <v>744</v>
      </c>
      <c r="D14" t="s">
        <v>745</v>
      </c>
    </row>
    <row r="15" spans="1:19">
      <c r="A15" t="s">
        <v>23</v>
      </c>
      <c r="B15" t="s">
        <v>143</v>
      </c>
      <c r="C15" t="s">
        <v>746</v>
      </c>
      <c r="D15" t="s">
        <v>168</v>
      </c>
      <c r="H15">
        <v>10500000000</v>
      </c>
      <c r="I15">
        <v>10920000000</v>
      </c>
      <c r="J15">
        <v>11480000000</v>
      </c>
      <c r="K15">
        <v>11620000000</v>
      </c>
      <c r="L15">
        <v>11900000000</v>
      </c>
      <c r="M15">
        <v>12180000000</v>
      </c>
      <c r="N15">
        <v>12320000000</v>
      </c>
      <c r="O15">
        <v>12040000000</v>
      </c>
      <c r="P15">
        <v>11760000000</v>
      </c>
      <c r="Q15">
        <v>11620000000</v>
      </c>
      <c r="R15">
        <v>11480000000</v>
      </c>
      <c r="S15">
        <v>12180000000</v>
      </c>
    </row>
    <row r="16" spans="1:19">
      <c r="A16" t="s">
        <v>23</v>
      </c>
      <c r="B16" t="s">
        <v>143</v>
      </c>
      <c r="C16" t="s">
        <v>747</v>
      </c>
      <c r="D16" t="s">
        <v>748</v>
      </c>
    </row>
    <row r="17" spans="1:19">
      <c r="A17" t="s">
        <v>23</v>
      </c>
      <c r="B17" t="s">
        <v>143</v>
      </c>
      <c r="C17" t="s">
        <v>749</v>
      </c>
      <c r="D17" t="s">
        <v>750</v>
      </c>
    </row>
    <row r="18" spans="1:19">
      <c r="A18" t="s">
        <v>23</v>
      </c>
      <c r="B18" t="s">
        <v>143</v>
      </c>
      <c r="C18" t="s">
        <v>751</v>
      </c>
      <c r="D18" t="s">
        <v>170</v>
      </c>
    </row>
    <row r="19" spans="1:19">
      <c r="A19" t="s">
        <v>23</v>
      </c>
      <c r="B19" t="s">
        <v>143</v>
      </c>
      <c r="C19" t="s">
        <v>752</v>
      </c>
      <c r="D19" t="s">
        <v>753</v>
      </c>
    </row>
    <row r="20" spans="1:19">
      <c r="A20" t="s">
        <v>19</v>
      </c>
      <c r="B20" t="s">
        <v>20</v>
      </c>
      <c r="C20" t="s">
        <v>494</v>
      </c>
      <c r="D20" t="s">
        <v>754</v>
      </c>
      <c r="H20">
        <f t="shared" ref="H20:S20" si="4">H21+H22+H23</f>
        <v>2693250000</v>
      </c>
      <c r="I20">
        <f t="shared" si="4"/>
        <v>2800980000</v>
      </c>
      <c r="J20">
        <f t="shared" si="4"/>
        <v>2944620000</v>
      </c>
      <c r="K20">
        <f t="shared" si="4"/>
        <v>2980530000</v>
      </c>
      <c r="L20">
        <f t="shared" si="4"/>
        <v>3052350000</v>
      </c>
      <c r="M20">
        <f t="shared" si="4"/>
        <v>3124170000</v>
      </c>
      <c r="N20">
        <f t="shared" si="4"/>
        <v>3160080000</v>
      </c>
      <c r="O20">
        <f t="shared" si="4"/>
        <v>3088260000</v>
      </c>
      <c r="P20">
        <f t="shared" si="4"/>
        <v>3016440000</v>
      </c>
      <c r="Q20">
        <f t="shared" si="4"/>
        <v>2980530000</v>
      </c>
      <c r="R20">
        <f t="shared" si="4"/>
        <v>2944620000</v>
      </c>
      <c r="S20">
        <f t="shared" si="4"/>
        <v>3124170000</v>
      </c>
    </row>
    <row r="21" spans="1:19">
      <c r="A21" t="s">
        <v>23</v>
      </c>
      <c r="B21" t="s">
        <v>20</v>
      </c>
      <c r="C21" t="s">
        <v>755</v>
      </c>
      <c r="D21" t="s">
        <v>727</v>
      </c>
      <c r="H21">
        <v>2409750000</v>
      </c>
      <c r="I21">
        <v>2506140000</v>
      </c>
      <c r="J21">
        <v>2634660000</v>
      </c>
      <c r="K21">
        <v>2666790000</v>
      </c>
      <c r="L21">
        <v>2731050000</v>
      </c>
      <c r="M21">
        <v>2795310000</v>
      </c>
      <c r="N21">
        <v>2827440000</v>
      </c>
      <c r="O21">
        <v>2763180000</v>
      </c>
      <c r="P21">
        <v>2698920000</v>
      </c>
      <c r="Q21">
        <v>2666790000</v>
      </c>
      <c r="R21">
        <v>2634660000</v>
      </c>
      <c r="S21">
        <v>2795310000</v>
      </c>
    </row>
    <row r="22" spans="1:19">
      <c r="A22" t="s">
        <v>23</v>
      </c>
      <c r="B22" t="s">
        <v>20</v>
      </c>
      <c r="C22" t="s">
        <v>756</v>
      </c>
      <c r="D22" t="s">
        <v>729</v>
      </c>
      <c r="H22">
        <v>283500000</v>
      </c>
      <c r="I22">
        <v>294840000</v>
      </c>
      <c r="J22">
        <v>309960000</v>
      </c>
      <c r="K22">
        <v>313740000</v>
      </c>
      <c r="L22">
        <v>321300000</v>
      </c>
      <c r="M22">
        <v>328860000</v>
      </c>
      <c r="N22">
        <v>332640000</v>
      </c>
      <c r="O22">
        <v>325080000</v>
      </c>
      <c r="P22">
        <v>317520000</v>
      </c>
      <c r="Q22">
        <v>313740000</v>
      </c>
      <c r="R22">
        <v>309960000</v>
      </c>
      <c r="S22">
        <v>328860000</v>
      </c>
    </row>
    <row r="23" spans="1:19">
      <c r="A23" t="s">
        <v>23</v>
      </c>
      <c r="B23" t="s">
        <v>20</v>
      </c>
      <c r="C23" t="s">
        <v>757</v>
      </c>
      <c r="D23" t="s">
        <v>731</v>
      </c>
      <c r="H23">
        <f t="shared" ref="H23:S23" si="5">H24+H25+H26+H27+H28</f>
        <v>0</v>
      </c>
      <c r="I23">
        <f t="shared" si="5"/>
        <v>0</v>
      </c>
      <c r="J23">
        <f t="shared" si="5"/>
        <v>0</v>
      </c>
      <c r="K23">
        <f t="shared" si="5"/>
        <v>0</v>
      </c>
      <c r="L23">
        <f t="shared" si="5"/>
        <v>0</v>
      </c>
      <c r="M23">
        <f t="shared" si="5"/>
        <v>0</v>
      </c>
      <c r="N23">
        <f t="shared" si="5"/>
        <v>0</v>
      </c>
      <c r="O23">
        <f t="shared" si="5"/>
        <v>0</v>
      </c>
      <c r="P23">
        <f t="shared" si="5"/>
        <v>0</v>
      </c>
      <c r="Q23">
        <f t="shared" si="5"/>
        <v>0</v>
      </c>
      <c r="R23">
        <f t="shared" si="5"/>
        <v>0</v>
      </c>
      <c r="S23">
        <f t="shared" si="5"/>
        <v>0</v>
      </c>
    </row>
    <row r="24" spans="1:19">
      <c r="A24" t="s">
        <v>26</v>
      </c>
      <c r="B24" t="s">
        <v>20</v>
      </c>
      <c r="C24" t="s">
        <v>758</v>
      </c>
      <c r="D24" t="s">
        <v>153</v>
      </c>
    </row>
    <row r="25" spans="1:19">
      <c r="A25" t="s">
        <v>26</v>
      </c>
      <c r="B25" t="s">
        <v>20</v>
      </c>
      <c r="C25" t="s">
        <v>759</v>
      </c>
      <c r="D25" t="s">
        <v>734</v>
      </c>
    </row>
    <row r="26" spans="1:19">
      <c r="A26" t="s">
        <v>26</v>
      </c>
      <c r="B26" t="s">
        <v>20</v>
      </c>
      <c r="C26" t="s">
        <v>760</v>
      </c>
      <c r="D26" t="s">
        <v>155</v>
      </c>
    </row>
    <row r="27" spans="1:19">
      <c r="A27" t="s">
        <v>26</v>
      </c>
      <c r="B27" t="s">
        <v>20</v>
      </c>
      <c r="C27" t="s">
        <v>761</v>
      </c>
      <c r="D27" t="s">
        <v>157</v>
      </c>
    </row>
    <row r="28" spans="1:19">
      <c r="A28" t="s">
        <v>26</v>
      </c>
      <c r="B28" t="s">
        <v>20</v>
      </c>
      <c r="C28" t="s">
        <v>762</v>
      </c>
      <c r="D28" t="s">
        <v>738</v>
      </c>
    </row>
    <row r="29" spans="1:19">
      <c r="A29" t="s">
        <v>19</v>
      </c>
      <c r="B29" t="s">
        <v>35</v>
      </c>
      <c r="C29" t="s">
        <v>495</v>
      </c>
      <c r="D29" t="s">
        <v>763</v>
      </c>
      <c r="H29">
        <f t="shared" ref="H29:S29" si="6">H30+H31</f>
        <v>756000000</v>
      </c>
      <c r="I29">
        <f t="shared" si="6"/>
        <v>786240000</v>
      </c>
      <c r="J29">
        <f t="shared" si="6"/>
        <v>826560000</v>
      </c>
      <c r="K29">
        <f t="shared" si="6"/>
        <v>836640000</v>
      </c>
      <c r="L29">
        <f t="shared" si="6"/>
        <v>856800000</v>
      </c>
      <c r="M29">
        <f t="shared" si="6"/>
        <v>876960000</v>
      </c>
      <c r="N29">
        <f t="shared" si="6"/>
        <v>887040000</v>
      </c>
      <c r="O29">
        <f t="shared" si="6"/>
        <v>866880000</v>
      </c>
      <c r="P29">
        <f t="shared" si="6"/>
        <v>846720000</v>
      </c>
      <c r="Q29">
        <f t="shared" si="6"/>
        <v>836640000</v>
      </c>
      <c r="R29">
        <f t="shared" si="6"/>
        <v>826560000</v>
      </c>
      <c r="S29">
        <f t="shared" si="6"/>
        <v>876960000</v>
      </c>
    </row>
    <row r="30" spans="1:19">
      <c r="A30" t="s">
        <v>23</v>
      </c>
      <c r="B30" t="s">
        <v>35</v>
      </c>
      <c r="C30" t="s">
        <v>764</v>
      </c>
      <c r="D30" t="s">
        <v>541</v>
      </c>
      <c r="H30">
        <v>756000000</v>
      </c>
      <c r="I30">
        <v>786240000</v>
      </c>
      <c r="J30">
        <v>826560000</v>
      </c>
      <c r="K30">
        <v>836640000</v>
      </c>
      <c r="L30">
        <v>856800000</v>
      </c>
      <c r="M30">
        <v>876960000</v>
      </c>
      <c r="N30">
        <v>887040000</v>
      </c>
      <c r="O30">
        <v>866880000</v>
      </c>
      <c r="P30">
        <v>846720000</v>
      </c>
      <c r="Q30">
        <v>836640000</v>
      </c>
      <c r="R30">
        <v>826560000</v>
      </c>
      <c r="S30">
        <v>876960000</v>
      </c>
    </row>
    <row r="31" spans="1:19">
      <c r="A31" t="s">
        <v>23</v>
      </c>
      <c r="B31" t="s">
        <v>35</v>
      </c>
      <c r="C31" t="s">
        <v>765</v>
      </c>
      <c r="D31" t="s">
        <v>743</v>
      </c>
      <c r="H31">
        <f t="shared" ref="H31:S31" si="7">H32+H33+H34+H35+H37+H36</f>
        <v>0</v>
      </c>
      <c r="I31">
        <f t="shared" si="7"/>
        <v>0</v>
      </c>
      <c r="J31">
        <f t="shared" si="7"/>
        <v>0</v>
      </c>
      <c r="K31">
        <f t="shared" si="7"/>
        <v>0</v>
      </c>
      <c r="L31">
        <f t="shared" si="7"/>
        <v>0</v>
      </c>
      <c r="M31">
        <f t="shared" si="7"/>
        <v>0</v>
      </c>
      <c r="N31">
        <f t="shared" si="7"/>
        <v>0</v>
      </c>
      <c r="O31">
        <f t="shared" si="7"/>
        <v>0</v>
      </c>
      <c r="P31">
        <f t="shared" si="7"/>
        <v>0</v>
      </c>
      <c r="Q31">
        <f t="shared" si="7"/>
        <v>0</v>
      </c>
      <c r="R31">
        <f t="shared" si="7"/>
        <v>0</v>
      </c>
      <c r="S31">
        <f t="shared" si="7"/>
        <v>0</v>
      </c>
    </row>
    <row r="32" spans="1:19">
      <c r="A32" t="s">
        <v>26</v>
      </c>
      <c r="B32" t="s">
        <v>35</v>
      </c>
      <c r="C32" t="s">
        <v>766</v>
      </c>
      <c r="D32" t="s">
        <v>745</v>
      </c>
    </row>
    <row r="33" spans="1:19">
      <c r="A33" t="s">
        <v>26</v>
      </c>
      <c r="B33" t="s">
        <v>35</v>
      </c>
      <c r="C33" t="s">
        <v>767</v>
      </c>
      <c r="D33" t="s">
        <v>168</v>
      </c>
    </row>
    <row r="34" spans="1:19">
      <c r="A34" t="s">
        <v>26</v>
      </c>
      <c r="B34" t="s">
        <v>35</v>
      </c>
      <c r="C34" t="s">
        <v>768</v>
      </c>
      <c r="D34" t="s">
        <v>748</v>
      </c>
    </row>
    <row r="35" spans="1:19">
      <c r="A35" t="s">
        <v>26</v>
      </c>
      <c r="B35" t="s">
        <v>35</v>
      </c>
      <c r="C35" t="s">
        <v>769</v>
      </c>
      <c r="D35" t="s">
        <v>750</v>
      </c>
    </row>
    <row r="36" spans="1:19">
      <c r="A36" t="s">
        <v>26</v>
      </c>
      <c r="B36" t="s">
        <v>35</v>
      </c>
      <c r="C36" t="s">
        <v>770</v>
      </c>
      <c r="D36" t="s">
        <v>170</v>
      </c>
    </row>
    <row r="37" spans="1:19">
      <c r="A37" t="s">
        <v>26</v>
      </c>
      <c r="B37" t="s">
        <v>35</v>
      </c>
      <c r="C37" t="s">
        <v>771</v>
      </c>
      <c r="D37" t="s">
        <v>753</v>
      </c>
    </row>
    <row r="38" spans="1:19">
      <c r="A38" t="s">
        <v>19</v>
      </c>
      <c r="B38" t="s">
        <v>179</v>
      </c>
      <c r="C38" t="s">
        <v>772</v>
      </c>
      <c r="D38" t="s">
        <v>773</v>
      </c>
      <c r="H38">
        <f t="shared" ref="H38:S38" si="8">H20/H2</f>
        <v>0.0732857142857143</v>
      </c>
      <c r="I38">
        <f t="shared" si="8"/>
        <v>0.0732857142857143</v>
      </c>
      <c r="J38">
        <f t="shared" si="8"/>
        <v>0.0732857142857143</v>
      </c>
      <c r="K38">
        <f t="shared" si="8"/>
        <v>0.0732857142857143</v>
      </c>
      <c r="L38">
        <f t="shared" si="8"/>
        <v>0.0732857142857143</v>
      </c>
      <c r="M38">
        <f t="shared" si="8"/>
        <v>0.0732857142857143</v>
      </c>
      <c r="N38">
        <f t="shared" si="8"/>
        <v>0.0732857142857143</v>
      </c>
      <c r="O38">
        <f t="shared" si="8"/>
        <v>0.0732857142857143</v>
      </c>
      <c r="P38">
        <f t="shared" si="8"/>
        <v>0.0732857142857143</v>
      </c>
      <c r="Q38">
        <f t="shared" si="8"/>
        <v>0.0732857142857143</v>
      </c>
      <c r="R38">
        <f t="shared" si="8"/>
        <v>0.0732857142857143</v>
      </c>
      <c r="S38">
        <f t="shared" si="8"/>
        <v>0.0732857142857143</v>
      </c>
    </row>
    <row r="39" spans="1:19">
      <c r="A39" t="s">
        <v>23</v>
      </c>
      <c r="B39" t="s">
        <v>179</v>
      </c>
      <c r="C39" t="s">
        <v>774</v>
      </c>
      <c r="D39" t="s">
        <v>727</v>
      </c>
      <c r="H39">
        <f t="shared" ref="H39:S39" si="9">H21/H3</f>
        <v>0.0918</v>
      </c>
      <c r="I39">
        <f t="shared" si="9"/>
        <v>0.0918</v>
      </c>
      <c r="J39">
        <f t="shared" si="9"/>
        <v>0.0918</v>
      </c>
      <c r="K39">
        <f t="shared" si="9"/>
        <v>0.0918</v>
      </c>
      <c r="L39">
        <f t="shared" si="9"/>
        <v>0.0918</v>
      </c>
      <c r="M39">
        <f t="shared" si="9"/>
        <v>0.0918</v>
      </c>
      <c r="N39">
        <f t="shared" si="9"/>
        <v>0.0918</v>
      </c>
      <c r="O39">
        <f t="shared" si="9"/>
        <v>0.0918</v>
      </c>
      <c r="P39">
        <f t="shared" si="9"/>
        <v>0.0918</v>
      </c>
      <c r="Q39">
        <f t="shared" si="9"/>
        <v>0.0918</v>
      </c>
      <c r="R39">
        <f t="shared" si="9"/>
        <v>0.0918</v>
      </c>
      <c r="S39">
        <f t="shared" si="9"/>
        <v>0.0918</v>
      </c>
    </row>
    <row r="40" spans="1:19">
      <c r="A40" t="s">
        <v>23</v>
      </c>
      <c r="B40" t="s">
        <v>179</v>
      </c>
      <c r="C40" t="s">
        <v>775</v>
      </c>
      <c r="D40" t="s">
        <v>729</v>
      </c>
      <c r="H40" t="e">
        <f t="shared" ref="H40:S40" si="10">H22/H4</f>
        <v>#DIV/0!</v>
      </c>
      <c r="I40" t="e">
        <f t="shared" si="10"/>
        <v>#DIV/0!</v>
      </c>
      <c r="J40" t="e">
        <f t="shared" si="10"/>
        <v>#DIV/0!</v>
      </c>
      <c r="K40" t="e">
        <f t="shared" si="10"/>
        <v>#DIV/0!</v>
      </c>
      <c r="L40" t="e">
        <f t="shared" si="10"/>
        <v>#DIV/0!</v>
      </c>
      <c r="M40" t="e">
        <f t="shared" si="10"/>
        <v>#DIV/0!</v>
      </c>
      <c r="N40" t="e">
        <f t="shared" si="10"/>
        <v>#DIV/0!</v>
      </c>
      <c r="O40" t="e">
        <f t="shared" si="10"/>
        <v>#DIV/0!</v>
      </c>
      <c r="P40" t="e">
        <f t="shared" si="10"/>
        <v>#DIV/0!</v>
      </c>
      <c r="Q40" t="e">
        <f t="shared" si="10"/>
        <v>#DIV/0!</v>
      </c>
      <c r="R40" t="e">
        <f t="shared" si="10"/>
        <v>#DIV/0!</v>
      </c>
      <c r="S40" t="e">
        <f t="shared" si="10"/>
        <v>#DIV/0!</v>
      </c>
    </row>
    <row r="41" spans="1:19">
      <c r="A41" t="s">
        <v>23</v>
      </c>
      <c r="B41" t="s">
        <v>179</v>
      </c>
      <c r="C41" t="s">
        <v>776</v>
      </c>
      <c r="D41" t="s">
        <v>731</v>
      </c>
      <c r="H41">
        <f t="shared" ref="H41:S41" si="11">H23/H5</f>
        <v>0</v>
      </c>
      <c r="I41">
        <f t="shared" si="11"/>
        <v>0</v>
      </c>
      <c r="J41">
        <f t="shared" si="11"/>
        <v>0</v>
      </c>
      <c r="K41">
        <f t="shared" si="11"/>
        <v>0</v>
      </c>
      <c r="L41">
        <f t="shared" si="11"/>
        <v>0</v>
      </c>
      <c r="M41">
        <f t="shared" si="11"/>
        <v>0</v>
      </c>
      <c r="N41">
        <f t="shared" si="11"/>
        <v>0</v>
      </c>
      <c r="O41">
        <f t="shared" si="11"/>
        <v>0</v>
      </c>
      <c r="P41">
        <f t="shared" si="11"/>
        <v>0</v>
      </c>
      <c r="Q41">
        <f t="shared" si="11"/>
        <v>0</v>
      </c>
      <c r="R41">
        <f t="shared" si="11"/>
        <v>0</v>
      </c>
      <c r="S41">
        <f t="shared" si="11"/>
        <v>0</v>
      </c>
    </row>
    <row r="42" spans="1:19">
      <c r="A42" t="s">
        <v>23</v>
      </c>
      <c r="B42" t="s">
        <v>179</v>
      </c>
      <c r="C42" t="s">
        <v>777</v>
      </c>
      <c r="D42" t="s">
        <v>153</v>
      </c>
      <c r="H42">
        <f t="shared" ref="H42:S42" si="12">H24/H6</f>
        <v>0</v>
      </c>
      <c r="I42">
        <f t="shared" si="12"/>
        <v>0</v>
      </c>
      <c r="J42">
        <f t="shared" si="12"/>
        <v>0</v>
      </c>
      <c r="K42">
        <f t="shared" si="12"/>
        <v>0</v>
      </c>
      <c r="L42">
        <f t="shared" si="12"/>
        <v>0</v>
      </c>
      <c r="M42">
        <f t="shared" si="12"/>
        <v>0</v>
      </c>
      <c r="N42">
        <f t="shared" si="12"/>
        <v>0</v>
      </c>
      <c r="O42">
        <f t="shared" si="12"/>
        <v>0</v>
      </c>
      <c r="P42">
        <f t="shared" si="12"/>
        <v>0</v>
      </c>
      <c r="Q42">
        <f t="shared" si="12"/>
        <v>0</v>
      </c>
      <c r="R42">
        <f t="shared" si="12"/>
        <v>0</v>
      </c>
      <c r="S42">
        <f t="shared" si="12"/>
        <v>0</v>
      </c>
    </row>
    <row r="43" spans="1:19">
      <c r="A43" t="s">
        <v>23</v>
      </c>
      <c r="B43" t="s">
        <v>179</v>
      </c>
      <c r="C43" t="s">
        <v>778</v>
      </c>
      <c r="D43" t="s">
        <v>734</v>
      </c>
      <c r="H43" t="e">
        <f t="shared" ref="H43:S43" si="13">H25/H7</f>
        <v>#DIV/0!</v>
      </c>
      <c r="I43" t="e">
        <f t="shared" si="13"/>
        <v>#DIV/0!</v>
      </c>
      <c r="J43" t="e">
        <f t="shared" si="13"/>
        <v>#DIV/0!</v>
      </c>
      <c r="K43" t="e">
        <f t="shared" si="13"/>
        <v>#DIV/0!</v>
      </c>
      <c r="L43" t="e">
        <f t="shared" si="13"/>
        <v>#DIV/0!</v>
      </c>
      <c r="M43" t="e">
        <f t="shared" si="13"/>
        <v>#DIV/0!</v>
      </c>
      <c r="N43" t="e">
        <f t="shared" si="13"/>
        <v>#DIV/0!</v>
      </c>
      <c r="O43" t="e">
        <f t="shared" si="13"/>
        <v>#DIV/0!</v>
      </c>
      <c r="P43" t="e">
        <f t="shared" si="13"/>
        <v>#DIV/0!</v>
      </c>
      <c r="Q43" t="e">
        <f t="shared" si="13"/>
        <v>#DIV/0!</v>
      </c>
      <c r="R43" t="e">
        <f t="shared" si="13"/>
        <v>#DIV/0!</v>
      </c>
      <c r="S43" t="e">
        <f t="shared" si="13"/>
        <v>#DIV/0!</v>
      </c>
    </row>
    <row r="44" spans="1:19">
      <c r="A44" t="s">
        <v>23</v>
      </c>
      <c r="B44" t="s">
        <v>179</v>
      </c>
      <c r="C44" t="s">
        <v>779</v>
      </c>
      <c r="D44" t="s">
        <v>155</v>
      </c>
      <c r="H44" t="e">
        <f t="shared" ref="H44:S44" si="14">H26/H8</f>
        <v>#DIV/0!</v>
      </c>
      <c r="I44" t="e">
        <f t="shared" si="14"/>
        <v>#DIV/0!</v>
      </c>
      <c r="J44" t="e">
        <f t="shared" si="14"/>
        <v>#DIV/0!</v>
      </c>
      <c r="K44" t="e">
        <f t="shared" si="14"/>
        <v>#DIV/0!</v>
      </c>
      <c r="L44" t="e">
        <f t="shared" si="14"/>
        <v>#DIV/0!</v>
      </c>
      <c r="M44" t="e">
        <f t="shared" si="14"/>
        <v>#DIV/0!</v>
      </c>
      <c r="N44" t="e">
        <f t="shared" si="14"/>
        <v>#DIV/0!</v>
      </c>
      <c r="O44" t="e">
        <f t="shared" si="14"/>
        <v>#DIV/0!</v>
      </c>
      <c r="P44" t="e">
        <f t="shared" si="14"/>
        <v>#DIV/0!</v>
      </c>
      <c r="Q44" t="e">
        <f t="shared" si="14"/>
        <v>#DIV/0!</v>
      </c>
      <c r="R44" t="e">
        <f t="shared" si="14"/>
        <v>#DIV/0!</v>
      </c>
      <c r="S44" t="e">
        <f t="shared" si="14"/>
        <v>#DIV/0!</v>
      </c>
    </row>
    <row r="45" spans="1:19">
      <c r="A45" t="s">
        <v>23</v>
      </c>
      <c r="B45" t="s">
        <v>179</v>
      </c>
      <c r="C45" t="s">
        <v>780</v>
      </c>
      <c r="D45" t="s">
        <v>157</v>
      </c>
      <c r="H45" t="e">
        <f t="shared" ref="H45:S45" si="15">H27/H9</f>
        <v>#DIV/0!</v>
      </c>
      <c r="I45" t="e">
        <f t="shared" si="15"/>
        <v>#DIV/0!</v>
      </c>
      <c r="J45" t="e">
        <f t="shared" si="15"/>
        <v>#DIV/0!</v>
      </c>
      <c r="K45" t="e">
        <f t="shared" si="15"/>
        <v>#DIV/0!</v>
      </c>
      <c r="L45" t="e">
        <f t="shared" si="15"/>
        <v>#DIV/0!</v>
      </c>
      <c r="M45" t="e">
        <f t="shared" si="15"/>
        <v>#DIV/0!</v>
      </c>
      <c r="N45" t="e">
        <f t="shared" si="15"/>
        <v>#DIV/0!</v>
      </c>
      <c r="O45" t="e">
        <f t="shared" si="15"/>
        <v>#DIV/0!</v>
      </c>
      <c r="P45" t="e">
        <f t="shared" si="15"/>
        <v>#DIV/0!</v>
      </c>
      <c r="Q45" t="e">
        <f t="shared" si="15"/>
        <v>#DIV/0!</v>
      </c>
      <c r="R45" t="e">
        <f t="shared" si="15"/>
        <v>#DIV/0!</v>
      </c>
      <c r="S45" t="e">
        <f t="shared" si="15"/>
        <v>#DIV/0!</v>
      </c>
    </row>
    <row r="46" spans="1:19">
      <c r="A46" t="s">
        <v>23</v>
      </c>
      <c r="B46" t="s">
        <v>179</v>
      </c>
      <c r="C46" t="s">
        <v>781</v>
      </c>
      <c r="D46" t="s">
        <v>738</v>
      </c>
      <c r="H46" t="e">
        <f t="shared" ref="H46:S46" si="16">H28/H10</f>
        <v>#DIV/0!</v>
      </c>
      <c r="I46" t="e">
        <f t="shared" si="16"/>
        <v>#DIV/0!</v>
      </c>
      <c r="J46" t="e">
        <f t="shared" si="16"/>
        <v>#DIV/0!</v>
      </c>
      <c r="K46" t="e">
        <f t="shared" si="16"/>
        <v>#DIV/0!</v>
      </c>
      <c r="L46" t="e">
        <f t="shared" si="16"/>
        <v>#DIV/0!</v>
      </c>
      <c r="M46" t="e">
        <f t="shared" si="16"/>
        <v>#DIV/0!</v>
      </c>
      <c r="N46" t="e">
        <f t="shared" si="16"/>
        <v>#DIV/0!</v>
      </c>
      <c r="O46" t="e">
        <f t="shared" si="16"/>
        <v>#DIV/0!</v>
      </c>
      <c r="P46" t="e">
        <f t="shared" si="16"/>
        <v>#DIV/0!</v>
      </c>
      <c r="Q46" t="e">
        <f t="shared" si="16"/>
        <v>#DIV/0!</v>
      </c>
      <c r="R46" t="e">
        <f t="shared" si="16"/>
        <v>#DIV/0!</v>
      </c>
      <c r="S46" t="e">
        <f t="shared" si="16"/>
        <v>#DIV/0!</v>
      </c>
    </row>
    <row r="47" spans="1:19">
      <c r="A47" t="s">
        <v>19</v>
      </c>
      <c r="B47" t="s">
        <v>179</v>
      </c>
      <c r="C47" t="s">
        <v>782</v>
      </c>
      <c r="D47" t="s">
        <v>783</v>
      </c>
      <c r="H47">
        <f t="shared" ref="H47:S47" si="17">H29/H11</f>
        <v>0.0170847457627119</v>
      </c>
      <c r="I47">
        <f t="shared" si="17"/>
        <v>0.0170847457627119</v>
      </c>
      <c r="J47">
        <f t="shared" si="17"/>
        <v>0.0170847457627119</v>
      </c>
      <c r="K47">
        <f t="shared" si="17"/>
        <v>0.0170847457627119</v>
      </c>
      <c r="L47">
        <f t="shared" si="17"/>
        <v>0.0170847457627119</v>
      </c>
      <c r="M47">
        <f t="shared" si="17"/>
        <v>0.0170847457627119</v>
      </c>
      <c r="N47">
        <f t="shared" si="17"/>
        <v>0.0170847457627119</v>
      </c>
      <c r="O47">
        <f t="shared" si="17"/>
        <v>0.0170847457627119</v>
      </c>
      <c r="P47">
        <f t="shared" si="17"/>
        <v>0.0170847457627119</v>
      </c>
      <c r="Q47">
        <f t="shared" si="17"/>
        <v>0.0170847457627119</v>
      </c>
      <c r="R47">
        <f t="shared" si="17"/>
        <v>0.0170847457627119</v>
      </c>
      <c r="S47">
        <f t="shared" si="17"/>
        <v>0.0170847457627119</v>
      </c>
    </row>
    <row r="48" spans="1:19">
      <c r="A48" t="s">
        <v>23</v>
      </c>
      <c r="B48" t="s">
        <v>179</v>
      </c>
      <c r="C48" t="s">
        <v>784</v>
      </c>
      <c r="D48" t="s">
        <v>541</v>
      </c>
      <c r="H48">
        <f t="shared" ref="H48:S48" si="18">H30/H12</f>
        <v>0.0224</v>
      </c>
      <c r="I48">
        <f t="shared" si="18"/>
        <v>0.0224</v>
      </c>
      <c r="J48">
        <f t="shared" si="18"/>
        <v>0.0224</v>
      </c>
      <c r="K48">
        <f t="shared" si="18"/>
        <v>0.0224</v>
      </c>
      <c r="L48">
        <f t="shared" si="18"/>
        <v>0.0224</v>
      </c>
      <c r="M48">
        <f t="shared" si="18"/>
        <v>0.0224</v>
      </c>
      <c r="N48">
        <f t="shared" si="18"/>
        <v>0.0224</v>
      </c>
      <c r="O48">
        <f t="shared" si="18"/>
        <v>0.0224</v>
      </c>
      <c r="P48">
        <f t="shared" si="18"/>
        <v>0.0224</v>
      </c>
      <c r="Q48">
        <f t="shared" si="18"/>
        <v>0.0224</v>
      </c>
      <c r="R48">
        <f t="shared" si="18"/>
        <v>0.0224</v>
      </c>
      <c r="S48">
        <f t="shared" si="18"/>
        <v>0.0224</v>
      </c>
    </row>
    <row r="49" spans="1:19">
      <c r="A49" t="s">
        <v>23</v>
      </c>
      <c r="B49" t="s">
        <v>179</v>
      </c>
      <c r="C49" t="s">
        <v>785</v>
      </c>
      <c r="D49" t="s">
        <v>743</v>
      </c>
      <c r="H49">
        <f t="shared" ref="H49:S49" si="19">H31/H13</f>
        <v>0</v>
      </c>
      <c r="I49">
        <f t="shared" si="19"/>
        <v>0</v>
      </c>
      <c r="J49">
        <f t="shared" si="19"/>
        <v>0</v>
      </c>
      <c r="K49">
        <f t="shared" si="19"/>
        <v>0</v>
      </c>
      <c r="L49">
        <f t="shared" si="19"/>
        <v>0</v>
      </c>
      <c r="M49">
        <f t="shared" si="19"/>
        <v>0</v>
      </c>
      <c r="N49">
        <f t="shared" si="19"/>
        <v>0</v>
      </c>
      <c r="O49">
        <f t="shared" si="19"/>
        <v>0</v>
      </c>
      <c r="P49">
        <f t="shared" si="19"/>
        <v>0</v>
      </c>
      <c r="Q49">
        <f t="shared" si="19"/>
        <v>0</v>
      </c>
      <c r="R49">
        <f t="shared" si="19"/>
        <v>0</v>
      </c>
      <c r="S49">
        <f t="shared" si="19"/>
        <v>0</v>
      </c>
    </row>
    <row r="50" spans="1:19">
      <c r="A50" t="s">
        <v>23</v>
      </c>
      <c r="B50" t="s">
        <v>179</v>
      </c>
      <c r="C50" t="s">
        <v>786</v>
      </c>
      <c r="D50" t="s">
        <v>745</v>
      </c>
      <c r="H50" t="e">
        <f t="shared" ref="H50:S50" si="20">H32/H14</f>
        <v>#DIV/0!</v>
      </c>
      <c r="I50" t="e">
        <f t="shared" si="20"/>
        <v>#DIV/0!</v>
      </c>
      <c r="J50" t="e">
        <f t="shared" si="20"/>
        <v>#DIV/0!</v>
      </c>
      <c r="K50" t="e">
        <f t="shared" si="20"/>
        <v>#DIV/0!</v>
      </c>
      <c r="L50" t="e">
        <f t="shared" si="20"/>
        <v>#DIV/0!</v>
      </c>
      <c r="M50" t="e">
        <f t="shared" si="20"/>
        <v>#DIV/0!</v>
      </c>
      <c r="N50" t="e">
        <f t="shared" si="20"/>
        <v>#DIV/0!</v>
      </c>
      <c r="O50" t="e">
        <f t="shared" si="20"/>
        <v>#DIV/0!</v>
      </c>
      <c r="P50" t="e">
        <f t="shared" si="20"/>
        <v>#DIV/0!</v>
      </c>
      <c r="Q50" t="e">
        <f t="shared" si="20"/>
        <v>#DIV/0!</v>
      </c>
      <c r="R50" t="e">
        <f t="shared" si="20"/>
        <v>#DIV/0!</v>
      </c>
      <c r="S50" t="e">
        <f t="shared" si="20"/>
        <v>#DIV/0!</v>
      </c>
    </row>
    <row r="51" spans="1:19">
      <c r="A51" t="s">
        <v>23</v>
      </c>
      <c r="B51" t="s">
        <v>179</v>
      </c>
      <c r="C51" t="s">
        <v>787</v>
      </c>
      <c r="D51" t="s">
        <v>168</v>
      </c>
      <c r="H51">
        <f t="shared" ref="H51:S51" si="21">H33/H15</f>
        <v>0</v>
      </c>
      <c r="I51">
        <f t="shared" si="21"/>
        <v>0</v>
      </c>
      <c r="J51">
        <f t="shared" si="21"/>
        <v>0</v>
      </c>
      <c r="K51">
        <f t="shared" si="21"/>
        <v>0</v>
      </c>
      <c r="L51">
        <f t="shared" si="21"/>
        <v>0</v>
      </c>
      <c r="M51">
        <f t="shared" si="21"/>
        <v>0</v>
      </c>
      <c r="N51">
        <f t="shared" si="21"/>
        <v>0</v>
      </c>
      <c r="O51">
        <f t="shared" si="21"/>
        <v>0</v>
      </c>
      <c r="P51">
        <f t="shared" si="21"/>
        <v>0</v>
      </c>
      <c r="Q51">
        <f t="shared" si="21"/>
        <v>0</v>
      </c>
      <c r="R51">
        <f t="shared" si="21"/>
        <v>0</v>
      </c>
      <c r="S51">
        <f t="shared" si="21"/>
        <v>0</v>
      </c>
    </row>
    <row r="52" spans="1:19">
      <c r="A52" t="s">
        <v>23</v>
      </c>
      <c r="B52" t="s">
        <v>179</v>
      </c>
      <c r="C52" t="s">
        <v>788</v>
      </c>
      <c r="D52" t="s">
        <v>748</v>
      </c>
      <c r="H52" t="e">
        <f t="shared" ref="H52:S52" si="22">H34/H16</f>
        <v>#DIV/0!</v>
      </c>
      <c r="I52" t="e">
        <f t="shared" si="22"/>
        <v>#DIV/0!</v>
      </c>
      <c r="J52" t="e">
        <f t="shared" si="22"/>
        <v>#DIV/0!</v>
      </c>
      <c r="K52" t="e">
        <f t="shared" si="22"/>
        <v>#DIV/0!</v>
      </c>
      <c r="L52" t="e">
        <f t="shared" si="22"/>
        <v>#DIV/0!</v>
      </c>
      <c r="M52" t="e">
        <f t="shared" si="22"/>
        <v>#DIV/0!</v>
      </c>
      <c r="N52" t="e">
        <f t="shared" si="22"/>
        <v>#DIV/0!</v>
      </c>
      <c r="O52" t="e">
        <f t="shared" si="22"/>
        <v>#DIV/0!</v>
      </c>
      <c r="P52" t="e">
        <f t="shared" si="22"/>
        <v>#DIV/0!</v>
      </c>
      <c r="Q52" t="e">
        <f t="shared" si="22"/>
        <v>#DIV/0!</v>
      </c>
      <c r="R52" t="e">
        <f t="shared" si="22"/>
        <v>#DIV/0!</v>
      </c>
      <c r="S52" t="e">
        <f t="shared" si="22"/>
        <v>#DIV/0!</v>
      </c>
    </row>
    <row r="53" spans="1:19">
      <c r="A53" t="s">
        <v>23</v>
      </c>
      <c r="B53" t="s">
        <v>179</v>
      </c>
      <c r="C53" t="s">
        <v>789</v>
      </c>
      <c r="D53" t="s">
        <v>750</v>
      </c>
      <c r="H53" t="e">
        <f t="shared" ref="H53:S53" si="23">H35/H17</f>
        <v>#DIV/0!</v>
      </c>
      <c r="I53" t="e">
        <f t="shared" si="23"/>
        <v>#DIV/0!</v>
      </c>
      <c r="J53" t="e">
        <f t="shared" si="23"/>
        <v>#DIV/0!</v>
      </c>
      <c r="K53" t="e">
        <f t="shared" si="23"/>
        <v>#DIV/0!</v>
      </c>
      <c r="L53" t="e">
        <f t="shared" si="23"/>
        <v>#DIV/0!</v>
      </c>
      <c r="M53" t="e">
        <f t="shared" si="23"/>
        <v>#DIV/0!</v>
      </c>
      <c r="N53" t="e">
        <f t="shared" si="23"/>
        <v>#DIV/0!</v>
      </c>
      <c r="O53" t="e">
        <f t="shared" si="23"/>
        <v>#DIV/0!</v>
      </c>
      <c r="P53" t="e">
        <f t="shared" si="23"/>
        <v>#DIV/0!</v>
      </c>
      <c r="Q53" t="e">
        <f t="shared" si="23"/>
        <v>#DIV/0!</v>
      </c>
      <c r="R53" t="e">
        <f t="shared" si="23"/>
        <v>#DIV/0!</v>
      </c>
      <c r="S53" t="e">
        <f t="shared" si="23"/>
        <v>#DIV/0!</v>
      </c>
    </row>
    <row r="54" spans="1:19">
      <c r="A54" t="s">
        <v>23</v>
      </c>
      <c r="B54" t="s">
        <v>179</v>
      </c>
      <c r="C54" t="s">
        <v>790</v>
      </c>
      <c r="D54" t="s">
        <v>170</v>
      </c>
      <c r="H54" t="e">
        <f t="shared" ref="H54:S54" si="24">H36/H18</f>
        <v>#DIV/0!</v>
      </c>
      <c r="I54" t="e">
        <f t="shared" si="24"/>
        <v>#DIV/0!</v>
      </c>
      <c r="J54" t="e">
        <f t="shared" si="24"/>
        <v>#DIV/0!</v>
      </c>
      <c r="K54" t="e">
        <f t="shared" si="24"/>
        <v>#DIV/0!</v>
      </c>
      <c r="L54" t="e">
        <f t="shared" si="24"/>
        <v>#DIV/0!</v>
      </c>
      <c r="M54" t="e">
        <f t="shared" si="24"/>
        <v>#DIV/0!</v>
      </c>
      <c r="N54" t="e">
        <f t="shared" si="24"/>
        <v>#DIV/0!</v>
      </c>
      <c r="O54" t="e">
        <f t="shared" si="24"/>
        <v>#DIV/0!</v>
      </c>
      <c r="P54" t="e">
        <f t="shared" si="24"/>
        <v>#DIV/0!</v>
      </c>
      <c r="Q54" t="e">
        <f t="shared" si="24"/>
        <v>#DIV/0!</v>
      </c>
      <c r="R54" t="e">
        <f t="shared" si="24"/>
        <v>#DIV/0!</v>
      </c>
      <c r="S54" t="e">
        <f t="shared" si="24"/>
        <v>#DIV/0!</v>
      </c>
    </row>
    <row r="55" spans="1:19">
      <c r="A55" t="s">
        <v>23</v>
      </c>
      <c r="B55" t="s">
        <v>179</v>
      </c>
      <c r="C55" t="s">
        <v>791</v>
      </c>
      <c r="D55" t="s">
        <v>753</v>
      </c>
      <c r="H55" t="e">
        <f t="shared" ref="H55:S55" si="25">H37/H19</f>
        <v>#DIV/0!</v>
      </c>
      <c r="I55" t="e">
        <f t="shared" si="25"/>
        <v>#DIV/0!</v>
      </c>
      <c r="J55" t="e">
        <f t="shared" si="25"/>
        <v>#DIV/0!</v>
      </c>
      <c r="K55" t="e">
        <f t="shared" si="25"/>
        <v>#DIV/0!</v>
      </c>
      <c r="L55" t="e">
        <f t="shared" si="25"/>
        <v>#DIV/0!</v>
      </c>
      <c r="M55" t="e">
        <f t="shared" si="25"/>
        <v>#DIV/0!</v>
      </c>
      <c r="N55" t="e">
        <f t="shared" si="25"/>
        <v>#DIV/0!</v>
      </c>
      <c r="O55" t="e">
        <f t="shared" si="25"/>
        <v>#DIV/0!</v>
      </c>
      <c r="P55" t="e">
        <f t="shared" si="25"/>
        <v>#DIV/0!</v>
      </c>
      <c r="Q55" t="e">
        <f t="shared" si="25"/>
        <v>#DIV/0!</v>
      </c>
      <c r="R55" t="e">
        <f t="shared" si="25"/>
        <v>#DIV/0!</v>
      </c>
      <c r="S55" t="e">
        <f t="shared" si="25"/>
        <v>#DIV/0!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792</v>
      </c>
      <c r="D2" t="s">
        <v>22</v>
      </c>
    </row>
    <row r="3" spans="1:19">
      <c r="A3" t="s">
        <v>23</v>
      </c>
      <c r="B3" t="s">
        <v>20</v>
      </c>
      <c r="C3" t="s">
        <v>793</v>
      </c>
      <c r="D3" t="s">
        <v>25</v>
      </c>
    </row>
    <row r="4" spans="1:19">
      <c r="A4" t="s">
        <v>26</v>
      </c>
      <c r="B4" t="s">
        <v>20</v>
      </c>
      <c r="C4" t="s">
        <v>794</v>
      </c>
      <c r="D4" t="s">
        <v>28</v>
      </c>
    </row>
    <row r="5" spans="1:19">
      <c r="A5" t="s">
        <v>19</v>
      </c>
      <c r="B5" t="s">
        <v>20</v>
      </c>
      <c r="C5" t="s">
        <v>795</v>
      </c>
      <c r="D5" t="s">
        <v>176</v>
      </c>
    </row>
    <row r="6" spans="1:19">
      <c r="A6" t="s">
        <v>19</v>
      </c>
      <c r="B6" t="s">
        <v>35</v>
      </c>
      <c r="C6" t="s">
        <v>796</v>
      </c>
      <c r="D6" t="s">
        <v>241</v>
      </c>
    </row>
    <row r="7" spans="1:19">
      <c r="A7" t="s">
        <v>26</v>
      </c>
      <c r="B7" t="s">
        <v>20</v>
      </c>
      <c r="C7" t="s">
        <v>797</v>
      </c>
      <c r="D7" t="s">
        <v>30</v>
      </c>
    </row>
    <row r="8" spans="1:19">
      <c r="A8" t="s">
        <v>19</v>
      </c>
      <c r="B8" t="s">
        <v>35</v>
      </c>
      <c r="C8" t="s">
        <v>798</v>
      </c>
      <c r="D8" t="s">
        <v>285</v>
      </c>
    </row>
    <row r="9" spans="1:19">
      <c r="A9" t="s">
        <v>19</v>
      </c>
      <c r="B9" t="s">
        <v>35</v>
      </c>
      <c r="C9" t="s">
        <v>799</v>
      </c>
      <c r="D9" t="s">
        <v>309</v>
      </c>
    </row>
    <row r="10" spans="1:19">
      <c r="A10" t="s">
        <v>23</v>
      </c>
      <c r="B10" t="s">
        <v>20</v>
      </c>
      <c r="C10" t="s">
        <v>800</v>
      </c>
      <c r="D10" t="s">
        <v>497</v>
      </c>
    </row>
    <row r="11" spans="1:19">
      <c r="A11" t="s">
        <v>19</v>
      </c>
      <c r="B11" t="s">
        <v>20</v>
      </c>
      <c r="C11" t="s">
        <v>801</v>
      </c>
      <c r="D11" t="s">
        <v>337</v>
      </c>
    </row>
    <row r="12" spans="1:19">
      <c r="A12" t="s">
        <v>19</v>
      </c>
      <c r="B12" t="s">
        <v>35</v>
      </c>
      <c r="C12" t="s">
        <v>802</v>
      </c>
      <c r="D12" t="s">
        <v>365</v>
      </c>
    </row>
    <row r="13" spans="1:19">
      <c r="A13" t="s">
        <v>23</v>
      </c>
      <c r="B13" t="s">
        <v>20</v>
      </c>
      <c r="C13" t="s">
        <v>803</v>
      </c>
      <c r="D13" t="s">
        <v>34</v>
      </c>
    </row>
    <row r="14" spans="1:19">
      <c r="A14" t="s">
        <v>19</v>
      </c>
      <c r="B14" t="s">
        <v>35</v>
      </c>
      <c r="C14" t="s">
        <v>804</v>
      </c>
      <c r="D14" t="s">
        <v>37</v>
      </c>
    </row>
    <row r="15" spans="1:19">
      <c r="A15" t="s">
        <v>19</v>
      </c>
      <c r="B15" t="s">
        <v>20</v>
      </c>
      <c r="C15" t="s">
        <v>805</v>
      </c>
      <c r="D15" t="s">
        <v>39</v>
      </c>
    </row>
    <row r="16" spans="1:19">
      <c r="A16" t="s">
        <v>19</v>
      </c>
      <c r="B16" t="s">
        <v>35</v>
      </c>
      <c r="C16" t="s">
        <v>806</v>
      </c>
      <c r="D16" t="s">
        <v>41</v>
      </c>
    </row>
    <row r="17" spans="1:4">
      <c r="A17" t="s">
        <v>19</v>
      </c>
      <c r="B17" t="s">
        <v>35</v>
      </c>
      <c r="C17" t="s">
        <v>807</v>
      </c>
      <c r="D17" t="s">
        <v>43</v>
      </c>
    </row>
    <row r="18" spans="1:4">
      <c r="A18" t="s">
        <v>23</v>
      </c>
      <c r="B18" t="s">
        <v>35</v>
      </c>
      <c r="C18" t="s">
        <v>808</v>
      </c>
      <c r="D18" t="s">
        <v>45</v>
      </c>
    </row>
    <row r="19" spans="1:4">
      <c r="A19" t="s">
        <v>26</v>
      </c>
      <c r="B19" t="s">
        <v>35</v>
      </c>
      <c r="C19" t="s">
        <v>809</v>
      </c>
      <c r="D19" t="s">
        <v>47</v>
      </c>
    </row>
    <row r="20" spans="1:4">
      <c r="A20" t="s">
        <v>26</v>
      </c>
      <c r="B20" t="s">
        <v>35</v>
      </c>
      <c r="C20" t="s">
        <v>810</v>
      </c>
      <c r="D20" t="s">
        <v>49</v>
      </c>
    </row>
    <row r="21" spans="1:4">
      <c r="A21" t="s">
        <v>23</v>
      </c>
      <c r="B21" t="s">
        <v>35</v>
      </c>
      <c r="C21" t="s">
        <v>811</v>
      </c>
      <c r="D21" t="s">
        <v>51</v>
      </c>
    </row>
    <row r="22" spans="1:4">
      <c r="A22" t="s">
        <v>26</v>
      </c>
      <c r="B22" t="s">
        <v>35</v>
      </c>
      <c r="C22" t="s">
        <v>812</v>
      </c>
      <c r="D22" t="s">
        <v>53</v>
      </c>
    </row>
    <row r="23" spans="1:4">
      <c r="A23" t="s">
        <v>26</v>
      </c>
      <c r="B23" t="s">
        <v>35</v>
      </c>
      <c r="C23" t="s">
        <v>813</v>
      </c>
      <c r="D23" t="s">
        <v>55</v>
      </c>
    </row>
    <row r="24" spans="1:4">
      <c r="A24" t="s">
        <v>23</v>
      </c>
      <c r="B24" t="s">
        <v>35</v>
      </c>
      <c r="C24" t="s">
        <v>814</v>
      </c>
      <c r="D24" t="s">
        <v>57</v>
      </c>
    </row>
    <row r="25" spans="1:4">
      <c r="A25" t="s">
        <v>26</v>
      </c>
      <c r="B25" t="s">
        <v>35</v>
      </c>
      <c r="C25" t="s">
        <v>815</v>
      </c>
      <c r="D25" t="s">
        <v>59</v>
      </c>
    </row>
    <row r="26" spans="1:4">
      <c r="A26" t="s">
        <v>60</v>
      </c>
      <c r="B26" t="s">
        <v>35</v>
      </c>
      <c r="C26" t="s">
        <v>816</v>
      </c>
      <c r="D26" t="s">
        <v>62</v>
      </c>
    </row>
    <row r="27" spans="1:4">
      <c r="A27" t="s">
        <v>60</v>
      </c>
      <c r="B27" t="s">
        <v>35</v>
      </c>
      <c r="C27" t="s">
        <v>817</v>
      </c>
      <c r="D27" t="s">
        <v>64</v>
      </c>
    </row>
    <row r="28" spans="1:4">
      <c r="A28" t="s">
        <v>26</v>
      </c>
      <c r="B28" t="s">
        <v>35</v>
      </c>
      <c r="C28" t="s">
        <v>818</v>
      </c>
      <c r="D28" t="s">
        <v>66</v>
      </c>
    </row>
    <row r="29" spans="1:4">
      <c r="A29" t="s">
        <v>26</v>
      </c>
      <c r="B29" t="s">
        <v>35</v>
      </c>
      <c r="C29" t="s">
        <v>819</v>
      </c>
      <c r="D29" t="s">
        <v>68</v>
      </c>
    </row>
    <row r="30" spans="1:4">
      <c r="A30" t="s">
        <v>26</v>
      </c>
      <c r="B30" t="s">
        <v>35</v>
      </c>
      <c r="C30" t="s">
        <v>820</v>
      </c>
      <c r="D30" t="s">
        <v>70</v>
      </c>
    </row>
    <row r="31" spans="1:4">
      <c r="A31" t="s">
        <v>23</v>
      </c>
      <c r="B31" t="s">
        <v>35</v>
      </c>
      <c r="C31" t="s">
        <v>821</v>
      </c>
      <c r="D31" t="s">
        <v>72</v>
      </c>
    </row>
    <row r="32" spans="1:4">
      <c r="A32" t="s">
        <v>23</v>
      </c>
      <c r="B32" t="s">
        <v>35</v>
      </c>
      <c r="C32" t="s">
        <v>822</v>
      </c>
      <c r="D32" t="s">
        <v>74</v>
      </c>
    </row>
    <row r="33" spans="1:4">
      <c r="A33" t="s">
        <v>19</v>
      </c>
      <c r="B33" t="s">
        <v>20</v>
      </c>
      <c r="C33" t="s">
        <v>823</v>
      </c>
      <c r="D33" t="s">
        <v>76</v>
      </c>
    </row>
    <row r="34" spans="1:4">
      <c r="A34" t="s">
        <v>19</v>
      </c>
      <c r="B34" t="s">
        <v>77</v>
      </c>
      <c r="C34" t="s">
        <v>824</v>
      </c>
      <c r="D34" t="s">
        <v>79</v>
      </c>
    </row>
    <row r="35" spans="1:4">
      <c r="A35" t="s">
        <v>19</v>
      </c>
      <c r="B35" t="s">
        <v>35</v>
      </c>
      <c r="C35" t="s">
        <v>825</v>
      </c>
      <c r="D35" t="s">
        <v>81</v>
      </c>
    </row>
    <row r="36" spans="1:4">
      <c r="A36" t="s">
        <v>19</v>
      </c>
      <c r="B36" t="s">
        <v>77</v>
      </c>
      <c r="C36" t="s">
        <v>826</v>
      </c>
      <c r="D36" t="s">
        <v>83</v>
      </c>
    </row>
    <row r="37" spans="1:4">
      <c r="A37" t="s">
        <v>19</v>
      </c>
      <c r="B37" t="s">
        <v>84</v>
      </c>
      <c r="C37" t="s">
        <v>827</v>
      </c>
      <c r="D37" t="s">
        <v>86</v>
      </c>
    </row>
    <row r="38" spans="1:4">
      <c r="A38" t="s">
        <v>23</v>
      </c>
      <c r="B38" t="s">
        <v>84</v>
      </c>
      <c r="C38" t="s">
        <v>828</v>
      </c>
      <c r="D38" t="s">
        <v>88</v>
      </c>
    </row>
    <row r="39" spans="1:4">
      <c r="A39" t="s">
        <v>26</v>
      </c>
      <c r="B39" t="s">
        <v>84</v>
      </c>
      <c r="C39" t="s">
        <v>829</v>
      </c>
      <c r="D39" t="s">
        <v>90</v>
      </c>
    </row>
    <row r="40" spans="1:4">
      <c r="A40" t="s">
        <v>23</v>
      </c>
      <c r="B40" t="s">
        <v>84</v>
      </c>
      <c r="C40" t="s">
        <v>830</v>
      </c>
      <c r="D40" t="s">
        <v>102</v>
      </c>
    </row>
    <row r="41" spans="1:4">
      <c r="A41" t="s">
        <v>23</v>
      </c>
      <c r="B41" t="s">
        <v>84</v>
      </c>
      <c r="C41" t="s">
        <v>831</v>
      </c>
      <c r="D41" t="s">
        <v>104</v>
      </c>
    </row>
    <row r="42" spans="1:4">
      <c r="A42" t="s">
        <v>19</v>
      </c>
      <c r="B42" t="s">
        <v>113</v>
      </c>
      <c r="C42" t="s">
        <v>832</v>
      </c>
      <c r="D42" t="s">
        <v>115</v>
      </c>
    </row>
    <row r="43" spans="1:4">
      <c r="A43" t="s">
        <v>23</v>
      </c>
      <c r="B43" t="s">
        <v>113</v>
      </c>
      <c r="C43" t="s">
        <v>833</v>
      </c>
      <c r="D43" t="s">
        <v>117</v>
      </c>
    </row>
    <row r="44" spans="1:4">
      <c r="A44" t="s">
        <v>26</v>
      </c>
      <c r="B44" t="s">
        <v>113</v>
      </c>
      <c r="C44" t="s">
        <v>834</v>
      </c>
      <c r="D44" t="s">
        <v>90</v>
      </c>
    </row>
    <row r="45" spans="1:4">
      <c r="A45" t="s">
        <v>23</v>
      </c>
      <c r="B45" t="s">
        <v>113</v>
      </c>
      <c r="C45" t="s">
        <v>835</v>
      </c>
      <c r="D45" t="s">
        <v>102</v>
      </c>
    </row>
    <row r="46" spans="1:4">
      <c r="A46" t="s">
        <v>23</v>
      </c>
      <c r="B46" t="s">
        <v>113</v>
      </c>
      <c r="C46" t="s">
        <v>836</v>
      </c>
      <c r="D46" t="s">
        <v>104</v>
      </c>
    </row>
    <row r="47" spans="1:4">
      <c r="A47" t="s">
        <v>19</v>
      </c>
      <c r="B47" t="s">
        <v>130</v>
      </c>
      <c r="C47" t="s">
        <v>837</v>
      </c>
      <c r="D47" t="s">
        <v>132</v>
      </c>
    </row>
    <row r="48" spans="1:4">
      <c r="A48" t="s">
        <v>23</v>
      </c>
      <c r="B48" t="s">
        <v>130</v>
      </c>
      <c r="C48" t="s">
        <v>838</v>
      </c>
      <c r="D48" t="s">
        <v>541</v>
      </c>
    </row>
    <row r="49" spans="1:4">
      <c r="A49" t="s">
        <v>23</v>
      </c>
      <c r="B49" t="s">
        <v>130</v>
      </c>
      <c r="C49" t="s">
        <v>839</v>
      </c>
      <c r="D49" t="s">
        <v>140</v>
      </c>
    </row>
    <row r="50" spans="1:4">
      <c r="A50" t="s">
        <v>23</v>
      </c>
      <c r="B50" t="s">
        <v>130</v>
      </c>
      <c r="C50" t="s">
        <v>840</v>
      </c>
      <c r="D50" t="s">
        <v>544</v>
      </c>
    </row>
    <row r="51" spans="1:4">
      <c r="A51" t="s">
        <v>23</v>
      </c>
      <c r="B51" t="s">
        <v>130</v>
      </c>
      <c r="C51" t="s">
        <v>841</v>
      </c>
      <c r="D51" t="s">
        <v>546</v>
      </c>
    </row>
    <row r="52" spans="1:4">
      <c r="A52" t="s">
        <v>19</v>
      </c>
      <c r="B52" t="s">
        <v>143</v>
      </c>
      <c r="C52" t="s">
        <v>842</v>
      </c>
      <c r="D52" t="s">
        <v>142</v>
      </c>
    </row>
    <row r="53" spans="1:4">
      <c r="A53" t="s">
        <v>23</v>
      </c>
      <c r="B53" t="s">
        <v>143</v>
      </c>
      <c r="C53" t="s">
        <v>843</v>
      </c>
      <c r="D53" t="s">
        <v>541</v>
      </c>
    </row>
    <row r="54" spans="1:4">
      <c r="A54" t="s">
        <v>23</v>
      </c>
      <c r="B54" t="s">
        <v>143</v>
      </c>
      <c r="C54" t="s">
        <v>844</v>
      </c>
      <c r="D54" t="s">
        <v>140</v>
      </c>
    </row>
    <row r="55" spans="1:4">
      <c r="A55" t="s">
        <v>23</v>
      </c>
      <c r="B55" t="s">
        <v>143</v>
      </c>
      <c r="C55" t="s">
        <v>845</v>
      </c>
      <c r="D55" t="s">
        <v>544</v>
      </c>
    </row>
    <row r="56" spans="1:4">
      <c r="A56" t="s">
        <v>23</v>
      </c>
      <c r="B56" t="s">
        <v>143</v>
      </c>
      <c r="C56" t="s">
        <v>846</v>
      </c>
      <c r="D56" t="s">
        <v>546</v>
      </c>
    </row>
    <row r="57" spans="1:4">
      <c r="A57" t="s">
        <v>19</v>
      </c>
      <c r="B57" t="s">
        <v>393</v>
      </c>
      <c r="C57" t="s">
        <v>847</v>
      </c>
      <c r="D57" t="s">
        <v>395</v>
      </c>
    </row>
    <row r="58" spans="1:4">
      <c r="A58" t="s">
        <v>23</v>
      </c>
      <c r="B58" t="s">
        <v>393</v>
      </c>
      <c r="C58" t="s">
        <v>848</v>
      </c>
      <c r="D58" t="s">
        <v>397</v>
      </c>
    </row>
    <row r="59" spans="1:4">
      <c r="A59" t="s">
        <v>26</v>
      </c>
      <c r="B59" t="s">
        <v>393</v>
      </c>
      <c r="C59" t="s">
        <v>849</v>
      </c>
      <c r="D59" t="s">
        <v>399</v>
      </c>
    </row>
    <row r="60" spans="1:4">
      <c r="A60" t="s">
        <v>60</v>
      </c>
      <c r="B60" t="s">
        <v>393</v>
      </c>
      <c r="C60" t="s">
        <v>850</v>
      </c>
      <c r="D60" t="s">
        <v>401</v>
      </c>
    </row>
    <row r="61" spans="1:4">
      <c r="A61" t="s">
        <v>60</v>
      </c>
      <c r="B61" t="s">
        <v>393</v>
      </c>
      <c r="C61" t="s">
        <v>851</v>
      </c>
      <c r="D61" t="s">
        <v>49</v>
      </c>
    </row>
    <row r="62" spans="1:4">
      <c r="A62" t="s">
        <v>26</v>
      </c>
      <c r="B62" t="s">
        <v>393</v>
      </c>
      <c r="C62" t="s">
        <v>852</v>
      </c>
      <c r="D62" t="s">
        <v>51</v>
      </c>
    </row>
    <row r="63" spans="1:4">
      <c r="A63" t="s">
        <v>60</v>
      </c>
      <c r="B63" t="s">
        <v>393</v>
      </c>
      <c r="C63" t="s">
        <v>853</v>
      </c>
      <c r="D63" t="s">
        <v>405</v>
      </c>
    </row>
    <row r="64" spans="1:4">
      <c r="A64" t="s">
        <v>60</v>
      </c>
      <c r="B64" t="s">
        <v>393</v>
      </c>
      <c r="C64" t="s">
        <v>854</v>
      </c>
      <c r="D64" t="s">
        <v>407</v>
      </c>
    </row>
    <row r="65" spans="1:4">
      <c r="A65" t="s">
        <v>26</v>
      </c>
      <c r="B65" t="s">
        <v>393</v>
      </c>
      <c r="C65" t="s">
        <v>855</v>
      </c>
      <c r="D65" t="s">
        <v>409</v>
      </c>
    </row>
    <row r="66" spans="1:4">
      <c r="A66" t="s">
        <v>60</v>
      </c>
      <c r="B66" t="s">
        <v>393</v>
      </c>
      <c r="C66" t="s">
        <v>856</v>
      </c>
      <c r="D66" t="s">
        <v>59</v>
      </c>
    </row>
    <row r="67" spans="1:4">
      <c r="A67" t="s">
        <v>192</v>
      </c>
      <c r="B67" t="s">
        <v>393</v>
      </c>
      <c r="C67" t="s">
        <v>857</v>
      </c>
      <c r="D67" t="s">
        <v>62</v>
      </c>
    </row>
    <row r="68" spans="1:4">
      <c r="A68" t="s">
        <v>192</v>
      </c>
      <c r="B68" t="s">
        <v>393</v>
      </c>
      <c r="C68" t="s">
        <v>858</v>
      </c>
      <c r="D68" t="s">
        <v>64</v>
      </c>
    </row>
    <row r="69" spans="1:4">
      <c r="A69" t="s">
        <v>60</v>
      </c>
      <c r="B69" t="s">
        <v>393</v>
      </c>
      <c r="C69" t="s">
        <v>859</v>
      </c>
      <c r="D69" t="s">
        <v>414</v>
      </c>
    </row>
    <row r="70" spans="1:4">
      <c r="A70" t="s">
        <v>60</v>
      </c>
      <c r="B70" t="s">
        <v>393</v>
      </c>
      <c r="C70" t="s">
        <v>860</v>
      </c>
      <c r="D70" t="s">
        <v>68</v>
      </c>
    </row>
    <row r="71" spans="1:4">
      <c r="A71" t="s">
        <v>60</v>
      </c>
      <c r="B71" t="s">
        <v>393</v>
      </c>
      <c r="C71" t="s">
        <v>861</v>
      </c>
      <c r="D71" t="s">
        <v>70</v>
      </c>
    </row>
    <row r="72" spans="1:4">
      <c r="A72" t="s">
        <v>26</v>
      </c>
      <c r="B72" t="s">
        <v>393</v>
      </c>
      <c r="C72" t="s">
        <v>862</v>
      </c>
      <c r="D72" t="s">
        <v>418</v>
      </c>
    </row>
    <row r="73" spans="1:4">
      <c r="A73" t="s">
        <v>26</v>
      </c>
      <c r="B73" t="s">
        <v>393</v>
      </c>
      <c r="C73" t="s">
        <v>863</v>
      </c>
      <c r="D73" t="s">
        <v>420</v>
      </c>
    </row>
    <row r="74" spans="1:4">
      <c r="A74" t="s">
        <v>23</v>
      </c>
      <c r="B74" t="s">
        <v>393</v>
      </c>
      <c r="C74" t="s">
        <v>864</v>
      </c>
      <c r="D74" t="s">
        <v>422</v>
      </c>
    </row>
    <row r="75" spans="1:4">
      <c r="A75" t="s">
        <v>26</v>
      </c>
      <c r="B75" t="s">
        <v>393</v>
      </c>
      <c r="C75" t="s">
        <v>865</v>
      </c>
      <c r="D75" t="s">
        <v>399</v>
      </c>
    </row>
    <row r="76" spans="1:4">
      <c r="A76" t="s">
        <v>60</v>
      </c>
      <c r="B76" t="s">
        <v>393</v>
      </c>
      <c r="C76" t="s">
        <v>866</v>
      </c>
      <c r="D76" t="s">
        <v>401</v>
      </c>
    </row>
    <row r="77" spans="1:4">
      <c r="A77" t="s">
        <v>60</v>
      </c>
      <c r="B77" t="s">
        <v>393</v>
      </c>
      <c r="C77" t="s">
        <v>867</v>
      </c>
      <c r="D77" t="s">
        <v>49</v>
      </c>
    </row>
    <row r="78" spans="1:4">
      <c r="A78" t="s">
        <v>26</v>
      </c>
      <c r="B78" t="s">
        <v>393</v>
      </c>
      <c r="C78" t="s">
        <v>868</v>
      </c>
      <c r="D78" t="s">
        <v>51</v>
      </c>
    </row>
    <row r="79" spans="1:4">
      <c r="A79" t="s">
        <v>60</v>
      </c>
      <c r="B79" t="s">
        <v>393</v>
      </c>
      <c r="C79" t="s">
        <v>869</v>
      </c>
      <c r="D79" t="s">
        <v>405</v>
      </c>
    </row>
    <row r="80" spans="1:4">
      <c r="A80" t="s">
        <v>60</v>
      </c>
      <c r="B80" t="s">
        <v>393</v>
      </c>
      <c r="C80" t="s">
        <v>870</v>
      </c>
      <c r="D80" t="s">
        <v>407</v>
      </c>
    </row>
    <row r="81" spans="1:4">
      <c r="A81" t="s">
        <v>26</v>
      </c>
      <c r="B81" t="s">
        <v>393</v>
      </c>
      <c r="C81" t="s">
        <v>871</v>
      </c>
      <c r="D81" t="s">
        <v>409</v>
      </c>
    </row>
    <row r="82" spans="1:4">
      <c r="A82" t="s">
        <v>60</v>
      </c>
      <c r="B82" t="s">
        <v>393</v>
      </c>
      <c r="C82" t="s">
        <v>872</v>
      </c>
      <c r="D82" t="s">
        <v>59</v>
      </c>
    </row>
    <row r="83" spans="1:4">
      <c r="A83" t="s">
        <v>192</v>
      </c>
      <c r="B83" t="s">
        <v>393</v>
      </c>
      <c r="C83" t="s">
        <v>873</v>
      </c>
      <c r="D83" t="s">
        <v>62</v>
      </c>
    </row>
    <row r="84" spans="1:4">
      <c r="A84" t="s">
        <v>192</v>
      </c>
      <c r="B84" t="s">
        <v>393</v>
      </c>
      <c r="C84" t="s">
        <v>874</v>
      </c>
      <c r="D84" t="s">
        <v>64</v>
      </c>
    </row>
    <row r="85" spans="1:4">
      <c r="A85" t="s">
        <v>60</v>
      </c>
      <c r="B85" t="s">
        <v>393</v>
      </c>
      <c r="C85" t="s">
        <v>875</v>
      </c>
      <c r="D85" t="s">
        <v>414</v>
      </c>
    </row>
    <row r="86" spans="1:4">
      <c r="A86" t="s">
        <v>60</v>
      </c>
      <c r="B86" t="s">
        <v>393</v>
      </c>
      <c r="C86" t="s">
        <v>876</v>
      </c>
      <c r="D86" t="s">
        <v>68</v>
      </c>
    </row>
    <row r="87" spans="1:4">
      <c r="A87" t="s">
        <v>60</v>
      </c>
      <c r="B87" t="s">
        <v>393</v>
      </c>
      <c r="C87" t="s">
        <v>877</v>
      </c>
      <c r="D87" t="s">
        <v>70</v>
      </c>
    </row>
    <row r="88" spans="1:4">
      <c r="A88" t="s">
        <v>26</v>
      </c>
      <c r="B88" t="s">
        <v>393</v>
      </c>
      <c r="C88" t="s">
        <v>878</v>
      </c>
      <c r="D88" t="s">
        <v>418</v>
      </c>
    </row>
    <row r="89" spans="1:4">
      <c r="A89" t="s">
        <v>26</v>
      </c>
      <c r="B89" t="s">
        <v>393</v>
      </c>
      <c r="C89" t="s">
        <v>879</v>
      </c>
      <c r="D89" t="s">
        <v>420</v>
      </c>
    </row>
    <row r="90" spans="1:4">
      <c r="A90" t="s">
        <v>19</v>
      </c>
      <c r="B90" t="s">
        <v>438</v>
      </c>
      <c r="C90" t="s">
        <v>880</v>
      </c>
      <c r="D90" t="s">
        <v>440</v>
      </c>
    </row>
    <row r="91" spans="1:4">
      <c r="A91" t="s">
        <v>23</v>
      </c>
      <c r="B91" t="s">
        <v>438</v>
      </c>
      <c r="C91" t="s">
        <v>881</v>
      </c>
      <c r="D91" t="s">
        <v>442</v>
      </c>
    </row>
    <row r="92" spans="1:4">
      <c r="A92" t="s">
        <v>26</v>
      </c>
      <c r="B92" t="s">
        <v>438</v>
      </c>
      <c r="C92" t="s">
        <v>882</v>
      </c>
      <c r="D92" t="s">
        <v>444</v>
      </c>
    </row>
    <row r="93" spans="1:4">
      <c r="A93" t="s">
        <v>60</v>
      </c>
      <c r="B93" t="s">
        <v>438</v>
      </c>
      <c r="C93" t="s">
        <v>883</v>
      </c>
      <c r="D93" t="s">
        <v>446</v>
      </c>
    </row>
    <row r="94" spans="1:4">
      <c r="A94" t="s">
        <v>60</v>
      </c>
      <c r="B94" t="s">
        <v>438</v>
      </c>
      <c r="C94" t="s">
        <v>884</v>
      </c>
      <c r="D94" t="s">
        <v>448</v>
      </c>
    </row>
    <row r="95" spans="1:4">
      <c r="A95" t="s">
        <v>60</v>
      </c>
      <c r="B95" t="s">
        <v>438</v>
      </c>
      <c r="C95" t="s">
        <v>885</v>
      </c>
      <c r="D95" t="s">
        <v>450</v>
      </c>
    </row>
    <row r="96" spans="1:4">
      <c r="A96" t="s">
        <v>60</v>
      </c>
      <c r="B96" t="s">
        <v>438</v>
      </c>
      <c r="C96" t="s">
        <v>886</v>
      </c>
      <c r="D96" t="s">
        <v>452</v>
      </c>
    </row>
    <row r="97" spans="1:4">
      <c r="A97" t="s">
        <v>26</v>
      </c>
      <c r="B97" t="s">
        <v>438</v>
      </c>
      <c r="C97" t="s">
        <v>887</v>
      </c>
      <c r="D97" t="s">
        <v>454</v>
      </c>
    </row>
    <row r="98" spans="1:4">
      <c r="A98" t="s">
        <v>60</v>
      </c>
      <c r="B98" t="s">
        <v>438</v>
      </c>
      <c r="C98" t="s">
        <v>888</v>
      </c>
      <c r="D98" t="s">
        <v>456</v>
      </c>
    </row>
    <row r="99" spans="1:4">
      <c r="A99" t="s">
        <v>60</v>
      </c>
      <c r="B99" t="s">
        <v>438</v>
      </c>
      <c r="C99" t="s">
        <v>889</v>
      </c>
      <c r="D99" t="s">
        <v>458</v>
      </c>
    </row>
    <row r="100" spans="1:4">
      <c r="A100" t="s">
        <v>60</v>
      </c>
      <c r="B100" t="s">
        <v>438</v>
      </c>
      <c r="C100" t="s">
        <v>890</v>
      </c>
      <c r="D100" t="s">
        <v>460</v>
      </c>
    </row>
    <row r="101" spans="1:4">
      <c r="A101" t="s">
        <v>60</v>
      </c>
      <c r="B101" t="s">
        <v>438</v>
      </c>
      <c r="C101" t="s">
        <v>891</v>
      </c>
      <c r="D101" t="s">
        <v>462</v>
      </c>
    </row>
    <row r="102" spans="1:4">
      <c r="A102" t="s">
        <v>60</v>
      </c>
      <c r="B102" t="s">
        <v>438</v>
      </c>
      <c r="C102" t="s">
        <v>892</v>
      </c>
      <c r="D102" t="s">
        <v>464</v>
      </c>
    </row>
    <row r="103" spans="1:4">
      <c r="A103" t="s">
        <v>60</v>
      </c>
      <c r="B103" t="s">
        <v>438</v>
      </c>
      <c r="C103" t="s">
        <v>893</v>
      </c>
      <c r="D103" t="s">
        <v>466</v>
      </c>
    </row>
    <row r="104" spans="1:4">
      <c r="A104" t="s">
        <v>60</v>
      </c>
      <c r="B104" t="s">
        <v>438</v>
      </c>
      <c r="C104" t="s">
        <v>894</v>
      </c>
      <c r="D104" t="s">
        <v>468</v>
      </c>
    </row>
    <row r="105" spans="1:4">
      <c r="A105" t="s">
        <v>60</v>
      </c>
      <c r="B105" t="s">
        <v>438</v>
      </c>
      <c r="C105" t="s">
        <v>895</v>
      </c>
      <c r="D105" t="s">
        <v>470</v>
      </c>
    </row>
    <row r="106" spans="1:4">
      <c r="A106" t="s">
        <v>60</v>
      </c>
      <c r="B106" t="s">
        <v>438</v>
      </c>
      <c r="C106" t="s">
        <v>896</v>
      </c>
      <c r="D106" t="s">
        <v>472</v>
      </c>
    </row>
    <row r="107" spans="1:4">
      <c r="A107" t="s">
        <v>60</v>
      </c>
      <c r="B107" t="s">
        <v>438</v>
      </c>
      <c r="C107" t="s">
        <v>897</v>
      </c>
      <c r="D107" t="s">
        <v>474</v>
      </c>
    </row>
    <row r="108" spans="1:4">
      <c r="A108" t="s">
        <v>60</v>
      </c>
      <c r="B108" t="s">
        <v>438</v>
      </c>
      <c r="C108" t="s">
        <v>898</v>
      </c>
      <c r="D108" t="s">
        <v>476</v>
      </c>
    </row>
    <row r="109" spans="1:4">
      <c r="A109" t="s">
        <v>60</v>
      </c>
      <c r="B109" t="s">
        <v>438</v>
      </c>
      <c r="C109" t="s">
        <v>899</v>
      </c>
      <c r="D109" t="s">
        <v>478</v>
      </c>
    </row>
    <row r="110" spans="1:4">
      <c r="A110" t="s">
        <v>60</v>
      </c>
      <c r="B110" t="s">
        <v>438</v>
      </c>
      <c r="C110" t="s">
        <v>900</v>
      </c>
      <c r="D110" t="s">
        <v>480</v>
      </c>
    </row>
    <row r="111" spans="1:4">
      <c r="A111" t="s">
        <v>60</v>
      </c>
      <c r="B111" t="s">
        <v>438</v>
      </c>
      <c r="C111" t="s">
        <v>901</v>
      </c>
      <c r="D111" t="s">
        <v>482</v>
      </c>
    </row>
    <row r="112" spans="1:4">
      <c r="A112" t="s">
        <v>26</v>
      </c>
      <c r="B112" t="s">
        <v>438</v>
      </c>
      <c r="C112" t="s">
        <v>902</v>
      </c>
      <c r="D112" t="s">
        <v>484</v>
      </c>
    </row>
    <row r="113" spans="1:4">
      <c r="A113" t="s">
        <v>60</v>
      </c>
      <c r="B113" t="s">
        <v>438</v>
      </c>
      <c r="C113" t="s">
        <v>903</v>
      </c>
      <c r="D113" t="s">
        <v>486</v>
      </c>
    </row>
    <row r="114" spans="1:4">
      <c r="A114" t="s">
        <v>60</v>
      </c>
      <c r="B114" t="s">
        <v>438</v>
      </c>
      <c r="C114" t="s">
        <v>904</v>
      </c>
      <c r="D114" t="s">
        <v>488</v>
      </c>
    </row>
    <row r="115" spans="1:4">
      <c r="A115" t="s">
        <v>60</v>
      </c>
      <c r="B115" t="s">
        <v>438</v>
      </c>
      <c r="C115" t="s">
        <v>905</v>
      </c>
      <c r="D115" t="s">
        <v>490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880</v>
      </c>
      <c r="D2" t="s">
        <v>440</v>
      </c>
    </row>
    <row r="3" spans="1:19">
      <c r="A3" t="s">
        <v>19</v>
      </c>
      <c r="B3" t="s">
        <v>179</v>
      </c>
      <c r="C3" t="s">
        <v>881</v>
      </c>
      <c r="D3" t="s">
        <v>442</v>
      </c>
    </row>
    <row r="4" spans="1:19">
      <c r="A4" t="s">
        <v>23</v>
      </c>
      <c r="B4" t="s">
        <v>179</v>
      </c>
      <c r="C4" t="s">
        <v>882</v>
      </c>
      <c r="D4" t="s">
        <v>444</v>
      </c>
    </row>
    <row r="5" spans="1:19">
      <c r="A5" t="s">
        <v>26</v>
      </c>
      <c r="B5" t="s">
        <v>179</v>
      </c>
      <c r="C5" t="s">
        <v>883</v>
      </c>
      <c r="D5" t="s">
        <v>446</v>
      </c>
    </row>
    <row r="6" spans="1:19">
      <c r="A6" t="s">
        <v>26</v>
      </c>
      <c r="B6" t="s">
        <v>179</v>
      </c>
      <c r="C6" t="s">
        <v>884</v>
      </c>
      <c r="D6" t="s">
        <v>448</v>
      </c>
    </row>
    <row r="7" spans="1:19">
      <c r="A7" t="s">
        <v>26</v>
      </c>
      <c r="B7" t="s">
        <v>179</v>
      </c>
      <c r="C7" t="s">
        <v>885</v>
      </c>
      <c r="D7" t="s">
        <v>450</v>
      </c>
    </row>
    <row r="8" spans="1:19">
      <c r="A8" t="s">
        <v>26</v>
      </c>
      <c r="B8" t="s">
        <v>179</v>
      </c>
      <c r="C8" t="s">
        <v>886</v>
      </c>
      <c r="D8" t="s">
        <v>452</v>
      </c>
    </row>
    <row r="9" spans="1:19">
      <c r="A9" t="s">
        <v>23</v>
      </c>
      <c r="B9" t="s">
        <v>179</v>
      </c>
      <c r="C9" t="s">
        <v>887</v>
      </c>
      <c r="D9" t="s">
        <v>454</v>
      </c>
    </row>
    <row r="10" spans="1:19">
      <c r="A10" t="s">
        <v>26</v>
      </c>
      <c r="B10" t="s">
        <v>179</v>
      </c>
      <c r="C10" t="s">
        <v>888</v>
      </c>
      <c r="D10" t="s">
        <v>456</v>
      </c>
    </row>
    <row r="11" spans="1:19">
      <c r="A11" t="s">
        <v>26</v>
      </c>
      <c r="B11" t="s">
        <v>179</v>
      </c>
      <c r="C11" t="s">
        <v>889</v>
      </c>
      <c r="D11" t="s">
        <v>458</v>
      </c>
    </row>
    <row r="12" spans="1:19">
      <c r="A12" t="s">
        <v>26</v>
      </c>
      <c r="B12" t="s">
        <v>179</v>
      </c>
      <c r="C12" t="s">
        <v>890</v>
      </c>
      <c r="D12" t="s">
        <v>460</v>
      </c>
    </row>
    <row r="13" spans="1:19">
      <c r="A13" t="s">
        <v>26</v>
      </c>
      <c r="B13" t="s">
        <v>179</v>
      </c>
      <c r="C13" t="s">
        <v>891</v>
      </c>
      <c r="D13" t="s">
        <v>462</v>
      </c>
    </row>
    <row r="14" spans="1:19">
      <c r="A14" t="s">
        <v>26</v>
      </c>
      <c r="B14" t="s">
        <v>179</v>
      </c>
      <c r="C14" t="s">
        <v>892</v>
      </c>
      <c r="D14" t="s">
        <v>464</v>
      </c>
    </row>
    <row r="15" spans="1:19">
      <c r="A15" t="s">
        <v>26</v>
      </c>
      <c r="B15" t="s">
        <v>179</v>
      </c>
      <c r="C15" t="s">
        <v>893</v>
      </c>
      <c r="D15" t="s">
        <v>466</v>
      </c>
    </row>
    <row r="16" spans="1:19">
      <c r="A16" t="s">
        <v>26</v>
      </c>
      <c r="B16" t="s">
        <v>179</v>
      </c>
      <c r="C16" t="s">
        <v>894</v>
      </c>
      <c r="D16" t="s">
        <v>468</v>
      </c>
    </row>
    <row r="17" spans="1:4">
      <c r="A17" t="s">
        <v>26</v>
      </c>
      <c r="B17" t="s">
        <v>179</v>
      </c>
      <c r="C17" t="s">
        <v>895</v>
      </c>
      <c r="D17" t="s">
        <v>470</v>
      </c>
    </row>
    <row r="18" spans="1:4">
      <c r="A18" t="s">
        <v>26</v>
      </c>
      <c r="B18" t="s">
        <v>179</v>
      </c>
      <c r="C18" t="s">
        <v>896</v>
      </c>
      <c r="D18" t="s">
        <v>472</v>
      </c>
    </row>
    <row r="19" spans="1:4">
      <c r="A19" t="s">
        <v>26</v>
      </c>
      <c r="B19" t="s">
        <v>179</v>
      </c>
      <c r="C19" t="s">
        <v>897</v>
      </c>
      <c r="D19" t="s">
        <v>474</v>
      </c>
    </row>
    <row r="20" spans="1:4">
      <c r="A20" t="s">
        <v>26</v>
      </c>
      <c r="B20" t="s">
        <v>179</v>
      </c>
      <c r="C20" t="s">
        <v>898</v>
      </c>
      <c r="D20" t="s">
        <v>476</v>
      </c>
    </row>
    <row r="21" spans="1:4">
      <c r="A21" t="s">
        <v>26</v>
      </c>
      <c r="B21" t="s">
        <v>179</v>
      </c>
      <c r="C21" t="s">
        <v>899</v>
      </c>
      <c r="D21" t="s">
        <v>478</v>
      </c>
    </row>
    <row r="22" spans="1:4">
      <c r="A22" t="s">
        <v>26</v>
      </c>
      <c r="B22" t="s">
        <v>179</v>
      </c>
      <c r="C22" t="s">
        <v>900</v>
      </c>
      <c r="D22" t="s">
        <v>480</v>
      </c>
    </row>
    <row r="23" spans="1:4">
      <c r="A23" t="s">
        <v>26</v>
      </c>
      <c r="B23" t="s">
        <v>179</v>
      </c>
      <c r="C23" t="s">
        <v>901</v>
      </c>
      <c r="D23" t="s">
        <v>482</v>
      </c>
    </row>
    <row r="24" spans="1:4">
      <c r="A24" t="s">
        <v>23</v>
      </c>
      <c r="B24" t="s">
        <v>179</v>
      </c>
      <c r="C24" t="s">
        <v>902</v>
      </c>
      <c r="D24" t="s">
        <v>484</v>
      </c>
    </row>
    <row r="25" spans="1:4">
      <c r="A25" t="s">
        <v>26</v>
      </c>
      <c r="B25" t="s">
        <v>179</v>
      </c>
      <c r="C25" t="s">
        <v>903</v>
      </c>
      <c r="D25" t="s">
        <v>486</v>
      </c>
    </row>
    <row r="26" spans="1:4">
      <c r="A26" t="s">
        <v>26</v>
      </c>
      <c r="B26" t="s">
        <v>179</v>
      </c>
      <c r="C26" t="s">
        <v>904</v>
      </c>
      <c r="D26" t="s">
        <v>488</v>
      </c>
    </row>
    <row r="27" spans="1:4">
      <c r="A27" t="s">
        <v>26</v>
      </c>
      <c r="B27" t="s">
        <v>179</v>
      </c>
      <c r="C27" t="s">
        <v>905</v>
      </c>
      <c r="D27" t="s">
        <v>490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906</v>
      </c>
      <c r="D2" t="s">
        <v>22</v>
      </c>
      <c r="H2">
        <f t="shared" ref="H2:S2" si="0">H3+H6+H7</f>
        <v>1341900000</v>
      </c>
      <c r="I2">
        <f t="shared" si="0"/>
        <v>1246050000</v>
      </c>
      <c r="J2">
        <f t="shared" si="0"/>
        <v>1495260000</v>
      </c>
      <c r="K2">
        <f t="shared" si="0"/>
        <v>498400000</v>
      </c>
      <c r="L2">
        <f t="shared" si="0"/>
        <v>510860000</v>
      </c>
      <c r="M2">
        <f t="shared" si="0"/>
        <v>529550000</v>
      </c>
      <c r="N2">
        <f t="shared" si="0"/>
        <v>548240000</v>
      </c>
      <c r="O2">
        <f t="shared" si="0"/>
        <v>542010000</v>
      </c>
      <c r="P2">
        <f t="shared" si="0"/>
        <v>529550000</v>
      </c>
      <c r="Q2">
        <f t="shared" si="0"/>
        <v>579390000</v>
      </c>
      <c r="R2">
        <f t="shared" si="0"/>
        <v>573160000</v>
      </c>
      <c r="S2">
        <f t="shared" si="0"/>
        <v>591850000</v>
      </c>
    </row>
    <row r="3" spans="1:19">
      <c r="A3" t="s">
        <v>23</v>
      </c>
      <c r="B3" t="s">
        <v>20</v>
      </c>
      <c r="C3" t="s">
        <v>907</v>
      </c>
      <c r="D3" t="s">
        <v>25</v>
      </c>
      <c r="H3">
        <f t="shared" ref="H3:S3" si="1">H4+H5</f>
        <v>748300000</v>
      </c>
      <c r="I3">
        <f t="shared" si="1"/>
        <v>694850000</v>
      </c>
      <c r="J3">
        <f t="shared" si="1"/>
        <v>833820000</v>
      </c>
      <c r="K3">
        <f t="shared" si="1"/>
        <v>-24000000</v>
      </c>
      <c r="L3">
        <f t="shared" si="1"/>
        <v>-24600000</v>
      </c>
      <c r="M3">
        <f t="shared" si="1"/>
        <v>-25500000</v>
      </c>
      <c r="N3">
        <f t="shared" si="1"/>
        <v>-26400000</v>
      </c>
      <c r="O3">
        <f t="shared" si="1"/>
        <v>-26100000</v>
      </c>
      <c r="P3">
        <f t="shared" si="1"/>
        <v>-25500000</v>
      </c>
      <c r="Q3">
        <f t="shared" si="1"/>
        <v>-27900000</v>
      </c>
      <c r="R3">
        <f t="shared" si="1"/>
        <v>-27600000</v>
      </c>
      <c r="S3">
        <f t="shared" si="1"/>
        <v>-28500000</v>
      </c>
    </row>
    <row r="4" spans="1:19">
      <c r="A4" t="s">
        <v>26</v>
      </c>
      <c r="B4" t="s">
        <v>20</v>
      </c>
      <c r="C4" t="s">
        <v>908</v>
      </c>
      <c r="D4" t="s">
        <v>28</v>
      </c>
      <c r="H4">
        <f t="shared" ref="H4:S4" si="2">H59-H90</f>
        <v>769300000</v>
      </c>
      <c r="I4">
        <f t="shared" si="2"/>
        <v>714350000</v>
      </c>
      <c r="J4">
        <f t="shared" si="2"/>
        <v>857220000</v>
      </c>
      <c r="K4">
        <f t="shared" si="2"/>
        <v>-24000000</v>
      </c>
      <c r="L4">
        <f t="shared" si="2"/>
        <v>-24600000</v>
      </c>
      <c r="M4">
        <f t="shared" si="2"/>
        <v>-25500000</v>
      </c>
      <c r="N4">
        <f t="shared" si="2"/>
        <v>-26400000</v>
      </c>
      <c r="O4">
        <f t="shared" si="2"/>
        <v>-26100000</v>
      </c>
      <c r="P4">
        <f t="shared" si="2"/>
        <v>-25500000</v>
      </c>
      <c r="Q4">
        <f t="shared" si="2"/>
        <v>-27900000</v>
      </c>
      <c r="R4">
        <f t="shared" si="2"/>
        <v>-27600000</v>
      </c>
      <c r="S4">
        <f t="shared" si="2"/>
        <v>-28500000</v>
      </c>
    </row>
    <row r="5" spans="1:19">
      <c r="A5" t="s">
        <v>26</v>
      </c>
      <c r="B5" t="s">
        <v>20</v>
      </c>
      <c r="C5" t="s">
        <v>909</v>
      </c>
      <c r="D5" t="s">
        <v>30</v>
      </c>
      <c r="H5">
        <f t="shared" ref="H5:S5" si="3">H107-H101</f>
        <v>-21000000</v>
      </c>
      <c r="I5">
        <f t="shared" si="3"/>
        <v>-19500000</v>
      </c>
      <c r="J5">
        <f t="shared" si="3"/>
        <v>-23400000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>
        <f t="shared" si="3"/>
        <v>0</v>
      </c>
      <c r="R5">
        <f t="shared" si="3"/>
        <v>0</v>
      </c>
      <c r="S5">
        <f t="shared" si="3"/>
        <v>0</v>
      </c>
    </row>
    <row r="6" spans="1:19">
      <c r="A6" t="s">
        <v>23</v>
      </c>
      <c r="B6" t="s">
        <v>20</v>
      </c>
      <c r="C6" t="s">
        <v>910</v>
      </c>
      <c r="D6" t="s">
        <v>32</v>
      </c>
      <c r="H6">
        <f t="shared" ref="H6:S6" si="4">H113-H129</f>
        <v>465500000</v>
      </c>
      <c r="I6">
        <f t="shared" si="4"/>
        <v>432250000</v>
      </c>
      <c r="J6">
        <f t="shared" si="4"/>
        <v>518700000</v>
      </c>
      <c r="K6">
        <f t="shared" si="4"/>
        <v>376000000</v>
      </c>
      <c r="L6">
        <f t="shared" si="4"/>
        <v>385400000</v>
      </c>
      <c r="M6">
        <f t="shared" si="4"/>
        <v>399500000</v>
      </c>
      <c r="N6">
        <f t="shared" si="4"/>
        <v>413600000</v>
      </c>
      <c r="O6">
        <f t="shared" si="4"/>
        <v>408900000</v>
      </c>
      <c r="P6">
        <f t="shared" si="4"/>
        <v>399500000</v>
      </c>
      <c r="Q6">
        <f t="shared" si="4"/>
        <v>437100000</v>
      </c>
      <c r="R6">
        <f t="shared" si="4"/>
        <v>432400000</v>
      </c>
      <c r="S6">
        <f t="shared" si="4"/>
        <v>446500000</v>
      </c>
    </row>
    <row r="7" spans="1:19">
      <c r="A7" t="s">
        <v>23</v>
      </c>
      <c r="B7" t="s">
        <v>20</v>
      </c>
      <c r="C7" t="s">
        <v>911</v>
      </c>
      <c r="D7" t="s">
        <v>34</v>
      </c>
      <c r="H7">
        <f t="shared" ref="H7:S7" si="5">H150+H151</f>
        <v>128100000</v>
      </c>
      <c r="I7">
        <f t="shared" si="5"/>
        <v>118950000</v>
      </c>
      <c r="J7">
        <f t="shared" si="5"/>
        <v>142740000</v>
      </c>
      <c r="K7">
        <f t="shared" si="5"/>
        <v>146400000</v>
      </c>
      <c r="L7">
        <f t="shared" si="5"/>
        <v>150060000</v>
      </c>
      <c r="M7">
        <f t="shared" si="5"/>
        <v>155550000</v>
      </c>
      <c r="N7">
        <f t="shared" si="5"/>
        <v>161040000</v>
      </c>
      <c r="O7">
        <f t="shared" si="5"/>
        <v>159210000</v>
      </c>
      <c r="P7">
        <f t="shared" si="5"/>
        <v>155550000</v>
      </c>
      <c r="Q7">
        <f t="shared" si="5"/>
        <v>170190000</v>
      </c>
      <c r="R7">
        <f t="shared" si="5"/>
        <v>168360000</v>
      </c>
      <c r="S7">
        <f t="shared" si="5"/>
        <v>173850000</v>
      </c>
    </row>
    <row r="8" spans="1:19">
      <c r="A8" t="s">
        <v>19</v>
      </c>
      <c r="B8" t="s">
        <v>35</v>
      </c>
      <c r="C8" t="s">
        <v>912</v>
      </c>
      <c r="D8" t="s">
        <v>37</v>
      </c>
      <c r="H8">
        <v>600600000</v>
      </c>
      <c r="I8">
        <v>557700000</v>
      </c>
      <c r="J8">
        <v>669240000</v>
      </c>
      <c r="K8">
        <v>686400000</v>
      </c>
      <c r="L8">
        <v>703560000</v>
      </c>
      <c r="M8">
        <v>729300000</v>
      </c>
      <c r="N8">
        <v>755040000</v>
      </c>
      <c r="O8">
        <v>746460000</v>
      </c>
      <c r="P8">
        <v>729300000</v>
      </c>
      <c r="Q8">
        <v>797940000</v>
      </c>
      <c r="R8">
        <v>789360000</v>
      </c>
      <c r="S8">
        <v>815100000</v>
      </c>
    </row>
    <row r="9" spans="1:19">
      <c r="A9" t="s">
        <v>19</v>
      </c>
      <c r="B9" t="s">
        <v>20</v>
      </c>
      <c r="C9" t="s">
        <v>913</v>
      </c>
      <c r="D9" t="s">
        <v>39</v>
      </c>
      <c r="H9">
        <f t="shared" ref="H9:S9" si="6">H2-H8</f>
        <v>741300000</v>
      </c>
      <c r="I9">
        <f t="shared" si="6"/>
        <v>688350000</v>
      </c>
      <c r="J9">
        <f t="shared" si="6"/>
        <v>826020000</v>
      </c>
      <c r="K9">
        <f t="shared" si="6"/>
        <v>-188000000</v>
      </c>
      <c r="L9">
        <f t="shared" si="6"/>
        <v>-192700000</v>
      </c>
      <c r="M9">
        <f t="shared" si="6"/>
        <v>-199750000</v>
      </c>
      <c r="N9">
        <f t="shared" si="6"/>
        <v>-206800000</v>
      </c>
      <c r="O9">
        <f t="shared" si="6"/>
        <v>-204450000</v>
      </c>
      <c r="P9">
        <f t="shared" si="6"/>
        <v>-199750000</v>
      </c>
      <c r="Q9">
        <f t="shared" si="6"/>
        <v>-218550000</v>
      </c>
      <c r="R9">
        <f t="shared" si="6"/>
        <v>-216200000</v>
      </c>
      <c r="S9">
        <f t="shared" si="6"/>
        <v>-223250000</v>
      </c>
    </row>
    <row r="10" spans="1:19">
      <c r="A10" t="s">
        <v>19</v>
      </c>
      <c r="B10" t="s">
        <v>35</v>
      </c>
      <c r="C10" t="s">
        <v>914</v>
      </c>
      <c r="D10" t="s">
        <v>41</v>
      </c>
      <c r="H10">
        <v>24500000</v>
      </c>
      <c r="I10">
        <v>22750000</v>
      </c>
      <c r="J10">
        <v>27300000</v>
      </c>
      <c r="K10">
        <v>28000000</v>
      </c>
      <c r="L10">
        <v>28700000</v>
      </c>
      <c r="M10">
        <v>29750000</v>
      </c>
      <c r="N10">
        <v>30800000</v>
      </c>
      <c r="O10">
        <v>30450000</v>
      </c>
      <c r="P10">
        <v>29750000</v>
      </c>
      <c r="Q10">
        <v>32550000</v>
      </c>
      <c r="R10">
        <v>32200000</v>
      </c>
      <c r="S10">
        <v>33250000</v>
      </c>
    </row>
    <row r="11" spans="1:19">
      <c r="A11" t="s">
        <v>19</v>
      </c>
      <c r="B11" t="s">
        <v>35</v>
      </c>
      <c r="C11" t="s">
        <v>915</v>
      </c>
      <c r="D11" t="s">
        <v>43</v>
      </c>
      <c r="H11">
        <f t="shared" ref="H11:S11" si="7">H12+H15+H18+H25+H26</f>
        <v>338100000</v>
      </c>
      <c r="I11">
        <f t="shared" si="7"/>
        <v>313950000</v>
      </c>
      <c r="J11">
        <f t="shared" si="7"/>
        <v>376740000</v>
      </c>
      <c r="K11">
        <f t="shared" si="7"/>
        <v>386400000</v>
      </c>
      <c r="L11">
        <f t="shared" si="7"/>
        <v>396060000</v>
      </c>
      <c r="M11">
        <f t="shared" si="7"/>
        <v>410550000</v>
      </c>
      <c r="N11">
        <f t="shared" si="7"/>
        <v>425040000</v>
      </c>
      <c r="O11">
        <f t="shared" si="7"/>
        <v>420210000</v>
      </c>
      <c r="P11">
        <f t="shared" si="7"/>
        <v>410550000</v>
      </c>
      <c r="Q11">
        <f t="shared" si="7"/>
        <v>449190000</v>
      </c>
      <c r="R11">
        <f t="shared" si="7"/>
        <v>444360000</v>
      </c>
      <c r="S11">
        <f t="shared" si="7"/>
        <v>458850000</v>
      </c>
    </row>
    <row r="12" spans="1:19">
      <c r="A12" t="s">
        <v>23</v>
      </c>
      <c r="B12" t="s">
        <v>35</v>
      </c>
      <c r="C12" t="s">
        <v>916</v>
      </c>
      <c r="D12" t="s">
        <v>45</v>
      </c>
      <c r="H12">
        <f t="shared" ref="H12:S12" si="8">H13+H14</f>
        <v>132300000</v>
      </c>
      <c r="I12">
        <f t="shared" si="8"/>
        <v>122850000</v>
      </c>
      <c r="J12">
        <f t="shared" si="8"/>
        <v>147420000</v>
      </c>
      <c r="K12">
        <f t="shared" si="8"/>
        <v>151200000</v>
      </c>
      <c r="L12">
        <f t="shared" si="8"/>
        <v>154980000</v>
      </c>
      <c r="M12">
        <f t="shared" si="8"/>
        <v>160650000</v>
      </c>
      <c r="N12">
        <f t="shared" si="8"/>
        <v>166320000</v>
      </c>
      <c r="O12">
        <f t="shared" si="8"/>
        <v>164430000</v>
      </c>
      <c r="P12">
        <f t="shared" si="8"/>
        <v>160650000</v>
      </c>
      <c r="Q12">
        <f t="shared" si="8"/>
        <v>175770000</v>
      </c>
      <c r="R12">
        <f t="shared" si="8"/>
        <v>173880000</v>
      </c>
      <c r="S12">
        <f t="shared" si="8"/>
        <v>179550000</v>
      </c>
    </row>
    <row r="13" spans="1:19">
      <c r="A13" t="s">
        <v>26</v>
      </c>
      <c r="B13" t="s">
        <v>35</v>
      </c>
      <c r="C13" t="s">
        <v>917</v>
      </c>
      <c r="D13" t="s">
        <v>47</v>
      </c>
      <c r="H13">
        <v>88200000</v>
      </c>
      <c r="I13">
        <v>81900000</v>
      </c>
      <c r="J13">
        <v>98280000</v>
      </c>
      <c r="K13">
        <v>100800000</v>
      </c>
      <c r="L13">
        <v>103320000</v>
      </c>
      <c r="M13">
        <v>107100000</v>
      </c>
      <c r="N13">
        <v>110880000</v>
      </c>
      <c r="O13">
        <v>109620000</v>
      </c>
      <c r="P13">
        <v>107100000</v>
      </c>
      <c r="Q13">
        <v>117180000</v>
      </c>
      <c r="R13">
        <v>115920000</v>
      </c>
      <c r="S13">
        <v>119700000</v>
      </c>
    </row>
    <row r="14" spans="1:19">
      <c r="A14" t="s">
        <v>26</v>
      </c>
      <c r="B14" t="s">
        <v>35</v>
      </c>
      <c r="C14" t="s">
        <v>918</v>
      </c>
      <c r="D14" t="s">
        <v>49</v>
      </c>
      <c r="H14">
        <v>44100000</v>
      </c>
      <c r="I14">
        <v>40950000</v>
      </c>
      <c r="J14">
        <v>49140000</v>
      </c>
      <c r="K14">
        <v>50400000</v>
      </c>
      <c r="L14">
        <v>51660000</v>
      </c>
      <c r="M14">
        <v>53550000</v>
      </c>
      <c r="N14">
        <v>55440000</v>
      </c>
      <c r="O14">
        <v>54810000</v>
      </c>
      <c r="P14">
        <v>53550000</v>
      </c>
      <c r="Q14">
        <v>58590000</v>
      </c>
      <c r="R14">
        <v>57960000</v>
      </c>
      <c r="S14">
        <v>59850000</v>
      </c>
    </row>
    <row r="15" spans="1:19">
      <c r="A15" t="s">
        <v>23</v>
      </c>
      <c r="B15" t="s">
        <v>35</v>
      </c>
      <c r="C15" t="s">
        <v>919</v>
      </c>
      <c r="D15" t="s">
        <v>51</v>
      </c>
      <c r="H15">
        <f t="shared" ref="H15:S15" si="9">H16+H17</f>
        <v>88200000</v>
      </c>
      <c r="I15">
        <f t="shared" si="9"/>
        <v>81900000</v>
      </c>
      <c r="J15">
        <f t="shared" si="9"/>
        <v>98280000</v>
      </c>
      <c r="K15">
        <f t="shared" si="9"/>
        <v>100800000</v>
      </c>
      <c r="L15">
        <f t="shared" si="9"/>
        <v>103320000</v>
      </c>
      <c r="M15">
        <f t="shared" si="9"/>
        <v>107100000</v>
      </c>
      <c r="N15">
        <f t="shared" si="9"/>
        <v>110880000</v>
      </c>
      <c r="O15">
        <f t="shared" si="9"/>
        <v>109620000</v>
      </c>
      <c r="P15">
        <f t="shared" si="9"/>
        <v>107100000</v>
      </c>
      <c r="Q15">
        <f t="shared" si="9"/>
        <v>117180000</v>
      </c>
      <c r="R15">
        <f t="shared" si="9"/>
        <v>115920000</v>
      </c>
      <c r="S15">
        <f t="shared" si="9"/>
        <v>119700000</v>
      </c>
    </row>
    <row r="16" spans="1:19">
      <c r="A16" t="s">
        <v>26</v>
      </c>
      <c r="B16" t="s">
        <v>35</v>
      </c>
      <c r="C16" t="s">
        <v>920</v>
      </c>
      <c r="D16" t="s">
        <v>53</v>
      </c>
      <c r="H16">
        <v>53200000</v>
      </c>
      <c r="I16">
        <v>49400000</v>
      </c>
      <c r="J16">
        <v>59280000</v>
      </c>
      <c r="K16">
        <v>60800000</v>
      </c>
      <c r="L16">
        <v>62320000</v>
      </c>
      <c r="M16">
        <v>64600000</v>
      </c>
      <c r="N16">
        <v>66880000</v>
      </c>
      <c r="O16">
        <v>66120000</v>
      </c>
      <c r="P16">
        <v>64600000</v>
      </c>
      <c r="Q16">
        <v>70680000</v>
      </c>
      <c r="R16">
        <v>69920000</v>
      </c>
      <c r="S16">
        <v>72200000</v>
      </c>
    </row>
    <row r="17" spans="1:19">
      <c r="A17" t="s">
        <v>26</v>
      </c>
      <c r="B17" t="s">
        <v>35</v>
      </c>
      <c r="C17" t="s">
        <v>921</v>
      </c>
      <c r="D17" t="s">
        <v>55</v>
      </c>
      <c r="H17">
        <v>35000000</v>
      </c>
      <c r="I17">
        <v>32500000</v>
      </c>
      <c r="J17">
        <v>39000000</v>
      </c>
      <c r="K17">
        <v>40000000</v>
      </c>
      <c r="L17">
        <v>41000000</v>
      </c>
      <c r="M17">
        <v>42500000</v>
      </c>
      <c r="N17">
        <v>44000000</v>
      </c>
      <c r="O17">
        <v>43500000</v>
      </c>
      <c r="P17">
        <v>42500000</v>
      </c>
      <c r="Q17">
        <v>46500000</v>
      </c>
      <c r="R17">
        <v>46000000</v>
      </c>
      <c r="S17">
        <v>47500000</v>
      </c>
    </row>
    <row r="18" spans="1:19">
      <c r="A18" t="s">
        <v>23</v>
      </c>
      <c r="B18" t="s">
        <v>35</v>
      </c>
      <c r="C18" t="s">
        <v>922</v>
      </c>
      <c r="D18" t="s">
        <v>57</v>
      </c>
      <c r="H18">
        <f t="shared" ref="H18:S18" si="10">H19+H22+H23+H24</f>
        <v>73500000</v>
      </c>
      <c r="I18">
        <f t="shared" si="10"/>
        <v>68250000</v>
      </c>
      <c r="J18">
        <f t="shared" si="10"/>
        <v>81900000</v>
      </c>
      <c r="K18">
        <f t="shared" si="10"/>
        <v>84000000</v>
      </c>
      <c r="L18">
        <f t="shared" si="10"/>
        <v>86100000</v>
      </c>
      <c r="M18">
        <f t="shared" si="10"/>
        <v>89250000</v>
      </c>
      <c r="N18">
        <f t="shared" si="10"/>
        <v>92400000</v>
      </c>
      <c r="O18">
        <f t="shared" si="10"/>
        <v>91350000</v>
      </c>
      <c r="P18">
        <f t="shared" si="10"/>
        <v>89250000</v>
      </c>
      <c r="Q18">
        <f t="shared" si="10"/>
        <v>97650000</v>
      </c>
      <c r="R18">
        <f t="shared" si="10"/>
        <v>96600000</v>
      </c>
      <c r="S18">
        <f t="shared" si="10"/>
        <v>99750000</v>
      </c>
    </row>
    <row r="19" spans="1:19">
      <c r="A19" t="s">
        <v>26</v>
      </c>
      <c r="B19" t="s">
        <v>35</v>
      </c>
      <c r="C19" t="s">
        <v>923</v>
      </c>
      <c r="D19" t="s">
        <v>59</v>
      </c>
      <c r="H19">
        <f t="shared" ref="H19:S19" si="11">H20+H21</f>
        <v>35000000</v>
      </c>
      <c r="I19">
        <f t="shared" si="11"/>
        <v>32500000</v>
      </c>
      <c r="J19">
        <f t="shared" si="11"/>
        <v>39000000</v>
      </c>
      <c r="K19">
        <f t="shared" si="11"/>
        <v>40000000</v>
      </c>
      <c r="L19">
        <f t="shared" si="11"/>
        <v>41000000</v>
      </c>
      <c r="M19">
        <f t="shared" si="11"/>
        <v>42500000</v>
      </c>
      <c r="N19">
        <f t="shared" si="11"/>
        <v>44000000</v>
      </c>
      <c r="O19">
        <f t="shared" si="11"/>
        <v>43500000</v>
      </c>
      <c r="P19">
        <f t="shared" si="11"/>
        <v>42500000</v>
      </c>
      <c r="Q19">
        <f t="shared" si="11"/>
        <v>46500000</v>
      </c>
      <c r="R19">
        <f t="shared" si="11"/>
        <v>46000000</v>
      </c>
      <c r="S19">
        <f t="shared" si="11"/>
        <v>47500000</v>
      </c>
    </row>
    <row r="20" spans="1:19">
      <c r="A20" t="s">
        <v>60</v>
      </c>
      <c r="B20" t="s">
        <v>35</v>
      </c>
      <c r="C20" t="s">
        <v>924</v>
      </c>
      <c r="D20" t="s">
        <v>62</v>
      </c>
      <c r="H20">
        <v>20300000</v>
      </c>
      <c r="I20">
        <v>18850000</v>
      </c>
      <c r="J20">
        <v>22620000</v>
      </c>
      <c r="K20">
        <v>23200000</v>
      </c>
      <c r="L20">
        <v>23780000</v>
      </c>
      <c r="M20">
        <v>24650000</v>
      </c>
      <c r="N20">
        <v>25520000</v>
      </c>
      <c r="O20">
        <v>25230000</v>
      </c>
      <c r="P20">
        <v>24650000</v>
      </c>
      <c r="Q20">
        <v>26970000</v>
      </c>
      <c r="R20">
        <v>26680000</v>
      </c>
      <c r="S20">
        <v>27550000</v>
      </c>
    </row>
    <row r="21" spans="1:19">
      <c r="A21" t="s">
        <v>60</v>
      </c>
      <c r="B21" t="s">
        <v>35</v>
      </c>
      <c r="C21" t="s">
        <v>925</v>
      </c>
      <c r="D21" t="s">
        <v>64</v>
      </c>
      <c r="H21">
        <v>14700000</v>
      </c>
      <c r="I21">
        <v>13650000</v>
      </c>
      <c r="J21">
        <v>16380000</v>
      </c>
      <c r="K21">
        <v>16800000</v>
      </c>
      <c r="L21">
        <v>17220000</v>
      </c>
      <c r="M21">
        <v>17850000</v>
      </c>
      <c r="N21">
        <v>18480000</v>
      </c>
      <c r="O21">
        <v>18270000</v>
      </c>
      <c r="P21">
        <v>17850000</v>
      </c>
      <c r="Q21">
        <v>19530000</v>
      </c>
      <c r="R21">
        <v>19320000</v>
      </c>
      <c r="S21">
        <v>19950000</v>
      </c>
    </row>
    <row r="22" spans="1:19">
      <c r="A22" t="s">
        <v>26</v>
      </c>
      <c r="B22" t="s">
        <v>35</v>
      </c>
      <c r="C22" t="s">
        <v>926</v>
      </c>
      <c r="D22" t="s">
        <v>66</v>
      </c>
      <c r="H22">
        <v>14700000</v>
      </c>
      <c r="I22">
        <v>13650000</v>
      </c>
      <c r="J22">
        <v>16380000</v>
      </c>
      <c r="K22">
        <v>16800000</v>
      </c>
      <c r="L22">
        <v>17220000</v>
      </c>
      <c r="M22">
        <v>17850000</v>
      </c>
      <c r="N22">
        <v>18480000</v>
      </c>
      <c r="O22">
        <v>18270000</v>
      </c>
      <c r="P22">
        <v>17850000</v>
      </c>
      <c r="Q22">
        <v>19530000</v>
      </c>
      <c r="R22">
        <v>19320000</v>
      </c>
      <c r="S22">
        <v>19950000</v>
      </c>
    </row>
    <row r="23" spans="1:19">
      <c r="A23" t="s">
        <v>26</v>
      </c>
      <c r="B23" t="s">
        <v>35</v>
      </c>
      <c r="C23" t="s">
        <v>927</v>
      </c>
      <c r="D23" t="s">
        <v>68</v>
      </c>
      <c r="H23">
        <v>11900000</v>
      </c>
      <c r="I23">
        <v>11050000</v>
      </c>
      <c r="J23">
        <v>13260000</v>
      </c>
      <c r="K23">
        <v>13600000</v>
      </c>
      <c r="L23">
        <v>13940000</v>
      </c>
      <c r="M23">
        <v>14450000</v>
      </c>
      <c r="N23">
        <v>14960000</v>
      </c>
      <c r="O23">
        <v>14790000</v>
      </c>
      <c r="P23">
        <v>14450000</v>
      </c>
      <c r="Q23">
        <v>15810000</v>
      </c>
      <c r="R23">
        <v>15640000</v>
      </c>
      <c r="S23">
        <v>16150000</v>
      </c>
    </row>
    <row r="24" spans="1:19">
      <c r="A24" t="s">
        <v>26</v>
      </c>
      <c r="B24" t="s">
        <v>35</v>
      </c>
      <c r="C24" t="s">
        <v>928</v>
      </c>
      <c r="D24" t="s">
        <v>70</v>
      </c>
      <c r="H24">
        <v>11900000</v>
      </c>
      <c r="I24">
        <v>11050000</v>
      </c>
      <c r="J24">
        <v>13260000</v>
      </c>
      <c r="K24">
        <v>13600000</v>
      </c>
      <c r="L24">
        <v>13940000</v>
      </c>
      <c r="M24">
        <v>14450000</v>
      </c>
      <c r="N24">
        <v>14960000</v>
      </c>
      <c r="O24">
        <v>14790000</v>
      </c>
      <c r="P24">
        <v>14450000</v>
      </c>
      <c r="Q24">
        <v>15810000</v>
      </c>
      <c r="R24">
        <v>15640000</v>
      </c>
      <c r="S24">
        <v>16150000</v>
      </c>
    </row>
    <row r="25" spans="1:19">
      <c r="A25" t="s">
        <v>23</v>
      </c>
      <c r="B25" t="s">
        <v>35</v>
      </c>
      <c r="C25" t="s">
        <v>929</v>
      </c>
      <c r="D25" t="s">
        <v>72</v>
      </c>
      <c r="H25">
        <v>23800000</v>
      </c>
      <c r="I25">
        <v>22100000</v>
      </c>
      <c r="J25">
        <v>26520000</v>
      </c>
      <c r="K25">
        <v>27200000</v>
      </c>
      <c r="L25">
        <v>27880000</v>
      </c>
      <c r="M25">
        <v>28900000</v>
      </c>
      <c r="N25">
        <v>29920000</v>
      </c>
      <c r="O25">
        <v>29580000</v>
      </c>
      <c r="P25">
        <v>28900000</v>
      </c>
      <c r="Q25">
        <v>31620000</v>
      </c>
      <c r="R25">
        <v>31280000</v>
      </c>
      <c r="S25">
        <v>32300000</v>
      </c>
    </row>
    <row r="26" spans="1:19">
      <c r="A26" t="s">
        <v>23</v>
      </c>
      <c r="B26" t="s">
        <v>35</v>
      </c>
      <c r="C26" t="s">
        <v>930</v>
      </c>
      <c r="D26" t="s">
        <v>74</v>
      </c>
      <c r="H26">
        <v>20300000</v>
      </c>
      <c r="I26">
        <v>18850000</v>
      </c>
      <c r="J26">
        <v>22620000</v>
      </c>
      <c r="K26">
        <v>23200000</v>
      </c>
      <c r="L26">
        <v>23780000</v>
      </c>
      <c r="M26">
        <v>24650000</v>
      </c>
      <c r="N26">
        <v>25520000</v>
      </c>
      <c r="O26">
        <v>25230000</v>
      </c>
      <c r="P26">
        <v>24650000</v>
      </c>
      <c r="Q26">
        <v>26970000</v>
      </c>
      <c r="R26">
        <v>26680000</v>
      </c>
      <c r="S26">
        <v>27550000</v>
      </c>
    </row>
    <row r="27" spans="1:19">
      <c r="A27" t="s">
        <v>19</v>
      </c>
      <c r="B27" t="s">
        <v>20</v>
      </c>
      <c r="C27" t="s">
        <v>931</v>
      </c>
      <c r="D27" t="s">
        <v>76</v>
      </c>
      <c r="H27">
        <v>9800000</v>
      </c>
      <c r="I27">
        <v>9100000</v>
      </c>
      <c r="J27">
        <v>10920000</v>
      </c>
      <c r="K27">
        <v>11200000</v>
      </c>
      <c r="L27">
        <v>11480000</v>
      </c>
      <c r="M27">
        <v>11900000</v>
      </c>
      <c r="N27">
        <v>12320000</v>
      </c>
      <c r="O27">
        <v>12180000</v>
      </c>
      <c r="P27">
        <v>11900000</v>
      </c>
      <c r="Q27">
        <v>13020000</v>
      </c>
      <c r="R27">
        <v>12880000</v>
      </c>
      <c r="S27">
        <v>13300000</v>
      </c>
    </row>
    <row r="28" spans="1:19">
      <c r="A28" t="s">
        <v>19</v>
      </c>
      <c r="B28" t="s">
        <v>77</v>
      </c>
      <c r="C28" t="s">
        <v>932</v>
      </c>
      <c r="D28" t="s">
        <v>79</v>
      </c>
      <c r="H28">
        <f t="shared" ref="H28:S28" si="12">H9-H10-H11+H27</f>
        <v>388500000</v>
      </c>
      <c r="I28">
        <f t="shared" si="12"/>
        <v>360750000</v>
      </c>
      <c r="J28">
        <f t="shared" si="12"/>
        <v>432900000</v>
      </c>
      <c r="K28">
        <f t="shared" si="12"/>
        <v>-591200000</v>
      </c>
      <c r="L28">
        <f t="shared" si="12"/>
        <v>-605980000</v>
      </c>
      <c r="M28">
        <f t="shared" si="12"/>
        <v>-628150000</v>
      </c>
      <c r="N28">
        <f t="shared" si="12"/>
        <v>-650320000</v>
      </c>
      <c r="O28">
        <f t="shared" si="12"/>
        <v>-642930000</v>
      </c>
      <c r="P28">
        <f t="shared" si="12"/>
        <v>-628150000</v>
      </c>
      <c r="Q28">
        <f t="shared" si="12"/>
        <v>-687270000</v>
      </c>
      <c r="R28">
        <f t="shared" si="12"/>
        <v>-679880000</v>
      </c>
      <c r="S28">
        <f t="shared" si="12"/>
        <v>-702050000</v>
      </c>
    </row>
    <row r="29" spans="1:19">
      <c r="A29" t="s">
        <v>19</v>
      </c>
      <c r="B29" t="s">
        <v>35</v>
      </c>
      <c r="C29" t="s">
        <v>933</v>
      </c>
      <c r="D29" t="s">
        <v>81</v>
      </c>
      <c r="H29">
        <v>35000000</v>
      </c>
      <c r="I29">
        <v>32500000</v>
      </c>
      <c r="J29">
        <v>39000000</v>
      </c>
      <c r="K29">
        <v>40000000</v>
      </c>
      <c r="L29">
        <v>41000000</v>
      </c>
      <c r="M29">
        <v>42500000</v>
      </c>
      <c r="N29">
        <v>44000000</v>
      </c>
      <c r="O29">
        <v>43500000</v>
      </c>
      <c r="P29">
        <v>42500000</v>
      </c>
      <c r="Q29">
        <v>46500000</v>
      </c>
      <c r="R29">
        <v>46000000</v>
      </c>
      <c r="S29">
        <v>47500000</v>
      </c>
    </row>
    <row r="30" spans="1:19">
      <c r="A30" t="s">
        <v>19</v>
      </c>
      <c r="B30" t="s">
        <v>77</v>
      </c>
      <c r="C30" t="s">
        <v>934</v>
      </c>
      <c r="D30" t="s">
        <v>83</v>
      </c>
      <c r="H30">
        <f t="shared" ref="H30:S30" si="13">H28-H29</f>
        <v>353500000</v>
      </c>
      <c r="I30">
        <f t="shared" si="13"/>
        <v>328250000</v>
      </c>
      <c r="J30">
        <f t="shared" si="13"/>
        <v>393900000</v>
      </c>
      <c r="K30">
        <f t="shared" si="13"/>
        <v>-631200000</v>
      </c>
      <c r="L30">
        <f t="shared" si="13"/>
        <v>-646980000</v>
      </c>
      <c r="M30">
        <f t="shared" si="13"/>
        <v>-670650000</v>
      </c>
      <c r="N30">
        <f t="shared" si="13"/>
        <v>-694320000</v>
      </c>
      <c r="O30">
        <f t="shared" si="13"/>
        <v>-686430000</v>
      </c>
      <c r="P30">
        <f t="shared" si="13"/>
        <v>-670650000</v>
      </c>
      <c r="Q30">
        <f t="shared" si="13"/>
        <v>-733770000</v>
      </c>
      <c r="R30">
        <f t="shared" si="13"/>
        <v>-725880000</v>
      </c>
      <c r="S30">
        <f t="shared" si="13"/>
        <v>-749550000</v>
      </c>
    </row>
    <row r="31" spans="1:19">
      <c r="A31" t="s">
        <v>19</v>
      </c>
      <c r="B31" t="s">
        <v>84</v>
      </c>
      <c r="C31" t="s">
        <v>935</v>
      </c>
      <c r="D31" t="s">
        <v>86</v>
      </c>
      <c r="H31">
        <f t="shared" ref="H31:S31" si="14">H32+H37+H38</f>
        <v>18375000000</v>
      </c>
      <c r="I31">
        <f t="shared" si="14"/>
        <v>19110000000</v>
      </c>
      <c r="J31">
        <f t="shared" si="14"/>
        <v>20090000000</v>
      </c>
      <c r="K31">
        <f t="shared" si="14"/>
        <v>20335000000</v>
      </c>
      <c r="L31">
        <f t="shared" si="14"/>
        <v>20825000000</v>
      </c>
      <c r="M31">
        <f t="shared" si="14"/>
        <v>21315000000</v>
      </c>
      <c r="N31">
        <f t="shared" si="14"/>
        <v>21560000000</v>
      </c>
      <c r="O31">
        <f t="shared" si="14"/>
        <v>21070000000</v>
      </c>
      <c r="P31">
        <f t="shared" si="14"/>
        <v>20580000000</v>
      </c>
      <c r="Q31">
        <f t="shared" si="14"/>
        <v>20335000000</v>
      </c>
      <c r="R31">
        <f t="shared" si="14"/>
        <v>20090000000</v>
      </c>
      <c r="S31">
        <f t="shared" si="14"/>
        <v>21315000000</v>
      </c>
    </row>
    <row r="32" spans="1:19">
      <c r="A32" t="s">
        <v>23</v>
      </c>
      <c r="B32" t="s">
        <v>84</v>
      </c>
      <c r="C32" t="s">
        <v>936</v>
      </c>
      <c r="D32" t="s">
        <v>88</v>
      </c>
      <c r="H32">
        <f t="shared" ref="H32:S32" si="15">H33</f>
        <v>14700000000</v>
      </c>
      <c r="I32">
        <f t="shared" si="15"/>
        <v>15288000000</v>
      </c>
      <c r="J32">
        <f t="shared" si="15"/>
        <v>16072000000</v>
      </c>
      <c r="K32">
        <f t="shared" si="15"/>
        <v>16268000000</v>
      </c>
      <c r="L32">
        <f t="shared" si="15"/>
        <v>16660000000</v>
      </c>
      <c r="M32">
        <f t="shared" si="15"/>
        <v>17052000000</v>
      </c>
      <c r="N32">
        <f t="shared" si="15"/>
        <v>17248000000</v>
      </c>
      <c r="O32">
        <f t="shared" si="15"/>
        <v>16856000000</v>
      </c>
      <c r="P32">
        <f t="shared" si="15"/>
        <v>16464000000</v>
      </c>
      <c r="Q32">
        <f t="shared" si="15"/>
        <v>16268000000</v>
      </c>
      <c r="R32">
        <f t="shared" si="15"/>
        <v>16072000000</v>
      </c>
      <c r="S32">
        <f t="shared" si="15"/>
        <v>17052000000</v>
      </c>
    </row>
    <row r="33" spans="1:19">
      <c r="A33" t="s">
        <v>26</v>
      </c>
      <c r="B33" t="s">
        <v>84</v>
      </c>
      <c r="C33" t="s">
        <v>937</v>
      </c>
      <c r="D33" t="s">
        <v>90</v>
      </c>
      <c r="H33">
        <f t="shared" ref="H33:S33" si="16">H34+H36</f>
        <v>14700000000</v>
      </c>
      <c r="I33">
        <f t="shared" si="16"/>
        <v>15288000000</v>
      </c>
      <c r="J33">
        <f t="shared" si="16"/>
        <v>16072000000</v>
      </c>
      <c r="K33">
        <f t="shared" si="16"/>
        <v>16268000000</v>
      </c>
      <c r="L33">
        <f t="shared" si="16"/>
        <v>16660000000</v>
      </c>
      <c r="M33">
        <f t="shared" si="16"/>
        <v>17052000000</v>
      </c>
      <c r="N33">
        <f t="shared" si="16"/>
        <v>17248000000</v>
      </c>
      <c r="O33">
        <f t="shared" si="16"/>
        <v>16856000000</v>
      </c>
      <c r="P33">
        <f t="shared" si="16"/>
        <v>16464000000</v>
      </c>
      <c r="Q33">
        <f t="shared" si="16"/>
        <v>16268000000</v>
      </c>
      <c r="R33">
        <f t="shared" si="16"/>
        <v>16072000000</v>
      </c>
      <c r="S33">
        <f t="shared" si="16"/>
        <v>17052000000</v>
      </c>
    </row>
    <row r="34" spans="1:19">
      <c r="A34" t="s">
        <v>60</v>
      </c>
      <c r="B34" t="s">
        <v>84</v>
      </c>
      <c r="C34" t="s">
        <v>938</v>
      </c>
      <c r="D34" t="s">
        <v>645</v>
      </c>
      <c r="H34">
        <v>10106250000</v>
      </c>
      <c r="I34">
        <v>10510500000</v>
      </c>
      <c r="J34">
        <v>11049500000</v>
      </c>
      <c r="K34">
        <v>11184250000</v>
      </c>
      <c r="L34">
        <v>11453750000</v>
      </c>
      <c r="M34">
        <v>11723250000</v>
      </c>
      <c r="N34">
        <v>11858000000</v>
      </c>
      <c r="O34">
        <v>11588500000</v>
      </c>
      <c r="P34">
        <v>11319000000</v>
      </c>
      <c r="Q34">
        <v>11184250000</v>
      </c>
      <c r="R34">
        <v>11049500000</v>
      </c>
      <c r="S34">
        <v>11723250000</v>
      </c>
    </row>
    <row r="35" spans="1:19">
      <c r="A35" t="s">
        <v>192</v>
      </c>
      <c r="B35" t="s">
        <v>84</v>
      </c>
      <c r="C35" t="s">
        <v>939</v>
      </c>
      <c r="D35" t="s">
        <v>940</v>
      </c>
      <c r="H35">
        <v>3675000000</v>
      </c>
      <c r="I35">
        <v>3822000000</v>
      </c>
      <c r="J35">
        <v>4018000000</v>
      </c>
      <c r="K35">
        <v>4067000000</v>
      </c>
      <c r="L35">
        <v>4165000000</v>
      </c>
      <c r="M35">
        <v>4263000000</v>
      </c>
      <c r="N35">
        <v>4312000000</v>
      </c>
      <c r="O35">
        <v>4214000000</v>
      </c>
      <c r="P35">
        <v>4116000000</v>
      </c>
      <c r="Q35">
        <v>4067000000</v>
      </c>
      <c r="R35">
        <v>4018000000</v>
      </c>
      <c r="S35">
        <v>4263000000</v>
      </c>
    </row>
    <row r="36" spans="1:19">
      <c r="A36" t="s">
        <v>60</v>
      </c>
      <c r="B36" t="s">
        <v>84</v>
      </c>
      <c r="C36" t="s">
        <v>941</v>
      </c>
      <c r="D36" t="s">
        <v>647</v>
      </c>
      <c r="H36">
        <v>4593750000</v>
      </c>
      <c r="I36">
        <v>4777500000</v>
      </c>
      <c r="J36">
        <v>5022500000</v>
      </c>
      <c r="K36">
        <v>5083750000</v>
      </c>
      <c r="L36">
        <v>5206250000</v>
      </c>
      <c r="M36">
        <v>5328750000</v>
      </c>
      <c r="N36">
        <v>5390000000</v>
      </c>
      <c r="O36">
        <v>5267500000</v>
      </c>
      <c r="P36">
        <v>5145000000</v>
      </c>
      <c r="Q36">
        <v>5083750000</v>
      </c>
      <c r="R36">
        <v>5022500000</v>
      </c>
      <c r="S36">
        <v>5328750000</v>
      </c>
    </row>
    <row r="37" spans="1:19">
      <c r="A37" t="s">
        <v>23</v>
      </c>
      <c r="B37" t="s">
        <v>84</v>
      </c>
      <c r="C37" t="s">
        <v>942</v>
      </c>
      <c r="D37" t="s">
        <v>102</v>
      </c>
      <c r="H37">
        <v>2205000000</v>
      </c>
      <c r="I37">
        <v>2293200000</v>
      </c>
      <c r="J37">
        <v>2410800000</v>
      </c>
      <c r="K37">
        <v>2440200000</v>
      </c>
      <c r="L37">
        <v>2499000000</v>
      </c>
      <c r="M37">
        <v>2557800000</v>
      </c>
      <c r="N37">
        <v>2587200000</v>
      </c>
      <c r="O37">
        <v>2528400000</v>
      </c>
      <c r="P37">
        <v>2469600000</v>
      </c>
      <c r="Q37">
        <v>2440200000</v>
      </c>
      <c r="R37">
        <v>2410800000</v>
      </c>
      <c r="S37">
        <v>2557800000</v>
      </c>
    </row>
    <row r="38" spans="1:19">
      <c r="A38" t="s">
        <v>23</v>
      </c>
      <c r="B38" t="s">
        <v>84</v>
      </c>
      <c r="C38" t="s">
        <v>943</v>
      </c>
      <c r="D38" t="s">
        <v>104</v>
      </c>
      <c r="H38">
        <v>1470000000</v>
      </c>
      <c r="I38">
        <v>1528800000</v>
      </c>
      <c r="J38">
        <v>1607200000</v>
      </c>
      <c r="K38">
        <v>1626800000</v>
      </c>
      <c r="L38">
        <v>1666000000</v>
      </c>
      <c r="M38">
        <v>1705200000</v>
      </c>
      <c r="N38">
        <v>1724800000</v>
      </c>
      <c r="O38">
        <v>1685600000</v>
      </c>
      <c r="P38">
        <v>1646400000</v>
      </c>
      <c r="Q38">
        <v>1626800000</v>
      </c>
      <c r="R38">
        <v>1607200000</v>
      </c>
      <c r="S38">
        <v>1705200000</v>
      </c>
    </row>
    <row r="39" spans="1:19">
      <c r="A39" t="s">
        <v>19</v>
      </c>
      <c r="B39" t="s">
        <v>113</v>
      </c>
      <c r="C39" t="s">
        <v>944</v>
      </c>
      <c r="D39" t="s">
        <v>115</v>
      </c>
      <c r="H39">
        <f t="shared" ref="H39:S39" si="17">H40+H45+H46</f>
        <v>18375000000</v>
      </c>
      <c r="I39">
        <f t="shared" si="17"/>
        <v>19110000000</v>
      </c>
      <c r="J39">
        <f t="shared" si="17"/>
        <v>20090000000</v>
      </c>
      <c r="K39">
        <f t="shared" si="17"/>
        <v>20335000000</v>
      </c>
      <c r="L39">
        <f t="shared" si="17"/>
        <v>20825000000</v>
      </c>
      <c r="M39">
        <f t="shared" si="17"/>
        <v>21315000000</v>
      </c>
      <c r="N39">
        <f t="shared" si="17"/>
        <v>21560000000</v>
      </c>
      <c r="O39">
        <f t="shared" si="17"/>
        <v>21070000000</v>
      </c>
      <c r="P39">
        <f t="shared" si="17"/>
        <v>20580000000</v>
      </c>
      <c r="Q39">
        <f t="shared" si="17"/>
        <v>20335000000</v>
      </c>
      <c r="R39">
        <f t="shared" si="17"/>
        <v>20090000000</v>
      </c>
      <c r="S39">
        <f t="shared" si="17"/>
        <v>21315000000</v>
      </c>
    </row>
    <row r="40" spans="1:19">
      <c r="A40" t="s">
        <v>23</v>
      </c>
      <c r="B40" t="s">
        <v>113</v>
      </c>
      <c r="C40" t="s">
        <v>945</v>
      </c>
      <c r="D40" t="s">
        <v>117</v>
      </c>
      <c r="H40">
        <f t="shared" ref="H40:S40" si="18">H41</f>
        <v>14700000000</v>
      </c>
      <c r="I40">
        <f t="shared" si="18"/>
        <v>15288000000</v>
      </c>
      <c r="J40">
        <f t="shared" si="18"/>
        <v>16072000000</v>
      </c>
      <c r="K40">
        <f t="shared" si="18"/>
        <v>16268000000</v>
      </c>
      <c r="L40">
        <f t="shared" si="18"/>
        <v>16660000000</v>
      </c>
      <c r="M40">
        <f t="shared" si="18"/>
        <v>17052000000</v>
      </c>
      <c r="N40">
        <f t="shared" si="18"/>
        <v>17248000000</v>
      </c>
      <c r="O40">
        <f t="shared" si="18"/>
        <v>16856000000</v>
      </c>
      <c r="P40">
        <f t="shared" si="18"/>
        <v>16464000000</v>
      </c>
      <c r="Q40">
        <f t="shared" si="18"/>
        <v>16268000000</v>
      </c>
      <c r="R40">
        <f t="shared" si="18"/>
        <v>16072000000</v>
      </c>
      <c r="S40">
        <f t="shared" si="18"/>
        <v>17052000000</v>
      </c>
    </row>
    <row r="41" spans="1:19">
      <c r="A41" t="s">
        <v>26</v>
      </c>
      <c r="B41" t="s">
        <v>113</v>
      </c>
      <c r="C41" t="s">
        <v>946</v>
      </c>
      <c r="D41" t="s">
        <v>90</v>
      </c>
      <c r="H41">
        <f t="shared" ref="H41:S41" si="19">H42+H44</f>
        <v>14700000000</v>
      </c>
      <c r="I41">
        <f t="shared" si="19"/>
        <v>15288000000</v>
      </c>
      <c r="J41">
        <f t="shared" si="19"/>
        <v>16072000000</v>
      </c>
      <c r="K41">
        <f t="shared" si="19"/>
        <v>16268000000</v>
      </c>
      <c r="L41">
        <f t="shared" si="19"/>
        <v>16660000000</v>
      </c>
      <c r="M41">
        <f t="shared" si="19"/>
        <v>17052000000</v>
      </c>
      <c r="N41">
        <f t="shared" si="19"/>
        <v>17248000000</v>
      </c>
      <c r="O41">
        <f t="shared" si="19"/>
        <v>16856000000</v>
      </c>
      <c r="P41">
        <f t="shared" si="19"/>
        <v>16464000000</v>
      </c>
      <c r="Q41">
        <f t="shared" si="19"/>
        <v>16268000000</v>
      </c>
      <c r="R41">
        <f t="shared" si="19"/>
        <v>16072000000</v>
      </c>
      <c r="S41">
        <f t="shared" si="19"/>
        <v>17052000000</v>
      </c>
    </row>
    <row r="42" spans="1:19">
      <c r="A42" t="s">
        <v>60</v>
      </c>
      <c r="B42" t="s">
        <v>113</v>
      </c>
      <c r="C42" t="s">
        <v>947</v>
      </c>
      <c r="D42" t="s">
        <v>645</v>
      </c>
      <c r="H42">
        <v>10106250000</v>
      </c>
      <c r="I42">
        <v>10510500000</v>
      </c>
      <c r="J42">
        <v>11049500000</v>
      </c>
      <c r="K42">
        <v>11184250000</v>
      </c>
      <c r="L42">
        <v>11453750000</v>
      </c>
      <c r="M42">
        <v>11723250000</v>
      </c>
      <c r="N42">
        <v>11858000000</v>
      </c>
      <c r="O42">
        <v>11588500000</v>
      </c>
      <c r="P42">
        <v>11319000000</v>
      </c>
      <c r="Q42">
        <v>11184250000</v>
      </c>
      <c r="R42">
        <v>11049500000</v>
      </c>
      <c r="S42">
        <v>11723250000</v>
      </c>
    </row>
    <row r="43" spans="1:19">
      <c r="A43" t="s">
        <v>192</v>
      </c>
      <c r="B43" t="s">
        <v>113</v>
      </c>
      <c r="C43" t="s">
        <v>948</v>
      </c>
      <c r="D43" t="s">
        <v>940</v>
      </c>
      <c r="H43">
        <v>3675000000</v>
      </c>
      <c r="I43">
        <v>3822000000</v>
      </c>
      <c r="J43">
        <v>4018000000</v>
      </c>
      <c r="K43">
        <v>4067000000</v>
      </c>
      <c r="L43">
        <v>4165000000</v>
      </c>
      <c r="M43">
        <v>4263000000</v>
      </c>
      <c r="N43">
        <v>4312000000</v>
      </c>
      <c r="O43">
        <v>4214000000</v>
      </c>
      <c r="P43">
        <v>4116000000</v>
      </c>
      <c r="Q43">
        <v>4067000000</v>
      </c>
      <c r="R43">
        <v>4018000000</v>
      </c>
      <c r="S43">
        <v>4263000000</v>
      </c>
    </row>
    <row r="44" spans="1:19">
      <c r="A44" t="s">
        <v>60</v>
      </c>
      <c r="B44" t="s">
        <v>113</v>
      </c>
      <c r="C44" t="s">
        <v>949</v>
      </c>
      <c r="D44" t="s">
        <v>647</v>
      </c>
      <c r="H44">
        <v>4593750000</v>
      </c>
      <c r="I44">
        <v>4777500000</v>
      </c>
      <c r="J44">
        <v>5022500000</v>
      </c>
      <c r="K44">
        <v>5083750000</v>
      </c>
      <c r="L44">
        <v>5206250000</v>
      </c>
      <c r="M44">
        <v>5328750000</v>
      </c>
      <c r="N44">
        <v>5390000000</v>
      </c>
      <c r="O44">
        <v>5267500000</v>
      </c>
      <c r="P44">
        <v>5145000000</v>
      </c>
      <c r="Q44">
        <v>5083750000</v>
      </c>
      <c r="R44">
        <v>5022500000</v>
      </c>
      <c r="S44">
        <v>5328750000</v>
      </c>
    </row>
    <row r="45" spans="1:19">
      <c r="A45" t="s">
        <v>23</v>
      </c>
      <c r="B45" t="s">
        <v>113</v>
      </c>
      <c r="C45" t="s">
        <v>950</v>
      </c>
      <c r="D45" t="s">
        <v>102</v>
      </c>
      <c r="H45">
        <v>2205000000</v>
      </c>
      <c r="I45">
        <v>2293200000</v>
      </c>
      <c r="J45">
        <v>2410800000</v>
      </c>
      <c r="K45">
        <v>2440200000</v>
      </c>
      <c r="L45">
        <v>2499000000</v>
      </c>
      <c r="M45">
        <v>2557800000</v>
      </c>
      <c r="N45">
        <v>2587200000</v>
      </c>
      <c r="O45">
        <v>2528400000</v>
      </c>
      <c r="P45">
        <v>2469600000</v>
      </c>
      <c r="Q45">
        <v>2440200000</v>
      </c>
      <c r="R45">
        <v>2410800000</v>
      </c>
      <c r="S45">
        <v>2557800000</v>
      </c>
    </row>
    <row r="46" spans="1:19">
      <c r="A46" t="s">
        <v>23</v>
      </c>
      <c r="B46" t="s">
        <v>113</v>
      </c>
      <c r="C46" t="s">
        <v>951</v>
      </c>
      <c r="D46" t="s">
        <v>104</v>
      </c>
      <c r="H46">
        <v>1470000000</v>
      </c>
      <c r="I46">
        <v>1528800000</v>
      </c>
      <c r="J46">
        <v>1607200000</v>
      </c>
      <c r="K46">
        <v>1626800000</v>
      </c>
      <c r="L46">
        <v>1666000000</v>
      </c>
      <c r="M46">
        <v>1705200000</v>
      </c>
      <c r="N46">
        <v>1724800000</v>
      </c>
      <c r="O46">
        <v>1685600000</v>
      </c>
      <c r="P46">
        <v>1646400000</v>
      </c>
      <c r="Q46">
        <v>1626800000</v>
      </c>
      <c r="R46">
        <v>1607200000</v>
      </c>
      <c r="S46">
        <v>1705200000</v>
      </c>
    </row>
    <row r="47" spans="1:19">
      <c r="A47" t="s">
        <v>19</v>
      </c>
      <c r="B47" t="s">
        <v>130</v>
      </c>
      <c r="C47" t="s">
        <v>952</v>
      </c>
      <c r="D47" t="s">
        <v>132</v>
      </c>
      <c r="H47">
        <f t="shared" ref="H47:S47" si="20">H48</f>
        <v>5512500000</v>
      </c>
      <c r="I47">
        <f t="shared" si="20"/>
        <v>5733000000</v>
      </c>
      <c r="J47">
        <f t="shared" si="20"/>
        <v>6027000000</v>
      </c>
      <c r="K47">
        <f t="shared" si="20"/>
        <v>6100500000</v>
      </c>
      <c r="L47">
        <f t="shared" si="20"/>
        <v>6247500000</v>
      </c>
      <c r="M47">
        <f t="shared" si="20"/>
        <v>6394500000</v>
      </c>
      <c r="N47">
        <f t="shared" si="20"/>
        <v>6468000000</v>
      </c>
      <c r="O47">
        <f t="shared" si="20"/>
        <v>6321000000</v>
      </c>
      <c r="P47">
        <f t="shared" si="20"/>
        <v>6174000000</v>
      </c>
      <c r="Q47">
        <f t="shared" si="20"/>
        <v>6100500000</v>
      </c>
      <c r="R47">
        <f t="shared" si="20"/>
        <v>6027000000</v>
      </c>
      <c r="S47">
        <f t="shared" si="20"/>
        <v>6394500000</v>
      </c>
    </row>
    <row r="48" spans="1:19">
      <c r="A48" t="s">
        <v>23</v>
      </c>
      <c r="B48" t="s">
        <v>130</v>
      </c>
      <c r="C48" t="s">
        <v>953</v>
      </c>
      <c r="D48" t="s">
        <v>954</v>
      </c>
      <c r="H48">
        <v>5512500000</v>
      </c>
      <c r="I48">
        <v>5733000000</v>
      </c>
      <c r="J48">
        <v>6027000000</v>
      </c>
      <c r="K48">
        <v>6100500000</v>
      </c>
      <c r="L48">
        <v>6247500000</v>
      </c>
      <c r="M48">
        <v>6394500000</v>
      </c>
      <c r="N48">
        <v>6468000000</v>
      </c>
      <c r="O48">
        <v>6321000000</v>
      </c>
      <c r="P48">
        <v>6174000000</v>
      </c>
      <c r="Q48">
        <v>6100500000</v>
      </c>
      <c r="R48">
        <v>6027000000</v>
      </c>
      <c r="S48">
        <v>6394500000</v>
      </c>
    </row>
    <row r="49" spans="1:19">
      <c r="A49" t="s">
        <v>19</v>
      </c>
      <c r="B49" t="s">
        <v>143</v>
      </c>
      <c r="C49" t="s">
        <v>955</v>
      </c>
      <c r="D49" t="s">
        <v>142</v>
      </c>
      <c r="H49">
        <f t="shared" ref="H49:S49" si="21">H50</f>
        <v>5512500000</v>
      </c>
      <c r="I49">
        <f t="shared" si="21"/>
        <v>5733000000</v>
      </c>
      <c r="J49">
        <f t="shared" si="21"/>
        <v>6027000000</v>
      </c>
      <c r="K49">
        <f t="shared" si="21"/>
        <v>6100500000</v>
      </c>
      <c r="L49">
        <f t="shared" si="21"/>
        <v>6247500000</v>
      </c>
      <c r="M49">
        <f t="shared" si="21"/>
        <v>6394500000</v>
      </c>
      <c r="N49">
        <f t="shared" si="21"/>
        <v>6468000000</v>
      </c>
      <c r="O49">
        <f t="shared" si="21"/>
        <v>6321000000</v>
      </c>
      <c r="P49">
        <f t="shared" si="21"/>
        <v>6174000000</v>
      </c>
      <c r="Q49">
        <f t="shared" si="21"/>
        <v>6100500000</v>
      </c>
      <c r="R49">
        <f t="shared" si="21"/>
        <v>6027000000</v>
      </c>
      <c r="S49">
        <f t="shared" si="21"/>
        <v>6394500000</v>
      </c>
    </row>
    <row r="50" spans="1:19">
      <c r="A50" t="s">
        <v>23</v>
      </c>
      <c r="B50" t="s">
        <v>143</v>
      </c>
      <c r="C50" t="s">
        <v>956</v>
      </c>
      <c r="D50" t="s">
        <v>954</v>
      </c>
      <c r="H50">
        <v>5512500000</v>
      </c>
      <c r="I50">
        <v>5733000000</v>
      </c>
      <c r="J50">
        <v>6027000000</v>
      </c>
      <c r="K50">
        <v>6100500000</v>
      </c>
      <c r="L50">
        <v>6247500000</v>
      </c>
      <c r="M50">
        <v>6394500000</v>
      </c>
      <c r="N50">
        <v>6468000000</v>
      </c>
      <c r="O50">
        <v>6321000000</v>
      </c>
      <c r="P50">
        <v>6174000000</v>
      </c>
      <c r="Q50">
        <v>6100500000</v>
      </c>
      <c r="R50">
        <v>6027000000</v>
      </c>
      <c r="S50">
        <v>6394500000</v>
      </c>
    </row>
    <row r="51" spans="1:19">
      <c r="A51" t="s">
        <v>19</v>
      </c>
      <c r="B51" t="s">
        <v>84</v>
      </c>
      <c r="C51" t="s">
        <v>957</v>
      </c>
      <c r="D51" t="s">
        <v>151</v>
      </c>
      <c r="H51">
        <f t="shared" ref="H51:S51" si="22">H52</f>
        <v>2250000000</v>
      </c>
      <c r="I51">
        <f t="shared" si="22"/>
        <v>2340000000</v>
      </c>
      <c r="J51">
        <f t="shared" si="22"/>
        <v>2460000000</v>
      </c>
      <c r="K51">
        <f t="shared" si="22"/>
        <v>2490000000</v>
      </c>
      <c r="L51">
        <f t="shared" si="22"/>
        <v>2550000000</v>
      </c>
      <c r="M51">
        <f t="shared" si="22"/>
        <v>2610000000</v>
      </c>
      <c r="N51">
        <f t="shared" si="22"/>
        <v>2640000000</v>
      </c>
      <c r="O51">
        <f t="shared" si="22"/>
        <v>2580000000</v>
      </c>
      <c r="P51">
        <f t="shared" si="22"/>
        <v>2520000000</v>
      </c>
      <c r="Q51">
        <f t="shared" si="22"/>
        <v>2490000000</v>
      </c>
      <c r="R51">
        <f t="shared" si="22"/>
        <v>2460000000</v>
      </c>
      <c r="S51">
        <f t="shared" si="22"/>
        <v>2610000000</v>
      </c>
    </row>
    <row r="52" spans="1:19">
      <c r="A52" t="s">
        <v>23</v>
      </c>
      <c r="B52" t="s">
        <v>84</v>
      </c>
      <c r="C52" t="s">
        <v>958</v>
      </c>
      <c r="D52" t="s">
        <v>959</v>
      </c>
      <c r="H52">
        <v>2250000000</v>
      </c>
      <c r="I52">
        <v>2340000000</v>
      </c>
      <c r="J52">
        <v>2460000000</v>
      </c>
      <c r="K52">
        <v>2490000000</v>
      </c>
      <c r="L52">
        <v>2550000000</v>
      </c>
      <c r="M52">
        <v>2610000000</v>
      </c>
      <c r="N52">
        <v>2640000000</v>
      </c>
      <c r="O52">
        <v>2580000000</v>
      </c>
      <c r="P52">
        <v>2520000000</v>
      </c>
      <c r="Q52">
        <v>2490000000</v>
      </c>
      <c r="R52">
        <v>2460000000</v>
      </c>
      <c r="S52">
        <v>2610000000</v>
      </c>
    </row>
    <row r="53" spans="1:19">
      <c r="A53" t="s">
        <v>19</v>
      </c>
      <c r="B53" t="s">
        <v>113</v>
      </c>
      <c r="C53" t="s">
        <v>960</v>
      </c>
      <c r="D53" t="s">
        <v>160</v>
      </c>
      <c r="H53">
        <f t="shared" ref="H53:S53" si="23">H54</f>
        <v>2250000000</v>
      </c>
      <c r="I53">
        <f t="shared" si="23"/>
        <v>2340000000</v>
      </c>
      <c r="J53">
        <f t="shared" si="23"/>
        <v>2460000000</v>
      </c>
      <c r="K53">
        <f t="shared" si="23"/>
        <v>2490000000</v>
      </c>
      <c r="L53">
        <f t="shared" si="23"/>
        <v>2550000000</v>
      </c>
      <c r="M53">
        <f t="shared" si="23"/>
        <v>2610000000</v>
      </c>
      <c r="N53">
        <f t="shared" si="23"/>
        <v>2640000000</v>
      </c>
      <c r="O53">
        <f t="shared" si="23"/>
        <v>2580000000</v>
      </c>
      <c r="P53">
        <f t="shared" si="23"/>
        <v>2520000000</v>
      </c>
      <c r="Q53">
        <f t="shared" si="23"/>
        <v>2490000000</v>
      </c>
      <c r="R53">
        <f t="shared" si="23"/>
        <v>2460000000</v>
      </c>
      <c r="S53">
        <f t="shared" si="23"/>
        <v>2610000000</v>
      </c>
    </row>
    <row r="54" spans="1:19">
      <c r="A54" t="s">
        <v>23</v>
      </c>
      <c r="B54" t="s">
        <v>113</v>
      </c>
      <c r="C54" t="s">
        <v>961</v>
      </c>
      <c r="D54" t="s">
        <v>962</v>
      </c>
      <c r="H54">
        <v>2250000000</v>
      </c>
      <c r="I54">
        <v>2340000000</v>
      </c>
      <c r="J54">
        <v>2460000000</v>
      </c>
      <c r="K54">
        <v>2490000000</v>
      </c>
      <c r="L54">
        <v>2550000000</v>
      </c>
      <c r="M54">
        <v>2610000000</v>
      </c>
      <c r="N54">
        <v>2640000000</v>
      </c>
      <c r="O54">
        <v>2580000000</v>
      </c>
      <c r="P54">
        <v>2520000000</v>
      </c>
      <c r="Q54">
        <v>2490000000</v>
      </c>
      <c r="R54">
        <v>2460000000</v>
      </c>
      <c r="S54">
        <v>2610000000</v>
      </c>
    </row>
    <row r="55" spans="1:19">
      <c r="A55" t="s">
        <v>19</v>
      </c>
      <c r="B55" t="s">
        <v>130</v>
      </c>
      <c r="C55" t="s">
        <v>963</v>
      </c>
      <c r="D55" t="s">
        <v>166</v>
      </c>
      <c r="H55">
        <f t="shared" ref="H55:S55" si="24">H56</f>
        <v>1500000000</v>
      </c>
      <c r="I55">
        <f t="shared" si="24"/>
        <v>1560000000</v>
      </c>
      <c r="J55">
        <f t="shared" si="24"/>
        <v>1640000000</v>
      </c>
      <c r="K55">
        <f t="shared" si="24"/>
        <v>1660000000</v>
      </c>
      <c r="L55">
        <f t="shared" si="24"/>
        <v>1700000000</v>
      </c>
      <c r="M55">
        <f t="shared" si="24"/>
        <v>1740000000</v>
      </c>
      <c r="N55">
        <f t="shared" si="24"/>
        <v>1760000000</v>
      </c>
      <c r="O55">
        <f t="shared" si="24"/>
        <v>1720000000</v>
      </c>
      <c r="P55">
        <f t="shared" si="24"/>
        <v>1680000000</v>
      </c>
      <c r="Q55">
        <f t="shared" si="24"/>
        <v>1660000000</v>
      </c>
      <c r="R55">
        <f t="shared" si="24"/>
        <v>1640000000</v>
      </c>
      <c r="S55">
        <f t="shared" si="24"/>
        <v>1740000000</v>
      </c>
    </row>
    <row r="56" spans="1:19">
      <c r="A56" t="s">
        <v>23</v>
      </c>
      <c r="B56" t="s">
        <v>130</v>
      </c>
      <c r="C56" t="s">
        <v>964</v>
      </c>
      <c r="D56" t="s">
        <v>965</v>
      </c>
      <c r="H56">
        <v>1500000000</v>
      </c>
      <c r="I56">
        <v>1560000000</v>
      </c>
      <c r="J56">
        <v>1640000000</v>
      </c>
      <c r="K56">
        <v>1660000000</v>
      </c>
      <c r="L56">
        <v>1700000000</v>
      </c>
      <c r="M56">
        <v>1740000000</v>
      </c>
      <c r="N56">
        <v>1760000000</v>
      </c>
      <c r="O56">
        <v>1720000000</v>
      </c>
      <c r="P56">
        <v>1680000000</v>
      </c>
      <c r="Q56">
        <v>1660000000</v>
      </c>
      <c r="R56">
        <v>1640000000</v>
      </c>
      <c r="S56">
        <v>1740000000</v>
      </c>
    </row>
    <row r="57" spans="1:19">
      <c r="A57" t="s">
        <v>19</v>
      </c>
      <c r="B57" t="s">
        <v>143</v>
      </c>
      <c r="C57" t="s">
        <v>966</v>
      </c>
      <c r="D57" t="s">
        <v>172</v>
      </c>
      <c r="H57">
        <f t="shared" ref="H57:S57" si="25">H58</f>
        <v>1500000000</v>
      </c>
      <c r="I57">
        <f t="shared" si="25"/>
        <v>1560000000</v>
      </c>
      <c r="J57">
        <f t="shared" si="25"/>
        <v>1640000000</v>
      </c>
      <c r="K57">
        <f t="shared" si="25"/>
        <v>1660000000</v>
      </c>
      <c r="L57">
        <f t="shared" si="25"/>
        <v>1700000000</v>
      </c>
      <c r="M57">
        <f t="shared" si="25"/>
        <v>1740000000</v>
      </c>
      <c r="N57">
        <f t="shared" si="25"/>
        <v>1760000000</v>
      </c>
      <c r="O57">
        <f t="shared" si="25"/>
        <v>1720000000</v>
      </c>
      <c r="P57">
        <f t="shared" si="25"/>
        <v>1680000000</v>
      </c>
      <c r="Q57">
        <f t="shared" si="25"/>
        <v>1660000000</v>
      </c>
      <c r="R57">
        <f t="shared" si="25"/>
        <v>1640000000</v>
      </c>
      <c r="S57">
        <f t="shared" si="25"/>
        <v>1740000000</v>
      </c>
    </row>
    <row r="58" spans="1:19">
      <c r="A58" t="s">
        <v>23</v>
      </c>
      <c r="B58" t="s">
        <v>143</v>
      </c>
      <c r="C58" t="s">
        <v>967</v>
      </c>
      <c r="D58" t="s">
        <v>968</v>
      </c>
      <c r="H58">
        <v>1500000000</v>
      </c>
      <c r="I58">
        <v>1560000000</v>
      </c>
      <c r="J58">
        <v>1640000000</v>
      </c>
      <c r="K58">
        <v>1660000000</v>
      </c>
      <c r="L58">
        <v>1700000000</v>
      </c>
      <c r="M58">
        <v>1740000000</v>
      </c>
      <c r="N58">
        <v>1760000000</v>
      </c>
      <c r="O58">
        <v>1720000000</v>
      </c>
      <c r="P58">
        <v>1680000000</v>
      </c>
      <c r="Q58">
        <v>1660000000</v>
      </c>
      <c r="R58">
        <v>1640000000</v>
      </c>
      <c r="S58">
        <v>1740000000</v>
      </c>
    </row>
    <row r="59" spans="1:19">
      <c r="A59" t="s">
        <v>19</v>
      </c>
      <c r="B59" t="s">
        <v>20</v>
      </c>
      <c r="C59" t="s">
        <v>969</v>
      </c>
      <c r="D59" t="s">
        <v>176</v>
      </c>
      <c r="H59">
        <f t="shared" ref="H59:S59" si="26">H60+H87</f>
        <v>1442000000</v>
      </c>
      <c r="I59">
        <f t="shared" si="26"/>
        <v>1339000000</v>
      </c>
      <c r="J59">
        <f t="shared" si="26"/>
        <v>1606800000</v>
      </c>
      <c r="K59">
        <f t="shared" si="26"/>
        <v>0</v>
      </c>
      <c r="L59">
        <f t="shared" si="26"/>
        <v>0</v>
      </c>
      <c r="M59">
        <f t="shared" si="26"/>
        <v>0</v>
      </c>
      <c r="N59">
        <f t="shared" si="26"/>
        <v>0</v>
      </c>
      <c r="O59">
        <f t="shared" si="26"/>
        <v>0</v>
      </c>
      <c r="P59">
        <f t="shared" si="26"/>
        <v>0</v>
      </c>
      <c r="Q59">
        <f t="shared" si="26"/>
        <v>0</v>
      </c>
      <c r="R59">
        <f t="shared" si="26"/>
        <v>0</v>
      </c>
      <c r="S59">
        <f t="shared" si="26"/>
        <v>0</v>
      </c>
    </row>
    <row r="60" spans="1:19">
      <c r="A60" t="s">
        <v>23</v>
      </c>
      <c r="B60" t="s">
        <v>20</v>
      </c>
      <c r="C60" t="s">
        <v>970</v>
      </c>
      <c r="D60" t="s">
        <v>178</v>
      </c>
      <c r="H60">
        <f t="shared" ref="H60:S60" si="27">H61+H78</f>
        <v>1372000000</v>
      </c>
      <c r="I60">
        <f t="shared" si="27"/>
        <v>1274000000</v>
      </c>
      <c r="J60">
        <f t="shared" si="27"/>
        <v>1528800000</v>
      </c>
      <c r="K60">
        <f t="shared" si="27"/>
        <v>0</v>
      </c>
      <c r="L60">
        <f t="shared" si="27"/>
        <v>0</v>
      </c>
      <c r="M60">
        <f t="shared" si="27"/>
        <v>0</v>
      </c>
      <c r="N60">
        <f t="shared" si="27"/>
        <v>0</v>
      </c>
      <c r="O60">
        <f t="shared" si="27"/>
        <v>0</v>
      </c>
      <c r="P60">
        <f t="shared" si="27"/>
        <v>0</v>
      </c>
      <c r="Q60">
        <f t="shared" si="27"/>
        <v>0</v>
      </c>
      <c r="R60">
        <f t="shared" si="27"/>
        <v>0</v>
      </c>
      <c r="S60">
        <f t="shared" si="27"/>
        <v>0</v>
      </c>
    </row>
    <row r="61" spans="1:19">
      <c r="A61" t="s">
        <v>26</v>
      </c>
      <c r="B61" t="s">
        <v>20</v>
      </c>
      <c r="C61" t="s">
        <v>971</v>
      </c>
      <c r="D61" t="s">
        <v>972</v>
      </c>
      <c r="H61">
        <v>960400000</v>
      </c>
      <c r="I61">
        <v>891800000</v>
      </c>
      <c r="J61">
        <v>1070160000</v>
      </c>
      <c r="K61">
        <f t="shared" ref="K61:S61" si="28">K63+K76-K69-K74-K77</f>
        <v>0</v>
      </c>
      <c r="L61">
        <f t="shared" si="28"/>
        <v>0</v>
      </c>
      <c r="M61">
        <f t="shared" si="28"/>
        <v>0</v>
      </c>
      <c r="N61">
        <f t="shared" si="28"/>
        <v>0</v>
      </c>
      <c r="O61">
        <f t="shared" si="28"/>
        <v>0</v>
      </c>
      <c r="P61">
        <f t="shared" si="28"/>
        <v>0</v>
      </c>
      <c r="Q61">
        <f t="shared" si="28"/>
        <v>0</v>
      </c>
      <c r="R61">
        <f t="shared" si="28"/>
        <v>0</v>
      </c>
      <c r="S61">
        <f t="shared" si="28"/>
        <v>0</v>
      </c>
    </row>
    <row r="62" spans="1:19">
      <c r="A62" t="s">
        <v>60</v>
      </c>
      <c r="B62" t="s">
        <v>179</v>
      </c>
      <c r="C62" t="s">
        <v>973</v>
      </c>
      <c r="D62" t="s">
        <v>974</v>
      </c>
      <c r="H62">
        <f t="shared" ref="H62:S62" si="29">H61/H42</f>
        <v>0.095030303030303</v>
      </c>
      <c r="I62">
        <f t="shared" si="29"/>
        <v>0.0848484848484849</v>
      </c>
      <c r="J62">
        <f t="shared" si="29"/>
        <v>0.0968514412416851</v>
      </c>
      <c r="K62">
        <f t="shared" si="29"/>
        <v>0</v>
      </c>
      <c r="L62">
        <f t="shared" si="29"/>
        <v>0</v>
      </c>
      <c r="M62">
        <f t="shared" si="29"/>
        <v>0</v>
      </c>
      <c r="N62">
        <f t="shared" si="29"/>
        <v>0</v>
      </c>
      <c r="O62">
        <f t="shared" si="29"/>
        <v>0</v>
      </c>
      <c r="P62">
        <f t="shared" si="29"/>
        <v>0</v>
      </c>
      <c r="Q62">
        <f t="shared" si="29"/>
        <v>0</v>
      </c>
      <c r="R62">
        <f t="shared" si="29"/>
        <v>0</v>
      </c>
      <c r="S62">
        <f t="shared" si="29"/>
        <v>0</v>
      </c>
    </row>
    <row r="63" spans="1:19">
      <c r="A63" t="s">
        <v>60</v>
      </c>
      <c r="B63" t="s">
        <v>20</v>
      </c>
      <c r="C63" t="s">
        <v>975</v>
      </c>
      <c r="D63" t="s">
        <v>976</v>
      </c>
      <c r="H63">
        <f>H61-H76+H69+H74+H77</f>
        <v>960400000</v>
      </c>
      <c r="I63">
        <f>I61-I76+I69+I74+I77</f>
        <v>891800000</v>
      </c>
      <c r="J63">
        <f>J61-J76+J69+J74+J77</f>
        <v>1070160000</v>
      </c>
      <c r="K63">
        <f t="shared" ref="K63:S63" si="30">K42*K65/1.06*(1-K66)</f>
        <v>0</v>
      </c>
      <c r="L63">
        <f t="shared" si="30"/>
        <v>0</v>
      </c>
      <c r="M63">
        <f t="shared" si="30"/>
        <v>0</v>
      </c>
      <c r="N63">
        <f t="shared" si="30"/>
        <v>0</v>
      </c>
      <c r="O63">
        <f t="shared" si="30"/>
        <v>0</v>
      </c>
      <c r="P63">
        <f t="shared" si="30"/>
        <v>0</v>
      </c>
      <c r="Q63">
        <f t="shared" si="30"/>
        <v>0</v>
      </c>
      <c r="R63">
        <f t="shared" si="30"/>
        <v>0</v>
      </c>
      <c r="S63">
        <f t="shared" si="30"/>
        <v>0</v>
      </c>
    </row>
    <row r="64" spans="1:19">
      <c r="A64" t="s">
        <v>192</v>
      </c>
      <c r="B64" t="s">
        <v>179</v>
      </c>
      <c r="C64" t="s">
        <v>977</v>
      </c>
      <c r="D64" t="s">
        <v>978</v>
      </c>
      <c r="H64">
        <f t="shared" ref="H64:S64" si="31">H63/H42</f>
        <v>0.095030303030303</v>
      </c>
      <c r="I64">
        <f t="shared" si="31"/>
        <v>0.0848484848484849</v>
      </c>
      <c r="J64">
        <f t="shared" si="31"/>
        <v>0.0968514412416851</v>
      </c>
      <c r="K64">
        <f t="shared" si="31"/>
        <v>0</v>
      </c>
      <c r="L64">
        <f t="shared" si="31"/>
        <v>0</v>
      </c>
      <c r="M64">
        <f t="shared" si="31"/>
        <v>0</v>
      </c>
      <c r="N64">
        <f t="shared" si="31"/>
        <v>0</v>
      </c>
      <c r="O64">
        <f t="shared" si="31"/>
        <v>0</v>
      </c>
      <c r="P64">
        <f t="shared" si="31"/>
        <v>0</v>
      </c>
      <c r="Q64">
        <f t="shared" si="31"/>
        <v>0</v>
      </c>
      <c r="R64">
        <f t="shared" si="31"/>
        <v>0</v>
      </c>
      <c r="S64">
        <f t="shared" si="31"/>
        <v>0</v>
      </c>
    </row>
    <row r="65" spans="1:19">
      <c r="A65" t="s">
        <v>192</v>
      </c>
      <c r="B65" t="s">
        <v>179</v>
      </c>
      <c r="C65" t="s">
        <v>979</v>
      </c>
      <c r="D65" t="s">
        <v>980</v>
      </c>
    </row>
    <row r="66" spans="1:19">
      <c r="A66" t="s">
        <v>192</v>
      </c>
      <c r="B66" t="s">
        <v>179</v>
      </c>
      <c r="C66" t="s">
        <v>981</v>
      </c>
      <c r="D66" t="s">
        <v>982</v>
      </c>
    </row>
    <row r="67" spans="1:19">
      <c r="A67" t="s">
        <v>192</v>
      </c>
      <c r="B67" t="s">
        <v>179</v>
      </c>
      <c r="C67" t="s">
        <v>983</v>
      </c>
      <c r="D67" t="s">
        <v>984</v>
      </c>
    </row>
    <row r="68" spans="1:19">
      <c r="A68" t="s">
        <v>192</v>
      </c>
      <c r="B68" t="s">
        <v>179</v>
      </c>
      <c r="C68" t="s">
        <v>985</v>
      </c>
      <c r="D68" t="s">
        <v>986</v>
      </c>
    </row>
    <row r="69" spans="1:19">
      <c r="A69" t="s">
        <v>60</v>
      </c>
      <c r="B69" t="s">
        <v>35</v>
      </c>
      <c r="C69" t="s">
        <v>987</v>
      </c>
      <c r="D69" t="s">
        <v>988</v>
      </c>
      <c r="K69">
        <f t="shared" ref="K69:S69" si="32">(K42*(K65/1.06*(1-K66)*0.995-K73)-K74)*K71*(1-K72)/1.06</f>
        <v>0</v>
      </c>
      <c r="L69">
        <f t="shared" si="32"/>
        <v>0</v>
      </c>
      <c r="M69">
        <f t="shared" si="32"/>
        <v>0</v>
      </c>
      <c r="N69">
        <f t="shared" si="32"/>
        <v>0</v>
      </c>
      <c r="O69">
        <f t="shared" si="32"/>
        <v>0</v>
      </c>
      <c r="P69">
        <f t="shared" si="32"/>
        <v>0</v>
      </c>
      <c r="Q69">
        <f t="shared" si="32"/>
        <v>0</v>
      </c>
      <c r="R69">
        <f t="shared" si="32"/>
        <v>0</v>
      </c>
      <c r="S69">
        <f t="shared" si="32"/>
        <v>0</v>
      </c>
    </row>
    <row r="70" spans="1:19">
      <c r="A70" t="s">
        <v>192</v>
      </c>
      <c r="B70" t="s">
        <v>179</v>
      </c>
      <c r="C70" t="s">
        <v>989</v>
      </c>
      <c r="D70" t="s">
        <v>990</v>
      </c>
      <c r="H70">
        <f t="shared" ref="H70:S70" si="33">H69/H42</f>
        <v>0</v>
      </c>
      <c r="I70">
        <f t="shared" si="33"/>
        <v>0</v>
      </c>
      <c r="J70">
        <f t="shared" si="33"/>
        <v>0</v>
      </c>
      <c r="K70">
        <f t="shared" si="33"/>
        <v>0</v>
      </c>
      <c r="L70">
        <f t="shared" si="33"/>
        <v>0</v>
      </c>
      <c r="M70">
        <f t="shared" si="33"/>
        <v>0</v>
      </c>
      <c r="N70">
        <f t="shared" si="33"/>
        <v>0</v>
      </c>
      <c r="O70">
        <f t="shared" si="33"/>
        <v>0</v>
      </c>
      <c r="P70">
        <f t="shared" si="33"/>
        <v>0</v>
      </c>
      <c r="Q70">
        <f t="shared" si="33"/>
        <v>0</v>
      </c>
      <c r="R70">
        <f t="shared" si="33"/>
        <v>0</v>
      </c>
      <c r="S70">
        <f t="shared" si="33"/>
        <v>0</v>
      </c>
    </row>
    <row r="71" spans="1:19">
      <c r="A71" t="s">
        <v>192</v>
      </c>
      <c r="B71" t="s">
        <v>179</v>
      </c>
      <c r="C71" t="s">
        <v>991</v>
      </c>
      <c r="D71" t="s">
        <v>992</v>
      </c>
    </row>
    <row r="72" spans="1:19">
      <c r="A72" t="s">
        <v>192</v>
      </c>
      <c r="B72" t="s">
        <v>179</v>
      </c>
      <c r="C72" t="s">
        <v>993</v>
      </c>
      <c r="D72" t="s">
        <v>994</v>
      </c>
    </row>
    <row r="73" spans="1:19">
      <c r="A73" t="s">
        <v>192</v>
      </c>
      <c r="B73" t="s">
        <v>179</v>
      </c>
      <c r="C73" t="s">
        <v>995</v>
      </c>
      <c r="D73" t="s">
        <v>996</v>
      </c>
      <c r="H73">
        <f>A02微账户业务状况表!H128</f>
        <v>0</v>
      </c>
      <c r="I73">
        <f>A02微账户业务状况表!H128</f>
        <v>0</v>
      </c>
      <c r="J73">
        <f>A02微账户业务状况表!H128</f>
        <v>0</v>
      </c>
      <c r="K73">
        <f>A02微账户业务状况表!I128</f>
        <v>0</v>
      </c>
      <c r="L73">
        <f>A02微账户业务状况表!I128</f>
        <v>0</v>
      </c>
      <c r="M73">
        <f>A02微账户业务状况表!I128</f>
        <v>0</v>
      </c>
      <c r="N73">
        <f>A02微账户业务状况表!I128</f>
        <v>0</v>
      </c>
      <c r="O73">
        <f>A02微账户业务状况表!I128</f>
        <v>0</v>
      </c>
      <c r="P73">
        <f>A02微账户业务状况表!I128</f>
        <v>0</v>
      </c>
      <c r="Q73">
        <f>A02微账户业务状况表!I128</f>
        <v>0</v>
      </c>
      <c r="R73">
        <f>A02微账户业务状况表!I128</f>
        <v>0</v>
      </c>
      <c r="S73">
        <f>A02微账户业务状况表!I128</f>
        <v>0</v>
      </c>
    </row>
    <row r="74" spans="1:19">
      <c r="A74" t="s">
        <v>60</v>
      </c>
      <c r="B74" t="s">
        <v>35</v>
      </c>
      <c r="C74" t="s">
        <v>997</v>
      </c>
      <c r="D74" t="s">
        <v>998</v>
      </c>
      <c r="K74">
        <f t="shared" ref="K74:S74" si="34">K43*K75</f>
        <v>0</v>
      </c>
      <c r="L74">
        <f t="shared" si="34"/>
        <v>0</v>
      </c>
      <c r="M74">
        <f t="shared" si="34"/>
        <v>0</v>
      </c>
      <c r="N74">
        <f t="shared" si="34"/>
        <v>0</v>
      </c>
      <c r="O74">
        <f t="shared" si="34"/>
        <v>0</v>
      </c>
      <c r="P74">
        <f t="shared" si="34"/>
        <v>0</v>
      </c>
      <c r="Q74">
        <f t="shared" si="34"/>
        <v>0</v>
      </c>
      <c r="R74">
        <f t="shared" si="34"/>
        <v>0</v>
      </c>
      <c r="S74">
        <f t="shared" si="34"/>
        <v>0</v>
      </c>
    </row>
    <row r="75" spans="1:19">
      <c r="A75" t="s">
        <v>192</v>
      </c>
      <c r="B75" t="s">
        <v>179</v>
      </c>
      <c r="C75" t="s">
        <v>999</v>
      </c>
      <c r="D75" t="s">
        <v>1000</v>
      </c>
      <c r="H75">
        <f>H74/H43</f>
        <v>0</v>
      </c>
      <c r="I75">
        <f>I74/I43</f>
        <v>0</v>
      </c>
      <c r="J75">
        <f>J74/J43</f>
        <v>0</v>
      </c>
    </row>
    <row r="76" spans="1:19">
      <c r="A76" t="s">
        <v>60</v>
      </c>
      <c r="B76" t="s">
        <v>20</v>
      </c>
      <c r="C76" t="s">
        <v>1001</v>
      </c>
      <c r="D76" t="s">
        <v>1002</v>
      </c>
    </row>
    <row r="77" spans="1:19">
      <c r="A77" t="s">
        <v>60</v>
      </c>
      <c r="B77" t="s">
        <v>35</v>
      </c>
      <c r="C77" t="s">
        <v>1003</v>
      </c>
      <c r="D77" t="s">
        <v>1004</v>
      </c>
      <c r="H77">
        <f t="shared" ref="H77:S77" si="35">H76*H71*(1-H72)/1.06</f>
        <v>0</v>
      </c>
      <c r="I77">
        <f t="shared" si="35"/>
        <v>0</v>
      </c>
      <c r="J77">
        <f t="shared" si="35"/>
        <v>0</v>
      </c>
      <c r="K77">
        <f t="shared" si="35"/>
        <v>0</v>
      </c>
      <c r="L77">
        <f t="shared" si="35"/>
        <v>0</v>
      </c>
      <c r="M77">
        <f t="shared" si="35"/>
        <v>0</v>
      </c>
      <c r="N77">
        <f t="shared" si="35"/>
        <v>0</v>
      </c>
      <c r="O77">
        <f t="shared" si="35"/>
        <v>0</v>
      </c>
      <c r="P77">
        <f t="shared" si="35"/>
        <v>0</v>
      </c>
      <c r="Q77">
        <f t="shared" si="35"/>
        <v>0</v>
      </c>
      <c r="R77">
        <f t="shared" si="35"/>
        <v>0</v>
      </c>
      <c r="S77">
        <f t="shared" si="35"/>
        <v>0</v>
      </c>
    </row>
    <row r="78" spans="1:19">
      <c r="A78" t="s">
        <v>26</v>
      </c>
      <c r="B78" t="s">
        <v>20</v>
      </c>
      <c r="C78" t="s">
        <v>1005</v>
      </c>
      <c r="D78" t="s">
        <v>1006</v>
      </c>
      <c r="H78">
        <v>411600000</v>
      </c>
      <c r="I78">
        <v>382200000</v>
      </c>
      <c r="J78">
        <v>458640000</v>
      </c>
      <c r="K78">
        <f t="shared" ref="K78:S78" si="36">K80-K83</f>
        <v>0</v>
      </c>
      <c r="L78">
        <f t="shared" si="36"/>
        <v>0</v>
      </c>
      <c r="M78">
        <f t="shared" si="36"/>
        <v>0</v>
      </c>
      <c r="N78">
        <f t="shared" si="36"/>
        <v>0</v>
      </c>
      <c r="O78">
        <f t="shared" si="36"/>
        <v>0</v>
      </c>
      <c r="P78">
        <f t="shared" si="36"/>
        <v>0</v>
      </c>
      <c r="Q78">
        <f t="shared" si="36"/>
        <v>0</v>
      </c>
      <c r="R78">
        <f t="shared" si="36"/>
        <v>0</v>
      </c>
      <c r="S78">
        <f t="shared" si="36"/>
        <v>0</v>
      </c>
    </row>
    <row r="79" spans="1:19">
      <c r="A79" t="s">
        <v>60</v>
      </c>
      <c r="B79" t="s">
        <v>179</v>
      </c>
      <c r="C79" t="s">
        <v>1007</v>
      </c>
      <c r="D79" t="s">
        <v>1008</v>
      </c>
      <c r="H79">
        <f t="shared" ref="H79:S79" si="37">H78/H44</f>
        <v>0.0896</v>
      </c>
      <c r="I79">
        <f t="shared" si="37"/>
        <v>0.08</v>
      </c>
      <c r="J79">
        <f t="shared" si="37"/>
        <v>0.0913170731707317</v>
      </c>
      <c r="K79">
        <f t="shared" si="37"/>
        <v>0</v>
      </c>
      <c r="L79">
        <f t="shared" si="37"/>
        <v>0</v>
      </c>
      <c r="M79">
        <f t="shared" si="37"/>
        <v>0</v>
      </c>
      <c r="N79">
        <f t="shared" si="37"/>
        <v>0</v>
      </c>
      <c r="O79">
        <f t="shared" si="37"/>
        <v>0</v>
      </c>
      <c r="P79">
        <f t="shared" si="37"/>
        <v>0</v>
      </c>
      <c r="Q79">
        <f t="shared" si="37"/>
        <v>0</v>
      </c>
      <c r="R79">
        <f t="shared" si="37"/>
        <v>0</v>
      </c>
      <c r="S79">
        <f t="shared" si="37"/>
        <v>0</v>
      </c>
    </row>
    <row r="80" spans="1:19">
      <c r="A80" t="s">
        <v>60</v>
      </c>
      <c r="B80" t="s">
        <v>20</v>
      </c>
      <c r="C80" t="s">
        <v>1009</v>
      </c>
      <c r="D80" t="s">
        <v>1010</v>
      </c>
      <c r="H80">
        <f>H78+H83</f>
        <v>411600000</v>
      </c>
      <c r="I80">
        <f>I78+I83</f>
        <v>382200000</v>
      </c>
      <c r="J80">
        <f>J78+J83</f>
        <v>458640000</v>
      </c>
      <c r="K80">
        <f t="shared" ref="K80:S80" si="38">K44*K82</f>
        <v>0</v>
      </c>
      <c r="L80">
        <f t="shared" si="38"/>
        <v>0</v>
      </c>
      <c r="M80">
        <f t="shared" si="38"/>
        <v>0</v>
      </c>
      <c r="N80">
        <f t="shared" si="38"/>
        <v>0</v>
      </c>
      <c r="O80">
        <f t="shared" si="38"/>
        <v>0</v>
      </c>
      <c r="P80">
        <f t="shared" si="38"/>
        <v>0</v>
      </c>
      <c r="Q80">
        <f t="shared" si="38"/>
        <v>0</v>
      </c>
      <c r="R80">
        <f t="shared" si="38"/>
        <v>0</v>
      </c>
      <c r="S80">
        <f t="shared" si="38"/>
        <v>0</v>
      </c>
    </row>
    <row r="81" spans="1:19">
      <c r="A81" t="s">
        <v>192</v>
      </c>
      <c r="B81" t="s">
        <v>179</v>
      </c>
      <c r="C81" t="s">
        <v>1011</v>
      </c>
      <c r="D81" t="s">
        <v>1012</v>
      </c>
    </row>
    <row r="82" spans="1:19">
      <c r="A82" t="s">
        <v>192</v>
      </c>
      <c r="B82" t="s">
        <v>179</v>
      </c>
      <c r="C82" t="s">
        <v>1013</v>
      </c>
      <c r="D82" t="s">
        <v>1014</v>
      </c>
      <c r="H82">
        <f>H80/H44</f>
        <v>0.0896</v>
      </c>
      <c r="I82">
        <f>I80/I44</f>
        <v>0.08</v>
      </c>
      <c r="J82">
        <f>J80/J44</f>
        <v>0.0913170731707317</v>
      </c>
      <c r="K82">
        <f t="shared" ref="K82:S82" si="39">K81*0.9957/1.06</f>
        <v>0</v>
      </c>
      <c r="L82">
        <f t="shared" si="39"/>
        <v>0</v>
      </c>
      <c r="M82">
        <f t="shared" si="39"/>
        <v>0</v>
      </c>
      <c r="N82">
        <f t="shared" si="39"/>
        <v>0</v>
      </c>
      <c r="O82">
        <f t="shared" si="39"/>
        <v>0</v>
      </c>
      <c r="P82">
        <f t="shared" si="39"/>
        <v>0</v>
      </c>
      <c r="Q82">
        <f t="shared" si="39"/>
        <v>0</v>
      </c>
      <c r="R82">
        <f t="shared" si="39"/>
        <v>0</v>
      </c>
      <c r="S82">
        <f t="shared" si="39"/>
        <v>0</v>
      </c>
    </row>
    <row r="83" spans="1:19">
      <c r="A83" t="s">
        <v>60</v>
      </c>
      <c r="B83" t="s">
        <v>35</v>
      </c>
      <c r="C83" t="s">
        <v>1015</v>
      </c>
      <c r="D83" t="s">
        <v>1016</v>
      </c>
      <c r="K83">
        <f t="shared" ref="K83:S83" si="40">K80*K85*K86</f>
        <v>0</v>
      </c>
      <c r="L83">
        <f t="shared" si="40"/>
        <v>0</v>
      </c>
      <c r="M83">
        <f t="shared" si="40"/>
        <v>0</v>
      </c>
      <c r="N83">
        <f t="shared" si="40"/>
        <v>0</v>
      </c>
      <c r="O83">
        <f t="shared" si="40"/>
        <v>0</v>
      </c>
      <c r="P83">
        <f t="shared" si="40"/>
        <v>0</v>
      </c>
      <c r="Q83">
        <f t="shared" si="40"/>
        <v>0</v>
      </c>
      <c r="R83">
        <f t="shared" si="40"/>
        <v>0</v>
      </c>
      <c r="S83">
        <f t="shared" si="40"/>
        <v>0</v>
      </c>
    </row>
    <row r="84" spans="1:19">
      <c r="A84" t="s">
        <v>192</v>
      </c>
      <c r="B84" t="s">
        <v>179</v>
      </c>
      <c r="C84" t="s">
        <v>1017</v>
      </c>
      <c r="D84" t="s">
        <v>1018</v>
      </c>
      <c r="H84">
        <f t="shared" ref="H84:S84" si="41">H83/H44</f>
        <v>0</v>
      </c>
      <c r="I84">
        <f t="shared" si="41"/>
        <v>0</v>
      </c>
      <c r="J84">
        <f t="shared" si="41"/>
        <v>0</v>
      </c>
      <c r="K84">
        <f t="shared" si="41"/>
        <v>0</v>
      </c>
      <c r="L84">
        <f t="shared" si="41"/>
        <v>0</v>
      </c>
      <c r="M84">
        <f t="shared" si="41"/>
        <v>0</v>
      </c>
      <c r="N84">
        <f t="shared" si="41"/>
        <v>0</v>
      </c>
      <c r="O84">
        <f t="shared" si="41"/>
        <v>0</v>
      </c>
      <c r="P84">
        <f t="shared" si="41"/>
        <v>0</v>
      </c>
      <c r="Q84">
        <f t="shared" si="41"/>
        <v>0</v>
      </c>
      <c r="R84">
        <f t="shared" si="41"/>
        <v>0</v>
      </c>
      <c r="S84">
        <f t="shared" si="41"/>
        <v>0</v>
      </c>
    </row>
    <row r="85" spans="1:19">
      <c r="A85" t="s">
        <v>192</v>
      </c>
      <c r="B85" t="s">
        <v>179</v>
      </c>
      <c r="C85" t="s">
        <v>1019</v>
      </c>
      <c r="D85" t="s">
        <v>1020</v>
      </c>
    </row>
    <row r="86" spans="1:19">
      <c r="A86" t="s">
        <v>192</v>
      </c>
      <c r="B86" t="s">
        <v>179</v>
      </c>
      <c r="C86" t="s">
        <v>1021</v>
      </c>
      <c r="D86" t="s">
        <v>1022</v>
      </c>
    </row>
    <row r="87" spans="1:19">
      <c r="A87" t="s">
        <v>23</v>
      </c>
      <c r="B87" t="s">
        <v>20</v>
      </c>
      <c r="C87" t="s">
        <v>1023</v>
      </c>
      <c r="D87" t="s">
        <v>225</v>
      </c>
      <c r="H87">
        <f t="shared" ref="H87:S87" si="42">H88</f>
        <v>70000000</v>
      </c>
      <c r="I87">
        <f t="shared" si="42"/>
        <v>65000000</v>
      </c>
      <c r="J87">
        <f t="shared" si="42"/>
        <v>78000000</v>
      </c>
      <c r="K87">
        <f t="shared" si="42"/>
        <v>0</v>
      </c>
      <c r="L87">
        <f t="shared" si="42"/>
        <v>0</v>
      </c>
      <c r="M87">
        <f t="shared" si="42"/>
        <v>0</v>
      </c>
      <c r="N87">
        <f t="shared" si="42"/>
        <v>0</v>
      </c>
      <c r="O87">
        <f t="shared" si="42"/>
        <v>0</v>
      </c>
      <c r="P87">
        <f t="shared" si="42"/>
        <v>0</v>
      </c>
      <c r="Q87">
        <f t="shared" si="42"/>
        <v>0</v>
      </c>
      <c r="R87">
        <f t="shared" si="42"/>
        <v>0</v>
      </c>
      <c r="S87">
        <f t="shared" si="42"/>
        <v>0</v>
      </c>
    </row>
    <row r="88" spans="1:19">
      <c r="A88" t="s">
        <v>26</v>
      </c>
      <c r="B88" t="s">
        <v>20</v>
      </c>
      <c r="C88" t="s">
        <v>1024</v>
      </c>
      <c r="D88" t="s">
        <v>227</v>
      </c>
      <c r="H88">
        <v>70000000</v>
      </c>
      <c r="I88">
        <v>65000000</v>
      </c>
      <c r="J88">
        <v>78000000</v>
      </c>
      <c r="K88">
        <f t="shared" ref="K88:S88" si="43">K54*K89</f>
        <v>0</v>
      </c>
      <c r="L88">
        <f t="shared" si="43"/>
        <v>0</v>
      </c>
      <c r="M88">
        <f t="shared" si="43"/>
        <v>0</v>
      </c>
      <c r="N88">
        <f t="shared" si="43"/>
        <v>0</v>
      </c>
      <c r="O88">
        <f t="shared" si="43"/>
        <v>0</v>
      </c>
      <c r="P88">
        <f t="shared" si="43"/>
        <v>0</v>
      </c>
      <c r="Q88">
        <f t="shared" si="43"/>
        <v>0</v>
      </c>
      <c r="R88">
        <f t="shared" si="43"/>
        <v>0</v>
      </c>
      <c r="S88">
        <f t="shared" si="43"/>
        <v>0</v>
      </c>
    </row>
    <row r="89" spans="1:19">
      <c r="A89" t="s">
        <v>60</v>
      </c>
      <c r="B89" t="s">
        <v>179</v>
      </c>
      <c r="C89" t="s">
        <v>1025</v>
      </c>
      <c r="D89" t="s">
        <v>229</v>
      </c>
      <c r="H89">
        <f>H88/H54</f>
        <v>0.0311111111111111</v>
      </c>
      <c r="I89">
        <f>I88/I54</f>
        <v>0.0277777777777778</v>
      </c>
      <c r="J89">
        <f>J88/J54</f>
        <v>0.0317073170731707</v>
      </c>
    </row>
    <row r="90" spans="1:19">
      <c r="A90" t="s">
        <v>19</v>
      </c>
      <c r="B90" t="s">
        <v>35</v>
      </c>
      <c r="C90" t="s">
        <v>1026</v>
      </c>
      <c r="D90" t="s">
        <v>241</v>
      </c>
      <c r="H90">
        <f t="shared" ref="H90:S90" si="44">H91+H96+H99</f>
        <v>672700000</v>
      </c>
      <c r="I90">
        <f t="shared" si="44"/>
        <v>624650000</v>
      </c>
      <c r="J90">
        <f t="shared" si="44"/>
        <v>749580000</v>
      </c>
      <c r="K90">
        <f t="shared" si="44"/>
        <v>24000000</v>
      </c>
      <c r="L90">
        <f t="shared" si="44"/>
        <v>24600000</v>
      </c>
      <c r="M90">
        <f t="shared" si="44"/>
        <v>25500000</v>
      </c>
      <c r="N90">
        <f t="shared" si="44"/>
        <v>26400000</v>
      </c>
      <c r="O90">
        <f t="shared" si="44"/>
        <v>26100000</v>
      </c>
      <c r="P90">
        <f t="shared" si="44"/>
        <v>25500000</v>
      </c>
      <c r="Q90">
        <f t="shared" si="44"/>
        <v>27900000</v>
      </c>
      <c r="R90">
        <f t="shared" si="44"/>
        <v>27600000</v>
      </c>
      <c r="S90">
        <f t="shared" si="44"/>
        <v>28500000</v>
      </c>
    </row>
    <row r="91" spans="1:19">
      <c r="A91" t="s">
        <v>23</v>
      </c>
      <c r="B91" t="s">
        <v>35</v>
      </c>
      <c r="C91" t="s">
        <v>1027</v>
      </c>
      <c r="D91" t="s">
        <v>243</v>
      </c>
      <c r="H91">
        <f t="shared" ref="H91:S91" si="45">H92+H94</f>
        <v>616700000</v>
      </c>
      <c r="I91">
        <f t="shared" si="45"/>
        <v>572650000</v>
      </c>
      <c r="J91">
        <f t="shared" si="45"/>
        <v>687180000</v>
      </c>
      <c r="K91">
        <f t="shared" si="45"/>
        <v>0</v>
      </c>
      <c r="L91">
        <f t="shared" si="45"/>
        <v>0</v>
      </c>
      <c r="M91">
        <f t="shared" si="45"/>
        <v>0</v>
      </c>
      <c r="N91">
        <f t="shared" si="45"/>
        <v>0</v>
      </c>
      <c r="O91">
        <f t="shared" si="45"/>
        <v>0</v>
      </c>
      <c r="P91">
        <f t="shared" si="45"/>
        <v>0</v>
      </c>
      <c r="Q91">
        <f t="shared" si="45"/>
        <v>0</v>
      </c>
      <c r="R91">
        <f t="shared" si="45"/>
        <v>0</v>
      </c>
      <c r="S91">
        <f t="shared" si="45"/>
        <v>0</v>
      </c>
    </row>
    <row r="92" spans="1:19">
      <c r="A92" t="s">
        <v>26</v>
      </c>
      <c r="B92" t="s">
        <v>35</v>
      </c>
      <c r="C92" t="s">
        <v>1028</v>
      </c>
      <c r="D92" t="s">
        <v>1029</v>
      </c>
      <c r="H92">
        <v>428400000</v>
      </c>
      <c r="I92">
        <v>397800000</v>
      </c>
      <c r="J92">
        <v>477360000</v>
      </c>
      <c r="K92">
        <f t="shared" ref="K92:S92" si="46">K42*K93</f>
        <v>0</v>
      </c>
      <c r="L92">
        <f t="shared" si="46"/>
        <v>0</v>
      </c>
      <c r="M92">
        <f t="shared" si="46"/>
        <v>0</v>
      </c>
      <c r="N92">
        <f t="shared" si="46"/>
        <v>0</v>
      </c>
      <c r="O92">
        <f t="shared" si="46"/>
        <v>0</v>
      </c>
      <c r="P92">
        <f t="shared" si="46"/>
        <v>0</v>
      </c>
      <c r="Q92">
        <f t="shared" si="46"/>
        <v>0</v>
      </c>
      <c r="R92">
        <f t="shared" si="46"/>
        <v>0</v>
      </c>
      <c r="S92">
        <f t="shared" si="46"/>
        <v>0</v>
      </c>
    </row>
    <row r="93" spans="1:19">
      <c r="A93" t="s">
        <v>60</v>
      </c>
      <c r="B93" t="s">
        <v>179</v>
      </c>
      <c r="C93" t="s">
        <v>1030</v>
      </c>
      <c r="D93" t="s">
        <v>1031</v>
      </c>
      <c r="H93">
        <f>H92/H42</f>
        <v>0.0423896103896104</v>
      </c>
      <c r="I93">
        <f>I92/I42</f>
        <v>0.037847866419295</v>
      </c>
      <c r="J93">
        <f>J92/J42</f>
        <v>0.0432019548395855</v>
      </c>
    </row>
    <row r="94" spans="1:19">
      <c r="A94" t="s">
        <v>26</v>
      </c>
      <c r="B94" t="s">
        <v>35</v>
      </c>
      <c r="C94" t="s">
        <v>1032</v>
      </c>
      <c r="D94" t="s">
        <v>1033</v>
      </c>
      <c r="H94">
        <v>188300000</v>
      </c>
      <c r="I94">
        <v>174850000</v>
      </c>
      <c r="J94">
        <v>209820000</v>
      </c>
      <c r="K94">
        <f t="shared" ref="K94:S94" si="47">K44*K95</f>
        <v>0</v>
      </c>
      <c r="L94">
        <f t="shared" si="47"/>
        <v>0</v>
      </c>
      <c r="M94">
        <f t="shared" si="47"/>
        <v>0</v>
      </c>
      <c r="N94">
        <f t="shared" si="47"/>
        <v>0</v>
      </c>
      <c r="O94">
        <f t="shared" si="47"/>
        <v>0</v>
      </c>
      <c r="P94">
        <f t="shared" si="47"/>
        <v>0</v>
      </c>
      <c r="Q94">
        <f t="shared" si="47"/>
        <v>0</v>
      </c>
      <c r="R94">
        <f t="shared" si="47"/>
        <v>0</v>
      </c>
      <c r="S94">
        <f t="shared" si="47"/>
        <v>0</v>
      </c>
    </row>
    <row r="95" spans="1:19">
      <c r="A95" t="s">
        <v>60</v>
      </c>
      <c r="B95" t="s">
        <v>179</v>
      </c>
      <c r="C95" t="s">
        <v>1034</v>
      </c>
      <c r="D95" t="s">
        <v>1035</v>
      </c>
      <c r="H95">
        <f>H94/H44</f>
        <v>0.0409904761904762</v>
      </c>
      <c r="I95">
        <f>I94/I44</f>
        <v>0.0365986394557823</v>
      </c>
      <c r="J95">
        <f>J94/J44</f>
        <v>0.0417760079641613</v>
      </c>
    </row>
    <row r="96" spans="1:19">
      <c r="A96" t="s">
        <v>23</v>
      </c>
      <c r="B96" t="s">
        <v>35</v>
      </c>
      <c r="C96" t="s">
        <v>1036</v>
      </c>
      <c r="D96" t="s">
        <v>265</v>
      </c>
      <c r="H96">
        <f t="shared" ref="H96:S96" si="48">H97</f>
        <v>35000000</v>
      </c>
      <c r="I96">
        <f t="shared" si="48"/>
        <v>32500000</v>
      </c>
      <c r="J96">
        <f t="shared" si="48"/>
        <v>39000000</v>
      </c>
      <c r="K96">
        <f t="shared" si="48"/>
        <v>0</v>
      </c>
      <c r="L96">
        <f t="shared" si="48"/>
        <v>0</v>
      </c>
      <c r="M96">
        <f t="shared" si="48"/>
        <v>0</v>
      </c>
      <c r="N96">
        <f t="shared" si="48"/>
        <v>0</v>
      </c>
      <c r="O96">
        <f t="shared" si="48"/>
        <v>0</v>
      </c>
      <c r="P96">
        <f t="shared" si="48"/>
        <v>0</v>
      </c>
      <c r="Q96">
        <f t="shared" si="48"/>
        <v>0</v>
      </c>
      <c r="R96">
        <f t="shared" si="48"/>
        <v>0</v>
      </c>
      <c r="S96">
        <f t="shared" si="48"/>
        <v>0</v>
      </c>
    </row>
    <row r="97" spans="1:19">
      <c r="A97" t="s">
        <v>26</v>
      </c>
      <c r="B97" t="s">
        <v>35</v>
      </c>
      <c r="C97" t="s">
        <v>1037</v>
      </c>
      <c r="D97" t="s">
        <v>267</v>
      </c>
      <c r="H97">
        <v>35000000</v>
      </c>
      <c r="I97">
        <v>32500000</v>
      </c>
      <c r="J97">
        <v>39000000</v>
      </c>
      <c r="K97">
        <f t="shared" ref="K97:S97" si="49">K54*K98</f>
        <v>0</v>
      </c>
      <c r="L97">
        <f t="shared" si="49"/>
        <v>0</v>
      </c>
      <c r="M97">
        <f t="shared" si="49"/>
        <v>0</v>
      </c>
      <c r="N97">
        <f t="shared" si="49"/>
        <v>0</v>
      </c>
      <c r="O97">
        <f t="shared" si="49"/>
        <v>0</v>
      </c>
      <c r="P97">
        <f t="shared" si="49"/>
        <v>0</v>
      </c>
      <c r="Q97">
        <f t="shared" si="49"/>
        <v>0</v>
      </c>
      <c r="R97">
        <f t="shared" si="49"/>
        <v>0</v>
      </c>
      <c r="S97">
        <f t="shared" si="49"/>
        <v>0</v>
      </c>
    </row>
    <row r="98" spans="1:19">
      <c r="A98" t="s">
        <v>60</v>
      </c>
      <c r="B98" t="s">
        <v>179</v>
      </c>
      <c r="C98" t="s">
        <v>1038</v>
      </c>
      <c r="D98" t="s">
        <v>269</v>
      </c>
      <c r="H98">
        <f>H97/H54</f>
        <v>0.0155555555555556</v>
      </c>
      <c r="I98">
        <f>I97/I54</f>
        <v>0.0138888888888889</v>
      </c>
      <c r="J98">
        <f>J97/J54</f>
        <v>0.0158536585365854</v>
      </c>
    </row>
    <row r="99" spans="1:19">
      <c r="A99" t="s">
        <v>23</v>
      </c>
      <c r="B99" t="s">
        <v>35</v>
      </c>
      <c r="C99" t="s">
        <v>1039</v>
      </c>
      <c r="D99" t="s">
        <v>281</v>
      </c>
      <c r="H99">
        <f t="shared" ref="H99:S99" si="50">H100</f>
        <v>21000000</v>
      </c>
      <c r="I99">
        <f t="shared" si="50"/>
        <v>19500000</v>
      </c>
      <c r="J99">
        <f t="shared" si="50"/>
        <v>23400000</v>
      </c>
      <c r="K99">
        <f t="shared" si="50"/>
        <v>24000000</v>
      </c>
      <c r="L99">
        <f t="shared" si="50"/>
        <v>24600000</v>
      </c>
      <c r="M99">
        <f t="shared" si="50"/>
        <v>25500000</v>
      </c>
      <c r="N99">
        <f t="shared" si="50"/>
        <v>26400000</v>
      </c>
      <c r="O99">
        <f t="shared" si="50"/>
        <v>26100000</v>
      </c>
      <c r="P99">
        <f t="shared" si="50"/>
        <v>25500000</v>
      </c>
      <c r="Q99">
        <f t="shared" si="50"/>
        <v>27900000</v>
      </c>
      <c r="R99">
        <f t="shared" si="50"/>
        <v>27600000</v>
      </c>
      <c r="S99">
        <f t="shared" si="50"/>
        <v>28500000</v>
      </c>
    </row>
    <row r="100" spans="1:19">
      <c r="A100" t="s">
        <v>26</v>
      </c>
      <c r="B100" t="s">
        <v>35</v>
      </c>
      <c r="C100" t="s">
        <v>1040</v>
      </c>
      <c r="D100" t="s">
        <v>1041</v>
      </c>
      <c r="H100">
        <v>21000000</v>
      </c>
      <c r="I100">
        <v>19500000</v>
      </c>
      <c r="J100">
        <v>23400000</v>
      </c>
      <c r="K100">
        <v>24000000</v>
      </c>
      <c r="L100">
        <v>24600000</v>
      </c>
      <c r="M100">
        <v>25500000</v>
      </c>
      <c r="N100">
        <v>26400000</v>
      </c>
      <c r="O100">
        <v>26100000</v>
      </c>
      <c r="P100">
        <v>25500000</v>
      </c>
      <c r="Q100">
        <v>27900000</v>
      </c>
      <c r="R100">
        <v>27600000</v>
      </c>
      <c r="S100">
        <v>28500000</v>
      </c>
    </row>
    <row r="101" spans="1:19">
      <c r="A101" t="s">
        <v>19</v>
      </c>
      <c r="B101" t="s">
        <v>35</v>
      </c>
      <c r="C101" t="s">
        <v>1042</v>
      </c>
      <c r="D101" t="s">
        <v>285</v>
      </c>
      <c r="H101">
        <f t="shared" ref="H101:S101" si="51">H102+H104</f>
        <v>161000000</v>
      </c>
      <c r="I101">
        <f t="shared" si="51"/>
        <v>149500000</v>
      </c>
      <c r="J101">
        <f t="shared" si="51"/>
        <v>179400000</v>
      </c>
      <c r="K101">
        <f t="shared" si="51"/>
        <v>0</v>
      </c>
      <c r="L101">
        <f t="shared" si="51"/>
        <v>0</v>
      </c>
      <c r="M101">
        <f t="shared" si="51"/>
        <v>0</v>
      </c>
      <c r="N101">
        <f t="shared" si="51"/>
        <v>0</v>
      </c>
      <c r="O101">
        <f t="shared" si="51"/>
        <v>0</v>
      </c>
      <c r="P101">
        <f t="shared" si="51"/>
        <v>0</v>
      </c>
      <c r="Q101">
        <f t="shared" si="51"/>
        <v>0</v>
      </c>
      <c r="R101">
        <f t="shared" si="51"/>
        <v>0</v>
      </c>
      <c r="S101">
        <f t="shared" si="51"/>
        <v>0</v>
      </c>
    </row>
    <row r="102" spans="1:19">
      <c r="A102" t="s">
        <v>23</v>
      </c>
      <c r="B102" t="s">
        <v>35</v>
      </c>
      <c r="C102" t="s">
        <v>1043</v>
      </c>
      <c r="D102" t="s">
        <v>287</v>
      </c>
      <c r="H102">
        <v>105000000</v>
      </c>
      <c r="I102">
        <v>97500000</v>
      </c>
      <c r="J102">
        <v>117000000</v>
      </c>
      <c r="K102">
        <f t="shared" ref="K102:S102" si="52">K50*K103</f>
        <v>0</v>
      </c>
      <c r="L102">
        <f t="shared" si="52"/>
        <v>0</v>
      </c>
      <c r="M102">
        <f t="shared" si="52"/>
        <v>0</v>
      </c>
      <c r="N102">
        <f t="shared" si="52"/>
        <v>0</v>
      </c>
      <c r="O102">
        <f t="shared" si="52"/>
        <v>0</v>
      </c>
      <c r="P102">
        <f t="shared" si="52"/>
        <v>0</v>
      </c>
      <c r="Q102">
        <f t="shared" si="52"/>
        <v>0</v>
      </c>
      <c r="R102">
        <f t="shared" si="52"/>
        <v>0</v>
      </c>
      <c r="S102">
        <f t="shared" si="52"/>
        <v>0</v>
      </c>
    </row>
    <row r="103" spans="1:19">
      <c r="A103" t="s">
        <v>26</v>
      </c>
      <c r="B103" t="s">
        <v>179</v>
      </c>
      <c r="C103" t="s">
        <v>1044</v>
      </c>
      <c r="D103" t="s">
        <v>289</v>
      </c>
      <c r="H103">
        <f>H102/H50</f>
        <v>0.019047619047619</v>
      </c>
      <c r="I103">
        <f>I102/I50</f>
        <v>0.0170068027210884</v>
      </c>
      <c r="J103">
        <f>J102/J50</f>
        <v>0.0194126431060229</v>
      </c>
    </row>
    <row r="104" spans="1:19">
      <c r="A104" t="s">
        <v>23</v>
      </c>
      <c r="B104" t="s">
        <v>35</v>
      </c>
      <c r="C104" t="s">
        <v>1045</v>
      </c>
      <c r="D104" t="s">
        <v>299</v>
      </c>
      <c r="H104">
        <f t="shared" ref="H104:S104" si="53">H105</f>
        <v>56000000</v>
      </c>
      <c r="I104">
        <f t="shared" si="53"/>
        <v>52000000</v>
      </c>
      <c r="J104">
        <f t="shared" si="53"/>
        <v>62400000</v>
      </c>
      <c r="K104">
        <f t="shared" si="53"/>
        <v>0</v>
      </c>
      <c r="L104">
        <f t="shared" si="53"/>
        <v>0</v>
      </c>
      <c r="M104">
        <f t="shared" si="53"/>
        <v>0</v>
      </c>
      <c r="N104">
        <f t="shared" si="53"/>
        <v>0</v>
      </c>
      <c r="O104">
        <f t="shared" si="53"/>
        <v>0</v>
      </c>
      <c r="P104">
        <f t="shared" si="53"/>
        <v>0</v>
      </c>
      <c r="Q104">
        <f t="shared" si="53"/>
        <v>0</v>
      </c>
      <c r="R104">
        <f t="shared" si="53"/>
        <v>0</v>
      </c>
      <c r="S104">
        <f t="shared" si="53"/>
        <v>0</v>
      </c>
    </row>
    <row r="105" spans="1:19">
      <c r="A105" t="s">
        <v>26</v>
      </c>
      <c r="B105" t="s">
        <v>35</v>
      </c>
      <c r="C105" t="s">
        <v>1046</v>
      </c>
      <c r="D105" t="s">
        <v>301</v>
      </c>
      <c r="H105">
        <v>56000000</v>
      </c>
      <c r="I105">
        <v>52000000</v>
      </c>
      <c r="J105">
        <v>62400000</v>
      </c>
      <c r="K105">
        <f t="shared" ref="K105:S105" si="54">K58*K106</f>
        <v>0</v>
      </c>
      <c r="L105">
        <f t="shared" si="54"/>
        <v>0</v>
      </c>
      <c r="M105">
        <f t="shared" si="54"/>
        <v>0</v>
      </c>
      <c r="N105">
        <f t="shared" si="54"/>
        <v>0</v>
      </c>
      <c r="O105">
        <f t="shared" si="54"/>
        <v>0</v>
      </c>
      <c r="P105">
        <f t="shared" si="54"/>
        <v>0</v>
      </c>
      <c r="Q105">
        <f t="shared" si="54"/>
        <v>0</v>
      </c>
      <c r="R105">
        <f t="shared" si="54"/>
        <v>0</v>
      </c>
      <c r="S105">
        <f t="shared" si="54"/>
        <v>0</v>
      </c>
    </row>
    <row r="106" spans="1:19">
      <c r="A106" t="s">
        <v>60</v>
      </c>
      <c r="B106" t="s">
        <v>179</v>
      </c>
      <c r="C106" t="s">
        <v>1047</v>
      </c>
      <c r="D106" t="s">
        <v>303</v>
      </c>
      <c r="H106">
        <f>H105/H58</f>
        <v>0.0373333333333333</v>
      </c>
      <c r="I106">
        <f>I105/I58</f>
        <v>0.0333333333333333</v>
      </c>
      <c r="J106">
        <f>J105/J58</f>
        <v>0.0380487804878049</v>
      </c>
    </row>
    <row r="107" spans="1:19">
      <c r="A107" t="s">
        <v>19</v>
      </c>
      <c r="B107" t="s">
        <v>20</v>
      </c>
      <c r="C107" t="s">
        <v>1048</v>
      </c>
      <c r="D107" t="s">
        <v>309</v>
      </c>
      <c r="H107">
        <f t="shared" ref="H107:S107" si="55">H108+H110</f>
        <v>140000000</v>
      </c>
      <c r="I107">
        <f t="shared" si="55"/>
        <v>130000000</v>
      </c>
      <c r="J107">
        <f t="shared" si="55"/>
        <v>156000000</v>
      </c>
      <c r="K107">
        <f t="shared" si="55"/>
        <v>0</v>
      </c>
      <c r="L107">
        <f t="shared" si="55"/>
        <v>0</v>
      </c>
      <c r="M107">
        <f t="shared" si="55"/>
        <v>0</v>
      </c>
      <c r="N107">
        <f t="shared" si="55"/>
        <v>0</v>
      </c>
      <c r="O107">
        <f t="shared" si="55"/>
        <v>0</v>
      </c>
      <c r="P107">
        <f t="shared" si="55"/>
        <v>0</v>
      </c>
      <c r="Q107">
        <f t="shared" si="55"/>
        <v>0</v>
      </c>
      <c r="R107">
        <f t="shared" si="55"/>
        <v>0</v>
      </c>
      <c r="S107">
        <f t="shared" si="55"/>
        <v>0</v>
      </c>
    </row>
    <row r="108" spans="1:19">
      <c r="A108" t="s">
        <v>23</v>
      </c>
      <c r="B108" t="s">
        <v>20</v>
      </c>
      <c r="C108" t="s">
        <v>1049</v>
      </c>
      <c r="D108" t="s">
        <v>311</v>
      </c>
      <c r="H108">
        <v>105000000</v>
      </c>
      <c r="I108">
        <v>97500000</v>
      </c>
      <c r="J108">
        <v>117000000</v>
      </c>
      <c r="K108">
        <f t="shared" ref="K108:S108" si="56">K50*K109</f>
        <v>0</v>
      </c>
      <c r="L108">
        <f t="shared" si="56"/>
        <v>0</v>
      </c>
      <c r="M108">
        <f t="shared" si="56"/>
        <v>0</v>
      </c>
      <c r="N108">
        <f t="shared" si="56"/>
        <v>0</v>
      </c>
      <c r="O108">
        <f t="shared" si="56"/>
        <v>0</v>
      </c>
      <c r="P108">
        <f t="shared" si="56"/>
        <v>0</v>
      </c>
      <c r="Q108">
        <f t="shared" si="56"/>
        <v>0</v>
      </c>
      <c r="R108">
        <f t="shared" si="56"/>
        <v>0</v>
      </c>
      <c r="S108">
        <f t="shared" si="56"/>
        <v>0</v>
      </c>
    </row>
    <row r="109" spans="1:19">
      <c r="A109" t="s">
        <v>26</v>
      </c>
      <c r="B109" t="s">
        <v>179</v>
      </c>
      <c r="C109" t="s">
        <v>1050</v>
      </c>
      <c r="D109" t="s">
        <v>313</v>
      </c>
      <c r="H109">
        <f>H108/H50</f>
        <v>0.019047619047619</v>
      </c>
      <c r="I109">
        <f>I108/I50</f>
        <v>0.0170068027210884</v>
      </c>
      <c r="J109">
        <f>J108/J50</f>
        <v>0.0194126431060229</v>
      </c>
    </row>
    <row r="110" spans="1:19">
      <c r="A110" t="s">
        <v>23</v>
      </c>
      <c r="B110" t="s">
        <v>20</v>
      </c>
      <c r="C110" t="s">
        <v>1051</v>
      </c>
      <c r="D110" t="s">
        <v>323</v>
      </c>
      <c r="H110">
        <f t="shared" ref="H110:S110" si="57">H111</f>
        <v>35000000</v>
      </c>
      <c r="I110">
        <f t="shared" si="57"/>
        <v>32500000</v>
      </c>
      <c r="J110">
        <f t="shared" si="57"/>
        <v>39000000</v>
      </c>
      <c r="K110">
        <f t="shared" si="57"/>
        <v>0</v>
      </c>
      <c r="L110">
        <f t="shared" si="57"/>
        <v>0</v>
      </c>
      <c r="M110">
        <f t="shared" si="57"/>
        <v>0</v>
      </c>
      <c r="N110">
        <f t="shared" si="57"/>
        <v>0</v>
      </c>
      <c r="O110">
        <f t="shared" si="57"/>
        <v>0</v>
      </c>
      <c r="P110">
        <f t="shared" si="57"/>
        <v>0</v>
      </c>
      <c r="Q110">
        <f t="shared" si="57"/>
        <v>0</v>
      </c>
      <c r="R110">
        <f t="shared" si="57"/>
        <v>0</v>
      </c>
      <c r="S110">
        <f t="shared" si="57"/>
        <v>0</v>
      </c>
    </row>
    <row r="111" spans="1:19">
      <c r="A111" t="s">
        <v>26</v>
      </c>
      <c r="B111" t="s">
        <v>20</v>
      </c>
      <c r="C111" t="s">
        <v>1052</v>
      </c>
      <c r="D111" t="s">
        <v>325</v>
      </c>
      <c r="H111">
        <v>35000000</v>
      </c>
      <c r="I111">
        <v>32500000</v>
      </c>
      <c r="J111">
        <v>39000000</v>
      </c>
      <c r="K111">
        <f t="shared" ref="K111:S111" si="58">K58*K112</f>
        <v>0</v>
      </c>
      <c r="L111">
        <f t="shared" si="58"/>
        <v>0</v>
      </c>
      <c r="M111">
        <f t="shared" si="58"/>
        <v>0</v>
      </c>
      <c r="N111">
        <f t="shared" si="58"/>
        <v>0</v>
      </c>
      <c r="O111">
        <f t="shared" si="58"/>
        <v>0</v>
      </c>
      <c r="P111">
        <f t="shared" si="58"/>
        <v>0</v>
      </c>
      <c r="Q111">
        <f t="shared" si="58"/>
        <v>0</v>
      </c>
      <c r="R111">
        <f t="shared" si="58"/>
        <v>0</v>
      </c>
      <c r="S111">
        <f t="shared" si="58"/>
        <v>0</v>
      </c>
    </row>
    <row r="112" spans="1:19">
      <c r="A112" t="s">
        <v>60</v>
      </c>
      <c r="B112" t="s">
        <v>179</v>
      </c>
      <c r="C112" t="s">
        <v>1053</v>
      </c>
      <c r="D112" t="s">
        <v>327</v>
      </c>
      <c r="H112">
        <f>H111/H58</f>
        <v>0.0233333333333333</v>
      </c>
      <c r="I112">
        <f>I111/I58</f>
        <v>0.0208333333333333</v>
      </c>
      <c r="J112">
        <f>J111/J58</f>
        <v>0.023780487804878</v>
      </c>
    </row>
    <row r="113" spans="1:19">
      <c r="A113" t="s">
        <v>19</v>
      </c>
      <c r="B113" t="s">
        <v>20</v>
      </c>
      <c r="C113" t="s">
        <v>1054</v>
      </c>
      <c r="D113" t="s">
        <v>337</v>
      </c>
      <c r="H113">
        <v>521500000</v>
      </c>
      <c r="I113">
        <v>484250000</v>
      </c>
      <c r="J113">
        <v>581100000</v>
      </c>
      <c r="K113">
        <f t="shared" ref="K113:S113" si="59">K114+K122+K126+K127+K128</f>
        <v>396000000</v>
      </c>
      <c r="L113">
        <f t="shared" si="59"/>
        <v>405900000</v>
      </c>
      <c r="M113">
        <f t="shared" si="59"/>
        <v>420750000</v>
      </c>
      <c r="N113">
        <f t="shared" si="59"/>
        <v>435600000</v>
      </c>
      <c r="O113">
        <f t="shared" si="59"/>
        <v>430650000</v>
      </c>
      <c r="P113">
        <f t="shared" si="59"/>
        <v>420750000</v>
      </c>
      <c r="Q113">
        <f t="shared" si="59"/>
        <v>460350000</v>
      </c>
      <c r="R113">
        <f t="shared" si="59"/>
        <v>455400000</v>
      </c>
      <c r="S113">
        <f t="shared" si="59"/>
        <v>470250000</v>
      </c>
    </row>
    <row r="114" spans="1:19">
      <c r="A114" t="s">
        <v>23</v>
      </c>
      <c r="B114" t="s">
        <v>20</v>
      </c>
      <c r="C114" t="s">
        <v>1055</v>
      </c>
      <c r="D114" t="s">
        <v>1056</v>
      </c>
      <c r="H114">
        <v>140000000</v>
      </c>
      <c r="I114">
        <v>130000000</v>
      </c>
      <c r="J114">
        <v>156000000</v>
      </c>
      <c r="K114">
        <f t="shared" ref="K114:S114" si="60">K116+K121</f>
        <v>0</v>
      </c>
      <c r="L114">
        <f t="shared" si="60"/>
        <v>0</v>
      </c>
      <c r="M114">
        <f t="shared" si="60"/>
        <v>0</v>
      </c>
      <c r="N114">
        <f t="shared" si="60"/>
        <v>0</v>
      </c>
      <c r="O114">
        <f t="shared" si="60"/>
        <v>0</v>
      </c>
      <c r="P114">
        <f t="shared" si="60"/>
        <v>0</v>
      </c>
      <c r="Q114">
        <f t="shared" si="60"/>
        <v>0</v>
      </c>
      <c r="R114">
        <f t="shared" si="60"/>
        <v>0</v>
      </c>
      <c r="S114">
        <f t="shared" si="60"/>
        <v>0</v>
      </c>
    </row>
    <row r="115" spans="1:19">
      <c r="A115" t="s">
        <v>26</v>
      </c>
      <c r="B115" t="s">
        <v>179</v>
      </c>
      <c r="C115" t="s">
        <v>1057</v>
      </c>
      <c r="D115" t="s">
        <v>1058</v>
      </c>
      <c r="H115">
        <f t="shared" ref="H115:S115" si="61">H114/H45</f>
        <v>0.0634920634920635</v>
      </c>
      <c r="I115">
        <f t="shared" si="61"/>
        <v>0.0566893424036281</v>
      </c>
      <c r="J115">
        <f t="shared" si="61"/>
        <v>0.0647088103534097</v>
      </c>
      <c r="K115">
        <f t="shared" si="61"/>
        <v>0</v>
      </c>
      <c r="L115">
        <f t="shared" si="61"/>
        <v>0</v>
      </c>
      <c r="M115">
        <f t="shared" si="61"/>
        <v>0</v>
      </c>
      <c r="N115">
        <f t="shared" si="61"/>
        <v>0</v>
      </c>
      <c r="O115">
        <f t="shared" si="61"/>
        <v>0</v>
      </c>
      <c r="P115">
        <f t="shared" si="61"/>
        <v>0</v>
      </c>
      <c r="Q115">
        <f t="shared" si="61"/>
        <v>0</v>
      </c>
      <c r="R115">
        <f t="shared" si="61"/>
        <v>0</v>
      </c>
      <c r="S115">
        <f t="shared" si="61"/>
        <v>0</v>
      </c>
    </row>
    <row r="116" spans="1:19">
      <c r="A116" t="s">
        <v>26</v>
      </c>
      <c r="B116" t="s">
        <v>20</v>
      </c>
      <c r="C116" t="s">
        <v>1059</v>
      </c>
      <c r="D116" t="s">
        <v>1060</v>
      </c>
      <c r="K116">
        <f t="shared" ref="K116:S116" si="62">K45*K117</f>
        <v>0</v>
      </c>
      <c r="L116">
        <f t="shared" si="62"/>
        <v>0</v>
      </c>
      <c r="M116">
        <f t="shared" si="62"/>
        <v>0</v>
      </c>
      <c r="N116">
        <f t="shared" si="62"/>
        <v>0</v>
      </c>
      <c r="O116">
        <f t="shared" si="62"/>
        <v>0</v>
      </c>
      <c r="P116">
        <f t="shared" si="62"/>
        <v>0</v>
      </c>
      <c r="Q116">
        <f t="shared" si="62"/>
        <v>0</v>
      </c>
      <c r="R116">
        <f t="shared" si="62"/>
        <v>0</v>
      </c>
      <c r="S116">
        <f t="shared" si="62"/>
        <v>0</v>
      </c>
    </row>
    <row r="117" spans="1:19">
      <c r="A117" t="s">
        <v>60</v>
      </c>
      <c r="B117" t="s">
        <v>179</v>
      </c>
      <c r="C117" t="s">
        <v>1061</v>
      </c>
      <c r="D117" t="s">
        <v>1062</v>
      </c>
      <c r="H117">
        <f>H116/H45</f>
        <v>0</v>
      </c>
      <c r="I117">
        <f>I116/I45</f>
        <v>0</v>
      </c>
      <c r="J117">
        <f>J116/J45</f>
        <v>0</v>
      </c>
      <c r="K117">
        <f t="shared" ref="K117:S117" si="63">K118*K119*K120/1.06</f>
        <v>0</v>
      </c>
      <c r="L117">
        <f t="shared" si="63"/>
        <v>0</v>
      </c>
      <c r="M117">
        <f t="shared" si="63"/>
        <v>0</v>
      </c>
      <c r="N117">
        <f t="shared" si="63"/>
        <v>0</v>
      </c>
      <c r="O117">
        <f t="shared" si="63"/>
        <v>0</v>
      </c>
      <c r="P117">
        <f t="shared" si="63"/>
        <v>0</v>
      </c>
      <c r="Q117">
        <f t="shared" si="63"/>
        <v>0</v>
      </c>
      <c r="R117">
        <f t="shared" si="63"/>
        <v>0</v>
      </c>
      <c r="S117">
        <f t="shared" si="63"/>
        <v>0</v>
      </c>
    </row>
    <row r="118" spans="1:19">
      <c r="A118" t="s">
        <v>60</v>
      </c>
      <c r="B118" t="s">
        <v>179</v>
      </c>
      <c r="C118" t="s">
        <v>1063</v>
      </c>
      <c r="D118" t="s">
        <v>1064</v>
      </c>
      <c r="K118">
        <f t="shared" ref="K118:S118" si="64">K65+K68</f>
        <v>0</v>
      </c>
      <c r="L118">
        <f t="shared" si="64"/>
        <v>0</v>
      </c>
      <c r="M118">
        <f t="shared" si="64"/>
        <v>0</v>
      </c>
      <c r="N118">
        <f t="shared" si="64"/>
        <v>0</v>
      </c>
      <c r="O118">
        <f t="shared" si="64"/>
        <v>0</v>
      </c>
      <c r="P118">
        <f t="shared" si="64"/>
        <v>0</v>
      </c>
      <c r="Q118">
        <f t="shared" si="64"/>
        <v>0</v>
      </c>
      <c r="R118">
        <f t="shared" si="64"/>
        <v>0</v>
      </c>
      <c r="S118">
        <f t="shared" si="64"/>
        <v>0</v>
      </c>
    </row>
    <row r="119" spans="1:19">
      <c r="A119" t="s">
        <v>60</v>
      </c>
      <c r="B119" t="s">
        <v>179</v>
      </c>
      <c r="C119" t="s">
        <v>1065</v>
      </c>
      <c r="D119" t="s">
        <v>1066</v>
      </c>
    </row>
    <row r="120" spans="1:19">
      <c r="A120" t="s">
        <v>60</v>
      </c>
      <c r="B120" t="s">
        <v>179</v>
      </c>
      <c r="C120" t="s">
        <v>1067</v>
      </c>
      <c r="D120" t="s">
        <v>1068</v>
      </c>
    </row>
    <row r="121" spans="1:19">
      <c r="A121" t="s">
        <v>26</v>
      </c>
      <c r="B121" t="s">
        <v>20</v>
      </c>
      <c r="C121" t="s">
        <v>1069</v>
      </c>
      <c r="D121" t="s">
        <v>1070</v>
      </c>
    </row>
    <row r="122" spans="1:19">
      <c r="A122" t="s">
        <v>23</v>
      </c>
      <c r="B122" t="s">
        <v>20</v>
      </c>
      <c r="C122" t="s">
        <v>1071</v>
      </c>
      <c r="D122" t="s">
        <v>1072</v>
      </c>
      <c r="H122">
        <v>35000000</v>
      </c>
      <c r="I122">
        <v>32500000</v>
      </c>
      <c r="J122">
        <v>39000000</v>
      </c>
      <c r="K122">
        <f t="shared" ref="K122:S122" si="65">K130*K124*K125</f>
        <v>0</v>
      </c>
      <c r="L122">
        <f t="shared" si="65"/>
        <v>0</v>
      </c>
      <c r="M122">
        <f t="shared" si="65"/>
        <v>0</v>
      </c>
      <c r="N122">
        <f t="shared" si="65"/>
        <v>0</v>
      </c>
      <c r="O122">
        <f t="shared" si="65"/>
        <v>0</v>
      </c>
      <c r="P122">
        <f t="shared" si="65"/>
        <v>0</v>
      </c>
      <c r="Q122">
        <f t="shared" si="65"/>
        <v>0</v>
      </c>
      <c r="R122">
        <f t="shared" si="65"/>
        <v>0</v>
      </c>
      <c r="S122">
        <f t="shared" si="65"/>
        <v>0</v>
      </c>
    </row>
    <row r="123" spans="1:19">
      <c r="A123" t="s">
        <v>26</v>
      </c>
      <c r="B123" t="s">
        <v>179</v>
      </c>
      <c r="C123" t="s">
        <v>1073</v>
      </c>
      <c r="D123" t="s">
        <v>1074</v>
      </c>
      <c r="H123">
        <f t="shared" ref="H123:S123" si="66">H122/H45</f>
        <v>0.0158730158730159</v>
      </c>
      <c r="I123">
        <f t="shared" si="66"/>
        <v>0.014172335600907</v>
      </c>
      <c r="J123">
        <f t="shared" si="66"/>
        <v>0.0161772025883524</v>
      </c>
      <c r="K123">
        <f t="shared" si="66"/>
        <v>0</v>
      </c>
      <c r="L123">
        <f t="shared" si="66"/>
        <v>0</v>
      </c>
      <c r="M123">
        <f t="shared" si="66"/>
        <v>0</v>
      </c>
      <c r="N123">
        <f t="shared" si="66"/>
        <v>0</v>
      </c>
      <c r="O123">
        <f t="shared" si="66"/>
        <v>0</v>
      </c>
      <c r="P123">
        <f t="shared" si="66"/>
        <v>0</v>
      </c>
      <c r="Q123">
        <f t="shared" si="66"/>
        <v>0</v>
      </c>
      <c r="R123">
        <f t="shared" si="66"/>
        <v>0</v>
      </c>
      <c r="S123">
        <f t="shared" si="66"/>
        <v>0</v>
      </c>
    </row>
    <row r="124" spans="1:19">
      <c r="A124" t="s">
        <v>60</v>
      </c>
      <c r="B124" t="s">
        <v>179</v>
      </c>
      <c r="C124" t="s">
        <v>1075</v>
      </c>
      <c r="D124" t="s">
        <v>1076</v>
      </c>
      <c r="H124">
        <f t="shared" ref="H124:S124" si="67">H45/H39</f>
        <v>0.12</v>
      </c>
      <c r="I124">
        <f t="shared" si="67"/>
        <v>0.12</v>
      </c>
      <c r="J124">
        <f t="shared" si="67"/>
        <v>0.12</v>
      </c>
      <c r="K124">
        <f t="shared" si="67"/>
        <v>0.12</v>
      </c>
      <c r="L124">
        <f t="shared" si="67"/>
        <v>0.12</v>
      </c>
      <c r="M124">
        <f t="shared" si="67"/>
        <v>0.12</v>
      </c>
      <c r="N124">
        <f t="shared" si="67"/>
        <v>0.12</v>
      </c>
      <c r="O124">
        <f t="shared" si="67"/>
        <v>0.12</v>
      </c>
      <c r="P124">
        <f t="shared" si="67"/>
        <v>0.12</v>
      </c>
      <c r="Q124">
        <f t="shared" si="67"/>
        <v>0.12</v>
      </c>
      <c r="R124">
        <f t="shared" si="67"/>
        <v>0.12</v>
      </c>
      <c r="S124">
        <f t="shared" si="67"/>
        <v>0.12</v>
      </c>
    </row>
    <row r="125" spans="1:19">
      <c r="A125" t="s">
        <v>60</v>
      </c>
      <c r="B125" t="s">
        <v>179</v>
      </c>
      <c r="C125" t="s">
        <v>1077</v>
      </c>
      <c r="D125" t="s">
        <v>1078</v>
      </c>
      <c r="H125">
        <f>H122/(H130*H124)</f>
        <v>20.8333333333333</v>
      </c>
      <c r="I125">
        <f>I122/(I130*I124)</f>
        <v>20.8333333333333</v>
      </c>
      <c r="J125">
        <f>J122/(J130*J124)</f>
        <v>20.8333333333333</v>
      </c>
    </row>
    <row r="126" spans="1:19">
      <c r="A126" t="s">
        <v>23</v>
      </c>
      <c r="B126" t="s">
        <v>20</v>
      </c>
      <c r="C126" t="s">
        <v>1079</v>
      </c>
      <c r="D126" t="s">
        <v>1080</v>
      </c>
      <c r="H126">
        <v>105000000</v>
      </c>
      <c r="I126">
        <v>97500000</v>
      </c>
      <c r="J126">
        <v>117000000</v>
      </c>
      <c r="K126">
        <v>120000000</v>
      </c>
      <c r="L126">
        <v>123000000</v>
      </c>
      <c r="M126">
        <v>127500000</v>
      </c>
      <c r="N126">
        <v>132000000</v>
      </c>
      <c r="O126">
        <v>130500000</v>
      </c>
      <c r="P126">
        <v>127500000</v>
      </c>
      <c r="Q126">
        <v>139500000</v>
      </c>
      <c r="R126">
        <v>138000000</v>
      </c>
      <c r="S126">
        <v>142500000</v>
      </c>
    </row>
    <row r="127" spans="1:19">
      <c r="A127" t="s">
        <v>23</v>
      </c>
      <c r="B127" t="s">
        <v>20</v>
      </c>
      <c r="C127" t="s">
        <v>1081</v>
      </c>
      <c r="D127" t="s">
        <v>1082</v>
      </c>
      <c r="H127">
        <v>84000000</v>
      </c>
      <c r="I127">
        <v>78000000</v>
      </c>
      <c r="J127">
        <v>93600000</v>
      </c>
      <c r="K127">
        <v>96000000</v>
      </c>
      <c r="L127">
        <v>98400000</v>
      </c>
      <c r="M127">
        <v>102000000</v>
      </c>
      <c r="N127">
        <v>105600000</v>
      </c>
      <c r="O127">
        <v>104400000</v>
      </c>
      <c r="P127">
        <v>102000000</v>
      </c>
      <c r="Q127">
        <v>111600000</v>
      </c>
      <c r="R127">
        <v>110400000</v>
      </c>
      <c r="S127">
        <v>114000000</v>
      </c>
    </row>
    <row r="128" spans="1:19">
      <c r="A128" t="s">
        <v>23</v>
      </c>
      <c r="B128" t="s">
        <v>20</v>
      </c>
      <c r="C128" t="s">
        <v>1083</v>
      </c>
      <c r="D128" t="s">
        <v>1084</v>
      </c>
      <c r="H128">
        <f>H113-H114-H122-H126-H127</f>
        <v>157500000</v>
      </c>
      <c r="I128">
        <f>I113-I114-I122-I126-I127</f>
        <v>146250000</v>
      </c>
      <c r="J128">
        <f>J113-J114-J122-J126-J127</f>
        <v>175500000</v>
      </c>
      <c r="K128">
        <v>180000000</v>
      </c>
      <c r="L128">
        <v>184500000</v>
      </c>
      <c r="M128">
        <v>191250000</v>
      </c>
      <c r="N128">
        <v>198000000</v>
      </c>
      <c r="O128">
        <v>195750000</v>
      </c>
      <c r="P128">
        <v>191250000</v>
      </c>
      <c r="Q128">
        <v>209250000</v>
      </c>
      <c r="R128">
        <v>207000000</v>
      </c>
      <c r="S128">
        <v>213750000</v>
      </c>
    </row>
    <row r="129" spans="1:19">
      <c r="A129" t="s">
        <v>19</v>
      </c>
      <c r="B129" t="s">
        <v>35</v>
      </c>
      <c r="C129" t="s">
        <v>1085</v>
      </c>
      <c r="D129" t="s">
        <v>365</v>
      </c>
      <c r="H129">
        <v>56000000</v>
      </c>
      <c r="I129">
        <v>52000000</v>
      </c>
      <c r="J129">
        <v>62400000</v>
      </c>
      <c r="K129">
        <f t="shared" ref="K129:S129" si="68">K130+K132+K134+K136+K137+K144+K145+K148+K149</f>
        <v>20000000</v>
      </c>
      <c r="L129">
        <f t="shared" si="68"/>
        <v>20500000</v>
      </c>
      <c r="M129">
        <f t="shared" si="68"/>
        <v>21250000</v>
      </c>
      <c r="N129">
        <f t="shared" si="68"/>
        <v>22000000</v>
      </c>
      <c r="O129">
        <f t="shared" si="68"/>
        <v>21750000</v>
      </c>
      <c r="P129">
        <f t="shared" si="68"/>
        <v>21250000</v>
      </c>
      <c r="Q129">
        <f t="shared" si="68"/>
        <v>23250000</v>
      </c>
      <c r="R129">
        <f t="shared" si="68"/>
        <v>23000000</v>
      </c>
      <c r="S129">
        <f t="shared" si="68"/>
        <v>23750000</v>
      </c>
    </row>
    <row r="130" spans="1:19">
      <c r="A130" t="s">
        <v>23</v>
      </c>
      <c r="B130" t="s">
        <v>35</v>
      </c>
      <c r="C130" t="s">
        <v>1086</v>
      </c>
      <c r="D130" t="s">
        <v>367</v>
      </c>
      <c r="H130">
        <v>14000000</v>
      </c>
      <c r="I130">
        <v>13000000</v>
      </c>
      <c r="J130">
        <v>15600000</v>
      </c>
      <c r="K130">
        <f t="shared" ref="K130:S130" si="69">K39*K131</f>
        <v>0</v>
      </c>
      <c r="L130">
        <f t="shared" si="69"/>
        <v>0</v>
      </c>
      <c r="M130">
        <f t="shared" si="69"/>
        <v>0</v>
      </c>
      <c r="N130">
        <f t="shared" si="69"/>
        <v>0</v>
      </c>
      <c r="O130">
        <f t="shared" si="69"/>
        <v>0</v>
      </c>
      <c r="P130">
        <f t="shared" si="69"/>
        <v>0</v>
      </c>
      <c r="Q130">
        <f t="shared" si="69"/>
        <v>0</v>
      </c>
      <c r="R130">
        <f t="shared" si="69"/>
        <v>0</v>
      </c>
      <c r="S130">
        <f t="shared" si="69"/>
        <v>0</v>
      </c>
    </row>
    <row r="131" spans="1:19">
      <c r="A131" t="s">
        <v>26</v>
      </c>
      <c r="B131" t="s">
        <v>179</v>
      </c>
      <c r="C131" t="s">
        <v>1087</v>
      </c>
      <c r="D131" t="s">
        <v>369</v>
      </c>
      <c r="H131">
        <f>H130/H39</f>
        <v>0.000761904761904762</v>
      </c>
      <c r="I131">
        <f>I130/I39</f>
        <v>0.000680272108843537</v>
      </c>
      <c r="J131">
        <f>J130/J39</f>
        <v>0.000776505724240916</v>
      </c>
    </row>
    <row r="132" spans="1:19">
      <c r="A132" t="s">
        <v>23</v>
      </c>
      <c r="B132" t="s">
        <v>35</v>
      </c>
      <c r="C132" t="s">
        <v>1088</v>
      </c>
      <c r="D132" t="s">
        <v>371</v>
      </c>
      <c r="H132">
        <v>10500000</v>
      </c>
      <c r="I132">
        <v>9750000</v>
      </c>
      <c r="J132">
        <v>11700000</v>
      </c>
      <c r="K132">
        <f t="shared" ref="K132:S132" si="70">K39*K133</f>
        <v>0</v>
      </c>
      <c r="L132">
        <f t="shared" si="70"/>
        <v>0</v>
      </c>
      <c r="M132">
        <f t="shared" si="70"/>
        <v>0</v>
      </c>
      <c r="N132">
        <f t="shared" si="70"/>
        <v>0</v>
      </c>
      <c r="O132">
        <f t="shared" si="70"/>
        <v>0</v>
      </c>
      <c r="P132">
        <f t="shared" si="70"/>
        <v>0</v>
      </c>
      <c r="Q132">
        <f t="shared" si="70"/>
        <v>0</v>
      </c>
      <c r="R132">
        <f t="shared" si="70"/>
        <v>0</v>
      </c>
      <c r="S132">
        <f t="shared" si="70"/>
        <v>0</v>
      </c>
    </row>
    <row r="133" spans="1:19">
      <c r="A133" t="s">
        <v>26</v>
      </c>
      <c r="B133" t="s">
        <v>179</v>
      </c>
      <c r="C133" t="s">
        <v>1089</v>
      </c>
      <c r="D133" t="s">
        <v>369</v>
      </c>
      <c r="H133">
        <f>H132/H39</f>
        <v>0.000571428571428571</v>
      </c>
      <c r="I133">
        <f>I132/I39</f>
        <v>0.000510204081632653</v>
      </c>
      <c r="J133">
        <f>J132/J39</f>
        <v>0.000582379293180687</v>
      </c>
    </row>
    <row r="134" spans="1:19">
      <c r="A134" t="s">
        <v>23</v>
      </c>
      <c r="B134" t="s">
        <v>35</v>
      </c>
      <c r="C134" t="s">
        <v>1090</v>
      </c>
      <c r="D134" t="s">
        <v>374</v>
      </c>
      <c r="H134">
        <v>7000000</v>
      </c>
      <c r="I134">
        <v>6500000</v>
      </c>
      <c r="J134">
        <v>7800000</v>
      </c>
      <c r="K134">
        <f t="shared" ref="K134:S134" si="71">K39*K135</f>
        <v>0</v>
      </c>
      <c r="L134">
        <f t="shared" si="71"/>
        <v>0</v>
      </c>
      <c r="M134">
        <f t="shared" si="71"/>
        <v>0</v>
      </c>
      <c r="N134">
        <f t="shared" si="71"/>
        <v>0</v>
      </c>
      <c r="O134">
        <f t="shared" si="71"/>
        <v>0</v>
      </c>
      <c r="P134">
        <f t="shared" si="71"/>
        <v>0</v>
      </c>
      <c r="Q134">
        <f t="shared" si="71"/>
        <v>0</v>
      </c>
      <c r="R134">
        <f t="shared" si="71"/>
        <v>0</v>
      </c>
      <c r="S134">
        <f t="shared" si="71"/>
        <v>0</v>
      </c>
    </row>
    <row r="135" spans="1:19">
      <c r="A135" t="s">
        <v>26</v>
      </c>
      <c r="B135" t="s">
        <v>179</v>
      </c>
      <c r="C135" t="s">
        <v>1091</v>
      </c>
      <c r="D135" t="s">
        <v>369</v>
      </c>
      <c r="H135">
        <f>H134/H39</f>
        <v>0.000380952380952381</v>
      </c>
      <c r="I135">
        <f>I134/I39</f>
        <v>0.000340136054421769</v>
      </c>
      <c r="J135">
        <f>J134/J39</f>
        <v>0.000388252862120458</v>
      </c>
    </row>
    <row r="136" spans="1:19">
      <c r="A136" t="s">
        <v>23</v>
      </c>
      <c r="B136" t="s">
        <v>35</v>
      </c>
      <c r="C136" t="s">
        <v>1092</v>
      </c>
      <c r="D136" t="s">
        <v>377</v>
      </c>
      <c r="H136">
        <v>10500000</v>
      </c>
      <c r="I136">
        <v>9750000</v>
      </c>
      <c r="J136">
        <v>11700000</v>
      </c>
      <c r="K136">
        <v>12000000</v>
      </c>
      <c r="L136">
        <v>12300000</v>
      </c>
      <c r="M136">
        <v>12750000</v>
      </c>
      <c r="N136">
        <v>13200000</v>
      </c>
      <c r="O136">
        <v>13050000</v>
      </c>
      <c r="P136">
        <v>12750000</v>
      </c>
      <c r="Q136">
        <v>13950000</v>
      </c>
      <c r="R136">
        <v>13800000</v>
      </c>
      <c r="S136">
        <v>14250000</v>
      </c>
    </row>
    <row r="137" spans="1:19">
      <c r="A137" t="s">
        <v>23</v>
      </c>
      <c r="B137" t="s">
        <v>35</v>
      </c>
      <c r="C137" t="s">
        <v>1093</v>
      </c>
      <c r="D137" t="s">
        <v>1094</v>
      </c>
      <c r="H137">
        <v>7000000</v>
      </c>
      <c r="I137">
        <v>6500000</v>
      </c>
      <c r="J137">
        <v>7800000</v>
      </c>
      <c r="K137">
        <f t="shared" ref="K137:S137" si="72">K139+K143</f>
        <v>0</v>
      </c>
      <c r="L137">
        <f t="shared" si="72"/>
        <v>0</v>
      </c>
      <c r="M137">
        <f t="shared" si="72"/>
        <v>0</v>
      </c>
      <c r="N137">
        <f t="shared" si="72"/>
        <v>0</v>
      </c>
      <c r="O137">
        <f t="shared" si="72"/>
        <v>0</v>
      </c>
      <c r="P137">
        <f t="shared" si="72"/>
        <v>0</v>
      </c>
      <c r="Q137">
        <f t="shared" si="72"/>
        <v>0</v>
      </c>
      <c r="R137">
        <f t="shared" si="72"/>
        <v>0</v>
      </c>
      <c r="S137">
        <f t="shared" si="72"/>
        <v>0</v>
      </c>
    </row>
    <row r="138" spans="1:19">
      <c r="A138" t="s">
        <v>26</v>
      </c>
      <c r="B138" t="s">
        <v>179</v>
      </c>
      <c r="C138" t="s">
        <v>1095</v>
      </c>
      <c r="D138" t="s">
        <v>1096</v>
      </c>
      <c r="H138">
        <f t="shared" ref="H138:S138" si="73">H137/H45</f>
        <v>0.00317460317460317</v>
      </c>
      <c r="I138">
        <f t="shared" si="73"/>
        <v>0.00283446712018141</v>
      </c>
      <c r="J138">
        <f t="shared" si="73"/>
        <v>0.00323544051767048</v>
      </c>
      <c r="K138">
        <f t="shared" si="73"/>
        <v>0</v>
      </c>
      <c r="L138">
        <f t="shared" si="73"/>
        <v>0</v>
      </c>
      <c r="M138">
        <f t="shared" si="73"/>
        <v>0</v>
      </c>
      <c r="N138">
        <f t="shared" si="73"/>
        <v>0</v>
      </c>
      <c r="O138">
        <f t="shared" si="73"/>
        <v>0</v>
      </c>
      <c r="P138">
        <f t="shared" si="73"/>
        <v>0</v>
      </c>
      <c r="Q138">
        <f t="shared" si="73"/>
        <v>0</v>
      </c>
      <c r="R138">
        <f t="shared" si="73"/>
        <v>0</v>
      </c>
      <c r="S138">
        <f t="shared" si="73"/>
        <v>0</v>
      </c>
    </row>
    <row r="139" spans="1:19">
      <c r="A139" t="s">
        <v>26</v>
      </c>
      <c r="B139" t="s">
        <v>35</v>
      </c>
      <c r="C139" t="s">
        <v>1097</v>
      </c>
      <c r="D139" t="s">
        <v>1098</v>
      </c>
      <c r="K139">
        <f t="shared" ref="K139:S139" si="74">K45*K118*(1-K141)*K119/1.06*K71*(1-K142)/1.06</f>
        <v>0</v>
      </c>
      <c r="L139">
        <f t="shared" si="74"/>
        <v>0</v>
      </c>
      <c r="M139">
        <f t="shared" si="74"/>
        <v>0</v>
      </c>
      <c r="N139">
        <f t="shared" si="74"/>
        <v>0</v>
      </c>
      <c r="O139">
        <f t="shared" si="74"/>
        <v>0</v>
      </c>
      <c r="P139">
        <f t="shared" si="74"/>
        <v>0</v>
      </c>
      <c r="Q139">
        <f t="shared" si="74"/>
        <v>0</v>
      </c>
      <c r="R139">
        <f t="shared" si="74"/>
        <v>0</v>
      </c>
      <c r="S139">
        <f t="shared" si="74"/>
        <v>0</v>
      </c>
    </row>
    <row r="140" spans="1:19">
      <c r="A140" t="s">
        <v>60</v>
      </c>
      <c r="B140" t="s">
        <v>179</v>
      </c>
      <c r="C140" t="s">
        <v>1099</v>
      </c>
      <c r="D140" t="s">
        <v>1100</v>
      </c>
      <c r="H140">
        <f t="shared" ref="H140:S140" si="75">H139/H45</f>
        <v>0</v>
      </c>
      <c r="I140">
        <f t="shared" si="75"/>
        <v>0</v>
      </c>
      <c r="J140">
        <f t="shared" si="75"/>
        <v>0</v>
      </c>
      <c r="K140">
        <f t="shared" si="75"/>
        <v>0</v>
      </c>
      <c r="L140">
        <f t="shared" si="75"/>
        <v>0</v>
      </c>
      <c r="M140">
        <f t="shared" si="75"/>
        <v>0</v>
      </c>
      <c r="N140">
        <f t="shared" si="75"/>
        <v>0</v>
      </c>
      <c r="O140">
        <f t="shared" si="75"/>
        <v>0</v>
      </c>
      <c r="P140">
        <f t="shared" si="75"/>
        <v>0</v>
      </c>
      <c r="Q140">
        <f t="shared" si="75"/>
        <v>0</v>
      </c>
      <c r="R140">
        <f t="shared" si="75"/>
        <v>0</v>
      </c>
      <c r="S140">
        <f t="shared" si="75"/>
        <v>0</v>
      </c>
    </row>
    <row r="141" spans="1:19">
      <c r="A141" t="s">
        <v>60</v>
      </c>
      <c r="B141" t="s">
        <v>179</v>
      </c>
      <c r="C141" t="s">
        <v>1101</v>
      </c>
      <c r="D141" t="s">
        <v>1102</v>
      </c>
    </row>
    <row r="142" spans="1:19">
      <c r="A142" t="s">
        <v>60</v>
      </c>
      <c r="B142" t="s">
        <v>179</v>
      </c>
      <c r="C142" t="s">
        <v>1103</v>
      </c>
      <c r="D142" t="s">
        <v>1104</v>
      </c>
    </row>
    <row r="143" spans="1:19">
      <c r="A143" t="s">
        <v>26</v>
      </c>
      <c r="B143" t="s">
        <v>35</v>
      </c>
      <c r="C143" t="s">
        <v>1105</v>
      </c>
      <c r="D143" t="s">
        <v>1106</v>
      </c>
    </row>
    <row r="144" spans="1:19">
      <c r="A144" t="s">
        <v>23</v>
      </c>
      <c r="B144" t="s">
        <v>35</v>
      </c>
      <c r="C144" t="s">
        <v>1107</v>
      </c>
      <c r="D144" t="s">
        <v>1108</v>
      </c>
    </row>
    <row r="145" spans="1:19">
      <c r="A145" t="s">
        <v>23</v>
      </c>
      <c r="B145" t="s">
        <v>35</v>
      </c>
      <c r="C145" t="s">
        <v>1109</v>
      </c>
      <c r="D145" t="s">
        <v>1110</v>
      </c>
      <c r="K145">
        <f t="shared" ref="K145:S145" si="76">K127*K146*K147/1.06</f>
        <v>0</v>
      </c>
      <c r="L145">
        <f t="shared" si="76"/>
        <v>0</v>
      </c>
      <c r="M145">
        <f t="shared" si="76"/>
        <v>0</v>
      </c>
      <c r="N145">
        <f t="shared" si="76"/>
        <v>0</v>
      </c>
      <c r="O145">
        <f t="shared" si="76"/>
        <v>0</v>
      </c>
      <c r="P145">
        <f t="shared" si="76"/>
        <v>0</v>
      </c>
      <c r="Q145">
        <f t="shared" si="76"/>
        <v>0</v>
      </c>
      <c r="R145">
        <f t="shared" si="76"/>
        <v>0</v>
      </c>
      <c r="S145">
        <f t="shared" si="76"/>
        <v>0</v>
      </c>
    </row>
    <row r="146" spans="1:19">
      <c r="A146" t="s">
        <v>26</v>
      </c>
      <c r="B146" t="s">
        <v>179</v>
      </c>
      <c r="C146" t="s">
        <v>1111</v>
      </c>
      <c r="D146" t="s">
        <v>1112</v>
      </c>
    </row>
    <row r="147" spans="1:19">
      <c r="A147" t="s">
        <v>26</v>
      </c>
      <c r="B147" t="s">
        <v>179</v>
      </c>
      <c r="C147" t="s">
        <v>1113</v>
      </c>
      <c r="D147" t="s">
        <v>1078</v>
      </c>
    </row>
    <row r="148" spans="1:19">
      <c r="A148" t="s">
        <v>23</v>
      </c>
      <c r="B148" t="s">
        <v>35</v>
      </c>
      <c r="C148" t="s">
        <v>1114</v>
      </c>
      <c r="D148" t="s">
        <v>998</v>
      </c>
    </row>
    <row r="149" spans="1:19">
      <c r="A149" t="s">
        <v>23</v>
      </c>
      <c r="B149" t="s">
        <v>35</v>
      </c>
      <c r="C149" t="s">
        <v>1115</v>
      </c>
      <c r="D149" t="s">
        <v>179</v>
      </c>
      <c r="H149">
        <v>7000000</v>
      </c>
      <c r="I149">
        <v>6500000</v>
      </c>
      <c r="J149">
        <v>7800000</v>
      </c>
      <c r="K149">
        <v>8000000</v>
      </c>
      <c r="L149">
        <v>8200000</v>
      </c>
      <c r="M149">
        <v>8500000</v>
      </c>
      <c r="N149">
        <v>8800000</v>
      </c>
      <c r="O149">
        <v>8700000</v>
      </c>
      <c r="P149">
        <v>8500000</v>
      </c>
      <c r="Q149">
        <v>9300000</v>
      </c>
      <c r="R149">
        <v>9200000</v>
      </c>
      <c r="S149">
        <v>9500000</v>
      </c>
    </row>
    <row r="150" spans="1:19">
      <c r="A150" t="s">
        <v>19</v>
      </c>
      <c r="B150" t="s">
        <v>20</v>
      </c>
      <c r="C150" t="s">
        <v>1116</v>
      </c>
      <c r="D150" t="s">
        <v>386</v>
      </c>
      <c r="H150">
        <v>35000000</v>
      </c>
      <c r="I150">
        <v>32500000</v>
      </c>
      <c r="J150">
        <v>39000000</v>
      </c>
      <c r="K150">
        <v>40000000</v>
      </c>
      <c r="L150">
        <v>41000000</v>
      </c>
      <c r="M150">
        <v>42500000</v>
      </c>
      <c r="N150">
        <v>44000000</v>
      </c>
      <c r="O150">
        <v>43500000</v>
      </c>
      <c r="P150">
        <v>42500000</v>
      </c>
      <c r="Q150">
        <v>46500000</v>
      </c>
      <c r="R150">
        <v>46000000</v>
      </c>
      <c r="S150">
        <v>47500000</v>
      </c>
    </row>
    <row r="151" spans="1:19">
      <c r="A151" t="s">
        <v>19</v>
      </c>
      <c r="B151" t="s">
        <v>20</v>
      </c>
      <c r="C151" t="s">
        <v>1117</v>
      </c>
      <c r="D151" t="s">
        <v>392</v>
      </c>
      <c r="H151">
        <v>93100000</v>
      </c>
      <c r="I151">
        <v>86450000</v>
      </c>
      <c r="J151">
        <v>103740000</v>
      </c>
      <c r="K151">
        <v>106400000</v>
      </c>
      <c r="L151">
        <v>109060000</v>
      </c>
      <c r="M151">
        <v>113050000</v>
      </c>
      <c r="N151">
        <v>117040000</v>
      </c>
      <c r="O151">
        <v>115710000</v>
      </c>
      <c r="P151">
        <v>113050000</v>
      </c>
      <c r="Q151">
        <v>123690000</v>
      </c>
      <c r="R151">
        <v>122360000</v>
      </c>
      <c r="S151">
        <v>126350000</v>
      </c>
    </row>
    <row r="152" spans="1:19">
      <c r="A152" t="s">
        <v>19</v>
      </c>
      <c r="B152" t="s">
        <v>393</v>
      </c>
      <c r="C152" t="s">
        <v>1118</v>
      </c>
      <c r="D152" t="s">
        <v>395</v>
      </c>
      <c r="H152">
        <v>294000000</v>
      </c>
      <c r="I152">
        <v>273000000</v>
      </c>
      <c r="J152">
        <v>327600000</v>
      </c>
      <c r="K152">
        <v>336000000</v>
      </c>
      <c r="L152">
        <v>344400000</v>
      </c>
      <c r="M152">
        <v>357000000</v>
      </c>
      <c r="N152">
        <v>369600000</v>
      </c>
      <c r="O152">
        <v>365400000</v>
      </c>
      <c r="P152">
        <v>357000000</v>
      </c>
      <c r="Q152">
        <v>390600000</v>
      </c>
      <c r="R152">
        <v>386400000</v>
      </c>
      <c r="S152">
        <v>399000000</v>
      </c>
    </row>
    <row r="153" spans="1:19">
      <c r="A153" t="s">
        <v>23</v>
      </c>
      <c r="B153" t="s">
        <v>393</v>
      </c>
      <c r="C153" t="s">
        <v>1119</v>
      </c>
      <c r="D153" t="s">
        <v>397</v>
      </c>
      <c r="H153">
        <v>205800000</v>
      </c>
      <c r="I153">
        <v>191100000</v>
      </c>
      <c r="J153">
        <v>229320000</v>
      </c>
      <c r="K153">
        <v>235200000</v>
      </c>
      <c r="L153">
        <v>241080000</v>
      </c>
      <c r="M153">
        <v>249900000</v>
      </c>
      <c r="N153">
        <v>258720000</v>
      </c>
      <c r="O153">
        <v>255780000</v>
      </c>
      <c r="P153">
        <v>249900000</v>
      </c>
      <c r="Q153">
        <v>273420000</v>
      </c>
      <c r="R153">
        <v>270480000</v>
      </c>
      <c r="S153">
        <v>279300000</v>
      </c>
    </row>
    <row r="154" spans="1:19">
      <c r="A154" t="s">
        <v>26</v>
      </c>
      <c r="B154" t="s">
        <v>393</v>
      </c>
      <c r="C154" t="s">
        <v>1120</v>
      </c>
      <c r="D154" t="s">
        <v>399</v>
      </c>
      <c r="H154">
        <v>73500000</v>
      </c>
      <c r="I154">
        <v>68250000</v>
      </c>
      <c r="J154">
        <v>81900000</v>
      </c>
      <c r="K154">
        <v>84000000</v>
      </c>
      <c r="L154">
        <v>86100000</v>
      </c>
      <c r="M154">
        <v>89250000</v>
      </c>
      <c r="N154">
        <v>92400000</v>
      </c>
      <c r="O154">
        <v>91350000</v>
      </c>
      <c r="P154">
        <v>89250000</v>
      </c>
      <c r="Q154">
        <v>97650000</v>
      </c>
      <c r="R154">
        <v>96600000</v>
      </c>
      <c r="S154">
        <v>99750000</v>
      </c>
    </row>
    <row r="155" spans="1:19">
      <c r="A155" t="s">
        <v>60</v>
      </c>
      <c r="B155" t="s">
        <v>393</v>
      </c>
      <c r="C155" t="s">
        <v>1121</v>
      </c>
      <c r="D155" t="s">
        <v>401</v>
      </c>
      <c r="H155">
        <v>53200000</v>
      </c>
      <c r="I155">
        <v>49400000</v>
      </c>
      <c r="J155">
        <v>59280000</v>
      </c>
      <c r="K155">
        <v>60800000</v>
      </c>
      <c r="L155">
        <v>62320000</v>
      </c>
      <c r="M155">
        <v>64600000</v>
      </c>
      <c r="N155">
        <v>66880000</v>
      </c>
      <c r="O155">
        <v>66120000</v>
      </c>
      <c r="P155">
        <v>64600000</v>
      </c>
      <c r="Q155">
        <v>70680000</v>
      </c>
      <c r="R155">
        <v>69920000</v>
      </c>
      <c r="S155">
        <v>72200000</v>
      </c>
    </row>
    <row r="156" spans="1:19">
      <c r="A156" t="s">
        <v>60</v>
      </c>
      <c r="B156" t="s">
        <v>393</v>
      </c>
      <c r="C156" t="s">
        <v>1122</v>
      </c>
      <c r="D156" t="s">
        <v>49</v>
      </c>
      <c r="H156">
        <v>20300000</v>
      </c>
      <c r="I156">
        <v>18850000</v>
      </c>
      <c r="J156">
        <v>22620000</v>
      </c>
      <c r="K156">
        <v>23200000</v>
      </c>
      <c r="L156">
        <v>23780000</v>
      </c>
      <c r="M156">
        <v>24650000</v>
      </c>
      <c r="N156">
        <v>25520000</v>
      </c>
      <c r="O156">
        <v>25230000</v>
      </c>
      <c r="P156">
        <v>24650000</v>
      </c>
      <c r="Q156">
        <v>26970000</v>
      </c>
      <c r="R156">
        <v>26680000</v>
      </c>
      <c r="S156">
        <v>27550000</v>
      </c>
    </row>
    <row r="157" spans="1:19">
      <c r="A157" t="s">
        <v>26</v>
      </c>
      <c r="B157" t="s">
        <v>393</v>
      </c>
      <c r="C157" t="s">
        <v>1123</v>
      </c>
      <c r="D157" t="s">
        <v>51</v>
      </c>
      <c r="H157">
        <v>58800000</v>
      </c>
      <c r="I157">
        <v>54600000</v>
      </c>
      <c r="J157">
        <v>65520000</v>
      </c>
      <c r="K157">
        <v>67200000</v>
      </c>
      <c r="L157">
        <v>68880000</v>
      </c>
      <c r="M157">
        <v>71400000</v>
      </c>
      <c r="N157">
        <v>73920000</v>
      </c>
      <c r="O157">
        <v>73080000</v>
      </c>
      <c r="P157">
        <v>71400000</v>
      </c>
      <c r="Q157">
        <v>78120000</v>
      </c>
      <c r="R157">
        <v>77280000</v>
      </c>
      <c r="S157">
        <v>79800000</v>
      </c>
    </row>
    <row r="158" spans="1:19">
      <c r="A158" t="s">
        <v>60</v>
      </c>
      <c r="B158" t="s">
        <v>393</v>
      </c>
      <c r="C158" t="s">
        <v>1124</v>
      </c>
      <c r="D158" t="s">
        <v>405</v>
      </c>
      <c r="H158">
        <v>35000000</v>
      </c>
      <c r="I158">
        <v>32500000</v>
      </c>
      <c r="J158">
        <v>39000000</v>
      </c>
      <c r="K158">
        <v>40000000</v>
      </c>
      <c r="L158">
        <v>41000000</v>
      </c>
      <c r="M158">
        <v>42500000</v>
      </c>
      <c r="N158">
        <v>44000000</v>
      </c>
      <c r="O158">
        <v>43500000</v>
      </c>
      <c r="P158">
        <v>42500000</v>
      </c>
      <c r="Q158">
        <v>46500000</v>
      </c>
      <c r="R158">
        <v>46000000</v>
      </c>
      <c r="S158">
        <v>47500000</v>
      </c>
    </row>
    <row r="159" spans="1:19">
      <c r="A159" t="s">
        <v>60</v>
      </c>
      <c r="B159" t="s">
        <v>393</v>
      </c>
      <c r="C159" t="s">
        <v>1125</v>
      </c>
      <c r="D159" t="s">
        <v>407</v>
      </c>
      <c r="H159">
        <v>23800000</v>
      </c>
      <c r="I159">
        <v>22100000</v>
      </c>
      <c r="J159">
        <v>26520000</v>
      </c>
      <c r="K159">
        <v>27200000</v>
      </c>
      <c r="L159">
        <v>27880000</v>
      </c>
      <c r="M159">
        <v>28900000</v>
      </c>
      <c r="N159">
        <v>29920000</v>
      </c>
      <c r="O159">
        <v>29580000</v>
      </c>
      <c r="P159">
        <v>28900000</v>
      </c>
      <c r="Q159">
        <v>31620000</v>
      </c>
      <c r="R159">
        <v>31280000</v>
      </c>
      <c r="S159">
        <v>32300000</v>
      </c>
    </row>
    <row r="160" spans="1:19">
      <c r="A160" t="s">
        <v>26</v>
      </c>
      <c r="B160" t="s">
        <v>393</v>
      </c>
      <c r="C160" t="s">
        <v>1126</v>
      </c>
      <c r="D160" t="s">
        <v>409</v>
      </c>
      <c r="H160">
        <v>44100000</v>
      </c>
      <c r="I160">
        <v>40950000</v>
      </c>
      <c r="J160">
        <v>49140000</v>
      </c>
      <c r="K160">
        <v>50400000</v>
      </c>
      <c r="L160">
        <v>51660000</v>
      </c>
      <c r="M160">
        <v>53550000</v>
      </c>
      <c r="N160">
        <v>55440000</v>
      </c>
      <c r="O160">
        <v>54810000</v>
      </c>
      <c r="P160">
        <v>53550000</v>
      </c>
      <c r="Q160">
        <v>58590000</v>
      </c>
      <c r="R160">
        <v>57960000</v>
      </c>
      <c r="S160">
        <v>59850000</v>
      </c>
    </row>
    <row r="161" spans="1:19">
      <c r="A161" t="s">
        <v>60</v>
      </c>
      <c r="B161" t="s">
        <v>393</v>
      </c>
      <c r="C161" t="s">
        <v>1127</v>
      </c>
      <c r="D161" t="s">
        <v>59</v>
      </c>
      <c r="H161">
        <v>23800000</v>
      </c>
      <c r="I161">
        <v>22100000</v>
      </c>
      <c r="J161">
        <v>26520000</v>
      </c>
      <c r="K161">
        <v>27200000</v>
      </c>
      <c r="L161">
        <v>27880000</v>
      </c>
      <c r="M161">
        <v>28900000</v>
      </c>
      <c r="N161">
        <v>29920000</v>
      </c>
      <c r="O161">
        <v>29580000</v>
      </c>
      <c r="P161">
        <v>28900000</v>
      </c>
      <c r="Q161">
        <v>31620000</v>
      </c>
      <c r="R161">
        <v>31280000</v>
      </c>
      <c r="S161">
        <v>32300000</v>
      </c>
    </row>
    <row r="162" spans="1:19">
      <c r="A162" t="s">
        <v>192</v>
      </c>
      <c r="B162" t="s">
        <v>393</v>
      </c>
      <c r="C162" t="s">
        <v>1128</v>
      </c>
      <c r="D162" t="s">
        <v>62</v>
      </c>
      <c r="H162">
        <v>14700000</v>
      </c>
      <c r="I162">
        <v>13650000</v>
      </c>
      <c r="J162">
        <v>16380000</v>
      </c>
      <c r="K162">
        <v>16800000</v>
      </c>
      <c r="L162">
        <v>17220000</v>
      </c>
      <c r="M162">
        <v>17850000</v>
      </c>
      <c r="N162">
        <v>18480000</v>
      </c>
      <c r="O162">
        <v>18270000</v>
      </c>
      <c r="P162">
        <v>17850000</v>
      </c>
      <c r="Q162">
        <v>19530000</v>
      </c>
      <c r="R162">
        <v>19320000</v>
      </c>
      <c r="S162">
        <v>19950000</v>
      </c>
    </row>
    <row r="163" spans="1:19">
      <c r="A163" t="s">
        <v>192</v>
      </c>
      <c r="B163" t="s">
        <v>393</v>
      </c>
      <c r="C163" t="s">
        <v>1129</v>
      </c>
      <c r="D163" t="s">
        <v>64</v>
      </c>
      <c r="H163">
        <v>9100000</v>
      </c>
      <c r="I163">
        <v>8450000</v>
      </c>
      <c r="J163">
        <v>10140000</v>
      </c>
      <c r="K163">
        <v>10400000</v>
      </c>
      <c r="L163">
        <v>10660000</v>
      </c>
      <c r="M163">
        <v>11050000</v>
      </c>
      <c r="N163">
        <v>11440000</v>
      </c>
      <c r="O163">
        <v>11310000</v>
      </c>
      <c r="P163">
        <v>11050000</v>
      </c>
      <c r="Q163">
        <v>12090000</v>
      </c>
      <c r="R163">
        <v>11960000</v>
      </c>
      <c r="S163">
        <v>12350000</v>
      </c>
    </row>
    <row r="164" spans="1:19">
      <c r="A164" t="s">
        <v>60</v>
      </c>
      <c r="B164" t="s">
        <v>393</v>
      </c>
      <c r="C164" t="s">
        <v>1130</v>
      </c>
      <c r="D164" t="s">
        <v>414</v>
      </c>
      <c r="H164">
        <v>9100000</v>
      </c>
      <c r="I164">
        <v>8450000</v>
      </c>
      <c r="J164">
        <v>10140000</v>
      </c>
      <c r="K164">
        <v>10400000</v>
      </c>
      <c r="L164">
        <v>10660000</v>
      </c>
      <c r="M164">
        <v>11050000</v>
      </c>
      <c r="N164">
        <v>11440000</v>
      </c>
      <c r="O164">
        <v>11310000</v>
      </c>
      <c r="P164">
        <v>11050000</v>
      </c>
      <c r="Q164">
        <v>12090000</v>
      </c>
      <c r="R164">
        <v>11960000</v>
      </c>
      <c r="S164">
        <v>12350000</v>
      </c>
    </row>
    <row r="165" spans="1:19">
      <c r="A165" t="s">
        <v>60</v>
      </c>
      <c r="B165" t="s">
        <v>393</v>
      </c>
      <c r="C165" t="s">
        <v>1131</v>
      </c>
      <c r="D165" t="s">
        <v>68</v>
      </c>
      <c r="H165">
        <v>5600000</v>
      </c>
      <c r="I165">
        <v>5200000</v>
      </c>
      <c r="J165">
        <v>6240000</v>
      </c>
      <c r="K165">
        <v>6400000</v>
      </c>
      <c r="L165">
        <v>6560000</v>
      </c>
      <c r="M165">
        <v>6800000</v>
      </c>
      <c r="N165">
        <v>7040000</v>
      </c>
      <c r="O165">
        <v>6960000</v>
      </c>
      <c r="P165">
        <v>6800000</v>
      </c>
      <c r="Q165">
        <v>7440000</v>
      </c>
      <c r="R165">
        <v>7360000</v>
      </c>
      <c r="S165">
        <v>7600000</v>
      </c>
    </row>
    <row r="166" spans="1:19">
      <c r="A166" t="s">
        <v>60</v>
      </c>
      <c r="B166" t="s">
        <v>393</v>
      </c>
      <c r="C166" t="s">
        <v>1132</v>
      </c>
      <c r="D166" t="s">
        <v>70</v>
      </c>
      <c r="H166">
        <v>5600000</v>
      </c>
      <c r="I166">
        <v>5200000</v>
      </c>
      <c r="J166">
        <v>6240000</v>
      </c>
      <c r="K166">
        <v>6400000</v>
      </c>
      <c r="L166">
        <v>6560000</v>
      </c>
      <c r="M166">
        <v>6800000</v>
      </c>
      <c r="N166">
        <v>7040000</v>
      </c>
      <c r="O166">
        <v>6960000</v>
      </c>
      <c r="P166">
        <v>6800000</v>
      </c>
      <c r="Q166">
        <v>7440000</v>
      </c>
      <c r="R166">
        <v>7360000</v>
      </c>
      <c r="S166">
        <v>7600000</v>
      </c>
    </row>
    <row r="167" spans="1:19">
      <c r="A167" t="s">
        <v>26</v>
      </c>
      <c r="B167" t="s">
        <v>393</v>
      </c>
      <c r="C167" t="s">
        <v>1133</v>
      </c>
      <c r="D167" t="s">
        <v>418</v>
      </c>
      <c r="H167">
        <v>14700000</v>
      </c>
      <c r="I167">
        <v>13650000</v>
      </c>
      <c r="J167">
        <v>16380000</v>
      </c>
      <c r="K167">
        <v>16800000</v>
      </c>
      <c r="L167">
        <v>17220000</v>
      </c>
      <c r="M167">
        <v>17850000</v>
      </c>
      <c r="N167">
        <v>18480000</v>
      </c>
      <c r="O167">
        <v>18270000</v>
      </c>
      <c r="P167">
        <v>17850000</v>
      </c>
      <c r="Q167">
        <v>19530000</v>
      </c>
      <c r="R167">
        <v>19320000</v>
      </c>
      <c r="S167">
        <v>19950000</v>
      </c>
    </row>
    <row r="168" spans="1:19">
      <c r="A168" t="s">
        <v>26</v>
      </c>
      <c r="B168" t="s">
        <v>393</v>
      </c>
      <c r="C168" t="s">
        <v>1134</v>
      </c>
      <c r="D168" t="s">
        <v>420</v>
      </c>
      <c r="H168">
        <v>14700000</v>
      </c>
      <c r="I168">
        <v>13650000</v>
      </c>
      <c r="J168">
        <v>16380000</v>
      </c>
      <c r="K168">
        <v>16800000</v>
      </c>
      <c r="L168">
        <v>17220000</v>
      </c>
      <c r="M168">
        <v>17850000</v>
      </c>
      <c r="N168">
        <v>18480000</v>
      </c>
      <c r="O168">
        <v>18270000</v>
      </c>
      <c r="P168">
        <v>17850000</v>
      </c>
      <c r="Q168">
        <v>19530000</v>
      </c>
      <c r="R168">
        <v>19320000</v>
      </c>
      <c r="S168">
        <v>19950000</v>
      </c>
    </row>
    <row r="169" spans="1:19">
      <c r="A169" t="s">
        <v>23</v>
      </c>
      <c r="B169" t="s">
        <v>393</v>
      </c>
      <c r="C169" t="s">
        <v>1135</v>
      </c>
      <c r="D169" t="s">
        <v>422</v>
      </c>
      <c r="H169">
        <v>88200000</v>
      </c>
      <c r="I169">
        <v>81900000</v>
      </c>
      <c r="J169">
        <v>98280000</v>
      </c>
      <c r="K169">
        <v>100800000</v>
      </c>
      <c r="L169">
        <v>103320000</v>
      </c>
      <c r="M169">
        <v>107100000</v>
      </c>
      <c r="N169">
        <v>110880000</v>
      </c>
      <c r="O169">
        <v>109620000</v>
      </c>
      <c r="P169">
        <v>107100000</v>
      </c>
      <c r="Q169">
        <v>117180000</v>
      </c>
      <c r="R169">
        <v>115920000</v>
      </c>
      <c r="S169">
        <v>119700000</v>
      </c>
    </row>
    <row r="170" spans="1:19">
      <c r="A170" t="s">
        <v>26</v>
      </c>
      <c r="B170" t="s">
        <v>393</v>
      </c>
      <c r="C170" t="s">
        <v>1136</v>
      </c>
      <c r="D170" t="s">
        <v>399</v>
      </c>
      <c r="H170">
        <v>29400000</v>
      </c>
      <c r="I170">
        <v>27300000</v>
      </c>
      <c r="J170">
        <v>32760000</v>
      </c>
      <c r="K170">
        <v>33600000</v>
      </c>
      <c r="L170">
        <v>34440000</v>
      </c>
      <c r="M170">
        <v>35700000</v>
      </c>
      <c r="N170">
        <v>36960000</v>
      </c>
      <c r="O170">
        <v>36540000</v>
      </c>
      <c r="P170">
        <v>35700000</v>
      </c>
      <c r="Q170">
        <v>39060000</v>
      </c>
      <c r="R170">
        <v>38640000</v>
      </c>
      <c r="S170">
        <v>39900000</v>
      </c>
    </row>
    <row r="171" spans="1:19">
      <c r="A171" t="s">
        <v>60</v>
      </c>
      <c r="B171" t="s">
        <v>393</v>
      </c>
      <c r="C171" t="s">
        <v>1137</v>
      </c>
      <c r="D171" t="s">
        <v>401</v>
      </c>
      <c r="H171">
        <v>20300000</v>
      </c>
      <c r="I171">
        <v>18850000</v>
      </c>
      <c r="J171">
        <v>22620000</v>
      </c>
      <c r="K171">
        <v>23200000</v>
      </c>
      <c r="L171">
        <v>23780000</v>
      </c>
      <c r="M171">
        <v>24650000</v>
      </c>
      <c r="N171">
        <v>25520000</v>
      </c>
      <c r="O171">
        <v>25230000</v>
      </c>
      <c r="P171">
        <v>24650000</v>
      </c>
      <c r="Q171">
        <v>26970000</v>
      </c>
      <c r="R171">
        <v>26680000</v>
      </c>
      <c r="S171">
        <v>27550000</v>
      </c>
    </row>
    <row r="172" spans="1:19">
      <c r="A172" t="s">
        <v>60</v>
      </c>
      <c r="B172" t="s">
        <v>393</v>
      </c>
      <c r="C172" t="s">
        <v>1138</v>
      </c>
      <c r="D172" t="s">
        <v>49</v>
      </c>
      <c r="H172">
        <v>9100000</v>
      </c>
      <c r="I172">
        <v>8450000</v>
      </c>
      <c r="J172">
        <v>10140000</v>
      </c>
      <c r="K172">
        <v>10400000</v>
      </c>
      <c r="L172">
        <v>10660000</v>
      </c>
      <c r="M172">
        <v>11050000</v>
      </c>
      <c r="N172">
        <v>11440000</v>
      </c>
      <c r="O172">
        <v>11310000</v>
      </c>
      <c r="P172">
        <v>11050000</v>
      </c>
      <c r="Q172">
        <v>12090000</v>
      </c>
      <c r="R172">
        <v>11960000</v>
      </c>
      <c r="S172">
        <v>12350000</v>
      </c>
    </row>
    <row r="173" spans="1:19">
      <c r="A173" t="s">
        <v>26</v>
      </c>
      <c r="B173" t="s">
        <v>393</v>
      </c>
      <c r="C173" t="s">
        <v>1139</v>
      </c>
      <c r="D173" t="s">
        <v>51</v>
      </c>
      <c r="H173">
        <v>23800000</v>
      </c>
      <c r="I173">
        <v>22100000</v>
      </c>
      <c r="J173">
        <v>26520000</v>
      </c>
      <c r="K173">
        <v>27200000</v>
      </c>
      <c r="L173">
        <v>27880000</v>
      </c>
      <c r="M173">
        <v>28900000</v>
      </c>
      <c r="N173">
        <v>29920000</v>
      </c>
      <c r="O173">
        <v>29580000</v>
      </c>
      <c r="P173">
        <v>28900000</v>
      </c>
      <c r="Q173">
        <v>31620000</v>
      </c>
      <c r="R173">
        <v>31280000</v>
      </c>
      <c r="S173">
        <v>32300000</v>
      </c>
    </row>
    <row r="174" spans="1:19">
      <c r="A174" t="s">
        <v>60</v>
      </c>
      <c r="B174" t="s">
        <v>393</v>
      </c>
      <c r="C174" t="s">
        <v>1140</v>
      </c>
      <c r="D174" t="s">
        <v>405</v>
      </c>
      <c r="H174">
        <v>14700000</v>
      </c>
      <c r="I174">
        <v>13650000</v>
      </c>
      <c r="J174">
        <v>16380000</v>
      </c>
      <c r="K174">
        <v>16800000</v>
      </c>
      <c r="L174">
        <v>17220000</v>
      </c>
      <c r="M174">
        <v>17850000</v>
      </c>
      <c r="N174">
        <v>18480000</v>
      </c>
      <c r="O174">
        <v>18270000</v>
      </c>
      <c r="P174">
        <v>17850000</v>
      </c>
      <c r="Q174">
        <v>19530000</v>
      </c>
      <c r="R174">
        <v>19320000</v>
      </c>
      <c r="S174">
        <v>19950000</v>
      </c>
    </row>
    <row r="175" spans="1:19">
      <c r="A175" t="s">
        <v>60</v>
      </c>
      <c r="B175" t="s">
        <v>393</v>
      </c>
      <c r="C175" t="s">
        <v>1141</v>
      </c>
      <c r="D175" t="s">
        <v>407</v>
      </c>
      <c r="H175">
        <v>9100000</v>
      </c>
      <c r="I175">
        <v>8450000</v>
      </c>
      <c r="J175">
        <v>10140000</v>
      </c>
      <c r="K175">
        <v>10400000</v>
      </c>
      <c r="L175">
        <v>10660000</v>
      </c>
      <c r="M175">
        <v>11050000</v>
      </c>
      <c r="N175">
        <v>11440000</v>
      </c>
      <c r="O175">
        <v>11310000</v>
      </c>
      <c r="P175">
        <v>11050000</v>
      </c>
      <c r="Q175">
        <v>12090000</v>
      </c>
      <c r="R175">
        <v>11960000</v>
      </c>
      <c r="S175">
        <v>12350000</v>
      </c>
    </row>
    <row r="176" spans="1:19">
      <c r="A176" t="s">
        <v>26</v>
      </c>
      <c r="B176" t="s">
        <v>393</v>
      </c>
      <c r="C176" t="s">
        <v>1142</v>
      </c>
      <c r="D176" t="s">
        <v>409</v>
      </c>
      <c r="H176">
        <v>20300000</v>
      </c>
      <c r="I176">
        <v>18850000</v>
      </c>
      <c r="J176">
        <v>22620000</v>
      </c>
      <c r="K176">
        <v>23200000</v>
      </c>
      <c r="L176">
        <v>23780000</v>
      </c>
      <c r="M176">
        <v>24650000</v>
      </c>
      <c r="N176">
        <v>25520000</v>
      </c>
      <c r="O176">
        <v>25230000</v>
      </c>
      <c r="P176">
        <v>24650000</v>
      </c>
      <c r="Q176">
        <v>26970000</v>
      </c>
      <c r="R176">
        <v>26680000</v>
      </c>
      <c r="S176">
        <v>27550000</v>
      </c>
    </row>
    <row r="177" spans="1:19">
      <c r="A177" t="s">
        <v>60</v>
      </c>
      <c r="B177" t="s">
        <v>393</v>
      </c>
      <c r="C177" t="s">
        <v>1143</v>
      </c>
      <c r="D177" t="s">
        <v>59</v>
      </c>
      <c r="H177">
        <v>11900000</v>
      </c>
      <c r="I177">
        <v>11050000</v>
      </c>
      <c r="J177">
        <v>13260000</v>
      </c>
      <c r="K177">
        <v>13600000</v>
      </c>
      <c r="L177">
        <v>13940000</v>
      </c>
      <c r="M177">
        <v>14450000</v>
      </c>
      <c r="N177">
        <v>14960000</v>
      </c>
      <c r="O177">
        <v>14790000</v>
      </c>
      <c r="P177">
        <v>14450000</v>
      </c>
      <c r="Q177">
        <v>15810000</v>
      </c>
      <c r="R177">
        <v>15640000</v>
      </c>
      <c r="S177">
        <v>16150000</v>
      </c>
    </row>
    <row r="178" spans="1:19">
      <c r="A178" t="s">
        <v>192</v>
      </c>
      <c r="B178" t="s">
        <v>393</v>
      </c>
      <c r="C178" t="s">
        <v>1144</v>
      </c>
      <c r="D178" t="s">
        <v>62</v>
      </c>
      <c r="H178">
        <v>7700000</v>
      </c>
      <c r="I178">
        <v>7150000</v>
      </c>
      <c r="J178">
        <v>8580000</v>
      </c>
      <c r="K178">
        <v>8800000</v>
      </c>
      <c r="L178">
        <v>9020000</v>
      </c>
      <c r="M178">
        <v>9350000</v>
      </c>
      <c r="N178">
        <v>9680000</v>
      </c>
      <c r="O178">
        <v>9570000</v>
      </c>
      <c r="P178">
        <v>9350000</v>
      </c>
      <c r="Q178">
        <v>10230000</v>
      </c>
      <c r="R178">
        <v>10120000</v>
      </c>
      <c r="S178">
        <v>10450000</v>
      </c>
    </row>
    <row r="179" spans="1:19">
      <c r="A179" t="s">
        <v>192</v>
      </c>
      <c r="B179" t="s">
        <v>393</v>
      </c>
      <c r="C179" t="s">
        <v>1145</v>
      </c>
      <c r="D179" t="s">
        <v>64</v>
      </c>
      <c r="H179">
        <v>4200000</v>
      </c>
      <c r="I179">
        <v>3900000</v>
      </c>
      <c r="J179">
        <v>4680000</v>
      </c>
      <c r="K179">
        <v>4800000</v>
      </c>
      <c r="L179">
        <v>4920000</v>
      </c>
      <c r="M179">
        <v>5100000</v>
      </c>
      <c r="N179">
        <v>5280000</v>
      </c>
      <c r="O179">
        <v>5220000</v>
      </c>
      <c r="P179">
        <v>5100000</v>
      </c>
      <c r="Q179">
        <v>5580000</v>
      </c>
      <c r="R179">
        <v>5520000</v>
      </c>
      <c r="S179">
        <v>5700000</v>
      </c>
    </row>
    <row r="180" spans="1:19">
      <c r="A180" t="s">
        <v>60</v>
      </c>
      <c r="B180" t="s">
        <v>393</v>
      </c>
      <c r="C180" t="s">
        <v>1146</v>
      </c>
      <c r="D180" t="s">
        <v>414</v>
      </c>
      <c r="H180">
        <v>4200000</v>
      </c>
      <c r="I180">
        <v>3900000</v>
      </c>
      <c r="J180">
        <v>4680000</v>
      </c>
      <c r="K180">
        <v>4800000</v>
      </c>
      <c r="L180">
        <v>4920000</v>
      </c>
      <c r="M180">
        <v>5100000</v>
      </c>
      <c r="N180">
        <v>5280000</v>
      </c>
      <c r="O180">
        <v>5220000</v>
      </c>
      <c r="P180">
        <v>5100000</v>
      </c>
      <c r="Q180">
        <v>5580000</v>
      </c>
      <c r="R180">
        <v>5520000</v>
      </c>
      <c r="S180">
        <v>5700000</v>
      </c>
    </row>
    <row r="181" spans="1:19">
      <c r="A181" t="s">
        <v>60</v>
      </c>
      <c r="B181" t="s">
        <v>393</v>
      </c>
      <c r="C181" t="s">
        <v>1147</v>
      </c>
      <c r="D181" t="s">
        <v>68</v>
      </c>
      <c r="H181">
        <v>2800000</v>
      </c>
      <c r="I181">
        <v>2600000</v>
      </c>
      <c r="J181">
        <v>3120000</v>
      </c>
      <c r="K181">
        <v>3200000</v>
      </c>
      <c r="L181">
        <v>3280000</v>
      </c>
      <c r="M181">
        <v>3400000</v>
      </c>
      <c r="N181">
        <v>3520000</v>
      </c>
      <c r="O181">
        <v>3480000</v>
      </c>
      <c r="P181">
        <v>3400000</v>
      </c>
      <c r="Q181">
        <v>3720000</v>
      </c>
      <c r="R181">
        <v>3680000</v>
      </c>
      <c r="S181">
        <v>3800000</v>
      </c>
    </row>
    <row r="182" spans="1:19">
      <c r="A182" t="s">
        <v>60</v>
      </c>
      <c r="B182" t="s">
        <v>393</v>
      </c>
      <c r="C182" t="s">
        <v>1148</v>
      </c>
      <c r="D182" t="s">
        <v>70</v>
      </c>
      <c r="H182">
        <v>2800000</v>
      </c>
      <c r="I182">
        <v>2600000</v>
      </c>
      <c r="J182">
        <v>3120000</v>
      </c>
      <c r="K182">
        <v>3200000</v>
      </c>
      <c r="L182">
        <v>3280000</v>
      </c>
      <c r="M182">
        <v>3400000</v>
      </c>
      <c r="N182">
        <v>3520000</v>
      </c>
      <c r="O182">
        <v>3480000</v>
      </c>
      <c r="P182">
        <v>3400000</v>
      </c>
      <c r="Q182">
        <v>3720000</v>
      </c>
      <c r="R182">
        <v>3680000</v>
      </c>
      <c r="S182">
        <v>3800000</v>
      </c>
    </row>
    <row r="183" spans="1:19">
      <c r="A183" t="s">
        <v>26</v>
      </c>
      <c r="B183" t="s">
        <v>393</v>
      </c>
      <c r="C183" t="s">
        <v>1149</v>
      </c>
      <c r="D183" t="s">
        <v>418</v>
      </c>
      <c r="H183">
        <v>14700000</v>
      </c>
      <c r="I183">
        <v>13650000</v>
      </c>
      <c r="J183">
        <v>16380000</v>
      </c>
      <c r="K183">
        <v>16800000</v>
      </c>
      <c r="L183">
        <v>17220000</v>
      </c>
      <c r="M183">
        <v>17850000</v>
      </c>
      <c r="N183">
        <v>18480000</v>
      </c>
      <c r="O183">
        <v>18270000</v>
      </c>
      <c r="P183">
        <v>17850000</v>
      </c>
      <c r="Q183">
        <v>19530000</v>
      </c>
      <c r="R183">
        <v>19320000</v>
      </c>
      <c r="S183">
        <v>19950000</v>
      </c>
    </row>
    <row r="184" spans="1:19">
      <c r="A184" t="s">
        <v>26</v>
      </c>
      <c r="B184" t="s">
        <v>393</v>
      </c>
      <c r="C184" t="s">
        <v>1150</v>
      </c>
      <c r="D184" t="s">
        <v>420</v>
      </c>
      <c r="H184">
        <v>14700000</v>
      </c>
      <c r="I184">
        <v>13650000</v>
      </c>
      <c r="J184">
        <v>16380000</v>
      </c>
      <c r="K184">
        <v>16800000</v>
      </c>
      <c r="L184">
        <v>17220000</v>
      </c>
      <c r="M184">
        <v>17850000</v>
      </c>
      <c r="N184">
        <v>18480000</v>
      </c>
      <c r="O184">
        <v>18270000</v>
      </c>
      <c r="P184">
        <v>17850000</v>
      </c>
      <c r="Q184">
        <v>19530000</v>
      </c>
      <c r="R184">
        <v>19320000</v>
      </c>
      <c r="S184">
        <v>19950000</v>
      </c>
    </row>
    <row r="185" spans="1:19">
      <c r="A185" t="s">
        <v>19</v>
      </c>
      <c r="B185" t="s">
        <v>438</v>
      </c>
      <c r="C185" t="s">
        <v>1151</v>
      </c>
      <c r="D185" t="s">
        <v>440</v>
      </c>
    </row>
    <row r="186" spans="1:19">
      <c r="A186" t="s">
        <v>23</v>
      </c>
      <c r="B186" t="s">
        <v>438</v>
      </c>
      <c r="C186" t="s">
        <v>1152</v>
      </c>
      <c r="D186" t="s">
        <v>442</v>
      </c>
    </row>
    <row r="187" spans="1:19">
      <c r="A187" t="s">
        <v>26</v>
      </c>
      <c r="B187" t="s">
        <v>438</v>
      </c>
      <c r="C187" t="s">
        <v>1153</v>
      </c>
      <c r="D187" t="s">
        <v>444</v>
      </c>
    </row>
    <row r="188" spans="1:19">
      <c r="A188" t="s">
        <v>60</v>
      </c>
      <c r="B188" t="s">
        <v>438</v>
      </c>
      <c r="C188" t="s">
        <v>1154</v>
      </c>
      <c r="D188" t="s">
        <v>446</v>
      </c>
      <c r="H188">
        <v>35000000</v>
      </c>
      <c r="I188">
        <v>32500000</v>
      </c>
      <c r="J188">
        <v>39000000</v>
      </c>
      <c r="K188">
        <v>40000000</v>
      </c>
      <c r="L188">
        <v>41000000</v>
      </c>
      <c r="M188">
        <v>42500000</v>
      </c>
      <c r="N188">
        <v>44000000</v>
      </c>
      <c r="O188">
        <v>43500000</v>
      </c>
      <c r="P188">
        <v>42500000</v>
      </c>
      <c r="Q188">
        <v>46500000</v>
      </c>
      <c r="R188">
        <v>46000000</v>
      </c>
      <c r="S188">
        <v>47500000</v>
      </c>
    </row>
    <row r="189" spans="1:19">
      <c r="A189" t="s">
        <v>60</v>
      </c>
      <c r="B189" t="s">
        <v>438</v>
      </c>
      <c r="C189" t="s">
        <v>1155</v>
      </c>
      <c r="D189" t="s">
        <v>448</v>
      </c>
      <c r="H189">
        <v>24500000</v>
      </c>
      <c r="I189">
        <v>22750000</v>
      </c>
      <c r="J189">
        <v>27300000</v>
      </c>
      <c r="K189">
        <v>28000000</v>
      </c>
      <c r="L189">
        <v>28700000</v>
      </c>
      <c r="M189">
        <v>29750000</v>
      </c>
      <c r="N189">
        <v>30800000</v>
      </c>
      <c r="O189">
        <v>30450000</v>
      </c>
      <c r="P189">
        <v>29750000</v>
      </c>
      <c r="Q189">
        <v>32550000</v>
      </c>
      <c r="R189">
        <v>32200000</v>
      </c>
      <c r="S189">
        <v>33250000</v>
      </c>
    </row>
    <row r="190" spans="1:19">
      <c r="A190" t="s">
        <v>60</v>
      </c>
      <c r="B190" t="s">
        <v>438</v>
      </c>
      <c r="C190" t="s">
        <v>1156</v>
      </c>
      <c r="D190" t="s">
        <v>450</v>
      </c>
      <c r="H190">
        <v>14000000</v>
      </c>
      <c r="I190">
        <v>13000000</v>
      </c>
      <c r="J190">
        <v>15600000</v>
      </c>
      <c r="K190">
        <v>16000000</v>
      </c>
      <c r="L190">
        <v>16400000</v>
      </c>
      <c r="M190">
        <v>17000000</v>
      </c>
      <c r="N190">
        <v>17600000</v>
      </c>
      <c r="O190">
        <v>17400000</v>
      </c>
      <c r="P190">
        <v>17000000</v>
      </c>
      <c r="Q190">
        <v>18600000</v>
      </c>
      <c r="R190">
        <v>18400000</v>
      </c>
      <c r="S190">
        <v>19000000</v>
      </c>
    </row>
    <row r="191" spans="1:19">
      <c r="A191" t="s">
        <v>60</v>
      </c>
      <c r="B191" t="s">
        <v>438</v>
      </c>
      <c r="C191" t="s">
        <v>1157</v>
      </c>
      <c r="D191" t="s">
        <v>452</v>
      </c>
      <c r="H191">
        <v>10500000</v>
      </c>
      <c r="I191">
        <v>9750000</v>
      </c>
      <c r="J191">
        <v>11700000</v>
      </c>
      <c r="K191">
        <v>12000000</v>
      </c>
      <c r="L191">
        <v>12300000</v>
      </c>
      <c r="M191">
        <v>12750000</v>
      </c>
      <c r="N191">
        <v>13200000</v>
      </c>
      <c r="O191">
        <v>13050000</v>
      </c>
      <c r="P191">
        <v>12750000</v>
      </c>
      <c r="Q191">
        <v>13950000</v>
      </c>
      <c r="R191">
        <v>13800000</v>
      </c>
      <c r="S191">
        <v>14250000</v>
      </c>
    </row>
    <row r="192" spans="1:19">
      <c r="A192" t="s">
        <v>26</v>
      </c>
      <c r="B192" t="s">
        <v>438</v>
      </c>
      <c r="C192" t="s">
        <v>1158</v>
      </c>
      <c r="D192" t="s">
        <v>454</v>
      </c>
    </row>
    <row r="193" spans="1:19">
      <c r="A193" t="s">
        <v>60</v>
      </c>
      <c r="B193" t="s">
        <v>438</v>
      </c>
      <c r="C193" t="s">
        <v>1159</v>
      </c>
      <c r="D193" t="s">
        <v>456</v>
      </c>
      <c r="H193">
        <v>15000000000</v>
      </c>
      <c r="I193">
        <v>15600000000</v>
      </c>
      <c r="J193">
        <v>16400000000</v>
      </c>
      <c r="K193">
        <v>16600000000</v>
      </c>
      <c r="L193">
        <v>17000000000</v>
      </c>
      <c r="M193">
        <v>17400000000</v>
      </c>
      <c r="N193">
        <v>17600000000</v>
      </c>
      <c r="O193">
        <v>17200000000</v>
      </c>
      <c r="P193">
        <v>16800000000</v>
      </c>
      <c r="Q193">
        <v>16600000000</v>
      </c>
      <c r="R193">
        <v>16400000000</v>
      </c>
      <c r="S193">
        <v>17400000000</v>
      </c>
    </row>
    <row r="194" spans="1:19">
      <c r="A194" t="s">
        <v>60</v>
      </c>
      <c r="B194" t="s">
        <v>438</v>
      </c>
      <c r="C194" t="s">
        <v>1160</v>
      </c>
      <c r="D194" t="s">
        <v>458</v>
      </c>
      <c r="H194">
        <v>5600000000</v>
      </c>
      <c r="I194">
        <v>5200000000</v>
      </c>
      <c r="J194">
        <v>6240000000</v>
      </c>
      <c r="K194">
        <v>6400000000</v>
      </c>
      <c r="L194">
        <v>6560000000</v>
      </c>
      <c r="M194">
        <v>6800000000</v>
      </c>
      <c r="N194">
        <v>7040000000</v>
      </c>
      <c r="O194">
        <v>6960000000</v>
      </c>
      <c r="P194">
        <v>6800000000</v>
      </c>
      <c r="Q194">
        <v>7440000000</v>
      </c>
      <c r="R194">
        <v>7360000000</v>
      </c>
      <c r="S194">
        <v>7600000000</v>
      </c>
    </row>
    <row r="195" spans="1:19">
      <c r="A195" t="s">
        <v>60</v>
      </c>
      <c r="B195" t="s">
        <v>438</v>
      </c>
      <c r="C195" t="s">
        <v>1161</v>
      </c>
      <c r="D195" t="s">
        <v>460</v>
      </c>
      <c r="H195">
        <v>8400000000</v>
      </c>
      <c r="I195">
        <v>7800000000</v>
      </c>
      <c r="J195">
        <v>9360000000</v>
      </c>
      <c r="K195">
        <v>9600000000</v>
      </c>
      <c r="L195">
        <v>9840000000</v>
      </c>
      <c r="M195">
        <v>10200000000</v>
      </c>
      <c r="N195">
        <v>10560000000</v>
      </c>
      <c r="O195">
        <v>10440000000</v>
      </c>
      <c r="P195">
        <v>10200000000</v>
      </c>
      <c r="Q195">
        <v>11160000000</v>
      </c>
      <c r="R195">
        <v>11040000000</v>
      </c>
      <c r="S195">
        <v>11400000000</v>
      </c>
    </row>
    <row r="196" spans="1:19">
      <c r="A196" t="s">
        <v>60</v>
      </c>
      <c r="B196" t="s">
        <v>438</v>
      </c>
      <c r="C196" t="s">
        <v>1162</v>
      </c>
      <c r="D196" t="s">
        <v>462</v>
      </c>
      <c r="H196">
        <v>1750000000</v>
      </c>
      <c r="I196">
        <v>1625000000</v>
      </c>
      <c r="J196">
        <v>1950000000</v>
      </c>
      <c r="K196">
        <v>2000000000</v>
      </c>
      <c r="L196">
        <v>2050000000</v>
      </c>
      <c r="M196">
        <v>2125000000</v>
      </c>
      <c r="N196">
        <v>2200000000</v>
      </c>
      <c r="O196">
        <v>2175000000</v>
      </c>
      <c r="P196">
        <v>2125000000</v>
      </c>
      <c r="Q196">
        <v>2325000000</v>
      </c>
      <c r="R196">
        <v>2300000000</v>
      </c>
      <c r="S196">
        <v>2375000000</v>
      </c>
    </row>
    <row r="197" spans="1:19">
      <c r="A197" t="s">
        <v>60</v>
      </c>
      <c r="B197" t="s">
        <v>438</v>
      </c>
      <c r="C197" t="s">
        <v>1163</v>
      </c>
      <c r="D197" t="s">
        <v>464</v>
      </c>
      <c r="H197">
        <v>700000000</v>
      </c>
      <c r="I197">
        <v>650000000</v>
      </c>
      <c r="J197">
        <v>780000000</v>
      </c>
      <c r="K197">
        <v>800000000</v>
      </c>
      <c r="L197">
        <v>820000000</v>
      </c>
      <c r="M197">
        <v>850000000</v>
      </c>
      <c r="N197">
        <v>880000000</v>
      </c>
      <c r="O197">
        <v>870000000</v>
      </c>
      <c r="P197">
        <v>850000000</v>
      </c>
      <c r="Q197">
        <v>930000000</v>
      </c>
      <c r="R197">
        <v>920000000</v>
      </c>
      <c r="S197">
        <v>950000000</v>
      </c>
    </row>
    <row r="198" spans="1:19">
      <c r="A198" t="s">
        <v>60</v>
      </c>
      <c r="B198" t="s">
        <v>438</v>
      </c>
      <c r="C198" t="s">
        <v>1164</v>
      </c>
      <c r="D198" t="s">
        <v>466</v>
      </c>
      <c r="H198">
        <v>14000000000</v>
      </c>
      <c r="I198">
        <v>13000000000</v>
      </c>
      <c r="J198">
        <v>15600000000</v>
      </c>
      <c r="K198">
        <v>16000000000</v>
      </c>
      <c r="L198">
        <v>16400000000</v>
      </c>
      <c r="M198">
        <v>17000000000</v>
      </c>
      <c r="N198">
        <v>17600000000</v>
      </c>
      <c r="O198">
        <v>17400000000</v>
      </c>
      <c r="P198">
        <v>17000000000</v>
      </c>
      <c r="Q198">
        <v>18600000000</v>
      </c>
      <c r="R198">
        <v>18400000000</v>
      </c>
      <c r="S198">
        <v>19000000000</v>
      </c>
    </row>
    <row r="199" spans="1:19">
      <c r="A199" t="s">
        <v>60</v>
      </c>
      <c r="B199" t="s">
        <v>438</v>
      </c>
      <c r="C199" t="s">
        <v>1165</v>
      </c>
      <c r="D199" t="s">
        <v>468</v>
      </c>
      <c r="H199">
        <v>3750000000</v>
      </c>
      <c r="I199">
        <v>3900000000</v>
      </c>
      <c r="J199">
        <v>4100000000</v>
      </c>
      <c r="K199">
        <v>4150000000</v>
      </c>
      <c r="L199">
        <v>4250000000</v>
      </c>
      <c r="M199">
        <v>4350000000</v>
      </c>
      <c r="N199">
        <v>4400000000</v>
      </c>
      <c r="O199">
        <v>4300000000</v>
      </c>
      <c r="P199">
        <v>4200000000</v>
      </c>
      <c r="Q199">
        <v>4150000000</v>
      </c>
      <c r="R199">
        <v>4100000000</v>
      </c>
      <c r="S199">
        <v>4350000000</v>
      </c>
    </row>
    <row r="200" spans="1:19">
      <c r="A200" t="s">
        <v>60</v>
      </c>
      <c r="B200" t="s">
        <v>438</v>
      </c>
      <c r="C200" t="s">
        <v>1166</v>
      </c>
      <c r="D200" t="s">
        <v>470</v>
      </c>
      <c r="H200">
        <v>1750000000</v>
      </c>
      <c r="I200">
        <v>1625000000</v>
      </c>
      <c r="J200">
        <v>1950000000</v>
      </c>
      <c r="K200">
        <v>2000000000</v>
      </c>
      <c r="L200">
        <v>2050000000</v>
      </c>
      <c r="M200">
        <v>2125000000</v>
      </c>
      <c r="N200">
        <v>2200000000</v>
      </c>
      <c r="O200">
        <v>2175000000</v>
      </c>
      <c r="P200">
        <v>2125000000</v>
      </c>
      <c r="Q200">
        <v>2325000000</v>
      </c>
      <c r="R200">
        <v>2300000000</v>
      </c>
      <c r="S200">
        <v>2375000000</v>
      </c>
    </row>
    <row r="201" spans="1:19">
      <c r="A201" t="s">
        <v>60</v>
      </c>
      <c r="B201" t="s">
        <v>438</v>
      </c>
      <c r="C201" t="s">
        <v>1167</v>
      </c>
      <c r="D201" t="s">
        <v>472</v>
      </c>
      <c r="H201">
        <v>1050000000</v>
      </c>
      <c r="I201">
        <v>975000000</v>
      </c>
      <c r="J201">
        <v>1170000000</v>
      </c>
      <c r="K201">
        <v>1200000000</v>
      </c>
      <c r="L201">
        <v>1230000000</v>
      </c>
      <c r="M201">
        <v>1275000000</v>
      </c>
      <c r="N201">
        <v>1320000000</v>
      </c>
      <c r="O201">
        <v>1305000000</v>
      </c>
      <c r="P201">
        <v>1275000000</v>
      </c>
      <c r="Q201">
        <v>1395000000</v>
      </c>
      <c r="R201">
        <v>1380000000</v>
      </c>
      <c r="S201">
        <v>1425000000</v>
      </c>
    </row>
    <row r="202" spans="1:19">
      <c r="A202" t="s">
        <v>60</v>
      </c>
      <c r="B202" t="s">
        <v>438</v>
      </c>
      <c r="C202" t="s">
        <v>1168</v>
      </c>
      <c r="D202" t="s">
        <v>474</v>
      </c>
      <c r="H202">
        <v>3500000000</v>
      </c>
      <c r="I202">
        <v>3250000000</v>
      </c>
      <c r="J202">
        <v>3900000000</v>
      </c>
      <c r="K202">
        <v>4000000000</v>
      </c>
      <c r="L202">
        <v>4100000000</v>
      </c>
      <c r="M202">
        <v>4250000000</v>
      </c>
      <c r="N202">
        <v>4400000000</v>
      </c>
      <c r="O202">
        <v>4350000000</v>
      </c>
      <c r="P202">
        <v>4250000000</v>
      </c>
      <c r="Q202">
        <v>4650000000</v>
      </c>
      <c r="R202">
        <v>4600000000</v>
      </c>
      <c r="S202">
        <v>4750000000</v>
      </c>
    </row>
    <row r="203" spans="1:19">
      <c r="A203" t="s">
        <v>60</v>
      </c>
      <c r="B203" t="s">
        <v>438</v>
      </c>
      <c r="C203" t="s">
        <v>1169</v>
      </c>
      <c r="D203" t="s">
        <v>476</v>
      </c>
      <c r="H203">
        <v>15000000000</v>
      </c>
      <c r="I203">
        <v>15600000000</v>
      </c>
      <c r="J203">
        <v>16400000000</v>
      </c>
      <c r="K203">
        <v>16600000000</v>
      </c>
      <c r="L203">
        <v>17000000000</v>
      </c>
      <c r="M203">
        <v>17400000000</v>
      </c>
      <c r="N203">
        <v>17600000000</v>
      </c>
      <c r="O203">
        <v>17200000000</v>
      </c>
      <c r="P203">
        <v>16800000000</v>
      </c>
      <c r="Q203">
        <v>16600000000</v>
      </c>
      <c r="R203">
        <v>16400000000</v>
      </c>
      <c r="S203">
        <v>17400000000</v>
      </c>
    </row>
    <row r="204" spans="1:19">
      <c r="A204" t="s">
        <v>60</v>
      </c>
      <c r="B204" t="s">
        <v>438</v>
      </c>
      <c r="C204" t="s">
        <v>1170</v>
      </c>
      <c r="D204" t="s">
        <v>478</v>
      </c>
      <c r="H204">
        <v>3500000000</v>
      </c>
      <c r="I204">
        <v>3250000000</v>
      </c>
      <c r="J204">
        <v>3900000000</v>
      </c>
      <c r="K204">
        <v>4000000000</v>
      </c>
      <c r="L204">
        <v>4100000000</v>
      </c>
      <c r="M204">
        <v>4250000000</v>
      </c>
      <c r="N204">
        <v>4400000000</v>
      </c>
      <c r="O204">
        <v>4350000000</v>
      </c>
      <c r="P204">
        <v>4250000000</v>
      </c>
      <c r="Q204">
        <v>4650000000</v>
      </c>
      <c r="R204">
        <v>4600000000</v>
      </c>
      <c r="S204">
        <v>4750000000</v>
      </c>
    </row>
    <row r="205" spans="1:19">
      <c r="A205" t="s">
        <v>60</v>
      </c>
      <c r="B205" t="s">
        <v>438</v>
      </c>
      <c r="C205" t="s">
        <v>1171</v>
      </c>
      <c r="D205" t="s">
        <v>480</v>
      </c>
      <c r="H205">
        <v>10500000000</v>
      </c>
      <c r="I205">
        <v>9750000000</v>
      </c>
      <c r="J205">
        <v>11700000000</v>
      </c>
      <c r="K205">
        <v>12000000000</v>
      </c>
      <c r="L205">
        <v>12300000000</v>
      </c>
      <c r="M205">
        <v>12750000000</v>
      </c>
      <c r="N205">
        <v>13200000000</v>
      </c>
      <c r="O205">
        <v>13050000000</v>
      </c>
      <c r="P205">
        <v>12750000000</v>
      </c>
      <c r="Q205">
        <v>13950000000</v>
      </c>
      <c r="R205">
        <v>13800000000</v>
      </c>
      <c r="S205">
        <v>14250000000</v>
      </c>
    </row>
    <row r="206" spans="1:19">
      <c r="A206" t="s">
        <v>60</v>
      </c>
      <c r="B206" t="s">
        <v>438</v>
      </c>
      <c r="C206" t="s">
        <v>1172</v>
      </c>
      <c r="D206" t="s">
        <v>482</v>
      </c>
      <c r="H206">
        <v>8400000000</v>
      </c>
      <c r="I206">
        <v>7800000000</v>
      </c>
      <c r="J206">
        <v>9360000000</v>
      </c>
      <c r="K206">
        <v>9600000000</v>
      </c>
      <c r="L206">
        <v>9840000000</v>
      </c>
      <c r="M206">
        <v>10200000000</v>
      </c>
      <c r="N206">
        <v>10560000000</v>
      </c>
      <c r="O206">
        <v>10440000000</v>
      </c>
      <c r="P206">
        <v>10200000000</v>
      </c>
      <c r="Q206">
        <v>11160000000</v>
      </c>
      <c r="R206">
        <v>11040000000</v>
      </c>
      <c r="S206">
        <v>11400000000</v>
      </c>
    </row>
    <row r="207" spans="1:19">
      <c r="A207" t="s">
        <v>26</v>
      </c>
      <c r="B207" t="s">
        <v>438</v>
      </c>
      <c r="C207" t="s">
        <v>1173</v>
      </c>
      <c r="D207" t="s">
        <v>484</v>
      </c>
    </row>
    <row r="208" spans="1:19">
      <c r="A208" t="s">
        <v>60</v>
      </c>
      <c r="B208" t="s">
        <v>438</v>
      </c>
      <c r="C208" t="s">
        <v>1174</v>
      </c>
      <c r="D208" t="s">
        <v>486</v>
      </c>
      <c r="H208">
        <v>70000000</v>
      </c>
      <c r="I208">
        <v>65000000</v>
      </c>
      <c r="J208">
        <v>78000000</v>
      </c>
      <c r="K208">
        <v>80000000</v>
      </c>
      <c r="L208">
        <v>82000000</v>
      </c>
      <c r="M208">
        <v>85000000</v>
      </c>
      <c r="N208">
        <v>88000000</v>
      </c>
      <c r="O208">
        <v>87000000</v>
      </c>
      <c r="P208">
        <v>85000000</v>
      </c>
      <c r="Q208">
        <v>93000000</v>
      </c>
      <c r="R208">
        <v>92000000</v>
      </c>
      <c r="S208">
        <v>95000000</v>
      </c>
    </row>
    <row r="209" spans="1:19">
      <c r="A209" t="s">
        <v>60</v>
      </c>
      <c r="B209" t="s">
        <v>438</v>
      </c>
      <c r="C209" t="s">
        <v>1175</v>
      </c>
      <c r="D209" t="s">
        <v>488</v>
      </c>
      <c r="H209">
        <v>35000000</v>
      </c>
      <c r="I209">
        <v>32500000</v>
      </c>
      <c r="J209">
        <v>39000000</v>
      </c>
      <c r="K209">
        <v>40000000</v>
      </c>
      <c r="L209">
        <v>41000000</v>
      </c>
      <c r="M209">
        <v>42500000</v>
      </c>
      <c r="N209">
        <v>44000000</v>
      </c>
      <c r="O209">
        <v>43500000</v>
      </c>
      <c r="P209">
        <v>42500000</v>
      </c>
      <c r="Q209">
        <v>46500000</v>
      </c>
      <c r="R209">
        <v>46000000</v>
      </c>
      <c r="S209">
        <v>47500000</v>
      </c>
    </row>
    <row r="210" spans="1:19">
      <c r="A210" t="s">
        <v>60</v>
      </c>
      <c r="B210" t="s">
        <v>438</v>
      </c>
      <c r="C210" t="s">
        <v>1176</v>
      </c>
      <c r="D210" t="s">
        <v>490</v>
      </c>
      <c r="H210">
        <v>21000000</v>
      </c>
      <c r="I210">
        <v>19500000</v>
      </c>
      <c r="J210">
        <v>23400000</v>
      </c>
      <c r="K210">
        <v>24000000</v>
      </c>
      <c r="L210">
        <v>24600000</v>
      </c>
      <c r="M210">
        <v>25500000</v>
      </c>
      <c r="N210">
        <v>26400000</v>
      </c>
      <c r="O210">
        <v>26100000</v>
      </c>
      <c r="P210">
        <v>25500000</v>
      </c>
      <c r="Q210">
        <v>27900000</v>
      </c>
      <c r="R210">
        <v>27600000</v>
      </c>
      <c r="S210">
        <v>28500000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1151</v>
      </c>
      <c r="D2" t="s">
        <v>440</v>
      </c>
    </row>
    <row r="3" spans="1:19">
      <c r="A3" t="s">
        <v>19</v>
      </c>
      <c r="B3" t="s">
        <v>179</v>
      </c>
      <c r="C3" t="s">
        <v>1152</v>
      </c>
      <c r="D3" t="s">
        <v>442</v>
      </c>
    </row>
    <row r="4" spans="1:19">
      <c r="A4" t="s">
        <v>23</v>
      </c>
      <c r="B4" t="s">
        <v>179</v>
      </c>
      <c r="C4" t="s">
        <v>1153</v>
      </c>
      <c r="D4" t="s">
        <v>444</v>
      </c>
    </row>
    <row r="5" spans="1:19">
      <c r="A5" t="s">
        <v>26</v>
      </c>
      <c r="B5" t="s">
        <v>179</v>
      </c>
      <c r="C5" t="s">
        <v>1154</v>
      </c>
      <c r="D5" t="s">
        <v>446</v>
      </c>
      <c r="H5">
        <v>35000000</v>
      </c>
      <c r="I5">
        <v>32500000</v>
      </c>
      <c r="J5">
        <v>39000000</v>
      </c>
      <c r="K5">
        <v>40000000</v>
      </c>
      <c r="L5">
        <v>41000000</v>
      </c>
      <c r="M5">
        <v>42500000</v>
      </c>
      <c r="N5">
        <v>44000000</v>
      </c>
      <c r="O5">
        <v>43500000</v>
      </c>
      <c r="P5">
        <v>42500000</v>
      </c>
      <c r="Q5">
        <v>46500000</v>
      </c>
      <c r="R5">
        <v>46000000</v>
      </c>
      <c r="S5">
        <v>47500000</v>
      </c>
    </row>
    <row r="6" spans="1:19">
      <c r="A6" t="s">
        <v>26</v>
      </c>
      <c r="B6" t="s">
        <v>179</v>
      </c>
      <c r="C6" t="s">
        <v>1155</v>
      </c>
      <c r="D6" t="s">
        <v>448</v>
      </c>
      <c r="H6">
        <v>24500000</v>
      </c>
      <c r="I6">
        <v>22750000</v>
      </c>
      <c r="J6">
        <v>27300000</v>
      </c>
      <c r="K6">
        <v>28000000</v>
      </c>
      <c r="L6">
        <v>28700000</v>
      </c>
      <c r="M6">
        <v>29750000</v>
      </c>
      <c r="N6">
        <v>30800000</v>
      </c>
      <c r="O6">
        <v>30450000</v>
      </c>
      <c r="P6">
        <v>29750000</v>
      </c>
      <c r="Q6">
        <v>32550000</v>
      </c>
      <c r="R6">
        <v>32200000</v>
      </c>
      <c r="S6">
        <v>33250000</v>
      </c>
    </row>
    <row r="7" spans="1:19">
      <c r="A7" t="s">
        <v>26</v>
      </c>
      <c r="B7" t="s">
        <v>179</v>
      </c>
      <c r="C7" t="s">
        <v>1156</v>
      </c>
      <c r="D7" t="s">
        <v>450</v>
      </c>
      <c r="H7">
        <v>14000000</v>
      </c>
      <c r="I7">
        <v>13000000</v>
      </c>
      <c r="J7">
        <v>15600000</v>
      </c>
      <c r="K7">
        <v>16000000</v>
      </c>
      <c r="L7">
        <v>16400000</v>
      </c>
      <c r="M7">
        <v>17000000</v>
      </c>
      <c r="N7">
        <v>17600000</v>
      </c>
      <c r="O7">
        <v>17400000</v>
      </c>
      <c r="P7">
        <v>17000000</v>
      </c>
      <c r="Q7">
        <v>18600000</v>
      </c>
      <c r="R7">
        <v>18400000</v>
      </c>
      <c r="S7">
        <v>19000000</v>
      </c>
    </row>
    <row r="8" spans="1:19">
      <c r="A8" t="s">
        <v>26</v>
      </c>
      <c r="B8" t="s">
        <v>179</v>
      </c>
      <c r="C8" t="s">
        <v>1157</v>
      </c>
      <c r="D8" t="s">
        <v>452</v>
      </c>
      <c r="H8">
        <v>10500000</v>
      </c>
      <c r="I8">
        <v>9750000</v>
      </c>
      <c r="J8">
        <v>11700000</v>
      </c>
      <c r="K8">
        <v>12000000</v>
      </c>
      <c r="L8">
        <v>12300000</v>
      </c>
      <c r="M8">
        <v>12750000</v>
      </c>
      <c r="N8">
        <v>13200000</v>
      </c>
      <c r="O8">
        <v>13050000</v>
      </c>
      <c r="P8">
        <v>12750000</v>
      </c>
      <c r="Q8">
        <v>13950000</v>
      </c>
      <c r="R8">
        <v>13800000</v>
      </c>
      <c r="S8">
        <v>14250000</v>
      </c>
    </row>
    <row r="9" spans="1:19">
      <c r="A9" t="s">
        <v>23</v>
      </c>
      <c r="B9" t="s">
        <v>179</v>
      </c>
      <c r="C9" t="s">
        <v>1158</v>
      </c>
      <c r="D9" t="s">
        <v>454</v>
      </c>
    </row>
    <row r="10" spans="1:19">
      <c r="A10" t="s">
        <v>26</v>
      </c>
      <c r="B10" t="s">
        <v>179</v>
      </c>
      <c r="C10" t="s">
        <v>1159</v>
      </c>
      <c r="D10" t="s">
        <v>456</v>
      </c>
      <c r="H10">
        <v>15000000000</v>
      </c>
      <c r="I10">
        <v>15600000000</v>
      </c>
      <c r="J10">
        <v>16400000000</v>
      </c>
      <c r="K10">
        <v>16600000000</v>
      </c>
      <c r="L10">
        <v>17000000000</v>
      </c>
      <c r="M10">
        <v>17400000000</v>
      </c>
      <c r="N10">
        <v>17600000000</v>
      </c>
      <c r="O10">
        <v>17200000000</v>
      </c>
      <c r="P10">
        <v>16800000000</v>
      </c>
      <c r="Q10">
        <v>16600000000</v>
      </c>
      <c r="R10">
        <v>16400000000</v>
      </c>
      <c r="S10">
        <v>17400000000</v>
      </c>
    </row>
    <row r="11" spans="1:19">
      <c r="A11" t="s">
        <v>26</v>
      </c>
      <c r="B11" t="s">
        <v>179</v>
      </c>
      <c r="C11" t="s">
        <v>1160</v>
      </c>
      <c r="D11" t="s">
        <v>458</v>
      </c>
      <c r="H11">
        <v>5600000000</v>
      </c>
      <c r="I11">
        <v>5200000000</v>
      </c>
      <c r="J11">
        <v>6240000000</v>
      </c>
      <c r="K11">
        <v>6400000000</v>
      </c>
      <c r="L11">
        <v>6560000000</v>
      </c>
      <c r="M11">
        <v>6800000000</v>
      </c>
      <c r="N11">
        <v>7040000000</v>
      </c>
      <c r="O11">
        <v>6960000000</v>
      </c>
      <c r="P11">
        <v>6800000000</v>
      </c>
      <c r="Q11">
        <v>7440000000</v>
      </c>
      <c r="R11">
        <v>7360000000</v>
      </c>
      <c r="S11">
        <v>7600000000</v>
      </c>
    </row>
    <row r="12" spans="1:19">
      <c r="A12" t="s">
        <v>26</v>
      </c>
      <c r="B12" t="s">
        <v>179</v>
      </c>
      <c r="C12" t="s">
        <v>1161</v>
      </c>
      <c r="D12" t="s">
        <v>460</v>
      </c>
      <c r="H12">
        <v>8400000000</v>
      </c>
      <c r="I12">
        <v>7800000000</v>
      </c>
      <c r="J12">
        <v>9360000000</v>
      </c>
      <c r="K12">
        <v>9600000000</v>
      </c>
      <c r="L12">
        <v>9840000000</v>
      </c>
      <c r="M12">
        <v>10200000000</v>
      </c>
      <c r="N12">
        <v>10560000000</v>
      </c>
      <c r="O12">
        <v>10440000000</v>
      </c>
      <c r="P12">
        <v>10200000000</v>
      </c>
      <c r="Q12">
        <v>11160000000</v>
      </c>
      <c r="R12">
        <v>11040000000</v>
      </c>
      <c r="S12">
        <v>11400000000</v>
      </c>
    </row>
    <row r="13" spans="1:19">
      <c r="A13" t="s">
        <v>26</v>
      </c>
      <c r="B13" t="s">
        <v>179</v>
      </c>
      <c r="C13" t="s">
        <v>1162</v>
      </c>
      <c r="D13" t="s">
        <v>462</v>
      </c>
      <c r="H13">
        <v>1750000000</v>
      </c>
      <c r="I13">
        <v>1625000000</v>
      </c>
      <c r="J13">
        <v>1950000000</v>
      </c>
      <c r="K13">
        <v>2000000000</v>
      </c>
      <c r="L13">
        <v>2050000000</v>
      </c>
      <c r="M13">
        <v>2125000000</v>
      </c>
      <c r="N13">
        <v>2200000000</v>
      </c>
      <c r="O13">
        <v>2175000000</v>
      </c>
      <c r="P13">
        <v>2125000000</v>
      </c>
      <c r="Q13">
        <v>2325000000</v>
      </c>
      <c r="R13">
        <v>2300000000</v>
      </c>
      <c r="S13">
        <v>2375000000</v>
      </c>
    </row>
    <row r="14" spans="1:19">
      <c r="A14" t="s">
        <v>26</v>
      </c>
      <c r="B14" t="s">
        <v>179</v>
      </c>
      <c r="C14" t="s">
        <v>1163</v>
      </c>
      <c r="D14" t="s">
        <v>464</v>
      </c>
      <c r="H14">
        <v>700000000</v>
      </c>
      <c r="I14">
        <v>650000000</v>
      </c>
      <c r="J14">
        <v>780000000</v>
      </c>
      <c r="K14">
        <v>800000000</v>
      </c>
      <c r="L14">
        <v>820000000</v>
      </c>
      <c r="M14">
        <v>850000000</v>
      </c>
      <c r="N14">
        <v>880000000</v>
      </c>
      <c r="O14">
        <v>870000000</v>
      </c>
      <c r="P14">
        <v>850000000</v>
      </c>
      <c r="Q14">
        <v>930000000</v>
      </c>
      <c r="R14">
        <v>920000000</v>
      </c>
      <c r="S14">
        <v>950000000</v>
      </c>
    </row>
    <row r="15" spans="1:19">
      <c r="A15" t="s">
        <v>26</v>
      </c>
      <c r="B15" t="s">
        <v>179</v>
      </c>
      <c r="C15" t="s">
        <v>1164</v>
      </c>
      <c r="D15" t="s">
        <v>466</v>
      </c>
      <c r="H15">
        <v>14000000000</v>
      </c>
      <c r="I15">
        <v>13000000000</v>
      </c>
      <c r="J15">
        <v>15600000000</v>
      </c>
      <c r="K15">
        <v>16000000000</v>
      </c>
      <c r="L15">
        <v>16400000000</v>
      </c>
      <c r="M15">
        <v>17000000000</v>
      </c>
      <c r="N15">
        <v>17600000000</v>
      </c>
      <c r="O15">
        <v>17400000000</v>
      </c>
      <c r="P15">
        <v>17000000000</v>
      </c>
      <c r="Q15">
        <v>18600000000</v>
      </c>
      <c r="R15">
        <v>18400000000</v>
      </c>
      <c r="S15">
        <v>19000000000</v>
      </c>
    </row>
    <row r="16" spans="1:19">
      <c r="A16" t="s">
        <v>26</v>
      </c>
      <c r="B16" t="s">
        <v>179</v>
      </c>
      <c r="C16" t="s">
        <v>1165</v>
      </c>
      <c r="D16" t="s">
        <v>468</v>
      </c>
      <c r="H16">
        <v>3750000000</v>
      </c>
      <c r="I16">
        <v>3900000000</v>
      </c>
      <c r="J16">
        <v>4100000000</v>
      </c>
      <c r="K16">
        <v>4150000000</v>
      </c>
      <c r="L16">
        <v>4250000000</v>
      </c>
      <c r="M16">
        <v>4350000000</v>
      </c>
      <c r="N16">
        <v>4400000000</v>
      </c>
      <c r="O16">
        <v>4300000000</v>
      </c>
      <c r="P16">
        <v>4200000000</v>
      </c>
      <c r="Q16">
        <v>4150000000</v>
      </c>
      <c r="R16">
        <v>4100000000</v>
      </c>
      <c r="S16">
        <v>4350000000</v>
      </c>
    </row>
    <row r="17" spans="1:19">
      <c r="A17" t="s">
        <v>26</v>
      </c>
      <c r="B17" t="s">
        <v>179</v>
      </c>
      <c r="C17" t="s">
        <v>1166</v>
      </c>
      <c r="D17" t="s">
        <v>470</v>
      </c>
      <c r="H17">
        <v>1750000000</v>
      </c>
      <c r="I17">
        <v>1625000000</v>
      </c>
      <c r="J17">
        <v>1950000000</v>
      </c>
      <c r="K17">
        <v>2000000000</v>
      </c>
      <c r="L17">
        <v>2050000000</v>
      </c>
      <c r="M17">
        <v>2125000000</v>
      </c>
      <c r="N17">
        <v>2200000000</v>
      </c>
      <c r="O17">
        <v>2175000000</v>
      </c>
      <c r="P17">
        <v>2125000000</v>
      </c>
      <c r="Q17">
        <v>2325000000</v>
      </c>
      <c r="R17">
        <v>2300000000</v>
      </c>
      <c r="S17">
        <v>2375000000</v>
      </c>
    </row>
    <row r="18" spans="1:19">
      <c r="A18" t="s">
        <v>26</v>
      </c>
      <c r="B18" t="s">
        <v>179</v>
      </c>
      <c r="C18" t="s">
        <v>1167</v>
      </c>
      <c r="D18" t="s">
        <v>472</v>
      </c>
      <c r="H18">
        <v>1050000000</v>
      </c>
      <c r="I18">
        <v>975000000</v>
      </c>
      <c r="J18">
        <v>1170000000</v>
      </c>
      <c r="K18">
        <v>1200000000</v>
      </c>
      <c r="L18">
        <v>1230000000</v>
      </c>
      <c r="M18">
        <v>1275000000</v>
      </c>
      <c r="N18">
        <v>1320000000</v>
      </c>
      <c r="O18">
        <v>1305000000</v>
      </c>
      <c r="P18">
        <v>1275000000</v>
      </c>
      <c r="Q18">
        <v>1395000000</v>
      </c>
      <c r="R18">
        <v>1380000000</v>
      </c>
      <c r="S18">
        <v>1425000000</v>
      </c>
    </row>
    <row r="19" spans="1:19">
      <c r="A19" t="s">
        <v>26</v>
      </c>
      <c r="B19" t="s">
        <v>179</v>
      </c>
      <c r="C19" t="s">
        <v>1168</v>
      </c>
      <c r="D19" t="s">
        <v>474</v>
      </c>
      <c r="H19">
        <v>3500000000</v>
      </c>
      <c r="I19">
        <v>3250000000</v>
      </c>
      <c r="J19">
        <v>3900000000</v>
      </c>
      <c r="K19">
        <v>4000000000</v>
      </c>
      <c r="L19">
        <v>4100000000</v>
      </c>
      <c r="M19">
        <v>4250000000</v>
      </c>
      <c r="N19">
        <v>4400000000</v>
      </c>
      <c r="O19">
        <v>4350000000</v>
      </c>
      <c r="P19">
        <v>4250000000</v>
      </c>
      <c r="Q19">
        <v>4650000000</v>
      </c>
      <c r="R19">
        <v>4600000000</v>
      </c>
      <c r="S19">
        <v>4750000000</v>
      </c>
    </row>
    <row r="20" spans="1:19">
      <c r="A20" t="s">
        <v>26</v>
      </c>
      <c r="B20" t="s">
        <v>179</v>
      </c>
      <c r="C20" t="s">
        <v>1169</v>
      </c>
      <c r="D20" t="s">
        <v>476</v>
      </c>
      <c r="H20">
        <v>15000000000</v>
      </c>
      <c r="I20">
        <v>15600000000</v>
      </c>
      <c r="J20">
        <v>16400000000</v>
      </c>
      <c r="K20">
        <v>16600000000</v>
      </c>
      <c r="L20">
        <v>17000000000</v>
      </c>
      <c r="M20">
        <v>17400000000</v>
      </c>
      <c r="N20">
        <v>17600000000</v>
      </c>
      <c r="O20">
        <v>17200000000</v>
      </c>
      <c r="P20">
        <v>16800000000</v>
      </c>
      <c r="Q20">
        <v>16600000000</v>
      </c>
      <c r="R20">
        <v>16400000000</v>
      </c>
      <c r="S20">
        <v>17400000000</v>
      </c>
    </row>
    <row r="21" spans="1:19">
      <c r="A21" t="s">
        <v>26</v>
      </c>
      <c r="B21" t="s">
        <v>179</v>
      </c>
      <c r="C21" t="s">
        <v>1170</v>
      </c>
      <c r="D21" t="s">
        <v>478</v>
      </c>
      <c r="H21">
        <v>3500000000</v>
      </c>
      <c r="I21">
        <v>3250000000</v>
      </c>
      <c r="J21">
        <v>3900000000</v>
      </c>
      <c r="K21">
        <v>4000000000</v>
      </c>
      <c r="L21">
        <v>4100000000</v>
      </c>
      <c r="M21">
        <v>4250000000</v>
      </c>
      <c r="N21">
        <v>4400000000</v>
      </c>
      <c r="O21">
        <v>4350000000</v>
      </c>
      <c r="P21">
        <v>4250000000</v>
      </c>
      <c r="Q21">
        <v>4650000000</v>
      </c>
      <c r="R21">
        <v>4600000000</v>
      </c>
      <c r="S21">
        <v>4750000000</v>
      </c>
    </row>
    <row r="22" spans="1:19">
      <c r="A22" t="s">
        <v>26</v>
      </c>
      <c r="B22" t="s">
        <v>179</v>
      </c>
      <c r="C22" t="s">
        <v>1171</v>
      </c>
      <c r="D22" t="s">
        <v>480</v>
      </c>
      <c r="H22">
        <v>10500000000</v>
      </c>
      <c r="I22">
        <v>9750000000</v>
      </c>
      <c r="J22">
        <v>11700000000</v>
      </c>
      <c r="K22">
        <v>12000000000</v>
      </c>
      <c r="L22">
        <v>12300000000</v>
      </c>
      <c r="M22">
        <v>12750000000</v>
      </c>
      <c r="N22">
        <v>13200000000</v>
      </c>
      <c r="O22">
        <v>13050000000</v>
      </c>
      <c r="P22">
        <v>12750000000</v>
      </c>
      <c r="Q22">
        <v>13950000000</v>
      </c>
      <c r="R22">
        <v>13800000000</v>
      </c>
      <c r="S22">
        <v>14250000000</v>
      </c>
    </row>
    <row r="23" spans="1:19">
      <c r="A23" t="s">
        <v>26</v>
      </c>
      <c r="B23" t="s">
        <v>179</v>
      </c>
      <c r="C23" t="s">
        <v>1172</v>
      </c>
      <c r="D23" t="s">
        <v>482</v>
      </c>
      <c r="H23">
        <v>8400000000</v>
      </c>
      <c r="I23">
        <v>7800000000</v>
      </c>
      <c r="J23">
        <v>9360000000</v>
      </c>
      <c r="K23">
        <v>9600000000</v>
      </c>
      <c r="L23">
        <v>9840000000</v>
      </c>
      <c r="M23">
        <v>10200000000</v>
      </c>
      <c r="N23">
        <v>10560000000</v>
      </c>
      <c r="O23">
        <v>10440000000</v>
      </c>
      <c r="P23">
        <v>10200000000</v>
      </c>
      <c r="Q23">
        <v>11160000000</v>
      </c>
      <c r="R23">
        <v>11040000000</v>
      </c>
      <c r="S23">
        <v>11400000000</v>
      </c>
    </row>
    <row r="24" spans="1:19">
      <c r="A24" t="s">
        <v>23</v>
      </c>
      <c r="B24" t="s">
        <v>179</v>
      </c>
      <c r="C24" t="s">
        <v>1173</v>
      </c>
      <c r="D24" t="s">
        <v>484</v>
      </c>
    </row>
    <row r="25" spans="1:19">
      <c r="A25" t="s">
        <v>26</v>
      </c>
      <c r="B25" t="s">
        <v>179</v>
      </c>
      <c r="C25" t="s">
        <v>1174</v>
      </c>
      <c r="D25" t="s">
        <v>486</v>
      </c>
      <c r="H25">
        <v>70000000</v>
      </c>
      <c r="I25">
        <v>65000000</v>
      </c>
      <c r="J25">
        <v>78000000</v>
      </c>
      <c r="K25">
        <v>80000000</v>
      </c>
      <c r="L25">
        <v>82000000</v>
      </c>
      <c r="M25">
        <v>85000000</v>
      </c>
      <c r="N25">
        <v>88000000</v>
      </c>
      <c r="O25">
        <v>87000000</v>
      </c>
      <c r="P25">
        <v>85000000</v>
      </c>
      <c r="Q25">
        <v>93000000</v>
      </c>
      <c r="R25">
        <v>92000000</v>
      </c>
      <c r="S25">
        <v>95000000</v>
      </c>
    </row>
    <row r="26" spans="1:19">
      <c r="A26" t="s">
        <v>26</v>
      </c>
      <c r="B26" t="s">
        <v>179</v>
      </c>
      <c r="C26" t="s">
        <v>1175</v>
      </c>
      <c r="D26" t="s">
        <v>488</v>
      </c>
      <c r="H26">
        <v>35000000</v>
      </c>
      <c r="I26">
        <v>32500000</v>
      </c>
      <c r="J26">
        <v>39000000</v>
      </c>
      <c r="K26">
        <v>40000000</v>
      </c>
      <c r="L26">
        <v>41000000</v>
      </c>
      <c r="M26">
        <v>42500000</v>
      </c>
      <c r="N26">
        <v>44000000</v>
      </c>
      <c r="O26">
        <v>43500000</v>
      </c>
      <c r="P26">
        <v>42500000</v>
      </c>
      <c r="Q26">
        <v>46500000</v>
      </c>
      <c r="R26">
        <v>46000000</v>
      </c>
      <c r="S26">
        <v>47500000</v>
      </c>
    </row>
    <row r="27" spans="1:19">
      <c r="A27" t="s">
        <v>26</v>
      </c>
      <c r="B27" t="s">
        <v>179</v>
      </c>
      <c r="C27" t="s">
        <v>1176</v>
      </c>
      <c r="D27" t="s">
        <v>490</v>
      </c>
      <c r="H27">
        <v>21000000</v>
      </c>
      <c r="I27">
        <v>19500000</v>
      </c>
      <c r="J27">
        <v>23400000</v>
      </c>
      <c r="K27">
        <v>24000000</v>
      </c>
      <c r="L27">
        <v>24600000</v>
      </c>
      <c r="M27">
        <v>25500000</v>
      </c>
      <c r="N27">
        <v>26400000</v>
      </c>
      <c r="O27">
        <v>26100000</v>
      </c>
      <c r="P27">
        <v>25500000</v>
      </c>
      <c r="Q27">
        <v>27900000</v>
      </c>
      <c r="R27">
        <v>27600000</v>
      </c>
      <c r="S27">
        <v>28500000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1177</v>
      </c>
      <c r="D2" t="s">
        <v>22</v>
      </c>
      <c r="H2">
        <f t="shared" ref="H2:S2" si="0">H3+H6+H7</f>
        <v>18200000</v>
      </c>
      <c r="I2">
        <f t="shared" si="0"/>
        <v>16900000</v>
      </c>
      <c r="J2">
        <f t="shared" si="0"/>
        <v>20280000</v>
      </c>
      <c r="K2">
        <f t="shared" si="0"/>
        <v>20800000</v>
      </c>
      <c r="L2">
        <f t="shared" si="0"/>
        <v>21320000</v>
      </c>
      <c r="M2">
        <f t="shared" si="0"/>
        <v>22100000</v>
      </c>
      <c r="N2">
        <f t="shared" si="0"/>
        <v>22880000</v>
      </c>
      <c r="O2">
        <f t="shared" si="0"/>
        <v>22620000</v>
      </c>
      <c r="P2">
        <f t="shared" si="0"/>
        <v>22100000</v>
      </c>
      <c r="Q2">
        <f t="shared" si="0"/>
        <v>24180000</v>
      </c>
      <c r="R2">
        <f t="shared" si="0"/>
        <v>23920000</v>
      </c>
      <c r="S2">
        <f t="shared" si="0"/>
        <v>24700000</v>
      </c>
    </row>
    <row r="3" spans="1:19">
      <c r="A3" t="s">
        <v>23</v>
      </c>
      <c r="B3" t="s">
        <v>20</v>
      </c>
      <c r="C3" t="s">
        <v>1178</v>
      </c>
      <c r="D3" t="s">
        <v>25</v>
      </c>
      <c r="H3">
        <f t="shared" ref="H3:S3" si="1">H4+H5</f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</row>
    <row r="4" spans="1:19">
      <c r="A4" t="s">
        <v>26</v>
      </c>
      <c r="B4" t="s">
        <v>20</v>
      </c>
      <c r="C4" t="s">
        <v>1179</v>
      </c>
      <c r="D4" t="s">
        <v>28</v>
      </c>
      <c r="H4">
        <f t="shared" ref="H4:S4" si="2">H53-H57</f>
        <v>0</v>
      </c>
      <c r="I4">
        <f t="shared" si="2"/>
        <v>0</v>
      </c>
      <c r="J4">
        <f t="shared" si="2"/>
        <v>0</v>
      </c>
      <c r="K4">
        <f t="shared" si="2"/>
        <v>0</v>
      </c>
      <c r="L4">
        <f t="shared" si="2"/>
        <v>0</v>
      </c>
      <c r="M4">
        <f t="shared" si="2"/>
        <v>0</v>
      </c>
      <c r="N4">
        <f t="shared" si="2"/>
        <v>0</v>
      </c>
      <c r="O4">
        <f t="shared" si="2"/>
        <v>0</v>
      </c>
      <c r="P4">
        <f t="shared" si="2"/>
        <v>0</v>
      </c>
      <c r="Q4">
        <f t="shared" si="2"/>
        <v>0</v>
      </c>
      <c r="R4">
        <f t="shared" si="2"/>
        <v>0</v>
      </c>
      <c r="S4">
        <f t="shared" si="2"/>
        <v>0</v>
      </c>
    </row>
    <row r="5" spans="1:19">
      <c r="A5" t="s">
        <v>26</v>
      </c>
      <c r="B5" t="s">
        <v>20</v>
      </c>
      <c r="C5" t="s">
        <v>1180</v>
      </c>
      <c r="D5" t="s">
        <v>30</v>
      </c>
      <c r="H5">
        <f t="shared" ref="H5:S5" si="3">H95-H64</f>
        <v>0</v>
      </c>
      <c r="I5">
        <f t="shared" si="3"/>
        <v>0</v>
      </c>
      <c r="J5">
        <f t="shared" si="3"/>
        <v>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>
        <f t="shared" si="3"/>
        <v>0</v>
      </c>
      <c r="R5">
        <f t="shared" si="3"/>
        <v>0</v>
      </c>
      <c r="S5">
        <f t="shared" si="3"/>
        <v>0</v>
      </c>
    </row>
    <row r="6" spans="1:19">
      <c r="A6" t="s">
        <v>23</v>
      </c>
      <c r="B6" t="s">
        <v>20</v>
      </c>
      <c r="C6" t="s">
        <v>1181</v>
      </c>
      <c r="D6" t="s">
        <v>32</v>
      </c>
      <c r="H6">
        <f t="shared" ref="H6:S6" si="4">H116-H120</f>
        <v>18200000</v>
      </c>
      <c r="I6">
        <f t="shared" si="4"/>
        <v>16900000</v>
      </c>
      <c r="J6">
        <f t="shared" si="4"/>
        <v>20280000</v>
      </c>
      <c r="K6">
        <f t="shared" si="4"/>
        <v>20800000</v>
      </c>
      <c r="L6">
        <f t="shared" si="4"/>
        <v>21320000</v>
      </c>
      <c r="M6">
        <f t="shared" si="4"/>
        <v>22100000</v>
      </c>
      <c r="N6">
        <f t="shared" si="4"/>
        <v>22880000</v>
      </c>
      <c r="O6">
        <f t="shared" si="4"/>
        <v>22620000</v>
      </c>
      <c r="P6">
        <f t="shared" si="4"/>
        <v>22100000</v>
      </c>
      <c r="Q6">
        <f t="shared" si="4"/>
        <v>24180000</v>
      </c>
      <c r="R6">
        <f t="shared" si="4"/>
        <v>23920000</v>
      </c>
      <c r="S6">
        <f t="shared" si="4"/>
        <v>24700000</v>
      </c>
    </row>
    <row r="7" spans="1:19">
      <c r="A7" t="s">
        <v>23</v>
      </c>
      <c r="B7" t="s">
        <v>20</v>
      </c>
      <c r="C7" t="s">
        <v>1182</v>
      </c>
      <c r="D7" t="s">
        <v>34</v>
      </c>
      <c r="H7">
        <f t="shared" ref="H7:S7" si="5">H125+H126</f>
        <v>0</v>
      </c>
      <c r="I7">
        <f t="shared" si="5"/>
        <v>0</v>
      </c>
      <c r="J7">
        <f t="shared" si="5"/>
        <v>0</v>
      </c>
      <c r="K7">
        <f t="shared" si="5"/>
        <v>0</v>
      </c>
      <c r="L7">
        <f t="shared" si="5"/>
        <v>0</v>
      </c>
      <c r="M7">
        <f t="shared" si="5"/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</row>
    <row r="8" spans="1:19">
      <c r="A8" t="s">
        <v>19</v>
      </c>
      <c r="B8" t="s">
        <v>35</v>
      </c>
      <c r="C8" t="s">
        <v>1183</v>
      </c>
      <c r="D8" t="s">
        <v>37</v>
      </c>
      <c r="H8">
        <v>26600000</v>
      </c>
      <c r="I8">
        <v>24700000</v>
      </c>
      <c r="J8">
        <v>29640000</v>
      </c>
      <c r="K8">
        <v>30400000</v>
      </c>
      <c r="L8">
        <v>31160000</v>
      </c>
      <c r="M8">
        <v>32300000</v>
      </c>
      <c r="N8">
        <v>33440000</v>
      </c>
      <c r="O8">
        <v>33060000</v>
      </c>
      <c r="P8">
        <v>32300000</v>
      </c>
      <c r="Q8">
        <v>35340000</v>
      </c>
      <c r="R8">
        <v>34960000</v>
      </c>
      <c r="S8">
        <v>36100000</v>
      </c>
    </row>
    <row r="9" spans="1:19">
      <c r="A9" t="s">
        <v>19</v>
      </c>
      <c r="B9" t="s">
        <v>20</v>
      </c>
      <c r="C9" t="s">
        <v>1184</v>
      </c>
      <c r="D9" t="s">
        <v>39</v>
      </c>
      <c r="H9">
        <f t="shared" ref="H9:S9" si="6">H2-H8</f>
        <v>-8400000</v>
      </c>
      <c r="I9">
        <f t="shared" si="6"/>
        <v>-7800000</v>
      </c>
      <c r="J9">
        <f t="shared" si="6"/>
        <v>-9360000</v>
      </c>
      <c r="K9">
        <f t="shared" si="6"/>
        <v>-9600000</v>
      </c>
      <c r="L9">
        <f t="shared" si="6"/>
        <v>-9840000</v>
      </c>
      <c r="M9">
        <f t="shared" si="6"/>
        <v>-10200000</v>
      </c>
      <c r="N9">
        <f t="shared" si="6"/>
        <v>-10560000</v>
      </c>
      <c r="O9">
        <f t="shared" si="6"/>
        <v>-10440000</v>
      </c>
      <c r="P9">
        <f t="shared" si="6"/>
        <v>-10200000</v>
      </c>
      <c r="Q9">
        <f t="shared" si="6"/>
        <v>-11160000</v>
      </c>
      <c r="R9">
        <f t="shared" si="6"/>
        <v>-11040000</v>
      </c>
      <c r="S9">
        <f t="shared" si="6"/>
        <v>-11400000</v>
      </c>
    </row>
    <row r="10" spans="1:19">
      <c r="A10" t="s">
        <v>19</v>
      </c>
      <c r="B10" t="s">
        <v>35</v>
      </c>
      <c r="C10" t="s">
        <v>1185</v>
      </c>
      <c r="D10" t="s">
        <v>41</v>
      </c>
    </row>
    <row r="11" spans="1:19">
      <c r="A11" t="s">
        <v>19</v>
      </c>
      <c r="B11" t="s">
        <v>35</v>
      </c>
      <c r="C11" t="s">
        <v>1186</v>
      </c>
      <c r="D11" t="s">
        <v>43</v>
      </c>
      <c r="H11">
        <f t="shared" ref="H11:S11" si="7">H12+H15+H18+H25+H26</f>
        <v>0</v>
      </c>
      <c r="I11">
        <f t="shared" si="7"/>
        <v>0</v>
      </c>
      <c r="J11">
        <f t="shared" si="7"/>
        <v>0</v>
      </c>
      <c r="K11">
        <f t="shared" si="7"/>
        <v>0</v>
      </c>
      <c r="L11">
        <f t="shared" si="7"/>
        <v>0</v>
      </c>
      <c r="M11">
        <f t="shared" si="7"/>
        <v>0</v>
      </c>
      <c r="N11">
        <f t="shared" si="7"/>
        <v>0</v>
      </c>
      <c r="O11">
        <f t="shared" si="7"/>
        <v>0</v>
      </c>
      <c r="P11">
        <f t="shared" si="7"/>
        <v>0</v>
      </c>
      <c r="Q11">
        <f t="shared" si="7"/>
        <v>0</v>
      </c>
      <c r="R11">
        <f t="shared" si="7"/>
        <v>0</v>
      </c>
      <c r="S11">
        <f t="shared" si="7"/>
        <v>0</v>
      </c>
    </row>
    <row r="12" spans="1:19">
      <c r="A12" t="s">
        <v>23</v>
      </c>
      <c r="B12" t="s">
        <v>35</v>
      </c>
      <c r="C12" t="s">
        <v>1187</v>
      </c>
      <c r="D12" t="s">
        <v>45</v>
      </c>
      <c r="H12">
        <f t="shared" ref="H12:S12" si="8">H13+H14</f>
        <v>0</v>
      </c>
      <c r="I12">
        <f t="shared" si="8"/>
        <v>0</v>
      </c>
      <c r="J12">
        <f t="shared" si="8"/>
        <v>0</v>
      </c>
      <c r="K12">
        <f t="shared" si="8"/>
        <v>0</v>
      </c>
      <c r="L12">
        <f t="shared" si="8"/>
        <v>0</v>
      </c>
      <c r="M12">
        <f t="shared" si="8"/>
        <v>0</v>
      </c>
      <c r="N12">
        <f t="shared" si="8"/>
        <v>0</v>
      </c>
      <c r="O12">
        <f t="shared" si="8"/>
        <v>0</v>
      </c>
      <c r="P12">
        <f t="shared" si="8"/>
        <v>0</v>
      </c>
      <c r="Q12">
        <f t="shared" si="8"/>
        <v>0</v>
      </c>
      <c r="R12">
        <f t="shared" si="8"/>
        <v>0</v>
      </c>
      <c r="S12">
        <f t="shared" si="8"/>
        <v>0</v>
      </c>
    </row>
    <row r="13" spans="1:19">
      <c r="A13" t="s">
        <v>26</v>
      </c>
      <c r="B13" t="s">
        <v>35</v>
      </c>
      <c r="C13" t="s">
        <v>1188</v>
      </c>
      <c r="D13" t="s">
        <v>47</v>
      </c>
    </row>
    <row r="14" spans="1:19">
      <c r="A14" t="s">
        <v>26</v>
      </c>
      <c r="B14" t="s">
        <v>35</v>
      </c>
      <c r="C14" t="s">
        <v>1189</v>
      </c>
      <c r="D14" t="s">
        <v>49</v>
      </c>
    </row>
    <row r="15" spans="1:19">
      <c r="A15" t="s">
        <v>23</v>
      </c>
      <c r="B15" t="s">
        <v>35</v>
      </c>
      <c r="C15" t="s">
        <v>1190</v>
      </c>
      <c r="D15" t="s">
        <v>51</v>
      </c>
      <c r="H15">
        <f t="shared" ref="H15:S15" si="9">H16+H17</f>
        <v>0</v>
      </c>
      <c r="I15">
        <f t="shared" si="9"/>
        <v>0</v>
      </c>
      <c r="J15">
        <f t="shared" si="9"/>
        <v>0</v>
      </c>
      <c r="K15">
        <f t="shared" si="9"/>
        <v>0</v>
      </c>
      <c r="L15">
        <f t="shared" si="9"/>
        <v>0</v>
      </c>
      <c r="M15">
        <f t="shared" si="9"/>
        <v>0</v>
      </c>
      <c r="N15">
        <f t="shared" si="9"/>
        <v>0</v>
      </c>
      <c r="O15">
        <f t="shared" si="9"/>
        <v>0</v>
      </c>
      <c r="P15">
        <f t="shared" si="9"/>
        <v>0</v>
      </c>
      <c r="Q15">
        <f t="shared" si="9"/>
        <v>0</v>
      </c>
      <c r="R15">
        <f t="shared" si="9"/>
        <v>0</v>
      </c>
      <c r="S15">
        <f t="shared" si="9"/>
        <v>0</v>
      </c>
    </row>
    <row r="16" spans="1:19">
      <c r="A16" t="s">
        <v>26</v>
      </c>
      <c r="B16" t="s">
        <v>35</v>
      </c>
      <c r="C16" t="s">
        <v>1191</v>
      </c>
      <c r="D16" t="s">
        <v>53</v>
      </c>
    </row>
    <row r="17" spans="1:19">
      <c r="A17" t="s">
        <v>26</v>
      </c>
      <c r="B17" t="s">
        <v>35</v>
      </c>
      <c r="C17" t="s">
        <v>1192</v>
      </c>
      <c r="D17" t="s">
        <v>55</v>
      </c>
    </row>
    <row r="18" spans="1:19">
      <c r="A18" t="s">
        <v>23</v>
      </c>
      <c r="B18" t="s">
        <v>35</v>
      </c>
      <c r="C18" t="s">
        <v>1193</v>
      </c>
      <c r="D18" t="s">
        <v>57</v>
      </c>
      <c r="H18">
        <f t="shared" ref="H18:S18" si="10">H19+H22+H23+H24</f>
        <v>0</v>
      </c>
      <c r="I18">
        <f t="shared" si="10"/>
        <v>0</v>
      </c>
      <c r="J18">
        <f t="shared" si="10"/>
        <v>0</v>
      </c>
      <c r="K18">
        <f t="shared" si="10"/>
        <v>0</v>
      </c>
      <c r="L18">
        <f t="shared" si="10"/>
        <v>0</v>
      </c>
      <c r="M18">
        <f t="shared" si="10"/>
        <v>0</v>
      </c>
      <c r="N18">
        <f t="shared" si="10"/>
        <v>0</v>
      </c>
      <c r="O18">
        <f t="shared" si="10"/>
        <v>0</v>
      </c>
      <c r="P18">
        <f t="shared" si="10"/>
        <v>0</v>
      </c>
      <c r="Q18">
        <f t="shared" si="10"/>
        <v>0</v>
      </c>
      <c r="R18">
        <f t="shared" si="10"/>
        <v>0</v>
      </c>
      <c r="S18">
        <f t="shared" si="10"/>
        <v>0</v>
      </c>
    </row>
    <row r="19" spans="1:19">
      <c r="A19" t="s">
        <v>26</v>
      </c>
      <c r="B19" t="s">
        <v>35</v>
      </c>
      <c r="C19" t="s">
        <v>1194</v>
      </c>
      <c r="D19" t="s">
        <v>59</v>
      </c>
      <c r="H19">
        <f t="shared" ref="H19:S19" si="11">H20+H21</f>
        <v>0</v>
      </c>
      <c r="I19">
        <f t="shared" si="11"/>
        <v>0</v>
      </c>
      <c r="J19">
        <f t="shared" si="11"/>
        <v>0</v>
      </c>
      <c r="K19">
        <f t="shared" si="11"/>
        <v>0</v>
      </c>
      <c r="L19">
        <f t="shared" si="11"/>
        <v>0</v>
      </c>
      <c r="M19">
        <f t="shared" si="11"/>
        <v>0</v>
      </c>
      <c r="N19">
        <f t="shared" si="11"/>
        <v>0</v>
      </c>
      <c r="O19">
        <f t="shared" si="11"/>
        <v>0</v>
      </c>
      <c r="P19">
        <f t="shared" si="11"/>
        <v>0</v>
      </c>
      <c r="Q19">
        <f t="shared" si="11"/>
        <v>0</v>
      </c>
      <c r="R19">
        <f t="shared" si="11"/>
        <v>0</v>
      </c>
      <c r="S19">
        <f t="shared" si="11"/>
        <v>0</v>
      </c>
    </row>
    <row r="20" spans="1:19">
      <c r="A20" t="s">
        <v>60</v>
      </c>
      <c r="B20" t="s">
        <v>35</v>
      </c>
      <c r="C20" t="s">
        <v>1195</v>
      </c>
      <c r="D20" t="s">
        <v>62</v>
      </c>
    </row>
    <row r="21" spans="1:19">
      <c r="A21" t="s">
        <v>60</v>
      </c>
      <c r="B21" t="s">
        <v>35</v>
      </c>
      <c r="C21" t="s">
        <v>1196</v>
      </c>
      <c r="D21" t="s">
        <v>64</v>
      </c>
    </row>
    <row r="22" spans="1:19">
      <c r="A22" t="s">
        <v>26</v>
      </c>
      <c r="B22" t="s">
        <v>35</v>
      </c>
      <c r="C22" t="s">
        <v>1197</v>
      </c>
      <c r="D22" t="s">
        <v>66</v>
      </c>
    </row>
    <row r="23" spans="1:19">
      <c r="A23" t="s">
        <v>26</v>
      </c>
      <c r="B23" t="s">
        <v>35</v>
      </c>
      <c r="C23" t="s">
        <v>1198</v>
      </c>
      <c r="D23" t="s">
        <v>68</v>
      </c>
    </row>
    <row r="24" spans="1:19">
      <c r="A24" t="s">
        <v>26</v>
      </c>
      <c r="B24" t="s">
        <v>35</v>
      </c>
      <c r="C24" t="s">
        <v>1199</v>
      </c>
      <c r="D24" t="s">
        <v>70</v>
      </c>
    </row>
    <row r="25" spans="1:19">
      <c r="A25" t="s">
        <v>23</v>
      </c>
      <c r="B25" t="s">
        <v>35</v>
      </c>
      <c r="C25" t="s">
        <v>1200</v>
      </c>
      <c r="D25" t="s">
        <v>72</v>
      </c>
    </row>
    <row r="26" spans="1:19">
      <c r="A26" t="s">
        <v>23</v>
      </c>
      <c r="B26" t="s">
        <v>35</v>
      </c>
      <c r="C26" t="s">
        <v>1201</v>
      </c>
      <c r="D26" t="s">
        <v>74</v>
      </c>
    </row>
    <row r="27" spans="1:19">
      <c r="A27" t="s">
        <v>19</v>
      </c>
      <c r="B27" t="s">
        <v>20</v>
      </c>
      <c r="C27" t="s">
        <v>1202</v>
      </c>
      <c r="D27" t="s">
        <v>76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77</v>
      </c>
      <c r="C28" t="s">
        <v>1203</v>
      </c>
      <c r="D28" t="s">
        <v>79</v>
      </c>
      <c r="H28">
        <f t="shared" ref="H28:S28" si="12">H9-H10-H11+H27</f>
        <v>-7700000</v>
      </c>
      <c r="I28">
        <f t="shared" si="12"/>
        <v>-7150000</v>
      </c>
      <c r="J28">
        <f t="shared" si="12"/>
        <v>-8580000</v>
      </c>
      <c r="K28">
        <f t="shared" si="12"/>
        <v>-8800000</v>
      </c>
      <c r="L28">
        <f t="shared" si="12"/>
        <v>-9020000</v>
      </c>
      <c r="M28">
        <f t="shared" si="12"/>
        <v>-9350000</v>
      </c>
      <c r="N28">
        <f t="shared" si="12"/>
        <v>-9680000</v>
      </c>
      <c r="O28">
        <f t="shared" si="12"/>
        <v>-9570000</v>
      </c>
      <c r="P28">
        <f t="shared" si="12"/>
        <v>-9350000</v>
      </c>
      <c r="Q28">
        <f t="shared" si="12"/>
        <v>-10230000</v>
      </c>
      <c r="R28">
        <f t="shared" si="12"/>
        <v>-10120000</v>
      </c>
      <c r="S28">
        <f t="shared" si="12"/>
        <v>-10450000</v>
      </c>
    </row>
    <row r="29" spans="1:19">
      <c r="A29" t="s">
        <v>19</v>
      </c>
      <c r="B29" t="s">
        <v>35</v>
      </c>
      <c r="C29" t="s">
        <v>1204</v>
      </c>
      <c r="D29" t="s">
        <v>81</v>
      </c>
      <c r="H29">
        <v>2100000</v>
      </c>
      <c r="I29">
        <v>1950000</v>
      </c>
      <c r="J29">
        <v>2340000</v>
      </c>
      <c r="K29">
        <v>2400000</v>
      </c>
      <c r="L29">
        <v>2460000</v>
      </c>
      <c r="M29">
        <v>2550000</v>
      </c>
      <c r="N29">
        <v>2640000</v>
      </c>
      <c r="O29">
        <v>2610000</v>
      </c>
      <c r="P29">
        <v>2550000</v>
      </c>
      <c r="Q29">
        <v>2790000</v>
      </c>
      <c r="R29">
        <v>2760000</v>
      </c>
      <c r="S29">
        <v>2850000</v>
      </c>
    </row>
    <row r="30" spans="1:19">
      <c r="A30" t="s">
        <v>19</v>
      </c>
      <c r="B30" t="s">
        <v>77</v>
      </c>
      <c r="C30" t="s">
        <v>1205</v>
      </c>
      <c r="D30" t="s">
        <v>83</v>
      </c>
      <c r="H30">
        <f t="shared" ref="H30:S30" si="13">H28-H29</f>
        <v>-9800000</v>
      </c>
      <c r="I30">
        <f t="shared" si="13"/>
        <v>-9100000</v>
      </c>
      <c r="J30">
        <f t="shared" si="13"/>
        <v>-10920000</v>
      </c>
      <c r="K30">
        <f t="shared" si="13"/>
        <v>-11200000</v>
      </c>
      <c r="L30">
        <f t="shared" si="13"/>
        <v>-11480000</v>
      </c>
      <c r="M30">
        <f t="shared" si="13"/>
        <v>-11900000</v>
      </c>
      <c r="N30">
        <f t="shared" si="13"/>
        <v>-12320000</v>
      </c>
      <c r="O30">
        <f t="shared" si="13"/>
        <v>-12180000</v>
      </c>
      <c r="P30">
        <f t="shared" si="13"/>
        <v>-11900000</v>
      </c>
      <c r="Q30">
        <f t="shared" si="13"/>
        <v>-13020000</v>
      </c>
      <c r="R30">
        <f t="shared" si="13"/>
        <v>-12880000</v>
      </c>
      <c r="S30">
        <f t="shared" si="13"/>
        <v>-13300000</v>
      </c>
    </row>
    <row r="31" spans="1:19">
      <c r="A31" t="s">
        <v>19</v>
      </c>
      <c r="B31" t="s">
        <v>130</v>
      </c>
      <c r="C31" t="s">
        <v>1206</v>
      </c>
      <c r="D31" t="s">
        <v>132</v>
      </c>
      <c r="H31">
        <f t="shared" ref="H31:S31" si="14">H32+H35+H36+H37</f>
        <v>24000000000</v>
      </c>
      <c r="I31">
        <f t="shared" si="14"/>
        <v>24960000000</v>
      </c>
      <c r="J31">
        <f t="shared" si="14"/>
        <v>26240000000</v>
      </c>
      <c r="K31">
        <f t="shared" si="14"/>
        <v>26560000000</v>
      </c>
      <c r="L31">
        <f t="shared" si="14"/>
        <v>27200000000</v>
      </c>
      <c r="M31">
        <f t="shared" si="14"/>
        <v>27840000000</v>
      </c>
      <c r="N31">
        <f t="shared" si="14"/>
        <v>28160000000</v>
      </c>
      <c r="O31">
        <f t="shared" si="14"/>
        <v>27520000000</v>
      </c>
      <c r="P31">
        <f t="shared" si="14"/>
        <v>26880000000</v>
      </c>
      <c r="Q31">
        <f t="shared" si="14"/>
        <v>26560000000</v>
      </c>
      <c r="R31">
        <f t="shared" si="14"/>
        <v>26240000000</v>
      </c>
      <c r="S31">
        <f t="shared" si="14"/>
        <v>27840000000</v>
      </c>
    </row>
    <row r="32" spans="1:19">
      <c r="A32" t="s">
        <v>23</v>
      </c>
      <c r="B32" t="s">
        <v>130</v>
      </c>
      <c r="C32" t="s">
        <v>1207</v>
      </c>
      <c r="D32" t="s">
        <v>1208</v>
      </c>
      <c r="H32">
        <f t="shared" ref="H32:S32" si="15">H33+H34</f>
        <v>6000000000</v>
      </c>
      <c r="I32">
        <f t="shared" si="15"/>
        <v>6240000000</v>
      </c>
      <c r="J32">
        <f t="shared" si="15"/>
        <v>6560000000</v>
      </c>
      <c r="K32">
        <f t="shared" si="15"/>
        <v>6640000000</v>
      </c>
      <c r="L32">
        <f t="shared" si="15"/>
        <v>6800000000</v>
      </c>
      <c r="M32">
        <f t="shared" si="15"/>
        <v>6960000000</v>
      </c>
      <c r="N32">
        <f t="shared" si="15"/>
        <v>7040000000</v>
      </c>
      <c r="O32">
        <f t="shared" si="15"/>
        <v>6880000000</v>
      </c>
      <c r="P32">
        <f t="shared" si="15"/>
        <v>6720000000</v>
      </c>
      <c r="Q32">
        <f t="shared" si="15"/>
        <v>6640000000</v>
      </c>
      <c r="R32">
        <f t="shared" si="15"/>
        <v>6560000000</v>
      </c>
      <c r="S32">
        <f t="shared" si="15"/>
        <v>6960000000</v>
      </c>
    </row>
    <row r="33" spans="1:19">
      <c r="A33" t="s">
        <v>26</v>
      </c>
      <c r="B33" t="s">
        <v>130</v>
      </c>
      <c r="C33" t="s">
        <v>1209</v>
      </c>
      <c r="D33" t="s">
        <v>1210</v>
      </c>
      <c r="H33">
        <v>6000000000</v>
      </c>
      <c r="I33">
        <v>6240000000</v>
      </c>
      <c r="J33">
        <v>6560000000</v>
      </c>
      <c r="K33">
        <v>6640000000</v>
      </c>
      <c r="L33">
        <v>6800000000</v>
      </c>
      <c r="M33">
        <v>6960000000</v>
      </c>
      <c r="N33">
        <v>7040000000</v>
      </c>
      <c r="O33">
        <v>6880000000</v>
      </c>
      <c r="P33">
        <v>6720000000</v>
      </c>
      <c r="Q33">
        <v>6640000000</v>
      </c>
      <c r="R33">
        <v>6560000000</v>
      </c>
      <c r="S33">
        <v>6960000000</v>
      </c>
    </row>
    <row r="34" spans="1:19">
      <c r="A34" t="s">
        <v>60</v>
      </c>
      <c r="B34" t="s">
        <v>130</v>
      </c>
      <c r="C34" t="s">
        <v>1211</v>
      </c>
      <c r="D34" t="s">
        <v>1212</v>
      </c>
    </row>
    <row r="35" spans="1:19">
      <c r="A35" t="s">
        <v>23</v>
      </c>
      <c r="B35" t="s">
        <v>130</v>
      </c>
      <c r="C35" t="s">
        <v>1213</v>
      </c>
      <c r="D35" t="s">
        <v>1214</v>
      </c>
      <c r="H35">
        <v>6000000000</v>
      </c>
      <c r="I35">
        <v>6240000000</v>
      </c>
      <c r="J35">
        <v>6560000000</v>
      </c>
      <c r="K35">
        <v>6640000000</v>
      </c>
      <c r="L35">
        <v>6800000000</v>
      </c>
      <c r="M35">
        <v>6960000000</v>
      </c>
      <c r="N35">
        <v>7040000000</v>
      </c>
      <c r="O35">
        <v>6880000000</v>
      </c>
      <c r="P35">
        <v>6720000000</v>
      </c>
      <c r="Q35">
        <v>6640000000</v>
      </c>
      <c r="R35">
        <v>6560000000</v>
      </c>
      <c r="S35">
        <v>6960000000</v>
      </c>
    </row>
    <row r="36" spans="1:19">
      <c r="A36" t="s">
        <v>23</v>
      </c>
      <c r="B36" t="s">
        <v>130</v>
      </c>
      <c r="C36" t="s">
        <v>1215</v>
      </c>
      <c r="D36" t="s">
        <v>544</v>
      </c>
      <c r="H36">
        <v>6000000000</v>
      </c>
      <c r="I36">
        <v>6240000000</v>
      </c>
      <c r="J36">
        <v>6560000000</v>
      </c>
      <c r="K36">
        <v>6640000000</v>
      </c>
      <c r="L36">
        <v>6800000000</v>
      </c>
      <c r="M36">
        <v>6960000000</v>
      </c>
      <c r="N36">
        <v>7040000000</v>
      </c>
      <c r="O36">
        <v>6880000000</v>
      </c>
      <c r="P36">
        <v>6720000000</v>
      </c>
      <c r="Q36">
        <v>6640000000</v>
      </c>
      <c r="R36">
        <v>6560000000</v>
      </c>
      <c r="S36">
        <v>6960000000</v>
      </c>
    </row>
    <row r="37" spans="1:19">
      <c r="A37" t="s">
        <v>23</v>
      </c>
      <c r="B37" t="s">
        <v>130</v>
      </c>
      <c r="C37" t="s">
        <v>1216</v>
      </c>
      <c r="D37" t="s">
        <v>546</v>
      </c>
      <c r="H37">
        <v>6000000000</v>
      </c>
      <c r="I37">
        <v>6240000000</v>
      </c>
      <c r="J37">
        <v>6560000000</v>
      </c>
      <c r="K37">
        <v>6640000000</v>
      </c>
      <c r="L37">
        <v>6800000000</v>
      </c>
      <c r="M37">
        <v>6960000000</v>
      </c>
      <c r="N37">
        <v>7040000000</v>
      </c>
      <c r="O37">
        <v>6880000000</v>
      </c>
      <c r="P37">
        <v>6720000000</v>
      </c>
      <c r="Q37">
        <v>6640000000</v>
      </c>
      <c r="R37">
        <v>6560000000</v>
      </c>
      <c r="S37">
        <v>6960000000</v>
      </c>
    </row>
    <row r="38" spans="1:19">
      <c r="A38" t="s">
        <v>19</v>
      </c>
      <c r="B38" t="s">
        <v>143</v>
      </c>
      <c r="C38" t="s">
        <v>1217</v>
      </c>
      <c r="D38" t="s">
        <v>142</v>
      </c>
      <c r="H38">
        <f t="shared" ref="H38:S38" si="16">H39+H42+H43+H44</f>
        <v>30000000000</v>
      </c>
      <c r="I38">
        <f t="shared" si="16"/>
        <v>31200000000</v>
      </c>
      <c r="J38">
        <f t="shared" si="16"/>
        <v>32800000000</v>
      </c>
      <c r="K38">
        <f t="shared" si="16"/>
        <v>33200000000</v>
      </c>
      <c r="L38">
        <f t="shared" si="16"/>
        <v>34000000000</v>
      </c>
      <c r="M38">
        <f t="shared" si="16"/>
        <v>34800000000</v>
      </c>
      <c r="N38">
        <f t="shared" si="16"/>
        <v>35200000000</v>
      </c>
      <c r="O38">
        <f t="shared" si="16"/>
        <v>34400000000</v>
      </c>
      <c r="P38">
        <f t="shared" si="16"/>
        <v>33600000000</v>
      </c>
      <c r="Q38">
        <f t="shared" si="16"/>
        <v>33200000000</v>
      </c>
      <c r="R38">
        <f t="shared" si="16"/>
        <v>32800000000</v>
      </c>
      <c r="S38">
        <f t="shared" si="16"/>
        <v>34800000000</v>
      </c>
    </row>
    <row r="39" spans="1:19">
      <c r="A39" t="s">
        <v>23</v>
      </c>
      <c r="B39" t="s">
        <v>143</v>
      </c>
      <c r="C39" t="s">
        <v>1218</v>
      </c>
      <c r="D39" t="s">
        <v>1208</v>
      </c>
      <c r="H39">
        <f t="shared" ref="H39:S39" si="17">H40+H41</f>
        <v>12000000000</v>
      </c>
      <c r="I39">
        <f t="shared" si="17"/>
        <v>12480000000</v>
      </c>
      <c r="J39">
        <f t="shared" si="17"/>
        <v>13120000000</v>
      </c>
      <c r="K39">
        <f t="shared" si="17"/>
        <v>13280000000</v>
      </c>
      <c r="L39">
        <f t="shared" si="17"/>
        <v>13600000000</v>
      </c>
      <c r="M39">
        <f t="shared" si="17"/>
        <v>13920000000</v>
      </c>
      <c r="N39">
        <f t="shared" si="17"/>
        <v>14080000000</v>
      </c>
      <c r="O39">
        <f t="shared" si="17"/>
        <v>13760000000</v>
      </c>
      <c r="P39">
        <f t="shared" si="17"/>
        <v>13440000000</v>
      </c>
      <c r="Q39">
        <f t="shared" si="17"/>
        <v>13280000000</v>
      </c>
      <c r="R39">
        <f t="shared" si="17"/>
        <v>13120000000</v>
      </c>
      <c r="S39">
        <f t="shared" si="17"/>
        <v>13920000000</v>
      </c>
    </row>
    <row r="40" spans="1:19">
      <c r="A40" t="s">
        <v>26</v>
      </c>
      <c r="B40" t="s">
        <v>143</v>
      </c>
      <c r="C40" t="s">
        <v>1219</v>
      </c>
      <c r="D40" t="s">
        <v>1210</v>
      </c>
      <c r="H40">
        <v>6000000000</v>
      </c>
      <c r="I40">
        <v>6240000000</v>
      </c>
      <c r="J40">
        <v>6560000000</v>
      </c>
      <c r="K40">
        <v>6640000000</v>
      </c>
      <c r="L40">
        <v>6800000000</v>
      </c>
      <c r="M40">
        <v>6960000000</v>
      </c>
      <c r="N40">
        <v>7040000000</v>
      </c>
      <c r="O40">
        <v>6880000000</v>
      </c>
      <c r="P40">
        <v>6720000000</v>
      </c>
      <c r="Q40">
        <v>6640000000</v>
      </c>
      <c r="R40">
        <v>6560000000</v>
      </c>
      <c r="S40">
        <v>6960000000</v>
      </c>
    </row>
    <row r="41" spans="1:19">
      <c r="A41" t="s">
        <v>26</v>
      </c>
      <c r="B41" t="s">
        <v>143</v>
      </c>
      <c r="C41" t="s">
        <v>1220</v>
      </c>
      <c r="D41" t="s">
        <v>1212</v>
      </c>
      <c r="H41">
        <v>6000000000</v>
      </c>
      <c r="I41">
        <v>6240000000</v>
      </c>
      <c r="J41">
        <v>6560000000</v>
      </c>
      <c r="K41">
        <v>6640000000</v>
      </c>
      <c r="L41">
        <v>6800000000</v>
      </c>
      <c r="M41">
        <v>6960000000</v>
      </c>
      <c r="N41">
        <v>7040000000</v>
      </c>
      <c r="O41">
        <v>6880000000</v>
      </c>
      <c r="P41">
        <v>6720000000</v>
      </c>
      <c r="Q41">
        <v>6640000000</v>
      </c>
      <c r="R41">
        <v>6560000000</v>
      </c>
      <c r="S41">
        <v>6960000000</v>
      </c>
    </row>
    <row r="42" spans="1:19">
      <c r="A42" t="s">
        <v>23</v>
      </c>
      <c r="B42" t="s">
        <v>143</v>
      </c>
      <c r="C42" t="s">
        <v>1221</v>
      </c>
      <c r="D42" t="s">
        <v>1214</v>
      </c>
      <c r="H42">
        <v>6000000000</v>
      </c>
      <c r="I42">
        <v>6240000000</v>
      </c>
      <c r="J42">
        <v>6560000000</v>
      </c>
      <c r="K42">
        <v>6640000000</v>
      </c>
      <c r="L42">
        <v>6800000000</v>
      </c>
      <c r="M42">
        <v>6960000000</v>
      </c>
      <c r="N42">
        <v>7040000000</v>
      </c>
      <c r="O42">
        <v>6880000000</v>
      </c>
      <c r="P42">
        <v>6720000000</v>
      </c>
      <c r="Q42">
        <v>6640000000</v>
      </c>
      <c r="R42">
        <v>6560000000</v>
      </c>
      <c r="S42">
        <v>6960000000</v>
      </c>
    </row>
    <row r="43" spans="1:19">
      <c r="A43" t="s">
        <v>23</v>
      </c>
      <c r="B43" t="s">
        <v>143</v>
      </c>
      <c r="C43" t="s">
        <v>1222</v>
      </c>
      <c r="D43" t="s">
        <v>544</v>
      </c>
      <c r="H43">
        <v>6000000000</v>
      </c>
      <c r="I43">
        <v>6240000000</v>
      </c>
      <c r="J43">
        <v>6560000000</v>
      </c>
      <c r="K43">
        <v>6640000000</v>
      </c>
      <c r="L43">
        <v>6800000000</v>
      </c>
      <c r="M43">
        <v>6960000000</v>
      </c>
      <c r="N43">
        <v>7040000000</v>
      </c>
      <c r="O43">
        <v>6880000000</v>
      </c>
      <c r="P43">
        <v>6720000000</v>
      </c>
      <c r="Q43">
        <v>6640000000</v>
      </c>
      <c r="R43">
        <v>6560000000</v>
      </c>
      <c r="S43">
        <v>6960000000</v>
      </c>
    </row>
    <row r="44" spans="1:19">
      <c r="A44" t="s">
        <v>23</v>
      </c>
      <c r="B44" t="s">
        <v>143</v>
      </c>
      <c r="C44" t="s">
        <v>1223</v>
      </c>
      <c r="D44" t="s">
        <v>546</v>
      </c>
      <c r="H44">
        <v>6000000000</v>
      </c>
      <c r="I44">
        <v>6240000000</v>
      </c>
      <c r="J44">
        <v>6560000000</v>
      </c>
      <c r="K44">
        <v>6640000000</v>
      </c>
      <c r="L44">
        <v>6800000000</v>
      </c>
      <c r="M44">
        <v>6960000000</v>
      </c>
      <c r="N44">
        <v>7040000000</v>
      </c>
      <c r="O44">
        <v>6880000000</v>
      </c>
      <c r="P44">
        <v>6720000000</v>
      </c>
      <c r="Q44">
        <v>6640000000</v>
      </c>
      <c r="R44">
        <v>6560000000</v>
      </c>
      <c r="S44">
        <v>6960000000</v>
      </c>
    </row>
    <row r="45" spans="1:19">
      <c r="A45" t="s">
        <v>19</v>
      </c>
      <c r="B45" t="s">
        <v>84</v>
      </c>
      <c r="C45" t="s">
        <v>1224</v>
      </c>
      <c r="D45" t="s">
        <v>151</v>
      </c>
      <c r="H45">
        <f t="shared" ref="H45:S45" si="18">H46</f>
        <v>1500000000</v>
      </c>
      <c r="I45">
        <f t="shared" si="18"/>
        <v>1560000000</v>
      </c>
      <c r="J45">
        <f t="shared" si="18"/>
        <v>1640000000</v>
      </c>
      <c r="K45">
        <f t="shared" si="18"/>
        <v>1660000000</v>
      </c>
      <c r="L45">
        <f t="shared" si="18"/>
        <v>1700000000</v>
      </c>
      <c r="M45">
        <f t="shared" si="18"/>
        <v>1740000000</v>
      </c>
      <c r="N45">
        <f t="shared" si="18"/>
        <v>1760000000</v>
      </c>
      <c r="O45">
        <f t="shared" si="18"/>
        <v>1720000000</v>
      </c>
      <c r="P45">
        <f t="shared" si="18"/>
        <v>1680000000</v>
      </c>
      <c r="Q45">
        <f t="shared" si="18"/>
        <v>1660000000</v>
      </c>
      <c r="R45">
        <f t="shared" si="18"/>
        <v>1640000000</v>
      </c>
      <c r="S45">
        <f t="shared" si="18"/>
        <v>1740000000</v>
      </c>
    </row>
    <row r="46" spans="1:19">
      <c r="A46" t="s">
        <v>23</v>
      </c>
      <c r="B46" t="s">
        <v>84</v>
      </c>
      <c r="C46" t="s">
        <v>1225</v>
      </c>
      <c r="D46" t="s">
        <v>959</v>
      </c>
      <c r="H46">
        <v>1500000000</v>
      </c>
      <c r="I46">
        <v>1560000000</v>
      </c>
      <c r="J46">
        <v>1640000000</v>
      </c>
      <c r="K46">
        <v>1660000000</v>
      </c>
      <c r="L46">
        <v>1700000000</v>
      </c>
      <c r="M46">
        <v>1740000000</v>
      </c>
      <c r="N46">
        <v>1760000000</v>
      </c>
      <c r="O46">
        <v>1720000000</v>
      </c>
      <c r="P46">
        <v>1680000000</v>
      </c>
      <c r="Q46">
        <v>1660000000</v>
      </c>
      <c r="R46">
        <v>1640000000</v>
      </c>
      <c r="S46">
        <v>1740000000</v>
      </c>
    </row>
    <row r="47" spans="1:19">
      <c r="A47" t="s">
        <v>19</v>
      </c>
      <c r="B47" t="s">
        <v>113</v>
      </c>
      <c r="C47" t="s">
        <v>1226</v>
      </c>
      <c r="D47" t="s">
        <v>160</v>
      </c>
      <c r="H47">
        <f t="shared" ref="H47:S47" si="19">H48</f>
        <v>1500000000</v>
      </c>
      <c r="I47">
        <f t="shared" si="19"/>
        <v>1560000000</v>
      </c>
      <c r="J47">
        <f t="shared" si="19"/>
        <v>1640000000</v>
      </c>
      <c r="K47">
        <f t="shared" si="19"/>
        <v>1660000000</v>
      </c>
      <c r="L47">
        <f t="shared" si="19"/>
        <v>1700000000</v>
      </c>
      <c r="M47">
        <f t="shared" si="19"/>
        <v>1740000000</v>
      </c>
      <c r="N47">
        <f t="shared" si="19"/>
        <v>1760000000</v>
      </c>
      <c r="O47">
        <f t="shared" si="19"/>
        <v>1720000000</v>
      </c>
      <c r="P47">
        <f t="shared" si="19"/>
        <v>1680000000</v>
      </c>
      <c r="Q47">
        <f t="shared" si="19"/>
        <v>1660000000</v>
      </c>
      <c r="R47">
        <f t="shared" si="19"/>
        <v>1640000000</v>
      </c>
      <c r="S47">
        <f t="shared" si="19"/>
        <v>1740000000</v>
      </c>
    </row>
    <row r="48" spans="1:19">
      <c r="A48" t="s">
        <v>23</v>
      </c>
      <c r="B48" t="s">
        <v>113</v>
      </c>
      <c r="C48" t="s">
        <v>1227</v>
      </c>
      <c r="D48" t="s">
        <v>962</v>
      </c>
      <c r="H48">
        <v>1500000000</v>
      </c>
      <c r="I48">
        <v>1560000000</v>
      </c>
      <c r="J48">
        <v>1640000000</v>
      </c>
      <c r="K48">
        <v>1660000000</v>
      </c>
      <c r="L48">
        <v>1700000000</v>
      </c>
      <c r="M48">
        <v>1740000000</v>
      </c>
      <c r="N48">
        <v>1760000000</v>
      </c>
      <c r="O48">
        <v>1720000000</v>
      </c>
      <c r="P48">
        <v>1680000000</v>
      </c>
      <c r="Q48">
        <v>1660000000</v>
      </c>
      <c r="R48">
        <v>1640000000</v>
      </c>
      <c r="S48">
        <v>1740000000</v>
      </c>
    </row>
    <row r="49" spans="1:19">
      <c r="A49" t="s">
        <v>19</v>
      </c>
      <c r="B49" t="s">
        <v>130</v>
      </c>
      <c r="C49" t="s">
        <v>1228</v>
      </c>
      <c r="D49" t="s">
        <v>166</v>
      </c>
      <c r="H49">
        <f t="shared" ref="H49:S49" si="20">H50</f>
        <v>900000000</v>
      </c>
      <c r="I49">
        <f t="shared" si="20"/>
        <v>936000000</v>
      </c>
      <c r="J49">
        <f t="shared" si="20"/>
        <v>984000000</v>
      </c>
      <c r="K49">
        <f t="shared" si="20"/>
        <v>996000000</v>
      </c>
      <c r="L49">
        <f t="shared" si="20"/>
        <v>1020000000</v>
      </c>
      <c r="M49">
        <f t="shared" si="20"/>
        <v>1044000000</v>
      </c>
      <c r="N49">
        <f t="shared" si="20"/>
        <v>1056000000</v>
      </c>
      <c r="O49">
        <f t="shared" si="20"/>
        <v>1032000000</v>
      </c>
      <c r="P49">
        <f t="shared" si="20"/>
        <v>1008000000</v>
      </c>
      <c r="Q49">
        <f t="shared" si="20"/>
        <v>996000000</v>
      </c>
      <c r="R49">
        <f t="shared" si="20"/>
        <v>984000000</v>
      </c>
      <c r="S49">
        <f t="shared" si="20"/>
        <v>1044000000</v>
      </c>
    </row>
    <row r="50" spans="1:19">
      <c r="A50" t="s">
        <v>23</v>
      </c>
      <c r="B50" t="s">
        <v>130</v>
      </c>
      <c r="C50" t="s">
        <v>1229</v>
      </c>
      <c r="D50" t="s">
        <v>965</v>
      </c>
      <c r="H50">
        <v>900000000</v>
      </c>
      <c r="I50">
        <v>936000000</v>
      </c>
      <c r="J50">
        <v>984000000</v>
      </c>
      <c r="K50">
        <v>996000000</v>
      </c>
      <c r="L50">
        <v>1020000000</v>
      </c>
      <c r="M50">
        <v>1044000000</v>
      </c>
      <c r="N50">
        <v>1056000000</v>
      </c>
      <c r="O50">
        <v>1032000000</v>
      </c>
      <c r="P50">
        <v>1008000000</v>
      </c>
      <c r="Q50">
        <v>996000000</v>
      </c>
      <c r="R50">
        <v>984000000</v>
      </c>
      <c r="S50">
        <v>1044000000</v>
      </c>
    </row>
    <row r="51" spans="1:19">
      <c r="A51" t="s">
        <v>19</v>
      </c>
      <c r="B51" t="s">
        <v>143</v>
      </c>
      <c r="C51" t="s">
        <v>1230</v>
      </c>
      <c r="D51" t="s">
        <v>172</v>
      </c>
      <c r="H51">
        <f t="shared" ref="H51:S51" si="21">H52</f>
        <v>900000000</v>
      </c>
      <c r="I51">
        <f t="shared" si="21"/>
        <v>936000000</v>
      </c>
      <c r="J51">
        <f t="shared" si="21"/>
        <v>984000000</v>
      </c>
      <c r="K51">
        <f t="shared" si="21"/>
        <v>996000000</v>
      </c>
      <c r="L51">
        <f t="shared" si="21"/>
        <v>1020000000</v>
      </c>
      <c r="M51">
        <f t="shared" si="21"/>
        <v>1044000000</v>
      </c>
      <c r="N51">
        <f t="shared" si="21"/>
        <v>1056000000</v>
      </c>
      <c r="O51">
        <f t="shared" si="21"/>
        <v>1032000000</v>
      </c>
      <c r="P51">
        <f t="shared" si="21"/>
        <v>1008000000</v>
      </c>
      <c r="Q51">
        <f t="shared" si="21"/>
        <v>996000000</v>
      </c>
      <c r="R51">
        <f t="shared" si="21"/>
        <v>984000000</v>
      </c>
      <c r="S51">
        <f t="shared" si="21"/>
        <v>1044000000</v>
      </c>
    </row>
    <row r="52" spans="1:19">
      <c r="A52" t="s">
        <v>23</v>
      </c>
      <c r="B52" t="s">
        <v>143</v>
      </c>
      <c r="C52" t="s">
        <v>1231</v>
      </c>
      <c r="D52" t="s">
        <v>968</v>
      </c>
      <c r="H52">
        <v>900000000</v>
      </c>
      <c r="I52">
        <v>936000000</v>
      </c>
      <c r="J52">
        <v>984000000</v>
      </c>
      <c r="K52">
        <v>996000000</v>
      </c>
      <c r="L52">
        <v>1020000000</v>
      </c>
      <c r="M52">
        <v>1044000000</v>
      </c>
      <c r="N52">
        <v>1056000000</v>
      </c>
      <c r="O52">
        <v>1032000000</v>
      </c>
      <c r="P52">
        <v>1008000000</v>
      </c>
      <c r="Q52">
        <v>996000000</v>
      </c>
      <c r="R52">
        <v>984000000</v>
      </c>
      <c r="S52">
        <v>1044000000</v>
      </c>
    </row>
    <row r="53" spans="1:19">
      <c r="A53" t="s">
        <v>19</v>
      </c>
      <c r="B53" t="s">
        <v>20</v>
      </c>
      <c r="C53" t="s">
        <v>1232</v>
      </c>
      <c r="D53" t="s">
        <v>176</v>
      </c>
      <c r="H53">
        <f t="shared" ref="H53:S53" si="22">H54</f>
        <v>0</v>
      </c>
      <c r="I53">
        <f t="shared" si="22"/>
        <v>0</v>
      </c>
      <c r="J53">
        <f t="shared" si="22"/>
        <v>0</v>
      </c>
      <c r="K53">
        <f t="shared" si="22"/>
        <v>0</v>
      </c>
      <c r="L53">
        <f t="shared" si="22"/>
        <v>0</v>
      </c>
      <c r="M53">
        <f t="shared" si="22"/>
        <v>0</v>
      </c>
      <c r="N53">
        <f t="shared" si="22"/>
        <v>0</v>
      </c>
      <c r="O53">
        <f t="shared" si="22"/>
        <v>0</v>
      </c>
      <c r="P53">
        <f t="shared" si="22"/>
        <v>0</v>
      </c>
      <c r="Q53">
        <f t="shared" si="22"/>
        <v>0</v>
      </c>
      <c r="R53">
        <f t="shared" si="22"/>
        <v>0</v>
      </c>
      <c r="S53">
        <f t="shared" si="22"/>
        <v>0</v>
      </c>
    </row>
    <row r="54" spans="1:19">
      <c r="A54" t="s">
        <v>23</v>
      </c>
      <c r="B54" t="s">
        <v>20</v>
      </c>
      <c r="C54" t="s">
        <v>1233</v>
      </c>
      <c r="D54" t="s">
        <v>225</v>
      </c>
      <c r="H54">
        <f t="shared" ref="H54:S54" si="23">H55</f>
        <v>0</v>
      </c>
      <c r="I54">
        <f t="shared" si="23"/>
        <v>0</v>
      </c>
      <c r="J54">
        <f t="shared" si="23"/>
        <v>0</v>
      </c>
      <c r="K54">
        <f t="shared" si="23"/>
        <v>0</v>
      </c>
      <c r="L54">
        <f t="shared" si="23"/>
        <v>0</v>
      </c>
      <c r="M54">
        <f t="shared" si="23"/>
        <v>0</v>
      </c>
      <c r="N54">
        <f t="shared" si="23"/>
        <v>0</v>
      </c>
      <c r="O54">
        <f t="shared" si="23"/>
        <v>0</v>
      </c>
      <c r="P54">
        <f t="shared" si="23"/>
        <v>0</v>
      </c>
      <c r="Q54">
        <f t="shared" si="23"/>
        <v>0</v>
      </c>
      <c r="R54">
        <f t="shared" si="23"/>
        <v>0</v>
      </c>
      <c r="S54">
        <f t="shared" si="23"/>
        <v>0</v>
      </c>
    </row>
    <row r="55" spans="1:19">
      <c r="A55" t="s">
        <v>26</v>
      </c>
      <c r="B55" t="s">
        <v>20</v>
      </c>
      <c r="C55" t="s">
        <v>1234</v>
      </c>
      <c r="D55" t="s">
        <v>227</v>
      </c>
      <c r="K55">
        <f t="shared" ref="K55:S55" si="24">K48*K56</f>
        <v>0</v>
      </c>
      <c r="L55">
        <f t="shared" si="24"/>
        <v>0</v>
      </c>
      <c r="M55">
        <f t="shared" si="24"/>
        <v>0</v>
      </c>
      <c r="N55">
        <f t="shared" si="24"/>
        <v>0</v>
      </c>
      <c r="O55">
        <f t="shared" si="24"/>
        <v>0</v>
      </c>
      <c r="P55">
        <f t="shared" si="24"/>
        <v>0</v>
      </c>
      <c r="Q55">
        <f t="shared" si="24"/>
        <v>0</v>
      </c>
      <c r="R55">
        <f t="shared" si="24"/>
        <v>0</v>
      </c>
      <c r="S55">
        <f t="shared" si="24"/>
        <v>0</v>
      </c>
    </row>
    <row r="56" spans="1:19">
      <c r="A56" t="s">
        <v>60</v>
      </c>
      <c r="B56" t="s">
        <v>179</v>
      </c>
      <c r="C56" t="s">
        <v>1235</v>
      </c>
      <c r="D56" t="s">
        <v>229</v>
      </c>
      <c r="H56">
        <f>H55/H48</f>
        <v>0</v>
      </c>
      <c r="I56">
        <f>I55/I48</f>
        <v>0</v>
      </c>
      <c r="J56">
        <f>J55/J48</f>
        <v>0</v>
      </c>
    </row>
    <row r="57" spans="1:19">
      <c r="A57" t="s">
        <v>19</v>
      </c>
      <c r="B57" t="s">
        <v>35</v>
      </c>
      <c r="C57" t="s">
        <v>1236</v>
      </c>
      <c r="D57" t="s">
        <v>241</v>
      </c>
      <c r="H57">
        <f t="shared" ref="H57:S57" si="25">H58+H61</f>
        <v>0</v>
      </c>
      <c r="I57">
        <f t="shared" si="25"/>
        <v>0</v>
      </c>
      <c r="J57">
        <f t="shared" si="25"/>
        <v>0</v>
      </c>
      <c r="K57">
        <f t="shared" si="25"/>
        <v>0</v>
      </c>
      <c r="L57">
        <f t="shared" si="25"/>
        <v>0</v>
      </c>
      <c r="M57">
        <f t="shared" si="25"/>
        <v>0</v>
      </c>
      <c r="N57">
        <f t="shared" si="25"/>
        <v>0</v>
      </c>
      <c r="O57">
        <f t="shared" si="25"/>
        <v>0</v>
      </c>
      <c r="P57">
        <f t="shared" si="25"/>
        <v>0</v>
      </c>
      <c r="Q57">
        <f t="shared" si="25"/>
        <v>0</v>
      </c>
      <c r="R57">
        <f t="shared" si="25"/>
        <v>0</v>
      </c>
      <c r="S57">
        <f t="shared" si="25"/>
        <v>0</v>
      </c>
    </row>
    <row r="58" spans="1:19">
      <c r="A58" t="s">
        <v>23</v>
      </c>
      <c r="B58" t="s">
        <v>35</v>
      </c>
      <c r="C58" t="s">
        <v>1237</v>
      </c>
      <c r="D58" t="s">
        <v>265</v>
      </c>
      <c r="H58">
        <f t="shared" ref="H58:S58" si="26">H59</f>
        <v>0</v>
      </c>
      <c r="I58">
        <f t="shared" si="26"/>
        <v>0</v>
      </c>
      <c r="J58">
        <f t="shared" si="26"/>
        <v>0</v>
      </c>
      <c r="K58">
        <f t="shared" si="26"/>
        <v>0</v>
      </c>
      <c r="L58">
        <f t="shared" si="26"/>
        <v>0</v>
      </c>
      <c r="M58">
        <f t="shared" si="26"/>
        <v>0</v>
      </c>
      <c r="N58">
        <f t="shared" si="26"/>
        <v>0</v>
      </c>
      <c r="O58">
        <f t="shared" si="26"/>
        <v>0</v>
      </c>
      <c r="P58">
        <f t="shared" si="26"/>
        <v>0</v>
      </c>
      <c r="Q58">
        <f t="shared" si="26"/>
        <v>0</v>
      </c>
      <c r="R58">
        <f t="shared" si="26"/>
        <v>0</v>
      </c>
      <c r="S58">
        <f t="shared" si="26"/>
        <v>0</v>
      </c>
    </row>
    <row r="59" spans="1:19">
      <c r="A59" t="s">
        <v>26</v>
      </c>
      <c r="B59" t="s">
        <v>35</v>
      </c>
      <c r="C59" t="s">
        <v>1238</v>
      </c>
      <c r="D59" t="s">
        <v>267</v>
      </c>
      <c r="K59">
        <f t="shared" ref="K59:S59" si="27">K48*K60</f>
        <v>0</v>
      </c>
      <c r="L59">
        <f t="shared" si="27"/>
        <v>0</v>
      </c>
      <c r="M59">
        <f t="shared" si="27"/>
        <v>0</v>
      </c>
      <c r="N59">
        <f t="shared" si="27"/>
        <v>0</v>
      </c>
      <c r="O59">
        <f t="shared" si="27"/>
        <v>0</v>
      </c>
      <c r="P59">
        <f t="shared" si="27"/>
        <v>0</v>
      </c>
      <c r="Q59">
        <f t="shared" si="27"/>
        <v>0</v>
      </c>
      <c r="R59">
        <f t="shared" si="27"/>
        <v>0</v>
      </c>
      <c r="S59">
        <f t="shared" si="27"/>
        <v>0</v>
      </c>
    </row>
    <row r="60" spans="1:19">
      <c r="A60" t="s">
        <v>60</v>
      </c>
      <c r="B60" t="s">
        <v>179</v>
      </c>
      <c r="C60" t="s">
        <v>1239</v>
      </c>
      <c r="D60" t="s">
        <v>269</v>
      </c>
      <c r="H60">
        <f>H59/H48</f>
        <v>0</v>
      </c>
      <c r="I60">
        <f>I59/I48</f>
        <v>0</v>
      </c>
      <c r="J60">
        <f>J59/J48</f>
        <v>0</v>
      </c>
    </row>
    <row r="61" spans="1:19">
      <c r="A61" t="s">
        <v>23</v>
      </c>
      <c r="B61" t="s">
        <v>35</v>
      </c>
      <c r="C61" t="s">
        <v>1240</v>
      </c>
      <c r="D61" t="s">
        <v>281</v>
      </c>
      <c r="H61">
        <f t="shared" ref="H61:S61" si="28">H62+H63</f>
        <v>0</v>
      </c>
      <c r="I61">
        <f t="shared" si="28"/>
        <v>0</v>
      </c>
      <c r="J61">
        <f t="shared" si="28"/>
        <v>0</v>
      </c>
      <c r="K61">
        <f t="shared" si="28"/>
        <v>0</v>
      </c>
      <c r="L61">
        <f t="shared" si="28"/>
        <v>0</v>
      </c>
      <c r="M61">
        <f t="shared" si="28"/>
        <v>0</v>
      </c>
      <c r="N61">
        <f t="shared" si="28"/>
        <v>0</v>
      </c>
      <c r="O61">
        <f t="shared" si="28"/>
        <v>0</v>
      </c>
      <c r="P61">
        <f t="shared" si="28"/>
        <v>0</v>
      </c>
      <c r="Q61">
        <f t="shared" si="28"/>
        <v>0</v>
      </c>
      <c r="R61">
        <f t="shared" si="28"/>
        <v>0</v>
      </c>
      <c r="S61">
        <f t="shared" si="28"/>
        <v>0</v>
      </c>
    </row>
    <row r="62" spans="1:19">
      <c r="A62" t="s">
        <v>26</v>
      </c>
      <c r="B62" t="s">
        <v>35</v>
      </c>
      <c r="C62" t="s">
        <v>1241</v>
      </c>
      <c r="D62" t="s">
        <v>1242</v>
      </c>
    </row>
    <row r="63" spans="1:19">
      <c r="A63" t="s">
        <v>26</v>
      </c>
      <c r="B63" t="s">
        <v>35</v>
      </c>
      <c r="C63" t="s">
        <v>1243</v>
      </c>
      <c r="D63" t="s">
        <v>1244</v>
      </c>
    </row>
    <row r="64" spans="1:19">
      <c r="A64" t="s">
        <v>19</v>
      </c>
      <c r="B64" t="s">
        <v>35</v>
      </c>
      <c r="C64" t="s">
        <v>1245</v>
      </c>
      <c r="D64" t="s">
        <v>285</v>
      </c>
      <c r="H64">
        <f t="shared" ref="H64:S64" si="29">H65+H92</f>
        <v>0</v>
      </c>
      <c r="I64">
        <f t="shared" si="29"/>
        <v>0</v>
      </c>
      <c r="J64">
        <f t="shared" si="29"/>
        <v>0</v>
      </c>
      <c r="K64">
        <f t="shared" si="29"/>
        <v>0</v>
      </c>
      <c r="L64">
        <f t="shared" si="29"/>
        <v>0</v>
      </c>
      <c r="M64">
        <f t="shared" si="29"/>
        <v>0</v>
      </c>
      <c r="N64">
        <f t="shared" si="29"/>
        <v>0</v>
      </c>
      <c r="O64">
        <f t="shared" si="29"/>
        <v>0</v>
      </c>
      <c r="P64">
        <f t="shared" si="29"/>
        <v>0</v>
      </c>
      <c r="Q64">
        <f t="shared" si="29"/>
        <v>0</v>
      </c>
      <c r="R64">
        <f t="shared" si="29"/>
        <v>0</v>
      </c>
      <c r="S64">
        <f t="shared" si="29"/>
        <v>0</v>
      </c>
    </row>
    <row r="65" spans="1:19">
      <c r="A65" t="s">
        <v>23</v>
      </c>
      <c r="B65" t="s">
        <v>35</v>
      </c>
      <c r="C65" t="s">
        <v>1246</v>
      </c>
      <c r="D65" t="s">
        <v>287</v>
      </c>
      <c r="H65">
        <f t="shared" ref="H65:S65" si="30">H66+H84+H88</f>
        <v>0</v>
      </c>
      <c r="I65">
        <f t="shared" si="30"/>
        <v>0</v>
      </c>
      <c r="J65">
        <f t="shared" si="30"/>
        <v>0</v>
      </c>
      <c r="K65">
        <f t="shared" si="30"/>
        <v>0</v>
      </c>
      <c r="L65">
        <f t="shared" si="30"/>
        <v>0</v>
      </c>
      <c r="M65">
        <f t="shared" si="30"/>
        <v>0</v>
      </c>
      <c r="N65">
        <f t="shared" si="30"/>
        <v>0</v>
      </c>
      <c r="O65">
        <f t="shared" si="30"/>
        <v>0</v>
      </c>
      <c r="P65">
        <f t="shared" si="30"/>
        <v>0</v>
      </c>
      <c r="Q65">
        <f t="shared" si="30"/>
        <v>0</v>
      </c>
      <c r="R65">
        <f t="shared" si="30"/>
        <v>0</v>
      </c>
      <c r="S65">
        <f t="shared" si="30"/>
        <v>0</v>
      </c>
    </row>
    <row r="66" spans="1:19">
      <c r="A66" t="s">
        <v>26</v>
      </c>
      <c r="B66" t="s">
        <v>35</v>
      </c>
      <c r="C66" t="s">
        <v>1247</v>
      </c>
      <c r="D66" t="s">
        <v>1248</v>
      </c>
      <c r="H66">
        <f t="shared" ref="H66:S66" si="31">H72+H78</f>
        <v>0</v>
      </c>
      <c r="I66">
        <f t="shared" si="31"/>
        <v>0</v>
      </c>
      <c r="J66">
        <f t="shared" si="31"/>
        <v>0</v>
      </c>
      <c r="K66">
        <f t="shared" si="31"/>
        <v>0</v>
      </c>
      <c r="L66">
        <f t="shared" si="31"/>
        <v>0</v>
      </c>
      <c r="M66">
        <f t="shared" si="31"/>
        <v>0</v>
      </c>
      <c r="N66">
        <f t="shared" si="31"/>
        <v>0</v>
      </c>
      <c r="O66">
        <f t="shared" si="31"/>
        <v>0</v>
      </c>
      <c r="P66">
        <f t="shared" si="31"/>
        <v>0</v>
      </c>
      <c r="Q66">
        <f t="shared" si="31"/>
        <v>0</v>
      </c>
      <c r="R66">
        <f t="shared" si="31"/>
        <v>0</v>
      </c>
      <c r="S66">
        <f t="shared" si="31"/>
        <v>0</v>
      </c>
    </row>
    <row r="67" spans="1:19">
      <c r="A67" t="s">
        <v>60</v>
      </c>
      <c r="B67" t="s">
        <v>179</v>
      </c>
      <c r="C67" t="s">
        <v>1249</v>
      </c>
      <c r="D67" t="s">
        <v>1250</v>
      </c>
      <c r="H67">
        <f t="shared" ref="H67:S67" si="32">H66/H39</f>
        <v>0</v>
      </c>
      <c r="I67">
        <f t="shared" si="32"/>
        <v>0</v>
      </c>
      <c r="J67">
        <f t="shared" si="32"/>
        <v>0</v>
      </c>
      <c r="K67">
        <f t="shared" si="32"/>
        <v>0</v>
      </c>
      <c r="L67">
        <f t="shared" si="32"/>
        <v>0</v>
      </c>
      <c r="M67">
        <f t="shared" si="32"/>
        <v>0</v>
      </c>
      <c r="N67">
        <f t="shared" si="32"/>
        <v>0</v>
      </c>
      <c r="O67">
        <f t="shared" si="32"/>
        <v>0</v>
      </c>
      <c r="P67">
        <f t="shared" si="32"/>
        <v>0</v>
      </c>
      <c r="Q67">
        <f t="shared" si="32"/>
        <v>0</v>
      </c>
      <c r="R67">
        <f t="shared" si="32"/>
        <v>0</v>
      </c>
      <c r="S67">
        <f t="shared" si="32"/>
        <v>0</v>
      </c>
    </row>
    <row r="68" spans="1:19">
      <c r="A68" t="s">
        <v>60</v>
      </c>
      <c r="B68" t="s">
        <v>35</v>
      </c>
      <c r="C68" t="s">
        <v>1251</v>
      </c>
      <c r="D68" t="s">
        <v>1252</v>
      </c>
      <c r="H68">
        <f t="shared" ref="H68:S68" si="33">H76+H82</f>
        <v>0</v>
      </c>
      <c r="I68">
        <f t="shared" si="33"/>
        <v>0</v>
      </c>
      <c r="J68">
        <f t="shared" si="33"/>
        <v>0</v>
      </c>
      <c r="K68">
        <f t="shared" si="33"/>
        <v>0</v>
      </c>
      <c r="L68">
        <f t="shared" si="33"/>
        <v>0</v>
      </c>
      <c r="M68">
        <f t="shared" si="33"/>
        <v>0</v>
      </c>
      <c r="N68">
        <f t="shared" si="33"/>
        <v>0</v>
      </c>
      <c r="O68">
        <f t="shared" si="33"/>
        <v>0</v>
      </c>
      <c r="P68">
        <f t="shared" si="33"/>
        <v>0</v>
      </c>
      <c r="Q68">
        <f t="shared" si="33"/>
        <v>0</v>
      </c>
      <c r="R68">
        <f t="shared" si="33"/>
        <v>0</v>
      </c>
      <c r="S68">
        <f t="shared" si="33"/>
        <v>0</v>
      </c>
    </row>
    <row r="69" spans="1:19">
      <c r="A69" t="s">
        <v>192</v>
      </c>
      <c r="B69" t="s">
        <v>179</v>
      </c>
      <c r="C69" t="s">
        <v>1253</v>
      </c>
      <c r="D69" t="s">
        <v>1254</v>
      </c>
      <c r="H69">
        <f t="shared" ref="H69:S69" si="34">H68/H39</f>
        <v>0</v>
      </c>
      <c r="I69">
        <f t="shared" si="34"/>
        <v>0</v>
      </c>
      <c r="J69">
        <f t="shared" si="34"/>
        <v>0</v>
      </c>
      <c r="K69">
        <f t="shared" si="34"/>
        <v>0</v>
      </c>
      <c r="L69">
        <f t="shared" si="34"/>
        <v>0</v>
      </c>
      <c r="M69">
        <f t="shared" si="34"/>
        <v>0</v>
      </c>
      <c r="N69">
        <f t="shared" si="34"/>
        <v>0</v>
      </c>
      <c r="O69">
        <f t="shared" si="34"/>
        <v>0</v>
      </c>
      <c r="P69">
        <f t="shared" si="34"/>
        <v>0</v>
      </c>
      <c r="Q69">
        <f t="shared" si="34"/>
        <v>0</v>
      </c>
      <c r="R69">
        <f t="shared" si="34"/>
        <v>0</v>
      </c>
      <c r="S69">
        <f t="shared" si="34"/>
        <v>0</v>
      </c>
    </row>
    <row r="70" spans="1:19">
      <c r="A70" t="s">
        <v>60</v>
      </c>
      <c r="B70" t="s">
        <v>35</v>
      </c>
      <c r="C70" t="s">
        <v>1255</v>
      </c>
      <c r="D70" t="s">
        <v>1256</v>
      </c>
      <c r="H70">
        <f t="shared" ref="H70:S70" si="35">H74+H80</f>
        <v>0</v>
      </c>
      <c r="I70">
        <f t="shared" si="35"/>
        <v>0</v>
      </c>
      <c r="J70">
        <f t="shared" si="35"/>
        <v>0</v>
      </c>
      <c r="K70">
        <f t="shared" si="35"/>
        <v>0</v>
      </c>
      <c r="L70">
        <f t="shared" si="35"/>
        <v>0</v>
      </c>
      <c r="M70">
        <f t="shared" si="35"/>
        <v>0</v>
      </c>
      <c r="N70">
        <f t="shared" si="35"/>
        <v>0</v>
      </c>
      <c r="O70">
        <f t="shared" si="35"/>
        <v>0</v>
      </c>
      <c r="P70">
        <f t="shared" si="35"/>
        <v>0</v>
      </c>
      <c r="Q70">
        <f t="shared" si="35"/>
        <v>0</v>
      </c>
      <c r="R70">
        <f t="shared" si="35"/>
        <v>0</v>
      </c>
      <c r="S70">
        <f t="shared" si="35"/>
        <v>0</v>
      </c>
    </row>
    <row r="71" spans="1:19">
      <c r="A71" t="s">
        <v>192</v>
      </c>
      <c r="B71" t="s">
        <v>179</v>
      </c>
      <c r="C71" t="s">
        <v>1257</v>
      </c>
      <c r="D71" t="s">
        <v>1258</v>
      </c>
      <c r="H71">
        <f t="shared" ref="H71:S71" si="36">H70/H39</f>
        <v>0</v>
      </c>
      <c r="I71">
        <f t="shared" si="36"/>
        <v>0</v>
      </c>
      <c r="J71">
        <f t="shared" si="36"/>
        <v>0</v>
      </c>
      <c r="K71">
        <f t="shared" si="36"/>
        <v>0</v>
      </c>
      <c r="L71">
        <f t="shared" si="36"/>
        <v>0</v>
      </c>
      <c r="M71">
        <f t="shared" si="36"/>
        <v>0</v>
      </c>
      <c r="N71">
        <f t="shared" si="36"/>
        <v>0</v>
      </c>
      <c r="O71">
        <f t="shared" si="36"/>
        <v>0</v>
      </c>
      <c r="P71">
        <f t="shared" si="36"/>
        <v>0</v>
      </c>
      <c r="Q71">
        <f t="shared" si="36"/>
        <v>0</v>
      </c>
      <c r="R71">
        <f t="shared" si="36"/>
        <v>0</v>
      </c>
      <c r="S71">
        <f t="shared" si="36"/>
        <v>0</v>
      </c>
    </row>
    <row r="72" spans="1:19">
      <c r="A72" t="s">
        <v>60</v>
      </c>
      <c r="B72" t="s">
        <v>35</v>
      </c>
      <c r="C72" t="s">
        <v>1259</v>
      </c>
      <c r="D72" t="s">
        <v>1260</v>
      </c>
      <c r="K72">
        <f t="shared" ref="K72:S72" si="37">K74+K76</f>
        <v>0</v>
      </c>
      <c r="L72">
        <f t="shared" si="37"/>
        <v>0</v>
      </c>
      <c r="M72">
        <f t="shared" si="37"/>
        <v>0</v>
      </c>
      <c r="N72">
        <f t="shared" si="37"/>
        <v>0</v>
      </c>
      <c r="O72">
        <f t="shared" si="37"/>
        <v>0</v>
      </c>
      <c r="P72">
        <f t="shared" si="37"/>
        <v>0</v>
      </c>
      <c r="Q72">
        <f t="shared" si="37"/>
        <v>0</v>
      </c>
      <c r="R72">
        <f t="shared" si="37"/>
        <v>0</v>
      </c>
      <c r="S72">
        <f t="shared" si="37"/>
        <v>0</v>
      </c>
    </row>
    <row r="73" spans="1:19">
      <c r="A73" t="s">
        <v>192</v>
      </c>
      <c r="B73" t="s">
        <v>179</v>
      </c>
      <c r="C73" t="s">
        <v>1261</v>
      </c>
      <c r="D73" t="s">
        <v>1262</v>
      </c>
      <c r="H73">
        <f t="shared" ref="H73:S73" si="38">H72/H40</f>
        <v>0</v>
      </c>
      <c r="I73">
        <f t="shared" si="38"/>
        <v>0</v>
      </c>
      <c r="J73">
        <f t="shared" si="38"/>
        <v>0</v>
      </c>
      <c r="K73">
        <f t="shared" si="38"/>
        <v>0</v>
      </c>
      <c r="L73">
        <f t="shared" si="38"/>
        <v>0</v>
      </c>
      <c r="M73">
        <f t="shared" si="38"/>
        <v>0</v>
      </c>
      <c r="N73">
        <f t="shared" si="38"/>
        <v>0</v>
      </c>
      <c r="O73">
        <f t="shared" si="38"/>
        <v>0</v>
      </c>
      <c r="P73">
        <f t="shared" si="38"/>
        <v>0</v>
      </c>
      <c r="Q73">
        <f t="shared" si="38"/>
        <v>0</v>
      </c>
      <c r="R73">
        <f t="shared" si="38"/>
        <v>0</v>
      </c>
      <c r="S73">
        <f t="shared" si="38"/>
        <v>0</v>
      </c>
    </row>
    <row r="74" spans="1:19">
      <c r="A74" t="s">
        <v>192</v>
      </c>
      <c r="B74" t="s">
        <v>35</v>
      </c>
      <c r="C74" t="s">
        <v>1263</v>
      </c>
      <c r="D74" t="s">
        <v>1264</v>
      </c>
      <c r="H74">
        <f>H72-H76</f>
        <v>0</v>
      </c>
      <c r="I74">
        <f>I72-I76</f>
        <v>0</v>
      </c>
      <c r="J74">
        <f>J72-J76</f>
        <v>0</v>
      </c>
      <c r="K74">
        <f t="shared" ref="K74:S74" si="39">K40*K75</f>
        <v>0</v>
      </c>
      <c r="L74">
        <f t="shared" si="39"/>
        <v>0</v>
      </c>
      <c r="M74">
        <f t="shared" si="39"/>
        <v>0</v>
      </c>
      <c r="N74">
        <f t="shared" si="39"/>
        <v>0</v>
      </c>
      <c r="O74">
        <f t="shared" si="39"/>
        <v>0</v>
      </c>
      <c r="P74">
        <f t="shared" si="39"/>
        <v>0</v>
      </c>
      <c r="Q74">
        <f t="shared" si="39"/>
        <v>0</v>
      </c>
      <c r="R74">
        <f t="shared" si="39"/>
        <v>0</v>
      </c>
      <c r="S74">
        <f t="shared" si="39"/>
        <v>0</v>
      </c>
    </row>
    <row r="75" spans="1:19">
      <c r="A75" t="s">
        <v>192</v>
      </c>
      <c r="B75" t="s">
        <v>179</v>
      </c>
      <c r="C75" t="s">
        <v>1265</v>
      </c>
      <c r="D75" t="s">
        <v>1266</v>
      </c>
      <c r="H75">
        <f>H74/H40</f>
        <v>0</v>
      </c>
      <c r="I75">
        <f>I74/I40</f>
        <v>0</v>
      </c>
      <c r="J75">
        <f>J74/J40</f>
        <v>0</v>
      </c>
    </row>
    <row r="76" spans="1:19">
      <c r="A76" t="s">
        <v>192</v>
      </c>
      <c r="B76" t="s">
        <v>35</v>
      </c>
      <c r="C76" t="s">
        <v>1267</v>
      </c>
      <c r="D76" t="s">
        <v>1268</v>
      </c>
      <c r="K76">
        <f t="shared" ref="K76:S76" si="40">K40*K77</f>
        <v>0</v>
      </c>
      <c r="L76">
        <f t="shared" si="40"/>
        <v>0</v>
      </c>
      <c r="M76">
        <f t="shared" si="40"/>
        <v>0</v>
      </c>
      <c r="N76">
        <f t="shared" si="40"/>
        <v>0</v>
      </c>
      <c r="O76">
        <f t="shared" si="40"/>
        <v>0</v>
      </c>
      <c r="P76">
        <f t="shared" si="40"/>
        <v>0</v>
      </c>
      <c r="Q76">
        <f t="shared" si="40"/>
        <v>0</v>
      </c>
      <c r="R76">
        <f t="shared" si="40"/>
        <v>0</v>
      </c>
      <c r="S76">
        <f t="shared" si="40"/>
        <v>0</v>
      </c>
    </row>
    <row r="77" spans="1:19">
      <c r="A77" t="s">
        <v>192</v>
      </c>
      <c r="B77" t="s">
        <v>179</v>
      </c>
      <c r="C77" t="s">
        <v>1269</v>
      </c>
      <c r="D77" t="s">
        <v>1270</v>
      </c>
      <c r="H77">
        <f>H76/H40</f>
        <v>0</v>
      </c>
      <c r="I77">
        <f>I76/I40</f>
        <v>0</v>
      </c>
      <c r="J77">
        <f>J76/J40</f>
        <v>0</v>
      </c>
    </row>
    <row r="78" spans="1:19">
      <c r="A78" t="s">
        <v>60</v>
      </c>
      <c r="B78" t="s">
        <v>35</v>
      </c>
      <c r="C78" t="s">
        <v>1271</v>
      </c>
      <c r="D78" t="s">
        <v>1272</v>
      </c>
      <c r="K78">
        <f t="shared" ref="K78:S78" si="41">K80+K82</f>
        <v>0</v>
      </c>
      <c r="L78">
        <f t="shared" si="41"/>
        <v>0</v>
      </c>
      <c r="M78">
        <f t="shared" si="41"/>
        <v>0</v>
      </c>
      <c r="N78">
        <f t="shared" si="41"/>
        <v>0</v>
      </c>
      <c r="O78">
        <f t="shared" si="41"/>
        <v>0</v>
      </c>
      <c r="P78">
        <f t="shared" si="41"/>
        <v>0</v>
      </c>
      <c r="Q78">
        <f t="shared" si="41"/>
        <v>0</v>
      </c>
      <c r="R78">
        <f t="shared" si="41"/>
        <v>0</v>
      </c>
      <c r="S78">
        <f t="shared" si="41"/>
        <v>0</v>
      </c>
    </row>
    <row r="79" spans="1:19">
      <c r="A79" t="s">
        <v>192</v>
      </c>
      <c r="B79" t="s">
        <v>179</v>
      </c>
      <c r="C79" t="s">
        <v>1273</v>
      </c>
      <c r="D79" t="s">
        <v>1274</v>
      </c>
      <c r="H79">
        <f t="shared" ref="H79:S79" si="42">H78/H41</f>
        <v>0</v>
      </c>
      <c r="I79">
        <f t="shared" si="42"/>
        <v>0</v>
      </c>
      <c r="J79">
        <f t="shared" si="42"/>
        <v>0</v>
      </c>
      <c r="K79">
        <f t="shared" si="42"/>
        <v>0</v>
      </c>
      <c r="L79">
        <f t="shared" si="42"/>
        <v>0</v>
      </c>
      <c r="M79">
        <f t="shared" si="42"/>
        <v>0</v>
      </c>
      <c r="N79">
        <f t="shared" si="42"/>
        <v>0</v>
      </c>
      <c r="O79">
        <f t="shared" si="42"/>
        <v>0</v>
      </c>
      <c r="P79">
        <f t="shared" si="42"/>
        <v>0</v>
      </c>
      <c r="Q79">
        <f t="shared" si="42"/>
        <v>0</v>
      </c>
      <c r="R79">
        <f t="shared" si="42"/>
        <v>0</v>
      </c>
      <c r="S79">
        <f t="shared" si="42"/>
        <v>0</v>
      </c>
    </row>
    <row r="80" spans="1:19">
      <c r="A80" t="s">
        <v>192</v>
      </c>
      <c r="B80" t="s">
        <v>35</v>
      </c>
      <c r="C80" t="s">
        <v>1275</v>
      </c>
      <c r="D80" t="s">
        <v>1276</v>
      </c>
      <c r="H80">
        <f>H78-H82</f>
        <v>0</v>
      </c>
      <c r="I80">
        <f>I78-I82</f>
        <v>0</v>
      </c>
      <c r="J80">
        <f>J78-J82</f>
        <v>0</v>
      </c>
      <c r="K80">
        <f t="shared" ref="K80:S80" si="43">K41*K81</f>
        <v>0</v>
      </c>
      <c r="L80">
        <f t="shared" si="43"/>
        <v>0</v>
      </c>
      <c r="M80">
        <f t="shared" si="43"/>
        <v>0</v>
      </c>
      <c r="N80">
        <f t="shared" si="43"/>
        <v>0</v>
      </c>
      <c r="O80">
        <f t="shared" si="43"/>
        <v>0</v>
      </c>
      <c r="P80">
        <f t="shared" si="43"/>
        <v>0</v>
      </c>
      <c r="Q80">
        <f t="shared" si="43"/>
        <v>0</v>
      </c>
      <c r="R80">
        <f t="shared" si="43"/>
        <v>0</v>
      </c>
      <c r="S80">
        <f t="shared" si="43"/>
        <v>0</v>
      </c>
    </row>
    <row r="81" spans="1:19">
      <c r="A81" t="s">
        <v>192</v>
      </c>
      <c r="B81" t="s">
        <v>179</v>
      </c>
      <c r="C81" t="s">
        <v>1277</v>
      </c>
      <c r="D81" t="s">
        <v>1278</v>
      </c>
      <c r="H81">
        <f>H80/H41</f>
        <v>0</v>
      </c>
      <c r="I81">
        <f>I80/I41</f>
        <v>0</v>
      </c>
      <c r="J81">
        <f>J80/J41</f>
        <v>0</v>
      </c>
    </row>
    <row r="82" spans="1:19">
      <c r="A82" t="s">
        <v>192</v>
      </c>
      <c r="B82" t="s">
        <v>35</v>
      </c>
      <c r="C82" t="s">
        <v>1279</v>
      </c>
      <c r="D82" t="s">
        <v>1280</v>
      </c>
      <c r="K82">
        <f t="shared" ref="K82:S82" si="44">K41*K83</f>
        <v>0</v>
      </c>
      <c r="L82">
        <f t="shared" si="44"/>
        <v>0</v>
      </c>
      <c r="M82">
        <f t="shared" si="44"/>
        <v>0</v>
      </c>
      <c r="N82">
        <f t="shared" si="44"/>
        <v>0</v>
      </c>
      <c r="O82">
        <f t="shared" si="44"/>
        <v>0</v>
      </c>
      <c r="P82">
        <f t="shared" si="44"/>
        <v>0</v>
      </c>
      <c r="Q82">
        <f t="shared" si="44"/>
        <v>0</v>
      </c>
      <c r="R82">
        <f t="shared" si="44"/>
        <v>0</v>
      </c>
      <c r="S82">
        <f t="shared" si="44"/>
        <v>0</v>
      </c>
    </row>
    <row r="83" spans="1:19">
      <c r="A83" t="s">
        <v>192</v>
      </c>
      <c r="B83" t="s">
        <v>179</v>
      </c>
      <c r="C83" t="s">
        <v>1281</v>
      </c>
      <c r="D83" t="s">
        <v>1282</v>
      </c>
      <c r="H83">
        <f>H82/H41</f>
        <v>0</v>
      </c>
      <c r="I83">
        <f>I82/I41</f>
        <v>0</v>
      </c>
      <c r="J83">
        <f>J82/J41</f>
        <v>0</v>
      </c>
    </row>
    <row r="84" spans="1:19">
      <c r="A84" t="s">
        <v>26</v>
      </c>
      <c r="B84" t="s">
        <v>35</v>
      </c>
      <c r="C84" t="s">
        <v>1283</v>
      </c>
      <c r="D84" t="s">
        <v>1284</v>
      </c>
      <c r="K84">
        <f t="shared" ref="K84:S84" si="45">K86*K87</f>
        <v>0</v>
      </c>
      <c r="L84">
        <f t="shared" si="45"/>
        <v>0</v>
      </c>
      <c r="M84">
        <f t="shared" si="45"/>
        <v>0</v>
      </c>
      <c r="N84">
        <f t="shared" si="45"/>
        <v>0</v>
      </c>
      <c r="O84">
        <f t="shared" si="45"/>
        <v>0</v>
      </c>
      <c r="P84">
        <f t="shared" si="45"/>
        <v>0</v>
      </c>
      <c r="Q84">
        <f t="shared" si="45"/>
        <v>0</v>
      </c>
      <c r="R84">
        <f t="shared" si="45"/>
        <v>0</v>
      </c>
      <c r="S84">
        <f t="shared" si="45"/>
        <v>0</v>
      </c>
    </row>
    <row r="85" spans="1:19">
      <c r="A85" t="s">
        <v>60</v>
      </c>
      <c r="B85" t="s">
        <v>130</v>
      </c>
      <c r="C85" t="s">
        <v>1285</v>
      </c>
      <c r="D85" t="s">
        <v>1286</v>
      </c>
    </row>
    <row r="86" spans="1:19">
      <c r="A86" t="s">
        <v>60</v>
      </c>
      <c r="B86" t="s">
        <v>143</v>
      </c>
      <c r="C86" t="s">
        <v>1287</v>
      </c>
      <c r="D86" t="s">
        <v>1288</v>
      </c>
    </row>
    <row r="87" spans="1:19">
      <c r="A87" t="s">
        <v>60</v>
      </c>
      <c r="B87" t="s">
        <v>179</v>
      </c>
      <c r="C87" t="s">
        <v>1289</v>
      </c>
      <c r="D87" t="s">
        <v>1290</v>
      </c>
      <c r="H87" t="e">
        <f>H84/H86</f>
        <v>#DIV/0!</v>
      </c>
      <c r="I87" t="e">
        <f>I84/I86</f>
        <v>#DIV/0!</v>
      </c>
      <c r="J87" t="e">
        <f>J84/J86</f>
        <v>#DIV/0!</v>
      </c>
    </row>
    <row r="88" spans="1:19">
      <c r="A88" t="s">
        <v>26</v>
      </c>
      <c r="B88" t="s">
        <v>35</v>
      </c>
      <c r="C88" t="s">
        <v>1291</v>
      </c>
      <c r="D88" t="s">
        <v>1292</v>
      </c>
      <c r="K88">
        <f t="shared" ref="K88:S88" si="46">K90*K91</f>
        <v>0</v>
      </c>
      <c r="L88">
        <f t="shared" si="46"/>
        <v>0</v>
      </c>
      <c r="M88">
        <f t="shared" si="46"/>
        <v>0</v>
      </c>
      <c r="N88">
        <f t="shared" si="46"/>
        <v>0</v>
      </c>
      <c r="O88">
        <f t="shared" si="46"/>
        <v>0</v>
      </c>
      <c r="P88">
        <f t="shared" si="46"/>
        <v>0</v>
      </c>
      <c r="Q88">
        <f t="shared" si="46"/>
        <v>0</v>
      </c>
      <c r="R88">
        <f t="shared" si="46"/>
        <v>0</v>
      </c>
      <c r="S88">
        <f t="shared" si="46"/>
        <v>0</v>
      </c>
    </row>
    <row r="89" spans="1:19">
      <c r="A89" t="s">
        <v>60</v>
      </c>
      <c r="B89" t="s">
        <v>130</v>
      </c>
      <c r="C89" t="s">
        <v>1293</v>
      </c>
      <c r="D89" t="s">
        <v>1294</v>
      </c>
    </row>
    <row r="90" spans="1:19">
      <c r="A90" t="s">
        <v>60</v>
      </c>
      <c r="B90" t="s">
        <v>143</v>
      </c>
      <c r="C90" t="s">
        <v>1295</v>
      </c>
      <c r="D90" t="s">
        <v>1296</v>
      </c>
    </row>
    <row r="91" spans="1:19">
      <c r="A91" t="s">
        <v>60</v>
      </c>
      <c r="B91" t="s">
        <v>179</v>
      </c>
      <c r="C91" t="s">
        <v>1297</v>
      </c>
      <c r="D91" t="s">
        <v>1298</v>
      </c>
      <c r="H91" t="e">
        <f>H88/H90</f>
        <v>#DIV/0!</v>
      </c>
      <c r="I91" t="e">
        <f>I88/I90</f>
        <v>#DIV/0!</v>
      </c>
      <c r="J91" t="e">
        <f>J88/J90</f>
        <v>#DIV/0!</v>
      </c>
    </row>
    <row r="92" spans="1:19">
      <c r="A92" t="s">
        <v>23</v>
      </c>
      <c r="B92" t="s">
        <v>35</v>
      </c>
      <c r="C92" t="s">
        <v>1299</v>
      </c>
      <c r="D92" t="s">
        <v>299</v>
      </c>
      <c r="H92">
        <f t="shared" ref="H92:S92" si="47">H93</f>
        <v>0</v>
      </c>
      <c r="I92">
        <f t="shared" si="47"/>
        <v>0</v>
      </c>
      <c r="J92">
        <f t="shared" si="47"/>
        <v>0</v>
      </c>
      <c r="K92">
        <f t="shared" si="47"/>
        <v>0</v>
      </c>
      <c r="L92">
        <f t="shared" si="47"/>
        <v>0</v>
      </c>
      <c r="M92">
        <f t="shared" si="47"/>
        <v>0</v>
      </c>
      <c r="N92">
        <f t="shared" si="47"/>
        <v>0</v>
      </c>
      <c r="O92">
        <f t="shared" si="47"/>
        <v>0</v>
      </c>
      <c r="P92">
        <f t="shared" si="47"/>
        <v>0</v>
      </c>
      <c r="Q92">
        <f t="shared" si="47"/>
        <v>0</v>
      </c>
      <c r="R92">
        <f t="shared" si="47"/>
        <v>0</v>
      </c>
      <c r="S92">
        <f t="shared" si="47"/>
        <v>0</v>
      </c>
    </row>
    <row r="93" spans="1:19">
      <c r="A93" t="s">
        <v>26</v>
      </c>
      <c r="B93" t="s">
        <v>35</v>
      </c>
      <c r="C93" t="s">
        <v>1300</v>
      </c>
      <c r="D93" t="s">
        <v>301</v>
      </c>
      <c r="K93">
        <f t="shared" ref="K93:S93" si="48">K52*K94</f>
        <v>0</v>
      </c>
      <c r="L93">
        <f t="shared" si="48"/>
        <v>0</v>
      </c>
      <c r="M93">
        <f t="shared" si="48"/>
        <v>0</v>
      </c>
      <c r="N93">
        <f t="shared" si="48"/>
        <v>0</v>
      </c>
      <c r="O93">
        <f t="shared" si="48"/>
        <v>0</v>
      </c>
      <c r="P93">
        <f t="shared" si="48"/>
        <v>0</v>
      </c>
      <c r="Q93">
        <f t="shared" si="48"/>
        <v>0</v>
      </c>
      <c r="R93">
        <f t="shared" si="48"/>
        <v>0</v>
      </c>
      <c r="S93">
        <f t="shared" si="48"/>
        <v>0</v>
      </c>
    </row>
    <row r="94" spans="1:19">
      <c r="A94" t="s">
        <v>60</v>
      </c>
      <c r="B94" t="s">
        <v>179</v>
      </c>
      <c r="C94" t="s">
        <v>1301</v>
      </c>
      <c r="D94" t="s">
        <v>303</v>
      </c>
      <c r="H94">
        <f>H93/H52</f>
        <v>0</v>
      </c>
      <c r="I94">
        <f>I93/I52</f>
        <v>0</v>
      </c>
      <c r="J94">
        <f>J93/J52</f>
        <v>0</v>
      </c>
    </row>
    <row r="95" spans="1:19">
      <c r="A95" t="s">
        <v>19</v>
      </c>
      <c r="B95" t="s">
        <v>20</v>
      </c>
      <c r="C95" t="s">
        <v>1302</v>
      </c>
      <c r="D95" t="s">
        <v>309</v>
      </c>
      <c r="H95">
        <f t="shared" ref="H95:S95" si="49">H96+H109+H112</f>
        <v>0</v>
      </c>
      <c r="I95">
        <f t="shared" si="49"/>
        <v>0</v>
      </c>
      <c r="J95">
        <f t="shared" si="49"/>
        <v>0</v>
      </c>
      <c r="K95">
        <f t="shared" si="49"/>
        <v>0</v>
      </c>
      <c r="L95">
        <f t="shared" si="49"/>
        <v>0</v>
      </c>
      <c r="M95">
        <f t="shared" si="49"/>
        <v>0</v>
      </c>
      <c r="N95">
        <f t="shared" si="49"/>
        <v>0</v>
      </c>
      <c r="O95">
        <f t="shared" si="49"/>
        <v>0</v>
      </c>
      <c r="P95">
        <f t="shared" si="49"/>
        <v>0</v>
      </c>
      <c r="Q95">
        <f t="shared" si="49"/>
        <v>0</v>
      </c>
      <c r="R95">
        <f t="shared" si="49"/>
        <v>0</v>
      </c>
      <c r="S95">
        <f t="shared" si="49"/>
        <v>0</v>
      </c>
    </row>
    <row r="96" spans="1:19">
      <c r="A96" t="s">
        <v>23</v>
      </c>
      <c r="B96" t="s">
        <v>20</v>
      </c>
      <c r="C96" t="s">
        <v>1303</v>
      </c>
      <c r="D96" t="s">
        <v>311</v>
      </c>
      <c r="H96">
        <f t="shared" ref="H96:S96" si="50">H97+H105+H107</f>
        <v>0</v>
      </c>
      <c r="I96">
        <f t="shared" si="50"/>
        <v>0</v>
      </c>
      <c r="J96">
        <f t="shared" si="50"/>
        <v>0</v>
      </c>
      <c r="K96">
        <f t="shared" si="50"/>
        <v>0</v>
      </c>
      <c r="L96">
        <f t="shared" si="50"/>
        <v>0</v>
      </c>
      <c r="M96">
        <f t="shared" si="50"/>
        <v>0</v>
      </c>
      <c r="N96">
        <f t="shared" si="50"/>
        <v>0</v>
      </c>
      <c r="O96">
        <f t="shared" si="50"/>
        <v>0</v>
      </c>
      <c r="P96">
        <f t="shared" si="50"/>
        <v>0</v>
      </c>
      <c r="Q96">
        <f t="shared" si="50"/>
        <v>0</v>
      </c>
      <c r="R96">
        <f t="shared" si="50"/>
        <v>0</v>
      </c>
      <c r="S96">
        <f t="shared" si="50"/>
        <v>0</v>
      </c>
    </row>
    <row r="97" spans="1:19">
      <c r="A97" t="s">
        <v>26</v>
      </c>
      <c r="B97" t="s">
        <v>20</v>
      </c>
      <c r="C97" t="s">
        <v>1304</v>
      </c>
      <c r="D97" t="s">
        <v>1305</v>
      </c>
      <c r="H97">
        <f t="shared" ref="H97:S97" si="51">H100+H110</f>
        <v>0</v>
      </c>
      <c r="I97">
        <f t="shared" si="51"/>
        <v>0</v>
      </c>
      <c r="J97">
        <f t="shared" si="51"/>
        <v>0</v>
      </c>
      <c r="K97">
        <f t="shared" si="51"/>
        <v>0</v>
      </c>
      <c r="L97">
        <f t="shared" si="51"/>
        <v>0</v>
      </c>
      <c r="M97">
        <f t="shared" si="51"/>
        <v>0</v>
      </c>
      <c r="N97">
        <f t="shared" si="51"/>
        <v>0</v>
      </c>
      <c r="O97">
        <f t="shared" si="51"/>
        <v>0</v>
      </c>
      <c r="P97">
        <f t="shared" si="51"/>
        <v>0</v>
      </c>
      <c r="Q97">
        <f t="shared" si="51"/>
        <v>0</v>
      </c>
      <c r="R97">
        <f t="shared" si="51"/>
        <v>0</v>
      </c>
      <c r="S97">
        <f t="shared" si="51"/>
        <v>0</v>
      </c>
    </row>
    <row r="98" spans="1:19">
      <c r="A98" t="s">
        <v>60</v>
      </c>
      <c r="B98" t="s">
        <v>179</v>
      </c>
      <c r="C98" t="s">
        <v>1306</v>
      </c>
      <c r="D98" t="s">
        <v>1307</v>
      </c>
      <c r="H98">
        <f t="shared" ref="H98:S98" si="52">H97/H39</f>
        <v>0</v>
      </c>
      <c r="I98">
        <f t="shared" si="52"/>
        <v>0</v>
      </c>
      <c r="J98">
        <f t="shared" si="52"/>
        <v>0</v>
      </c>
      <c r="K98">
        <f t="shared" si="52"/>
        <v>0</v>
      </c>
      <c r="L98">
        <f t="shared" si="52"/>
        <v>0</v>
      </c>
      <c r="M98">
        <f t="shared" si="52"/>
        <v>0</v>
      </c>
      <c r="N98">
        <f t="shared" si="52"/>
        <v>0</v>
      </c>
      <c r="O98">
        <f t="shared" si="52"/>
        <v>0</v>
      </c>
      <c r="P98">
        <f t="shared" si="52"/>
        <v>0</v>
      </c>
      <c r="Q98">
        <f t="shared" si="52"/>
        <v>0</v>
      </c>
      <c r="R98">
        <f t="shared" si="52"/>
        <v>0</v>
      </c>
      <c r="S98">
        <f t="shared" si="52"/>
        <v>0</v>
      </c>
    </row>
    <row r="99" spans="1:19">
      <c r="A99" t="s">
        <v>60</v>
      </c>
      <c r="B99" t="s">
        <v>179</v>
      </c>
      <c r="C99" t="s">
        <v>1308</v>
      </c>
      <c r="D99" t="s">
        <v>1309</v>
      </c>
      <c r="H99">
        <f t="shared" ref="H99:S99" si="53">H98-H67</f>
        <v>0</v>
      </c>
      <c r="I99">
        <f t="shared" si="53"/>
        <v>0</v>
      </c>
      <c r="J99">
        <f t="shared" si="53"/>
        <v>0</v>
      </c>
      <c r="K99">
        <f t="shared" si="53"/>
        <v>0</v>
      </c>
      <c r="L99">
        <f t="shared" si="53"/>
        <v>0</v>
      </c>
      <c r="M99">
        <f t="shared" si="53"/>
        <v>0</v>
      </c>
      <c r="N99">
        <f t="shared" si="53"/>
        <v>0</v>
      </c>
      <c r="O99">
        <f t="shared" si="53"/>
        <v>0</v>
      </c>
      <c r="P99">
        <f t="shared" si="53"/>
        <v>0</v>
      </c>
      <c r="Q99">
        <f t="shared" si="53"/>
        <v>0</v>
      </c>
      <c r="R99">
        <f t="shared" si="53"/>
        <v>0</v>
      </c>
      <c r="S99">
        <f t="shared" si="53"/>
        <v>0</v>
      </c>
    </row>
    <row r="100" spans="1:19">
      <c r="A100" t="s">
        <v>60</v>
      </c>
      <c r="B100" t="s">
        <v>20</v>
      </c>
      <c r="C100" t="s">
        <v>1310</v>
      </c>
      <c r="D100" t="s">
        <v>1311</v>
      </c>
      <c r="K100">
        <f t="shared" ref="K100:S100" si="54">K40*K101</f>
        <v>0</v>
      </c>
      <c r="L100">
        <f t="shared" si="54"/>
        <v>0</v>
      </c>
      <c r="M100">
        <f t="shared" si="54"/>
        <v>0</v>
      </c>
      <c r="N100">
        <f t="shared" si="54"/>
        <v>0</v>
      </c>
      <c r="O100">
        <f t="shared" si="54"/>
        <v>0</v>
      </c>
      <c r="P100">
        <f t="shared" si="54"/>
        <v>0</v>
      </c>
      <c r="Q100">
        <f t="shared" si="54"/>
        <v>0</v>
      </c>
      <c r="R100">
        <f t="shared" si="54"/>
        <v>0</v>
      </c>
      <c r="S100">
        <f t="shared" si="54"/>
        <v>0</v>
      </c>
    </row>
    <row r="101" spans="1:19">
      <c r="A101" t="s">
        <v>192</v>
      </c>
      <c r="B101" t="s">
        <v>179</v>
      </c>
      <c r="C101" t="s">
        <v>1312</v>
      </c>
      <c r="D101" t="s">
        <v>1313</v>
      </c>
      <c r="H101">
        <f>H100/H40</f>
        <v>0</v>
      </c>
      <c r="I101">
        <f>I100/I40</f>
        <v>0</v>
      </c>
      <c r="J101">
        <f>J100/J40</f>
        <v>0</v>
      </c>
      <c r="K101">
        <f t="shared" ref="K101:S101" si="55">K73+K102</f>
        <v>0</v>
      </c>
      <c r="L101">
        <f t="shared" si="55"/>
        <v>0</v>
      </c>
      <c r="M101">
        <f t="shared" si="55"/>
        <v>0</v>
      </c>
      <c r="N101">
        <f t="shared" si="55"/>
        <v>0</v>
      </c>
      <c r="O101">
        <f t="shared" si="55"/>
        <v>0</v>
      </c>
      <c r="P101">
        <f t="shared" si="55"/>
        <v>0</v>
      </c>
      <c r="Q101">
        <f t="shared" si="55"/>
        <v>0</v>
      </c>
      <c r="R101">
        <f t="shared" si="55"/>
        <v>0</v>
      </c>
      <c r="S101">
        <f t="shared" si="55"/>
        <v>0</v>
      </c>
    </row>
    <row r="102" spans="1:19">
      <c r="A102" t="s">
        <v>192</v>
      </c>
      <c r="B102" t="s">
        <v>179</v>
      </c>
      <c r="C102" t="s">
        <v>1314</v>
      </c>
      <c r="D102" t="s">
        <v>1315</v>
      </c>
      <c r="H102">
        <f>H101-H73</f>
        <v>0</v>
      </c>
      <c r="I102">
        <f>I101-I73</f>
        <v>0</v>
      </c>
      <c r="J102">
        <f>J101-J73</f>
        <v>0</v>
      </c>
    </row>
    <row r="103" spans="1:19">
      <c r="A103" t="s">
        <v>192</v>
      </c>
      <c r="B103" t="s">
        <v>179</v>
      </c>
      <c r="C103" t="s">
        <v>1316</v>
      </c>
      <c r="D103" t="s">
        <v>1317</v>
      </c>
      <c r="H103">
        <f>H110/H41</f>
        <v>0</v>
      </c>
      <c r="I103">
        <f>I110/I41</f>
        <v>0</v>
      </c>
      <c r="J103">
        <f>J110/J41</f>
        <v>0</v>
      </c>
      <c r="K103">
        <f t="shared" ref="K103:S103" si="56">K79+K104</f>
        <v>0</v>
      </c>
      <c r="L103">
        <f t="shared" si="56"/>
        <v>0</v>
      </c>
      <c r="M103">
        <f t="shared" si="56"/>
        <v>0</v>
      </c>
      <c r="N103">
        <f t="shared" si="56"/>
        <v>0</v>
      </c>
      <c r="O103">
        <f t="shared" si="56"/>
        <v>0</v>
      </c>
      <c r="P103">
        <f t="shared" si="56"/>
        <v>0</v>
      </c>
      <c r="Q103">
        <f t="shared" si="56"/>
        <v>0</v>
      </c>
      <c r="R103">
        <f t="shared" si="56"/>
        <v>0</v>
      </c>
      <c r="S103">
        <f t="shared" si="56"/>
        <v>0</v>
      </c>
    </row>
    <row r="104" spans="1:19">
      <c r="A104" t="s">
        <v>192</v>
      </c>
      <c r="B104" t="s">
        <v>179</v>
      </c>
      <c r="C104" t="s">
        <v>1318</v>
      </c>
      <c r="D104" t="s">
        <v>1319</v>
      </c>
      <c r="H104">
        <f>H103-H79</f>
        <v>0</v>
      </c>
      <c r="I104">
        <f>I103-I79</f>
        <v>0</v>
      </c>
      <c r="J104">
        <f>J103-J79</f>
        <v>0</v>
      </c>
    </row>
    <row r="105" spans="1:19">
      <c r="A105" t="s">
        <v>26</v>
      </c>
      <c r="B105" t="s">
        <v>20</v>
      </c>
      <c r="C105" t="s">
        <v>1320</v>
      </c>
      <c r="D105" t="s">
        <v>1321</v>
      </c>
      <c r="K105">
        <f t="shared" ref="K105:S105" si="57">K86*K106</f>
        <v>0</v>
      </c>
      <c r="L105">
        <f t="shared" si="57"/>
        <v>0</v>
      </c>
      <c r="M105">
        <f t="shared" si="57"/>
        <v>0</v>
      </c>
      <c r="N105">
        <f t="shared" si="57"/>
        <v>0</v>
      </c>
      <c r="O105">
        <f t="shared" si="57"/>
        <v>0</v>
      </c>
      <c r="P105">
        <f t="shared" si="57"/>
        <v>0</v>
      </c>
      <c r="Q105">
        <f t="shared" si="57"/>
        <v>0</v>
      </c>
      <c r="R105">
        <f t="shared" si="57"/>
        <v>0</v>
      </c>
      <c r="S105">
        <f t="shared" si="57"/>
        <v>0</v>
      </c>
    </row>
    <row r="106" spans="1:19">
      <c r="A106" t="s">
        <v>60</v>
      </c>
      <c r="B106" t="s">
        <v>179</v>
      </c>
      <c r="C106" t="s">
        <v>1322</v>
      </c>
      <c r="D106" t="s">
        <v>1323</v>
      </c>
      <c r="H106" t="e">
        <f>H105/H86</f>
        <v>#DIV/0!</v>
      </c>
      <c r="I106" t="e">
        <f>I105/I86</f>
        <v>#DIV/0!</v>
      </c>
      <c r="J106" t="e">
        <f>J105/J86</f>
        <v>#DIV/0!</v>
      </c>
    </row>
    <row r="107" spans="1:19">
      <c r="A107" t="s">
        <v>26</v>
      </c>
      <c r="B107" t="s">
        <v>20</v>
      </c>
      <c r="C107" t="s">
        <v>1324</v>
      </c>
      <c r="D107" t="s">
        <v>1325</v>
      </c>
      <c r="K107">
        <f t="shared" ref="K107:S107" si="58">K90*K108</f>
        <v>0</v>
      </c>
      <c r="L107">
        <f t="shared" si="58"/>
        <v>0</v>
      </c>
      <c r="M107">
        <f t="shared" si="58"/>
        <v>0</v>
      </c>
      <c r="N107">
        <f t="shared" si="58"/>
        <v>0</v>
      </c>
      <c r="O107">
        <f t="shared" si="58"/>
        <v>0</v>
      </c>
      <c r="P107">
        <f t="shared" si="58"/>
        <v>0</v>
      </c>
      <c r="Q107">
        <f t="shared" si="58"/>
        <v>0</v>
      </c>
      <c r="R107">
        <f t="shared" si="58"/>
        <v>0</v>
      </c>
      <c r="S107">
        <f t="shared" si="58"/>
        <v>0</v>
      </c>
    </row>
    <row r="108" spans="1:19">
      <c r="A108" t="s">
        <v>60</v>
      </c>
      <c r="B108" t="s">
        <v>179</v>
      </c>
      <c r="C108" t="s">
        <v>1326</v>
      </c>
      <c r="D108" t="s">
        <v>1327</v>
      </c>
      <c r="H108" t="e">
        <f>H107/H90</f>
        <v>#DIV/0!</v>
      </c>
      <c r="I108" t="e">
        <f>I107/I90</f>
        <v>#DIV/0!</v>
      </c>
      <c r="J108" t="e">
        <f>J107/J90</f>
        <v>#DIV/0!</v>
      </c>
    </row>
    <row r="109" spans="1:19">
      <c r="A109" t="s">
        <v>23</v>
      </c>
      <c r="B109" t="s">
        <v>20</v>
      </c>
      <c r="C109" t="s">
        <v>1328</v>
      </c>
      <c r="D109" t="s">
        <v>323</v>
      </c>
      <c r="H109">
        <f t="shared" ref="H109:S109" si="59">H110</f>
        <v>0</v>
      </c>
      <c r="I109">
        <f t="shared" si="59"/>
        <v>0</v>
      </c>
      <c r="J109">
        <f t="shared" si="59"/>
        <v>0</v>
      </c>
      <c r="K109">
        <f t="shared" si="59"/>
        <v>0</v>
      </c>
      <c r="L109">
        <f t="shared" si="59"/>
        <v>0</v>
      </c>
      <c r="M109">
        <f t="shared" si="59"/>
        <v>0</v>
      </c>
      <c r="N109">
        <f t="shared" si="59"/>
        <v>0</v>
      </c>
      <c r="O109">
        <f t="shared" si="59"/>
        <v>0</v>
      </c>
      <c r="P109">
        <f t="shared" si="59"/>
        <v>0</v>
      </c>
      <c r="Q109">
        <f t="shared" si="59"/>
        <v>0</v>
      </c>
      <c r="R109">
        <f t="shared" si="59"/>
        <v>0</v>
      </c>
      <c r="S109">
        <f t="shared" si="59"/>
        <v>0</v>
      </c>
    </row>
    <row r="110" spans="1:19">
      <c r="A110" t="s">
        <v>26</v>
      </c>
      <c r="B110" t="s">
        <v>20</v>
      </c>
      <c r="C110" t="s">
        <v>1329</v>
      </c>
      <c r="D110" t="s">
        <v>325</v>
      </c>
      <c r="K110">
        <f t="shared" ref="K110:S110" si="60">K52*K111</f>
        <v>0</v>
      </c>
      <c r="L110">
        <f t="shared" si="60"/>
        <v>0</v>
      </c>
      <c r="M110">
        <f t="shared" si="60"/>
        <v>0</v>
      </c>
      <c r="N110">
        <f t="shared" si="60"/>
        <v>0</v>
      </c>
      <c r="O110">
        <f t="shared" si="60"/>
        <v>0</v>
      </c>
      <c r="P110">
        <f t="shared" si="60"/>
        <v>0</v>
      </c>
      <c r="Q110">
        <f t="shared" si="60"/>
        <v>0</v>
      </c>
      <c r="R110">
        <f t="shared" si="60"/>
        <v>0</v>
      </c>
      <c r="S110">
        <f t="shared" si="60"/>
        <v>0</v>
      </c>
    </row>
    <row r="111" spans="1:19">
      <c r="A111" t="s">
        <v>60</v>
      </c>
      <c r="B111" t="s">
        <v>179</v>
      </c>
      <c r="C111" t="s">
        <v>1330</v>
      </c>
      <c r="D111" t="s">
        <v>327</v>
      </c>
      <c r="H111">
        <f>H110/H52</f>
        <v>0</v>
      </c>
      <c r="I111">
        <f>I110/I52</f>
        <v>0</v>
      </c>
      <c r="J111">
        <f>J110/J52</f>
        <v>0</v>
      </c>
    </row>
    <row r="112" spans="1:19">
      <c r="A112" t="s">
        <v>23</v>
      </c>
      <c r="B112" t="s">
        <v>20</v>
      </c>
      <c r="C112" t="s">
        <v>1331</v>
      </c>
      <c r="D112" t="s">
        <v>333</v>
      </c>
      <c r="H112">
        <f t="shared" ref="H112:S112" si="61">H113+H115</f>
        <v>0</v>
      </c>
      <c r="I112">
        <f t="shared" si="61"/>
        <v>0</v>
      </c>
      <c r="J112">
        <f t="shared" si="61"/>
        <v>0</v>
      </c>
      <c r="K112">
        <f t="shared" si="61"/>
        <v>0</v>
      </c>
      <c r="L112">
        <f t="shared" si="61"/>
        <v>0</v>
      </c>
      <c r="M112">
        <f t="shared" si="61"/>
        <v>0</v>
      </c>
      <c r="N112">
        <f t="shared" si="61"/>
        <v>0</v>
      </c>
      <c r="O112">
        <f t="shared" si="61"/>
        <v>0</v>
      </c>
      <c r="P112">
        <f t="shared" si="61"/>
        <v>0</v>
      </c>
      <c r="Q112">
        <f t="shared" si="61"/>
        <v>0</v>
      </c>
      <c r="R112">
        <f t="shared" si="61"/>
        <v>0</v>
      </c>
      <c r="S112">
        <f t="shared" si="61"/>
        <v>0</v>
      </c>
    </row>
    <row r="113" spans="1:19">
      <c r="A113" t="s">
        <v>26</v>
      </c>
      <c r="B113" t="s">
        <v>20</v>
      </c>
      <c r="C113" t="s">
        <v>1332</v>
      </c>
      <c r="D113" t="s">
        <v>1333</v>
      </c>
      <c r="K113">
        <f t="shared" ref="K113:S113" si="62">K43*K114</f>
        <v>0</v>
      </c>
      <c r="L113">
        <f t="shared" si="62"/>
        <v>0</v>
      </c>
      <c r="M113">
        <f t="shared" si="62"/>
        <v>0</v>
      </c>
      <c r="N113">
        <f t="shared" si="62"/>
        <v>0</v>
      </c>
      <c r="O113">
        <f t="shared" si="62"/>
        <v>0</v>
      </c>
      <c r="P113">
        <f t="shared" si="62"/>
        <v>0</v>
      </c>
      <c r="Q113">
        <f t="shared" si="62"/>
        <v>0</v>
      </c>
      <c r="R113">
        <f t="shared" si="62"/>
        <v>0</v>
      </c>
      <c r="S113">
        <f t="shared" si="62"/>
        <v>0</v>
      </c>
    </row>
    <row r="114" spans="1:19">
      <c r="A114" t="s">
        <v>60</v>
      </c>
      <c r="B114" t="s">
        <v>179</v>
      </c>
      <c r="C114" t="s">
        <v>1334</v>
      </c>
      <c r="D114" t="s">
        <v>1335</v>
      </c>
      <c r="H114">
        <f>H113/H43</f>
        <v>0</v>
      </c>
      <c r="I114">
        <f>I113/I43</f>
        <v>0</v>
      </c>
      <c r="J114">
        <f>J113/J43</f>
        <v>0</v>
      </c>
    </row>
    <row r="115" spans="1:19">
      <c r="A115" t="s">
        <v>26</v>
      </c>
      <c r="B115" t="s">
        <v>20</v>
      </c>
      <c r="C115" t="s">
        <v>1336</v>
      </c>
      <c r="D115" t="s">
        <v>1337</v>
      </c>
    </row>
    <row r="116" spans="1:19">
      <c r="A116" t="s">
        <v>19</v>
      </c>
      <c r="B116" t="s">
        <v>20</v>
      </c>
      <c r="C116" t="s">
        <v>1338</v>
      </c>
      <c r="D116" t="s">
        <v>337</v>
      </c>
      <c r="H116">
        <v>21000000</v>
      </c>
      <c r="I116">
        <v>19500000</v>
      </c>
      <c r="J116">
        <v>23400000</v>
      </c>
      <c r="K116">
        <f t="shared" ref="K116:S116" si="63">K117+K119</f>
        <v>24000000</v>
      </c>
      <c r="L116">
        <f t="shared" si="63"/>
        <v>24600000</v>
      </c>
      <c r="M116">
        <f t="shared" si="63"/>
        <v>25500000</v>
      </c>
      <c r="N116">
        <f t="shared" si="63"/>
        <v>26400000</v>
      </c>
      <c r="O116">
        <f t="shared" si="63"/>
        <v>26100000</v>
      </c>
      <c r="P116">
        <f t="shared" si="63"/>
        <v>25500000</v>
      </c>
      <c r="Q116">
        <f t="shared" si="63"/>
        <v>27900000</v>
      </c>
      <c r="R116">
        <f t="shared" si="63"/>
        <v>27600000</v>
      </c>
      <c r="S116">
        <f t="shared" si="63"/>
        <v>28500000</v>
      </c>
    </row>
    <row r="117" spans="1:19">
      <c r="A117" t="s">
        <v>23</v>
      </c>
      <c r="B117" t="s">
        <v>20</v>
      </c>
      <c r="C117" t="s">
        <v>1339</v>
      </c>
      <c r="D117" t="s">
        <v>1340</v>
      </c>
      <c r="H117">
        <v>21000000</v>
      </c>
      <c r="I117">
        <v>19500000</v>
      </c>
      <c r="J117">
        <v>23400000</v>
      </c>
      <c r="K117">
        <f t="shared" ref="K117:S117" si="64">K42*K118</f>
        <v>0</v>
      </c>
      <c r="L117">
        <f t="shared" si="64"/>
        <v>0</v>
      </c>
      <c r="M117">
        <f t="shared" si="64"/>
        <v>0</v>
      </c>
      <c r="N117">
        <f t="shared" si="64"/>
        <v>0</v>
      </c>
      <c r="O117">
        <f t="shared" si="64"/>
        <v>0</v>
      </c>
      <c r="P117">
        <f t="shared" si="64"/>
        <v>0</v>
      </c>
      <c r="Q117">
        <f t="shared" si="64"/>
        <v>0</v>
      </c>
      <c r="R117">
        <f t="shared" si="64"/>
        <v>0</v>
      </c>
      <c r="S117">
        <f t="shared" si="64"/>
        <v>0</v>
      </c>
    </row>
    <row r="118" spans="1:19">
      <c r="A118" t="s">
        <v>26</v>
      </c>
      <c r="B118" t="s">
        <v>179</v>
      </c>
      <c r="C118" t="s">
        <v>1341</v>
      </c>
      <c r="D118" t="s">
        <v>1342</v>
      </c>
      <c r="H118">
        <f>H117/H42</f>
        <v>0.0035</v>
      </c>
      <c r="I118">
        <f>I117/I42</f>
        <v>0.003125</v>
      </c>
      <c r="J118">
        <f>J117/J42</f>
        <v>0.00356707317073171</v>
      </c>
    </row>
    <row r="119" spans="1:19">
      <c r="A119" t="s">
        <v>23</v>
      </c>
      <c r="B119" t="s">
        <v>20</v>
      </c>
      <c r="C119" t="s">
        <v>1343</v>
      </c>
      <c r="D119" t="s">
        <v>179</v>
      </c>
      <c r="H119">
        <f>H116-H117</f>
        <v>0</v>
      </c>
      <c r="I119">
        <f>I116-I117</f>
        <v>0</v>
      </c>
      <c r="J119">
        <f>J116-J117</f>
        <v>0</v>
      </c>
      <c r="K119">
        <v>24000000</v>
      </c>
      <c r="L119">
        <v>24600000</v>
      </c>
      <c r="M119">
        <v>25500000</v>
      </c>
      <c r="N119">
        <v>26400000</v>
      </c>
      <c r="O119">
        <v>26100000</v>
      </c>
      <c r="P119">
        <v>25500000</v>
      </c>
      <c r="Q119">
        <v>27900000</v>
      </c>
      <c r="R119">
        <v>27600000</v>
      </c>
      <c r="S119">
        <v>28500000</v>
      </c>
    </row>
    <row r="120" spans="1:19">
      <c r="A120" t="s">
        <v>19</v>
      </c>
      <c r="B120" t="s">
        <v>35</v>
      </c>
      <c r="C120" t="s">
        <v>1344</v>
      </c>
      <c r="D120" t="s">
        <v>365</v>
      </c>
      <c r="H120">
        <v>2800000</v>
      </c>
      <c r="I120">
        <v>2600000</v>
      </c>
      <c r="J120">
        <v>3120000</v>
      </c>
      <c r="K120">
        <f t="shared" ref="K120:S120" si="65">K121+K123+K124</f>
        <v>3200000</v>
      </c>
      <c r="L120">
        <f t="shared" si="65"/>
        <v>3280000</v>
      </c>
      <c r="M120">
        <f t="shared" si="65"/>
        <v>3400000</v>
      </c>
      <c r="N120">
        <f t="shared" si="65"/>
        <v>3520000</v>
      </c>
      <c r="O120">
        <f t="shared" si="65"/>
        <v>3480000</v>
      </c>
      <c r="P120">
        <f t="shared" si="65"/>
        <v>3400000</v>
      </c>
      <c r="Q120">
        <f t="shared" si="65"/>
        <v>3720000</v>
      </c>
      <c r="R120">
        <f t="shared" si="65"/>
        <v>3680000</v>
      </c>
      <c r="S120">
        <f t="shared" si="65"/>
        <v>3800000</v>
      </c>
    </row>
    <row r="121" spans="1:19">
      <c r="A121" t="s">
        <v>23</v>
      </c>
      <c r="B121" t="s">
        <v>35</v>
      </c>
      <c r="C121" t="s">
        <v>1345</v>
      </c>
      <c r="D121" t="s">
        <v>1346</v>
      </c>
      <c r="K121">
        <f t="shared" ref="K121:S121" si="66">K117*0.925</f>
        <v>0</v>
      </c>
      <c r="L121">
        <f t="shared" si="66"/>
        <v>0</v>
      </c>
      <c r="M121">
        <f t="shared" si="66"/>
        <v>0</v>
      </c>
      <c r="N121">
        <f t="shared" si="66"/>
        <v>0</v>
      </c>
      <c r="O121">
        <f t="shared" si="66"/>
        <v>0</v>
      </c>
      <c r="P121">
        <f t="shared" si="66"/>
        <v>0</v>
      </c>
      <c r="Q121">
        <f t="shared" si="66"/>
        <v>0</v>
      </c>
      <c r="R121">
        <f t="shared" si="66"/>
        <v>0</v>
      </c>
      <c r="S121">
        <f t="shared" si="66"/>
        <v>0</v>
      </c>
    </row>
    <row r="122" spans="1:19">
      <c r="A122" t="s">
        <v>26</v>
      </c>
      <c r="B122" t="s">
        <v>179</v>
      </c>
      <c r="C122" t="s">
        <v>1347</v>
      </c>
      <c r="D122" t="s">
        <v>1348</v>
      </c>
      <c r="H122">
        <f t="shared" ref="H122:S122" si="67">H121/H42</f>
        <v>0</v>
      </c>
      <c r="I122">
        <f t="shared" si="67"/>
        <v>0</v>
      </c>
      <c r="J122">
        <f t="shared" si="67"/>
        <v>0</v>
      </c>
      <c r="K122">
        <f t="shared" si="67"/>
        <v>0</v>
      </c>
      <c r="L122">
        <f t="shared" si="67"/>
        <v>0</v>
      </c>
      <c r="M122">
        <f t="shared" si="67"/>
        <v>0</v>
      </c>
      <c r="N122">
        <f t="shared" si="67"/>
        <v>0</v>
      </c>
      <c r="O122">
        <f t="shared" si="67"/>
        <v>0</v>
      </c>
      <c r="P122">
        <f t="shared" si="67"/>
        <v>0</v>
      </c>
      <c r="Q122">
        <f t="shared" si="67"/>
        <v>0</v>
      </c>
      <c r="R122">
        <f t="shared" si="67"/>
        <v>0</v>
      </c>
      <c r="S122">
        <f t="shared" si="67"/>
        <v>0</v>
      </c>
    </row>
    <row r="123" spans="1:19">
      <c r="A123" t="s">
        <v>23</v>
      </c>
      <c r="B123" t="s">
        <v>35</v>
      </c>
      <c r="C123" t="s">
        <v>1349</v>
      </c>
      <c r="D123" t="s">
        <v>1350</v>
      </c>
      <c r="K123">
        <f t="shared" ref="K123:S123" si="68">K43*(1-K130-0.05)*K128*0.85</f>
        <v>0</v>
      </c>
      <c r="L123">
        <f t="shared" si="68"/>
        <v>0</v>
      </c>
      <c r="M123">
        <f t="shared" si="68"/>
        <v>0</v>
      </c>
      <c r="N123">
        <f t="shared" si="68"/>
        <v>0</v>
      </c>
      <c r="O123">
        <f t="shared" si="68"/>
        <v>0</v>
      </c>
      <c r="P123">
        <f t="shared" si="68"/>
        <v>0</v>
      </c>
      <c r="Q123">
        <f t="shared" si="68"/>
        <v>0</v>
      </c>
      <c r="R123">
        <f t="shared" si="68"/>
        <v>0</v>
      </c>
      <c r="S123">
        <f t="shared" si="68"/>
        <v>0</v>
      </c>
    </row>
    <row r="124" spans="1:19">
      <c r="A124" t="s">
        <v>23</v>
      </c>
      <c r="B124" t="s">
        <v>35</v>
      </c>
      <c r="C124" t="s">
        <v>1351</v>
      </c>
      <c r="D124" t="s">
        <v>179</v>
      </c>
      <c r="H124">
        <f>H120-H121-H123</f>
        <v>2800000</v>
      </c>
      <c r="I124">
        <f>I120-I121-I123</f>
        <v>2600000</v>
      </c>
      <c r="J124">
        <f>J120-J121-J123</f>
        <v>3120000</v>
      </c>
      <c r="K124">
        <v>3200000</v>
      </c>
      <c r="L124">
        <v>3280000</v>
      </c>
      <c r="M124">
        <v>3400000</v>
      </c>
      <c r="N124">
        <v>3520000</v>
      </c>
      <c r="O124">
        <v>3480000</v>
      </c>
      <c r="P124">
        <v>3400000</v>
      </c>
      <c r="Q124">
        <v>3720000</v>
      </c>
      <c r="R124">
        <v>3680000</v>
      </c>
      <c r="S124">
        <v>3800000</v>
      </c>
    </row>
    <row r="125" spans="1:19">
      <c r="A125" t="s">
        <v>19</v>
      </c>
      <c r="B125" t="s">
        <v>20</v>
      </c>
      <c r="C125" t="s">
        <v>1352</v>
      </c>
      <c r="D125" t="s">
        <v>386</v>
      </c>
    </row>
    <row r="126" spans="1:19">
      <c r="A126" t="s">
        <v>19</v>
      </c>
      <c r="B126" t="s">
        <v>20</v>
      </c>
      <c r="C126" t="s">
        <v>1353</v>
      </c>
      <c r="D126" t="s">
        <v>392</v>
      </c>
    </row>
    <row r="127" spans="1:19">
      <c r="A127" t="s">
        <v>19</v>
      </c>
      <c r="B127" t="s">
        <v>179</v>
      </c>
      <c r="C127" t="s">
        <v>1354</v>
      </c>
      <c r="D127" t="s">
        <v>1355</v>
      </c>
    </row>
    <row r="128" spans="1:19">
      <c r="A128" t="s">
        <v>23</v>
      </c>
      <c r="B128" t="s">
        <v>179</v>
      </c>
      <c r="C128" t="s">
        <v>1356</v>
      </c>
      <c r="D128" t="s">
        <v>996</v>
      </c>
    </row>
    <row r="129" spans="1:19">
      <c r="A129" t="s">
        <v>23</v>
      </c>
      <c r="B129" t="s">
        <v>179</v>
      </c>
      <c r="C129" t="s">
        <v>1357</v>
      </c>
      <c r="D129" t="s">
        <v>1358</v>
      </c>
    </row>
    <row r="130" spans="1:19">
      <c r="A130" t="s">
        <v>23</v>
      </c>
      <c r="B130" t="s">
        <v>179</v>
      </c>
      <c r="C130" t="s">
        <v>1359</v>
      </c>
      <c r="D130" t="s">
        <v>1360</v>
      </c>
    </row>
    <row r="131" spans="1:19">
      <c r="A131" t="s">
        <v>23</v>
      </c>
      <c r="B131" t="s">
        <v>179</v>
      </c>
      <c r="C131" t="s">
        <v>1361</v>
      </c>
      <c r="D131" t="s">
        <v>1362</v>
      </c>
      <c r="H131" t="e">
        <f t="shared" ref="H131:S131" si="69">H132/H133</f>
        <v>#DIV/0!</v>
      </c>
      <c r="I131" t="e">
        <f t="shared" si="69"/>
        <v>#DIV/0!</v>
      </c>
      <c r="J131" t="e">
        <f t="shared" si="69"/>
        <v>#DIV/0!</v>
      </c>
      <c r="K131" t="e">
        <f t="shared" si="69"/>
        <v>#DIV/0!</v>
      </c>
      <c r="L131" t="e">
        <f t="shared" si="69"/>
        <v>#DIV/0!</v>
      </c>
      <c r="M131" t="e">
        <f t="shared" si="69"/>
        <v>#DIV/0!</v>
      </c>
      <c r="N131" t="e">
        <f t="shared" si="69"/>
        <v>#DIV/0!</v>
      </c>
      <c r="O131" t="e">
        <f t="shared" si="69"/>
        <v>#DIV/0!</v>
      </c>
      <c r="P131" t="e">
        <f t="shared" si="69"/>
        <v>#DIV/0!</v>
      </c>
      <c r="Q131" t="e">
        <f t="shared" si="69"/>
        <v>#DIV/0!</v>
      </c>
      <c r="R131" t="e">
        <f t="shared" si="69"/>
        <v>#DIV/0!</v>
      </c>
      <c r="S131" t="e">
        <f t="shared" si="69"/>
        <v>#DIV/0!</v>
      </c>
    </row>
    <row r="132" spans="1:19">
      <c r="A132" t="s">
        <v>26</v>
      </c>
      <c r="B132" t="s">
        <v>20</v>
      </c>
      <c r="C132" t="s">
        <v>1363</v>
      </c>
      <c r="D132" t="s">
        <v>1364</v>
      </c>
    </row>
    <row r="133" spans="1:19">
      <c r="A133" t="s">
        <v>26</v>
      </c>
      <c r="B133" t="s">
        <v>113</v>
      </c>
      <c r="C133" t="s">
        <v>1365</v>
      </c>
      <c r="D133" t="s">
        <v>1366</v>
      </c>
    </row>
    <row r="134" spans="1:19">
      <c r="A134" t="s">
        <v>23</v>
      </c>
      <c r="B134" t="s">
        <v>179</v>
      </c>
      <c r="C134" t="s">
        <v>1367</v>
      </c>
      <c r="D134" t="s">
        <v>1368</v>
      </c>
    </row>
    <row r="135" spans="1:19">
      <c r="A135" t="s">
        <v>23</v>
      </c>
      <c r="B135" t="s">
        <v>179</v>
      </c>
      <c r="C135" t="s">
        <v>1369</v>
      </c>
      <c r="D135" t="s">
        <v>1370</v>
      </c>
    </row>
    <row r="136" spans="1:19">
      <c r="A136" t="s">
        <v>23</v>
      </c>
      <c r="B136" t="s">
        <v>179</v>
      </c>
      <c r="C136" t="s">
        <v>1371</v>
      </c>
      <c r="D136" t="s">
        <v>1372</v>
      </c>
    </row>
    <row r="137" spans="1:19">
      <c r="A137" t="s">
        <v>23</v>
      </c>
      <c r="B137" t="s">
        <v>179</v>
      </c>
      <c r="C137" t="s">
        <v>1373</v>
      </c>
      <c r="D137" t="s">
        <v>1374</v>
      </c>
    </row>
    <row r="138" spans="1:19">
      <c r="A138" t="s">
        <v>23</v>
      </c>
      <c r="B138" t="s">
        <v>179</v>
      </c>
      <c r="C138" t="s">
        <v>1375</v>
      </c>
      <c r="D138" t="s">
        <v>1376</v>
      </c>
    </row>
    <row r="139" spans="1:19">
      <c r="A139" t="s">
        <v>19</v>
      </c>
      <c r="B139" t="s">
        <v>393</v>
      </c>
      <c r="C139" t="s">
        <v>1377</v>
      </c>
      <c r="D139" t="s">
        <v>395</v>
      </c>
    </row>
    <row r="140" spans="1:19">
      <c r="A140" t="s">
        <v>23</v>
      </c>
      <c r="B140" t="s">
        <v>393</v>
      </c>
      <c r="C140" t="s">
        <v>1378</v>
      </c>
      <c r="D140" t="s">
        <v>397</v>
      </c>
    </row>
    <row r="141" spans="1:19">
      <c r="A141" t="s">
        <v>26</v>
      </c>
      <c r="B141" t="s">
        <v>393</v>
      </c>
      <c r="C141" t="s">
        <v>1379</v>
      </c>
      <c r="D141" t="s">
        <v>399</v>
      </c>
    </row>
    <row r="142" spans="1:19">
      <c r="A142" t="s">
        <v>60</v>
      </c>
      <c r="B142" t="s">
        <v>393</v>
      </c>
      <c r="C142" t="s">
        <v>1380</v>
      </c>
      <c r="D142" t="s">
        <v>401</v>
      </c>
    </row>
    <row r="143" spans="1:19">
      <c r="A143" t="s">
        <v>60</v>
      </c>
      <c r="B143" t="s">
        <v>393</v>
      </c>
      <c r="C143" t="s">
        <v>1381</v>
      </c>
      <c r="D143" t="s">
        <v>49</v>
      </c>
    </row>
    <row r="144" spans="1:19">
      <c r="A144" t="s">
        <v>26</v>
      </c>
      <c r="B144" t="s">
        <v>393</v>
      </c>
      <c r="C144" t="s">
        <v>1382</v>
      </c>
      <c r="D144" t="s">
        <v>51</v>
      </c>
    </row>
    <row r="145" spans="1:4">
      <c r="A145" t="s">
        <v>60</v>
      </c>
      <c r="B145" t="s">
        <v>393</v>
      </c>
      <c r="C145" t="s">
        <v>1383</v>
      </c>
      <c r="D145" t="s">
        <v>405</v>
      </c>
    </row>
    <row r="146" spans="1:4">
      <c r="A146" t="s">
        <v>60</v>
      </c>
      <c r="B146" t="s">
        <v>393</v>
      </c>
      <c r="C146" t="s">
        <v>1384</v>
      </c>
      <c r="D146" t="s">
        <v>407</v>
      </c>
    </row>
    <row r="147" spans="1:4">
      <c r="A147" t="s">
        <v>26</v>
      </c>
      <c r="B147" t="s">
        <v>393</v>
      </c>
      <c r="C147" t="s">
        <v>1385</v>
      </c>
      <c r="D147" t="s">
        <v>409</v>
      </c>
    </row>
    <row r="148" spans="1:4">
      <c r="A148" t="s">
        <v>60</v>
      </c>
      <c r="B148" t="s">
        <v>393</v>
      </c>
      <c r="C148" t="s">
        <v>1386</v>
      </c>
      <c r="D148" t="s">
        <v>59</v>
      </c>
    </row>
    <row r="149" spans="1:4">
      <c r="A149" t="s">
        <v>192</v>
      </c>
      <c r="B149" t="s">
        <v>393</v>
      </c>
      <c r="C149" t="s">
        <v>1387</v>
      </c>
      <c r="D149" t="s">
        <v>62</v>
      </c>
    </row>
    <row r="150" spans="1:4">
      <c r="A150" t="s">
        <v>192</v>
      </c>
      <c r="B150" t="s">
        <v>393</v>
      </c>
      <c r="C150" t="s">
        <v>1388</v>
      </c>
      <c r="D150" t="s">
        <v>64</v>
      </c>
    </row>
    <row r="151" spans="1:4">
      <c r="A151" t="s">
        <v>60</v>
      </c>
      <c r="B151" t="s">
        <v>393</v>
      </c>
      <c r="C151" t="s">
        <v>1389</v>
      </c>
      <c r="D151" t="s">
        <v>414</v>
      </c>
    </row>
    <row r="152" spans="1:4">
      <c r="A152" t="s">
        <v>60</v>
      </c>
      <c r="B152" t="s">
        <v>393</v>
      </c>
      <c r="C152" t="s">
        <v>1390</v>
      </c>
      <c r="D152" t="s">
        <v>68</v>
      </c>
    </row>
    <row r="153" spans="1:4">
      <c r="A153" t="s">
        <v>60</v>
      </c>
      <c r="B153" t="s">
        <v>393</v>
      </c>
      <c r="C153" t="s">
        <v>1391</v>
      </c>
      <c r="D153" t="s">
        <v>70</v>
      </c>
    </row>
    <row r="154" spans="1:4">
      <c r="A154" t="s">
        <v>26</v>
      </c>
      <c r="B154" t="s">
        <v>393</v>
      </c>
      <c r="C154" t="s">
        <v>1392</v>
      </c>
      <c r="D154" t="s">
        <v>418</v>
      </c>
    </row>
    <row r="155" spans="1:4">
      <c r="A155" t="s">
        <v>26</v>
      </c>
      <c r="B155" t="s">
        <v>393</v>
      </c>
      <c r="C155" t="s">
        <v>1393</v>
      </c>
      <c r="D155" t="s">
        <v>420</v>
      </c>
    </row>
    <row r="156" spans="1:4">
      <c r="A156" t="s">
        <v>23</v>
      </c>
      <c r="B156" t="s">
        <v>393</v>
      </c>
      <c r="C156" t="s">
        <v>1394</v>
      </c>
      <c r="D156" t="s">
        <v>422</v>
      </c>
    </row>
    <row r="157" spans="1:4">
      <c r="A157" t="s">
        <v>26</v>
      </c>
      <c r="B157" t="s">
        <v>393</v>
      </c>
      <c r="C157" t="s">
        <v>1395</v>
      </c>
      <c r="D157" t="s">
        <v>399</v>
      </c>
    </row>
    <row r="158" spans="1:4">
      <c r="A158" t="s">
        <v>60</v>
      </c>
      <c r="B158" t="s">
        <v>393</v>
      </c>
      <c r="C158" t="s">
        <v>1396</v>
      </c>
      <c r="D158" t="s">
        <v>401</v>
      </c>
    </row>
    <row r="159" spans="1:4">
      <c r="A159" t="s">
        <v>60</v>
      </c>
      <c r="B159" t="s">
        <v>393</v>
      </c>
      <c r="C159" t="s">
        <v>1397</v>
      </c>
      <c r="D159" t="s">
        <v>49</v>
      </c>
    </row>
    <row r="160" spans="1:4">
      <c r="A160" t="s">
        <v>26</v>
      </c>
      <c r="B160" t="s">
        <v>393</v>
      </c>
      <c r="C160" t="s">
        <v>1398</v>
      </c>
      <c r="D160" t="s">
        <v>51</v>
      </c>
    </row>
    <row r="161" spans="1:19">
      <c r="A161" t="s">
        <v>60</v>
      </c>
      <c r="B161" t="s">
        <v>393</v>
      </c>
      <c r="C161" t="s">
        <v>1399</v>
      </c>
      <c r="D161" t="s">
        <v>405</v>
      </c>
    </row>
    <row r="162" spans="1:19">
      <c r="A162" t="s">
        <v>60</v>
      </c>
      <c r="B162" t="s">
        <v>393</v>
      </c>
      <c r="C162" t="s">
        <v>1400</v>
      </c>
      <c r="D162" t="s">
        <v>407</v>
      </c>
    </row>
    <row r="163" spans="1:19">
      <c r="A163" t="s">
        <v>26</v>
      </c>
      <c r="B163" t="s">
        <v>393</v>
      </c>
      <c r="C163" t="s">
        <v>1401</v>
      </c>
      <c r="D163" t="s">
        <v>409</v>
      </c>
    </row>
    <row r="164" spans="1:19">
      <c r="A164" t="s">
        <v>60</v>
      </c>
      <c r="B164" t="s">
        <v>393</v>
      </c>
      <c r="C164" t="s">
        <v>1402</v>
      </c>
      <c r="D164" t="s">
        <v>59</v>
      </c>
    </row>
    <row r="165" spans="1:19">
      <c r="A165" t="s">
        <v>192</v>
      </c>
      <c r="B165" t="s">
        <v>393</v>
      </c>
      <c r="C165" t="s">
        <v>1403</v>
      </c>
      <c r="D165" t="s">
        <v>62</v>
      </c>
    </row>
    <row r="166" spans="1:19">
      <c r="A166" t="s">
        <v>192</v>
      </c>
      <c r="B166" t="s">
        <v>393</v>
      </c>
      <c r="C166" t="s">
        <v>1404</v>
      </c>
      <c r="D166" t="s">
        <v>64</v>
      </c>
    </row>
    <row r="167" spans="1:19">
      <c r="A167" t="s">
        <v>60</v>
      </c>
      <c r="B167" t="s">
        <v>393</v>
      </c>
      <c r="C167" t="s">
        <v>1405</v>
      </c>
      <c r="D167" t="s">
        <v>414</v>
      </c>
    </row>
    <row r="168" spans="1:19">
      <c r="A168" t="s">
        <v>60</v>
      </c>
      <c r="B168" t="s">
        <v>393</v>
      </c>
      <c r="C168" t="s">
        <v>1406</v>
      </c>
      <c r="D168" t="s">
        <v>68</v>
      </c>
    </row>
    <row r="169" spans="1:19">
      <c r="A169" t="s">
        <v>60</v>
      </c>
      <c r="B169" t="s">
        <v>393</v>
      </c>
      <c r="C169" t="s">
        <v>1407</v>
      </c>
      <c r="D169" t="s">
        <v>70</v>
      </c>
    </row>
    <row r="170" spans="1:19">
      <c r="A170" t="s">
        <v>26</v>
      </c>
      <c r="B170" t="s">
        <v>393</v>
      </c>
      <c r="C170" t="s">
        <v>1408</v>
      </c>
      <c r="D170" t="s">
        <v>418</v>
      </c>
    </row>
    <row r="171" spans="1:19">
      <c r="A171" t="s">
        <v>26</v>
      </c>
      <c r="B171" t="s">
        <v>393</v>
      </c>
      <c r="C171" t="s">
        <v>1409</v>
      </c>
      <c r="D171" t="s">
        <v>420</v>
      </c>
    </row>
    <row r="172" spans="1:19">
      <c r="A172" t="s">
        <v>19</v>
      </c>
      <c r="B172" t="s">
        <v>438</v>
      </c>
      <c r="C172" t="s">
        <v>1410</v>
      </c>
      <c r="D172" t="s">
        <v>440</v>
      </c>
    </row>
    <row r="173" spans="1:19">
      <c r="A173" t="s">
        <v>23</v>
      </c>
      <c r="B173" t="s">
        <v>438</v>
      </c>
      <c r="C173" t="s">
        <v>1411</v>
      </c>
      <c r="D173" t="s">
        <v>442</v>
      </c>
    </row>
    <row r="174" spans="1:19">
      <c r="A174" t="s">
        <v>26</v>
      </c>
      <c r="B174" t="s">
        <v>438</v>
      </c>
      <c r="C174" t="s">
        <v>1412</v>
      </c>
      <c r="D174" t="s">
        <v>444</v>
      </c>
    </row>
    <row r="175" spans="1:19">
      <c r="A175" t="s">
        <v>60</v>
      </c>
      <c r="B175" t="s">
        <v>438</v>
      </c>
      <c r="C175" t="s">
        <v>1413</v>
      </c>
      <c r="D175" t="s">
        <v>446</v>
      </c>
      <c r="H175">
        <v>2100000</v>
      </c>
      <c r="I175">
        <v>1950000</v>
      </c>
      <c r="J175">
        <v>2340000</v>
      </c>
      <c r="K175">
        <v>2400000</v>
      </c>
      <c r="L175">
        <v>2460000</v>
      </c>
      <c r="M175">
        <v>2550000</v>
      </c>
      <c r="N175">
        <v>2640000</v>
      </c>
      <c r="O175">
        <v>2610000</v>
      </c>
      <c r="P175">
        <v>2550000</v>
      </c>
      <c r="Q175">
        <v>2790000</v>
      </c>
      <c r="R175">
        <v>2760000</v>
      </c>
      <c r="S175">
        <v>2850000</v>
      </c>
    </row>
    <row r="176" spans="1:19">
      <c r="A176" t="s">
        <v>60</v>
      </c>
      <c r="B176" t="s">
        <v>438</v>
      </c>
      <c r="C176" t="s">
        <v>1414</v>
      </c>
      <c r="D176" t="s">
        <v>448</v>
      </c>
      <c r="H176">
        <v>1400000</v>
      </c>
      <c r="I176">
        <v>1300000</v>
      </c>
      <c r="J176">
        <v>1560000</v>
      </c>
      <c r="K176">
        <v>1600000</v>
      </c>
      <c r="L176">
        <v>1640000</v>
      </c>
      <c r="M176">
        <v>1700000</v>
      </c>
      <c r="N176">
        <v>1760000</v>
      </c>
      <c r="O176">
        <v>1740000</v>
      </c>
      <c r="P176">
        <v>1700000</v>
      </c>
      <c r="Q176">
        <v>1860000</v>
      </c>
      <c r="R176">
        <v>1840000</v>
      </c>
      <c r="S176">
        <v>1900000</v>
      </c>
    </row>
    <row r="177" spans="1:19">
      <c r="A177" t="s">
        <v>60</v>
      </c>
      <c r="B177" t="s">
        <v>438</v>
      </c>
      <c r="C177" t="s">
        <v>1415</v>
      </c>
      <c r="D177" t="s">
        <v>450</v>
      </c>
      <c r="H177">
        <v>700000</v>
      </c>
      <c r="I177">
        <v>650000</v>
      </c>
      <c r="J177">
        <v>780000</v>
      </c>
      <c r="K177">
        <v>800000</v>
      </c>
      <c r="L177">
        <v>820000</v>
      </c>
      <c r="M177">
        <v>850000</v>
      </c>
      <c r="N177">
        <v>880000</v>
      </c>
      <c r="O177">
        <v>870000</v>
      </c>
      <c r="P177">
        <v>850000</v>
      </c>
      <c r="Q177">
        <v>930000</v>
      </c>
      <c r="R177">
        <v>920000</v>
      </c>
      <c r="S177">
        <v>950000</v>
      </c>
    </row>
    <row r="178" spans="1:19">
      <c r="A178" t="s">
        <v>60</v>
      </c>
      <c r="B178" t="s">
        <v>438</v>
      </c>
      <c r="C178" t="s">
        <v>1416</v>
      </c>
      <c r="D178" t="s">
        <v>452</v>
      </c>
      <c r="H178">
        <v>700000</v>
      </c>
      <c r="I178">
        <v>650000</v>
      </c>
      <c r="J178">
        <v>780000</v>
      </c>
      <c r="K178">
        <v>800000</v>
      </c>
      <c r="L178">
        <v>820000</v>
      </c>
      <c r="M178">
        <v>850000</v>
      </c>
      <c r="N178">
        <v>880000</v>
      </c>
      <c r="O178">
        <v>870000</v>
      </c>
      <c r="P178">
        <v>850000</v>
      </c>
      <c r="Q178">
        <v>930000</v>
      </c>
      <c r="R178">
        <v>920000</v>
      </c>
      <c r="S178">
        <v>950000</v>
      </c>
    </row>
    <row r="179" spans="1:19">
      <c r="A179" t="s">
        <v>26</v>
      </c>
      <c r="B179" t="s">
        <v>438</v>
      </c>
      <c r="C179" t="s">
        <v>1417</v>
      </c>
      <c r="D179" t="s">
        <v>454</v>
      </c>
    </row>
    <row r="180" spans="1:19">
      <c r="A180" t="s">
        <v>60</v>
      </c>
      <c r="B180" t="s">
        <v>438</v>
      </c>
      <c r="C180" t="s">
        <v>1418</v>
      </c>
      <c r="D180" t="s">
        <v>456</v>
      </c>
    </row>
    <row r="181" spans="1:19">
      <c r="A181" t="s">
        <v>60</v>
      </c>
      <c r="B181" t="s">
        <v>438</v>
      </c>
      <c r="C181" t="s">
        <v>1419</v>
      </c>
      <c r="D181" t="s">
        <v>458</v>
      </c>
      <c r="H181">
        <v>2100000</v>
      </c>
      <c r="I181">
        <v>1950000</v>
      </c>
      <c r="J181">
        <v>2340000</v>
      </c>
      <c r="K181">
        <v>2400000</v>
      </c>
      <c r="L181">
        <v>2460000</v>
      </c>
      <c r="M181">
        <v>2550000</v>
      </c>
      <c r="N181">
        <v>2640000</v>
      </c>
      <c r="O181">
        <v>2610000</v>
      </c>
      <c r="P181">
        <v>2550000</v>
      </c>
      <c r="Q181">
        <v>2790000</v>
      </c>
      <c r="R181">
        <v>2760000</v>
      </c>
      <c r="S181">
        <v>2850000</v>
      </c>
    </row>
    <row r="182" spans="1:19">
      <c r="A182" t="s">
        <v>60</v>
      </c>
      <c r="B182" t="s">
        <v>438</v>
      </c>
      <c r="C182" t="s">
        <v>1420</v>
      </c>
      <c r="D182" t="s">
        <v>460</v>
      </c>
      <c r="H182">
        <v>1400000</v>
      </c>
      <c r="I182">
        <v>1300000</v>
      </c>
      <c r="J182">
        <v>1560000</v>
      </c>
      <c r="K182">
        <v>1600000</v>
      </c>
      <c r="L182">
        <v>1640000</v>
      </c>
      <c r="M182">
        <v>1700000</v>
      </c>
      <c r="N182">
        <v>1760000</v>
      </c>
      <c r="O182">
        <v>1740000</v>
      </c>
      <c r="P182">
        <v>1700000</v>
      </c>
      <c r="Q182">
        <v>1860000</v>
      </c>
      <c r="R182">
        <v>1840000</v>
      </c>
      <c r="S182">
        <v>1900000</v>
      </c>
    </row>
    <row r="183" spans="1:19">
      <c r="A183" t="s">
        <v>60</v>
      </c>
      <c r="B183" t="s">
        <v>438</v>
      </c>
      <c r="C183" t="s">
        <v>1421</v>
      </c>
      <c r="D183" t="s">
        <v>462</v>
      </c>
      <c r="H183">
        <v>448000000</v>
      </c>
      <c r="I183">
        <v>416000000</v>
      </c>
      <c r="J183">
        <v>499200000</v>
      </c>
      <c r="K183">
        <v>512000000</v>
      </c>
      <c r="L183">
        <v>524800000</v>
      </c>
      <c r="M183">
        <v>544000000</v>
      </c>
      <c r="N183">
        <v>563200000</v>
      </c>
      <c r="O183">
        <v>556800000</v>
      </c>
      <c r="P183">
        <v>544000000</v>
      </c>
      <c r="Q183">
        <v>595200000</v>
      </c>
      <c r="R183">
        <v>588800000</v>
      </c>
      <c r="S183">
        <v>608000000</v>
      </c>
    </row>
    <row r="184" spans="1:19">
      <c r="A184" t="s">
        <v>60</v>
      </c>
      <c r="B184" t="s">
        <v>438</v>
      </c>
      <c r="C184" t="s">
        <v>1422</v>
      </c>
      <c r="D184" t="s">
        <v>464</v>
      </c>
    </row>
    <row r="185" spans="1:19">
      <c r="A185" t="s">
        <v>60</v>
      </c>
      <c r="B185" t="s">
        <v>438</v>
      </c>
      <c r="C185" t="s">
        <v>1423</v>
      </c>
      <c r="D185" t="s">
        <v>466</v>
      </c>
      <c r="H185">
        <v>2800000000</v>
      </c>
      <c r="I185">
        <v>2600000000</v>
      </c>
      <c r="J185">
        <v>3120000000</v>
      </c>
      <c r="K185">
        <v>3200000000</v>
      </c>
      <c r="L185">
        <v>3280000000</v>
      </c>
      <c r="M185">
        <v>3400000000</v>
      </c>
      <c r="N185">
        <v>3520000000</v>
      </c>
      <c r="O185">
        <v>3480000000</v>
      </c>
      <c r="P185">
        <v>3400000000</v>
      </c>
      <c r="Q185">
        <v>3720000000</v>
      </c>
      <c r="R185">
        <v>3680000000</v>
      </c>
      <c r="S185">
        <v>3800000000</v>
      </c>
    </row>
    <row r="186" spans="1:19">
      <c r="A186" t="s">
        <v>60</v>
      </c>
      <c r="B186" t="s">
        <v>438</v>
      </c>
      <c r="C186" t="s">
        <v>1424</v>
      </c>
      <c r="D186" t="s">
        <v>468</v>
      </c>
    </row>
    <row r="187" spans="1:19">
      <c r="A187" t="s">
        <v>60</v>
      </c>
      <c r="B187" t="s">
        <v>438</v>
      </c>
      <c r="C187" t="s">
        <v>1425</v>
      </c>
      <c r="D187" t="s">
        <v>470</v>
      </c>
    </row>
    <row r="188" spans="1:19">
      <c r="A188" t="s">
        <v>60</v>
      </c>
      <c r="B188" t="s">
        <v>438</v>
      </c>
      <c r="C188" t="s">
        <v>1426</v>
      </c>
      <c r="D188" t="s">
        <v>472</v>
      </c>
    </row>
    <row r="189" spans="1:19">
      <c r="A189" t="s">
        <v>60</v>
      </c>
      <c r="B189" t="s">
        <v>438</v>
      </c>
      <c r="C189" t="s">
        <v>1427</v>
      </c>
      <c r="D189" t="s">
        <v>474</v>
      </c>
    </row>
    <row r="190" spans="1:19">
      <c r="A190" t="s">
        <v>60</v>
      </c>
      <c r="B190" t="s">
        <v>438</v>
      </c>
      <c r="C190" t="s">
        <v>1428</v>
      </c>
      <c r="D190" t="s">
        <v>476</v>
      </c>
    </row>
    <row r="191" spans="1:19">
      <c r="A191" t="s">
        <v>60</v>
      </c>
      <c r="B191" t="s">
        <v>438</v>
      </c>
      <c r="C191" t="s">
        <v>1429</v>
      </c>
      <c r="D191" t="s">
        <v>478</v>
      </c>
      <c r="H191">
        <v>700000</v>
      </c>
      <c r="I191">
        <v>650000</v>
      </c>
      <c r="J191">
        <v>780000</v>
      </c>
      <c r="K191">
        <v>800000</v>
      </c>
      <c r="L191">
        <v>820000</v>
      </c>
      <c r="M191">
        <v>850000</v>
      </c>
      <c r="N191">
        <v>880000</v>
      </c>
      <c r="O191">
        <v>870000</v>
      </c>
      <c r="P191">
        <v>850000</v>
      </c>
      <c r="Q191">
        <v>930000</v>
      </c>
      <c r="R191">
        <v>920000</v>
      </c>
      <c r="S191">
        <v>950000</v>
      </c>
    </row>
    <row r="192" spans="1:19">
      <c r="A192" t="s">
        <v>60</v>
      </c>
      <c r="B192" t="s">
        <v>438</v>
      </c>
      <c r="C192" t="s">
        <v>1430</v>
      </c>
      <c r="D192" t="s">
        <v>480</v>
      </c>
      <c r="H192">
        <v>700000</v>
      </c>
      <c r="I192">
        <v>650000</v>
      </c>
      <c r="J192">
        <v>780000</v>
      </c>
      <c r="K192">
        <v>800000</v>
      </c>
      <c r="L192">
        <v>820000</v>
      </c>
      <c r="M192">
        <v>850000</v>
      </c>
      <c r="N192">
        <v>880000</v>
      </c>
      <c r="O192">
        <v>870000</v>
      </c>
      <c r="P192">
        <v>850000</v>
      </c>
      <c r="Q192">
        <v>930000</v>
      </c>
      <c r="R192">
        <v>920000</v>
      </c>
      <c r="S192">
        <v>950000</v>
      </c>
    </row>
    <row r="193" spans="1:19">
      <c r="A193" t="s">
        <v>60</v>
      </c>
      <c r="B193" t="s">
        <v>438</v>
      </c>
      <c r="C193" t="s">
        <v>1431</v>
      </c>
      <c r="D193" t="s">
        <v>482</v>
      </c>
    </row>
    <row r="194" spans="1:19">
      <c r="A194" t="s">
        <v>26</v>
      </c>
      <c r="B194" t="s">
        <v>438</v>
      </c>
      <c r="C194" t="s">
        <v>1432</v>
      </c>
      <c r="D194" t="s">
        <v>484</v>
      </c>
    </row>
    <row r="195" spans="1:19">
      <c r="A195" t="s">
        <v>60</v>
      </c>
      <c r="B195" t="s">
        <v>438</v>
      </c>
      <c r="C195" t="s">
        <v>1433</v>
      </c>
      <c r="D195" t="s">
        <v>486</v>
      </c>
      <c r="H195">
        <v>2100000</v>
      </c>
      <c r="I195">
        <v>1950000</v>
      </c>
      <c r="J195">
        <v>2340000</v>
      </c>
      <c r="K195">
        <v>2400000</v>
      </c>
      <c r="L195">
        <v>2460000</v>
      </c>
      <c r="M195">
        <v>2550000</v>
      </c>
      <c r="N195">
        <v>2640000</v>
      </c>
      <c r="O195">
        <v>2610000</v>
      </c>
      <c r="P195">
        <v>2550000</v>
      </c>
      <c r="Q195">
        <v>2790000</v>
      </c>
      <c r="R195">
        <v>2760000</v>
      </c>
      <c r="S195">
        <v>2850000</v>
      </c>
    </row>
    <row r="196" spans="1:19">
      <c r="A196" t="s">
        <v>60</v>
      </c>
      <c r="B196" t="s">
        <v>438</v>
      </c>
      <c r="C196" t="s">
        <v>1434</v>
      </c>
      <c r="D196" t="s">
        <v>488</v>
      </c>
      <c r="H196">
        <v>1400000</v>
      </c>
      <c r="I196">
        <v>1300000</v>
      </c>
      <c r="J196">
        <v>1560000</v>
      </c>
      <c r="K196">
        <v>1600000</v>
      </c>
      <c r="L196">
        <v>1640000</v>
      </c>
      <c r="M196">
        <v>1700000</v>
      </c>
      <c r="N196">
        <v>1760000</v>
      </c>
      <c r="O196">
        <v>1740000</v>
      </c>
      <c r="P196">
        <v>1700000</v>
      </c>
      <c r="Q196">
        <v>1860000</v>
      </c>
      <c r="R196">
        <v>1840000</v>
      </c>
      <c r="S196">
        <v>1900000</v>
      </c>
    </row>
    <row r="197" spans="1:19">
      <c r="A197" t="s">
        <v>60</v>
      </c>
      <c r="B197" t="s">
        <v>438</v>
      </c>
      <c r="C197" t="s">
        <v>1435</v>
      </c>
      <c r="D197" t="s">
        <v>490</v>
      </c>
      <c r="H197">
        <v>700000</v>
      </c>
      <c r="I197">
        <v>650000</v>
      </c>
      <c r="J197">
        <v>780000</v>
      </c>
      <c r="K197">
        <v>800000</v>
      </c>
      <c r="L197">
        <v>820000</v>
      </c>
      <c r="M197">
        <v>850000</v>
      </c>
      <c r="N197">
        <v>880000</v>
      </c>
      <c r="O197">
        <v>870000</v>
      </c>
      <c r="P197">
        <v>850000</v>
      </c>
      <c r="Q197">
        <v>930000</v>
      </c>
      <c r="R197">
        <v>920000</v>
      </c>
      <c r="S197">
        <v>950000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1410</v>
      </c>
      <c r="D2" t="s">
        <v>440</v>
      </c>
    </row>
    <row r="3" spans="1:19">
      <c r="A3" t="s">
        <v>19</v>
      </c>
      <c r="B3" t="s">
        <v>179</v>
      </c>
      <c r="C3" t="s">
        <v>1411</v>
      </c>
      <c r="D3" t="s">
        <v>442</v>
      </c>
    </row>
    <row r="4" spans="1:19">
      <c r="A4" t="s">
        <v>23</v>
      </c>
      <c r="B4" t="s">
        <v>179</v>
      </c>
      <c r="C4" t="s">
        <v>1412</v>
      </c>
      <c r="D4" t="s">
        <v>444</v>
      </c>
    </row>
    <row r="5" spans="1:19">
      <c r="A5" t="s">
        <v>26</v>
      </c>
      <c r="B5" t="s">
        <v>179</v>
      </c>
      <c r="C5" t="s">
        <v>1413</v>
      </c>
      <c r="D5" t="s">
        <v>446</v>
      </c>
      <c r="H5">
        <v>2100000</v>
      </c>
      <c r="I5">
        <v>1950000</v>
      </c>
      <c r="J5">
        <v>2340000</v>
      </c>
      <c r="K5">
        <v>2400000</v>
      </c>
      <c r="L5">
        <v>2460000</v>
      </c>
      <c r="M5">
        <v>2550000</v>
      </c>
      <c r="N5">
        <v>2640000</v>
      </c>
      <c r="O5">
        <v>2610000</v>
      </c>
      <c r="P5">
        <v>2550000</v>
      </c>
      <c r="Q5">
        <v>2790000</v>
      </c>
      <c r="R5">
        <v>2760000</v>
      </c>
      <c r="S5">
        <v>2850000</v>
      </c>
    </row>
    <row r="6" spans="1:19">
      <c r="A6" t="s">
        <v>26</v>
      </c>
      <c r="B6" t="s">
        <v>179</v>
      </c>
      <c r="C6" t="s">
        <v>1414</v>
      </c>
      <c r="D6" t="s">
        <v>448</v>
      </c>
      <c r="H6">
        <v>1400000</v>
      </c>
      <c r="I6">
        <v>1300000</v>
      </c>
      <c r="J6">
        <v>1560000</v>
      </c>
      <c r="K6">
        <v>1600000</v>
      </c>
      <c r="L6">
        <v>1640000</v>
      </c>
      <c r="M6">
        <v>1700000</v>
      </c>
      <c r="N6">
        <v>1760000</v>
      </c>
      <c r="O6">
        <v>1740000</v>
      </c>
      <c r="P6">
        <v>1700000</v>
      </c>
      <c r="Q6">
        <v>1860000</v>
      </c>
      <c r="R6">
        <v>1840000</v>
      </c>
      <c r="S6">
        <v>1900000</v>
      </c>
    </row>
    <row r="7" spans="1:19">
      <c r="A7" t="s">
        <v>26</v>
      </c>
      <c r="B7" t="s">
        <v>179</v>
      </c>
      <c r="C7" t="s">
        <v>1415</v>
      </c>
      <c r="D7" t="s">
        <v>450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26</v>
      </c>
      <c r="B8" t="s">
        <v>179</v>
      </c>
      <c r="C8" t="s">
        <v>1416</v>
      </c>
      <c r="D8" t="s">
        <v>452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23</v>
      </c>
      <c r="B9" t="s">
        <v>179</v>
      </c>
      <c r="C9" t="s">
        <v>1417</v>
      </c>
      <c r="D9" t="s">
        <v>454</v>
      </c>
    </row>
    <row r="10" spans="1:19">
      <c r="A10" t="s">
        <v>26</v>
      </c>
      <c r="B10" t="s">
        <v>179</v>
      </c>
      <c r="C10" t="s">
        <v>1418</v>
      </c>
      <c r="D10" t="s">
        <v>456</v>
      </c>
    </row>
    <row r="11" spans="1:19">
      <c r="A11" t="s">
        <v>26</v>
      </c>
      <c r="B11" t="s">
        <v>179</v>
      </c>
      <c r="C11" t="s">
        <v>1419</v>
      </c>
      <c r="D11" t="s">
        <v>458</v>
      </c>
      <c r="H11">
        <v>2100000</v>
      </c>
      <c r="I11">
        <v>1950000</v>
      </c>
      <c r="J11">
        <v>2340000</v>
      </c>
      <c r="K11">
        <v>2400000</v>
      </c>
      <c r="L11">
        <v>2460000</v>
      </c>
      <c r="M11">
        <v>2550000</v>
      </c>
      <c r="N11">
        <v>2640000</v>
      </c>
      <c r="O11">
        <v>2610000</v>
      </c>
      <c r="P11">
        <v>2550000</v>
      </c>
      <c r="Q11">
        <v>2790000</v>
      </c>
      <c r="R11">
        <v>2760000</v>
      </c>
      <c r="S11">
        <v>2850000</v>
      </c>
    </row>
    <row r="12" spans="1:19">
      <c r="A12" t="s">
        <v>26</v>
      </c>
      <c r="B12" t="s">
        <v>179</v>
      </c>
      <c r="C12" t="s">
        <v>1420</v>
      </c>
      <c r="D12" t="s">
        <v>460</v>
      </c>
      <c r="H12">
        <v>1400000</v>
      </c>
      <c r="I12">
        <v>1300000</v>
      </c>
      <c r="J12">
        <v>1560000</v>
      </c>
      <c r="K12">
        <v>1600000</v>
      </c>
      <c r="L12">
        <v>1640000</v>
      </c>
      <c r="M12">
        <v>1700000</v>
      </c>
      <c r="N12">
        <v>1760000</v>
      </c>
      <c r="O12">
        <v>1740000</v>
      </c>
      <c r="P12">
        <v>1700000</v>
      </c>
      <c r="Q12">
        <v>1860000</v>
      </c>
      <c r="R12">
        <v>1840000</v>
      </c>
      <c r="S12">
        <v>1900000</v>
      </c>
    </row>
    <row r="13" spans="1:19">
      <c r="A13" t="s">
        <v>26</v>
      </c>
      <c r="B13" t="s">
        <v>179</v>
      </c>
      <c r="C13" t="s">
        <v>1421</v>
      </c>
      <c r="D13" t="s">
        <v>462</v>
      </c>
      <c r="H13">
        <v>448000000</v>
      </c>
      <c r="I13">
        <v>416000000</v>
      </c>
      <c r="J13">
        <v>499200000</v>
      </c>
      <c r="K13">
        <v>512000000</v>
      </c>
      <c r="L13">
        <v>524800000</v>
      </c>
      <c r="M13">
        <v>544000000</v>
      </c>
      <c r="N13">
        <v>563200000</v>
      </c>
      <c r="O13">
        <v>556800000</v>
      </c>
      <c r="P13">
        <v>544000000</v>
      </c>
      <c r="Q13">
        <v>595200000</v>
      </c>
      <c r="R13">
        <v>588800000</v>
      </c>
      <c r="S13">
        <v>608000000</v>
      </c>
    </row>
    <row r="14" spans="1:19">
      <c r="A14" t="s">
        <v>26</v>
      </c>
      <c r="B14" t="s">
        <v>179</v>
      </c>
      <c r="C14" t="s">
        <v>1422</v>
      </c>
      <c r="D14" t="s">
        <v>464</v>
      </c>
    </row>
    <row r="15" spans="1:19">
      <c r="A15" t="s">
        <v>26</v>
      </c>
      <c r="B15" t="s">
        <v>179</v>
      </c>
      <c r="C15" t="s">
        <v>1423</v>
      </c>
      <c r="D15" t="s">
        <v>466</v>
      </c>
      <c r="H15">
        <v>2800000000</v>
      </c>
      <c r="I15">
        <v>2600000000</v>
      </c>
      <c r="J15">
        <v>3120000000</v>
      </c>
      <c r="K15">
        <v>3200000000</v>
      </c>
      <c r="L15">
        <v>3280000000</v>
      </c>
      <c r="M15">
        <v>3400000000</v>
      </c>
      <c r="N15">
        <v>3520000000</v>
      </c>
      <c r="O15">
        <v>3480000000</v>
      </c>
      <c r="P15">
        <v>3400000000</v>
      </c>
      <c r="Q15">
        <v>3720000000</v>
      </c>
      <c r="R15">
        <v>3680000000</v>
      </c>
      <c r="S15">
        <v>3800000000</v>
      </c>
    </row>
    <row r="16" spans="1:19">
      <c r="A16" t="s">
        <v>26</v>
      </c>
      <c r="B16" t="s">
        <v>179</v>
      </c>
      <c r="C16" t="s">
        <v>1424</v>
      </c>
      <c r="D16" t="s">
        <v>468</v>
      </c>
    </row>
    <row r="17" spans="1:19">
      <c r="A17" t="s">
        <v>26</v>
      </c>
      <c r="B17" t="s">
        <v>179</v>
      </c>
      <c r="C17" t="s">
        <v>1425</v>
      </c>
      <c r="D17" t="s">
        <v>470</v>
      </c>
    </row>
    <row r="18" spans="1:19">
      <c r="A18" t="s">
        <v>26</v>
      </c>
      <c r="B18" t="s">
        <v>179</v>
      </c>
      <c r="C18" t="s">
        <v>1426</v>
      </c>
      <c r="D18" t="s">
        <v>472</v>
      </c>
    </row>
    <row r="19" spans="1:19">
      <c r="A19" t="s">
        <v>26</v>
      </c>
      <c r="B19" t="s">
        <v>179</v>
      </c>
      <c r="C19" t="s">
        <v>1427</v>
      </c>
      <c r="D19" t="s">
        <v>474</v>
      </c>
    </row>
    <row r="20" spans="1:19">
      <c r="A20" t="s">
        <v>26</v>
      </c>
      <c r="B20" t="s">
        <v>179</v>
      </c>
      <c r="C20" t="s">
        <v>1428</v>
      </c>
      <c r="D20" t="s">
        <v>476</v>
      </c>
    </row>
    <row r="21" spans="1:19">
      <c r="A21" t="s">
        <v>26</v>
      </c>
      <c r="B21" t="s">
        <v>179</v>
      </c>
      <c r="C21" t="s">
        <v>1429</v>
      </c>
      <c r="D21" t="s">
        <v>478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26</v>
      </c>
      <c r="B22" t="s">
        <v>179</v>
      </c>
      <c r="C22" t="s">
        <v>1430</v>
      </c>
      <c r="D22" t="s">
        <v>480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26</v>
      </c>
      <c r="B23" t="s">
        <v>179</v>
      </c>
      <c r="C23" t="s">
        <v>1431</v>
      </c>
      <c r="D23" t="s">
        <v>482</v>
      </c>
    </row>
    <row r="24" spans="1:19">
      <c r="A24" t="s">
        <v>23</v>
      </c>
      <c r="B24" t="s">
        <v>179</v>
      </c>
      <c r="C24" t="s">
        <v>1432</v>
      </c>
      <c r="D24" t="s">
        <v>484</v>
      </c>
    </row>
    <row r="25" spans="1:19">
      <c r="A25" t="s">
        <v>26</v>
      </c>
      <c r="B25" t="s">
        <v>179</v>
      </c>
      <c r="C25" t="s">
        <v>1433</v>
      </c>
      <c r="D25" t="s">
        <v>486</v>
      </c>
      <c r="H25">
        <v>2100000</v>
      </c>
      <c r="I25">
        <v>1950000</v>
      </c>
      <c r="J25">
        <v>2340000</v>
      </c>
      <c r="K25">
        <v>2400000</v>
      </c>
      <c r="L25">
        <v>2460000</v>
      </c>
      <c r="M25">
        <v>2550000</v>
      </c>
      <c r="N25">
        <v>2640000</v>
      </c>
      <c r="O25">
        <v>2610000</v>
      </c>
      <c r="P25">
        <v>2550000</v>
      </c>
      <c r="Q25">
        <v>2790000</v>
      </c>
      <c r="R25">
        <v>2760000</v>
      </c>
      <c r="S25">
        <v>2850000</v>
      </c>
    </row>
    <row r="26" spans="1:19">
      <c r="A26" t="s">
        <v>26</v>
      </c>
      <c r="B26" t="s">
        <v>179</v>
      </c>
      <c r="C26" t="s">
        <v>1434</v>
      </c>
      <c r="D26" t="s">
        <v>488</v>
      </c>
      <c r="H26">
        <v>1400000</v>
      </c>
      <c r="I26">
        <v>1300000</v>
      </c>
      <c r="J26">
        <v>1560000</v>
      </c>
      <c r="K26">
        <v>1600000</v>
      </c>
      <c r="L26">
        <v>1640000</v>
      </c>
      <c r="M26">
        <v>1700000</v>
      </c>
      <c r="N26">
        <v>1760000</v>
      </c>
      <c r="O26">
        <v>1740000</v>
      </c>
      <c r="P26">
        <v>1700000</v>
      </c>
      <c r="Q26">
        <v>1860000</v>
      </c>
      <c r="R26">
        <v>1840000</v>
      </c>
      <c r="S26">
        <v>1900000</v>
      </c>
    </row>
    <row r="27" spans="1:19">
      <c r="A27" t="s">
        <v>26</v>
      </c>
      <c r="B27" t="s">
        <v>179</v>
      </c>
      <c r="C27" t="s">
        <v>1435</v>
      </c>
      <c r="D27" t="s">
        <v>490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1436</v>
      </c>
      <c r="D2" t="s">
        <v>22</v>
      </c>
      <c r="H2">
        <f t="shared" ref="H2:S2" si="0">H3+H6+H7</f>
        <v>83300000</v>
      </c>
      <c r="I2">
        <f t="shared" si="0"/>
        <v>77350000</v>
      </c>
      <c r="J2">
        <f t="shared" si="0"/>
        <v>92820000</v>
      </c>
      <c r="K2">
        <f t="shared" si="0"/>
        <v>-6.888999999464e+17</v>
      </c>
      <c r="L2">
        <f t="shared" si="0"/>
        <v>-7.2249999994506e+17</v>
      </c>
      <c r="M2">
        <f t="shared" si="0"/>
        <v>-7.5689999994305e+17</v>
      </c>
      <c r="N2">
        <f t="shared" si="0"/>
        <v>-7.7439999994104e+17</v>
      </c>
      <c r="O2">
        <f t="shared" si="0"/>
        <v>-7.3959999994171e+17</v>
      </c>
      <c r="P2">
        <f t="shared" si="0"/>
        <v>-7.0559999994305e+17</v>
      </c>
      <c r="Q2">
        <f t="shared" si="0"/>
        <v>-6.8889999993769e+17</v>
      </c>
      <c r="R2">
        <f t="shared" si="0"/>
        <v>-6.7239999993836e+17</v>
      </c>
      <c r="S2">
        <f t="shared" si="0"/>
        <v>-7.5689999993635e+17</v>
      </c>
    </row>
    <row r="3" spans="1:19">
      <c r="A3" t="s">
        <v>23</v>
      </c>
      <c r="B3" t="s">
        <v>20</v>
      </c>
      <c r="C3" t="s">
        <v>1437</v>
      </c>
      <c r="D3" t="s">
        <v>25</v>
      </c>
      <c r="H3">
        <f t="shared" ref="H3:S3" si="1">H4+H5</f>
        <v>61600000</v>
      </c>
      <c r="I3">
        <f t="shared" si="1"/>
        <v>57200000</v>
      </c>
      <c r="J3">
        <f t="shared" si="1"/>
        <v>68640000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</row>
    <row r="4" spans="1:19">
      <c r="A4" t="s">
        <v>26</v>
      </c>
      <c r="B4" t="s">
        <v>20</v>
      </c>
      <c r="C4" t="s">
        <v>1438</v>
      </c>
      <c r="D4" t="s">
        <v>28</v>
      </c>
      <c r="H4">
        <f t="shared" ref="H4:S4" si="2">H49-H52</f>
        <v>63000000</v>
      </c>
      <c r="I4">
        <f t="shared" si="2"/>
        <v>58500000</v>
      </c>
      <c r="J4">
        <f t="shared" si="2"/>
        <v>70200000</v>
      </c>
      <c r="K4">
        <f t="shared" si="2"/>
        <v>0</v>
      </c>
      <c r="L4">
        <f t="shared" si="2"/>
        <v>0</v>
      </c>
      <c r="M4">
        <f t="shared" si="2"/>
        <v>0</v>
      </c>
      <c r="N4">
        <f t="shared" si="2"/>
        <v>0</v>
      </c>
      <c r="O4">
        <f t="shared" si="2"/>
        <v>0</v>
      </c>
      <c r="P4">
        <f t="shared" si="2"/>
        <v>0</v>
      </c>
      <c r="Q4">
        <f t="shared" si="2"/>
        <v>0</v>
      </c>
      <c r="R4">
        <f t="shared" si="2"/>
        <v>0</v>
      </c>
      <c r="S4">
        <f t="shared" si="2"/>
        <v>0</v>
      </c>
    </row>
    <row r="5" spans="1:19">
      <c r="A5" t="s">
        <v>26</v>
      </c>
      <c r="B5" t="s">
        <v>20</v>
      </c>
      <c r="C5" t="s">
        <v>1439</v>
      </c>
      <c r="D5" t="s">
        <v>30</v>
      </c>
      <c r="H5">
        <f t="shared" ref="H5:S5" si="3">H63-H57</f>
        <v>-1400000</v>
      </c>
      <c r="I5">
        <f t="shared" si="3"/>
        <v>-1300000</v>
      </c>
      <c r="J5">
        <f t="shared" si="3"/>
        <v>-1560000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>
        <f t="shared" si="3"/>
        <v>0</v>
      </c>
      <c r="R5">
        <f t="shared" si="3"/>
        <v>0</v>
      </c>
      <c r="S5">
        <f t="shared" si="3"/>
        <v>0</v>
      </c>
    </row>
    <row r="6" spans="1:19">
      <c r="A6" t="s">
        <v>23</v>
      </c>
      <c r="B6" t="s">
        <v>20</v>
      </c>
      <c r="C6" t="s">
        <v>1440</v>
      </c>
      <c r="D6" t="s">
        <v>32</v>
      </c>
      <c r="H6">
        <f t="shared" ref="H6:S6" si="4">H74-H79</f>
        <v>21700000</v>
      </c>
      <c r="I6">
        <f t="shared" si="4"/>
        <v>20150000</v>
      </c>
      <c r="J6">
        <f t="shared" si="4"/>
        <v>24180000</v>
      </c>
      <c r="K6">
        <f t="shared" si="4"/>
        <v>-6.888999999464e+17</v>
      </c>
      <c r="L6">
        <f t="shared" si="4"/>
        <v>-7.2249999994506e+17</v>
      </c>
      <c r="M6">
        <f t="shared" si="4"/>
        <v>-7.5689999994305e+17</v>
      </c>
      <c r="N6">
        <f t="shared" si="4"/>
        <v>-7.7439999994104e+17</v>
      </c>
      <c r="O6">
        <f t="shared" si="4"/>
        <v>-7.3959999994171e+17</v>
      </c>
      <c r="P6">
        <f t="shared" si="4"/>
        <v>-7.0559999994305e+17</v>
      </c>
      <c r="Q6">
        <f t="shared" si="4"/>
        <v>-6.8889999993769e+17</v>
      </c>
      <c r="R6">
        <f t="shared" si="4"/>
        <v>-6.7239999993836e+17</v>
      </c>
      <c r="S6">
        <f t="shared" si="4"/>
        <v>-7.5689999993635e+17</v>
      </c>
    </row>
    <row r="7" spans="1:19">
      <c r="A7" t="s">
        <v>23</v>
      </c>
      <c r="B7" t="s">
        <v>20</v>
      </c>
      <c r="C7" t="s">
        <v>1441</v>
      </c>
      <c r="D7" t="s">
        <v>34</v>
      </c>
      <c r="H7">
        <f t="shared" ref="H7:S7" si="5">H90+H91</f>
        <v>0</v>
      </c>
      <c r="I7">
        <f t="shared" si="5"/>
        <v>0</v>
      </c>
      <c r="J7">
        <f t="shared" si="5"/>
        <v>0</v>
      </c>
      <c r="K7">
        <f t="shared" si="5"/>
        <v>0</v>
      </c>
      <c r="L7">
        <f t="shared" si="5"/>
        <v>0</v>
      </c>
      <c r="M7">
        <f t="shared" si="5"/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</row>
    <row r="8" spans="1:19">
      <c r="A8" t="s">
        <v>19</v>
      </c>
      <c r="B8" t="s">
        <v>35</v>
      </c>
      <c r="C8" t="s">
        <v>1442</v>
      </c>
      <c r="D8" t="s">
        <v>37</v>
      </c>
      <c r="H8">
        <v>31500000</v>
      </c>
      <c r="I8">
        <v>29250000</v>
      </c>
      <c r="J8">
        <v>35100000</v>
      </c>
      <c r="K8">
        <v>36000000</v>
      </c>
      <c r="L8">
        <v>36900000</v>
      </c>
      <c r="M8">
        <v>38250000</v>
      </c>
      <c r="N8">
        <v>39600000</v>
      </c>
      <c r="O8">
        <v>39150000</v>
      </c>
      <c r="P8">
        <v>38250000</v>
      </c>
      <c r="Q8">
        <v>41850000</v>
      </c>
      <c r="R8">
        <v>41400000</v>
      </c>
      <c r="S8">
        <v>42750000</v>
      </c>
    </row>
    <row r="9" spans="1:19">
      <c r="A9" t="s">
        <v>19</v>
      </c>
      <c r="B9" t="s">
        <v>20</v>
      </c>
      <c r="C9" t="s">
        <v>1443</v>
      </c>
      <c r="D9" t="s">
        <v>39</v>
      </c>
      <c r="H9">
        <f t="shared" ref="H9:S9" si="6">H2-H8</f>
        <v>51800000</v>
      </c>
      <c r="I9">
        <f t="shared" si="6"/>
        <v>48100000</v>
      </c>
      <c r="J9">
        <f t="shared" si="6"/>
        <v>57720000</v>
      </c>
      <c r="K9">
        <f t="shared" si="6"/>
        <v>-6.888999999824e+17</v>
      </c>
      <c r="L9">
        <f t="shared" si="6"/>
        <v>-7.2249999998196e+17</v>
      </c>
      <c r="M9">
        <f t="shared" si="6"/>
        <v>-7.568999999813e+17</v>
      </c>
      <c r="N9">
        <f t="shared" si="6"/>
        <v>-7.7439999998064e+17</v>
      </c>
      <c r="O9">
        <f t="shared" si="6"/>
        <v>-7.3959999998086e+17</v>
      </c>
      <c r="P9">
        <f t="shared" si="6"/>
        <v>-7.055999999813e+17</v>
      </c>
      <c r="Q9">
        <f t="shared" si="6"/>
        <v>-6.8889999997954e+17</v>
      </c>
      <c r="R9">
        <f t="shared" si="6"/>
        <v>-6.7239999997976e+17</v>
      </c>
      <c r="S9">
        <f t="shared" si="6"/>
        <v>-7.568999999791e+17</v>
      </c>
    </row>
    <row r="10" spans="1:19">
      <c r="A10" t="s">
        <v>19</v>
      </c>
      <c r="B10" t="s">
        <v>35</v>
      </c>
      <c r="C10" t="s">
        <v>1444</v>
      </c>
      <c r="D10" t="s">
        <v>41</v>
      </c>
    </row>
    <row r="11" spans="1:19">
      <c r="A11" t="s">
        <v>19</v>
      </c>
      <c r="B11" t="s">
        <v>35</v>
      </c>
      <c r="C11" t="s">
        <v>1445</v>
      </c>
      <c r="D11" t="s">
        <v>43</v>
      </c>
      <c r="H11">
        <f t="shared" ref="H11:S11" si="7">H12+H15+H18+H25+H26</f>
        <v>0</v>
      </c>
      <c r="I11">
        <f t="shared" si="7"/>
        <v>0</v>
      </c>
      <c r="J11">
        <f t="shared" si="7"/>
        <v>0</v>
      </c>
      <c r="K11">
        <f t="shared" si="7"/>
        <v>0</v>
      </c>
      <c r="L11">
        <f t="shared" si="7"/>
        <v>0</v>
      </c>
      <c r="M11">
        <f t="shared" si="7"/>
        <v>0</v>
      </c>
      <c r="N11">
        <f t="shared" si="7"/>
        <v>0</v>
      </c>
      <c r="O11">
        <f t="shared" si="7"/>
        <v>0</v>
      </c>
      <c r="P11">
        <f t="shared" si="7"/>
        <v>0</v>
      </c>
      <c r="Q11">
        <f t="shared" si="7"/>
        <v>0</v>
      </c>
      <c r="R11">
        <f t="shared" si="7"/>
        <v>0</v>
      </c>
      <c r="S11">
        <f t="shared" si="7"/>
        <v>0</v>
      </c>
    </row>
    <row r="12" spans="1:19">
      <c r="A12" t="s">
        <v>23</v>
      </c>
      <c r="B12" t="s">
        <v>35</v>
      </c>
      <c r="C12" t="s">
        <v>1446</v>
      </c>
      <c r="D12" t="s">
        <v>45</v>
      </c>
      <c r="H12">
        <f t="shared" ref="H12:S12" si="8">H13+H14</f>
        <v>0</v>
      </c>
      <c r="I12">
        <f t="shared" si="8"/>
        <v>0</v>
      </c>
      <c r="J12">
        <f t="shared" si="8"/>
        <v>0</v>
      </c>
      <c r="K12">
        <f t="shared" si="8"/>
        <v>0</v>
      </c>
      <c r="L12">
        <f t="shared" si="8"/>
        <v>0</v>
      </c>
      <c r="M12">
        <f t="shared" si="8"/>
        <v>0</v>
      </c>
      <c r="N12">
        <f t="shared" si="8"/>
        <v>0</v>
      </c>
      <c r="O12">
        <f t="shared" si="8"/>
        <v>0</v>
      </c>
      <c r="P12">
        <f t="shared" si="8"/>
        <v>0</v>
      </c>
      <c r="Q12">
        <f t="shared" si="8"/>
        <v>0</v>
      </c>
      <c r="R12">
        <f t="shared" si="8"/>
        <v>0</v>
      </c>
      <c r="S12">
        <f t="shared" si="8"/>
        <v>0</v>
      </c>
    </row>
    <row r="13" spans="1:19">
      <c r="A13" t="s">
        <v>26</v>
      </c>
      <c r="B13" t="s">
        <v>35</v>
      </c>
      <c r="C13" t="s">
        <v>1447</v>
      </c>
      <c r="D13" t="s">
        <v>47</v>
      </c>
    </row>
    <row r="14" spans="1:19">
      <c r="A14" t="s">
        <v>26</v>
      </c>
      <c r="B14" t="s">
        <v>35</v>
      </c>
      <c r="C14" t="s">
        <v>1448</v>
      </c>
      <c r="D14" t="s">
        <v>49</v>
      </c>
    </row>
    <row r="15" spans="1:19">
      <c r="A15" t="s">
        <v>23</v>
      </c>
      <c r="B15" t="s">
        <v>35</v>
      </c>
      <c r="C15" t="s">
        <v>1449</v>
      </c>
      <c r="D15" t="s">
        <v>51</v>
      </c>
      <c r="H15">
        <f t="shared" ref="H15:S15" si="9">H16+H17</f>
        <v>0</v>
      </c>
      <c r="I15">
        <f t="shared" si="9"/>
        <v>0</v>
      </c>
      <c r="J15">
        <f t="shared" si="9"/>
        <v>0</v>
      </c>
      <c r="K15">
        <f t="shared" si="9"/>
        <v>0</v>
      </c>
      <c r="L15">
        <f t="shared" si="9"/>
        <v>0</v>
      </c>
      <c r="M15">
        <f t="shared" si="9"/>
        <v>0</v>
      </c>
      <c r="N15">
        <f t="shared" si="9"/>
        <v>0</v>
      </c>
      <c r="O15">
        <f t="shared" si="9"/>
        <v>0</v>
      </c>
      <c r="P15">
        <f t="shared" si="9"/>
        <v>0</v>
      </c>
      <c r="Q15">
        <f t="shared" si="9"/>
        <v>0</v>
      </c>
      <c r="R15">
        <f t="shared" si="9"/>
        <v>0</v>
      </c>
      <c r="S15">
        <f t="shared" si="9"/>
        <v>0</v>
      </c>
    </row>
    <row r="16" spans="1:19">
      <c r="A16" t="s">
        <v>26</v>
      </c>
      <c r="B16" t="s">
        <v>35</v>
      </c>
      <c r="C16" t="s">
        <v>1450</v>
      </c>
      <c r="D16" t="s">
        <v>53</v>
      </c>
    </row>
    <row r="17" spans="1:19">
      <c r="A17" t="s">
        <v>26</v>
      </c>
      <c r="B17" t="s">
        <v>35</v>
      </c>
      <c r="C17" t="s">
        <v>1451</v>
      </c>
      <c r="D17" t="s">
        <v>55</v>
      </c>
    </row>
    <row r="18" spans="1:19">
      <c r="A18" t="s">
        <v>23</v>
      </c>
      <c r="B18" t="s">
        <v>35</v>
      </c>
      <c r="C18" t="s">
        <v>1452</v>
      </c>
      <c r="D18" t="s">
        <v>57</v>
      </c>
      <c r="H18">
        <f t="shared" ref="H18:S18" si="10">H19+H22+H23+H24</f>
        <v>0</v>
      </c>
      <c r="I18">
        <f t="shared" si="10"/>
        <v>0</v>
      </c>
      <c r="J18">
        <f t="shared" si="10"/>
        <v>0</v>
      </c>
      <c r="K18">
        <f t="shared" si="10"/>
        <v>0</v>
      </c>
      <c r="L18">
        <f t="shared" si="10"/>
        <v>0</v>
      </c>
      <c r="M18">
        <f t="shared" si="10"/>
        <v>0</v>
      </c>
      <c r="N18">
        <f t="shared" si="10"/>
        <v>0</v>
      </c>
      <c r="O18">
        <f t="shared" si="10"/>
        <v>0</v>
      </c>
      <c r="P18">
        <f t="shared" si="10"/>
        <v>0</v>
      </c>
      <c r="Q18">
        <f t="shared" si="10"/>
        <v>0</v>
      </c>
      <c r="R18">
        <f t="shared" si="10"/>
        <v>0</v>
      </c>
      <c r="S18">
        <f t="shared" si="10"/>
        <v>0</v>
      </c>
    </row>
    <row r="19" spans="1:19">
      <c r="A19" t="s">
        <v>26</v>
      </c>
      <c r="B19" t="s">
        <v>35</v>
      </c>
      <c r="C19" t="s">
        <v>1453</v>
      </c>
      <c r="D19" t="s">
        <v>59</v>
      </c>
      <c r="H19">
        <f t="shared" ref="H19:S19" si="11">H20+H21</f>
        <v>0</v>
      </c>
      <c r="I19">
        <f t="shared" si="11"/>
        <v>0</v>
      </c>
      <c r="J19">
        <f t="shared" si="11"/>
        <v>0</v>
      </c>
      <c r="K19">
        <f t="shared" si="11"/>
        <v>0</v>
      </c>
      <c r="L19">
        <f t="shared" si="11"/>
        <v>0</v>
      </c>
      <c r="M19">
        <f t="shared" si="11"/>
        <v>0</v>
      </c>
      <c r="N19">
        <f t="shared" si="11"/>
        <v>0</v>
      </c>
      <c r="O19">
        <f t="shared" si="11"/>
        <v>0</v>
      </c>
      <c r="P19">
        <f t="shared" si="11"/>
        <v>0</v>
      </c>
      <c r="Q19">
        <f t="shared" si="11"/>
        <v>0</v>
      </c>
      <c r="R19">
        <f t="shared" si="11"/>
        <v>0</v>
      </c>
      <c r="S19">
        <f t="shared" si="11"/>
        <v>0</v>
      </c>
    </row>
    <row r="20" spans="1:19">
      <c r="A20" t="s">
        <v>60</v>
      </c>
      <c r="B20" t="s">
        <v>35</v>
      </c>
      <c r="C20" t="s">
        <v>1454</v>
      </c>
      <c r="D20" t="s">
        <v>62</v>
      </c>
    </row>
    <row r="21" spans="1:19">
      <c r="A21" t="s">
        <v>60</v>
      </c>
      <c r="B21" t="s">
        <v>35</v>
      </c>
      <c r="C21" t="s">
        <v>1455</v>
      </c>
      <c r="D21" t="s">
        <v>64</v>
      </c>
    </row>
    <row r="22" spans="1:19">
      <c r="A22" t="s">
        <v>26</v>
      </c>
      <c r="B22" t="s">
        <v>35</v>
      </c>
      <c r="C22" t="s">
        <v>1456</v>
      </c>
      <c r="D22" t="s">
        <v>66</v>
      </c>
    </row>
    <row r="23" spans="1:19">
      <c r="A23" t="s">
        <v>26</v>
      </c>
      <c r="B23" t="s">
        <v>35</v>
      </c>
      <c r="C23" t="s">
        <v>1457</v>
      </c>
      <c r="D23" t="s">
        <v>68</v>
      </c>
    </row>
    <row r="24" spans="1:19">
      <c r="A24" t="s">
        <v>26</v>
      </c>
      <c r="B24" t="s">
        <v>35</v>
      </c>
      <c r="C24" t="s">
        <v>1458</v>
      </c>
      <c r="D24" t="s">
        <v>70</v>
      </c>
    </row>
    <row r="25" spans="1:19">
      <c r="A25" t="s">
        <v>23</v>
      </c>
      <c r="B25" t="s">
        <v>35</v>
      </c>
      <c r="C25" t="s">
        <v>1459</v>
      </c>
      <c r="D25" t="s">
        <v>72</v>
      </c>
    </row>
    <row r="26" spans="1:19">
      <c r="A26" t="s">
        <v>23</v>
      </c>
      <c r="B26" t="s">
        <v>35</v>
      </c>
      <c r="C26" t="s">
        <v>1460</v>
      </c>
      <c r="D26" t="s">
        <v>74</v>
      </c>
    </row>
    <row r="27" spans="1:19">
      <c r="A27" t="s">
        <v>19</v>
      </c>
      <c r="B27" t="s">
        <v>20</v>
      </c>
      <c r="C27" t="s">
        <v>1461</v>
      </c>
      <c r="D27" t="s">
        <v>76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77</v>
      </c>
      <c r="C28" t="s">
        <v>1462</v>
      </c>
      <c r="D28" t="s">
        <v>79</v>
      </c>
      <c r="H28">
        <f t="shared" ref="H28:S28" si="12">H9-H10-H11+H27</f>
        <v>53200000</v>
      </c>
      <c r="I28">
        <f t="shared" si="12"/>
        <v>49400000</v>
      </c>
      <c r="J28">
        <f t="shared" si="12"/>
        <v>59280000</v>
      </c>
      <c r="K28">
        <f t="shared" si="12"/>
        <v>-6.888999999808e+17</v>
      </c>
      <c r="L28">
        <f t="shared" si="12"/>
        <v>-7.2249999998032e+17</v>
      </c>
      <c r="M28">
        <f t="shared" si="12"/>
        <v>-7.568999999796e+17</v>
      </c>
      <c r="N28">
        <f t="shared" si="12"/>
        <v>-7.7439999997888e+17</v>
      </c>
      <c r="O28">
        <f t="shared" si="12"/>
        <v>-7.3959999997912e+17</v>
      </c>
      <c r="P28">
        <f t="shared" si="12"/>
        <v>-7.055999999796e+17</v>
      </c>
      <c r="Q28">
        <f t="shared" si="12"/>
        <v>-6.8889999997768e+17</v>
      </c>
      <c r="R28">
        <f t="shared" si="12"/>
        <v>-6.7239999997792e+17</v>
      </c>
      <c r="S28">
        <f t="shared" si="12"/>
        <v>-7.568999999772e+17</v>
      </c>
    </row>
    <row r="29" spans="1:19">
      <c r="A29" t="s">
        <v>19</v>
      </c>
      <c r="B29" t="s">
        <v>35</v>
      </c>
      <c r="C29" t="s">
        <v>1463</v>
      </c>
      <c r="D29" t="s">
        <v>81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77</v>
      </c>
      <c r="C30" t="s">
        <v>1464</v>
      </c>
      <c r="D30" t="s">
        <v>83</v>
      </c>
      <c r="H30">
        <f t="shared" ref="H30:S30" si="13">H28-H29</f>
        <v>50400000</v>
      </c>
      <c r="I30">
        <f t="shared" si="13"/>
        <v>46800000</v>
      </c>
      <c r="J30">
        <f t="shared" si="13"/>
        <v>56160000</v>
      </c>
      <c r="K30">
        <f t="shared" si="13"/>
        <v>-6.88899999984e+17</v>
      </c>
      <c r="L30">
        <f t="shared" si="13"/>
        <v>-7.224999999836e+17</v>
      </c>
      <c r="M30">
        <f t="shared" si="13"/>
        <v>-7.56899999983e+17</v>
      </c>
      <c r="N30">
        <f t="shared" si="13"/>
        <v>-7.743999999824e+17</v>
      </c>
      <c r="O30">
        <f t="shared" si="13"/>
        <v>-7.395999999826e+17</v>
      </c>
      <c r="P30">
        <f t="shared" si="13"/>
        <v>-7.05599999983e+17</v>
      </c>
      <c r="Q30">
        <f t="shared" si="13"/>
        <v>-6.888999999814e+17</v>
      </c>
      <c r="R30">
        <f t="shared" si="13"/>
        <v>-6.723999999816e+17</v>
      </c>
      <c r="S30">
        <f t="shared" si="13"/>
        <v>-7.56899999981e+17</v>
      </c>
    </row>
    <row r="31" spans="1:19">
      <c r="A31" t="s">
        <v>19</v>
      </c>
      <c r="B31" t="s">
        <v>84</v>
      </c>
      <c r="C31" t="s">
        <v>1465</v>
      </c>
      <c r="D31" t="s">
        <v>1466</v>
      </c>
      <c r="H31">
        <f t="shared" ref="H31:S31" si="14">H32+H34+H35</f>
        <v>4500000000</v>
      </c>
      <c r="I31">
        <f t="shared" si="14"/>
        <v>4680000000</v>
      </c>
      <c r="J31">
        <f t="shared" si="14"/>
        <v>4920000000</v>
      </c>
      <c r="K31">
        <f t="shared" si="14"/>
        <v>4980000000</v>
      </c>
      <c r="L31">
        <f t="shared" si="14"/>
        <v>5100000000</v>
      </c>
      <c r="M31">
        <f t="shared" si="14"/>
        <v>5220000000</v>
      </c>
      <c r="N31">
        <f t="shared" si="14"/>
        <v>5280000000</v>
      </c>
      <c r="O31">
        <f t="shared" si="14"/>
        <v>5160000000</v>
      </c>
      <c r="P31">
        <f t="shared" si="14"/>
        <v>5040000000</v>
      </c>
      <c r="Q31">
        <f t="shared" si="14"/>
        <v>4980000000</v>
      </c>
      <c r="R31">
        <f t="shared" si="14"/>
        <v>4920000000</v>
      </c>
      <c r="S31">
        <f t="shared" si="14"/>
        <v>5220000000</v>
      </c>
    </row>
    <row r="32" spans="1:19">
      <c r="A32" t="s">
        <v>23</v>
      </c>
      <c r="B32" t="s">
        <v>84</v>
      </c>
      <c r="C32" t="s">
        <v>1467</v>
      </c>
      <c r="D32" t="s">
        <v>117</v>
      </c>
      <c r="H32">
        <f t="shared" ref="H32:S32" si="15">H33</f>
        <v>1500000000</v>
      </c>
      <c r="I32">
        <f t="shared" si="15"/>
        <v>1560000000</v>
      </c>
      <c r="J32">
        <f t="shared" si="15"/>
        <v>1640000000</v>
      </c>
      <c r="K32">
        <f t="shared" si="15"/>
        <v>1660000000</v>
      </c>
      <c r="L32">
        <f t="shared" si="15"/>
        <v>1700000000</v>
      </c>
      <c r="M32">
        <f t="shared" si="15"/>
        <v>1740000000</v>
      </c>
      <c r="N32">
        <f t="shared" si="15"/>
        <v>1760000000</v>
      </c>
      <c r="O32">
        <f t="shared" si="15"/>
        <v>1720000000</v>
      </c>
      <c r="P32">
        <f t="shared" si="15"/>
        <v>1680000000</v>
      </c>
      <c r="Q32">
        <f t="shared" si="15"/>
        <v>1660000000</v>
      </c>
      <c r="R32">
        <f t="shared" si="15"/>
        <v>1640000000</v>
      </c>
      <c r="S32">
        <f t="shared" si="15"/>
        <v>1740000000</v>
      </c>
    </row>
    <row r="33" spans="1:19">
      <c r="A33" t="s">
        <v>26</v>
      </c>
      <c r="B33" t="s">
        <v>84</v>
      </c>
      <c r="C33" t="s">
        <v>1468</v>
      </c>
      <c r="D33" t="s">
        <v>90</v>
      </c>
      <c r="H33">
        <v>1500000000</v>
      </c>
      <c r="I33">
        <v>1560000000</v>
      </c>
      <c r="J33">
        <v>1640000000</v>
      </c>
      <c r="K33">
        <v>1660000000</v>
      </c>
      <c r="L33">
        <v>1700000000</v>
      </c>
      <c r="M33">
        <v>1740000000</v>
      </c>
      <c r="N33">
        <v>1760000000</v>
      </c>
      <c r="O33">
        <v>1720000000</v>
      </c>
      <c r="P33">
        <v>1680000000</v>
      </c>
      <c r="Q33">
        <v>1660000000</v>
      </c>
      <c r="R33">
        <v>1640000000</v>
      </c>
      <c r="S33">
        <v>1740000000</v>
      </c>
    </row>
    <row r="34" spans="1:19">
      <c r="A34" t="s">
        <v>23</v>
      </c>
      <c r="B34" t="s">
        <v>84</v>
      </c>
      <c r="C34" t="s">
        <v>1469</v>
      </c>
      <c r="D34" t="s">
        <v>102</v>
      </c>
      <c r="H34">
        <v>1500000000</v>
      </c>
      <c r="I34">
        <v>1560000000</v>
      </c>
      <c r="J34">
        <v>1640000000</v>
      </c>
      <c r="K34">
        <v>1660000000</v>
      </c>
      <c r="L34">
        <v>1700000000</v>
      </c>
      <c r="M34">
        <v>1740000000</v>
      </c>
      <c r="N34">
        <v>1760000000</v>
      </c>
      <c r="O34">
        <v>1720000000</v>
      </c>
      <c r="P34">
        <v>1680000000</v>
      </c>
      <c r="Q34">
        <v>1660000000</v>
      </c>
      <c r="R34">
        <v>1640000000</v>
      </c>
      <c r="S34">
        <v>1740000000</v>
      </c>
    </row>
    <row r="35" spans="1:19">
      <c r="A35" t="s">
        <v>23</v>
      </c>
      <c r="B35" t="s">
        <v>84</v>
      </c>
      <c r="C35" t="s">
        <v>1470</v>
      </c>
      <c r="D35" t="s">
        <v>104</v>
      </c>
      <c r="H35">
        <v>1500000000</v>
      </c>
      <c r="I35">
        <v>1560000000</v>
      </c>
      <c r="J35">
        <v>1640000000</v>
      </c>
      <c r="K35">
        <v>1660000000</v>
      </c>
      <c r="L35">
        <v>1700000000</v>
      </c>
      <c r="M35">
        <v>1740000000</v>
      </c>
      <c r="N35">
        <v>1760000000</v>
      </c>
      <c r="O35">
        <v>1720000000</v>
      </c>
      <c r="P35">
        <v>1680000000</v>
      </c>
      <c r="Q35">
        <v>1660000000</v>
      </c>
      <c r="R35">
        <v>1640000000</v>
      </c>
      <c r="S35">
        <v>1740000000</v>
      </c>
    </row>
    <row r="36" spans="1:19">
      <c r="A36" t="s">
        <v>19</v>
      </c>
      <c r="B36" t="s">
        <v>113</v>
      </c>
      <c r="C36" t="s">
        <v>1471</v>
      </c>
      <c r="D36" t="s">
        <v>115</v>
      </c>
      <c r="H36">
        <f t="shared" ref="H36:S36" si="16">H37+H39+H40</f>
        <v>4500000000</v>
      </c>
      <c r="I36">
        <f t="shared" si="16"/>
        <v>4680000000</v>
      </c>
      <c r="J36">
        <f t="shared" si="16"/>
        <v>4920000000</v>
      </c>
      <c r="K36">
        <f t="shared" si="16"/>
        <v>4980000000</v>
      </c>
      <c r="L36">
        <f t="shared" si="16"/>
        <v>5100000000</v>
      </c>
      <c r="M36">
        <f t="shared" si="16"/>
        <v>5220000000</v>
      </c>
      <c r="N36">
        <f t="shared" si="16"/>
        <v>5280000000</v>
      </c>
      <c r="O36">
        <f t="shared" si="16"/>
        <v>5160000000</v>
      </c>
      <c r="P36">
        <f t="shared" si="16"/>
        <v>5040000000</v>
      </c>
      <c r="Q36">
        <f t="shared" si="16"/>
        <v>4980000000</v>
      </c>
      <c r="R36">
        <f t="shared" si="16"/>
        <v>4920000000</v>
      </c>
      <c r="S36">
        <f t="shared" si="16"/>
        <v>5220000000</v>
      </c>
    </row>
    <row r="37" spans="1:19">
      <c r="A37" t="s">
        <v>23</v>
      </c>
      <c r="B37" t="s">
        <v>113</v>
      </c>
      <c r="C37" t="s">
        <v>1472</v>
      </c>
      <c r="D37" t="s">
        <v>117</v>
      </c>
      <c r="H37">
        <f t="shared" ref="H37:S37" si="17">H38</f>
        <v>1500000000</v>
      </c>
      <c r="I37">
        <f t="shared" si="17"/>
        <v>1560000000</v>
      </c>
      <c r="J37">
        <f t="shared" si="17"/>
        <v>1640000000</v>
      </c>
      <c r="K37">
        <f t="shared" si="17"/>
        <v>1660000000</v>
      </c>
      <c r="L37">
        <f t="shared" si="17"/>
        <v>1700000000</v>
      </c>
      <c r="M37">
        <f t="shared" si="17"/>
        <v>1740000000</v>
      </c>
      <c r="N37">
        <f t="shared" si="17"/>
        <v>1760000000</v>
      </c>
      <c r="O37">
        <f t="shared" si="17"/>
        <v>1720000000</v>
      </c>
      <c r="P37">
        <f t="shared" si="17"/>
        <v>1680000000</v>
      </c>
      <c r="Q37">
        <f t="shared" si="17"/>
        <v>1660000000</v>
      </c>
      <c r="R37">
        <f t="shared" si="17"/>
        <v>1640000000</v>
      </c>
      <c r="S37">
        <f t="shared" si="17"/>
        <v>1740000000</v>
      </c>
    </row>
    <row r="38" spans="1:19">
      <c r="A38" t="s">
        <v>26</v>
      </c>
      <c r="B38" t="s">
        <v>113</v>
      </c>
      <c r="C38" t="s">
        <v>1473</v>
      </c>
      <c r="D38" t="s">
        <v>90</v>
      </c>
      <c r="H38">
        <v>1500000000</v>
      </c>
      <c r="I38">
        <v>1560000000</v>
      </c>
      <c r="J38">
        <v>1640000000</v>
      </c>
      <c r="K38">
        <v>1660000000</v>
      </c>
      <c r="L38">
        <v>1700000000</v>
      </c>
      <c r="M38">
        <v>1740000000</v>
      </c>
      <c r="N38">
        <v>1760000000</v>
      </c>
      <c r="O38">
        <v>1720000000</v>
      </c>
      <c r="P38">
        <v>1680000000</v>
      </c>
      <c r="Q38">
        <v>1660000000</v>
      </c>
      <c r="R38">
        <v>1640000000</v>
      </c>
      <c r="S38">
        <v>1740000000</v>
      </c>
    </row>
    <row r="39" spans="1:19">
      <c r="A39" t="s">
        <v>23</v>
      </c>
      <c r="B39" t="s">
        <v>113</v>
      </c>
      <c r="C39" t="s">
        <v>1474</v>
      </c>
      <c r="D39" t="s">
        <v>102</v>
      </c>
      <c r="H39">
        <v>1500000000</v>
      </c>
      <c r="I39">
        <v>1560000000</v>
      </c>
      <c r="J39">
        <v>1640000000</v>
      </c>
      <c r="K39">
        <v>1660000000</v>
      </c>
      <c r="L39">
        <v>1700000000</v>
      </c>
      <c r="M39">
        <v>1740000000</v>
      </c>
      <c r="N39">
        <v>1760000000</v>
      </c>
      <c r="O39">
        <v>1720000000</v>
      </c>
      <c r="P39">
        <v>1680000000</v>
      </c>
      <c r="Q39">
        <v>1660000000</v>
      </c>
      <c r="R39">
        <v>1640000000</v>
      </c>
      <c r="S39">
        <v>1740000000</v>
      </c>
    </row>
    <row r="40" spans="1:19">
      <c r="A40" t="s">
        <v>23</v>
      </c>
      <c r="B40" t="s">
        <v>113</v>
      </c>
      <c r="C40" t="s">
        <v>1475</v>
      </c>
      <c r="D40" t="s">
        <v>104</v>
      </c>
      <c r="H40">
        <v>1500000000</v>
      </c>
      <c r="I40">
        <v>1560000000</v>
      </c>
      <c r="J40">
        <v>1640000000</v>
      </c>
      <c r="K40">
        <v>1660000000</v>
      </c>
      <c r="L40">
        <v>1700000000</v>
      </c>
      <c r="M40">
        <v>1740000000</v>
      </c>
      <c r="N40">
        <v>1760000000</v>
      </c>
      <c r="O40">
        <v>1720000000</v>
      </c>
      <c r="P40">
        <v>1680000000</v>
      </c>
      <c r="Q40">
        <v>1660000000</v>
      </c>
      <c r="R40">
        <v>1640000000</v>
      </c>
      <c r="S40">
        <v>1740000000</v>
      </c>
    </row>
    <row r="41" spans="1:19">
      <c r="A41" t="s">
        <v>19</v>
      </c>
      <c r="B41" t="s">
        <v>130</v>
      </c>
      <c r="C41" t="s">
        <v>1476</v>
      </c>
      <c r="D41" t="s">
        <v>132</v>
      </c>
      <c r="H41">
        <f t="shared" ref="H41:S41" si="18">H42</f>
        <v>375000000</v>
      </c>
      <c r="I41">
        <f t="shared" si="18"/>
        <v>390000000</v>
      </c>
      <c r="J41">
        <f t="shared" si="18"/>
        <v>410000000</v>
      </c>
      <c r="K41">
        <f t="shared" si="18"/>
        <v>415000000</v>
      </c>
      <c r="L41">
        <f t="shared" si="18"/>
        <v>425000000</v>
      </c>
      <c r="M41">
        <f t="shared" si="18"/>
        <v>435000000</v>
      </c>
      <c r="N41">
        <f t="shared" si="18"/>
        <v>440000000</v>
      </c>
      <c r="O41">
        <f t="shared" si="18"/>
        <v>430000000</v>
      </c>
      <c r="P41">
        <f t="shared" si="18"/>
        <v>420000000</v>
      </c>
      <c r="Q41">
        <f t="shared" si="18"/>
        <v>415000000</v>
      </c>
      <c r="R41">
        <f t="shared" si="18"/>
        <v>410000000</v>
      </c>
      <c r="S41">
        <f t="shared" si="18"/>
        <v>435000000</v>
      </c>
    </row>
    <row r="42" spans="1:19">
      <c r="A42" t="s">
        <v>23</v>
      </c>
      <c r="B42" t="s">
        <v>130</v>
      </c>
      <c r="C42" t="s">
        <v>1477</v>
      </c>
      <c r="D42" t="s">
        <v>954</v>
      </c>
      <c r="H42">
        <v>375000000</v>
      </c>
      <c r="I42">
        <v>390000000</v>
      </c>
      <c r="J42">
        <v>410000000</v>
      </c>
      <c r="K42">
        <v>415000000</v>
      </c>
      <c r="L42">
        <v>425000000</v>
      </c>
      <c r="M42">
        <v>435000000</v>
      </c>
      <c r="N42">
        <v>440000000</v>
      </c>
      <c r="O42">
        <v>430000000</v>
      </c>
      <c r="P42">
        <v>420000000</v>
      </c>
      <c r="Q42">
        <v>415000000</v>
      </c>
      <c r="R42">
        <v>410000000</v>
      </c>
      <c r="S42">
        <v>435000000</v>
      </c>
    </row>
    <row r="43" spans="1:19">
      <c r="A43" t="s">
        <v>19</v>
      </c>
      <c r="B43" t="s">
        <v>143</v>
      </c>
      <c r="C43" t="s">
        <v>1478</v>
      </c>
      <c r="D43" t="s">
        <v>142</v>
      </c>
      <c r="H43">
        <f t="shared" ref="H43:S43" si="19">H44</f>
        <v>375000000</v>
      </c>
      <c r="I43">
        <f t="shared" si="19"/>
        <v>390000000</v>
      </c>
      <c r="J43">
        <f t="shared" si="19"/>
        <v>410000000</v>
      </c>
      <c r="K43">
        <f t="shared" si="19"/>
        <v>415000000</v>
      </c>
      <c r="L43">
        <f t="shared" si="19"/>
        <v>425000000</v>
      </c>
      <c r="M43">
        <f t="shared" si="19"/>
        <v>435000000</v>
      </c>
      <c r="N43">
        <f t="shared" si="19"/>
        <v>440000000</v>
      </c>
      <c r="O43">
        <f t="shared" si="19"/>
        <v>430000000</v>
      </c>
      <c r="P43">
        <f t="shared" si="19"/>
        <v>420000000</v>
      </c>
      <c r="Q43">
        <f t="shared" si="19"/>
        <v>415000000</v>
      </c>
      <c r="R43">
        <f t="shared" si="19"/>
        <v>410000000</v>
      </c>
      <c r="S43">
        <f t="shared" si="19"/>
        <v>435000000</v>
      </c>
    </row>
    <row r="44" spans="1:19">
      <c r="A44" t="s">
        <v>23</v>
      </c>
      <c r="B44" t="s">
        <v>143</v>
      </c>
      <c r="C44" t="s">
        <v>1479</v>
      </c>
      <c r="D44" t="s">
        <v>954</v>
      </c>
      <c r="H44">
        <v>375000000</v>
      </c>
      <c r="I44">
        <v>390000000</v>
      </c>
      <c r="J44">
        <v>410000000</v>
      </c>
      <c r="K44">
        <v>415000000</v>
      </c>
      <c r="L44">
        <v>425000000</v>
      </c>
      <c r="M44">
        <v>435000000</v>
      </c>
      <c r="N44">
        <v>440000000</v>
      </c>
      <c r="O44">
        <v>430000000</v>
      </c>
      <c r="P44">
        <v>420000000</v>
      </c>
      <c r="Q44">
        <v>415000000</v>
      </c>
      <c r="R44">
        <v>410000000</v>
      </c>
      <c r="S44">
        <v>435000000</v>
      </c>
    </row>
    <row r="45" spans="1:19">
      <c r="A45" t="s">
        <v>19</v>
      </c>
      <c r="B45" t="s">
        <v>130</v>
      </c>
      <c r="C45" t="s">
        <v>1480</v>
      </c>
      <c r="D45" t="s">
        <v>166</v>
      </c>
      <c r="H45">
        <f t="shared" ref="H45:S45" si="20">H46</f>
        <v>450000000</v>
      </c>
      <c r="I45">
        <f t="shared" si="20"/>
        <v>468000000</v>
      </c>
      <c r="J45">
        <f t="shared" si="20"/>
        <v>492000000</v>
      </c>
      <c r="K45">
        <f t="shared" si="20"/>
        <v>498000000</v>
      </c>
      <c r="L45">
        <f t="shared" si="20"/>
        <v>510000000</v>
      </c>
      <c r="M45">
        <f t="shared" si="20"/>
        <v>522000000</v>
      </c>
      <c r="N45">
        <f t="shared" si="20"/>
        <v>528000000</v>
      </c>
      <c r="O45">
        <f t="shared" si="20"/>
        <v>516000000</v>
      </c>
      <c r="P45">
        <f t="shared" si="20"/>
        <v>504000000</v>
      </c>
      <c r="Q45">
        <f t="shared" si="20"/>
        <v>498000000</v>
      </c>
      <c r="R45">
        <f t="shared" si="20"/>
        <v>492000000</v>
      </c>
      <c r="S45">
        <f t="shared" si="20"/>
        <v>522000000</v>
      </c>
    </row>
    <row r="46" spans="1:19">
      <c r="A46" t="s">
        <v>23</v>
      </c>
      <c r="B46" t="s">
        <v>130</v>
      </c>
      <c r="C46" t="s">
        <v>1481</v>
      </c>
      <c r="D46" t="s">
        <v>965</v>
      </c>
      <c r="H46">
        <v>450000000</v>
      </c>
      <c r="I46">
        <v>468000000</v>
      </c>
      <c r="J46">
        <v>492000000</v>
      </c>
      <c r="K46">
        <v>498000000</v>
      </c>
      <c r="L46">
        <v>510000000</v>
      </c>
      <c r="M46">
        <v>522000000</v>
      </c>
      <c r="N46">
        <v>528000000</v>
      </c>
      <c r="O46">
        <v>516000000</v>
      </c>
      <c r="P46">
        <v>504000000</v>
      </c>
      <c r="Q46">
        <v>498000000</v>
      </c>
      <c r="R46">
        <v>492000000</v>
      </c>
      <c r="S46">
        <v>522000000</v>
      </c>
    </row>
    <row r="47" spans="1:19">
      <c r="A47" t="s">
        <v>19</v>
      </c>
      <c r="B47" t="s">
        <v>143</v>
      </c>
      <c r="C47" t="s">
        <v>1482</v>
      </c>
      <c r="D47" t="s">
        <v>172</v>
      </c>
      <c r="H47">
        <f t="shared" ref="H47:S47" si="21">H48</f>
        <v>450000000</v>
      </c>
      <c r="I47">
        <f t="shared" si="21"/>
        <v>468000000</v>
      </c>
      <c r="J47">
        <f t="shared" si="21"/>
        <v>492000000</v>
      </c>
      <c r="K47">
        <f t="shared" si="21"/>
        <v>498000000</v>
      </c>
      <c r="L47">
        <f t="shared" si="21"/>
        <v>510000000</v>
      </c>
      <c r="M47">
        <f t="shared" si="21"/>
        <v>522000000</v>
      </c>
      <c r="N47">
        <f t="shared" si="21"/>
        <v>528000000</v>
      </c>
      <c r="O47">
        <f t="shared" si="21"/>
        <v>516000000</v>
      </c>
      <c r="P47">
        <f t="shared" si="21"/>
        <v>504000000</v>
      </c>
      <c r="Q47">
        <f t="shared" si="21"/>
        <v>498000000</v>
      </c>
      <c r="R47">
        <f t="shared" si="21"/>
        <v>492000000</v>
      </c>
      <c r="S47">
        <f t="shared" si="21"/>
        <v>522000000</v>
      </c>
    </row>
    <row r="48" spans="1:19">
      <c r="A48" t="s">
        <v>23</v>
      </c>
      <c r="B48" t="s">
        <v>143</v>
      </c>
      <c r="C48" t="s">
        <v>1483</v>
      </c>
      <c r="D48" t="s">
        <v>968</v>
      </c>
      <c r="H48">
        <v>450000000</v>
      </c>
      <c r="I48">
        <v>468000000</v>
      </c>
      <c r="J48">
        <v>492000000</v>
      </c>
      <c r="K48">
        <v>498000000</v>
      </c>
      <c r="L48">
        <v>510000000</v>
      </c>
      <c r="M48">
        <v>522000000</v>
      </c>
      <c r="N48">
        <v>528000000</v>
      </c>
      <c r="O48">
        <v>516000000</v>
      </c>
      <c r="P48">
        <v>504000000</v>
      </c>
      <c r="Q48">
        <v>498000000</v>
      </c>
      <c r="R48">
        <v>492000000</v>
      </c>
      <c r="S48">
        <v>522000000</v>
      </c>
    </row>
    <row r="49" spans="1:19">
      <c r="A49" t="s">
        <v>19</v>
      </c>
      <c r="B49" t="s">
        <v>20</v>
      </c>
      <c r="C49" t="s">
        <v>1484</v>
      </c>
      <c r="D49" t="s">
        <v>176</v>
      </c>
      <c r="H49">
        <f t="shared" ref="H49:S49" si="22">H50</f>
        <v>112000000</v>
      </c>
      <c r="I49">
        <f t="shared" si="22"/>
        <v>104000000</v>
      </c>
      <c r="J49">
        <f t="shared" si="22"/>
        <v>124800000</v>
      </c>
      <c r="K49">
        <f t="shared" si="22"/>
        <v>0</v>
      </c>
      <c r="L49">
        <f t="shared" si="22"/>
        <v>0</v>
      </c>
      <c r="M49">
        <f t="shared" si="22"/>
        <v>0</v>
      </c>
      <c r="N49">
        <f t="shared" si="22"/>
        <v>0</v>
      </c>
      <c r="O49">
        <f t="shared" si="22"/>
        <v>0</v>
      </c>
      <c r="P49">
        <f t="shared" si="22"/>
        <v>0</v>
      </c>
      <c r="Q49">
        <f t="shared" si="22"/>
        <v>0</v>
      </c>
      <c r="R49">
        <f t="shared" si="22"/>
        <v>0</v>
      </c>
      <c r="S49">
        <f t="shared" si="22"/>
        <v>0</v>
      </c>
    </row>
    <row r="50" spans="1:19">
      <c r="A50" t="s">
        <v>23</v>
      </c>
      <c r="B50" t="s">
        <v>20</v>
      </c>
      <c r="C50" t="s">
        <v>1485</v>
      </c>
      <c r="D50" t="s">
        <v>178</v>
      </c>
      <c r="H50">
        <v>112000000</v>
      </c>
      <c r="I50">
        <v>104000000</v>
      </c>
      <c r="J50">
        <v>124800000</v>
      </c>
      <c r="K50">
        <f t="shared" ref="K50:S50" si="23">K37*K51</f>
        <v>0</v>
      </c>
      <c r="L50">
        <f t="shared" si="23"/>
        <v>0</v>
      </c>
      <c r="M50">
        <f t="shared" si="23"/>
        <v>0</v>
      </c>
      <c r="N50">
        <f t="shared" si="23"/>
        <v>0</v>
      </c>
      <c r="O50">
        <f t="shared" si="23"/>
        <v>0</v>
      </c>
      <c r="P50">
        <f t="shared" si="23"/>
        <v>0</v>
      </c>
      <c r="Q50">
        <f t="shared" si="23"/>
        <v>0</v>
      </c>
      <c r="R50">
        <f t="shared" si="23"/>
        <v>0</v>
      </c>
      <c r="S50">
        <f t="shared" si="23"/>
        <v>0</v>
      </c>
    </row>
    <row r="51" spans="1:19">
      <c r="A51" t="s">
        <v>26</v>
      </c>
      <c r="B51" t="s">
        <v>179</v>
      </c>
      <c r="C51" t="s">
        <v>1486</v>
      </c>
      <c r="D51" t="s">
        <v>1487</v>
      </c>
      <c r="H51">
        <f>H50/H37</f>
        <v>0.0746666666666667</v>
      </c>
      <c r="I51">
        <f>I50/I37</f>
        <v>0.0666666666666667</v>
      </c>
      <c r="J51">
        <f>J50/J37</f>
        <v>0.0760975609756098</v>
      </c>
    </row>
    <row r="52" spans="1:19">
      <c r="A52" t="s">
        <v>19</v>
      </c>
      <c r="B52" t="s">
        <v>35</v>
      </c>
      <c r="C52" t="s">
        <v>1488</v>
      </c>
      <c r="D52" t="s">
        <v>241</v>
      </c>
      <c r="H52">
        <f t="shared" ref="H52:S52" si="24">H53+H55</f>
        <v>49000000</v>
      </c>
      <c r="I52">
        <f t="shared" si="24"/>
        <v>45500000</v>
      </c>
      <c r="J52">
        <f t="shared" si="24"/>
        <v>54600000</v>
      </c>
      <c r="K52">
        <f t="shared" si="24"/>
        <v>0</v>
      </c>
      <c r="L52">
        <f t="shared" si="24"/>
        <v>0</v>
      </c>
      <c r="M52">
        <f t="shared" si="24"/>
        <v>0</v>
      </c>
      <c r="N52">
        <f t="shared" si="24"/>
        <v>0</v>
      </c>
      <c r="O52">
        <f t="shared" si="24"/>
        <v>0</v>
      </c>
      <c r="P52">
        <f t="shared" si="24"/>
        <v>0</v>
      </c>
      <c r="Q52">
        <f t="shared" si="24"/>
        <v>0</v>
      </c>
      <c r="R52">
        <f t="shared" si="24"/>
        <v>0</v>
      </c>
      <c r="S52">
        <f t="shared" si="24"/>
        <v>0</v>
      </c>
    </row>
    <row r="53" spans="1:19">
      <c r="A53" t="s">
        <v>23</v>
      </c>
      <c r="B53" t="s">
        <v>35</v>
      </c>
      <c r="C53" t="s">
        <v>1489</v>
      </c>
      <c r="D53" t="s">
        <v>243</v>
      </c>
      <c r="H53">
        <v>49000000</v>
      </c>
      <c r="I53">
        <v>45500000</v>
      </c>
      <c r="J53">
        <v>54600000</v>
      </c>
      <c r="K53">
        <f t="shared" ref="K53:S53" si="25">K37*K54</f>
        <v>0</v>
      </c>
      <c r="L53">
        <f t="shared" si="25"/>
        <v>0</v>
      </c>
      <c r="M53">
        <f t="shared" si="25"/>
        <v>0</v>
      </c>
      <c r="N53">
        <f t="shared" si="25"/>
        <v>0</v>
      </c>
      <c r="O53">
        <f t="shared" si="25"/>
        <v>0</v>
      </c>
      <c r="P53">
        <f t="shared" si="25"/>
        <v>0</v>
      </c>
      <c r="Q53">
        <f t="shared" si="25"/>
        <v>0</v>
      </c>
      <c r="R53">
        <f t="shared" si="25"/>
        <v>0</v>
      </c>
      <c r="S53">
        <f t="shared" si="25"/>
        <v>0</v>
      </c>
    </row>
    <row r="54" spans="1:19">
      <c r="A54" t="s">
        <v>26</v>
      </c>
      <c r="B54" t="s">
        <v>179</v>
      </c>
      <c r="C54" t="s">
        <v>1490</v>
      </c>
      <c r="D54" t="s">
        <v>1491</v>
      </c>
      <c r="H54">
        <f>H53/H37</f>
        <v>0.0326666666666667</v>
      </c>
      <c r="I54">
        <f>I53/I37</f>
        <v>0.0291666666666667</v>
      </c>
      <c r="J54">
        <f>J53/J37</f>
        <v>0.0332926829268293</v>
      </c>
    </row>
    <row r="55" spans="1:19">
      <c r="A55" t="s">
        <v>23</v>
      </c>
      <c r="B55" t="s">
        <v>35</v>
      </c>
      <c r="C55" t="s">
        <v>1492</v>
      </c>
      <c r="D55" t="s">
        <v>281</v>
      </c>
      <c r="H55">
        <f t="shared" ref="H55:S55" si="26">H56</f>
        <v>0</v>
      </c>
      <c r="I55">
        <f t="shared" si="26"/>
        <v>0</v>
      </c>
      <c r="J55">
        <f t="shared" si="26"/>
        <v>0</v>
      </c>
      <c r="K55">
        <f t="shared" si="26"/>
        <v>0</v>
      </c>
      <c r="L55">
        <f t="shared" si="26"/>
        <v>0</v>
      </c>
      <c r="M55">
        <f t="shared" si="26"/>
        <v>0</v>
      </c>
      <c r="N55">
        <f t="shared" si="26"/>
        <v>0</v>
      </c>
      <c r="O55">
        <f t="shared" si="26"/>
        <v>0</v>
      </c>
      <c r="P55">
        <f t="shared" si="26"/>
        <v>0</v>
      </c>
      <c r="Q55">
        <f t="shared" si="26"/>
        <v>0</v>
      </c>
      <c r="R55">
        <f t="shared" si="26"/>
        <v>0</v>
      </c>
      <c r="S55">
        <f t="shared" si="26"/>
        <v>0</v>
      </c>
    </row>
    <row r="56" spans="1:19">
      <c r="A56" t="s">
        <v>26</v>
      </c>
      <c r="B56" t="s">
        <v>35</v>
      </c>
      <c r="C56" t="s">
        <v>1493</v>
      </c>
      <c r="D56" t="s">
        <v>283</v>
      </c>
    </row>
    <row r="57" spans="1:19">
      <c r="A57" t="s">
        <v>19</v>
      </c>
      <c r="B57" t="s">
        <v>35</v>
      </c>
      <c r="C57" t="s">
        <v>1494</v>
      </c>
      <c r="D57" t="s">
        <v>285</v>
      </c>
      <c r="H57">
        <f t="shared" ref="H57:S57" si="27">H58+H60</f>
        <v>8400000</v>
      </c>
      <c r="I57">
        <f t="shared" si="27"/>
        <v>7800000</v>
      </c>
      <c r="J57">
        <f t="shared" si="27"/>
        <v>9360000</v>
      </c>
      <c r="K57">
        <f t="shared" si="27"/>
        <v>0</v>
      </c>
      <c r="L57">
        <f t="shared" si="27"/>
        <v>0</v>
      </c>
      <c r="M57">
        <f t="shared" si="27"/>
        <v>0</v>
      </c>
      <c r="N57">
        <f t="shared" si="27"/>
        <v>0</v>
      </c>
      <c r="O57">
        <f t="shared" si="27"/>
        <v>0</v>
      </c>
      <c r="P57">
        <f t="shared" si="27"/>
        <v>0</v>
      </c>
      <c r="Q57">
        <f t="shared" si="27"/>
        <v>0</v>
      </c>
      <c r="R57">
        <f t="shared" si="27"/>
        <v>0</v>
      </c>
      <c r="S57">
        <f t="shared" si="27"/>
        <v>0</v>
      </c>
    </row>
    <row r="58" spans="1:19">
      <c r="A58" t="s">
        <v>23</v>
      </c>
      <c r="B58" t="s">
        <v>35</v>
      </c>
      <c r="C58" t="s">
        <v>1495</v>
      </c>
      <c r="D58" t="s">
        <v>287</v>
      </c>
      <c r="H58">
        <v>8400000</v>
      </c>
      <c r="I58">
        <v>7800000</v>
      </c>
      <c r="J58">
        <v>9360000</v>
      </c>
      <c r="K58">
        <f t="shared" ref="K58:S58" si="28">K44*K59</f>
        <v>0</v>
      </c>
      <c r="L58">
        <f t="shared" si="28"/>
        <v>0</v>
      </c>
      <c r="M58">
        <f t="shared" si="28"/>
        <v>0</v>
      </c>
      <c r="N58">
        <f t="shared" si="28"/>
        <v>0</v>
      </c>
      <c r="O58">
        <f t="shared" si="28"/>
        <v>0</v>
      </c>
      <c r="P58">
        <f t="shared" si="28"/>
        <v>0</v>
      </c>
      <c r="Q58">
        <f t="shared" si="28"/>
        <v>0</v>
      </c>
      <c r="R58">
        <f t="shared" si="28"/>
        <v>0</v>
      </c>
      <c r="S58">
        <f t="shared" si="28"/>
        <v>0</v>
      </c>
    </row>
    <row r="59" spans="1:19">
      <c r="A59" t="s">
        <v>26</v>
      </c>
      <c r="B59" t="s">
        <v>179</v>
      </c>
      <c r="C59" t="s">
        <v>1496</v>
      </c>
      <c r="D59" t="s">
        <v>289</v>
      </c>
      <c r="H59">
        <f>H58/H44</f>
        <v>0.0224</v>
      </c>
      <c r="I59">
        <f>I58/I44</f>
        <v>0.02</v>
      </c>
      <c r="J59">
        <f>J58/J44</f>
        <v>0.0228292682926829</v>
      </c>
    </row>
    <row r="60" spans="1:19">
      <c r="A60" t="s">
        <v>23</v>
      </c>
      <c r="B60" t="s">
        <v>35</v>
      </c>
      <c r="C60" t="s">
        <v>1497</v>
      </c>
      <c r="D60" t="s">
        <v>299</v>
      </c>
      <c r="H60">
        <f t="shared" ref="H60:S60" si="29">H61</f>
        <v>0</v>
      </c>
      <c r="I60">
        <f t="shared" si="29"/>
        <v>0</v>
      </c>
      <c r="J60">
        <f t="shared" si="29"/>
        <v>0</v>
      </c>
      <c r="K60">
        <f t="shared" si="29"/>
        <v>0</v>
      </c>
      <c r="L60">
        <f t="shared" si="29"/>
        <v>0</v>
      </c>
      <c r="M60">
        <f t="shared" si="29"/>
        <v>0</v>
      </c>
      <c r="N60">
        <f t="shared" si="29"/>
        <v>0</v>
      </c>
      <c r="O60">
        <f t="shared" si="29"/>
        <v>0</v>
      </c>
      <c r="P60">
        <f t="shared" si="29"/>
        <v>0</v>
      </c>
      <c r="Q60">
        <f t="shared" si="29"/>
        <v>0</v>
      </c>
      <c r="R60">
        <f t="shared" si="29"/>
        <v>0</v>
      </c>
      <c r="S60">
        <f t="shared" si="29"/>
        <v>0</v>
      </c>
    </row>
    <row r="61" spans="1:19">
      <c r="A61" t="s">
        <v>26</v>
      </c>
      <c r="B61" t="s">
        <v>35</v>
      </c>
      <c r="C61" t="s">
        <v>1498</v>
      </c>
      <c r="D61" t="s">
        <v>301</v>
      </c>
      <c r="K61">
        <f t="shared" ref="K61:S61" si="30">K48*K62</f>
        <v>0</v>
      </c>
      <c r="L61">
        <f t="shared" si="30"/>
        <v>0</v>
      </c>
      <c r="M61">
        <f t="shared" si="30"/>
        <v>0</v>
      </c>
      <c r="N61">
        <f t="shared" si="30"/>
        <v>0</v>
      </c>
      <c r="O61">
        <f t="shared" si="30"/>
        <v>0</v>
      </c>
      <c r="P61">
        <f t="shared" si="30"/>
        <v>0</v>
      </c>
      <c r="Q61">
        <f t="shared" si="30"/>
        <v>0</v>
      </c>
      <c r="R61">
        <f t="shared" si="30"/>
        <v>0</v>
      </c>
      <c r="S61">
        <f t="shared" si="30"/>
        <v>0</v>
      </c>
    </row>
    <row r="62" spans="1:19">
      <c r="A62" t="s">
        <v>60</v>
      </c>
      <c r="B62" t="s">
        <v>179</v>
      </c>
      <c r="C62" t="s">
        <v>1499</v>
      </c>
      <c r="D62" t="s">
        <v>303</v>
      </c>
      <c r="H62">
        <f>H61/H48</f>
        <v>0</v>
      </c>
      <c r="I62">
        <f>I61/I48</f>
        <v>0</v>
      </c>
      <c r="J62">
        <f>J61/J48</f>
        <v>0</v>
      </c>
    </row>
    <row r="63" spans="1:19">
      <c r="A63" t="s">
        <v>19</v>
      </c>
      <c r="B63" t="s">
        <v>20</v>
      </c>
      <c r="C63" t="s">
        <v>1500</v>
      </c>
      <c r="D63" t="s">
        <v>309</v>
      </c>
      <c r="H63">
        <f t="shared" ref="H63:S63" si="31">H64+H66</f>
        <v>7000000</v>
      </c>
      <c r="I63">
        <f t="shared" si="31"/>
        <v>6500000</v>
      </c>
      <c r="J63">
        <f t="shared" si="31"/>
        <v>7800000</v>
      </c>
      <c r="K63">
        <f t="shared" si="31"/>
        <v>0</v>
      </c>
      <c r="L63">
        <f t="shared" si="31"/>
        <v>0</v>
      </c>
      <c r="M63">
        <f t="shared" si="31"/>
        <v>0</v>
      </c>
      <c r="N63">
        <f t="shared" si="31"/>
        <v>0</v>
      </c>
      <c r="O63">
        <f t="shared" si="31"/>
        <v>0</v>
      </c>
      <c r="P63">
        <f t="shared" si="31"/>
        <v>0</v>
      </c>
      <c r="Q63">
        <f t="shared" si="31"/>
        <v>0</v>
      </c>
      <c r="R63">
        <f t="shared" si="31"/>
        <v>0</v>
      </c>
      <c r="S63">
        <f t="shared" si="31"/>
        <v>0</v>
      </c>
    </row>
    <row r="64" spans="1:19">
      <c r="A64" t="s">
        <v>23</v>
      </c>
      <c r="B64" t="s">
        <v>20</v>
      </c>
      <c r="C64" t="s">
        <v>1501</v>
      </c>
      <c r="D64" t="s">
        <v>311</v>
      </c>
      <c r="H64">
        <v>7000000</v>
      </c>
      <c r="I64">
        <v>6500000</v>
      </c>
      <c r="J64">
        <v>7800000</v>
      </c>
      <c r="K64">
        <f t="shared" ref="K64:S64" si="32">K44*K65</f>
        <v>0</v>
      </c>
      <c r="L64">
        <f t="shared" si="32"/>
        <v>0</v>
      </c>
      <c r="M64">
        <f t="shared" si="32"/>
        <v>0</v>
      </c>
      <c r="N64">
        <f t="shared" si="32"/>
        <v>0</v>
      </c>
      <c r="O64">
        <f t="shared" si="32"/>
        <v>0</v>
      </c>
      <c r="P64">
        <f t="shared" si="32"/>
        <v>0</v>
      </c>
      <c r="Q64">
        <f t="shared" si="32"/>
        <v>0</v>
      </c>
      <c r="R64">
        <f t="shared" si="32"/>
        <v>0</v>
      </c>
      <c r="S64">
        <f t="shared" si="32"/>
        <v>0</v>
      </c>
    </row>
    <row r="65" spans="1:19">
      <c r="A65" t="s">
        <v>26</v>
      </c>
      <c r="B65" t="s">
        <v>179</v>
      </c>
      <c r="C65" t="s">
        <v>1502</v>
      </c>
      <c r="D65" t="s">
        <v>313</v>
      </c>
      <c r="H65">
        <f>H64/H44</f>
        <v>0.0186666666666667</v>
      </c>
      <c r="I65">
        <f>I64/I44</f>
        <v>0.0166666666666667</v>
      </c>
      <c r="J65">
        <f>J64/J44</f>
        <v>0.0190243902439024</v>
      </c>
    </row>
    <row r="66" spans="1:19">
      <c r="A66" t="s">
        <v>23</v>
      </c>
      <c r="B66" t="s">
        <v>20</v>
      </c>
      <c r="C66" t="s">
        <v>1503</v>
      </c>
      <c r="D66" t="s">
        <v>323</v>
      </c>
      <c r="H66">
        <f t="shared" ref="H66:S66" si="33">H67</f>
        <v>0</v>
      </c>
      <c r="I66">
        <f t="shared" si="33"/>
        <v>0</v>
      </c>
      <c r="J66">
        <f t="shared" si="33"/>
        <v>0</v>
      </c>
      <c r="K66">
        <f t="shared" si="33"/>
        <v>0</v>
      </c>
      <c r="L66">
        <f t="shared" si="33"/>
        <v>0</v>
      </c>
      <c r="M66">
        <f t="shared" si="33"/>
        <v>0</v>
      </c>
      <c r="N66">
        <f t="shared" si="33"/>
        <v>0</v>
      </c>
      <c r="O66">
        <f t="shared" si="33"/>
        <v>0</v>
      </c>
      <c r="P66">
        <f t="shared" si="33"/>
        <v>0</v>
      </c>
      <c r="Q66">
        <f t="shared" si="33"/>
        <v>0</v>
      </c>
      <c r="R66">
        <f t="shared" si="33"/>
        <v>0</v>
      </c>
      <c r="S66">
        <f t="shared" si="33"/>
        <v>0</v>
      </c>
    </row>
    <row r="67" spans="1:19">
      <c r="A67" t="s">
        <v>26</v>
      </c>
      <c r="B67" t="s">
        <v>20</v>
      </c>
      <c r="C67" t="s">
        <v>1504</v>
      </c>
      <c r="D67" t="s">
        <v>325</v>
      </c>
      <c r="K67">
        <f t="shared" ref="K67:S67" si="34">K48*K68</f>
        <v>0</v>
      </c>
      <c r="L67">
        <f t="shared" si="34"/>
        <v>0</v>
      </c>
      <c r="M67">
        <f t="shared" si="34"/>
        <v>0</v>
      </c>
      <c r="N67">
        <f t="shared" si="34"/>
        <v>0</v>
      </c>
      <c r="O67">
        <f t="shared" si="34"/>
        <v>0</v>
      </c>
      <c r="P67">
        <f t="shared" si="34"/>
        <v>0</v>
      </c>
      <c r="Q67">
        <f t="shared" si="34"/>
        <v>0</v>
      </c>
      <c r="R67">
        <f t="shared" si="34"/>
        <v>0</v>
      </c>
      <c r="S67">
        <f t="shared" si="34"/>
        <v>0</v>
      </c>
    </row>
    <row r="68" spans="1:19">
      <c r="A68" t="s">
        <v>60</v>
      </c>
      <c r="B68" t="s">
        <v>179</v>
      </c>
      <c r="C68" t="s">
        <v>1505</v>
      </c>
      <c r="D68" t="s">
        <v>327</v>
      </c>
      <c r="H68">
        <f>H67/H48</f>
        <v>0</v>
      </c>
      <c r="I68">
        <f>I67/I48</f>
        <v>0</v>
      </c>
      <c r="J68">
        <f>J67/J48</f>
        <v>0</v>
      </c>
    </row>
    <row r="69" spans="1:19">
      <c r="A69" t="s">
        <v>23</v>
      </c>
      <c r="B69" t="s">
        <v>20</v>
      </c>
      <c r="C69" t="s">
        <v>1506</v>
      </c>
      <c r="D69" t="s">
        <v>333</v>
      </c>
      <c r="H69">
        <f t="shared" ref="H69:S69" si="35">H70</f>
        <v>0</v>
      </c>
      <c r="I69">
        <f t="shared" si="35"/>
        <v>0</v>
      </c>
      <c r="J69">
        <f t="shared" si="35"/>
        <v>0</v>
      </c>
      <c r="K69">
        <f t="shared" si="35"/>
        <v>0</v>
      </c>
      <c r="L69">
        <f t="shared" si="35"/>
        <v>0</v>
      </c>
      <c r="M69">
        <f t="shared" si="35"/>
        <v>0</v>
      </c>
      <c r="N69">
        <f t="shared" si="35"/>
        <v>0</v>
      </c>
      <c r="O69">
        <f t="shared" si="35"/>
        <v>0</v>
      </c>
      <c r="P69">
        <f t="shared" si="35"/>
        <v>0</v>
      </c>
      <c r="Q69">
        <f t="shared" si="35"/>
        <v>0</v>
      </c>
      <c r="R69">
        <f t="shared" si="35"/>
        <v>0</v>
      </c>
      <c r="S69">
        <f t="shared" si="35"/>
        <v>0</v>
      </c>
    </row>
    <row r="70" spans="1:19">
      <c r="A70" t="s">
        <v>26</v>
      </c>
      <c r="B70" t="s">
        <v>20</v>
      </c>
      <c r="C70" t="s">
        <v>1507</v>
      </c>
      <c r="D70" t="s">
        <v>335</v>
      </c>
      <c r="K70">
        <f t="shared" ref="K70:S70" si="36">K72*K73</f>
        <v>0</v>
      </c>
      <c r="L70">
        <f t="shared" si="36"/>
        <v>0</v>
      </c>
      <c r="M70">
        <f t="shared" si="36"/>
        <v>0</v>
      </c>
      <c r="N70">
        <f t="shared" si="36"/>
        <v>0</v>
      </c>
      <c r="O70">
        <f t="shared" si="36"/>
        <v>0</v>
      </c>
      <c r="P70">
        <f t="shared" si="36"/>
        <v>0</v>
      </c>
      <c r="Q70">
        <f t="shared" si="36"/>
        <v>0</v>
      </c>
      <c r="R70">
        <f t="shared" si="36"/>
        <v>0</v>
      </c>
      <c r="S70">
        <f t="shared" si="36"/>
        <v>0</v>
      </c>
    </row>
    <row r="71" spans="1:19">
      <c r="A71" t="s">
        <v>60</v>
      </c>
      <c r="B71" t="s">
        <v>130</v>
      </c>
      <c r="C71" t="s">
        <v>1508</v>
      </c>
      <c r="D71" t="s">
        <v>1509</v>
      </c>
    </row>
    <row r="72" spans="1:19">
      <c r="A72" t="s">
        <v>60</v>
      </c>
      <c r="B72" t="s">
        <v>143</v>
      </c>
      <c r="C72" t="s">
        <v>1510</v>
      </c>
      <c r="D72" t="s">
        <v>1511</v>
      </c>
    </row>
    <row r="73" spans="1:19">
      <c r="A73" t="s">
        <v>60</v>
      </c>
      <c r="B73" t="s">
        <v>179</v>
      </c>
      <c r="C73" t="s">
        <v>1512</v>
      </c>
      <c r="D73" t="s">
        <v>1513</v>
      </c>
      <c r="H73" t="e">
        <f>H70/H72</f>
        <v>#DIV/0!</v>
      </c>
      <c r="I73" t="e">
        <f>I70/I72</f>
        <v>#DIV/0!</v>
      </c>
      <c r="J73" t="e">
        <f>J70/J72</f>
        <v>#DIV/0!</v>
      </c>
    </row>
    <row r="74" spans="1:19">
      <c r="A74" t="s">
        <v>19</v>
      </c>
      <c r="B74" t="s">
        <v>20</v>
      </c>
      <c r="C74" t="s">
        <v>1514</v>
      </c>
      <c r="D74" t="s">
        <v>337</v>
      </c>
      <c r="H74">
        <v>25200000</v>
      </c>
      <c r="I74">
        <v>23400000</v>
      </c>
      <c r="J74">
        <v>28080000</v>
      </c>
      <c r="K74">
        <f t="shared" ref="K74:S74" si="37">K75+K77+K78</f>
        <v>57600000</v>
      </c>
      <c r="L74">
        <f t="shared" si="37"/>
        <v>59040000</v>
      </c>
      <c r="M74">
        <f t="shared" si="37"/>
        <v>61200000</v>
      </c>
      <c r="N74">
        <f t="shared" si="37"/>
        <v>63360000</v>
      </c>
      <c r="O74">
        <f t="shared" si="37"/>
        <v>62640000</v>
      </c>
      <c r="P74">
        <f t="shared" si="37"/>
        <v>61200000</v>
      </c>
      <c r="Q74">
        <f t="shared" si="37"/>
        <v>66960000</v>
      </c>
      <c r="R74">
        <f t="shared" si="37"/>
        <v>66240000</v>
      </c>
      <c r="S74">
        <f t="shared" si="37"/>
        <v>68400000</v>
      </c>
    </row>
    <row r="75" spans="1:19">
      <c r="A75" t="s">
        <v>23</v>
      </c>
      <c r="B75" t="s">
        <v>20</v>
      </c>
      <c r="C75" t="s">
        <v>1515</v>
      </c>
      <c r="D75" t="s">
        <v>339</v>
      </c>
      <c r="H75">
        <v>25200000</v>
      </c>
      <c r="I75">
        <v>23400000</v>
      </c>
      <c r="J75">
        <v>28080000</v>
      </c>
      <c r="K75">
        <f t="shared" ref="K75:S75" si="38">K39*K76</f>
        <v>0</v>
      </c>
      <c r="L75">
        <f t="shared" si="38"/>
        <v>0</v>
      </c>
      <c r="M75">
        <f t="shared" si="38"/>
        <v>0</v>
      </c>
      <c r="N75">
        <f t="shared" si="38"/>
        <v>0</v>
      </c>
      <c r="O75">
        <f t="shared" si="38"/>
        <v>0</v>
      </c>
      <c r="P75">
        <f t="shared" si="38"/>
        <v>0</v>
      </c>
      <c r="Q75">
        <f t="shared" si="38"/>
        <v>0</v>
      </c>
      <c r="R75">
        <f t="shared" si="38"/>
        <v>0</v>
      </c>
      <c r="S75">
        <f t="shared" si="38"/>
        <v>0</v>
      </c>
    </row>
    <row r="76" spans="1:19">
      <c r="A76" t="s">
        <v>26</v>
      </c>
      <c r="B76" t="s">
        <v>179</v>
      </c>
      <c r="C76" t="s">
        <v>1516</v>
      </c>
      <c r="D76" t="s">
        <v>341</v>
      </c>
      <c r="H76">
        <f>H75/H39</f>
        <v>0.0168</v>
      </c>
      <c r="I76">
        <f>I75/I39</f>
        <v>0.015</v>
      </c>
      <c r="J76">
        <f>J75/J39</f>
        <v>0.0171219512195122</v>
      </c>
    </row>
    <row r="77" spans="1:19">
      <c r="A77" t="s">
        <v>23</v>
      </c>
      <c r="B77" t="s">
        <v>20</v>
      </c>
      <c r="C77" t="s">
        <v>1517</v>
      </c>
      <c r="D77" t="s">
        <v>1518</v>
      </c>
      <c r="H77">
        <v>25200000</v>
      </c>
      <c r="I77">
        <v>23400000</v>
      </c>
      <c r="J77">
        <v>28080000</v>
      </c>
      <c r="K77">
        <v>28800000</v>
      </c>
      <c r="L77">
        <v>29520000</v>
      </c>
      <c r="M77">
        <v>30600000</v>
      </c>
      <c r="N77">
        <v>31680000</v>
      </c>
      <c r="O77">
        <v>31320000</v>
      </c>
      <c r="P77">
        <v>30600000</v>
      </c>
      <c r="Q77">
        <v>33480000</v>
      </c>
      <c r="R77">
        <v>33120000</v>
      </c>
      <c r="S77">
        <v>34200000</v>
      </c>
    </row>
    <row r="78" spans="1:19">
      <c r="A78" t="s">
        <v>23</v>
      </c>
      <c r="B78" t="s">
        <v>20</v>
      </c>
      <c r="C78" t="s">
        <v>1519</v>
      </c>
      <c r="D78" t="s">
        <v>179</v>
      </c>
      <c r="H78">
        <f>H74-H75-H77</f>
        <v>-25200000</v>
      </c>
      <c r="I78">
        <f>I74-I75-I77</f>
        <v>-23400000</v>
      </c>
      <c r="J78">
        <f>J74-J75-J77</f>
        <v>-28080000</v>
      </c>
      <c r="K78">
        <v>28800000</v>
      </c>
      <c r="L78">
        <v>29520000</v>
      </c>
      <c r="M78">
        <v>30600000</v>
      </c>
      <c r="N78">
        <v>31680000</v>
      </c>
      <c r="O78">
        <v>31320000</v>
      </c>
      <c r="P78">
        <v>30600000</v>
      </c>
      <c r="Q78">
        <v>33480000</v>
      </c>
      <c r="R78">
        <v>33120000</v>
      </c>
      <c r="S78">
        <v>34200000</v>
      </c>
    </row>
    <row r="79" spans="1:19">
      <c r="A79" t="s">
        <v>19</v>
      </c>
      <c r="B79" t="s">
        <v>35</v>
      </c>
      <c r="C79" t="s">
        <v>1520</v>
      </c>
      <c r="D79" t="s">
        <v>365</v>
      </c>
      <c r="H79">
        <v>3500000</v>
      </c>
      <c r="I79">
        <v>3250000</v>
      </c>
      <c r="J79">
        <v>3900000</v>
      </c>
      <c r="K79">
        <f t="shared" ref="K79:S79" si="39">K80+K82+K84+K86+K89</f>
        <v>6.88900000004e+17</v>
      </c>
      <c r="L79">
        <f t="shared" si="39"/>
        <v>7.225000000041e+17</v>
      </c>
      <c r="M79">
        <f t="shared" si="39"/>
        <v>7.5690000000425e+17</v>
      </c>
      <c r="N79">
        <f t="shared" si="39"/>
        <v>7.744000000044e+17</v>
      </c>
      <c r="O79">
        <f t="shared" si="39"/>
        <v>7.3960000000435e+17</v>
      </c>
      <c r="P79">
        <f t="shared" si="39"/>
        <v>7.0560000000425e+17</v>
      </c>
      <c r="Q79">
        <f t="shared" si="39"/>
        <v>6.8890000000465e+17</v>
      </c>
      <c r="R79">
        <f t="shared" si="39"/>
        <v>6.724000000046e+17</v>
      </c>
      <c r="S79">
        <f t="shared" si="39"/>
        <v>7.5690000000475e+17</v>
      </c>
    </row>
    <row r="80" spans="1:19">
      <c r="A80" t="s">
        <v>23</v>
      </c>
      <c r="B80" t="s">
        <v>35</v>
      </c>
      <c r="C80" t="s">
        <v>1521</v>
      </c>
      <c r="D80" t="s">
        <v>367</v>
      </c>
      <c r="H80">
        <v>3500000</v>
      </c>
      <c r="I80">
        <v>3250000</v>
      </c>
      <c r="J80">
        <v>3900000</v>
      </c>
      <c r="K80">
        <f t="shared" ref="K80:S80" si="40">K36*K81</f>
        <v>0</v>
      </c>
      <c r="L80">
        <f t="shared" si="40"/>
        <v>0</v>
      </c>
      <c r="M80">
        <f t="shared" si="40"/>
        <v>0</v>
      </c>
      <c r="N80">
        <f t="shared" si="40"/>
        <v>0</v>
      </c>
      <c r="O80">
        <f t="shared" si="40"/>
        <v>0</v>
      </c>
      <c r="P80">
        <f t="shared" si="40"/>
        <v>0</v>
      </c>
      <c r="Q80">
        <f t="shared" si="40"/>
        <v>0</v>
      </c>
      <c r="R80">
        <f t="shared" si="40"/>
        <v>0</v>
      </c>
      <c r="S80">
        <f t="shared" si="40"/>
        <v>0</v>
      </c>
    </row>
    <row r="81" spans="1:19">
      <c r="A81" t="s">
        <v>26</v>
      </c>
      <c r="B81" t="s">
        <v>179</v>
      </c>
      <c r="C81" t="s">
        <v>1522</v>
      </c>
      <c r="D81" t="s">
        <v>369</v>
      </c>
      <c r="H81">
        <f>H80/H36</f>
        <v>0.000777777777777778</v>
      </c>
      <c r="I81">
        <f>I80/I36</f>
        <v>0.000694444444444444</v>
      </c>
      <c r="J81">
        <f>J80/J36</f>
        <v>0.000792682926829268</v>
      </c>
    </row>
    <row r="82" spans="1:19">
      <c r="A82" t="s">
        <v>23</v>
      </c>
      <c r="B82" t="s">
        <v>35</v>
      </c>
      <c r="C82" t="s">
        <v>1523</v>
      </c>
      <c r="D82" t="s">
        <v>371</v>
      </c>
      <c r="H82">
        <v>3500000</v>
      </c>
      <c r="I82">
        <v>3250000</v>
      </c>
      <c r="J82">
        <v>3900000</v>
      </c>
      <c r="K82">
        <f t="shared" ref="K82:S82" si="41">K36*K83</f>
        <v>0</v>
      </c>
      <c r="L82">
        <f t="shared" si="41"/>
        <v>0</v>
      </c>
      <c r="M82">
        <f t="shared" si="41"/>
        <v>0</v>
      </c>
      <c r="N82">
        <f t="shared" si="41"/>
        <v>0</v>
      </c>
      <c r="O82">
        <f t="shared" si="41"/>
        <v>0</v>
      </c>
      <c r="P82">
        <f t="shared" si="41"/>
        <v>0</v>
      </c>
      <c r="Q82">
        <f t="shared" si="41"/>
        <v>0</v>
      </c>
      <c r="R82">
        <f t="shared" si="41"/>
        <v>0</v>
      </c>
      <c r="S82">
        <f t="shared" si="41"/>
        <v>0</v>
      </c>
    </row>
    <row r="83" spans="1:19">
      <c r="A83" t="s">
        <v>26</v>
      </c>
      <c r="B83" t="s">
        <v>179</v>
      </c>
      <c r="C83" t="s">
        <v>1524</v>
      </c>
      <c r="D83" t="s">
        <v>369</v>
      </c>
      <c r="H83">
        <f>H82/H36</f>
        <v>0.000777777777777778</v>
      </c>
      <c r="I83">
        <f>I82/I36</f>
        <v>0.000694444444444444</v>
      </c>
      <c r="J83">
        <f>J82/J36</f>
        <v>0.000792682926829268</v>
      </c>
    </row>
    <row r="84" spans="1:19">
      <c r="A84" t="s">
        <v>23</v>
      </c>
      <c r="B84" t="s">
        <v>35</v>
      </c>
      <c r="C84" t="s">
        <v>1525</v>
      </c>
      <c r="D84" t="s">
        <v>374</v>
      </c>
      <c r="H84">
        <v>3500000</v>
      </c>
      <c r="I84">
        <v>3250000</v>
      </c>
      <c r="J84">
        <v>3900000</v>
      </c>
      <c r="K84">
        <f t="shared" ref="K84:S84" si="42">K36*K85</f>
        <v>0</v>
      </c>
      <c r="L84">
        <f t="shared" si="42"/>
        <v>0</v>
      </c>
      <c r="M84">
        <f t="shared" si="42"/>
        <v>0</v>
      </c>
      <c r="N84">
        <f t="shared" si="42"/>
        <v>0</v>
      </c>
      <c r="O84">
        <f t="shared" si="42"/>
        <v>0</v>
      </c>
      <c r="P84">
        <f t="shared" si="42"/>
        <v>0</v>
      </c>
      <c r="Q84">
        <f t="shared" si="42"/>
        <v>0</v>
      </c>
      <c r="R84">
        <f t="shared" si="42"/>
        <v>0</v>
      </c>
      <c r="S84">
        <f t="shared" si="42"/>
        <v>0</v>
      </c>
    </row>
    <row r="85" spans="1:19">
      <c r="A85" t="s">
        <v>26</v>
      </c>
      <c r="B85" t="s">
        <v>179</v>
      </c>
      <c r="C85" t="s">
        <v>1526</v>
      </c>
      <c r="D85" t="s">
        <v>369</v>
      </c>
      <c r="H85">
        <f>H84/H36</f>
        <v>0.000777777777777778</v>
      </c>
      <c r="I85">
        <f>I84/I36</f>
        <v>0.000694444444444444</v>
      </c>
      <c r="J85">
        <f>J84/J36</f>
        <v>0.000792682926829268</v>
      </c>
    </row>
    <row r="86" spans="1:19">
      <c r="A86" t="s">
        <v>23</v>
      </c>
      <c r="B86" t="s">
        <v>35</v>
      </c>
      <c r="C86" t="s">
        <v>1527</v>
      </c>
      <c r="D86" t="s">
        <v>381</v>
      </c>
      <c r="H86">
        <f t="shared" ref="H86:S86" si="43">H87+H98</f>
        <v>375000000</v>
      </c>
      <c r="I86">
        <f t="shared" si="43"/>
        <v>390000000</v>
      </c>
      <c r="J86">
        <f t="shared" si="43"/>
        <v>410000000</v>
      </c>
      <c r="K86">
        <f t="shared" si="43"/>
        <v>6.889e+17</v>
      </c>
      <c r="L86">
        <f t="shared" si="43"/>
        <v>7.225e+17</v>
      </c>
      <c r="M86">
        <f t="shared" si="43"/>
        <v>7.569e+17</v>
      </c>
      <c r="N86">
        <f t="shared" si="43"/>
        <v>7.744e+17</v>
      </c>
      <c r="O86">
        <f t="shared" si="43"/>
        <v>7.396e+17</v>
      </c>
      <c r="P86">
        <f t="shared" si="43"/>
        <v>7.056e+17</v>
      </c>
      <c r="Q86">
        <f t="shared" si="43"/>
        <v>6.889e+17</v>
      </c>
      <c r="R86">
        <f t="shared" si="43"/>
        <v>6.724e+17</v>
      </c>
      <c r="S86">
        <f t="shared" si="43"/>
        <v>7.569e+17</v>
      </c>
    </row>
    <row r="87" spans="1:19">
      <c r="A87" t="s">
        <v>26</v>
      </c>
      <c r="B87" t="s">
        <v>35</v>
      </c>
      <c r="C87" t="s">
        <v>1528</v>
      </c>
      <c r="D87" t="s">
        <v>1529</v>
      </c>
      <c r="H87">
        <v>375000000</v>
      </c>
      <c r="I87">
        <v>390000000</v>
      </c>
      <c r="J87">
        <v>410000000</v>
      </c>
      <c r="K87">
        <f t="shared" ref="K87:S87" si="44">K37*K88</f>
        <v>6.889e+17</v>
      </c>
      <c r="L87">
        <f t="shared" si="44"/>
        <v>7.225e+17</v>
      </c>
      <c r="M87">
        <f t="shared" si="44"/>
        <v>7.569e+17</v>
      </c>
      <c r="N87">
        <f t="shared" si="44"/>
        <v>7.744e+17</v>
      </c>
      <c r="O87">
        <f t="shared" si="44"/>
        <v>7.396e+17</v>
      </c>
      <c r="P87">
        <f t="shared" si="44"/>
        <v>7.056e+17</v>
      </c>
      <c r="Q87">
        <f t="shared" si="44"/>
        <v>6.889e+17</v>
      </c>
      <c r="R87">
        <f t="shared" si="44"/>
        <v>6.724e+17</v>
      </c>
      <c r="S87">
        <f t="shared" si="44"/>
        <v>7.569e+17</v>
      </c>
    </row>
    <row r="88" spans="1:19">
      <c r="A88" t="s">
        <v>60</v>
      </c>
      <c r="B88" t="s">
        <v>179</v>
      </c>
      <c r="C88" t="s">
        <v>1530</v>
      </c>
      <c r="D88" t="s">
        <v>1531</v>
      </c>
      <c r="H88">
        <f>H87/H37</f>
        <v>0.25</v>
      </c>
      <c r="I88">
        <f>I87/I37</f>
        <v>0.25</v>
      </c>
      <c r="J88">
        <f>J87/J37</f>
        <v>0.25</v>
      </c>
      <c r="K88">
        <v>415000000</v>
      </c>
      <c r="L88">
        <v>425000000</v>
      </c>
      <c r="M88">
        <v>435000000</v>
      </c>
      <c r="N88">
        <v>440000000</v>
      </c>
      <c r="O88">
        <v>430000000</v>
      </c>
      <c r="P88">
        <v>420000000</v>
      </c>
      <c r="Q88">
        <v>415000000</v>
      </c>
      <c r="R88">
        <v>410000000</v>
      </c>
      <c r="S88">
        <v>435000000</v>
      </c>
    </row>
    <row r="89" spans="1:19">
      <c r="A89" t="s">
        <v>23</v>
      </c>
      <c r="B89" t="s">
        <v>35</v>
      </c>
      <c r="C89" t="s">
        <v>1532</v>
      </c>
      <c r="D89" t="s">
        <v>179</v>
      </c>
      <c r="H89">
        <f>H79-H80-H82-H84-H86</f>
        <v>-382000000</v>
      </c>
      <c r="I89">
        <f>I79-I80-I82-I84-I86</f>
        <v>-396500000</v>
      </c>
      <c r="J89">
        <f>J79-J80-J82-J84-J86</f>
        <v>-417800000</v>
      </c>
      <c r="K89">
        <v>4000000</v>
      </c>
      <c r="L89">
        <v>4100000</v>
      </c>
      <c r="M89">
        <v>4250000</v>
      </c>
      <c r="N89">
        <v>4400000</v>
      </c>
      <c r="O89">
        <v>4350000</v>
      </c>
      <c r="P89">
        <v>4250000</v>
      </c>
      <c r="Q89">
        <v>4650000</v>
      </c>
      <c r="R89">
        <v>4600000</v>
      </c>
      <c r="S89">
        <v>4750000</v>
      </c>
    </row>
    <row r="90" spans="1:19">
      <c r="A90" t="s">
        <v>19</v>
      </c>
      <c r="B90" t="s">
        <v>20</v>
      </c>
      <c r="C90" t="s">
        <v>1533</v>
      </c>
      <c r="D90" t="s">
        <v>386</v>
      </c>
    </row>
    <row r="91" spans="1:19">
      <c r="A91" t="s">
        <v>19</v>
      </c>
      <c r="B91" t="s">
        <v>20</v>
      </c>
      <c r="C91" t="s">
        <v>1534</v>
      </c>
      <c r="D91" t="s">
        <v>392</v>
      </c>
    </row>
    <row r="92" spans="1:19">
      <c r="A92" t="s">
        <v>19</v>
      </c>
      <c r="B92" t="s">
        <v>393</v>
      </c>
      <c r="C92" t="s">
        <v>1535</v>
      </c>
      <c r="D92" t="s">
        <v>395</v>
      </c>
    </row>
    <row r="93" spans="1:19">
      <c r="A93" t="s">
        <v>23</v>
      </c>
      <c r="B93" t="s">
        <v>393</v>
      </c>
      <c r="C93" t="s">
        <v>1536</v>
      </c>
      <c r="D93" t="s">
        <v>397</v>
      </c>
    </row>
    <row r="94" spans="1:19">
      <c r="A94" t="s">
        <v>26</v>
      </c>
      <c r="B94" t="s">
        <v>393</v>
      </c>
      <c r="C94" t="s">
        <v>1537</v>
      </c>
      <c r="D94" t="s">
        <v>399</v>
      </c>
    </row>
    <row r="95" spans="1:19">
      <c r="A95" t="s">
        <v>60</v>
      </c>
      <c r="B95" t="s">
        <v>393</v>
      </c>
      <c r="C95" t="s">
        <v>1538</v>
      </c>
      <c r="D95" t="s">
        <v>401</v>
      </c>
    </row>
    <row r="96" spans="1:19">
      <c r="A96" t="s">
        <v>60</v>
      </c>
      <c r="B96" t="s">
        <v>393</v>
      </c>
      <c r="C96" t="s">
        <v>1539</v>
      </c>
      <c r="D96" t="s">
        <v>49</v>
      </c>
    </row>
    <row r="97" spans="1:4">
      <c r="A97" t="s">
        <v>26</v>
      </c>
      <c r="B97" t="s">
        <v>393</v>
      </c>
      <c r="C97" t="s">
        <v>1540</v>
      </c>
      <c r="D97" t="s">
        <v>51</v>
      </c>
    </row>
    <row r="98" spans="1:4">
      <c r="A98" t="s">
        <v>60</v>
      </c>
      <c r="B98" t="s">
        <v>393</v>
      </c>
      <c r="C98" t="s">
        <v>1541</v>
      </c>
      <c r="D98" t="s">
        <v>405</v>
      </c>
    </row>
    <row r="99" spans="1:4">
      <c r="A99" t="s">
        <v>60</v>
      </c>
      <c r="B99" t="s">
        <v>393</v>
      </c>
      <c r="C99" t="s">
        <v>1542</v>
      </c>
      <c r="D99" t="s">
        <v>407</v>
      </c>
    </row>
    <row r="100" spans="1:4">
      <c r="A100" t="s">
        <v>26</v>
      </c>
      <c r="B100" t="s">
        <v>393</v>
      </c>
      <c r="C100" t="s">
        <v>1543</v>
      </c>
      <c r="D100" t="s">
        <v>409</v>
      </c>
    </row>
    <row r="101" spans="1:4">
      <c r="A101" t="s">
        <v>60</v>
      </c>
      <c r="B101" t="s">
        <v>393</v>
      </c>
      <c r="C101" t="s">
        <v>1544</v>
      </c>
      <c r="D101" t="s">
        <v>59</v>
      </c>
    </row>
    <row r="102" spans="1:4">
      <c r="A102" t="s">
        <v>192</v>
      </c>
      <c r="B102" t="s">
        <v>393</v>
      </c>
      <c r="C102" t="s">
        <v>1545</v>
      </c>
      <c r="D102" t="s">
        <v>62</v>
      </c>
    </row>
    <row r="103" spans="1:4">
      <c r="A103" t="s">
        <v>192</v>
      </c>
      <c r="B103" t="s">
        <v>393</v>
      </c>
      <c r="C103" t="s">
        <v>1546</v>
      </c>
      <c r="D103" t="s">
        <v>64</v>
      </c>
    </row>
    <row r="104" spans="1:4">
      <c r="A104" t="s">
        <v>60</v>
      </c>
      <c r="B104" t="s">
        <v>393</v>
      </c>
      <c r="C104" t="s">
        <v>1547</v>
      </c>
      <c r="D104" t="s">
        <v>414</v>
      </c>
    </row>
    <row r="105" spans="1:4">
      <c r="A105" t="s">
        <v>60</v>
      </c>
      <c r="B105" t="s">
        <v>393</v>
      </c>
      <c r="C105" t="s">
        <v>1548</v>
      </c>
      <c r="D105" t="s">
        <v>68</v>
      </c>
    </row>
    <row r="106" spans="1:4">
      <c r="A106" t="s">
        <v>60</v>
      </c>
      <c r="B106" t="s">
        <v>393</v>
      </c>
      <c r="C106" t="s">
        <v>1549</v>
      </c>
      <c r="D106" t="s">
        <v>70</v>
      </c>
    </row>
    <row r="107" spans="1:4">
      <c r="A107" t="s">
        <v>26</v>
      </c>
      <c r="B107" t="s">
        <v>393</v>
      </c>
      <c r="C107" t="s">
        <v>1550</v>
      </c>
      <c r="D107" t="s">
        <v>418</v>
      </c>
    </row>
    <row r="108" spans="1:4">
      <c r="A108" t="s">
        <v>26</v>
      </c>
      <c r="B108" t="s">
        <v>393</v>
      </c>
      <c r="C108" t="s">
        <v>1551</v>
      </c>
      <c r="D108" t="s">
        <v>420</v>
      </c>
    </row>
    <row r="109" spans="1:4">
      <c r="A109" t="s">
        <v>23</v>
      </c>
      <c r="B109" t="s">
        <v>393</v>
      </c>
      <c r="C109" t="s">
        <v>1552</v>
      </c>
      <c r="D109" t="s">
        <v>422</v>
      </c>
    </row>
    <row r="110" spans="1:4">
      <c r="A110" t="s">
        <v>26</v>
      </c>
      <c r="B110" t="s">
        <v>393</v>
      </c>
      <c r="C110" t="s">
        <v>1553</v>
      </c>
      <c r="D110" t="s">
        <v>399</v>
      </c>
    </row>
    <row r="111" spans="1:4">
      <c r="A111" t="s">
        <v>60</v>
      </c>
      <c r="B111" t="s">
        <v>393</v>
      </c>
      <c r="C111" t="s">
        <v>1554</v>
      </c>
      <c r="D111" t="s">
        <v>401</v>
      </c>
    </row>
    <row r="112" spans="1:4">
      <c r="A112" t="s">
        <v>60</v>
      </c>
      <c r="B112" t="s">
        <v>393</v>
      </c>
      <c r="C112" t="s">
        <v>1555</v>
      </c>
      <c r="D112" t="s">
        <v>49</v>
      </c>
    </row>
    <row r="113" spans="1:19">
      <c r="A113" t="s">
        <v>26</v>
      </c>
      <c r="B113" t="s">
        <v>393</v>
      </c>
      <c r="C113" t="s">
        <v>1556</v>
      </c>
      <c r="D113" t="s">
        <v>51</v>
      </c>
    </row>
    <row r="114" spans="1:19">
      <c r="A114" t="s">
        <v>60</v>
      </c>
      <c r="B114" t="s">
        <v>393</v>
      </c>
      <c r="C114" t="s">
        <v>1557</v>
      </c>
      <c r="D114" t="s">
        <v>405</v>
      </c>
    </row>
    <row r="115" spans="1:19">
      <c r="A115" t="s">
        <v>60</v>
      </c>
      <c r="B115" t="s">
        <v>393</v>
      </c>
      <c r="C115" t="s">
        <v>1558</v>
      </c>
      <c r="D115" t="s">
        <v>407</v>
      </c>
    </row>
    <row r="116" spans="1:19">
      <c r="A116" t="s">
        <v>26</v>
      </c>
      <c r="B116" t="s">
        <v>393</v>
      </c>
      <c r="C116" t="s">
        <v>1559</v>
      </c>
      <c r="D116" t="s">
        <v>409</v>
      </c>
    </row>
    <row r="117" spans="1:19">
      <c r="A117" t="s">
        <v>60</v>
      </c>
      <c r="B117" t="s">
        <v>393</v>
      </c>
      <c r="C117" t="s">
        <v>1560</v>
      </c>
      <c r="D117" t="s">
        <v>59</v>
      </c>
    </row>
    <row r="118" spans="1:19">
      <c r="A118" t="s">
        <v>192</v>
      </c>
      <c r="B118" t="s">
        <v>393</v>
      </c>
      <c r="C118" t="s">
        <v>1561</v>
      </c>
      <c r="D118" t="s">
        <v>62</v>
      </c>
    </row>
    <row r="119" spans="1:19">
      <c r="A119" t="s">
        <v>192</v>
      </c>
      <c r="B119" t="s">
        <v>393</v>
      </c>
      <c r="C119" t="s">
        <v>1562</v>
      </c>
      <c r="D119" t="s">
        <v>64</v>
      </c>
    </row>
    <row r="120" spans="1:19">
      <c r="A120" t="s">
        <v>60</v>
      </c>
      <c r="B120" t="s">
        <v>393</v>
      </c>
      <c r="C120" t="s">
        <v>1563</v>
      </c>
      <c r="D120" t="s">
        <v>414</v>
      </c>
    </row>
    <row r="121" spans="1:19">
      <c r="A121" t="s">
        <v>60</v>
      </c>
      <c r="B121" t="s">
        <v>393</v>
      </c>
      <c r="C121" t="s">
        <v>1564</v>
      </c>
      <c r="D121" t="s">
        <v>68</v>
      </c>
    </row>
    <row r="122" spans="1:19">
      <c r="A122" t="s">
        <v>60</v>
      </c>
      <c r="B122" t="s">
        <v>393</v>
      </c>
      <c r="C122" t="s">
        <v>1565</v>
      </c>
      <c r="D122" t="s">
        <v>70</v>
      </c>
    </row>
    <row r="123" spans="1:19">
      <c r="A123" t="s">
        <v>26</v>
      </c>
      <c r="B123" t="s">
        <v>393</v>
      </c>
      <c r="C123" t="s">
        <v>1566</v>
      </c>
      <c r="D123" t="s">
        <v>418</v>
      </c>
    </row>
    <row r="124" spans="1:19">
      <c r="A124" t="s">
        <v>26</v>
      </c>
      <c r="B124" t="s">
        <v>393</v>
      </c>
      <c r="C124" t="s">
        <v>1567</v>
      </c>
      <c r="D124" t="s">
        <v>420</v>
      </c>
    </row>
    <row r="125" spans="1:19">
      <c r="A125" t="s">
        <v>19</v>
      </c>
      <c r="B125" t="s">
        <v>438</v>
      </c>
      <c r="C125" t="s">
        <v>1568</v>
      </c>
      <c r="D125" t="s">
        <v>440</v>
      </c>
    </row>
    <row r="126" spans="1:19">
      <c r="A126" t="s">
        <v>23</v>
      </c>
      <c r="B126" t="s">
        <v>438</v>
      </c>
      <c r="C126" t="s">
        <v>1569</v>
      </c>
      <c r="D126" t="s">
        <v>442</v>
      </c>
    </row>
    <row r="127" spans="1:19">
      <c r="A127" t="s">
        <v>26</v>
      </c>
      <c r="B127" t="s">
        <v>438</v>
      </c>
      <c r="C127" t="s">
        <v>1570</v>
      </c>
      <c r="D127" t="s">
        <v>444</v>
      </c>
    </row>
    <row r="128" spans="1:19">
      <c r="A128" t="s">
        <v>60</v>
      </c>
      <c r="B128" t="s">
        <v>438</v>
      </c>
      <c r="C128" t="s">
        <v>1571</v>
      </c>
      <c r="D128" t="s">
        <v>446</v>
      </c>
      <c r="H128">
        <v>2800000</v>
      </c>
      <c r="I128">
        <v>2600000</v>
      </c>
      <c r="J128">
        <v>3120000</v>
      </c>
      <c r="K128">
        <v>3200000</v>
      </c>
      <c r="L128">
        <v>3280000</v>
      </c>
      <c r="M128">
        <v>3400000</v>
      </c>
      <c r="N128">
        <v>3520000</v>
      </c>
      <c r="O128">
        <v>3480000</v>
      </c>
      <c r="P128">
        <v>3400000</v>
      </c>
      <c r="Q128">
        <v>3720000</v>
      </c>
      <c r="R128">
        <v>3680000</v>
      </c>
      <c r="S128">
        <v>3800000</v>
      </c>
    </row>
    <row r="129" spans="1:19">
      <c r="A129" t="s">
        <v>60</v>
      </c>
      <c r="B129" t="s">
        <v>438</v>
      </c>
      <c r="C129" t="s">
        <v>1572</v>
      </c>
      <c r="D129" t="s">
        <v>448</v>
      </c>
      <c r="H129">
        <v>2100000</v>
      </c>
      <c r="I129">
        <v>1950000</v>
      </c>
      <c r="J129">
        <v>2340000</v>
      </c>
      <c r="K129">
        <v>2400000</v>
      </c>
      <c r="L129">
        <v>2460000</v>
      </c>
      <c r="M129">
        <v>2550000</v>
      </c>
      <c r="N129">
        <v>2640000</v>
      </c>
      <c r="O129">
        <v>2610000</v>
      </c>
      <c r="P129">
        <v>2550000</v>
      </c>
      <c r="Q129">
        <v>2790000</v>
      </c>
      <c r="R129">
        <v>2760000</v>
      </c>
      <c r="S129">
        <v>2850000</v>
      </c>
    </row>
    <row r="130" spans="1:19">
      <c r="A130" t="s">
        <v>60</v>
      </c>
      <c r="B130" t="s">
        <v>438</v>
      </c>
      <c r="C130" t="s">
        <v>1573</v>
      </c>
      <c r="D130" t="s">
        <v>450</v>
      </c>
      <c r="H130">
        <v>1400000</v>
      </c>
      <c r="I130">
        <v>1300000</v>
      </c>
      <c r="J130">
        <v>1560000</v>
      </c>
      <c r="K130">
        <v>1600000</v>
      </c>
      <c r="L130">
        <v>1640000</v>
      </c>
      <c r="M130">
        <v>1700000</v>
      </c>
      <c r="N130">
        <v>1760000</v>
      </c>
      <c r="O130">
        <v>1740000</v>
      </c>
      <c r="P130">
        <v>1700000</v>
      </c>
      <c r="Q130">
        <v>1860000</v>
      </c>
      <c r="R130">
        <v>1840000</v>
      </c>
      <c r="S130">
        <v>1900000</v>
      </c>
    </row>
    <row r="131" spans="1:19">
      <c r="A131" t="s">
        <v>60</v>
      </c>
      <c r="B131" t="s">
        <v>438</v>
      </c>
      <c r="C131" t="s">
        <v>1574</v>
      </c>
      <c r="D131" t="s">
        <v>452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  <row r="132" spans="1:19">
      <c r="A132" t="s">
        <v>26</v>
      </c>
      <c r="B132" t="s">
        <v>438</v>
      </c>
      <c r="C132" t="s">
        <v>1575</v>
      </c>
      <c r="D132" t="s">
        <v>454</v>
      </c>
    </row>
    <row r="133" spans="1:19">
      <c r="A133" t="s">
        <v>60</v>
      </c>
      <c r="B133" t="s">
        <v>438</v>
      </c>
      <c r="C133" t="s">
        <v>1576</v>
      </c>
      <c r="D133" t="s">
        <v>456</v>
      </c>
      <c r="H133">
        <v>1500000000</v>
      </c>
      <c r="I133">
        <v>1560000000</v>
      </c>
      <c r="J133">
        <v>1640000000</v>
      </c>
      <c r="K133">
        <v>1660000000</v>
      </c>
      <c r="L133">
        <v>1700000000</v>
      </c>
      <c r="M133">
        <v>1740000000</v>
      </c>
      <c r="N133">
        <v>1760000000</v>
      </c>
      <c r="O133">
        <v>1720000000</v>
      </c>
      <c r="P133">
        <v>1680000000</v>
      </c>
      <c r="Q133">
        <v>1660000000</v>
      </c>
      <c r="R133">
        <v>1640000000</v>
      </c>
      <c r="S133">
        <v>1740000000</v>
      </c>
    </row>
    <row r="134" spans="1:19">
      <c r="A134" t="s">
        <v>60</v>
      </c>
      <c r="B134" t="s">
        <v>438</v>
      </c>
      <c r="C134" t="s">
        <v>1577</v>
      </c>
      <c r="D134" t="s">
        <v>458</v>
      </c>
      <c r="H134">
        <v>2800000</v>
      </c>
      <c r="I134">
        <v>2600000</v>
      </c>
      <c r="J134">
        <v>3120000</v>
      </c>
      <c r="K134">
        <v>3200000</v>
      </c>
      <c r="L134">
        <v>3280000</v>
      </c>
      <c r="M134">
        <v>3400000</v>
      </c>
      <c r="N134">
        <v>3520000</v>
      </c>
      <c r="O134">
        <v>3480000</v>
      </c>
      <c r="P134">
        <v>3400000</v>
      </c>
      <c r="Q134">
        <v>3720000</v>
      </c>
      <c r="R134">
        <v>3680000</v>
      </c>
      <c r="S134">
        <v>3800000</v>
      </c>
    </row>
    <row r="135" spans="1:19">
      <c r="A135" t="s">
        <v>60</v>
      </c>
      <c r="B135" t="s">
        <v>438</v>
      </c>
      <c r="C135" t="s">
        <v>1578</v>
      </c>
      <c r="D135" t="s">
        <v>460</v>
      </c>
      <c r="H135">
        <v>2100000</v>
      </c>
      <c r="I135">
        <v>1950000</v>
      </c>
      <c r="J135">
        <v>2340000</v>
      </c>
      <c r="K135">
        <v>2400000</v>
      </c>
      <c r="L135">
        <v>2460000</v>
      </c>
      <c r="M135">
        <v>2550000</v>
      </c>
      <c r="N135">
        <v>2640000</v>
      </c>
      <c r="O135">
        <v>2610000</v>
      </c>
      <c r="P135">
        <v>2550000</v>
      </c>
      <c r="Q135">
        <v>2790000</v>
      </c>
      <c r="R135">
        <v>2760000</v>
      </c>
      <c r="S135">
        <v>2850000</v>
      </c>
    </row>
    <row r="136" spans="1:19">
      <c r="A136" t="s">
        <v>60</v>
      </c>
      <c r="B136" t="s">
        <v>438</v>
      </c>
      <c r="C136" t="s">
        <v>1579</v>
      </c>
      <c r="D136" t="s">
        <v>462</v>
      </c>
      <c r="H136">
        <v>28000000</v>
      </c>
      <c r="I136">
        <v>26000000</v>
      </c>
      <c r="J136">
        <v>31200000</v>
      </c>
      <c r="K136">
        <v>32000000</v>
      </c>
      <c r="L136">
        <v>32800000</v>
      </c>
      <c r="M136">
        <v>34000000</v>
      </c>
      <c r="N136">
        <v>35200000</v>
      </c>
      <c r="O136">
        <v>34800000</v>
      </c>
      <c r="P136">
        <v>34000000</v>
      </c>
      <c r="Q136">
        <v>37200000</v>
      </c>
      <c r="R136">
        <v>36800000</v>
      </c>
      <c r="S136">
        <v>38000000</v>
      </c>
    </row>
    <row r="137" spans="1:19">
      <c r="A137" t="s">
        <v>60</v>
      </c>
      <c r="B137" t="s">
        <v>438</v>
      </c>
      <c r="C137" t="s">
        <v>1580</v>
      </c>
      <c r="D137" t="s">
        <v>464</v>
      </c>
    </row>
    <row r="138" spans="1:19">
      <c r="A138" t="s">
        <v>60</v>
      </c>
      <c r="B138" t="s">
        <v>438</v>
      </c>
      <c r="C138" t="s">
        <v>1581</v>
      </c>
      <c r="D138" t="s">
        <v>466</v>
      </c>
      <c r="H138">
        <v>175000000</v>
      </c>
      <c r="I138">
        <v>162500000</v>
      </c>
      <c r="J138">
        <v>195000000</v>
      </c>
      <c r="K138">
        <v>200000000</v>
      </c>
      <c r="L138">
        <v>205000000</v>
      </c>
      <c r="M138">
        <v>212500000</v>
      </c>
      <c r="N138">
        <v>220000000</v>
      </c>
      <c r="O138">
        <v>217500000</v>
      </c>
      <c r="P138">
        <v>212500000</v>
      </c>
      <c r="Q138">
        <v>232500000</v>
      </c>
      <c r="R138">
        <v>230000000</v>
      </c>
      <c r="S138">
        <v>237500000</v>
      </c>
    </row>
    <row r="139" spans="1:19">
      <c r="A139" t="s">
        <v>60</v>
      </c>
      <c r="B139" t="s">
        <v>438</v>
      </c>
      <c r="C139" t="s">
        <v>1582</v>
      </c>
      <c r="D139" t="s">
        <v>468</v>
      </c>
      <c r="H139">
        <v>1500000000</v>
      </c>
      <c r="I139">
        <v>1560000000</v>
      </c>
      <c r="J139">
        <v>1640000000</v>
      </c>
      <c r="K139">
        <v>1660000000</v>
      </c>
      <c r="L139">
        <v>1700000000</v>
      </c>
      <c r="M139">
        <v>1740000000</v>
      </c>
      <c r="N139">
        <v>1760000000</v>
      </c>
      <c r="O139">
        <v>1720000000</v>
      </c>
      <c r="P139">
        <v>1680000000</v>
      </c>
      <c r="Q139">
        <v>1660000000</v>
      </c>
      <c r="R139">
        <v>1640000000</v>
      </c>
      <c r="S139">
        <v>1740000000</v>
      </c>
    </row>
    <row r="140" spans="1:19">
      <c r="A140" t="s">
        <v>60</v>
      </c>
      <c r="B140" t="s">
        <v>438</v>
      </c>
      <c r="C140" t="s">
        <v>1583</v>
      </c>
      <c r="D140" t="s">
        <v>470</v>
      </c>
    </row>
    <row r="141" spans="1:19">
      <c r="A141" t="s">
        <v>60</v>
      </c>
      <c r="B141" t="s">
        <v>438</v>
      </c>
      <c r="C141" t="s">
        <v>1584</v>
      </c>
      <c r="D141" t="s">
        <v>472</v>
      </c>
    </row>
    <row r="142" spans="1:19">
      <c r="A142" t="s">
        <v>60</v>
      </c>
      <c r="B142" t="s">
        <v>438</v>
      </c>
      <c r="C142" t="s">
        <v>1585</v>
      </c>
      <c r="D142" t="s">
        <v>474</v>
      </c>
    </row>
    <row r="143" spans="1:19">
      <c r="A143" t="s">
        <v>60</v>
      </c>
      <c r="B143" t="s">
        <v>438</v>
      </c>
      <c r="C143" t="s">
        <v>1586</v>
      </c>
      <c r="D143" t="s">
        <v>476</v>
      </c>
      <c r="H143">
        <v>1500000000</v>
      </c>
      <c r="I143">
        <v>1560000000</v>
      </c>
      <c r="J143">
        <v>1640000000</v>
      </c>
      <c r="K143">
        <v>1660000000</v>
      </c>
      <c r="L143">
        <v>1700000000</v>
      </c>
      <c r="M143">
        <v>1740000000</v>
      </c>
      <c r="N143">
        <v>1760000000</v>
      </c>
      <c r="O143">
        <v>1720000000</v>
      </c>
      <c r="P143">
        <v>1680000000</v>
      </c>
      <c r="Q143">
        <v>1660000000</v>
      </c>
      <c r="R143">
        <v>1640000000</v>
      </c>
      <c r="S143">
        <v>1740000000</v>
      </c>
    </row>
    <row r="144" spans="1:19">
      <c r="A144" t="s">
        <v>60</v>
      </c>
      <c r="B144" t="s">
        <v>438</v>
      </c>
      <c r="C144" t="s">
        <v>1587</v>
      </c>
      <c r="D144" t="s">
        <v>478</v>
      </c>
      <c r="H144">
        <v>1400000</v>
      </c>
      <c r="I144">
        <v>1300000</v>
      </c>
      <c r="J144">
        <v>1560000</v>
      </c>
      <c r="K144">
        <v>1600000</v>
      </c>
      <c r="L144">
        <v>1640000</v>
      </c>
      <c r="M144">
        <v>1700000</v>
      </c>
      <c r="N144">
        <v>1760000</v>
      </c>
      <c r="O144">
        <v>1740000</v>
      </c>
      <c r="P144">
        <v>1700000</v>
      </c>
      <c r="Q144">
        <v>1860000</v>
      </c>
      <c r="R144">
        <v>1840000</v>
      </c>
      <c r="S144">
        <v>1900000</v>
      </c>
    </row>
    <row r="145" spans="1:19">
      <c r="A145" t="s">
        <v>60</v>
      </c>
      <c r="B145" t="s">
        <v>438</v>
      </c>
      <c r="C145" t="s">
        <v>1588</v>
      </c>
      <c r="D145" t="s">
        <v>480</v>
      </c>
      <c r="H145">
        <v>700000</v>
      </c>
      <c r="I145">
        <v>650000</v>
      </c>
      <c r="J145">
        <v>780000</v>
      </c>
      <c r="K145">
        <v>800000</v>
      </c>
      <c r="L145">
        <v>820000</v>
      </c>
      <c r="M145">
        <v>850000</v>
      </c>
      <c r="N145">
        <v>880000</v>
      </c>
      <c r="O145">
        <v>870000</v>
      </c>
      <c r="P145">
        <v>850000</v>
      </c>
      <c r="Q145">
        <v>930000</v>
      </c>
      <c r="R145">
        <v>920000</v>
      </c>
      <c r="S145">
        <v>950000</v>
      </c>
    </row>
    <row r="146" spans="1:19">
      <c r="A146" t="s">
        <v>60</v>
      </c>
      <c r="B146" t="s">
        <v>438</v>
      </c>
      <c r="C146" t="s">
        <v>1589</v>
      </c>
      <c r="D146" t="s">
        <v>482</v>
      </c>
    </row>
    <row r="147" spans="1:19">
      <c r="A147" t="s">
        <v>26</v>
      </c>
      <c r="B147" t="s">
        <v>438</v>
      </c>
      <c r="C147" t="s">
        <v>1590</v>
      </c>
      <c r="D147" t="s">
        <v>484</v>
      </c>
    </row>
    <row r="148" spans="1:19">
      <c r="A148" t="s">
        <v>60</v>
      </c>
      <c r="B148" t="s">
        <v>438</v>
      </c>
      <c r="C148" t="s">
        <v>1591</v>
      </c>
      <c r="D148" t="s">
        <v>486</v>
      </c>
      <c r="H148">
        <v>2800000</v>
      </c>
      <c r="I148">
        <v>2600000</v>
      </c>
      <c r="J148">
        <v>3120000</v>
      </c>
      <c r="K148">
        <v>3200000</v>
      </c>
      <c r="L148">
        <v>3280000</v>
      </c>
      <c r="M148">
        <v>3400000</v>
      </c>
      <c r="N148">
        <v>3520000</v>
      </c>
      <c r="O148">
        <v>3480000</v>
      </c>
      <c r="P148">
        <v>3400000</v>
      </c>
      <c r="Q148">
        <v>3720000</v>
      </c>
      <c r="R148">
        <v>3680000</v>
      </c>
      <c r="S148">
        <v>3800000</v>
      </c>
    </row>
    <row r="149" spans="1:19">
      <c r="A149" t="s">
        <v>60</v>
      </c>
      <c r="B149" t="s">
        <v>438</v>
      </c>
      <c r="C149" t="s">
        <v>1592</v>
      </c>
      <c r="D149" t="s">
        <v>488</v>
      </c>
      <c r="H149">
        <v>2100000</v>
      </c>
      <c r="I149">
        <v>1950000</v>
      </c>
      <c r="J149">
        <v>2340000</v>
      </c>
      <c r="K149">
        <v>2400000</v>
      </c>
      <c r="L149">
        <v>2460000</v>
      </c>
      <c r="M149">
        <v>2550000</v>
      </c>
      <c r="N149">
        <v>2640000</v>
      </c>
      <c r="O149">
        <v>2610000</v>
      </c>
      <c r="P149">
        <v>2550000</v>
      </c>
      <c r="Q149">
        <v>2790000</v>
      </c>
      <c r="R149">
        <v>2760000</v>
      </c>
      <c r="S149">
        <v>2850000</v>
      </c>
    </row>
    <row r="150" spans="1:19">
      <c r="A150" t="s">
        <v>60</v>
      </c>
      <c r="B150" t="s">
        <v>438</v>
      </c>
      <c r="C150" t="s">
        <v>1593</v>
      </c>
      <c r="D150" t="s">
        <v>490</v>
      </c>
      <c r="H150">
        <v>1400000</v>
      </c>
      <c r="I150">
        <v>1300000</v>
      </c>
      <c r="J150">
        <v>1560000</v>
      </c>
      <c r="K150">
        <v>1600000</v>
      </c>
      <c r="L150">
        <v>1640000</v>
      </c>
      <c r="M150">
        <v>1700000</v>
      </c>
      <c r="N150">
        <v>1760000</v>
      </c>
      <c r="O150">
        <v>1740000</v>
      </c>
      <c r="P150">
        <v>1700000</v>
      </c>
      <c r="Q150">
        <v>1860000</v>
      </c>
      <c r="R150">
        <v>1840000</v>
      </c>
      <c r="S150">
        <v>1900000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1568</v>
      </c>
      <c r="D2" t="s">
        <v>440</v>
      </c>
    </row>
    <row r="3" spans="1:19">
      <c r="A3" t="s">
        <v>19</v>
      </c>
      <c r="B3" t="s">
        <v>179</v>
      </c>
      <c r="C3" t="s">
        <v>1569</v>
      </c>
      <c r="D3" t="s">
        <v>442</v>
      </c>
    </row>
    <row r="4" spans="1:19">
      <c r="A4" t="s">
        <v>23</v>
      </c>
      <c r="B4" t="s">
        <v>179</v>
      </c>
      <c r="C4" t="s">
        <v>1570</v>
      </c>
      <c r="D4" t="s">
        <v>444</v>
      </c>
    </row>
    <row r="5" spans="1:19">
      <c r="A5" t="s">
        <v>26</v>
      </c>
      <c r="B5" t="s">
        <v>179</v>
      </c>
      <c r="C5" t="s">
        <v>1571</v>
      </c>
      <c r="D5" t="s">
        <v>446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26</v>
      </c>
      <c r="B6" t="s">
        <v>179</v>
      </c>
      <c r="C6" t="s">
        <v>1572</v>
      </c>
      <c r="D6" t="s">
        <v>448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26</v>
      </c>
      <c r="B7" t="s">
        <v>179</v>
      </c>
      <c r="C7" t="s">
        <v>1573</v>
      </c>
      <c r="D7" t="s">
        <v>450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26</v>
      </c>
      <c r="B8" t="s">
        <v>179</v>
      </c>
      <c r="C8" t="s">
        <v>1574</v>
      </c>
      <c r="D8" t="s">
        <v>452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23</v>
      </c>
      <c r="B9" t="s">
        <v>179</v>
      </c>
      <c r="C9" t="s">
        <v>1575</v>
      </c>
      <c r="D9" t="s">
        <v>454</v>
      </c>
    </row>
    <row r="10" spans="1:19">
      <c r="A10" t="s">
        <v>26</v>
      </c>
      <c r="B10" t="s">
        <v>179</v>
      </c>
      <c r="C10" t="s">
        <v>1576</v>
      </c>
      <c r="D10" t="s">
        <v>456</v>
      </c>
      <c r="H10">
        <v>1500000000</v>
      </c>
      <c r="I10">
        <v>1560000000</v>
      </c>
      <c r="J10">
        <v>1640000000</v>
      </c>
      <c r="K10">
        <v>1660000000</v>
      </c>
      <c r="L10">
        <v>1700000000</v>
      </c>
      <c r="M10">
        <v>1740000000</v>
      </c>
      <c r="N10">
        <v>1760000000</v>
      </c>
      <c r="O10">
        <v>1720000000</v>
      </c>
      <c r="P10">
        <v>1680000000</v>
      </c>
      <c r="Q10">
        <v>1660000000</v>
      </c>
      <c r="R10">
        <v>1640000000</v>
      </c>
      <c r="S10">
        <v>1740000000</v>
      </c>
    </row>
    <row r="11" spans="1:19">
      <c r="A11" t="s">
        <v>26</v>
      </c>
      <c r="B11" t="s">
        <v>179</v>
      </c>
      <c r="C11" t="s">
        <v>1577</v>
      </c>
      <c r="D11" t="s">
        <v>458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26</v>
      </c>
      <c r="B12" t="s">
        <v>179</v>
      </c>
      <c r="C12" t="s">
        <v>1578</v>
      </c>
      <c r="D12" t="s">
        <v>460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26</v>
      </c>
      <c r="B13" t="s">
        <v>179</v>
      </c>
      <c r="C13" t="s">
        <v>1579</v>
      </c>
      <c r="D13" t="s">
        <v>462</v>
      </c>
      <c r="H13">
        <v>28000000</v>
      </c>
      <c r="I13">
        <v>26000000</v>
      </c>
      <c r="J13">
        <v>31200000</v>
      </c>
      <c r="K13">
        <v>32000000</v>
      </c>
      <c r="L13">
        <v>32800000</v>
      </c>
      <c r="M13">
        <v>34000000</v>
      </c>
      <c r="N13">
        <v>35200000</v>
      </c>
      <c r="O13">
        <v>34800000</v>
      </c>
      <c r="P13">
        <v>34000000</v>
      </c>
      <c r="Q13">
        <v>37200000</v>
      </c>
      <c r="R13">
        <v>36800000</v>
      </c>
      <c r="S13">
        <v>38000000</v>
      </c>
    </row>
    <row r="14" spans="1:19">
      <c r="A14" t="s">
        <v>26</v>
      </c>
      <c r="B14" t="s">
        <v>179</v>
      </c>
      <c r="C14" t="s">
        <v>1580</v>
      </c>
      <c r="D14" t="s">
        <v>464</v>
      </c>
    </row>
    <row r="15" spans="1:19">
      <c r="A15" t="s">
        <v>26</v>
      </c>
      <c r="B15" t="s">
        <v>179</v>
      </c>
      <c r="C15" t="s">
        <v>1581</v>
      </c>
      <c r="D15" t="s">
        <v>466</v>
      </c>
      <c r="H15">
        <v>175000000</v>
      </c>
      <c r="I15">
        <v>162500000</v>
      </c>
      <c r="J15">
        <v>195000000</v>
      </c>
      <c r="K15">
        <v>200000000</v>
      </c>
      <c r="L15">
        <v>205000000</v>
      </c>
      <c r="M15">
        <v>212500000</v>
      </c>
      <c r="N15">
        <v>220000000</v>
      </c>
      <c r="O15">
        <v>217500000</v>
      </c>
      <c r="P15">
        <v>212500000</v>
      </c>
      <c r="Q15">
        <v>232500000</v>
      </c>
      <c r="R15">
        <v>230000000</v>
      </c>
      <c r="S15">
        <v>237500000</v>
      </c>
    </row>
    <row r="16" spans="1:19">
      <c r="A16" t="s">
        <v>26</v>
      </c>
      <c r="B16" t="s">
        <v>179</v>
      </c>
      <c r="C16" t="s">
        <v>1582</v>
      </c>
      <c r="D16" t="s">
        <v>468</v>
      </c>
      <c r="H16">
        <v>1500000000</v>
      </c>
      <c r="I16">
        <v>1560000000</v>
      </c>
      <c r="J16">
        <v>1640000000</v>
      </c>
      <c r="K16">
        <v>1660000000</v>
      </c>
      <c r="L16">
        <v>1700000000</v>
      </c>
      <c r="M16">
        <v>1740000000</v>
      </c>
      <c r="N16">
        <v>1760000000</v>
      </c>
      <c r="O16">
        <v>1720000000</v>
      </c>
      <c r="P16">
        <v>1680000000</v>
      </c>
      <c r="Q16">
        <v>1660000000</v>
      </c>
      <c r="R16">
        <v>1640000000</v>
      </c>
      <c r="S16">
        <v>1740000000</v>
      </c>
    </row>
    <row r="17" spans="1:19">
      <c r="A17" t="s">
        <v>26</v>
      </c>
      <c r="B17" t="s">
        <v>179</v>
      </c>
      <c r="C17" t="s">
        <v>1583</v>
      </c>
      <c r="D17" t="s">
        <v>470</v>
      </c>
    </row>
    <row r="18" spans="1:19">
      <c r="A18" t="s">
        <v>26</v>
      </c>
      <c r="B18" t="s">
        <v>179</v>
      </c>
      <c r="C18" t="s">
        <v>1584</v>
      </c>
      <c r="D18" t="s">
        <v>472</v>
      </c>
    </row>
    <row r="19" spans="1:19">
      <c r="A19" t="s">
        <v>26</v>
      </c>
      <c r="B19" t="s">
        <v>179</v>
      </c>
      <c r="C19" t="s">
        <v>1585</v>
      </c>
      <c r="D19" t="s">
        <v>474</v>
      </c>
    </row>
    <row r="20" spans="1:19">
      <c r="A20" t="s">
        <v>26</v>
      </c>
      <c r="B20" t="s">
        <v>179</v>
      </c>
      <c r="C20" t="s">
        <v>1586</v>
      </c>
      <c r="D20" t="s">
        <v>476</v>
      </c>
      <c r="H20">
        <v>1500000000</v>
      </c>
      <c r="I20">
        <v>1560000000</v>
      </c>
      <c r="J20">
        <v>1640000000</v>
      </c>
      <c r="K20">
        <v>1660000000</v>
      </c>
      <c r="L20">
        <v>1700000000</v>
      </c>
      <c r="M20">
        <v>1740000000</v>
      </c>
      <c r="N20">
        <v>1760000000</v>
      </c>
      <c r="O20">
        <v>1720000000</v>
      </c>
      <c r="P20">
        <v>1680000000</v>
      </c>
      <c r="Q20">
        <v>1660000000</v>
      </c>
      <c r="R20">
        <v>1640000000</v>
      </c>
      <c r="S20">
        <v>1740000000</v>
      </c>
    </row>
    <row r="21" spans="1:19">
      <c r="A21" t="s">
        <v>26</v>
      </c>
      <c r="B21" t="s">
        <v>179</v>
      </c>
      <c r="C21" t="s">
        <v>1587</v>
      </c>
      <c r="D21" t="s">
        <v>478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26</v>
      </c>
      <c r="B22" t="s">
        <v>179</v>
      </c>
      <c r="C22" t="s">
        <v>1588</v>
      </c>
      <c r="D22" t="s">
        <v>480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26</v>
      </c>
      <c r="B23" t="s">
        <v>179</v>
      </c>
      <c r="C23" t="s">
        <v>1589</v>
      </c>
      <c r="D23" t="s">
        <v>482</v>
      </c>
    </row>
    <row r="24" spans="1:19">
      <c r="A24" t="s">
        <v>23</v>
      </c>
      <c r="B24" t="s">
        <v>179</v>
      </c>
      <c r="C24" t="s">
        <v>1590</v>
      </c>
      <c r="D24" t="s">
        <v>484</v>
      </c>
    </row>
    <row r="25" spans="1:19">
      <c r="A25" t="s">
        <v>26</v>
      </c>
      <c r="B25" t="s">
        <v>179</v>
      </c>
      <c r="C25" t="s">
        <v>1591</v>
      </c>
      <c r="D25" t="s">
        <v>486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26</v>
      </c>
      <c r="B26" t="s">
        <v>179</v>
      </c>
      <c r="C26" t="s">
        <v>1592</v>
      </c>
      <c r="D26" t="s">
        <v>488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26</v>
      </c>
      <c r="B27" t="s">
        <v>179</v>
      </c>
      <c r="C27" t="s">
        <v>1593</v>
      </c>
      <c r="D27" t="s">
        <v>490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1594</v>
      </c>
      <c r="D2" t="s">
        <v>22</v>
      </c>
      <c r="H2">
        <f t="shared" ref="H2:S2" si="0">H3+H6+H7</f>
        <v>60900000</v>
      </c>
      <c r="I2">
        <f t="shared" si="0"/>
        <v>56550000</v>
      </c>
      <c r="J2">
        <f t="shared" si="0"/>
        <v>67860000</v>
      </c>
      <c r="K2">
        <f t="shared" si="0"/>
        <v>33600000</v>
      </c>
      <c r="L2">
        <f t="shared" si="0"/>
        <v>34440000</v>
      </c>
      <c r="M2">
        <f t="shared" si="0"/>
        <v>35700000</v>
      </c>
      <c r="N2">
        <f t="shared" si="0"/>
        <v>36960000</v>
      </c>
      <c r="O2">
        <f t="shared" si="0"/>
        <v>36540000</v>
      </c>
      <c r="P2">
        <f t="shared" si="0"/>
        <v>35700000</v>
      </c>
      <c r="Q2">
        <f t="shared" si="0"/>
        <v>39060000</v>
      </c>
      <c r="R2">
        <f t="shared" si="0"/>
        <v>38640000</v>
      </c>
      <c r="S2">
        <f t="shared" si="0"/>
        <v>39900000</v>
      </c>
    </row>
    <row r="3" spans="1:19">
      <c r="A3" t="s">
        <v>23</v>
      </c>
      <c r="B3" t="s">
        <v>20</v>
      </c>
      <c r="C3" t="s">
        <v>1595</v>
      </c>
      <c r="D3" t="s">
        <v>25</v>
      </c>
      <c r="H3">
        <f t="shared" ref="H3:S3" si="1">H4+H5</f>
        <v>31500000</v>
      </c>
      <c r="I3">
        <f t="shared" si="1"/>
        <v>29250000</v>
      </c>
      <c r="J3">
        <f t="shared" si="1"/>
        <v>35100000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</row>
    <row r="4" spans="1:19">
      <c r="A4" t="s">
        <v>26</v>
      </c>
      <c r="B4" t="s">
        <v>20</v>
      </c>
      <c r="C4" t="s">
        <v>1596</v>
      </c>
      <c r="D4" t="s">
        <v>28</v>
      </c>
      <c r="H4">
        <f t="shared" ref="H4:S4" si="2">H59-H65</f>
        <v>31500000</v>
      </c>
      <c r="I4">
        <f t="shared" si="2"/>
        <v>29250000</v>
      </c>
      <c r="J4">
        <f t="shared" si="2"/>
        <v>35100000</v>
      </c>
      <c r="K4">
        <f t="shared" si="2"/>
        <v>0</v>
      </c>
      <c r="L4">
        <f t="shared" si="2"/>
        <v>0</v>
      </c>
      <c r="M4">
        <f t="shared" si="2"/>
        <v>0</v>
      </c>
      <c r="N4">
        <f t="shared" si="2"/>
        <v>0</v>
      </c>
      <c r="O4">
        <f t="shared" si="2"/>
        <v>0</v>
      </c>
      <c r="P4">
        <f t="shared" si="2"/>
        <v>0</v>
      </c>
      <c r="Q4">
        <f t="shared" si="2"/>
        <v>0</v>
      </c>
      <c r="R4">
        <f t="shared" si="2"/>
        <v>0</v>
      </c>
      <c r="S4">
        <f t="shared" si="2"/>
        <v>0</v>
      </c>
    </row>
    <row r="5" spans="1:19">
      <c r="A5" t="s">
        <v>26</v>
      </c>
      <c r="B5" t="s">
        <v>20</v>
      </c>
      <c r="C5" t="s">
        <v>1597</v>
      </c>
      <c r="D5" t="s">
        <v>30</v>
      </c>
      <c r="H5">
        <f t="shared" ref="H5:S5" si="3">H83-H73</f>
        <v>0</v>
      </c>
      <c r="I5">
        <f t="shared" si="3"/>
        <v>0</v>
      </c>
      <c r="J5">
        <f t="shared" si="3"/>
        <v>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>
        <f t="shared" si="3"/>
        <v>0</v>
      </c>
      <c r="R5">
        <f t="shared" si="3"/>
        <v>0</v>
      </c>
      <c r="S5">
        <f t="shared" si="3"/>
        <v>0</v>
      </c>
    </row>
    <row r="6" spans="1:19">
      <c r="A6" t="s">
        <v>23</v>
      </c>
      <c r="B6" t="s">
        <v>20</v>
      </c>
      <c r="C6" t="s">
        <v>1598</v>
      </c>
      <c r="D6" t="s">
        <v>32</v>
      </c>
      <c r="H6">
        <f t="shared" ref="H6:S6" si="4">H95-H99</f>
        <v>29400000</v>
      </c>
      <c r="I6">
        <f t="shared" si="4"/>
        <v>27300000</v>
      </c>
      <c r="J6">
        <f t="shared" si="4"/>
        <v>32760000</v>
      </c>
      <c r="K6">
        <f t="shared" si="4"/>
        <v>33600000</v>
      </c>
      <c r="L6">
        <f t="shared" si="4"/>
        <v>34440000</v>
      </c>
      <c r="M6">
        <f t="shared" si="4"/>
        <v>35700000</v>
      </c>
      <c r="N6">
        <f t="shared" si="4"/>
        <v>36960000</v>
      </c>
      <c r="O6">
        <f t="shared" si="4"/>
        <v>36540000</v>
      </c>
      <c r="P6">
        <f t="shared" si="4"/>
        <v>35700000</v>
      </c>
      <c r="Q6">
        <f t="shared" si="4"/>
        <v>39060000</v>
      </c>
      <c r="R6">
        <f t="shared" si="4"/>
        <v>38640000</v>
      </c>
      <c r="S6">
        <f t="shared" si="4"/>
        <v>39900000</v>
      </c>
    </row>
    <row r="7" spans="1:19">
      <c r="A7" t="s">
        <v>23</v>
      </c>
      <c r="B7" t="s">
        <v>20</v>
      </c>
      <c r="C7" t="s">
        <v>1599</v>
      </c>
      <c r="D7" t="s">
        <v>34</v>
      </c>
      <c r="H7">
        <f t="shared" ref="H7:S7" si="5">H105+H106</f>
        <v>0</v>
      </c>
      <c r="I7">
        <f t="shared" si="5"/>
        <v>0</v>
      </c>
      <c r="J7">
        <f t="shared" si="5"/>
        <v>0</v>
      </c>
      <c r="K7">
        <f t="shared" si="5"/>
        <v>0</v>
      </c>
      <c r="L7">
        <f t="shared" si="5"/>
        <v>0</v>
      </c>
      <c r="M7">
        <f t="shared" si="5"/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</row>
    <row r="8" spans="1:19">
      <c r="A8" t="s">
        <v>19</v>
      </c>
      <c r="B8" t="s">
        <v>35</v>
      </c>
      <c r="C8" t="s">
        <v>1600</v>
      </c>
      <c r="D8" t="s">
        <v>37</v>
      </c>
      <c r="H8">
        <v>43400000</v>
      </c>
      <c r="I8">
        <v>40300000</v>
      </c>
      <c r="J8">
        <v>48360000</v>
      </c>
      <c r="K8">
        <v>49600000</v>
      </c>
      <c r="L8">
        <v>50840000</v>
      </c>
      <c r="M8">
        <v>52700000</v>
      </c>
      <c r="N8">
        <v>54560000</v>
      </c>
      <c r="O8">
        <v>53940000</v>
      </c>
      <c r="P8">
        <v>52700000</v>
      </c>
      <c r="Q8">
        <v>57660000</v>
      </c>
      <c r="R8">
        <v>57040000</v>
      </c>
      <c r="S8">
        <v>58900000</v>
      </c>
    </row>
    <row r="9" spans="1:19">
      <c r="A9" t="s">
        <v>19</v>
      </c>
      <c r="B9" t="s">
        <v>20</v>
      </c>
      <c r="C9" t="s">
        <v>1601</v>
      </c>
      <c r="D9" t="s">
        <v>39</v>
      </c>
      <c r="H9">
        <f t="shared" ref="H9:S9" si="6">H2-H8</f>
        <v>17500000</v>
      </c>
      <c r="I9">
        <f t="shared" si="6"/>
        <v>16250000</v>
      </c>
      <c r="J9">
        <f t="shared" si="6"/>
        <v>19500000</v>
      </c>
      <c r="K9">
        <f t="shared" si="6"/>
        <v>-16000000</v>
      </c>
      <c r="L9">
        <f t="shared" si="6"/>
        <v>-16400000</v>
      </c>
      <c r="M9">
        <f t="shared" si="6"/>
        <v>-17000000</v>
      </c>
      <c r="N9">
        <f t="shared" si="6"/>
        <v>-17600000</v>
      </c>
      <c r="O9">
        <f t="shared" si="6"/>
        <v>-17400000</v>
      </c>
      <c r="P9">
        <f t="shared" si="6"/>
        <v>-17000000</v>
      </c>
      <c r="Q9">
        <f t="shared" si="6"/>
        <v>-18600000</v>
      </c>
      <c r="R9">
        <f t="shared" si="6"/>
        <v>-18400000</v>
      </c>
      <c r="S9">
        <f t="shared" si="6"/>
        <v>-19000000</v>
      </c>
    </row>
    <row r="10" spans="1:19">
      <c r="A10" t="s">
        <v>19</v>
      </c>
      <c r="B10" t="s">
        <v>35</v>
      </c>
      <c r="C10" t="s">
        <v>1602</v>
      </c>
      <c r="D10" t="s">
        <v>41</v>
      </c>
    </row>
    <row r="11" spans="1:19">
      <c r="A11" t="s">
        <v>19</v>
      </c>
      <c r="B11" t="s">
        <v>35</v>
      </c>
      <c r="C11" t="s">
        <v>1603</v>
      </c>
      <c r="D11" t="s">
        <v>43</v>
      </c>
      <c r="H11">
        <f t="shared" ref="H11:S11" si="7">H12+H15+H18+H25+H26</f>
        <v>0</v>
      </c>
      <c r="I11">
        <f t="shared" si="7"/>
        <v>0</v>
      </c>
      <c r="J11">
        <f t="shared" si="7"/>
        <v>0</v>
      </c>
      <c r="K11">
        <f t="shared" si="7"/>
        <v>0</v>
      </c>
      <c r="L11">
        <f t="shared" si="7"/>
        <v>0</v>
      </c>
      <c r="M11">
        <f t="shared" si="7"/>
        <v>0</v>
      </c>
      <c r="N11">
        <f t="shared" si="7"/>
        <v>0</v>
      </c>
      <c r="O11">
        <f t="shared" si="7"/>
        <v>0</v>
      </c>
      <c r="P11">
        <f t="shared" si="7"/>
        <v>0</v>
      </c>
      <c r="Q11">
        <f t="shared" si="7"/>
        <v>0</v>
      </c>
      <c r="R11">
        <f t="shared" si="7"/>
        <v>0</v>
      </c>
      <c r="S11">
        <f t="shared" si="7"/>
        <v>0</v>
      </c>
    </row>
    <row r="12" spans="1:19">
      <c r="A12" t="s">
        <v>23</v>
      </c>
      <c r="B12" t="s">
        <v>35</v>
      </c>
      <c r="C12" t="s">
        <v>1604</v>
      </c>
      <c r="D12" t="s">
        <v>45</v>
      </c>
      <c r="H12">
        <f t="shared" ref="H12:S12" si="8">H13+H14</f>
        <v>0</v>
      </c>
      <c r="I12">
        <f t="shared" si="8"/>
        <v>0</v>
      </c>
      <c r="J12">
        <f t="shared" si="8"/>
        <v>0</v>
      </c>
      <c r="K12">
        <f t="shared" si="8"/>
        <v>0</v>
      </c>
      <c r="L12">
        <f t="shared" si="8"/>
        <v>0</v>
      </c>
      <c r="M12">
        <f t="shared" si="8"/>
        <v>0</v>
      </c>
      <c r="N12">
        <f t="shared" si="8"/>
        <v>0</v>
      </c>
      <c r="O12">
        <f t="shared" si="8"/>
        <v>0</v>
      </c>
      <c r="P12">
        <f t="shared" si="8"/>
        <v>0</v>
      </c>
      <c r="Q12">
        <f t="shared" si="8"/>
        <v>0</v>
      </c>
      <c r="R12">
        <f t="shared" si="8"/>
        <v>0</v>
      </c>
      <c r="S12">
        <f t="shared" si="8"/>
        <v>0</v>
      </c>
    </row>
    <row r="13" spans="1:19">
      <c r="A13" t="s">
        <v>26</v>
      </c>
      <c r="B13" t="s">
        <v>35</v>
      </c>
      <c r="C13" t="s">
        <v>1605</v>
      </c>
      <c r="D13" t="s">
        <v>47</v>
      </c>
    </row>
    <row r="14" spans="1:19">
      <c r="A14" t="s">
        <v>26</v>
      </c>
      <c r="B14" t="s">
        <v>35</v>
      </c>
      <c r="C14" t="s">
        <v>1606</v>
      </c>
      <c r="D14" t="s">
        <v>49</v>
      </c>
    </row>
    <row r="15" spans="1:19">
      <c r="A15" t="s">
        <v>23</v>
      </c>
      <c r="B15" t="s">
        <v>35</v>
      </c>
      <c r="C15" t="s">
        <v>1607</v>
      </c>
      <c r="D15" t="s">
        <v>51</v>
      </c>
      <c r="H15">
        <f t="shared" ref="H15:S15" si="9">H16+H17</f>
        <v>0</v>
      </c>
      <c r="I15">
        <f t="shared" si="9"/>
        <v>0</v>
      </c>
      <c r="J15">
        <f t="shared" si="9"/>
        <v>0</v>
      </c>
      <c r="K15">
        <f t="shared" si="9"/>
        <v>0</v>
      </c>
      <c r="L15">
        <f t="shared" si="9"/>
        <v>0</v>
      </c>
      <c r="M15">
        <f t="shared" si="9"/>
        <v>0</v>
      </c>
      <c r="N15">
        <f t="shared" si="9"/>
        <v>0</v>
      </c>
      <c r="O15">
        <f t="shared" si="9"/>
        <v>0</v>
      </c>
      <c r="P15">
        <f t="shared" si="9"/>
        <v>0</v>
      </c>
      <c r="Q15">
        <f t="shared" si="9"/>
        <v>0</v>
      </c>
      <c r="R15">
        <f t="shared" si="9"/>
        <v>0</v>
      </c>
      <c r="S15">
        <f t="shared" si="9"/>
        <v>0</v>
      </c>
    </row>
    <row r="16" spans="1:19">
      <c r="A16" t="s">
        <v>26</v>
      </c>
      <c r="B16" t="s">
        <v>35</v>
      </c>
      <c r="C16" t="s">
        <v>1608</v>
      </c>
      <c r="D16" t="s">
        <v>53</v>
      </c>
    </row>
    <row r="17" spans="1:19">
      <c r="A17" t="s">
        <v>26</v>
      </c>
      <c r="B17" t="s">
        <v>35</v>
      </c>
      <c r="C17" t="s">
        <v>1609</v>
      </c>
      <c r="D17" t="s">
        <v>55</v>
      </c>
    </row>
    <row r="18" spans="1:19">
      <c r="A18" t="s">
        <v>23</v>
      </c>
      <c r="B18" t="s">
        <v>35</v>
      </c>
      <c r="C18" t="s">
        <v>1610</v>
      </c>
      <c r="D18" t="s">
        <v>57</v>
      </c>
      <c r="H18">
        <f t="shared" ref="H18:S18" si="10">H19+H22+H23+H24</f>
        <v>0</v>
      </c>
      <c r="I18">
        <f t="shared" si="10"/>
        <v>0</v>
      </c>
      <c r="J18">
        <f t="shared" si="10"/>
        <v>0</v>
      </c>
      <c r="K18">
        <f t="shared" si="10"/>
        <v>0</v>
      </c>
      <c r="L18">
        <f t="shared" si="10"/>
        <v>0</v>
      </c>
      <c r="M18">
        <f t="shared" si="10"/>
        <v>0</v>
      </c>
      <c r="N18">
        <f t="shared" si="10"/>
        <v>0</v>
      </c>
      <c r="O18">
        <f t="shared" si="10"/>
        <v>0</v>
      </c>
      <c r="P18">
        <f t="shared" si="10"/>
        <v>0</v>
      </c>
      <c r="Q18">
        <f t="shared" si="10"/>
        <v>0</v>
      </c>
      <c r="R18">
        <f t="shared" si="10"/>
        <v>0</v>
      </c>
      <c r="S18">
        <f t="shared" si="10"/>
        <v>0</v>
      </c>
    </row>
    <row r="19" spans="1:19">
      <c r="A19" t="s">
        <v>26</v>
      </c>
      <c r="B19" t="s">
        <v>35</v>
      </c>
      <c r="C19" t="s">
        <v>1611</v>
      </c>
      <c r="D19" t="s">
        <v>59</v>
      </c>
      <c r="H19">
        <f t="shared" ref="H19:S19" si="11">H20+H21</f>
        <v>0</v>
      </c>
      <c r="I19">
        <f t="shared" si="11"/>
        <v>0</v>
      </c>
      <c r="J19">
        <f t="shared" si="11"/>
        <v>0</v>
      </c>
      <c r="K19">
        <f t="shared" si="11"/>
        <v>0</v>
      </c>
      <c r="L19">
        <f t="shared" si="11"/>
        <v>0</v>
      </c>
      <c r="M19">
        <f t="shared" si="11"/>
        <v>0</v>
      </c>
      <c r="N19">
        <f t="shared" si="11"/>
        <v>0</v>
      </c>
      <c r="O19">
        <f t="shared" si="11"/>
        <v>0</v>
      </c>
      <c r="P19">
        <f t="shared" si="11"/>
        <v>0</v>
      </c>
      <c r="Q19">
        <f t="shared" si="11"/>
        <v>0</v>
      </c>
      <c r="R19">
        <f t="shared" si="11"/>
        <v>0</v>
      </c>
      <c r="S19">
        <f t="shared" si="11"/>
        <v>0</v>
      </c>
    </row>
    <row r="20" spans="1:19">
      <c r="A20" t="s">
        <v>60</v>
      </c>
      <c r="B20" t="s">
        <v>35</v>
      </c>
      <c r="C20" t="s">
        <v>1612</v>
      </c>
      <c r="D20" t="s">
        <v>62</v>
      </c>
    </row>
    <row r="21" spans="1:19">
      <c r="A21" t="s">
        <v>60</v>
      </c>
      <c r="B21" t="s">
        <v>35</v>
      </c>
      <c r="C21" t="s">
        <v>1613</v>
      </c>
      <c r="D21" t="s">
        <v>64</v>
      </c>
    </row>
    <row r="22" spans="1:19">
      <c r="A22" t="s">
        <v>26</v>
      </c>
      <c r="B22" t="s">
        <v>35</v>
      </c>
      <c r="C22" t="s">
        <v>1614</v>
      </c>
      <c r="D22" t="s">
        <v>66</v>
      </c>
    </row>
    <row r="23" spans="1:19">
      <c r="A23" t="s">
        <v>26</v>
      </c>
      <c r="B23" t="s">
        <v>35</v>
      </c>
      <c r="C23" t="s">
        <v>1615</v>
      </c>
      <c r="D23" t="s">
        <v>68</v>
      </c>
    </row>
    <row r="24" spans="1:19">
      <c r="A24" t="s">
        <v>26</v>
      </c>
      <c r="B24" t="s">
        <v>35</v>
      </c>
      <c r="C24" t="s">
        <v>1616</v>
      </c>
      <c r="D24" t="s">
        <v>70</v>
      </c>
    </row>
    <row r="25" spans="1:19">
      <c r="A25" t="s">
        <v>23</v>
      </c>
      <c r="B25" t="s">
        <v>35</v>
      </c>
      <c r="C25" t="s">
        <v>1617</v>
      </c>
      <c r="D25" t="s">
        <v>72</v>
      </c>
    </row>
    <row r="26" spans="1:19">
      <c r="A26" t="s">
        <v>23</v>
      </c>
      <c r="B26" t="s">
        <v>35</v>
      </c>
      <c r="C26" t="s">
        <v>1618</v>
      </c>
      <c r="D26" t="s">
        <v>74</v>
      </c>
    </row>
    <row r="27" spans="1:19">
      <c r="A27" t="s">
        <v>19</v>
      </c>
      <c r="B27" t="s">
        <v>20</v>
      </c>
      <c r="C27" t="s">
        <v>1619</v>
      </c>
      <c r="D27" t="s">
        <v>76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77</v>
      </c>
      <c r="C28" t="s">
        <v>1620</v>
      </c>
      <c r="D28" t="s">
        <v>79</v>
      </c>
      <c r="H28">
        <f t="shared" ref="H28:S28" si="12">H9-H10-H11+H27</f>
        <v>18900000</v>
      </c>
      <c r="I28">
        <f t="shared" si="12"/>
        <v>17550000</v>
      </c>
      <c r="J28">
        <f t="shared" si="12"/>
        <v>21060000</v>
      </c>
      <c r="K28">
        <f t="shared" si="12"/>
        <v>-14400000</v>
      </c>
      <c r="L28">
        <f t="shared" si="12"/>
        <v>-14760000</v>
      </c>
      <c r="M28">
        <f t="shared" si="12"/>
        <v>-15300000</v>
      </c>
      <c r="N28">
        <f t="shared" si="12"/>
        <v>-15840000</v>
      </c>
      <c r="O28">
        <f t="shared" si="12"/>
        <v>-15660000</v>
      </c>
      <c r="P28">
        <f t="shared" si="12"/>
        <v>-15300000</v>
      </c>
      <c r="Q28">
        <f t="shared" si="12"/>
        <v>-16740000</v>
      </c>
      <c r="R28">
        <f t="shared" si="12"/>
        <v>-16560000</v>
      </c>
      <c r="S28">
        <f t="shared" si="12"/>
        <v>-17100000</v>
      </c>
    </row>
    <row r="29" spans="1:19">
      <c r="A29" t="s">
        <v>19</v>
      </c>
      <c r="B29" t="s">
        <v>35</v>
      </c>
      <c r="C29" t="s">
        <v>1621</v>
      </c>
      <c r="D29" t="s">
        <v>81</v>
      </c>
      <c r="H29">
        <v>3500000</v>
      </c>
      <c r="I29">
        <v>3250000</v>
      </c>
      <c r="J29">
        <v>3900000</v>
      </c>
      <c r="K29">
        <v>4000000</v>
      </c>
      <c r="L29">
        <v>4100000</v>
      </c>
      <c r="M29">
        <v>4250000</v>
      </c>
      <c r="N29">
        <v>4400000</v>
      </c>
      <c r="O29">
        <v>4350000</v>
      </c>
      <c r="P29">
        <v>4250000</v>
      </c>
      <c r="Q29">
        <v>4650000</v>
      </c>
      <c r="R29">
        <v>4600000</v>
      </c>
      <c r="S29">
        <v>4750000</v>
      </c>
    </row>
    <row r="30" spans="1:19">
      <c r="A30" t="s">
        <v>19</v>
      </c>
      <c r="B30" t="s">
        <v>77</v>
      </c>
      <c r="C30" t="s">
        <v>1622</v>
      </c>
      <c r="D30" t="s">
        <v>83</v>
      </c>
      <c r="H30">
        <f t="shared" ref="H30:S30" si="13">H28-H29</f>
        <v>15400000</v>
      </c>
      <c r="I30">
        <f t="shared" si="13"/>
        <v>14300000</v>
      </c>
      <c r="J30">
        <f t="shared" si="13"/>
        <v>17160000</v>
      </c>
      <c r="K30">
        <f t="shared" si="13"/>
        <v>-18400000</v>
      </c>
      <c r="L30">
        <f t="shared" si="13"/>
        <v>-18860000</v>
      </c>
      <c r="M30">
        <f t="shared" si="13"/>
        <v>-19550000</v>
      </c>
      <c r="N30">
        <f t="shared" si="13"/>
        <v>-20240000</v>
      </c>
      <c r="O30">
        <f t="shared" si="13"/>
        <v>-20010000</v>
      </c>
      <c r="P30">
        <f t="shared" si="13"/>
        <v>-19550000</v>
      </c>
      <c r="Q30">
        <f t="shared" si="13"/>
        <v>-21390000</v>
      </c>
      <c r="R30">
        <f t="shared" si="13"/>
        <v>-21160000</v>
      </c>
      <c r="S30">
        <f t="shared" si="13"/>
        <v>-21850000</v>
      </c>
    </row>
    <row r="31" spans="1:19">
      <c r="A31" t="s">
        <v>19</v>
      </c>
      <c r="B31" t="s">
        <v>84</v>
      </c>
      <c r="C31" t="s">
        <v>1623</v>
      </c>
      <c r="D31" t="s">
        <v>86</v>
      </c>
      <c r="H31">
        <f t="shared" ref="H31:S31" si="14">H32+H34+H35</f>
        <v>2250000000</v>
      </c>
      <c r="I31">
        <f t="shared" si="14"/>
        <v>2340000000</v>
      </c>
      <c r="J31">
        <f t="shared" si="14"/>
        <v>2460000000</v>
      </c>
      <c r="K31">
        <f t="shared" si="14"/>
        <v>2490000000</v>
      </c>
      <c r="L31">
        <f t="shared" si="14"/>
        <v>2550000000</v>
      </c>
      <c r="M31">
        <f t="shared" si="14"/>
        <v>2610000000</v>
      </c>
      <c r="N31">
        <f t="shared" si="14"/>
        <v>2640000000</v>
      </c>
      <c r="O31">
        <f t="shared" si="14"/>
        <v>2580000000</v>
      </c>
      <c r="P31">
        <f t="shared" si="14"/>
        <v>2520000000</v>
      </c>
      <c r="Q31">
        <f t="shared" si="14"/>
        <v>2490000000</v>
      </c>
      <c r="R31">
        <f t="shared" si="14"/>
        <v>2460000000</v>
      </c>
      <c r="S31">
        <f t="shared" si="14"/>
        <v>2610000000</v>
      </c>
    </row>
    <row r="32" spans="1:19">
      <c r="A32" t="s">
        <v>23</v>
      </c>
      <c r="B32" t="s">
        <v>84</v>
      </c>
      <c r="C32" t="s">
        <v>1624</v>
      </c>
      <c r="D32" t="s">
        <v>117</v>
      </c>
      <c r="H32">
        <f t="shared" ref="H32:S32" si="15">H33</f>
        <v>750000000</v>
      </c>
      <c r="I32">
        <f t="shared" si="15"/>
        <v>780000000</v>
      </c>
      <c r="J32">
        <f t="shared" si="15"/>
        <v>820000000</v>
      </c>
      <c r="K32">
        <f t="shared" si="15"/>
        <v>830000000</v>
      </c>
      <c r="L32">
        <f t="shared" si="15"/>
        <v>850000000</v>
      </c>
      <c r="M32">
        <f t="shared" si="15"/>
        <v>870000000</v>
      </c>
      <c r="N32">
        <f t="shared" si="15"/>
        <v>880000000</v>
      </c>
      <c r="O32">
        <f t="shared" si="15"/>
        <v>860000000</v>
      </c>
      <c r="P32">
        <f t="shared" si="15"/>
        <v>840000000</v>
      </c>
      <c r="Q32">
        <f t="shared" si="15"/>
        <v>830000000</v>
      </c>
      <c r="R32">
        <f t="shared" si="15"/>
        <v>820000000</v>
      </c>
      <c r="S32">
        <f t="shared" si="15"/>
        <v>870000000</v>
      </c>
    </row>
    <row r="33" spans="1:19">
      <c r="A33" t="s">
        <v>26</v>
      </c>
      <c r="B33" t="s">
        <v>84</v>
      </c>
      <c r="C33" t="s">
        <v>1625</v>
      </c>
      <c r="D33" t="s">
        <v>90</v>
      </c>
      <c r="H33">
        <v>750000000</v>
      </c>
      <c r="I33">
        <v>780000000</v>
      </c>
      <c r="J33">
        <v>820000000</v>
      </c>
      <c r="K33">
        <v>830000000</v>
      </c>
      <c r="L33">
        <v>850000000</v>
      </c>
      <c r="M33">
        <v>870000000</v>
      </c>
      <c r="N33">
        <v>880000000</v>
      </c>
      <c r="O33">
        <v>860000000</v>
      </c>
      <c r="P33">
        <v>840000000</v>
      </c>
      <c r="Q33">
        <v>830000000</v>
      </c>
      <c r="R33">
        <v>820000000</v>
      </c>
      <c r="S33">
        <v>870000000</v>
      </c>
    </row>
    <row r="34" spans="1:19">
      <c r="A34" t="s">
        <v>23</v>
      </c>
      <c r="B34" t="s">
        <v>84</v>
      </c>
      <c r="C34" t="s">
        <v>1626</v>
      </c>
      <c r="D34" t="s">
        <v>102</v>
      </c>
      <c r="H34">
        <v>750000000</v>
      </c>
      <c r="I34">
        <v>780000000</v>
      </c>
      <c r="J34">
        <v>820000000</v>
      </c>
      <c r="K34">
        <v>830000000</v>
      </c>
      <c r="L34">
        <v>850000000</v>
      </c>
      <c r="M34">
        <v>870000000</v>
      </c>
      <c r="N34">
        <v>880000000</v>
      </c>
      <c r="O34">
        <v>860000000</v>
      </c>
      <c r="P34">
        <v>840000000</v>
      </c>
      <c r="Q34">
        <v>830000000</v>
      </c>
      <c r="R34">
        <v>820000000</v>
      </c>
      <c r="S34">
        <v>870000000</v>
      </c>
    </row>
    <row r="35" spans="1:19">
      <c r="A35" t="s">
        <v>23</v>
      </c>
      <c r="B35" t="s">
        <v>84</v>
      </c>
      <c r="C35" t="s">
        <v>1627</v>
      </c>
      <c r="D35" t="s">
        <v>104</v>
      </c>
      <c r="H35">
        <v>750000000</v>
      </c>
      <c r="I35">
        <v>780000000</v>
      </c>
      <c r="J35">
        <v>820000000</v>
      </c>
      <c r="K35">
        <v>830000000</v>
      </c>
      <c r="L35">
        <v>850000000</v>
      </c>
      <c r="M35">
        <v>870000000</v>
      </c>
      <c r="N35">
        <v>880000000</v>
      </c>
      <c r="O35">
        <v>860000000</v>
      </c>
      <c r="P35">
        <v>840000000</v>
      </c>
      <c r="Q35">
        <v>830000000</v>
      </c>
      <c r="R35">
        <v>820000000</v>
      </c>
      <c r="S35">
        <v>870000000</v>
      </c>
    </row>
    <row r="36" spans="1:19">
      <c r="A36" t="s">
        <v>19</v>
      </c>
      <c r="B36" t="s">
        <v>113</v>
      </c>
      <c r="C36" t="s">
        <v>1628</v>
      </c>
      <c r="D36" t="s">
        <v>115</v>
      </c>
      <c r="H36">
        <f t="shared" ref="H36:S36" si="16">H37+H39+H40</f>
        <v>2250000000</v>
      </c>
      <c r="I36">
        <f t="shared" si="16"/>
        <v>2340000000</v>
      </c>
      <c r="J36">
        <f t="shared" si="16"/>
        <v>2460000000</v>
      </c>
      <c r="K36">
        <f t="shared" si="16"/>
        <v>2490000000</v>
      </c>
      <c r="L36">
        <f t="shared" si="16"/>
        <v>2550000000</v>
      </c>
      <c r="M36">
        <f t="shared" si="16"/>
        <v>2610000000</v>
      </c>
      <c r="N36">
        <f t="shared" si="16"/>
        <v>2640000000</v>
      </c>
      <c r="O36">
        <f t="shared" si="16"/>
        <v>2580000000</v>
      </c>
      <c r="P36">
        <f t="shared" si="16"/>
        <v>2520000000</v>
      </c>
      <c r="Q36">
        <f t="shared" si="16"/>
        <v>2490000000</v>
      </c>
      <c r="R36">
        <f t="shared" si="16"/>
        <v>2460000000</v>
      </c>
      <c r="S36">
        <f t="shared" si="16"/>
        <v>2610000000</v>
      </c>
    </row>
    <row r="37" spans="1:19">
      <c r="A37" t="s">
        <v>23</v>
      </c>
      <c r="B37" t="s">
        <v>113</v>
      </c>
      <c r="C37" t="s">
        <v>1629</v>
      </c>
      <c r="D37" t="s">
        <v>117</v>
      </c>
      <c r="H37">
        <f t="shared" ref="H37:S37" si="17">H38</f>
        <v>750000000</v>
      </c>
      <c r="I37">
        <f t="shared" si="17"/>
        <v>780000000</v>
      </c>
      <c r="J37">
        <f t="shared" si="17"/>
        <v>820000000</v>
      </c>
      <c r="K37">
        <f t="shared" si="17"/>
        <v>830000000</v>
      </c>
      <c r="L37">
        <f t="shared" si="17"/>
        <v>850000000</v>
      </c>
      <c r="M37">
        <f t="shared" si="17"/>
        <v>870000000</v>
      </c>
      <c r="N37">
        <f t="shared" si="17"/>
        <v>880000000</v>
      </c>
      <c r="O37">
        <f t="shared" si="17"/>
        <v>860000000</v>
      </c>
      <c r="P37">
        <f t="shared" si="17"/>
        <v>840000000</v>
      </c>
      <c r="Q37">
        <f t="shared" si="17"/>
        <v>830000000</v>
      </c>
      <c r="R37">
        <f t="shared" si="17"/>
        <v>820000000</v>
      </c>
      <c r="S37">
        <f t="shared" si="17"/>
        <v>870000000</v>
      </c>
    </row>
    <row r="38" spans="1:19">
      <c r="A38" t="s">
        <v>26</v>
      </c>
      <c r="B38" t="s">
        <v>113</v>
      </c>
      <c r="C38" t="s">
        <v>1630</v>
      </c>
      <c r="D38" t="s">
        <v>90</v>
      </c>
      <c r="H38">
        <v>750000000</v>
      </c>
      <c r="I38">
        <v>780000000</v>
      </c>
      <c r="J38">
        <v>820000000</v>
      </c>
      <c r="K38">
        <v>830000000</v>
      </c>
      <c r="L38">
        <v>850000000</v>
      </c>
      <c r="M38">
        <v>870000000</v>
      </c>
      <c r="N38">
        <v>880000000</v>
      </c>
      <c r="O38">
        <v>860000000</v>
      </c>
      <c r="P38">
        <v>840000000</v>
      </c>
      <c r="Q38">
        <v>830000000</v>
      </c>
      <c r="R38">
        <v>820000000</v>
      </c>
      <c r="S38">
        <v>870000000</v>
      </c>
    </row>
    <row r="39" spans="1:19">
      <c r="A39" t="s">
        <v>23</v>
      </c>
      <c r="B39" t="s">
        <v>113</v>
      </c>
      <c r="C39" t="s">
        <v>1631</v>
      </c>
      <c r="D39" t="s">
        <v>102</v>
      </c>
      <c r="H39">
        <v>750000000</v>
      </c>
      <c r="I39">
        <v>780000000</v>
      </c>
      <c r="J39">
        <v>820000000</v>
      </c>
      <c r="K39">
        <v>830000000</v>
      </c>
      <c r="L39">
        <v>850000000</v>
      </c>
      <c r="M39">
        <v>870000000</v>
      </c>
      <c r="N39">
        <v>880000000</v>
      </c>
      <c r="O39">
        <v>860000000</v>
      </c>
      <c r="P39">
        <v>840000000</v>
      </c>
      <c r="Q39">
        <v>830000000</v>
      </c>
      <c r="R39">
        <v>820000000</v>
      </c>
      <c r="S39">
        <v>870000000</v>
      </c>
    </row>
    <row r="40" spans="1:19">
      <c r="A40" t="s">
        <v>23</v>
      </c>
      <c r="B40" t="s">
        <v>113</v>
      </c>
      <c r="C40" t="s">
        <v>1632</v>
      </c>
      <c r="D40" t="s">
        <v>104</v>
      </c>
      <c r="H40">
        <v>750000000</v>
      </c>
      <c r="I40">
        <v>780000000</v>
      </c>
      <c r="J40">
        <v>820000000</v>
      </c>
      <c r="K40">
        <v>830000000</v>
      </c>
      <c r="L40">
        <v>850000000</v>
      </c>
      <c r="M40">
        <v>870000000</v>
      </c>
      <c r="N40">
        <v>880000000</v>
      </c>
      <c r="O40">
        <v>860000000</v>
      </c>
      <c r="P40">
        <v>840000000</v>
      </c>
      <c r="Q40">
        <v>830000000</v>
      </c>
      <c r="R40">
        <v>820000000</v>
      </c>
      <c r="S40">
        <v>870000000</v>
      </c>
    </row>
    <row r="41" spans="1:19">
      <c r="A41" t="s">
        <v>19</v>
      </c>
      <c r="B41" t="s">
        <v>130</v>
      </c>
      <c r="C41" t="s">
        <v>1633</v>
      </c>
      <c r="D41" t="s">
        <v>132</v>
      </c>
      <c r="H41">
        <f t="shared" ref="H41:S41" si="18">H42+H45</f>
        <v>9000000000</v>
      </c>
      <c r="I41">
        <f t="shared" si="18"/>
        <v>9360000000</v>
      </c>
      <c r="J41">
        <f t="shared" si="18"/>
        <v>9840000000</v>
      </c>
      <c r="K41">
        <f t="shared" si="18"/>
        <v>9960000000</v>
      </c>
      <c r="L41">
        <f t="shared" si="18"/>
        <v>10200000000</v>
      </c>
      <c r="M41">
        <f t="shared" si="18"/>
        <v>10440000000</v>
      </c>
      <c r="N41">
        <f t="shared" si="18"/>
        <v>10560000000</v>
      </c>
      <c r="O41">
        <f t="shared" si="18"/>
        <v>10320000000</v>
      </c>
      <c r="P41">
        <f t="shared" si="18"/>
        <v>10080000000</v>
      </c>
      <c r="Q41">
        <f t="shared" si="18"/>
        <v>9960000000</v>
      </c>
      <c r="R41">
        <f t="shared" si="18"/>
        <v>9840000000</v>
      </c>
      <c r="S41">
        <f t="shared" si="18"/>
        <v>10440000000</v>
      </c>
    </row>
    <row r="42" spans="1:19">
      <c r="A42" t="s">
        <v>23</v>
      </c>
      <c r="B42" t="s">
        <v>130</v>
      </c>
      <c r="C42" t="s">
        <v>1634</v>
      </c>
      <c r="D42" t="s">
        <v>1635</v>
      </c>
      <c r="H42">
        <v>4500000000</v>
      </c>
      <c r="I42">
        <v>4680000000</v>
      </c>
      <c r="J42">
        <v>4920000000</v>
      </c>
      <c r="K42">
        <v>4980000000</v>
      </c>
      <c r="L42">
        <v>5100000000</v>
      </c>
      <c r="M42">
        <v>5220000000</v>
      </c>
      <c r="N42">
        <v>5280000000</v>
      </c>
      <c r="O42">
        <v>5160000000</v>
      </c>
      <c r="P42">
        <v>5040000000</v>
      </c>
      <c r="Q42">
        <v>4980000000</v>
      </c>
      <c r="R42">
        <v>4920000000</v>
      </c>
      <c r="S42">
        <v>5220000000</v>
      </c>
    </row>
    <row r="43" spans="1:19">
      <c r="A43" t="s">
        <v>26</v>
      </c>
      <c r="B43" t="s">
        <v>130</v>
      </c>
      <c r="C43" t="s">
        <v>1636</v>
      </c>
      <c r="D43" t="s">
        <v>1637</v>
      </c>
      <c r="H43">
        <v>4500000000</v>
      </c>
      <c r="I43">
        <v>4680000000</v>
      </c>
      <c r="J43">
        <v>4920000000</v>
      </c>
      <c r="K43">
        <v>4980000000</v>
      </c>
      <c r="L43">
        <v>5100000000</v>
      </c>
      <c r="M43">
        <v>5220000000</v>
      </c>
      <c r="N43">
        <v>5280000000</v>
      </c>
      <c r="O43">
        <v>5160000000</v>
      </c>
      <c r="P43">
        <v>5040000000</v>
      </c>
      <c r="Q43">
        <v>4980000000</v>
      </c>
      <c r="R43">
        <v>4920000000</v>
      </c>
      <c r="S43">
        <v>5220000000</v>
      </c>
    </row>
    <row r="44" spans="1:19">
      <c r="A44" t="s">
        <v>26</v>
      </c>
      <c r="B44" t="s">
        <v>130</v>
      </c>
      <c r="C44" t="s">
        <v>1638</v>
      </c>
      <c r="D44" t="s">
        <v>1639</v>
      </c>
      <c r="H44">
        <f t="shared" ref="H44:S44" si="19">H42-H43</f>
        <v>0</v>
      </c>
      <c r="I44">
        <f t="shared" si="19"/>
        <v>0</v>
      </c>
      <c r="J44">
        <f t="shared" si="19"/>
        <v>0</v>
      </c>
      <c r="K44">
        <f t="shared" si="19"/>
        <v>0</v>
      </c>
      <c r="L44">
        <f t="shared" si="19"/>
        <v>0</v>
      </c>
      <c r="M44">
        <f t="shared" si="19"/>
        <v>0</v>
      </c>
      <c r="N44">
        <f t="shared" si="19"/>
        <v>0</v>
      </c>
      <c r="O44">
        <f t="shared" si="19"/>
        <v>0</v>
      </c>
      <c r="P44">
        <f t="shared" si="19"/>
        <v>0</v>
      </c>
      <c r="Q44">
        <f t="shared" si="19"/>
        <v>0</v>
      </c>
      <c r="R44">
        <f t="shared" si="19"/>
        <v>0</v>
      </c>
      <c r="S44">
        <f t="shared" si="19"/>
        <v>0</v>
      </c>
    </row>
    <row r="45" spans="1:19">
      <c r="A45" t="s">
        <v>23</v>
      </c>
      <c r="B45" t="s">
        <v>130</v>
      </c>
      <c r="C45" t="s">
        <v>1640</v>
      </c>
      <c r="D45" t="s">
        <v>1641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19</v>
      </c>
      <c r="B46" t="s">
        <v>143</v>
      </c>
      <c r="C46" t="s">
        <v>1642</v>
      </c>
      <c r="D46" t="s">
        <v>142</v>
      </c>
      <c r="H46">
        <f t="shared" ref="H46:S46" si="20">H47+H50</f>
        <v>9000000000</v>
      </c>
      <c r="I46">
        <f t="shared" si="20"/>
        <v>9360000000</v>
      </c>
      <c r="J46">
        <f t="shared" si="20"/>
        <v>9840000000</v>
      </c>
      <c r="K46">
        <f t="shared" si="20"/>
        <v>9960000000</v>
      </c>
      <c r="L46">
        <f t="shared" si="20"/>
        <v>10200000000</v>
      </c>
      <c r="M46">
        <f t="shared" si="20"/>
        <v>10440000000</v>
      </c>
      <c r="N46">
        <f t="shared" si="20"/>
        <v>10560000000</v>
      </c>
      <c r="O46">
        <f t="shared" si="20"/>
        <v>10320000000</v>
      </c>
      <c r="P46">
        <f t="shared" si="20"/>
        <v>10080000000</v>
      </c>
      <c r="Q46">
        <f t="shared" si="20"/>
        <v>9960000000</v>
      </c>
      <c r="R46">
        <f t="shared" si="20"/>
        <v>9840000000</v>
      </c>
      <c r="S46">
        <f t="shared" si="20"/>
        <v>10440000000</v>
      </c>
    </row>
    <row r="47" spans="1:19">
      <c r="A47" t="s">
        <v>23</v>
      </c>
      <c r="B47" t="s">
        <v>143</v>
      </c>
      <c r="C47" t="s">
        <v>1643</v>
      </c>
      <c r="D47" t="s">
        <v>1635</v>
      </c>
      <c r="H47">
        <v>4500000000</v>
      </c>
      <c r="I47">
        <v>4680000000</v>
      </c>
      <c r="J47">
        <v>4920000000</v>
      </c>
      <c r="K47">
        <v>4980000000</v>
      </c>
      <c r="L47">
        <v>5100000000</v>
      </c>
      <c r="M47">
        <v>5220000000</v>
      </c>
      <c r="N47">
        <v>5280000000</v>
      </c>
      <c r="O47">
        <v>5160000000</v>
      </c>
      <c r="P47">
        <v>5040000000</v>
      </c>
      <c r="Q47">
        <v>4980000000</v>
      </c>
      <c r="R47">
        <v>4920000000</v>
      </c>
      <c r="S47">
        <v>5220000000</v>
      </c>
    </row>
    <row r="48" spans="1:19">
      <c r="A48" t="s">
        <v>26</v>
      </c>
      <c r="B48" t="s">
        <v>143</v>
      </c>
      <c r="C48" t="s">
        <v>1644</v>
      </c>
      <c r="D48" t="s">
        <v>1637</v>
      </c>
      <c r="H48">
        <v>4500000000</v>
      </c>
      <c r="I48">
        <v>4680000000</v>
      </c>
      <c r="J48">
        <v>4920000000</v>
      </c>
      <c r="K48">
        <v>4980000000</v>
      </c>
      <c r="L48">
        <v>5100000000</v>
      </c>
      <c r="M48">
        <v>5220000000</v>
      </c>
      <c r="N48">
        <v>5280000000</v>
      </c>
      <c r="O48">
        <v>5160000000</v>
      </c>
      <c r="P48">
        <v>5040000000</v>
      </c>
      <c r="Q48">
        <v>4980000000</v>
      </c>
      <c r="R48">
        <v>4920000000</v>
      </c>
      <c r="S48">
        <v>5220000000</v>
      </c>
    </row>
    <row r="49" spans="1:19">
      <c r="A49" t="s">
        <v>26</v>
      </c>
      <c r="B49" t="s">
        <v>143</v>
      </c>
      <c r="C49" t="s">
        <v>1645</v>
      </c>
      <c r="D49" t="s">
        <v>1639</v>
      </c>
      <c r="H49">
        <f t="shared" ref="H49:S49" si="21">H47-H48</f>
        <v>0</v>
      </c>
      <c r="I49">
        <f t="shared" si="21"/>
        <v>0</v>
      </c>
      <c r="J49">
        <f t="shared" si="21"/>
        <v>0</v>
      </c>
      <c r="K49">
        <f t="shared" si="21"/>
        <v>0</v>
      </c>
      <c r="L49">
        <f t="shared" si="21"/>
        <v>0</v>
      </c>
      <c r="M49">
        <f t="shared" si="21"/>
        <v>0</v>
      </c>
      <c r="N49">
        <f t="shared" si="21"/>
        <v>0</v>
      </c>
      <c r="O49">
        <f t="shared" si="21"/>
        <v>0</v>
      </c>
      <c r="P49">
        <f t="shared" si="21"/>
        <v>0</v>
      </c>
      <c r="Q49">
        <f t="shared" si="21"/>
        <v>0</v>
      </c>
      <c r="R49">
        <f t="shared" si="21"/>
        <v>0</v>
      </c>
      <c r="S49">
        <f t="shared" si="21"/>
        <v>0</v>
      </c>
    </row>
    <row r="50" spans="1:19">
      <c r="A50" t="s">
        <v>23</v>
      </c>
      <c r="B50" t="s">
        <v>143</v>
      </c>
      <c r="C50" t="s">
        <v>1646</v>
      </c>
      <c r="D50" t="s">
        <v>1641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19</v>
      </c>
      <c r="B51" t="s">
        <v>84</v>
      </c>
      <c r="C51" t="s">
        <v>1647</v>
      </c>
      <c r="D51" t="s">
        <v>151</v>
      </c>
      <c r="H51">
        <f t="shared" ref="H51:S51" si="22">H52</f>
        <v>1125000000</v>
      </c>
      <c r="I51">
        <f t="shared" si="22"/>
        <v>1170000000</v>
      </c>
      <c r="J51">
        <f t="shared" si="22"/>
        <v>1230000000</v>
      </c>
      <c r="K51">
        <f t="shared" si="22"/>
        <v>1245000000</v>
      </c>
      <c r="L51">
        <f t="shared" si="22"/>
        <v>1275000000</v>
      </c>
      <c r="M51">
        <f t="shared" si="22"/>
        <v>1305000000</v>
      </c>
      <c r="N51">
        <f t="shared" si="22"/>
        <v>1320000000</v>
      </c>
      <c r="O51">
        <f t="shared" si="22"/>
        <v>1290000000</v>
      </c>
      <c r="P51">
        <f t="shared" si="22"/>
        <v>1260000000</v>
      </c>
      <c r="Q51">
        <f t="shared" si="22"/>
        <v>1245000000</v>
      </c>
      <c r="R51">
        <f t="shared" si="22"/>
        <v>1230000000</v>
      </c>
      <c r="S51">
        <f t="shared" si="22"/>
        <v>1305000000</v>
      </c>
    </row>
    <row r="52" spans="1:19">
      <c r="A52" t="s">
        <v>23</v>
      </c>
      <c r="B52" t="s">
        <v>84</v>
      </c>
      <c r="C52" t="s">
        <v>1648</v>
      </c>
      <c r="D52" t="s">
        <v>959</v>
      </c>
      <c r="H52">
        <v>1125000000</v>
      </c>
      <c r="I52">
        <v>1170000000</v>
      </c>
      <c r="J52">
        <v>1230000000</v>
      </c>
      <c r="K52">
        <v>1245000000</v>
      </c>
      <c r="L52">
        <v>1275000000</v>
      </c>
      <c r="M52">
        <v>1305000000</v>
      </c>
      <c r="N52">
        <v>1320000000</v>
      </c>
      <c r="O52">
        <v>1290000000</v>
      </c>
      <c r="P52">
        <v>1260000000</v>
      </c>
      <c r="Q52">
        <v>1245000000</v>
      </c>
      <c r="R52">
        <v>1230000000</v>
      </c>
      <c r="S52">
        <v>1305000000</v>
      </c>
    </row>
    <row r="53" spans="1:19">
      <c r="A53" t="s">
        <v>19</v>
      </c>
      <c r="B53" t="s">
        <v>113</v>
      </c>
      <c r="C53" t="s">
        <v>1649</v>
      </c>
      <c r="D53" t="s">
        <v>160</v>
      </c>
      <c r="H53">
        <f t="shared" ref="H53:S53" si="23">H54</f>
        <v>1125000000</v>
      </c>
      <c r="I53">
        <f t="shared" si="23"/>
        <v>1170000000</v>
      </c>
      <c r="J53">
        <f t="shared" si="23"/>
        <v>1230000000</v>
      </c>
      <c r="K53">
        <f t="shared" si="23"/>
        <v>1245000000</v>
      </c>
      <c r="L53">
        <f t="shared" si="23"/>
        <v>1275000000</v>
      </c>
      <c r="M53">
        <f t="shared" si="23"/>
        <v>1305000000</v>
      </c>
      <c r="N53">
        <f t="shared" si="23"/>
        <v>1320000000</v>
      </c>
      <c r="O53">
        <f t="shared" si="23"/>
        <v>1290000000</v>
      </c>
      <c r="P53">
        <f t="shared" si="23"/>
        <v>1260000000</v>
      </c>
      <c r="Q53">
        <f t="shared" si="23"/>
        <v>1245000000</v>
      </c>
      <c r="R53">
        <f t="shared" si="23"/>
        <v>1230000000</v>
      </c>
      <c r="S53">
        <f t="shared" si="23"/>
        <v>1305000000</v>
      </c>
    </row>
    <row r="54" spans="1:19">
      <c r="A54" t="s">
        <v>23</v>
      </c>
      <c r="B54" t="s">
        <v>113</v>
      </c>
      <c r="C54" t="s">
        <v>1650</v>
      </c>
      <c r="D54" t="s">
        <v>962</v>
      </c>
      <c r="H54">
        <v>1125000000</v>
      </c>
      <c r="I54">
        <v>1170000000</v>
      </c>
      <c r="J54">
        <v>1230000000</v>
      </c>
      <c r="K54">
        <v>1245000000</v>
      </c>
      <c r="L54">
        <v>1275000000</v>
      </c>
      <c r="M54">
        <v>1305000000</v>
      </c>
      <c r="N54">
        <v>1320000000</v>
      </c>
      <c r="O54">
        <v>1290000000</v>
      </c>
      <c r="P54">
        <v>1260000000</v>
      </c>
      <c r="Q54">
        <v>1245000000</v>
      </c>
      <c r="R54">
        <v>1230000000</v>
      </c>
      <c r="S54">
        <v>1305000000</v>
      </c>
    </row>
    <row r="55" spans="1:19">
      <c r="A55" t="s">
        <v>19</v>
      </c>
      <c r="B55" t="s">
        <v>130</v>
      </c>
      <c r="C55" t="s">
        <v>1651</v>
      </c>
      <c r="D55" t="s">
        <v>166</v>
      </c>
      <c r="H55">
        <f t="shared" ref="H55:S55" si="24">H56</f>
        <v>675000000</v>
      </c>
      <c r="I55">
        <f t="shared" si="24"/>
        <v>702000000</v>
      </c>
      <c r="J55">
        <f t="shared" si="24"/>
        <v>738000000</v>
      </c>
      <c r="K55">
        <f t="shared" si="24"/>
        <v>747000000</v>
      </c>
      <c r="L55">
        <f t="shared" si="24"/>
        <v>765000000</v>
      </c>
      <c r="M55">
        <f t="shared" si="24"/>
        <v>783000000</v>
      </c>
      <c r="N55">
        <f t="shared" si="24"/>
        <v>792000000</v>
      </c>
      <c r="O55">
        <f t="shared" si="24"/>
        <v>774000000</v>
      </c>
      <c r="P55">
        <f t="shared" si="24"/>
        <v>756000000</v>
      </c>
      <c r="Q55">
        <f t="shared" si="24"/>
        <v>747000000</v>
      </c>
      <c r="R55">
        <f t="shared" si="24"/>
        <v>738000000</v>
      </c>
      <c r="S55">
        <f t="shared" si="24"/>
        <v>783000000</v>
      </c>
    </row>
    <row r="56" spans="1:19">
      <c r="A56" t="s">
        <v>23</v>
      </c>
      <c r="B56" t="s">
        <v>130</v>
      </c>
      <c r="C56" t="s">
        <v>1652</v>
      </c>
      <c r="D56" t="s">
        <v>965</v>
      </c>
      <c r="H56">
        <v>675000000</v>
      </c>
      <c r="I56">
        <v>702000000</v>
      </c>
      <c r="J56">
        <v>738000000</v>
      </c>
      <c r="K56">
        <v>747000000</v>
      </c>
      <c r="L56">
        <v>765000000</v>
      </c>
      <c r="M56">
        <v>783000000</v>
      </c>
      <c r="N56">
        <v>792000000</v>
      </c>
      <c r="O56">
        <v>774000000</v>
      </c>
      <c r="P56">
        <v>756000000</v>
      </c>
      <c r="Q56">
        <v>747000000</v>
      </c>
      <c r="R56">
        <v>738000000</v>
      </c>
      <c r="S56">
        <v>783000000</v>
      </c>
    </row>
    <row r="57" spans="1:19">
      <c r="A57" t="s">
        <v>19</v>
      </c>
      <c r="B57" t="s">
        <v>143</v>
      </c>
      <c r="C57" t="s">
        <v>1653</v>
      </c>
      <c r="D57" t="s">
        <v>172</v>
      </c>
      <c r="H57">
        <f t="shared" ref="H57:S57" si="25">H58</f>
        <v>675000000</v>
      </c>
      <c r="I57">
        <f t="shared" si="25"/>
        <v>702000000</v>
      </c>
      <c r="J57">
        <f t="shared" si="25"/>
        <v>738000000</v>
      </c>
      <c r="K57">
        <f t="shared" si="25"/>
        <v>747000000</v>
      </c>
      <c r="L57">
        <f t="shared" si="25"/>
        <v>765000000</v>
      </c>
      <c r="M57">
        <f t="shared" si="25"/>
        <v>783000000</v>
      </c>
      <c r="N57">
        <f t="shared" si="25"/>
        <v>792000000</v>
      </c>
      <c r="O57">
        <f t="shared" si="25"/>
        <v>774000000</v>
      </c>
      <c r="P57">
        <f t="shared" si="25"/>
        <v>756000000</v>
      </c>
      <c r="Q57">
        <f t="shared" si="25"/>
        <v>747000000</v>
      </c>
      <c r="R57">
        <f t="shared" si="25"/>
        <v>738000000</v>
      </c>
      <c r="S57">
        <f t="shared" si="25"/>
        <v>783000000</v>
      </c>
    </row>
    <row r="58" spans="1:19">
      <c r="A58" t="s">
        <v>23</v>
      </c>
      <c r="B58" t="s">
        <v>143</v>
      </c>
      <c r="C58" t="s">
        <v>1654</v>
      </c>
      <c r="D58" t="s">
        <v>968</v>
      </c>
      <c r="H58">
        <v>675000000</v>
      </c>
      <c r="I58">
        <v>702000000</v>
      </c>
      <c r="J58">
        <v>738000000</v>
      </c>
      <c r="K58">
        <v>747000000</v>
      </c>
      <c r="L58">
        <v>765000000</v>
      </c>
      <c r="M58">
        <v>783000000</v>
      </c>
      <c r="N58">
        <v>792000000</v>
      </c>
      <c r="O58">
        <v>774000000</v>
      </c>
      <c r="P58">
        <v>756000000</v>
      </c>
      <c r="Q58">
        <v>747000000</v>
      </c>
      <c r="R58">
        <v>738000000</v>
      </c>
      <c r="S58">
        <v>783000000</v>
      </c>
    </row>
    <row r="59" spans="1:19">
      <c r="A59" t="s">
        <v>19</v>
      </c>
      <c r="B59" t="s">
        <v>20</v>
      </c>
      <c r="C59" t="s">
        <v>1655</v>
      </c>
      <c r="D59" t="s">
        <v>176</v>
      </c>
      <c r="H59">
        <f t="shared" ref="H59:S59" si="26">H60+H62</f>
        <v>56000000</v>
      </c>
      <c r="I59">
        <f t="shared" si="26"/>
        <v>52000000</v>
      </c>
      <c r="J59">
        <f t="shared" si="26"/>
        <v>62400000</v>
      </c>
      <c r="K59">
        <f t="shared" si="26"/>
        <v>0</v>
      </c>
      <c r="L59">
        <f t="shared" si="26"/>
        <v>0</v>
      </c>
      <c r="M59">
        <f t="shared" si="26"/>
        <v>0</v>
      </c>
      <c r="N59">
        <f t="shared" si="26"/>
        <v>0</v>
      </c>
      <c r="O59">
        <f t="shared" si="26"/>
        <v>0</v>
      </c>
      <c r="P59">
        <f t="shared" si="26"/>
        <v>0</v>
      </c>
      <c r="Q59">
        <f t="shared" si="26"/>
        <v>0</v>
      </c>
      <c r="R59">
        <f t="shared" si="26"/>
        <v>0</v>
      </c>
      <c r="S59">
        <f t="shared" si="26"/>
        <v>0</v>
      </c>
    </row>
    <row r="60" spans="1:19">
      <c r="A60" t="s">
        <v>23</v>
      </c>
      <c r="B60" t="s">
        <v>20</v>
      </c>
      <c r="C60" t="s">
        <v>1656</v>
      </c>
      <c r="D60" t="s">
        <v>178</v>
      </c>
      <c r="H60">
        <v>56000000</v>
      </c>
      <c r="I60">
        <v>52000000</v>
      </c>
      <c r="J60">
        <v>62400000</v>
      </c>
      <c r="K60">
        <f t="shared" ref="K60:S60" si="27">K37*K61</f>
        <v>0</v>
      </c>
      <c r="L60">
        <f t="shared" si="27"/>
        <v>0</v>
      </c>
      <c r="M60">
        <f t="shared" si="27"/>
        <v>0</v>
      </c>
      <c r="N60">
        <f t="shared" si="27"/>
        <v>0</v>
      </c>
      <c r="O60">
        <f t="shared" si="27"/>
        <v>0</v>
      </c>
      <c r="P60">
        <f t="shared" si="27"/>
        <v>0</v>
      </c>
      <c r="Q60">
        <f t="shared" si="27"/>
        <v>0</v>
      </c>
      <c r="R60">
        <f t="shared" si="27"/>
        <v>0</v>
      </c>
      <c r="S60">
        <f t="shared" si="27"/>
        <v>0</v>
      </c>
    </row>
    <row r="61" spans="1:19">
      <c r="A61" t="s">
        <v>26</v>
      </c>
      <c r="B61" t="s">
        <v>179</v>
      </c>
      <c r="C61" t="s">
        <v>1657</v>
      </c>
      <c r="D61" t="s">
        <v>1487</v>
      </c>
      <c r="H61">
        <f>H60/H37</f>
        <v>0.0746666666666667</v>
      </c>
      <c r="I61">
        <f>I60/I37</f>
        <v>0.0666666666666667</v>
      </c>
      <c r="J61">
        <f>J60/J37</f>
        <v>0.0760975609756098</v>
      </c>
    </row>
    <row r="62" spans="1:19">
      <c r="A62" t="s">
        <v>23</v>
      </c>
      <c r="B62" t="s">
        <v>20</v>
      </c>
      <c r="C62" t="s">
        <v>1658</v>
      </c>
      <c r="D62" t="s">
        <v>225</v>
      </c>
      <c r="H62">
        <f t="shared" ref="H62:S62" si="28">H63</f>
        <v>0</v>
      </c>
      <c r="I62">
        <f t="shared" si="28"/>
        <v>0</v>
      </c>
      <c r="J62">
        <f t="shared" si="28"/>
        <v>0</v>
      </c>
      <c r="K62">
        <f t="shared" si="28"/>
        <v>0</v>
      </c>
      <c r="L62">
        <f t="shared" si="28"/>
        <v>0</v>
      </c>
      <c r="M62">
        <f t="shared" si="28"/>
        <v>0</v>
      </c>
      <c r="N62">
        <f t="shared" si="28"/>
        <v>0</v>
      </c>
      <c r="O62">
        <f t="shared" si="28"/>
        <v>0</v>
      </c>
      <c r="P62">
        <f t="shared" si="28"/>
        <v>0</v>
      </c>
      <c r="Q62">
        <f t="shared" si="28"/>
        <v>0</v>
      </c>
      <c r="R62">
        <f t="shared" si="28"/>
        <v>0</v>
      </c>
      <c r="S62">
        <f t="shared" si="28"/>
        <v>0</v>
      </c>
    </row>
    <row r="63" spans="1:19">
      <c r="A63" t="s">
        <v>26</v>
      </c>
      <c r="B63" t="s">
        <v>20</v>
      </c>
      <c r="C63" t="s">
        <v>1659</v>
      </c>
      <c r="D63" t="s">
        <v>227</v>
      </c>
      <c r="K63">
        <f t="shared" ref="K63:S63" si="29">K54*K64</f>
        <v>0</v>
      </c>
      <c r="L63">
        <f t="shared" si="29"/>
        <v>0</v>
      </c>
      <c r="M63">
        <f t="shared" si="29"/>
        <v>0</v>
      </c>
      <c r="N63">
        <f t="shared" si="29"/>
        <v>0</v>
      </c>
      <c r="O63">
        <f t="shared" si="29"/>
        <v>0</v>
      </c>
      <c r="P63">
        <f t="shared" si="29"/>
        <v>0</v>
      </c>
      <c r="Q63">
        <f t="shared" si="29"/>
        <v>0</v>
      </c>
      <c r="R63">
        <f t="shared" si="29"/>
        <v>0</v>
      </c>
      <c r="S63">
        <f t="shared" si="29"/>
        <v>0</v>
      </c>
    </row>
    <row r="64" spans="1:19">
      <c r="A64" t="s">
        <v>60</v>
      </c>
      <c r="B64" t="s">
        <v>179</v>
      </c>
      <c r="C64" t="s">
        <v>1660</v>
      </c>
      <c r="D64" t="s">
        <v>229</v>
      </c>
      <c r="H64">
        <f>H63/H54</f>
        <v>0</v>
      </c>
      <c r="I64">
        <f>I63/I54</f>
        <v>0</v>
      </c>
      <c r="J64">
        <f>J63/J54</f>
        <v>0</v>
      </c>
    </row>
    <row r="65" spans="1:19">
      <c r="A65" t="s">
        <v>19</v>
      </c>
      <c r="B65" t="s">
        <v>35</v>
      </c>
      <c r="C65" t="s">
        <v>1661</v>
      </c>
      <c r="D65" t="s">
        <v>241</v>
      </c>
      <c r="H65">
        <f t="shared" ref="H65:S65" si="30">H66+H68+H71</f>
        <v>24500000</v>
      </c>
      <c r="I65">
        <f t="shared" si="30"/>
        <v>22750000</v>
      </c>
      <c r="J65">
        <f t="shared" si="30"/>
        <v>27300000</v>
      </c>
      <c r="K65">
        <f t="shared" si="30"/>
        <v>0</v>
      </c>
      <c r="L65">
        <f t="shared" si="30"/>
        <v>0</v>
      </c>
      <c r="M65">
        <f t="shared" si="30"/>
        <v>0</v>
      </c>
      <c r="N65">
        <f t="shared" si="30"/>
        <v>0</v>
      </c>
      <c r="O65">
        <f t="shared" si="30"/>
        <v>0</v>
      </c>
      <c r="P65">
        <f t="shared" si="30"/>
        <v>0</v>
      </c>
      <c r="Q65">
        <f t="shared" si="30"/>
        <v>0</v>
      </c>
      <c r="R65">
        <f t="shared" si="30"/>
        <v>0</v>
      </c>
      <c r="S65">
        <f t="shared" si="30"/>
        <v>0</v>
      </c>
    </row>
    <row r="66" spans="1:19">
      <c r="A66" t="s">
        <v>23</v>
      </c>
      <c r="B66" t="s">
        <v>35</v>
      </c>
      <c r="C66" t="s">
        <v>1662</v>
      </c>
      <c r="D66" t="s">
        <v>243</v>
      </c>
      <c r="H66">
        <v>24500000</v>
      </c>
      <c r="I66">
        <v>22750000</v>
      </c>
      <c r="J66">
        <v>27300000</v>
      </c>
      <c r="K66">
        <f t="shared" ref="K66:S66" si="31">K37*K67</f>
        <v>0</v>
      </c>
      <c r="L66">
        <f t="shared" si="31"/>
        <v>0</v>
      </c>
      <c r="M66">
        <f t="shared" si="31"/>
        <v>0</v>
      </c>
      <c r="N66">
        <f t="shared" si="31"/>
        <v>0</v>
      </c>
      <c r="O66">
        <f t="shared" si="31"/>
        <v>0</v>
      </c>
      <c r="P66">
        <f t="shared" si="31"/>
        <v>0</v>
      </c>
      <c r="Q66">
        <f t="shared" si="31"/>
        <v>0</v>
      </c>
      <c r="R66">
        <f t="shared" si="31"/>
        <v>0</v>
      </c>
      <c r="S66">
        <f t="shared" si="31"/>
        <v>0</v>
      </c>
    </row>
    <row r="67" spans="1:19">
      <c r="A67" t="s">
        <v>26</v>
      </c>
      <c r="B67" t="s">
        <v>179</v>
      </c>
      <c r="C67" t="s">
        <v>1663</v>
      </c>
      <c r="D67" t="s">
        <v>1491</v>
      </c>
      <c r="H67">
        <f>H66/H37</f>
        <v>0.0326666666666667</v>
      </c>
      <c r="I67">
        <f>I66/I37</f>
        <v>0.0291666666666667</v>
      </c>
      <c r="J67">
        <f>J66/J37</f>
        <v>0.0332926829268293</v>
      </c>
    </row>
    <row r="68" spans="1:19">
      <c r="A68" t="s">
        <v>23</v>
      </c>
      <c r="B68" t="s">
        <v>35</v>
      </c>
      <c r="C68" t="s">
        <v>1664</v>
      </c>
      <c r="D68" t="s">
        <v>265</v>
      </c>
      <c r="H68">
        <f t="shared" ref="H68:S68" si="32">H69</f>
        <v>0</v>
      </c>
      <c r="I68">
        <f t="shared" si="32"/>
        <v>0</v>
      </c>
      <c r="J68">
        <f t="shared" si="32"/>
        <v>0</v>
      </c>
      <c r="K68">
        <f t="shared" si="32"/>
        <v>0</v>
      </c>
      <c r="L68">
        <f t="shared" si="32"/>
        <v>0</v>
      </c>
      <c r="M68">
        <f t="shared" si="32"/>
        <v>0</v>
      </c>
      <c r="N68">
        <f t="shared" si="32"/>
        <v>0</v>
      </c>
      <c r="O68">
        <f t="shared" si="32"/>
        <v>0</v>
      </c>
      <c r="P68">
        <f t="shared" si="32"/>
        <v>0</v>
      </c>
      <c r="Q68">
        <f t="shared" si="32"/>
        <v>0</v>
      </c>
      <c r="R68">
        <f t="shared" si="32"/>
        <v>0</v>
      </c>
      <c r="S68">
        <f t="shared" si="32"/>
        <v>0</v>
      </c>
    </row>
    <row r="69" spans="1:19">
      <c r="A69" t="s">
        <v>26</v>
      </c>
      <c r="B69" t="s">
        <v>35</v>
      </c>
      <c r="C69" t="s">
        <v>1665</v>
      </c>
      <c r="D69" t="s">
        <v>267</v>
      </c>
      <c r="K69">
        <f t="shared" ref="K69:S69" si="33">K54*K70</f>
        <v>0</v>
      </c>
      <c r="L69">
        <f t="shared" si="33"/>
        <v>0</v>
      </c>
      <c r="M69">
        <f t="shared" si="33"/>
        <v>0</v>
      </c>
      <c r="N69">
        <f t="shared" si="33"/>
        <v>0</v>
      </c>
      <c r="O69">
        <f t="shared" si="33"/>
        <v>0</v>
      </c>
      <c r="P69">
        <f t="shared" si="33"/>
        <v>0</v>
      </c>
      <c r="Q69">
        <f t="shared" si="33"/>
        <v>0</v>
      </c>
      <c r="R69">
        <f t="shared" si="33"/>
        <v>0</v>
      </c>
      <c r="S69">
        <f t="shared" si="33"/>
        <v>0</v>
      </c>
    </row>
    <row r="70" spans="1:19">
      <c r="A70" t="s">
        <v>60</v>
      </c>
      <c r="B70" t="s">
        <v>179</v>
      </c>
      <c r="C70" t="s">
        <v>1666</v>
      </c>
      <c r="D70" t="s">
        <v>269</v>
      </c>
      <c r="H70">
        <f>H69/H54</f>
        <v>0</v>
      </c>
      <c r="I70">
        <f>I69/I54</f>
        <v>0</v>
      </c>
      <c r="J70">
        <f>J69/J54</f>
        <v>0</v>
      </c>
    </row>
    <row r="71" spans="1:19">
      <c r="A71" t="s">
        <v>23</v>
      </c>
      <c r="B71" t="s">
        <v>35</v>
      </c>
      <c r="C71" t="s">
        <v>1667</v>
      </c>
      <c r="D71" t="s">
        <v>281</v>
      </c>
      <c r="H71">
        <f t="shared" ref="H71:S71" si="34">H72</f>
        <v>0</v>
      </c>
      <c r="I71">
        <f t="shared" si="34"/>
        <v>0</v>
      </c>
      <c r="J71">
        <f t="shared" si="34"/>
        <v>0</v>
      </c>
      <c r="K71">
        <f t="shared" si="34"/>
        <v>0</v>
      </c>
      <c r="L71">
        <f t="shared" si="34"/>
        <v>0</v>
      </c>
      <c r="M71">
        <f t="shared" si="34"/>
        <v>0</v>
      </c>
      <c r="N71">
        <f t="shared" si="34"/>
        <v>0</v>
      </c>
      <c r="O71">
        <f t="shared" si="34"/>
        <v>0</v>
      </c>
      <c r="P71">
        <f t="shared" si="34"/>
        <v>0</v>
      </c>
      <c r="Q71">
        <f t="shared" si="34"/>
        <v>0</v>
      </c>
      <c r="R71">
        <f t="shared" si="34"/>
        <v>0</v>
      </c>
      <c r="S71">
        <f t="shared" si="34"/>
        <v>0</v>
      </c>
    </row>
    <row r="72" spans="1:19">
      <c r="A72" t="s">
        <v>26</v>
      </c>
      <c r="B72" t="s">
        <v>35</v>
      </c>
      <c r="C72" t="s">
        <v>1668</v>
      </c>
      <c r="D72" t="s">
        <v>1041</v>
      </c>
    </row>
    <row r="73" spans="1:19">
      <c r="A73" t="s">
        <v>19</v>
      </c>
      <c r="B73" t="s">
        <v>35</v>
      </c>
      <c r="C73" t="s">
        <v>1669</v>
      </c>
      <c r="D73" t="s">
        <v>285</v>
      </c>
      <c r="H73">
        <f t="shared" ref="H73:S73" si="35">H74+H80</f>
        <v>0</v>
      </c>
      <c r="I73">
        <f t="shared" si="35"/>
        <v>0</v>
      </c>
      <c r="J73">
        <f t="shared" si="35"/>
        <v>0</v>
      </c>
      <c r="K73">
        <f t="shared" si="35"/>
        <v>0</v>
      </c>
      <c r="L73">
        <f t="shared" si="35"/>
        <v>0</v>
      </c>
      <c r="M73">
        <f t="shared" si="35"/>
        <v>0</v>
      </c>
      <c r="N73">
        <f t="shared" si="35"/>
        <v>0</v>
      </c>
      <c r="O73">
        <f t="shared" si="35"/>
        <v>0</v>
      </c>
      <c r="P73">
        <f t="shared" si="35"/>
        <v>0</v>
      </c>
      <c r="Q73">
        <f t="shared" si="35"/>
        <v>0</v>
      </c>
      <c r="R73">
        <f t="shared" si="35"/>
        <v>0</v>
      </c>
      <c r="S73">
        <f t="shared" si="35"/>
        <v>0</v>
      </c>
    </row>
    <row r="74" spans="1:19">
      <c r="A74" t="s">
        <v>23</v>
      </c>
      <c r="B74" t="s">
        <v>35</v>
      </c>
      <c r="C74" t="s">
        <v>1670</v>
      </c>
      <c r="D74" t="s">
        <v>287</v>
      </c>
      <c r="H74">
        <f t="shared" ref="H74:S74" si="36">H76+H78</f>
        <v>0</v>
      </c>
      <c r="I74">
        <f t="shared" si="36"/>
        <v>0</v>
      </c>
      <c r="J74">
        <f t="shared" si="36"/>
        <v>0</v>
      </c>
      <c r="K74">
        <f t="shared" si="36"/>
        <v>0</v>
      </c>
      <c r="L74">
        <f t="shared" si="36"/>
        <v>0</v>
      </c>
      <c r="M74">
        <f t="shared" si="36"/>
        <v>0</v>
      </c>
      <c r="N74">
        <f t="shared" si="36"/>
        <v>0</v>
      </c>
      <c r="O74">
        <f t="shared" si="36"/>
        <v>0</v>
      </c>
      <c r="P74">
        <f t="shared" si="36"/>
        <v>0</v>
      </c>
      <c r="Q74">
        <f t="shared" si="36"/>
        <v>0</v>
      </c>
      <c r="R74">
        <f t="shared" si="36"/>
        <v>0</v>
      </c>
      <c r="S74">
        <f t="shared" si="36"/>
        <v>0</v>
      </c>
    </row>
    <row r="75" spans="1:19">
      <c r="A75" t="s">
        <v>26</v>
      </c>
      <c r="B75" t="s">
        <v>179</v>
      </c>
      <c r="C75" t="s">
        <v>1671</v>
      </c>
      <c r="D75" t="s">
        <v>289</v>
      </c>
      <c r="H75">
        <f t="shared" ref="H75:S75" si="37">H74/H47</f>
        <v>0</v>
      </c>
      <c r="I75">
        <f t="shared" si="37"/>
        <v>0</v>
      </c>
      <c r="J75">
        <f t="shared" si="37"/>
        <v>0</v>
      </c>
      <c r="K75">
        <f t="shared" si="37"/>
        <v>0</v>
      </c>
      <c r="L75">
        <f t="shared" si="37"/>
        <v>0</v>
      </c>
      <c r="M75">
        <f t="shared" si="37"/>
        <v>0</v>
      </c>
      <c r="N75">
        <f t="shared" si="37"/>
        <v>0</v>
      </c>
      <c r="O75">
        <f t="shared" si="37"/>
        <v>0</v>
      </c>
      <c r="P75">
        <f t="shared" si="37"/>
        <v>0</v>
      </c>
      <c r="Q75">
        <f t="shared" si="37"/>
        <v>0</v>
      </c>
      <c r="R75">
        <f t="shared" si="37"/>
        <v>0</v>
      </c>
      <c r="S75">
        <f t="shared" si="37"/>
        <v>0</v>
      </c>
    </row>
    <row r="76" spans="1:19">
      <c r="A76" t="s">
        <v>26</v>
      </c>
      <c r="B76" t="s">
        <v>35</v>
      </c>
      <c r="C76" t="s">
        <v>1672</v>
      </c>
      <c r="D76" t="s">
        <v>1673</v>
      </c>
      <c r="K76">
        <f t="shared" ref="K76:S76" si="38">K48*K77</f>
        <v>0</v>
      </c>
      <c r="L76">
        <f t="shared" si="38"/>
        <v>0</v>
      </c>
      <c r="M76">
        <f t="shared" si="38"/>
        <v>0</v>
      </c>
      <c r="N76">
        <f t="shared" si="38"/>
        <v>0</v>
      </c>
      <c r="O76">
        <f t="shared" si="38"/>
        <v>0</v>
      </c>
      <c r="P76">
        <f t="shared" si="38"/>
        <v>0</v>
      </c>
      <c r="Q76">
        <f t="shared" si="38"/>
        <v>0</v>
      </c>
      <c r="R76">
        <f t="shared" si="38"/>
        <v>0</v>
      </c>
      <c r="S76">
        <f t="shared" si="38"/>
        <v>0</v>
      </c>
    </row>
    <row r="77" spans="1:19">
      <c r="A77" t="s">
        <v>60</v>
      </c>
      <c r="B77" t="s">
        <v>179</v>
      </c>
      <c r="C77" t="s">
        <v>1674</v>
      </c>
      <c r="D77" t="s">
        <v>1675</v>
      </c>
      <c r="H77">
        <f>H76/H48</f>
        <v>0</v>
      </c>
      <c r="I77">
        <f>I76/I48</f>
        <v>0</v>
      </c>
      <c r="J77">
        <f>J76/J48</f>
        <v>0</v>
      </c>
    </row>
    <row r="78" spans="1:19">
      <c r="A78" t="s">
        <v>26</v>
      </c>
      <c r="B78" t="s">
        <v>35</v>
      </c>
      <c r="C78" t="s">
        <v>1676</v>
      </c>
      <c r="D78" t="s">
        <v>1677</v>
      </c>
      <c r="K78">
        <f t="shared" ref="K78:S78" si="39">K49*K79</f>
        <v>0</v>
      </c>
      <c r="L78">
        <f t="shared" si="39"/>
        <v>0</v>
      </c>
      <c r="M78">
        <f t="shared" si="39"/>
        <v>0</v>
      </c>
      <c r="N78">
        <f t="shared" si="39"/>
        <v>0</v>
      </c>
      <c r="O78">
        <f t="shared" si="39"/>
        <v>0</v>
      </c>
      <c r="P78">
        <f t="shared" si="39"/>
        <v>0</v>
      </c>
      <c r="Q78">
        <f t="shared" si="39"/>
        <v>0</v>
      </c>
      <c r="R78">
        <f t="shared" si="39"/>
        <v>0</v>
      </c>
      <c r="S78">
        <f t="shared" si="39"/>
        <v>0</v>
      </c>
    </row>
    <row r="79" spans="1:19">
      <c r="A79" t="s">
        <v>60</v>
      </c>
      <c r="B79" t="s">
        <v>179</v>
      </c>
      <c r="C79" t="s">
        <v>1678</v>
      </c>
      <c r="D79" t="s">
        <v>1679</v>
      </c>
      <c r="H79" t="e">
        <f>H78/H49</f>
        <v>#DIV/0!</v>
      </c>
      <c r="I79" t="e">
        <f>I78/I49</f>
        <v>#DIV/0!</v>
      </c>
      <c r="J79" t="e">
        <f>J78/J49</f>
        <v>#DIV/0!</v>
      </c>
    </row>
    <row r="80" spans="1:19">
      <c r="A80" t="s">
        <v>23</v>
      </c>
      <c r="B80" t="s">
        <v>35</v>
      </c>
      <c r="C80" t="s">
        <v>1680</v>
      </c>
      <c r="D80" t="s">
        <v>299</v>
      </c>
      <c r="H80">
        <f t="shared" ref="H80:S80" si="40">H81</f>
        <v>0</v>
      </c>
      <c r="I80">
        <f t="shared" si="40"/>
        <v>0</v>
      </c>
      <c r="J80">
        <f t="shared" si="40"/>
        <v>0</v>
      </c>
      <c r="K80">
        <f t="shared" si="40"/>
        <v>0</v>
      </c>
      <c r="L80">
        <f t="shared" si="40"/>
        <v>0</v>
      </c>
      <c r="M80">
        <f t="shared" si="40"/>
        <v>0</v>
      </c>
      <c r="N80">
        <f t="shared" si="40"/>
        <v>0</v>
      </c>
      <c r="O80">
        <f t="shared" si="40"/>
        <v>0</v>
      </c>
      <c r="P80">
        <f t="shared" si="40"/>
        <v>0</v>
      </c>
      <c r="Q80">
        <f t="shared" si="40"/>
        <v>0</v>
      </c>
      <c r="R80">
        <f t="shared" si="40"/>
        <v>0</v>
      </c>
      <c r="S80">
        <f t="shared" si="40"/>
        <v>0</v>
      </c>
    </row>
    <row r="81" spans="1:19">
      <c r="A81" t="s">
        <v>26</v>
      </c>
      <c r="B81" t="s">
        <v>35</v>
      </c>
      <c r="C81" t="s">
        <v>1681</v>
      </c>
      <c r="D81" t="s">
        <v>301</v>
      </c>
      <c r="K81">
        <f t="shared" ref="K81:S81" si="41">K58*K82</f>
        <v>0</v>
      </c>
      <c r="L81">
        <f t="shared" si="41"/>
        <v>0</v>
      </c>
      <c r="M81">
        <f t="shared" si="41"/>
        <v>0</v>
      </c>
      <c r="N81">
        <f t="shared" si="41"/>
        <v>0</v>
      </c>
      <c r="O81">
        <f t="shared" si="41"/>
        <v>0</v>
      </c>
      <c r="P81">
        <f t="shared" si="41"/>
        <v>0</v>
      </c>
      <c r="Q81">
        <f t="shared" si="41"/>
        <v>0</v>
      </c>
      <c r="R81">
        <f t="shared" si="41"/>
        <v>0</v>
      </c>
      <c r="S81">
        <f t="shared" si="41"/>
        <v>0</v>
      </c>
    </row>
    <row r="82" spans="1:19">
      <c r="A82" t="s">
        <v>60</v>
      </c>
      <c r="B82" t="s">
        <v>179</v>
      </c>
      <c r="C82" t="s">
        <v>1682</v>
      </c>
      <c r="D82" t="s">
        <v>303</v>
      </c>
      <c r="H82">
        <f>H81/H58</f>
        <v>0</v>
      </c>
      <c r="I82">
        <f>I81/I58</f>
        <v>0</v>
      </c>
      <c r="J82">
        <f>J81/J58</f>
        <v>0</v>
      </c>
    </row>
    <row r="83" spans="1:19">
      <c r="A83" t="s">
        <v>19</v>
      </c>
      <c r="B83" t="s">
        <v>20</v>
      </c>
      <c r="C83" t="s">
        <v>1683</v>
      </c>
      <c r="D83" t="s">
        <v>309</v>
      </c>
      <c r="H83">
        <f t="shared" ref="H83:S83" si="42">H84+H90+H93</f>
        <v>0</v>
      </c>
      <c r="I83">
        <f t="shared" si="42"/>
        <v>0</v>
      </c>
      <c r="J83">
        <f t="shared" si="42"/>
        <v>0</v>
      </c>
      <c r="K83">
        <f t="shared" si="42"/>
        <v>0</v>
      </c>
      <c r="L83">
        <f t="shared" si="42"/>
        <v>0</v>
      </c>
      <c r="M83">
        <f t="shared" si="42"/>
        <v>0</v>
      </c>
      <c r="N83">
        <f t="shared" si="42"/>
        <v>0</v>
      </c>
      <c r="O83">
        <f t="shared" si="42"/>
        <v>0</v>
      </c>
      <c r="P83">
        <f t="shared" si="42"/>
        <v>0</v>
      </c>
      <c r="Q83">
        <f t="shared" si="42"/>
        <v>0</v>
      </c>
      <c r="R83">
        <f t="shared" si="42"/>
        <v>0</v>
      </c>
      <c r="S83">
        <f t="shared" si="42"/>
        <v>0</v>
      </c>
    </row>
    <row r="84" spans="1:19">
      <c r="A84" t="s">
        <v>23</v>
      </c>
      <c r="B84" t="s">
        <v>20</v>
      </c>
      <c r="C84" t="s">
        <v>1684</v>
      </c>
      <c r="D84" t="s">
        <v>311</v>
      </c>
      <c r="H84">
        <f t="shared" ref="H84:S84" si="43">H86+H88</f>
        <v>0</v>
      </c>
      <c r="I84">
        <f t="shared" si="43"/>
        <v>0</v>
      </c>
      <c r="J84">
        <f t="shared" si="43"/>
        <v>0</v>
      </c>
      <c r="K84">
        <f t="shared" si="43"/>
        <v>0</v>
      </c>
      <c r="L84">
        <f t="shared" si="43"/>
        <v>0</v>
      </c>
      <c r="M84">
        <f t="shared" si="43"/>
        <v>0</v>
      </c>
      <c r="N84">
        <f t="shared" si="43"/>
        <v>0</v>
      </c>
      <c r="O84">
        <f t="shared" si="43"/>
        <v>0</v>
      </c>
      <c r="P84">
        <f t="shared" si="43"/>
        <v>0</v>
      </c>
      <c r="Q84">
        <f t="shared" si="43"/>
        <v>0</v>
      </c>
      <c r="R84">
        <f t="shared" si="43"/>
        <v>0</v>
      </c>
      <c r="S84">
        <f t="shared" si="43"/>
        <v>0</v>
      </c>
    </row>
    <row r="85" spans="1:19">
      <c r="A85" t="s">
        <v>26</v>
      </c>
      <c r="B85" t="s">
        <v>179</v>
      </c>
      <c r="C85" t="s">
        <v>1685</v>
      </c>
      <c r="D85" t="s">
        <v>313</v>
      </c>
      <c r="H85">
        <f t="shared" ref="H85:S85" si="44">H84/H47</f>
        <v>0</v>
      </c>
      <c r="I85">
        <f t="shared" si="44"/>
        <v>0</v>
      </c>
      <c r="J85">
        <f t="shared" si="44"/>
        <v>0</v>
      </c>
      <c r="K85">
        <f t="shared" si="44"/>
        <v>0</v>
      </c>
      <c r="L85">
        <f t="shared" si="44"/>
        <v>0</v>
      </c>
      <c r="M85">
        <f t="shared" si="44"/>
        <v>0</v>
      </c>
      <c r="N85">
        <f t="shared" si="44"/>
        <v>0</v>
      </c>
      <c r="O85">
        <f t="shared" si="44"/>
        <v>0</v>
      </c>
      <c r="P85">
        <f t="shared" si="44"/>
        <v>0</v>
      </c>
      <c r="Q85">
        <f t="shared" si="44"/>
        <v>0</v>
      </c>
      <c r="R85">
        <f t="shared" si="44"/>
        <v>0</v>
      </c>
      <c r="S85">
        <f t="shared" si="44"/>
        <v>0</v>
      </c>
    </row>
    <row r="86" spans="1:19">
      <c r="A86" t="s">
        <v>26</v>
      </c>
      <c r="B86" t="s">
        <v>20</v>
      </c>
      <c r="C86" t="s">
        <v>1686</v>
      </c>
      <c r="D86" t="s">
        <v>1687</v>
      </c>
      <c r="K86">
        <f t="shared" ref="K86:S86" si="45">K48*K87</f>
        <v>0</v>
      </c>
      <c r="L86">
        <f t="shared" si="45"/>
        <v>0</v>
      </c>
      <c r="M86">
        <f t="shared" si="45"/>
        <v>0</v>
      </c>
      <c r="N86">
        <f t="shared" si="45"/>
        <v>0</v>
      </c>
      <c r="O86">
        <f t="shared" si="45"/>
        <v>0</v>
      </c>
      <c r="P86">
        <f t="shared" si="45"/>
        <v>0</v>
      </c>
      <c r="Q86">
        <f t="shared" si="45"/>
        <v>0</v>
      </c>
      <c r="R86">
        <f t="shared" si="45"/>
        <v>0</v>
      </c>
      <c r="S86">
        <f t="shared" si="45"/>
        <v>0</v>
      </c>
    </row>
    <row r="87" spans="1:19">
      <c r="A87" t="s">
        <v>60</v>
      </c>
      <c r="B87" t="s">
        <v>179</v>
      </c>
      <c r="C87" t="s">
        <v>1688</v>
      </c>
      <c r="D87" t="s">
        <v>1689</v>
      </c>
      <c r="H87">
        <f>H86/H48</f>
        <v>0</v>
      </c>
      <c r="I87">
        <f>I86/I48</f>
        <v>0</v>
      </c>
      <c r="J87">
        <f>J86/J48</f>
        <v>0</v>
      </c>
    </row>
    <row r="88" spans="1:19">
      <c r="A88" t="s">
        <v>26</v>
      </c>
      <c r="B88" t="s">
        <v>20</v>
      </c>
      <c r="C88" t="s">
        <v>1690</v>
      </c>
      <c r="D88" t="s">
        <v>1691</v>
      </c>
      <c r="K88">
        <f t="shared" ref="K88:S88" si="46">K49*K89</f>
        <v>0</v>
      </c>
      <c r="L88">
        <f t="shared" si="46"/>
        <v>0</v>
      </c>
      <c r="M88">
        <f t="shared" si="46"/>
        <v>0</v>
      </c>
      <c r="N88">
        <f t="shared" si="46"/>
        <v>0</v>
      </c>
      <c r="O88">
        <f t="shared" si="46"/>
        <v>0</v>
      </c>
      <c r="P88">
        <f t="shared" si="46"/>
        <v>0</v>
      </c>
      <c r="Q88">
        <f t="shared" si="46"/>
        <v>0</v>
      </c>
      <c r="R88">
        <f t="shared" si="46"/>
        <v>0</v>
      </c>
      <c r="S88">
        <f t="shared" si="46"/>
        <v>0</v>
      </c>
    </row>
    <row r="89" spans="1:19">
      <c r="A89" t="s">
        <v>60</v>
      </c>
      <c r="B89" t="s">
        <v>179</v>
      </c>
      <c r="C89" t="s">
        <v>1692</v>
      </c>
      <c r="D89" t="s">
        <v>1693</v>
      </c>
      <c r="H89" t="e">
        <f>H88/H49</f>
        <v>#DIV/0!</v>
      </c>
      <c r="I89" t="e">
        <f>I88/I49</f>
        <v>#DIV/0!</v>
      </c>
      <c r="J89" t="e">
        <f>J88/J49</f>
        <v>#DIV/0!</v>
      </c>
    </row>
    <row r="90" spans="1:19">
      <c r="A90" t="s">
        <v>23</v>
      </c>
      <c r="B90" t="s">
        <v>20</v>
      </c>
      <c r="C90" t="s">
        <v>1694</v>
      </c>
      <c r="D90" t="s">
        <v>323</v>
      </c>
      <c r="H90">
        <f t="shared" ref="H90:S90" si="47">H91</f>
        <v>0</v>
      </c>
      <c r="I90">
        <f t="shared" si="47"/>
        <v>0</v>
      </c>
      <c r="J90">
        <f t="shared" si="47"/>
        <v>0</v>
      </c>
      <c r="K90">
        <f t="shared" si="47"/>
        <v>0</v>
      </c>
      <c r="L90">
        <f t="shared" si="47"/>
        <v>0</v>
      </c>
      <c r="M90">
        <f t="shared" si="47"/>
        <v>0</v>
      </c>
      <c r="N90">
        <f t="shared" si="47"/>
        <v>0</v>
      </c>
      <c r="O90">
        <f t="shared" si="47"/>
        <v>0</v>
      </c>
      <c r="P90">
        <f t="shared" si="47"/>
        <v>0</v>
      </c>
      <c r="Q90">
        <f t="shared" si="47"/>
        <v>0</v>
      </c>
      <c r="R90">
        <f t="shared" si="47"/>
        <v>0</v>
      </c>
      <c r="S90">
        <f t="shared" si="47"/>
        <v>0</v>
      </c>
    </row>
    <row r="91" spans="1:19">
      <c r="A91" t="s">
        <v>26</v>
      </c>
      <c r="B91" t="s">
        <v>20</v>
      </c>
      <c r="C91" t="s">
        <v>1695</v>
      </c>
      <c r="D91" t="s">
        <v>325</v>
      </c>
      <c r="K91">
        <f t="shared" ref="K91:S91" si="48">K58*K92</f>
        <v>0</v>
      </c>
      <c r="L91">
        <f t="shared" si="48"/>
        <v>0</v>
      </c>
      <c r="M91">
        <f t="shared" si="48"/>
        <v>0</v>
      </c>
      <c r="N91">
        <f t="shared" si="48"/>
        <v>0</v>
      </c>
      <c r="O91">
        <f t="shared" si="48"/>
        <v>0</v>
      </c>
      <c r="P91">
        <f t="shared" si="48"/>
        <v>0</v>
      </c>
      <c r="Q91">
        <f t="shared" si="48"/>
        <v>0</v>
      </c>
      <c r="R91">
        <f t="shared" si="48"/>
        <v>0</v>
      </c>
      <c r="S91">
        <f t="shared" si="48"/>
        <v>0</v>
      </c>
    </row>
    <row r="92" spans="1:19">
      <c r="A92" t="s">
        <v>60</v>
      </c>
      <c r="B92" t="s">
        <v>179</v>
      </c>
      <c r="C92" t="s">
        <v>1696</v>
      </c>
      <c r="D92" t="s">
        <v>327</v>
      </c>
      <c r="H92">
        <f>H91/H58</f>
        <v>0</v>
      </c>
      <c r="I92">
        <f>I91/I58</f>
        <v>0</v>
      </c>
      <c r="J92">
        <f>J91/J58</f>
        <v>0</v>
      </c>
    </row>
    <row r="93" spans="1:19">
      <c r="A93" t="s">
        <v>23</v>
      </c>
      <c r="B93" t="s">
        <v>20</v>
      </c>
      <c r="C93" t="s">
        <v>1697</v>
      </c>
      <c r="D93" t="s">
        <v>333</v>
      </c>
      <c r="H93">
        <f t="shared" ref="H93:S93" si="49">H94</f>
        <v>0</v>
      </c>
      <c r="I93">
        <f t="shared" si="49"/>
        <v>0</v>
      </c>
      <c r="J93">
        <f t="shared" si="49"/>
        <v>0</v>
      </c>
      <c r="K93">
        <f t="shared" si="49"/>
        <v>0</v>
      </c>
      <c r="L93">
        <f t="shared" si="49"/>
        <v>0</v>
      </c>
      <c r="M93">
        <f t="shared" si="49"/>
        <v>0</v>
      </c>
      <c r="N93">
        <f t="shared" si="49"/>
        <v>0</v>
      </c>
      <c r="O93">
        <f t="shared" si="49"/>
        <v>0</v>
      </c>
      <c r="P93">
        <f t="shared" si="49"/>
        <v>0</v>
      </c>
      <c r="Q93">
        <f t="shared" si="49"/>
        <v>0</v>
      </c>
      <c r="R93">
        <f t="shared" si="49"/>
        <v>0</v>
      </c>
      <c r="S93">
        <f t="shared" si="49"/>
        <v>0</v>
      </c>
    </row>
    <row r="94" spans="1:19">
      <c r="A94" t="s">
        <v>26</v>
      </c>
      <c r="B94" t="s">
        <v>20</v>
      </c>
      <c r="C94" t="s">
        <v>1698</v>
      </c>
      <c r="D94" t="s">
        <v>335</v>
      </c>
    </row>
    <row r="95" spans="1:19">
      <c r="A95" t="s">
        <v>19</v>
      </c>
      <c r="B95" t="s">
        <v>20</v>
      </c>
      <c r="C95" t="s">
        <v>1699</v>
      </c>
      <c r="D95" t="s">
        <v>337</v>
      </c>
      <c r="H95">
        <v>35000000</v>
      </c>
      <c r="I95">
        <v>32500000</v>
      </c>
      <c r="J95">
        <v>39000000</v>
      </c>
      <c r="K95">
        <f t="shared" ref="K95:S95" si="50">K96+K98</f>
        <v>40000000</v>
      </c>
      <c r="L95">
        <f t="shared" si="50"/>
        <v>41000000</v>
      </c>
      <c r="M95">
        <f t="shared" si="50"/>
        <v>42500000</v>
      </c>
      <c r="N95">
        <f t="shared" si="50"/>
        <v>44000000</v>
      </c>
      <c r="O95">
        <f t="shared" si="50"/>
        <v>43500000</v>
      </c>
      <c r="P95">
        <f t="shared" si="50"/>
        <v>42500000</v>
      </c>
      <c r="Q95">
        <f t="shared" si="50"/>
        <v>46500000</v>
      </c>
      <c r="R95">
        <f t="shared" si="50"/>
        <v>46000000</v>
      </c>
      <c r="S95">
        <f t="shared" si="50"/>
        <v>47500000</v>
      </c>
    </row>
    <row r="96" spans="1:19">
      <c r="A96" t="s">
        <v>23</v>
      </c>
      <c r="B96" t="s">
        <v>20</v>
      </c>
      <c r="C96" t="s">
        <v>1700</v>
      </c>
      <c r="D96" t="s">
        <v>1701</v>
      </c>
      <c r="H96">
        <v>35000000</v>
      </c>
      <c r="I96">
        <v>32500000</v>
      </c>
      <c r="J96">
        <v>39000000</v>
      </c>
      <c r="K96">
        <f t="shared" ref="K96:S96" si="51">K50*K97</f>
        <v>0</v>
      </c>
      <c r="L96">
        <f t="shared" si="51"/>
        <v>0</v>
      </c>
      <c r="M96">
        <f t="shared" si="51"/>
        <v>0</v>
      </c>
      <c r="N96">
        <f t="shared" si="51"/>
        <v>0</v>
      </c>
      <c r="O96">
        <f t="shared" si="51"/>
        <v>0</v>
      </c>
      <c r="P96">
        <f t="shared" si="51"/>
        <v>0</v>
      </c>
      <c r="Q96">
        <f t="shared" si="51"/>
        <v>0</v>
      </c>
      <c r="R96">
        <f t="shared" si="51"/>
        <v>0</v>
      </c>
      <c r="S96">
        <f t="shared" si="51"/>
        <v>0</v>
      </c>
    </row>
    <row r="97" spans="1:19">
      <c r="A97" t="s">
        <v>26</v>
      </c>
      <c r="B97" t="s">
        <v>179</v>
      </c>
      <c r="C97" t="s">
        <v>1702</v>
      </c>
      <c r="D97" t="s">
        <v>1074</v>
      </c>
      <c r="H97">
        <f>H96/H50</f>
        <v>0.00777777777777778</v>
      </c>
      <c r="I97">
        <f>I96/I50</f>
        <v>0.00694444444444444</v>
      </c>
      <c r="J97">
        <f>J96/J50</f>
        <v>0.00792682926829268</v>
      </c>
    </row>
    <row r="98" spans="1:19">
      <c r="A98" t="s">
        <v>23</v>
      </c>
      <c r="B98" t="s">
        <v>20</v>
      </c>
      <c r="C98" t="s">
        <v>1703</v>
      </c>
      <c r="D98" t="s">
        <v>179</v>
      </c>
      <c r="H98">
        <f>H95-H96</f>
        <v>0</v>
      </c>
      <c r="I98">
        <f>I95-I96</f>
        <v>0</v>
      </c>
      <c r="J98">
        <f>J95-J96</f>
        <v>0</v>
      </c>
      <c r="K98">
        <v>40000000</v>
      </c>
      <c r="L98">
        <v>41000000</v>
      </c>
      <c r="M98">
        <v>42500000</v>
      </c>
      <c r="N98">
        <v>44000000</v>
      </c>
      <c r="O98">
        <v>43500000</v>
      </c>
      <c r="P98">
        <v>42500000</v>
      </c>
      <c r="Q98">
        <v>46500000</v>
      </c>
      <c r="R98">
        <v>46000000</v>
      </c>
      <c r="S98">
        <v>47500000</v>
      </c>
    </row>
    <row r="99" spans="1:19">
      <c r="A99" t="s">
        <v>19</v>
      </c>
      <c r="B99" t="s">
        <v>35</v>
      </c>
      <c r="C99" t="s">
        <v>1704</v>
      </c>
      <c r="D99" t="s">
        <v>365</v>
      </c>
      <c r="H99">
        <v>5600000</v>
      </c>
      <c r="I99">
        <v>5200000</v>
      </c>
      <c r="J99">
        <v>6240000</v>
      </c>
      <c r="K99">
        <f t="shared" ref="K99:S99" si="52">K100+K102+K104</f>
        <v>6400000</v>
      </c>
      <c r="L99">
        <f t="shared" si="52"/>
        <v>6560000</v>
      </c>
      <c r="M99">
        <f t="shared" si="52"/>
        <v>6800000</v>
      </c>
      <c r="N99">
        <f t="shared" si="52"/>
        <v>7040000</v>
      </c>
      <c r="O99">
        <f t="shared" si="52"/>
        <v>6960000</v>
      </c>
      <c r="P99">
        <f t="shared" si="52"/>
        <v>6800000</v>
      </c>
      <c r="Q99">
        <f t="shared" si="52"/>
        <v>7440000</v>
      </c>
      <c r="R99">
        <f t="shared" si="52"/>
        <v>7360000</v>
      </c>
      <c r="S99">
        <f t="shared" si="52"/>
        <v>7600000</v>
      </c>
    </row>
    <row r="100" spans="1:19">
      <c r="A100" t="s">
        <v>23</v>
      </c>
      <c r="B100" t="s">
        <v>35</v>
      </c>
      <c r="C100" t="s">
        <v>1705</v>
      </c>
      <c r="D100" t="s">
        <v>374</v>
      </c>
      <c r="H100">
        <v>5600000</v>
      </c>
      <c r="I100">
        <v>5200000</v>
      </c>
      <c r="J100">
        <v>6240000</v>
      </c>
      <c r="K100">
        <f t="shared" ref="K100:S100" si="53">K50*K101</f>
        <v>0</v>
      </c>
      <c r="L100">
        <f t="shared" si="53"/>
        <v>0</v>
      </c>
      <c r="M100">
        <f t="shared" si="53"/>
        <v>0</v>
      </c>
      <c r="N100">
        <f t="shared" si="53"/>
        <v>0</v>
      </c>
      <c r="O100">
        <f t="shared" si="53"/>
        <v>0</v>
      </c>
      <c r="P100">
        <f t="shared" si="53"/>
        <v>0</v>
      </c>
      <c r="Q100">
        <f t="shared" si="53"/>
        <v>0</v>
      </c>
      <c r="R100">
        <f t="shared" si="53"/>
        <v>0</v>
      </c>
      <c r="S100">
        <f t="shared" si="53"/>
        <v>0</v>
      </c>
    </row>
    <row r="101" spans="1:19">
      <c r="A101" t="s">
        <v>26</v>
      </c>
      <c r="B101" t="s">
        <v>179</v>
      </c>
      <c r="C101" t="s">
        <v>1706</v>
      </c>
      <c r="D101" t="s">
        <v>369</v>
      </c>
      <c r="H101">
        <f>H100/H50</f>
        <v>0.00124444444444444</v>
      </c>
      <c r="I101">
        <f>I100/I50</f>
        <v>0.00111111111111111</v>
      </c>
      <c r="J101">
        <f>J100/J50</f>
        <v>0.00126829268292683</v>
      </c>
    </row>
    <row r="102" spans="1:19">
      <c r="A102" t="s">
        <v>23</v>
      </c>
      <c r="B102" t="s">
        <v>35</v>
      </c>
      <c r="C102" t="s">
        <v>1707</v>
      </c>
      <c r="D102" t="s">
        <v>1708</v>
      </c>
      <c r="H102">
        <v>5600000</v>
      </c>
      <c r="I102">
        <v>5200000</v>
      </c>
      <c r="J102">
        <v>6240000</v>
      </c>
      <c r="K102">
        <f t="shared" ref="K102:S102" si="54">K50*K103</f>
        <v>0</v>
      </c>
      <c r="L102">
        <f t="shared" si="54"/>
        <v>0</v>
      </c>
      <c r="M102">
        <f t="shared" si="54"/>
        <v>0</v>
      </c>
      <c r="N102">
        <f t="shared" si="54"/>
        <v>0</v>
      </c>
      <c r="O102">
        <f t="shared" si="54"/>
        <v>0</v>
      </c>
      <c r="P102">
        <f t="shared" si="54"/>
        <v>0</v>
      </c>
      <c r="Q102">
        <f t="shared" si="54"/>
        <v>0</v>
      </c>
      <c r="R102">
        <f t="shared" si="54"/>
        <v>0</v>
      </c>
      <c r="S102">
        <f t="shared" si="54"/>
        <v>0</v>
      </c>
    </row>
    <row r="103" spans="1:19">
      <c r="A103" t="s">
        <v>26</v>
      </c>
      <c r="B103" t="s">
        <v>179</v>
      </c>
      <c r="C103" t="s">
        <v>1709</v>
      </c>
      <c r="D103" t="s">
        <v>369</v>
      </c>
      <c r="H103">
        <f>H102/H50</f>
        <v>0.00124444444444444</v>
      </c>
      <c r="I103">
        <f>I102/I50</f>
        <v>0.00111111111111111</v>
      </c>
      <c r="J103">
        <f>J102/J50</f>
        <v>0.00126829268292683</v>
      </c>
    </row>
    <row r="104" spans="1:19">
      <c r="A104" t="s">
        <v>23</v>
      </c>
      <c r="B104" t="s">
        <v>35</v>
      </c>
      <c r="C104" t="s">
        <v>1710</v>
      </c>
      <c r="D104" t="s">
        <v>179</v>
      </c>
      <c r="H104">
        <f>H99-H100-H102</f>
        <v>-5600000</v>
      </c>
      <c r="I104">
        <f>I99-I100-I102</f>
        <v>-5200000</v>
      </c>
      <c r="J104">
        <f>J99-J100-J102</f>
        <v>-6240000</v>
      </c>
      <c r="K104">
        <v>6400000</v>
      </c>
      <c r="L104">
        <v>6560000</v>
      </c>
      <c r="M104">
        <v>6800000</v>
      </c>
      <c r="N104">
        <v>7040000</v>
      </c>
      <c r="O104">
        <v>6960000</v>
      </c>
      <c r="P104">
        <v>6800000</v>
      </c>
      <c r="Q104">
        <v>7440000</v>
      </c>
      <c r="R104">
        <v>7360000</v>
      </c>
      <c r="S104">
        <v>7600000</v>
      </c>
    </row>
    <row r="105" spans="1:19">
      <c r="A105" t="s">
        <v>19</v>
      </c>
      <c r="B105" t="s">
        <v>20</v>
      </c>
      <c r="C105" t="s">
        <v>1711</v>
      </c>
      <c r="D105" t="s">
        <v>386</v>
      </c>
    </row>
    <row r="106" spans="1:19">
      <c r="A106" t="s">
        <v>19</v>
      </c>
      <c r="B106" t="s">
        <v>20</v>
      </c>
      <c r="C106" t="s">
        <v>1712</v>
      </c>
      <c r="D106" t="s">
        <v>392</v>
      </c>
    </row>
    <row r="107" spans="1:19">
      <c r="A107" t="s">
        <v>19</v>
      </c>
      <c r="B107" t="s">
        <v>393</v>
      </c>
      <c r="C107" t="s">
        <v>1713</v>
      </c>
      <c r="D107" t="s">
        <v>395</v>
      </c>
    </row>
    <row r="108" spans="1:19">
      <c r="A108" t="s">
        <v>23</v>
      </c>
      <c r="B108" t="s">
        <v>393</v>
      </c>
      <c r="C108" t="s">
        <v>1714</v>
      </c>
      <c r="D108" t="s">
        <v>397</v>
      </c>
    </row>
    <row r="109" spans="1:19">
      <c r="A109" t="s">
        <v>26</v>
      </c>
      <c r="B109" t="s">
        <v>393</v>
      </c>
      <c r="C109" t="s">
        <v>1715</v>
      </c>
      <c r="D109" t="s">
        <v>399</v>
      </c>
    </row>
    <row r="110" spans="1:19">
      <c r="A110" t="s">
        <v>60</v>
      </c>
      <c r="B110" t="s">
        <v>393</v>
      </c>
      <c r="C110" t="s">
        <v>1716</v>
      </c>
      <c r="D110" t="s">
        <v>401</v>
      </c>
    </row>
    <row r="111" spans="1:19">
      <c r="A111" t="s">
        <v>60</v>
      </c>
      <c r="B111" t="s">
        <v>393</v>
      </c>
      <c r="C111" t="s">
        <v>1717</v>
      </c>
      <c r="D111" t="s">
        <v>49</v>
      </c>
    </row>
    <row r="112" spans="1:19">
      <c r="A112" t="s">
        <v>26</v>
      </c>
      <c r="B112" t="s">
        <v>393</v>
      </c>
      <c r="C112" t="s">
        <v>1718</v>
      </c>
      <c r="D112" t="s">
        <v>51</v>
      </c>
    </row>
    <row r="113" spans="1:4">
      <c r="A113" t="s">
        <v>60</v>
      </c>
      <c r="B113" t="s">
        <v>393</v>
      </c>
      <c r="C113" t="s">
        <v>1719</v>
      </c>
      <c r="D113" t="s">
        <v>405</v>
      </c>
    </row>
    <row r="114" spans="1:4">
      <c r="A114" t="s">
        <v>60</v>
      </c>
      <c r="B114" t="s">
        <v>393</v>
      </c>
      <c r="C114" t="s">
        <v>1720</v>
      </c>
      <c r="D114" t="s">
        <v>407</v>
      </c>
    </row>
    <row r="115" spans="1:4">
      <c r="A115" t="s">
        <v>26</v>
      </c>
      <c r="B115" t="s">
        <v>393</v>
      </c>
      <c r="C115" t="s">
        <v>1721</v>
      </c>
      <c r="D115" t="s">
        <v>409</v>
      </c>
    </row>
    <row r="116" spans="1:4">
      <c r="A116" t="s">
        <v>60</v>
      </c>
      <c r="B116" t="s">
        <v>393</v>
      </c>
      <c r="C116" t="s">
        <v>1722</v>
      </c>
      <c r="D116" t="s">
        <v>59</v>
      </c>
    </row>
    <row r="117" spans="1:4">
      <c r="A117" t="s">
        <v>192</v>
      </c>
      <c r="B117" t="s">
        <v>393</v>
      </c>
      <c r="C117" t="s">
        <v>1723</v>
      </c>
      <c r="D117" t="s">
        <v>62</v>
      </c>
    </row>
    <row r="118" spans="1:4">
      <c r="A118" t="s">
        <v>192</v>
      </c>
      <c r="B118" t="s">
        <v>393</v>
      </c>
      <c r="C118" t="s">
        <v>1724</v>
      </c>
      <c r="D118" t="s">
        <v>64</v>
      </c>
    </row>
    <row r="119" spans="1:4">
      <c r="A119" t="s">
        <v>60</v>
      </c>
      <c r="B119" t="s">
        <v>393</v>
      </c>
      <c r="C119" t="s">
        <v>1725</v>
      </c>
      <c r="D119" t="s">
        <v>414</v>
      </c>
    </row>
    <row r="120" spans="1:4">
      <c r="A120" t="s">
        <v>60</v>
      </c>
      <c r="B120" t="s">
        <v>393</v>
      </c>
      <c r="C120" t="s">
        <v>1726</v>
      </c>
      <c r="D120" t="s">
        <v>68</v>
      </c>
    </row>
    <row r="121" spans="1:4">
      <c r="A121" t="s">
        <v>60</v>
      </c>
      <c r="B121" t="s">
        <v>393</v>
      </c>
      <c r="C121" t="s">
        <v>1727</v>
      </c>
      <c r="D121" t="s">
        <v>70</v>
      </c>
    </row>
    <row r="122" spans="1:4">
      <c r="A122" t="s">
        <v>26</v>
      </c>
      <c r="B122" t="s">
        <v>393</v>
      </c>
      <c r="C122" t="s">
        <v>1728</v>
      </c>
      <c r="D122" t="s">
        <v>418</v>
      </c>
    </row>
    <row r="123" spans="1:4">
      <c r="A123" t="s">
        <v>26</v>
      </c>
      <c r="B123" t="s">
        <v>393</v>
      </c>
      <c r="C123" t="s">
        <v>1729</v>
      </c>
      <c r="D123" t="s">
        <v>420</v>
      </c>
    </row>
    <row r="124" spans="1:4">
      <c r="A124" t="s">
        <v>23</v>
      </c>
      <c r="B124" t="s">
        <v>393</v>
      </c>
      <c r="C124" t="s">
        <v>1730</v>
      </c>
      <c r="D124" t="s">
        <v>422</v>
      </c>
    </row>
    <row r="125" spans="1:4">
      <c r="A125" t="s">
        <v>26</v>
      </c>
      <c r="B125" t="s">
        <v>393</v>
      </c>
      <c r="C125" t="s">
        <v>1731</v>
      </c>
      <c r="D125" t="s">
        <v>399</v>
      </c>
    </row>
    <row r="126" spans="1:4">
      <c r="A126" t="s">
        <v>60</v>
      </c>
      <c r="B126" t="s">
        <v>393</v>
      </c>
      <c r="C126" t="s">
        <v>1732</v>
      </c>
      <c r="D126" t="s">
        <v>401</v>
      </c>
    </row>
    <row r="127" spans="1:4">
      <c r="A127" t="s">
        <v>60</v>
      </c>
      <c r="B127" t="s">
        <v>393</v>
      </c>
      <c r="C127" t="s">
        <v>1733</v>
      </c>
      <c r="D127" t="s">
        <v>49</v>
      </c>
    </row>
    <row r="128" spans="1:4">
      <c r="A128" t="s">
        <v>26</v>
      </c>
      <c r="B128" t="s">
        <v>393</v>
      </c>
      <c r="C128" t="s">
        <v>1734</v>
      </c>
      <c r="D128" t="s">
        <v>51</v>
      </c>
    </row>
    <row r="129" spans="1:19">
      <c r="A129" t="s">
        <v>60</v>
      </c>
      <c r="B129" t="s">
        <v>393</v>
      </c>
      <c r="C129" t="s">
        <v>1735</v>
      </c>
      <c r="D129" t="s">
        <v>405</v>
      </c>
    </row>
    <row r="130" spans="1:19">
      <c r="A130" t="s">
        <v>60</v>
      </c>
      <c r="B130" t="s">
        <v>393</v>
      </c>
      <c r="C130" t="s">
        <v>1736</v>
      </c>
      <c r="D130" t="s">
        <v>407</v>
      </c>
    </row>
    <row r="131" spans="1:19">
      <c r="A131" t="s">
        <v>26</v>
      </c>
      <c r="B131" t="s">
        <v>393</v>
      </c>
      <c r="C131" t="s">
        <v>1737</v>
      </c>
      <c r="D131" t="s">
        <v>409</v>
      </c>
    </row>
    <row r="132" spans="1:19">
      <c r="A132" t="s">
        <v>60</v>
      </c>
      <c r="B132" t="s">
        <v>393</v>
      </c>
      <c r="C132" t="s">
        <v>1738</v>
      </c>
      <c r="D132" t="s">
        <v>59</v>
      </c>
    </row>
    <row r="133" spans="1:19">
      <c r="A133" t="s">
        <v>192</v>
      </c>
      <c r="B133" t="s">
        <v>393</v>
      </c>
      <c r="C133" t="s">
        <v>1739</v>
      </c>
      <c r="D133" t="s">
        <v>62</v>
      </c>
    </row>
    <row r="134" spans="1:19">
      <c r="A134" t="s">
        <v>192</v>
      </c>
      <c r="B134" t="s">
        <v>393</v>
      </c>
      <c r="C134" t="s">
        <v>1740</v>
      </c>
      <c r="D134" t="s">
        <v>64</v>
      </c>
    </row>
    <row r="135" spans="1:19">
      <c r="A135" t="s">
        <v>60</v>
      </c>
      <c r="B135" t="s">
        <v>393</v>
      </c>
      <c r="C135" t="s">
        <v>1741</v>
      </c>
      <c r="D135" t="s">
        <v>414</v>
      </c>
    </row>
    <row r="136" spans="1:19">
      <c r="A136" t="s">
        <v>60</v>
      </c>
      <c r="B136" t="s">
        <v>393</v>
      </c>
      <c r="C136" t="s">
        <v>1742</v>
      </c>
      <c r="D136" t="s">
        <v>68</v>
      </c>
    </row>
    <row r="137" spans="1:19">
      <c r="A137" t="s">
        <v>60</v>
      </c>
      <c r="B137" t="s">
        <v>393</v>
      </c>
      <c r="C137" t="s">
        <v>1743</v>
      </c>
      <c r="D137" t="s">
        <v>70</v>
      </c>
    </row>
    <row r="138" spans="1:19">
      <c r="A138" t="s">
        <v>26</v>
      </c>
      <c r="B138" t="s">
        <v>393</v>
      </c>
      <c r="C138" t="s">
        <v>1744</v>
      </c>
      <c r="D138" t="s">
        <v>418</v>
      </c>
    </row>
    <row r="139" spans="1:19">
      <c r="A139" t="s">
        <v>26</v>
      </c>
      <c r="B139" t="s">
        <v>393</v>
      </c>
      <c r="C139" t="s">
        <v>1745</v>
      </c>
      <c r="D139" t="s">
        <v>420</v>
      </c>
    </row>
    <row r="140" spans="1:19">
      <c r="A140" t="s">
        <v>19</v>
      </c>
      <c r="B140" t="s">
        <v>438</v>
      </c>
      <c r="C140" t="s">
        <v>1746</v>
      </c>
      <c r="D140" t="s">
        <v>440</v>
      </c>
    </row>
    <row r="141" spans="1:19">
      <c r="A141" t="s">
        <v>23</v>
      </c>
      <c r="B141" t="s">
        <v>438</v>
      </c>
      <c r="C141" t="s">
        <v>1747</v>
      </c>
      <c r="D141" t="s">
        <v>442</v>
      </c>
    </row>
    <row r="142" spans="1:19">
      <c r="A142" t="s">
        <v>26</v>
      </c>
      <c r="B142" t="s">
        <v>438</v>
      </c>
      <c r="C142" t="s">
        <v>1748</v>
      </c>
      <c r="D142" t="s">
        <v>444</v>
      </c>
    </row>
    <row r="143" spans="1:19">
      <c r="A143" t="s">
        <v>60</v>
      </c>
      <c r="B143" t="s">
        <v>438</v>
      </c>
      <c r="C143" t="s">
        <v>1749</v>
      </c>
      <c r="D143" t="s">
        <v>446</v>
      </c>
      <c r="H143">
        <v>3500000</v>
      </c>
      <c r="I143">
        <v>3250000</v>
      </c>
      <c r="J143">
        <v>3900000</v>
      </c>
      <c r="K143">
        <v>4000000</v>
      </c>
      <c r="L143">
        <v>4100000</v>
      </c>
      <c r="M143">
        <v>4250000</v>
      </c>
      <c r="N143">
        <v>4400000</v>
      </c>
      <c r="O143">
        <v>4350000</v>
      </c>
      <c r="P143">
        <v>4250000</v>
      </c>
      <c r="Q143">
        <v>4650000</v>
      </c>
      <c r="R143">
        <v>4600000</v>
      </c>
      <c r="S143">
        <v>4750000</v>
      </c>
    </row>
    <row r="144" spans="1:19">
      <c r="A144" t="s">
        <v>60</v>
      </c>
      <c r="B144" t="s">
        <v>438</v>
      </c>
      <c r="C144" t="s">
        <v>1750</v>
      </c>
      <c r="D144" t="s">
        <v>448</v>
      </c>
      <c r="H144">
        <v>2800000</v>
      </c>
      <c r="I144">
        <v>2600000</v>
      </c>
      <c r="J144">
        <v>3120000</v>
      </c>
      <c r="K144">
        <v>3200000</v>
      </c>
      <c r="L144">
        <v>3280000</v>
      </c>
      <c r="M144">
        <v>3400000</v>
      </c>
      <c r="N144">
        <v>3520000</v>
      </c>
      <c r="O144">
        <v>3480000</v>
      </c>
      <c r="P144">
        <v>3400000</v>
      </c>
      <c r="Q144">
        <v>3720000</v>
      </c>
      <c r="R144">
        <v>3680000</v>
      </c>
      <c r="S144">
        <v>3800000</v>
      </c>
    </row>
    <row r="145" spans="1:19">
      <c r="A145" t="s">
        <v>60</v>
      </c>
      <c r="B145" t="s">
        <v>438</v>
      </c>
      <c r="C145" t="s">
        <v>1751</v>
      </c>
      <c r="D145" t="s">
        <v>450</v>
      </c>
      <c r="H145">
        <v>1400000</v>
      </c>
      <c r="I145">
        <v>1300000</v>
      </c>
      <c r="J145">
        <v>1560000</v>
      </c>
      <c r="K145">
        <v>1600000</v>
      </c>
      <c r="L145">
        <v>1640000</v>
      </c>
      <c r="M145">
        <v>1700000</v>
      </c>
      <c r="N145">
        <v>1760000</v>
      </c>
      <c r="O145">
        <v>1740000</v>
      </c>
      <c r="P145">
        <v>1700000</v>
      </c>
      <c r="Q145">
        <v>1860000</v>
      </c>
      <c r="R145">
        <v>1840000</v>
      </c>
      <c r="S145">
        <v>1900000</v>
      </c>
    </row>
    <row r="146" spans="1:19">
      <c r="A146" t="s">
        <v>60</v>
      </c>
      <c r="B146" t="s">
        <v>438</v>
      </c>
      <c r="C146" t="s">
        <v>1752</v>
      </c>
      <c r="D146" t="s">
        <v>452</v>
      </c>
      <c r="H146">
        <v>1400000</v>
      </c>
      <c r="I146">
        <v>1300000</v>
      </c>
      <c r="J146">
        <v>1560000</v>
      </c>
      <c r="K146">
        <v>1600000</v>
      </c>
      <c r="L146">
        <v>1640000</v>
      </c>
      <c r="M146">
        <v>1700000</v>
      </c>
      <c r="N146">
        <v>1760000</v>
      </c>
      <c r="O146">
        <v>1740000</v>
      </c>
      <c r="P146">
        <v>1700000</v>
      </c>
      <c r="Q146">
        <v>1860000</v>
      </c>
      <c r="R146">
        <v>1840000</v>
      </c>
      <c r="S146">
        <v>1900000</v>
      </c>
    </row>
    <row r="147" spans="1:19">
      <c r="A147" t="s">
        <v>26</v>
      </c>
      <c r="B147" t="s">
        <v>438</v>
      </c>
      <c r="C147" t="s">
        <v>1753</v>
      </c>
      <c r="D147" t="s">
        <v>454</v>
      </c>
    </row>
    <row r="148" spans="1:19">
      <c r="A148" t="s">
        <v>60</v>
      </c>
      <c r="B148" t="s">
        <v>438</v>
      </c>
      <c r="C148" t="s">
        <v>1754</v>
      </c>
      <c r="D148" t="s">
        <v>456</v>
      </c>
      <c r="H148">
        <v>750000000</v>
      </c>
      <c r="I148">
        <v>780000000</v>
      </c>
      <c r="J148">
        <v>820000000</v>
      </c>
      <c r="K148">
        <v>830000000</v>
      </c>
      <c r="L148">
        <v>850000000</v>
      </c>
      <c r="M148">
        <v>870000000</v>
      </c>
      <c r="N148">
        <v>880000000</v>
      </c>
      <c r="O148">
        <v>860000000</v>
      </c>
      <c r="P148">
        <v>840000000</v>
      </c>
      <c r="Q148">
        <v>830000000</v>
      </c>
      <c r="R148">
        <v>820000000</v>
      </c>
      <c r="S148">
        <v>870000000</v>
      </c>
    </row>
    <row r="149" spans="1:19">
      <c r="A149" t="s">
        <v>60</v>
      </c>
      <c r="B149" t="s">
        <v>438</v>
      </c>
      <c r="C149" t="s">
        <v>1755</v>
      </c>
      <c r="D149" t="s">
        <v>458</v>
      </c>
      <c r="H149">
        <v>3500000</v>
      </c>
      <c r="I149">
        <v>3250000</v>
      </c>
      <c r="J149">
        <v>3900000</v>
      </c>
      <c r="K149">
        <v>4000000</v>
      </c>
      <c r="L149">
        <v>4100000</v>
      </c>
      <c r="M149">
        <v>4250000</v>
      </c>
      <c r="N149">
        <v>4400000</v>
      </c>
      <c r="O149">
        <v>4350000</v>
      </c>
      <c r="P149">
        <v>4250000</v>
      </c>
      <c r="Q149">
        <v>4650000</v>
      </c>
      <c r="R149">
        <v>4600000</v>
      </c>
      <c r="S149">
        <v>4750000</v>
      </c>
    </row>
    <row r="150" spans="1:19">
      <c r="A150" t="s">
        <v>60</v>
      </c>
      <c r="B150" t="s">
        <v>438</v>
      </c>
      <c r="C150" t="s">
        <v>1756</v>
      </c>
      <c r="D150" t="s">
        <v>460</v>
      </c>
      <c r="H150">
        <v>2800000</v>
      </c>
      <c r="I150">
        <v>2600000</v>
      </c>
      <c r="J150">
        <v>3120000</v>
      </c>
      <c r="K150">
        <v>3200000</v>
      </c>
      <c r="L150">
        <v>3280000</v>
      </c>
      <c r="M150">
        <v>3400000</v>
      </c>
      <c r="N150">
        <v>3520000</v>
      </c>
      <c r="O150">
        <v>3480000</v>
      </c>
      <c r="P150">
        <v>3400000</v>
      </c>
      <c r="Q150">
        <v>3720000</v>
      </c>
      <c r="R150">
        <v>3680000</v>
      </c>
      <c r="S150">
        <v>3800000</v>
      </c>
    </row>
    <row r="151" spans="1:19">
      <c r="A151" t="s">
        <v>60</v>
      </c>
      <c r="B151" t="s">
        <v>438</v>
      </c>
      <c r="C151" t="s">
        <v>1757</v>
      </c>
      <c r="D151" t="s">
        <v>462</v>
      </c>
      <c r="H151">
        <v>336000000</v>
      </c>
      <c r="I151">
        <v>312000000</v>
      </c>
      <c r="J151">
        <v>374400000</v>
      </c>
      <c r="K151">
        <v>384000000</v>
      </c>
      <c r="L151">
        <v>393600000</v>
      </c>
      <c r="M151">
        <v>408000000</v>
      </c>
      <c r="N151">
        <v>422400000</v>
      </c>
      <c r="O151">
        <v>417600000</v>
      </c>
      <c r="P151">
        <v>408000000</v>
      </c>
      <c r="Q151">
        <v>446400000</v>
      </c>
      <c r="R151">
        <v>441600000</v>
      </c>
      <c r="S151">
        <v>456000000</v>
      </c>
    </row>
    <row r="152" spans="1:19">
      <c r="A152" t="s">
        <v>60</v>
      </c>
      <c r="B152" t="s">
        <v>438</v>
      </c>
      <c r="C152" t="s">
        <v>1758</v>
      </c>
      <c r="D152" t="s">
        <v>464</v>
      </c>
    </row>
    <row r="153" spans="1:19">
      <c r="A153" t="s">
        <v>60</v>
      </c>
      <c r="B153" t="s">
        <v>438</v>
      </c>
      <c r="C153" t="s">
        <v>1759</v>
      </c>
      <c r="D153" t="s">
        <v>466</v>
      </c>
      <c r="H153">
        <v>2100000000</v>
      </c>
      <c r="I153">
        <v>1950000000</v>
      </c>
      <c r="J153">
        <v>2340000000</v>
      </c>
      <c r="K153">
        <v>2400000000</v>
      </c>
      <c r="L153">
        <v>2460000000</v>
      </c>
      <c r="M153">
        <v>2550000000</v>
      </c>
      <c r="N153">
        <v>2640000000</v>
      </c>
      <c r="O153">
        <v>2610000000</v>
      </c>
      <c r="P153">
        <v>2550000000</v>
      </c>
      <c r="Q153">
        <v>2790000000</v>
      </c>
      <c r="R153">
        <v>2760000000</v>
      </c>
      <c r="S153">
        <v>2850000000</v>
      </c>
    </row>
    <row r="154" spans="1:19">
      <c r="A154" t="s">
        <v>60</v>
      </c>
      <c r="B154" t="s">
        <v>438</v>
      </c>
      <c r="C154" t="s">
        <v>1760</v>
      </c>
      <c r="D154" t="s">
        <v>468</v>
      </c>
      <c r="H154">
        <v>750000000</v>
      </c>
      <c r="I154">
        <v>780000000</v>
      </c>
      <c r="J154">
        <v>820000000</v>
      </c>
      <c r="K154">
        <v>830000000</v>
      </c>
      <c r="L154">
        <v>850000000</v>
      </c>
      <c r="M154">
        <v>870000000</v>
      </c>
      <c r="N154">
        <v>880000000</v>
      </c>
      <c r="O154">
        <v>860000000</v>
      </c>
      <c r="P154">
        <v>840000000</v>
      </c>
      <c r="Q154">
        <v>830000000</v>
      </c>
      <c r="R154">
        <v>820000000</v>
      </c>
      <c r="S154">
        <v>870000000</v>
      </c>
    </row>
    <row r="155" spans="1:19">
      <c r="A155" t="s">
        <v>60</v>
      </c>
      <c r="B155" t="s">
        <v>438</v>
      </c>
      <c r="C155" t="s">
        <v>1761</v>
      </c>
      <c r="D155" t="s">
        <v>470</v>
      </c>
    </row>
    <row r="156" spans="1:19">
      <c r="A156" t="s">
        <v>60</v>
      </c>
      <c r="B156" t="s">
        <v>438</v>
      </c>
      <c r="C156" t="s">
        <v>1762</v>
      </c>
      <c r="D156" t="s">
        <v>472</v>
      </c>
    </row>
    <row r="157" spans="1:19">
      <c r="A157" t="s">
        <v>60</v>
      </c>
      <c r="B157" t="s">
        <v>438</v>
      </c>
      <c r="C157" t="s">
        <v>1763</v>
      </c>
      <c r="D157" t="s">
        <v>474</v>
      </c>
    </row>
    <row r="158" spans="1:19">
      <c r="A158" t="s">
        <v>60</v>
      </c>
      <c r="B158" t="s">
        <v>438</v>
      </c>
      <c r="C158" t="s">
        <v>1764</v>
      </c>
      <c r="D158" t="s">
        <v>476</v>
      </c>
      <c r="H158">
        <v>750000000</v>
      </c>
      <c r="I158">
        <v>780000000</v>
      </c>
      <c r="J158">
        <v>820000000</v>
      </c>
      <c r="K158">
        <v>830000000</v>
      </c>
      <c r="L158">
        <v>850000000</v>
      </c>
      <c r="M158">
        <v>870000000</v>
      </c>
      <c r="N158">
        <v>880000000</v>
      </c>
      <c r="O158">
        <v>860000000</v>
      </c>
      <c r="P158">
        <v>840000000</v>
      </c>
      <c r="Q158">
        <v>830000000</v>
      </c>
      <c r="R158">
        <v>820000000</v>
      </c>
      <c r="S158">
        <v>870000000</v>
      </c>
    </row>
    <row r="159" spans="1:19">
      <c r="A159" t="s">
        <v>60</v>
      </c>
      <c r="B159" t="s">
        <v>438</v>
      </c>
      <c r="C159" t="s">
        <v>1765</v>
      </c>
      <c r="D159" t="s">
        <v>478</v>
      </c>
      <c r="H159">
        <v>1400000</v>
      </c>
      <c r="I159">
        <v>1300000</v>
      </c>
      <c r="J159">
        <v>1560000</v>
      </c>
      <c r="K159">
        <v>1600000</v>
      </c>
      <c r="L159">
        <v>1640000</v>
      </c>
      <c r="M159">
        <v>1700000</v>
      </c>
      <c r="N159">
        <v>1760000</v>
      </c>
      <c r="O159">
        <v>1740000</v>
      </c>
      <c r="P159">
        <v>1700000</v>
      </c>
      <c r="Q159">
        <v>1860000</v>
      </c>
      <c r="R159">
        <v>1840000</v>
      </c>
      <c r="S159">
        <v>1900000</v>
      </c>
    </row>
    <row r="160" spans="1:19">
      <c r="A160" t="s">
        <v>60</v>
      </c>
      <c r="B160" t="s">
        <v>438</v>
      </c>
      <c r="C160" t="s">
        <v>1766</v>
      </c>
      <c r="D160" t="s">
        <v>480</v>
      </c>
      <c r="H160">
        <v>1400000</v>
      </c>
      <c r="I160">
        <v>1300000</v>
      </c>
      <c r="J160">
        <v>1560000</v>
      </c>
      <c r="K160">
        <v>1600000</v>
      </c>
      <c r="L160">
        <v>1640000</v>
      </c>
      <c r="M160">
        <v>1700000</v>
      </c>
      <c r="N160">
        <v>1760000</v>
      </c>
      <c r="O160">
        <v>1740000</v>
      </c>
      <c r="P160">
        <v>1700000</v>
      </c>
      <c r="Q160">
        <v>1860000</v>
      </c>
      <c r="R160">
        <v>1840000</v>
      </c>
      <c r="S160">
        <v>1900000</v>
      </c>
    </row>
    <row r="161" spans="1:19">
      <c r="A161" t="s">
        <v>60</v>
      </c>
      <c r="B161" t="s">
        <v>438</v>
      </c>
      <c r="C161" t="s">
        <v>1767</v>
      </c>
      <c r="D161" t="s">
        <v>482</v>
      </c>
    </row>
    <row r="162" spans="1:19">
      <c r="A162" t="s">
        <v>26</v>
      </c>
      <c r="B162" t="s">
        <v>438</v>
      </c>
      <c r="C162" t="s">
        <v>1768</v>
      </c>
      <c r="D162" t="s">
        <v>484</v>
      </c>
    </row>
    <row r="163" spans="1:19">
      <c r="A163" t="s">
        <v>60</v>
      </c>
      <c r="B163" t="s">
        <v>438</v>
      </c>
      <c r="C163" t="s">
        <v>1769</v>
      </c>
      <c r="D163" t="s">
        <v>486</v>
      </c>
      <c r="H163">
        <v>3500000</v>
      </c>
      <c r="I163">
        <v>3250000</v>
      </c>
      <c r="J163">
        <v>3900000</v>
      </c>
      <c r="K163">
        <v>4000000</v>
      </c>
      <c r="L163">
        <v>4100000</v>
      </c>
      <c r="M163">
        <v>4250000</v>
      </c>
      <c r="N163">
        <v>4400000</v>
      </c>
      <c r="O163">
        <v>4350000</v>
      </c>
      <c r="P163">
        <v>4250000</v>
      </c>
      <c r="Q163">
        <v>4650000</v>
      </c>
      <c r="R163">
        <v>4600000</v>
      </c>
      <c r="S163">
        <v>4750000</v>
      </c>
    </row>
    <row r="164" spans="1:19">
      <c r="A164" t="s">
        <v>60</v>
      </c>
      <c r="B164" t="s">
        <v>438</v>
      </c>
      <c r="C164" t="s">
        <v>1770</v>
      </c>
      <c r="D164" t="s">
        <v>488</v>
      </c>
      <c r="H164">
        <v>2800000</v>
      </c>
      <c r="I164">
        <v>2600000</v>
      </c>
      <c r="J164">
        <v>3120000</v>
      </c>
      <c r="K164">
        <v>3200000</v>
      </c>
      <c r="L164">
        <v>3280000</v>
      </c>
      <c r="M164">
        <v>3400000</v>
      </c>
      <c r="N164">
        <v>3520000</v>
      </c>
      <c r="O164">
        <v>3480000</v>
      </c>
      <c r="P164">
        <v>3400000</v>
      </c>
      <c r="Q164">
        <v>3720000</v>
      </c>
      <c r="R164">
        <v>3680000</v>
      </c>
      <c r="S164">
        <v>3800000</v>
      </c>
    </row>
    <row r="165" spans="1:19">
      <c r="A165" t="s">
        <v>60</v>
      </c>
      <c r="B165" t="s">
        <v>438</v>
      </c>
      <c r="C165" t="s">
        <v>1771</v>
      </c>
      <c r="D165" t="s">
        <v>490</v>
      </c>
      <c r="H165">
        <v>1400000</v>
      </c>
      <c r="I165">
        <v>1300000</v>
      </c>
      <c r="J165">
        <v>1560000</v>
      </c>
      <c r="K165">
        <v>1600000</v>
      </c>
      <c r="L165">
        <v>1640000</v>
      </c>
      <c r="M165">
        <v>1700000</v>
      </c>
      <c r="N165">
        <v>1760000</v>
      </c>
      <c r="O165">
        <v>1740000</v>
      </c>
      <c r="P165">
        <v>1700000</v>
      </c>
      <c r="Q165">
        <v>1860000</v>
      </c>
      <c r="R165">
        <v>1840000</v>
      </c>
      <c r="S165">
        <v>1900000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1746</v>
      </c>
      <c r="D2" t="s">
        <v>440</v>
      </c>
    </row>
    <row r="3" spans="1:19">
      <c r="A3" t="s">
        <v>19</v>
      </c>
      <c r="B3" t="s">
        <v>179</v>
      </c>
      <c r="C3" t="s">
        <v>1747</v>
      </c>
      <c r="D3" t="s">
        <v>442</v>
      </c>
    </row>
    <row r="4" spans="1:19">
      <c r="A4" t="s">
        <v>23</v>
      </c>
      <c r="B4" t="s">
        <v>179</v>
      </c>
      <c r="C4" t="s">
        <v>1748</v>
      </c>
      <c r="D4" t="s">
        <v>444</v>
      </c>
    </row>
    <row r="5" spans="1:19">
      <c r="A5" t="s">
        <v>26</v>
      </c>
      <c r="B5" t="s">
        <v>179</v>
      </c>
      <c r="C5" t="s">
        <v>1749</v>
      </c>
      <c r="D5" t="s">
        <v>446</v>
      </c>
      <c r="H5">
        <v>3500000</v>
      </c>
      <c r="I5">
        <v>3250000</v>
      </c>
      <c r="J5">
        <v>3900000</v>
      </c>
      <c r="K5">
        <v>4000000</v>
      </c>
      <c r="L5">
        <v>4100000</v>
      </c>
      <c r="M5">
        <v>4250000</v>
      </c>
      <c r="N5">
        <v>4400000</v>
      </c>
      <c r="O5">
        <v>4350000</v>
      </c>
      <c r="P5">
        <v>4250000</v>
      </c>
      <c r="Q5">
        <v>4650000</v>
      </c>
      <c r="R5">
        <v>4600000</v>
      </c>
      <c r="S5">
        <v>4750000</v>
      </c>
    </row>
    <row r="6" spans="1:19">
      <c r="A6" t="s">
        <v>26</v>
      </c>
      <c r="B6" t="s">
        <v>179</v>
      </c>
      <c r="C6" t="s">
        <v>1750</v>
      </c>
      <c r="D6" t="s">
        <v>448</v>
      </c>
      <c r="H6">
        <v>2800000</v>
      </c>
      <c r="I6">
        <v>2600000</v>
      </c>
      <c r="J6">
        <v>3120000</v>
      </c>
      <c r="K6">
        <v>3200000</v>
      </c>
      <c r="L6">
        <v>3280000</v>
      </c>
      <c r="M6">
        <v>3400000</v>
      </c>
      <c r="N6">
        <v>3520000</v>
      </c>
      <c r="O6">
        <v>3480000</v>
      </c>
      <c r="P6">
        <v>3400000</v>
      </c>
      <c r="Q6">
        <v>3720000</v>
      </c>
      <c r="R6">
        <v>3680000</v>
      </c>
      <c r="S6">
        <v>3800000</v>
      </c>
    </row>
    <row r="7" spans="1:19">
      <c r="A7" t="s">
        <v>26</v>
      </c>
      <c r="B7" t="s">
        <v>179</v>
      </c>
      <c r="C7" t="s">
        <v>1751</v>
      </c>
      <c r="D7" t="s">
        <v>450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26</v>
      </c>
      <c r="B8" t="s">
        <v>179</v>
      </c>
      <c r="C8" t="s">
        <v>1752</v>
      </c>
      <c r="D8" t="s">
        <v>452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23</v>
      </c>
      <c r="B9" t="s">
        <v>179</v>
      </c>
      <c r="C9" t="s">
        <v>1753</v>
      </c>
      <c r="D9" t="s">
        <v>454</v>
      </c>
    </row>
    <row r="10" spans="1:19">
      <c r="A10" t="s">
        <v>26</v>
      </c>
      <c r="B10" t="s">
        <v>179</v>
      </c>
      <c r="C10" t="s">
        <v>1754</v>
      </c>
      <c r="D10" t="s">
        <v>456</v>
      </c>
      <c r="H10">
        <v>750000000</v>
      </c>
      <c r="I10">
        <v>780000000</v>
      </c>
      <c r="J10">
        <v>820000000</v>
      </c>
      <c r="K10">
        <v>830000000</v>
      </c>
      <c r="L10">
        <v>850000000</v>
      </c>
      <c r="M10">
        <v>870000000</v>
      </c>
      <c r="N10">
        <v>880000000</v>
      </c>
      <c r="O10">
        <v>860000000</v>
      </c>
      <c r="P10">
        <v>840000000</v>
      </c>
      <c r="Q10">
        <v>830000000</v>
      </c>
      <c r="R10">
        <v>820000000</v>
      </c>
      <c r="S10">
        <v>870000000</v>
      </c>
    </row>
    <row r="11" spans="1:19">
      <c r="A11" t="s">
        <v>26</v>
      </c>
      <c r="B11" t="s">
        <v>179</v>
      </c>
      <c r="C11" t="s">
        <v>1755</v>
      </c>
      <c r="D11" t="s">
        <v>458</v>
      </c>
      <c r="H11">
        <v>3500000</v>
      </c>
      <c r="I11">
        <v>3250000</v>
      </c>
      <c r="J11">
        <v>3900000</v>
      </c>
      <c r="K11">
        <v>4000000</v>
      </c>
      <c r="L11">
        <v>4100000</v>
      </c>
      <c r="M11">
        <v>4250000</v>
      </c>
      <c r="N11">
        <v>4400000</v>
      </c>
      <c r="O11">
        <v>4350000</v>
      </c>
      <c r="P11">
        <v>4250000</v>
      </c>
      <c r="Q11">
        <v>4650000</v>
      </c>
      <c r="R11">
        <v>4600000</v>
      </c>
      <c r="S11">
        <v>4750000</v>
      </c>
    </row>
    <row r="12" spans="1:19">
      <c r="A12" t="s">
        <v>26</v>
      </c>
      <c r="B12" t="s">
        <v>179</v>
      </c>
      <c r="C12" t="s">
        <v>1756</v>
      </c>
      <c r="D12" t="s">
        <v>460</v>
      </c>
      <c r="H12">
        <v>2800000</v>
      </c>
      <c r="I12">
        <v>2600000</v>
      </c>
      <c r="J12">
        <v>3120000</v>
      </c>
      <c r="K12">
        <v>3200000</v>
      </c>
      <c r="L12">
        <v>3280000</v>
      </c>
      <c r="M12">
        <v>3400000</v>
      </c>
      <c r="N12">
        <v>3520000</v>
      </c>
      <c r="O12">
        <v>3480000</v>
      </c>
      <c r="P12">
        <v>3400000</v>
      </c>
      <c r="Q12">
        <v>3720000</v>
      </c>
      <c r="R12">
        <v>3680000</v>
      </c>
      <c r="S12">
        <v>3800000</v>
      </c>
    </row>
    <row r="13" spans="1:19">
      <c r="A13" t="s">
        <v>26</v>
      </c>
      <c r="B13" t="s">
        <v>179</v>
      </c>
      <c r="C13" t="s">
        <v>1757</v>
      </c>
      <c r="D13" t="s">
        <v>462</v>
      </c>
      <c r="H13">
        <v>336000000</v>
      </c>
      <c r="I13">
        <v>312000000</v>
      </c>
      <c r="J13">
        <v>374400000</v>
      </c>
      <c r="K13">
        <v>384000000</v>
      </c>
      <c r="L13">
        <v>393600000</v>
      </c>
      <c r="M13">
        <v>408000000</v>
      </c>
      <c r="N13">
        <v>422400000</v>
      </c>
      <c r="O13">
        <v>417600000</v>
      </c>
      <c r="P13">
        <v>408000000</v>
      </c>
      <c r="Q13">
        <v>446400000</v>
      </c>
      <c r="R13">
        <v>441600000</v>
      </c>
      <c r="S13">
        <v>456000000</v>
      </c>
    </row>
    <row r="14" spans="1:19">
      <c r="A14" t="s">
        <v>26</v>
      </c>
      <c r="B14" t="s">
        <v>179</v>
      </c>
      <c r="C14" t="s">
        <v>1758</v>
      </c>
      <c r="D14" t="s">
        <v>464</v>
      </c>
    </row>
    <row r="15" spans="1:19">
      <c r="A15" t="s">
        <v>26</v>
      </c>
      <c r="B15" t="s">
        <v>179</v>
      </c>
      <c r="C15" t="s">
        <v>1759</v>
      </c>
      <c r="D15" t="s">
        <v>466</v>
      </c>
      <c r="H15">
        <v>2100000000</v>
      </c>
      <c r="I15">
        <v>1950000000</v>
      </c>
      <c r="J15">
        <v>2340000000</v>
      </c>
      <c r="K15">
        <v>2400000000</v>
      </c>
      <c r="L15">
        <v>2460000000</v>
      </c>
      <c r="M15">
        <v>2550000000</v>
      </c>
      <c r="N15">
        <v>2640000000</v>
      </c>
      <c r="O15">
        <v>2610000000</v>
      </c>
      <c r="P15">
        <v>2550000000</v>
      </c>
      <c r="Q15">
        <v>2790000000</v>
      </c>
      <c r="R15">
        <v>2760000000</v>
      </c>
      <c r="S15">
        <v>2850000000</v>
      </c>
    </row>
    <row r="16" spans="1:19">
      <c r="A16" t="s">
        <v>26</v>
      </c>
      <c r="B16" t="s">
        <v>179</v>
      </c>
      <c r="C16" t="s">
        <v>1760</v>
      </c>
      <c r="D16" t="s">
        <v>468</v>
      </c>
      <c r="H16">
        <v>750000000</v>
      </c>
      <c r="I16">
        <v>780000000</v>
      </c>
      <c r="J16">
        <v>820000000</v>
      </c>
      <c r="K16">
        <v>830000000</v>
      </c>
      <c r="L16">
        <v>850000000</v>
      </c>
      <c r="M16">
        <v>870000000</v>
      </c>
      <c r="N16">
        <v>880000000</v>
      </c>
      <c r="O16">
        <v>860000000</v>
      </c>
      <c r="P16">
        <v>840000000</v>
      </c>
      <c r="Q16">
        <v>830000000</v>
      </c>
      <c r="R16">
        <v>820000000</v>
      </c>
      <c r="S16">
        <v>870000000</v>
      </c>
    </row>
    <row r="17" spans="1:19">
      <c r="A17" t="s">
        <v>26</v>
      </c>
      <c r="B17" t="s">
        <v>179</v>
      </c>
      <c r="C17" t="s">
        <v>1761</v>
      </c>
      <c r="D17" t="s">
        <v>470</v>
      </c>
    </row>
    <row r="18" spans="1:19">
      <c r="A18" t="s">
        <v>26</v>
      </c>
      <c r="B18" t="s">
        <v>179</v>
      </c>
      <c r="C18" t="s">
        <v>1762</v>
      </c>
      <c r="D18" t="s">
        <v>472</v>
      </c>
    </row>
    <row r="19" spans="1:19">
      <c r="A19" t="s">
        <v>26</v>
      </c>
      <c r="B19" t="s">
        <v>179</v>
      </c>
      <c r="C19" t="s">
        <v>1763</v>
      </c>
      <c r="D19" t="s">
        <v>474</v>
      </c>
    </row>
    <row r="20" spans="1:19">
      <c r="A20" t="s">
        <v>26</v>
      </c>
      <c r="B20" t="s">
        <v>179</v>
      </c>
      <c r="C20" t="s">
        <v>1764</v>
      </c>
      <c r="D20" t="s">
        <v>476</v>
      </c>
      <c r="H20">
        <v>750000000</v>
      </c>
      <c r="I20">
        <v>780000000</v>
      </c>
      <c r="J20">
        <v>820000000</v>
      </c>
      <c r="K20">
        <v>830000000</v>
      </c>
      <c r="L20">
        <v>850000000</v>
      </c>
      <c r="M20">
        <v>870000000</v>
      </c>
      <c r="N20">
        <v>880000000</v>
      </c>
      <c r="O20">
        <v>860000000</v>
      </c>
      <c r="P20">
        <v>840000000</v>
      </c>
      <c r="Q20">
        <v>830000000</v>
      </c>
      <c r="R20">
        <v>820000000</v>
      </c>
      <c r="S20">
        <v>870000000</v>
      </c>
    </row>
    <row r="21" spans="1:19">
      <c r="A21" t="s">
        <v>26</v>
      </c>
      <c r="B21" t="s">
        <v>179</v>
      </c>
      <c r="C21" t="s">
        <v>1765</v>
      </c>
      <c r="D21" t="s">
        <v>478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26</v>
      </c>
      <c r="B22" t="s">
        <v>179</v>
      </c>
      <c r="C22" t="s">
        <v>1766</v>
      </c>
      <c r="D22" t="s">
        <v>480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26</v>
      </c>
      <c r="B23" t="s">
        <v>179</v>
      </c>
      <c r="C23" t="s">
        <v>1767</v>
      </c>
      <c r="D23" t="s">
        <v>482</v>
      </c>
    </row>
    <row r="24" spans="1:19">
      <c r="A24" t="s">
        <v>23</v>
      </c>
      <c r="B24" t="s">
        <v>179</v>
      </c>
      <c r="C24" t="s">
        <v>1768</v>
      </c>
      <c r="D24" t="s">
        <v>484</v>
      </c>
    </row>
    <row r="25" spans="1:19">
      <c r="A25" t="s">
        <v>26</v>
      </c>
      <c r="B25" t="s">
        <v>179</v>
      </c>
      <c r="C25" t="s">
        <v>1769</v>
      </c>
      <c r="D25" t="s">
        <v>486</v>
      </c>
      <c r="H25">
        <v>3500000</v>
      </c>
      <c r="I25">
        <v>3250000</v>
      </c>
      <c r="J25">
        <v>3900000</v>
      </c>
      <c r="K25">
        <v>4000000</v>
      </c>
      <c r="L25">
        <v>4100000</v>
      </c>
      <c r="M25">
        <v>4250000</v>
      </c>
      <c r="N25">
        <v>4400000</v>
      </c>
      <c r="O25">
        <v>4350000</v>
      </c>
      <c r="P25">
        <v>4250000</v>
      </c>
      <c r="Q25">
        <v>4650000</v>
      </c>
      <c r="R25">
        <v>4600000</v>
      </c>
      <c r="S25">
        <v>4750000</v>
      </c>
    </row>
    <row r="26" spans="1:19">
      <c r="A26" t="s">
        <v>26</v>
      </c>
      <c r="B26" t="s">
        <v>179</v>
      </c>
      <c r="C26" t="s">
        <v>1770</v>
      </c>
      <c r="D26" t="s">
        <v>488</v>
      </c>
      <c r="H26">
        <v>2800000</v>
      </c>
      <c r="I26">
        <v>2600000</v>
      </c>
      <c r="J26">
        <v>3120000</v>
      </c>
      <c r="K26">
        <v>3200000</v>
      </c>
      <c r="L26">
        <v>3280000</v>
      </c>
      <c r="M26">
        <v>3400000</v>
      </c>
      <c r="N26">
        <v>3520000</v>
      </c>
      <c r="O26">
        <v>3480000</v>
      </c>
      <c r="P26">
        <v>3400000</v>
      </c>
      <c r="Q26">
        <v>3720000</v>
      </c>
      <c r="R26">
        <v>3680000</v>
      </c>
      <c r="S26">
        <v>3800000</v>
      </c>
    </row>
    <row r="27" spans="1:19">
      <c r="A27" t="s">
        <v>26</v>
      </c>
      <c r="B27" t="s">
        <v>179</v>
      </c>
      <c r="C27" t="s">
        <v>1771</v>
      </c>
      <c r="D27" t="s">
        <v>490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1772</v>
      </c>
      <c r="D2" t="s">
        <v>22</v>
      </c>
      <c r="H2">
        <f t="shared" ref="H2:S2" si="0">H3+H6+H7</f>
        <v>23800000</v>
      </c>
      <c r="I2">
        <f t="shared" si="0"/>
        <v>22100000</v>
      </c>
      <c r="J2">
        <f t="shared" si="0"/>
        <v>26520000</v>
      </c>
      <c r="K2">
        <f t="shared" si="0"/>
        <v>-3.100049999888e+17</v>
      </c>
      <c r="L2">
        <f t="shared" si="0"/>
        <v>-3.2512499998852e+17</v>
      </c>
      <c r="M2">
        <f t="shared" si="0"/>
        <v>-3.406049999881e+17</v>
      </c>
      <c r="N2">
        <f t="shared" si="0"/>
        <v>-3.4847999998768e+17</v>
      </c>
      <c r="O2">
        <f t="shared" si="0"/>
        <v>-3.3281999998782e+17</v>
      </c>
      <c r="P2">
        <f t="shared" si="0"/>
        <v>-3.175199999881e+17</v>
      </c>
      <c r="Q2">
        <f t="shared" si="0"/>
        <v>-3.1000499998698e+17</v>
      </c>
      <c r="R2">
        <f t="shared" si="0"/>
        <v>-3.0257999998712e+17</v>
      </c>
      <c r="S2">
        <f t="shared" si="0"/>
        <v>-3.406049999867e+17</v>
      </c>
    </row>
    <row r="3" spans="1:19">
      <c r="A3" t="s">
        <v>23</v>
      </c>
      <c r="B3" t="s">
        <v>20</v>
      </c>
      <c r="C3" t="s">
        <v>1773</v>
      </c>
      <c r="D3" t="s">
        <v>25</v>
      </c>
      <c r="H3">
        <f t="shared" ref="H3:S3" si="1">H4+H5</f>
        <v>14000000</v>
      </c>
      <c r="I3">
        <f t="shared" si="1"/>
        <v>13000000</v>
      </c>
      <c r="J3">
        <f t="shared" si="1"/>
        <v>15600000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</row>
    <row r="4" spans="1:19">
      <c r="A4" t="s">
        <v>26</v>
      </c>
      <c r="B4" t="s">
        <v>20</v>
      </c>
      <c r="C4" t="s">
        <v>1774</v>
      </c>
      <c r="D4" t="s">
        <v>28</v>
      </c>
      <c r="H4">
        <f t="shared" ref="H4:S4" si="2">H45-H48</f>
        <v>15400000</v>
      </c>
      <c r="I4">
        <f t="shared" si="2"/>
        <v>14300000</v>
      </c>
      <c r="J4">
        <f t="shared" si="2"/>
        <v>17160000</v>
      </c>
      <c r="K4">
        <f t="shared" si="2"/>
        <v>0</v>
      </c>
      <c r="L4">
        <f t="shared" si="2"/>
        <v>0</v>
      </c>
      <c r="M4">
        <f t="shared" si="2"/>
        <v>0</v>
      </c>
      <c r="N4">
        <f t="shared" si="2"/>
        <v>0</v>
      </c>
      <c r="O4">
        <f t="shared" si="2"/>
        <v>0</v>
      </c>
      <c r="P4">
        <f t="shared" si="2"/>
        <v>0</v>
      </c>
      <c r="Q4">
        <f t="shared" si="2"/>
        <v>0</v>
      </c>
      <c r="R4">
        <f t="shared" si="2"/>
        <v>0</v>
      </c>
      <c r="S4">
        <f t="shared" si="2"/>
        <v>0</v>
      </c>
    </row>
    <row r="5" spans="1:19">
      <c r="A5" t="s">
        <v>26</v>
      </c>
      <c r="B5" t="s">
        <v>20</v>
      </c>
      <c r="C5" t="s">
        <v>1775</v>
      </c>
      <c r="D5" t="s">
        <v>30</v>
      </c>
      <c r="H5">
        <f t="shared" ref="H5:S5" si="3">H56-H53</f>
        <v>-1400000</v>
      </c>
      <c r="I5">
        <f t="shared" si="3"/>
        <v>-1300000</v>
      </c>
      <c r="J5">
        <f t="shared" si="3"/>
        <v>-1560000</v>
      </c>
      <c r="K5">
        <f t="shared" si="3"/>
        <v>0</v>
      </c>
      <c r="L5">
        <f t="shared" si="3"/>
        <v>0</v>
      </c>
      <c r="M5">
        <f t="shared" si="3"/>
        <v>0</v>
      </c>
      <c r="N5">
        <f t="shared" si="3"/>
        <v>0</v>
      </c>
      <c r="O5">
        <f t="shared" si="3"/>
        <v>0</v>
      </c>
      <c r="P5">
        <f t="shared" si="3"/>
        <v>0</v>
      </c>
      <c r="Q5">
        <f t="shared" si="3"/>
        <v>0</v>
      </c>
      <c r="R5">
        <f t="shared" si="3"/>
        <v>0</v>
      </c>
      <c r="S5">
        <f t="shared" si="3"/>
        <v>0</v>
      </c>
    </row>
    <row r="6" spans="1:19">
      <c r="A6" t="s">
        <v>23</v>
      </c>
      <c r="B6" t="s">
        <v>20</v>
      </c>
      <c r="C6" t="s">
        <v>1776</v>
      </c>
      <c r="D6" t="s">
        <v>32</v>
      </c>
      <c r="H6">
        <f t="shared" ref="H6:S6" si="4">H59-H61</f>
        <v>9800000</v>
      </c>
      <c r="I6">
        <f t="shared" si="4"/>
        <v>9100000</v>
      </c>
      <c r="J6">
        <f t="shared" si="4"/>
        <v>10920000</v>
      </c>
      <c r="K6">
        <f t="shared" si="4"/>
        <v>-3.100049999888e+17</v>
      </c>
      <c r="L6">
        <f t="shared" si="4"/>
        <v>-3.2512499998852e+17</v>
      </c>
      <c r="M6">
        <f t="shared" si="4"/>
        <v>-3.406049999881e+17</v>
      </c>
      <c r="N6">
        <f t="shared" si="4"/>
        <v>-3.4847999998768e+17</v>
      </c>
      <c r="O6">
        <f t="shared" si="4"/>
        <v>-3.3281999998782e+17</v>
      </c>
      <c r="P6">
        <f t="shared" si="4"/>
        <v>-3.175199999881e+17</v>
      </c>
      <c r="Q6">
        <f t="shared" si="4"/>
        <v>-3.1000499998698e+17</v>
      </c>
      <c r="R6">
        <f t="shared" si="4"/>
        <v>-3.0257999998712e+17</v>
      </c>
      <c r="S6">
        <f t="shared" si="4"/>
        <v>-3.406049999867e+17</v>
      </c>
    </row>
    <row r="7" spans="1:19">
      <c r="A7" t="s">
        <v>23</v>
      </c>
      <c r="B7" t="s">
        <v>20</v>
      </c>
      <c r="C7" t="s">
        <v>1777</v>
      </c>
      <c r="D7" t="s">
        <v>34</v>
      </c>
      <c r="H7">
        <f t="shared" ref="H7:S7" si="5">H71+H72</f>
        <v>0</v>
      </c>
      <c r="I7">
        <f t="shared" si="5"/>
        <v>0</v>
      </c>
      <c r="J7">
        <f t="shared" si="5"/>
        <v>0</v>
      </c>
      <c r="K7">
        <f t="shared" si="5"/>
        <v>0</v>
      </c>
      <c r="L7">
        <f t="shared" si="5"/>
        <v>0</v>
      </c>
      <c r="M7">
        <f t="shared" si="5"/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</row>
    <row r="8" spans="1:19">
      <c r="A8" t="s">
        <v>19</v>
      </c>
      <c r="B8" t="s">
        <v>35</v>
      </c>
      <c r="C8" t="s">
        <v>1778</v>
      </c>
      <c r="D8" t="s">
        <v>37</v>
      </c>
      <c r="H8">
        <v>14000000</v>
      </c>
      <c r="I8">
        <v>13000000</v>
      </c>
      <c r="J8">
        <v>15600000</v>
      </c>
      <c r="K8">
        <v>16000000</v>
      </c>
      <c r="L8">
        <v>16400000</v>
      </c>
      <c r="M8">
        <v>17000000</v>
      </c>
      <c r="N8">
        <v>17600000</v>
      </c>
      <c r="O8">
        <v>17400000</v>
      </c>
      <c r="P8">
        <v>17000000</v>
      </c>
      <c r="Q8">
        <v>18600000</v>
      </c>
      <c r="R8">
        <v>18400000</v>
      </c>
      <c r="S8">
        <v>19000000</v>
      </c>
    </row>
    <row r="9" spans="1:19">
      <c r="A9" t="s">
        <v>19</v>
      </c>
      <c r="B9" t="s">
        <v>20</v>
      </c>
      <c r="C9" t="s">
        <v>1779</v>
      </c>
      <c r="D9" t="s">
        <v>39</v>
      </c>
      <c r="H9">
        <f t="shared" ref="H9:S9" si="6">H2-H8</f>
        <v>9800000</v>
      </c>
      <c r="I9">
        <f t="shared" si="6"/>
        <v>9100000</v>
      </c>
      <c r="J9">
        <f t="shared" si="6"/>
        <v>10920000</v>
      </c>
      <c r="K9">
        <f t="shared" si="6"/>
        <v>-3.100050000048e+17</v>
      </c>
      <c r="L9">
        <f t="shared" si="6"/>
        <v>-3.2512500000492e+17</v>
      </c>
      <c r="M9">
        <f t="shared" si="6"/>
        <v>-3.406050000051e+17</v>
      </c>
      <c r="N9">
        <f t="shared" si="6"/>
        <v>-3.4848000000528e+17</v>
      </c>
      <c r="O9">
        <f t="shared" si="6"/>
        <v>-3.3282000000522e+17</v>
      </c>
      <c r="P9">
        <f t="shared" si="6"/>
        <v>-3.175200000051e+17</v>
      </c>
      <c r="Q9">
        <f t="shared" si="6"/>
        <v>-3.1000500000558e+17</v>
      </c>
      <c r="R9">
        <f t="shared" si="6"/>
        <v>-3.0258000000552e+17</v>
      </c>
      <c r="S9">
        <f t="shared" si="6"/>
        <v>-3.406050000057e+17</v>
      </c>
    </row>
    <row r="10" spans="1:19">
      <c r="A10" t="s">
        <v>19</v>
      </c>
      <c r="B10" t="s">
        <v>35</v>
      </c>
      <c r="C10" t="s">
        <v>1780</v>
      </c>
      <c r="D10" t="s">
        <v>41</v>
      </c>
    </row>
    <row r="11" spans="1:19">
      <c r="A11" t="s">
        <v>19</v>
      </c>
      <c r="B11" t="s">
        <v>35</v>
      </c>
      <c r="C11" t="s">
        <v>1781</v>
      </c>
      <c r="D11" t="s">
        <v>43</v>
      </c>
      <c r="H11">
        <f t="shared" ref="H11:S11" si="7">H12+H15+H18+H25+H26</f>
        <v>0</v>
      </c>
      <c r="I11">
        <f t="shared" si="7"/>
        <v>0</v>
      </c>
      <c r="J11">
        <f t="shared" si="7"/>
        <v>0</v>
      </c>
      <c r="K11">
        <f t="shared" si="7"/>
        <v>0</v>
      </c>
      <c r="L11">
        <f t="shared" si="7"/>
        <v>0</v>
      </c>
      <c r="M11">
        <f t="shared" si="7"/>
        <v>0</v>
      </c>
      <c r="N11">
        <f t="shared" si="7"/>
        <v>0</v>
      </c>
      <c r="O11">
        <f t="shared" si="7"/>
        <v>0</v>
      </c>
      <c r="P11">
        <f t="shared" si="7"/>
        <v>0</v>
      </c>
      <c r="Q11">
        <f t="shared" si="7"/>
        <v>0</v>
      </c>
      <c r="R11">
        <f t="shared" si="7"/>
        <v>0</v>
      </c>
      <c r="S11">
        <f t="shared" si="7"/>
        <v>0</v>
      </c>
    </row>
    <row r="12" spans="1:19">
      <c r="A12" t="s">
        <v>23</v>
      </c>
      <c r="B12" t="s">
        <v>35</v>
      </c>
      <c r="C12" t="s">
        <v>1782</v>
      </c>
      <c r="D12" t="s">
        <v>45</v>
      </c>
      <c r="H12">
        <f t="shared" ref="H12:S12" si="8">H13+H14</f>
        <v>0</v>
      </c>
      <c r="I12">
        <f t="shared" si="8"/>
        <v>0</v>
      </c>
      <c r="J12">
        <f t="shared" si="8"/>
        <v>0</v>
      </c>
      <c r="K12">
        <f t="shared" si="8"/>
        <v>0</v>
      </c>
      <c r="L12">
        <f t="shared" si="8"/>
        <v>0</v>
      </c>
      <c r="M12">
        <f t="shared" si="8"/>
        <v>0</v>
      </c>
      <c r="N12">
        <f t="shared" si="8"/>
        <v>0</v>
      </c>
      <c r="O12">
        <f t="shared" si="8"/>
        <v>0</v>
      </c>
      <c r="P12">
        <f t="shared" si="8"/>
        <v>0</v>
      </c>
      <c r="Q12">
        <f t="shared" si="8"/>
        <v>0</v>
      </c>
      <c r="R12">
        <f t="shared" si="8"/>
        <v>0</v>
      </c>
      <c r="S12">
        <f t="shared" si="8"/>
        <v>0</v>
      </c>
    </row>
    <row r="13" spans="1:19">
      <c r="A13" t="s">
        <v>26</v>
      </c>
      <c r="B13" t="s">
        <v>35</v>
      </c>
      <c r="C13" t="s">
        <v>1783</v>
      </c>
      <c r="D13" t="s">
        <v>47</v>
      </c>
    </row>
    <row r="14" spans="1:19">
      <c r="A14" t="s">
        <v>26</v>
      </c>
      <c r="B14" t="s">
        <v>35</v>
      </c>
      <c r="C14" t="s">
        <v>1784</v>
      </c>
      <c r="D14" t="s">
        <v>49</v>
      </c>
    </row>
    <row r="15" spans="1:19">
      <c r="A15" t="s">
        <v>23</v>
      </c>
      <c r="B15" t="s">
        <v>35</v>
      </c>
      <c r="C15" t="s">
        <v>1785</v>
      </c>
      <c r="D15" t="s">
        <v>51</v>
      </c>
      <c r="H15">
        <f t="shared" ref="H15:S15" si="9">H16+H17</f>
        <v>0</v>
      </c>
      <c r="I15">
        <f t="shared" si="9"/>
        <v>0</v>
      </c>
      <c r="J15">
        <f t="shared" si="9"/>
        <v>0</v>
      </c>
      <c r="K15">
        <f t="shared" si="9"/>
        <v>0</v>
      </c>
      <c r="L15">
        <f t="shared" si="9"/>
        <v>0</v>
      </c>
      <c r="M15">
        <f t="shared" si="9"/>
        <v>0</v>
      </c>
      <c r="N15">
        <f t="shared" si="9"/>
        <v>0</v>
      </c>
      <c r="O15">
        <f t="shared" si="9"/>
        <v>0</v>
      </c>
      <c r="P15">
        <f t="shared" si="9"/>
        <v>0</v>
      </c>
      <c r="Q15">
        <f t="shared" si="9"/>
        <v>0</v>
      </c>
      <c r="R15">
        <f t="shared" si="9"/>
        <v>0</v>
      </c>
      <c r="S15">
        <f t="shared" si="9"/>
        <v>0</v>
      </c>
    </row>
    <row r="16" spans="1:19">
      <c r="A16" t="s">
        <v>26</v>
      </c>
      <c r="B16" t="s">
        <v>35</v>
      </c>
      <c r="C16" t="s">
        <v>1786</v>
      </c>
      <c r="D16" t="s">
        <v>53</v>
      </c>
    </row>
    <row r="17" spans="1:19">
      <c r="A17" t="s">
        <v>26</v>
      </c>
      <c r="B17" t="s">
        <v>35</v>
      </c>
      <c r="C17" t="s">
        <v>1787</v>
      </c>
      <c r="D17" t="s">
        <v>55</v>
      </c>
    </row>
    <row r="18" spans="1:19">
      <c r="A18" t="s">
        <v>23</v>
      </c>
      <c r="B18" t="s">
        <v>35</v>
      </c>
      <c r="C18" t="s">
        <v>1788</v>
      </c>
      <c r="D18" t="s">
        <v>57</v>
      </c>
      <c r="H18">
        <f t="shared" ref="H18:S18" si="10">H19+H22+H23+H24</f>
        <v>0</v>
      </c>
      <c r="I18">
        <f t="shared" si="10"/>
        <v>0</v>
      </c>
      <c r="J18">
        <f t="shared" si="10"/>
        <v>0</v>
      </c>
      <c r="K18">
        <f t="shared" si="10"/>
        <v>0</v>
      </c>
      <c r="L18">
        <f t="shared" si="10"/>
        <v>0</v>
      </c>
      <c r="M18">
        <f t="shared" si="10"/>
        <v>0</v>
      </c>
      <c r="N18">
        <f t="shared" si="10"/>
        <v>0</v>
      </c>
      <c r="O18">
        <f t="shared" si="10"/>
        <v>0</v>
      </c>
      <c r="P18">
        <f t="shared" si="10"/>
        <v>0</v>
      </c>
      <c r="Q18">
        <f t="shared" si="10"/>
        <v>0</v>
      </c>
      <c r="R18">
        <f t="shared" si="10"/>
        <v>0</v>
      </c>
      <c r="S18">
        <f t="shared" si="10"/>
        <v>0</v>
      </c>
    </row>
    <row r="19" spans="1:19">
      <c r="A19" t="s">
        <v>26</v>
      </c>
      <c r="B19" t="s">
        <v>35</v>
      </c>
      <c r="C19" t="s">
        <v>1789</v>
      </c>
      <c r="D19" t="s">
        <v>59</v>
      </c>
      <c r="H19">
        <f t="shared" ref="H19:S19" si="11">H20+H21</f>
        <v>0</v>
      </c>
      <c r="I19">
        <f t="shared" si="11"/>
        <v>0</v>
      </c>
      <c r="J19">
        <f t="shared" si="11"/>
        <v>0</v>
      </c>
      <c r="K19">
        <f t="shared" si="11"/>
        <v>0</v>
      </c>
      <c r="L19">
        <f t="shared" si="11"/>
        <v>0</v>
      </c>
      <c r="M19">
        <f t="shared" si="11"/>
        <v>0</v>
      </c>
      <c r="N19">
        <f t="shared" si="11"/>
        <v>0</v>
      </c>
      <c r="O19">
        <f t="shared" si="11"/>
        <v>0</v>
      </c>
      <c r="P19">
        <f t="shared" si="11"/>
        <v>0</v>
      </c>
      <c r="Q19">
        <f t="shared" si="11"/>
        <v>0</v>
      </c>
      <c r="R19">
        <f t="shared" si="11"/>
        <v>0</v>
      </c>
      <c r="S19">
        <f t="shared" si="11"/>
        <v>0</v>
      </c>
    </row>
    <row r="20" spans="1:19">
      <c r="A20" t="s">
        <v>60</v>
      </c>
      <c r="B20" t="s">
        <v>35</v>
      </c>
      <c r="C20" t="s">
        <v>1790</v>
      </c>
      <c r="D20" t="s">
        <v>62</v>
      </c>
    </row>
    <row r="21" spans="1:19">
      <c r="A21" t="s">
        <v>60</v>
      </c>
      <c r="B21" t="s">
        <v>35</v>
      </c>
      <c r="C21" t="s">
        <v>1791</v>
      </c>
      <c r="D21" t="s">
        <v>64</v>
      </c>
    </row>
    <row r="22" spans="1:19">
      <c r="A22" t="s">
        <v>26</v>
      </c>
      <c r="B22" t="s">
        <v>35</v>
      </c>
      <c r="C22" t="s">
        <v>1792</v>
      </c>
      <c r="D22" t="s">
        <v>66</v>
      </c>
    </row>
    <row r="23" spans="1:19">
      <c r="A23" t="s">
        <v>26</v>
      </c>
      <c r="B23" t="s">
        <v>35</v>
      </c>
      <c r="C23" t="s">
        <v>1793</v>
      </c>
      <c r="D23" t="s">
        <v>68</v>
      </c>
    </row>
    <row r="24" spans="1:19">
      <c r="A24" t="s">
        <v>26</v>
      </c>
      <c r="B24" t="s">
        <v>35</v>
      </c>
      <c r="C24" t="s">
        <v>1794</v>
      </c>
      <c r="D24" t="s">
        <v>70</v>
      </c>
    </row>
    <row r="25" spans="1:19">
      <c r="A25" t="s">
        <v>23</v>
      </c>
      <c r="B25" t="s">
        <v>35</v>
      </c>
      <c r="C25" t="s">
        <v>1795</v>
      </c>
      <c r="D25" t="s">
        <v>72</v>
      </c>
    </row>
    <row r="26" spans="1:19">
      <c r="A26" t="s">
        <v>23</v>
      </c>
      <c r="B26" t="s">
        <v>35</v>
      </c>
      <c r="C26" t="s">
        <v>1796</v>
      </c>
      <c r="D26" t="s">
        <v>74</v>
      </c>
    </row>
    <row r="27" spans="1:19">
      <c r="A27" t="s">
        <v>19</v>
      </c>
      <c r="B27" t="s">
        <v>20</v>
      </c>
      <c r="C27" t="s">
        <v>1797</v>
      </c>
      <c r="D27" t="s">
        <v>76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  <row r="28" spans="1:19">
      <c r="A28" t="s">
        <v>19</v>
      </c>
      <c r="B28" t="s">
        <v>77</v>
      </c>
      <c r="C28" t="s">
        <v>1798</v>
      </c>
      <c r="D28" t="s">
        <v>79</v>
      </c>
      <c r="H28">
        <f t="shared" ref="H28:S28" si="12">H9-H10-H11+H27</f>
        <v>10500000</v>
      </c>
      <c r="I28">
        <f t="shared" si="12"/>
        <v>9750000</v>
      </c>
      <c r="J28">
        <f t="shared" si="12"/>
        <v>11700000</v>
      </c>
      <c r="K28">
        <f t="shared" si="12"/>
        <v>-3.10005000004e+17</v>
      </c>
      <c r="L28">
        <f t="shared" si="12"/>
        <v>-3.251250000041e+17</v>
      </c>
      <c r="M28">
        <f t="shared" si="12"/>
        <v>-3.4060500000425e+17</v>
      </c>
      <c r="N28">
        <f t="shared" si="12"/>
        <v>-3.484800000044e+17</v>
      </c>
      <c r="O28">
        <f t="shared" si="12"/>
        <v>-3.3282000000435e+17</v>
      </c>
      <c r="P28">
        <f t="shared" si="12"/>
        <v>-3.1752000000425e+17</v>
      </c>
      <c r="Q28">
        <f t="shared" si="12"/>
        <v>-3.1000500000465e+17</v>
      </c>
      <c r="R28">
        <f t="shared" si="12"/>
        <v>-3.025800000046e+17</v>
      </c>
      <c r="S28">
        <f t="shared" si="12"/>
        <v>-3.4060500000475e+17</v>
      </c>
    </row>
    <row r="29" spans="1:19">
      <c r="A29" t="s">
        <v>19</v>
      </c>
      <c r="B29" t="s">
        <v>35</v>
      </c>
      <c r="C29" t="s">
        <v>1799</v>
      </c>
      <c r="D29" t="s">
        <v>81</v>
      </c>
      <c r="H29">
        <v>1400000</v>
      </c>
      <c r="I29">
        <v>1300000</v>
      </c>
      <c r="J29">
        <v>1560000</v>
      </c>
      <c r="K29">
        <v>1600000</v>
      </c>
      <c r="L29">
        <v>1640000</v>
      </c>
      <c r="M29">
        <v>1700000</v>
      </c>
      <c r="N29">
        <v>1760000</v>
      </c>
      <c r="O29">
        <v>1740000</v>
      </c>
      <c r="P29">
        <v>1700000</v>
      </c>
      <c r="Q29">
        <v>1860000</v>
      </c>
      <c r="R29">
        <v>1840000</v>
      </c>
      <c r="S29">
        <v>1900000</v>
      </c>
    </row>
    <row r="30" spans="1:19">
      <c r="A30" t="s">
        <v>19</v>
      </c>
      <c r="B30" t="s">
        <v>77</v>
      </c>
      <c r="C30" t="s">
        <v>1800</v>
      </c>
      <c r="D30" t="s">
        <v>83</v>
      </c>
      <c r="H30">
        <f t="shared" ref="H30:S30" si="13">H28-H29</f>
        <v>9100000</v>
      </c>
      <c r="I30">
        <f t="shared" si="13"/>
        <v>8450000</v>
      </c>
      <c r="J30">
        <f t="shared" si="13"/>
        <v>10140000</v>
      </c>
      <c r="K30">
        <f t="shared" si="13"/>
        <v>-3.100050000056e+17</v>
      </c>
      <c r="L30">
        <f t="shared" si="13"/>
        <v>-3.2512500000574e+17</v>
      </c>
      <c r="M30">
        <f t="shared" si="13"/>
        <v>-3.4060500000595e+17</v>
      </c>
      <c r="N30">
        <f t="shared" si="13"/>
        <v>-3.4848000000616e+17</v>
      </c>
      <c r="O30">
        <f t="shared" si="13"/>
        <v>-3.3282000000609e+17</v>
      </c>
      <c r="P30">
        <f t="shared" si="13"/>
        <v>-3.1752000000595e+17</v>
      </c>
      <c r="Q30">
        <f t="shared" si="13"/>
        <v>-3.1000500000651e+17</v>
      </c>
      <c r="R30">
        <f t="shared" si="13"/>
        <v>-3.0258000000644e+17</v>
      </c>
      <c r="S30">
        <f t="shared" si="13"/>
        <v>-3.4060500000665e+17</v>
      </c>
    </row>
    <row r="31" spans="1:19">
      <c r="A31" t="s">
        <v>19</v>
      </c>
      <c r="B31" t="s">
        <v>84</v>
      </c>
      <c r="C31" t="s">
        <v>1801</v>
      </c>
      <c r="D31" t="s">
        <v>86</v>
      </c>
      <c r="H31">
        <f t="shared" ref="H31:S31" si="14">H32+H34+H35</f>
        <v>1125000000</v>
      </c>
      <c r="I31">
        <f t="shared" si="14"/>
        <v>1170000000</v>
      </c>
      <c r="J31">
        <f t="shared" si="14"/>
        <v>1230000000</v>
      </c>
      <c r="K31">
        <f t="shared" si="14"/>
        <v>1245000000</v>
      </c>
      <c r="L31">
        <f t="shared" si="14"/>
        <v>1275000000</v>
      </c>
      <c r="M31">
        <f t="shared" si="14"/>
        <v>1305000000</v>
      </c>
      <c r="N31">
        <f t="shared" si="14"/>
        <v>1320000000</v>
      </c>
      <c r="O31">
        <f t="shared" si="14"/>
        <v>1290000000</v>
      </c>
      <c r="P31">
        <f t="shared" si="14"/>
        <v>1260000000</v>
      </c>
      <c r="Q31">
        <f t="shared" si="14"/>
        <v>1245000000</v>
      </c>
      <c r="R31">
        <f t="shared" si="14"/>
        <v>1230000000</v>
      </c>
      <c r="S31">
        <f t="shared" si="14"/>
        <v>1305000000</v>
      </c>
    </row>
    <row r="32" spans="1:19">
      <c r="A32" t="s">
        <v>23</v>
      </c>
      <c r="B32" t="s">
        <v>84</v>
      </c>
      <c r="C32" t="s">
        <v>1802</v>
      </c>
      <c r="D32" t="s">
        <v>117</v>
      </c>
      <c r="H32">
        <f t="shared" ref="H32:S32" si="15">H33</f>
        <v>375000000</v>
      </c>
      <c r="I32">
        <f t="shared" si="15"/>
        <v>390000000</v>
      </c>
      <c r="J32">
        <f t="shared" si="15"/>
        <v>410000000</v>
      </c>
      <c r="K32">
        <f t="shared" si="15"/>
        <v>415000000</v>
      </c>
      <c r="L32">
        <f t="shared" si="15"/>
        <v>425000000</v>
      </c>
      <c r="M32">
        <f t="shared" si="15"/>
        <v>435000000</v>
      </c>
      <c r="N32">
        <f t="shared" si="15"/>
        <v>440000000</v>
      </c>
      <c r="O32">
        <f t="shared" si="15"/>
        <v>430000000</v>
      </c>
      <c r="P32">
        <f t="shared" si="15"/>
        <v>420000000</v>
      </c>
      <c r="Q32">
        <f t="shared" si="15"/>
        <v>415000000</v>
      </c>
      <c r="R32">
        <f t="shared" si="15"/>
        <v>410000000</v>
      </c>
      <c r="S32">
        <f t="shared" si="15"/>
        <v>435000000</v>
      </c>
    </row>
    <row r="33" spans="1:19">
      <c r="A33" t="s">
        <v>26</v>
      </c>
      <c r="B33" t="s">
        <v>84</v>
      </c>
      <c r="C33" t="s">
        <v>1803</v>
      </c>
      <c r="D33" t="s">
        <v>90</v>
      </c>
      <c r="H33">
        <v>375000000</v>
      </c>
      <c r="I33">
        <v>390000000</v>
      </c>
      <c r="J33">
        <v>410000000</v>
      </c>
      <c r="K33">
        <v>415000000</v>
      </c>
      <c r="L33">
        <v>425000000</v>
      </c>
      <c r="M33">
        <v>435000000</v>
      </c>
      <c r="N33">
        <v>440000000</v>
      </c>
      <c r="O33">
        <v>430000000</v>
      </c>
      <c r="P33">
        <v>420000000</v>
      </c>
      <c r="Q33">
        <v>415000000</v>
      </c>
      <c r="R33">
        <v>410000000</v>
      </c>
      <c r="S33">
        <v>435000000</v>
      </c>
    </row>
    <row r="34" spans="1:19">
      <c r="A34" t="s">
        <v>23</v>
      </c>
      <c r="B34" t="s">
        <v>84</v>
      </c>
      <c r="C34" t="s">
        <v>1804</v>
      </c>
      <c r="D34" t="s">
        <v>102</v>
      </c>
      <c r="H34">
        <v>375000000</v>
      </c>
      <c r="I34">
        <v>390000000</v>
      </c>
      <c r="J34">
        <v>410000000</v>
      </c>
      <c r="K34">
        <v>415000000</v>
      </c>
      <c r="L34">
        <v>425000000</v>
      </c>
      <c r="M34">
        <v>435000000</v>
      </c>
      <c r="N34">
        <v>440000000</v>
      </c>
      <c r="O34">
        <v>430000000</v>
      </c>
      <c r="P34">
        <v>420000000</v>
      </c>
      <c r="Q34">
        <v>415000000</v>
      </c>
      <c r="R34">
        <v>410000000</v>
      </c>
      <c r="S34">
        <v>435000000</v>
      </c>
    </row>
    <row r="35" spans="1:19">
      <c r="A35" t="s">
        <v>23</v>
      </c>
      <c r="B35" t="s">
        <v>84</v>
      </c>
      <c r="C35" t="s">
        <v>1805</v>
      </c>
      <c r="D35" t="s">
        <v>104</v>
      </c>
      <c r="H35">
        <v>375000000</v>
      </c>
      <c r="I35">
        <v>390000000</v>
      </c>
      <c r="J35">
        <v>410000000</v>
      </c>
      <c r="K35">
        <v>415000000</v>
      </c>
      <c r="L35">
        <v>425000000</v>
      </c>
      <c r="M35">
        <v>435000000</v>
      </c>
      <c r="N35">
        <v>440000000</v>
      </c>
      <c r="O35">
        <v>430000000</v>
      </c>
      <c r="P35">
        <v>420000000</v>
      </c>
      <c r="Q35">
        <v>415000000</v>
      </c>
      <c r="R35">
        <v>410000000</v>
      </c>
      <c r="S35">
        <v>435000000</v>
      </c>
    </row>
    <row r="36" spans="1:19">
      <c r="A36" t="s">
        <v>19</v>
      </c>
      <c r="B36" t="s">
        <v>113</v>
      </c>
      <c r="C36" t="s">
        <v>1806</v>
      </c>
      <c r="D36" t="s">
        <v>115</v>
      </c>
      <c r="H36">
        <f t="shared" ref="H36:S36" si="16">H37+H39+H40</f>
        <v>1125000000</v>
      </c>
      <c r="I36">
        <f t="shared" si="16"/>
        <v>1170000000</v>
      </c>
      <c r="J36">
        <f t="shared" si="16"/>
        <v>1230000000</v>
      </c>
      <c r="K36">
        <f t="shared" si="16"/>
        <v>1245000000</v>
      </c>
      <c r="L36">
        <f t="shared" si="16"/>
        <v>1275000000</v>
      </c>
      <c r="M36">
        <f t="shared" si="16"/>
        <v>1305000000</v>
      </c>
      <c r="N36">
        <f t="shared" si="16"/>
        <v>1320000000</v>
      </c>
      <c r="O36">
        <f t="shared" si="16"/>
        <v>1290000000</v>
      </c>
      <c r="P36">
        <f t="shared" si="16"/>
        <v>1260000000</v>
      </c>
      <c r="Q36">
        <f t="shared" si="16"/>
        <v>1245000000</v>
      </c>
      <c r="R36">
        <f t="shared" si="16"/>
        <v>1230000000</v>
      </c>
      <c r="S36">
        <f t="shared" si="16"/>
        <v>1305000000</v>
      </c>
    </row>
    <row r="37" spans="1:19">
      <c r="A37" t="s">
        <v>23</v>
      </c>
      <c r="B37" t="s">
        <v>113</v>
      </c>
      <c r="C37" t="s">
        <v>1807</v>
      </c>
      <c r="D37" t="s">
        <v>117</v>
      </c>
      <c r="H37">
        <f t="shared" ref="H37:S37" si="17">H38</f>
        <v>375000000</v>
      </c>
      <c r="I37">
        <f t="shared" si="17"/>
        <v>390000000</v>
      </c>
      <c r="J37">
        <f t="shared" si="17"/>
        <v>410000000</v>
      </c>
      <c r="K37">
        <f t="shared" si="17"/>
        <v>415000000</v>
      </c>
      <c r="L37">
        <f t="shared" si="17"/>
        <v>425000000</v>
      </c>
      <c r="M37">
        <f t="shared" si="17"/>
        <v>435000000</v>
      </c>
      <c r="N37">
        <f t="shared" si="17"/>
        <v>440000000</v>
      </c>
      <c r="O37">
        <f t="shared" si="17"/>
        <v>430000000</v>
      </c>
      <c r="P37">
        <f t="shared" si="17"/>
        <v>420000000</v>
      </c>
      <c r="Q37">
        <f t="shared" si="17"/>
        <v>415000000</v>
      </c>
      <c r="R37">
        <f t="shared" si="17"/>
        <v>410000000</v>
      </c>
      <c r="S37">
        <f t="shared" si="17"/>
        <v>435000000</v>
      </c>
    </row>
    <row r="38" spans="1:19">
      <c r="A38" t="s">
        <v>26</v>
      </c>
      <c r="B38" t="s">
        <v>113</v>
      </c>
      <c r="C38" t="s">
        <v>1808</v>
      </c>
      <c r="D38" t="s">
        <v>90</v>
      </c>
      <c r="H38">
        <v>375000000</v>
      </c>
      <c r="I38">
        <v>390000000</v>
      </c>
      <c r="J38">
        <v>410000000</v>
      </c>
      <c r="K38">
        <v>415000000</v>
      </c>
      <c r="L38">
        <v>425000000</v>
      </c>
      <c r="M38">
        <v>435000000</v>
      </c>
      <c r="N38">
        <v>440000000</v>
      </c>
      <c r="O38">
        <v>430000000</v>
      </c>
      <c r="P38">
        <v>420000000</v>
      </c>
      <c r="Q38">
        <v>415000000</v>
      </c>
      <c r="R38">
        <v>410000000</v>
      </c>
      <c r="S38">
        <v>435000000</v>
      </c>
    </row>
    <row r="39" spans="1:19">
      <c r="A39" t="s">
        <v>23</v>
      </c>
      <c r="B39" t="s">
        <v>113</v>
      </c>
      <c r="C39" t="s">
        <v>1809</v>
      </c>
      <c r="D39" t="s">
        <v>102</v>
      </c>
      <c r="H39">
        <v>375000000</v>
      </c>
      <c r="I39">
        <v>390000000</v>
      </c>
      <c r="J39">
        <v>410000000</v>
      </c>
      <c r="K39">
        <v>415000000</v>
      </c>
      <c r="L39">
        <v>425000000</v>
      </c>
      <c r="M39">
        <v>435000000</v>
      </c>
      <c r="N39">
        <v>440000000</v>
      </c>
      <c r="O39">
        <v>430000000</v>
      </c>
      <c r="P39">
        <v>420000000</v>
      </c>
      <c r="Q39">
        <v>415000000</v>
      </c>
      <c r="R39">
        <v>410000000</v>
      </c>
      <c r="S39">
        <v>435000000</v>
      </c>
    </row>
    <row r="40" spans="1:19">
      <c r="A40" t="s">
        <v>23</v>
      </c>
      <c r="B40" t="s">
        <v>113</v>
      </c>
      <c r="C40" t="s">
        <v>1810</v>
      </c>
      <c r="D40" t="s">
        <v>104</v>
      </c>
      <c r="H40">
        <v>375000000</v>
      </c>
      <c r="I40">
        <v>390000000</v>
      </c>
      <c r="J40">
        <v>410000000</v>
      </c>
      <c r="K40">
        <v>415000000</v>
      </c>
      <c r="L40">
        <v>425000000</v>
      </c>
      <c r="M40">
        <v>435000000</v>
      </c>
      <c r="N40">
        <v>440000000</v>
      </c>
      <c r="O40">
        <v>430000000</v>
      </c>
      <c r="P40">
        <v>420000000</v>
      </c>
      <c r="Q40">
        <v>415000000</v>
      </c>
      <c r="R40">
        <v>410000000</v>
      </c>
      <c r="S40">
        <v>435000000</v>
      </c>
    </row>
    <row r="41" spans="1:19">
      <c r="A41" t="s">
        <v>19</v>
      </c>
      <c r="B41" t="s">
        <v>130</v>
      </c>
      <c r="C41" t="s">
        <v>1811</v>
      </c>
      <c r="D41" t="s">
        <v>132</v>
      </c>
      <c r="H41">
        <f t="shared" ref="H41:S41" si="18">H42</f>
        <v>225000000</v>
      </c>
      <c r="I41">
        <f t="shared" si="18"/>
        <v>234000000</v>
      </c>
      <c r="J41">
        <f t="shared" si="18"/>
        <v>246000000</v>
      </c>
      <c r="K41">
        <f t="shared" si="18"/>
        <v>249000000</v>
      </c>
      <c r="L41">
        <f t="shared" si="18"/>
        <v>255000000</v>
      </c>
      <c r="M41">
        <f t="shared" si="18"/>
        <v>261000000</v>
      </c>
      <c r="N41">
        <f t="shared" si="18"/>
        <v>264000000</v>
      </c>
      <c r="O41">
        <f t="shared" si="18"/>
        <v>258000000</v>
      </c>
      <c r="P41">
        <f t="shared" si="18"/>
        <v>252000000</v>
      </c>
      <c r="Q41">
        <f t="shared" si="18"/>
        <v>249000000</v>
      </c>
      <c r="R41">
        <f t="shared" si="18"/>
        <v>246000000</v>
      </c>
      <c r="S41">
        <f t="shared" si="18"/>
        <v>261000000</v>
      </c>
    </row>
    <row r="42" spans="1:19">
      <c r="A42" t="s">
        <v>23</v>
      </c>
      <c r="B42" t="s">
        <v>130</v>
      </c>
      <c r="C42" t="s">
        <v>1812</v>
      </c>
      <c r="D42" t="s">
        <v>134</v>
      </c>
      <c r="H42">
        <v>225000000</v>
      </c>
      <c r="I42">
        <v>234000000</v>
      </c>
      <c r="J42">
        <v>246000000</v>
      </c>
      <c r="K42">
        <v>249000000</v>
      </c>
      <c r="L42">
        <v>255000000</v>
      </c>
      <c r="M42">
        <v>261000000</v>
      </c>
      <c r="N42">
        <v>264000000</v>
      </c>
      <c r="O42">
        <v>258000000</v>
      </c>
      <c r="P42">
        <v>252000000</v>
      </c>
      <c r="Q42">
        <v>249000000</v>
      </c>
      <c r="R42">
        <v>246000000</v>
      </c>
      <c r="S42">
        <v>261000000</v>
      </c>
    </row>
    <row r="43" spans="1:19">
      <c r="A43" t="s">
        <v>19</v>
      </c>
      <c r="B43" t="s">
        <v>143</v>
      </c>
      <c r="C43" t="s">
        <v>1813</v>
      </c>
      <c r="D43" t="s">
        <v>142</v>
      </c>
      <c r="H43">
        <f t="shared" ref="H43:S43" si="19">H44</f>
        <v>225000000</v>
      </c>
      <c r="I43">
        <f t="shared" si="19"/>
        <v>234000000</v>
      </c>
      <c r="J43">
        <f t="shared" si="19"/>
        <v>246000000</v>
      </c>
      <c r="K43">
        <f t="shared" si="19"/>
        <v>249000000</v>
      </c>
      <c r="L43">
        <f t="shared" si="19"/>
        <v>255000000</v>
      </c>
      <c r="M43">
        <f t="shared" si="19"/>
        <v>261000000</v>
      </c>
      <c r="N43">
        <f t="shared" si="19"/>
        <v>264000000</v>
      </c>
      <c r="O43">
        <f t="shared" si="19"/>
        <v>258000000</v>
      </c>
      <c r="P43">
        <f t="shared" si="19"/>
        <v>252000000</v>
      </c>
      <c r="Q43">
        <f t="shared" si="19"/>
        <v>249000000</v>
      </c>
      <c r="R43">
        <f t="shared" si="19"/>
        <v>246000000</v>
      </c>
      <c r="S43">
        <f t="shared" si="19"/>
        <v>261000000</v>
      </c>
    </row>
    <row r="44" spans="1:19">
      <c r="A44" t="s">
        <v>23</v>
      </c>
      <c r="B44" t="s">
        <v>143</v>
      </c>
      <c r="C44" t="s">
        <v>1814</v>
      </c>
      <c r="D44" t="s">
        <v>145</v>
      </c>
      <c r="H44">
        <v>225000000</v>
      </c>
      <c r="I44">
        <v>234000000</v>
      </c>
      <c r="J44">
        <v>246000000</v>
      </c>
      <c r="K44">
        <v>249000000</v>
      </c>
      <c r="L44">
        <v>255000000</v>
      </c>
      <c r="M44">
        <v>261000000</v>
      </c>
      <c r="N44">
        <v>264000000</v>
      </c>
      <c r="O44">
        <v>258000000</v>
      </c>
      <c r="P44">
        <v>252000000</v>
      </c>
      <c r="Q44">
        <v>249000000</v>
      </c>
      <c r="R44">
        <v>246000000</v>
      </c>
      <c r="S44">
        <v>261000000</v>
      </c>
    </row>
    <row r="45" spans="1:19">
      <c r="A45" t="s">
        <v>19</v>
      </c>
      <c r="B45" t="s">
        <v>20</v>
      </c>
      <c r="C45" t="s">
        <v>1815</v>
      </c>
      <c r="D45" t="s">
        <v>176</v>
      </c>
      <c r="H45">
        <f t="shared" ref="H45:S45" si="20">H46</f>
        <v>28000000</v>
      </c>
      <c r="I45">
        <f t="shared" si="20"/>
        <v>26000000</v>
      </c>
      <c r="J45">
        <f t="shared" si="20"/>
        <v>31200000</v>
      </c>
      <c r="K45">
        <f t="shared" si="20"/>
        <v>0</v>
      </c>
      <c r="L45">
        <f t="shared" si="20"/>
        <v>0</v>
      </c>
      <c r="M45">
        <f t="shared" si="20"/>
        <v>0</v>
      </c>
      <c r="N45">
        <f t="shared" si="20"/>
        <v>0</v>
      </c>
      <c r="O45">
        <f t="shared" si="20"/>
        <v>0</v>
      </c>
      <c r="P45">
        <f t="shared" si="20"/>
        <v>0</v>
      </c>
      <c r="Q45">
        <f t="shared" si="20"/>
        <v>0</v>
      </c>
      <c r="R45">
        <f t="shared" si="20"/>
        <v>0</v>
      </c>
      <c r="S45">
        <f t="shared" si="20"/>
        <v>0</v>
      </c>
    </row>
    <row r="46" spans="1:19">
      <c r="A46" t="s">
        <v>23</v>
      </c>
      <c r="B46" t="s">
        <v>20</v>
      </c>
      <c r="C46" t="s">
        <v>1816</v>
      </c>
      <c r="D46" t="s">
        <v>178</v>
      </c>
      <c r="H46">
        <v>28000000</v>
      </c>
      <c r="I46">
        <v>26000000</v>
      </c>
      <c r="J46">
        <v>31200000</v>
      </c>
      <c r="K46">
        <f t="shared" ref="K46:S46" si="21">K37*K47</f>
        <v>0</v>
      </c>
      <c r="L46">
        <f t="shared" si="21"/>
        <v>0</v>
      </c>
      <c r="M46">
        <f t="shared" si="21"/>
        <v>0</v>
      </c>
      <c r="N46">
        <f t="shared" si="21"/>
        <v>0</v>
      </c>
      <c r="O46">
        <f t="shared" si="21"/>
        <v>0</v>
      </c>
      <c r="P46">
        <f t="shared" si="21"/>
        <v>0</v>
      </c>
      <c r="Q46">
        <f t="shared" si="21"/>
        <v>0</v>
      </c>
      <c r="R46">
        <f t="shared" si="21"/>
        <v>0</v>
      </c>
      <c r="S46">
        <f t="shared" si="21"/>
        <v>0</v>
      </c>
    </row>
    <row r="47" spans="1:19">
      <c r="A47" t="s">
        <v>26</v>
      </c>
      <c r="B47" t="s">
        <v>179</v>
      </c>
      <c r="C47" t="s">
        <v>1817</v>
      </c>
      <c r="D47" t="s">
        <v>1487</v>
      </c>
      <c r="H47">
        <f>H46/H37</f>
        <v>0.0746666666666667</v>
      </c>
      <c r="I47">
        <f>I46/I37</f>
        <v>0.0666666666666667</v>
      </c>
      <c r="J47">
        <f>J46/J37</f>
        <v>0.0760975609756098</v>
      </c>
    </row>
    <row r="48" spans="1:19">
      <c r="A48" t="s">
        <v>19</v>
      </c>
      <c r="B48" t="s">
        <v>35</v>
      </c>
      <c r="C48" t="s">
        <v>1818</v>
      </c>
      <c r="D48" t="s">
        <v>241</v>
      </c>
      <c r="H48">
        <f t="shared" ref="H48:S48" si="22">H49+H51</f>
        <v>12600000</v>
      </c>
      <c r="I48">
        <f t="shared" si="22"/>
        <v>11700000</v>
      </c>
      <c r="J48">
        <f t="shared" si="22"/>
        <v>14040000</v>
      </c>
      <c r="K48">
        <f t="shared" si="22"/>
        <v>0</v>
      </c>
      <c r="L48">
        <f t="shared" si="22"/>
        <v>0</v>
      </c>
      <c r="M48">
        <f t="shared" si="22"/>
        <v>0</v>
      </c>
      <c r="N48">
        <f t="shared" si="22"/>
        <v>0</v>
      </c>
      <c r="O48">
        <f t="shared" si="22"/>
        <v>0</v>
      </c>
      <c r="P48">
        <f t="shared" si="22"/>
        <v>0</v>
      </c>
      <c r="Q48">
        <f t="shared" si="22"/>
        <v>0</v>
      </c>
      <c r="R48">
        <f t="shared" si="22"/>
        <v>0</v>
      </c>
      <c r="S48">
        <f t="shared" si="22"/>
        <v>0</v>
      </c>
    </row>
    <row r="49" spans="1:19">
      <c r="A49" t="s">
        <v>23</v>
      </c>
      <c r="B49" t="s">
        <v>35</v>
      </c>
      <c r="C49" t="s">
        <v>1819</v>
      </c>
      <c r="D49" t="s">
        <v>243</v>
      </c>
      <c r="H49">
        <v>12600000</v>
      </c>
      <c r="I49">
        <v>11700000</v>
      </c>
      <c r="J49">
        <v>14040000</v>
      </c>
      <c r="K49">
        <f t="shared" ref="K49:S49" si="23">K37*K50</f>
        <v>0</v>
      </c>
      <c r="L49">
        <f t="shared" si="23"/>
        <v>0</v>
      </c>
      <c r="M49">
        <f t="shared" si="23"/>
        <v>0</v>
      </c>
      <c r="N49">
        <f t="shared" si="23"/>
        <v>0</v>
      </c>
      <c r="O49">
        <f t="shared" si="23"/>
        <v>0</v>
      </c>
      <c r="P49">
        <f t="shared" si="23"/>
        <v>0</v>
      </c>
      <c r="Q49">
        <f t="shared" si="23"/>
        <v>0</v>
      </c>
      <c r="R49">
        <f t="shared" si="23"/>
        <v>0</v>
      </c>
      <c r="S49">
        <f t="shared" si="23"/>
        <v>0</v>
      </c>
    </row>
    <row r="50" spans="1:19">
      <c r="A50" t="s">
        <v>26</v>
      </c>
      <c r="B50" t="s">
        <v>179</v>
      </c>
      <c r="C50" t="s">
        <v>1820</v>
      </c>
      <c r="D50" t="s">
        <v>1491</v>
      </c>
      <c r="H50">
        <f>H49/H37</f>
        <v>0.0336</v>
      </c>
      <c r="I50">
        <f>I49/I37</f>
        <v>0.03</v>
      </c>
      <c r="J50">
        <f>J49/J37</f>
        <v>0.0342439024390244</v>
      </c>
    </row>
    <row r="51" spans="1:19">
      <c r="A51" t="s">
        <v>23</v>
      </c>
      <c r="B51" t="s">
        <v>35</v>
      </c>
      <c r="C51" t="s">
        <v>1821</v>
      </c>
      <c r="D51" t="s">
        <v>281</v>
      </c>
      <c r="H51">
        <f t="shared" ref="H51:S51" si="24">H52</f>
        <v>0</v>
      </c>
      <c r="I51">
        <f t="shared" si="24"/>
        <v>0</v>
      </c>
      <c r="J51">
        <f t="shared" si="24"/>
        <v>0</v>
      </c>
      <c r="K51">
        <f t="shared" si="24"/>
        <v>0</v>
      </c>
      <c r="L51">
        <f t="shared" si="24"/>
        <v>0</v>
      </c>
      <c r="M51">
        <f t="shared" si="24"/>
        <v>0</v>
      </c>
      <c r="N51">
        <f t="shared" si="24"/>
        <v>0</v>
      </c>
      <c r="O51">
        <f t="shared" si="24"/>
        <v>0</v>
      </c>
      <c r="P51">
        <f t="shared" si="24"/>
        <v>0</v>
      </c>
      <c r="Q51">
        <f t="shared" si="24"/>
        <v>0</v>
      </c>
      <c r="R51">
        <f t="shared" si="24"/>
        <v>0</v>
      </c>
      <c r="S51">
        <f t="shared" si="24"/>
        <v>0</v>
      </c>
    </row>
    <row r="52" spans="1:19">
      <c r="A52" t="s">
        <v>26</v>
      </c>
      <c r="B52" t="s">
        <v>35</v>
      </c>
      <c r="C52" t="s">
        <v>1822</v>
      </c>
      <c r="D52" t="s">
        <v>283</v>
      </c>
    </row>
    <row r="53" spans="1:19">
      <c r="A53" t="s">
        <v>19</v>
      </c>
      <c r="B53" t="s">
        <v>35</v>
      </c>
      <c r="C53" t="s">
        <v>1823</v>
      </c>
      <c r="D53" t="s">
        <v>285</v>
      </c>
      <c r="H53">
        <f t="shared" ref="H53:S53" si="25">H54</f>
        <v>5600000</v>
      </c>
      <c r="I53">
        <f t="shared" si="25"/>
        <v>5200000</v>
      </c>
      <c r="J53">
        <f t="shared" si="25"/>
        <v>6240000</v>
      </c>
      <c r="K53">
        <f t="shared" si="25"/>
        <v>0</v>
      </c>
      <c r="L53">
        <f t="shared" si="25"/>
        <v>0</v>
      </c>
      <c r="M53">
        <f t="shared" si="25"/>
        <v>0</v>
      </c>
      <c r="N53">
        <f t="shared" si="25"/>
        <v>0</v>
      </c>
      <c r="O53">
        <f t="shared" si="25"/>
        <v>0</v>
      </c>
      <c r="P53">
        <f t="shared" si="25"/>
        <v>0</v>
      </c>
      <c r="Q53">
        <f t="shared" si="25"/>
        <v>0</v>
      </c>
      <c r="R53">
        <f t="shared" si="25"/>
        <v>0</v>
      </c>
      <c r="S53">
        <f t="shared" si="25"/>
        <v>0</v>
      </c>
    </row>
    <row r="54" spans="1:19">
      <c r="A54" t="s">
        <v>23</v>
      </c>
      <c r="B54" t="s">
        <v>35</v>
      </c>
      <c r="C54" t="s">
        <v>1824</v>
      </c>
      <c r="D54" t="s">
        <v>287</v>
      </c>
      <c r="H54">
        <v>5600000</v>
      </c>
      <c r="I54">
        <v>5200000</v>
      </c>
      <c r="J54">
        <v>6240000</v>
      </c>
      <c r="K54">
        <f t="shared" ref="K54:S54" si="26">K44*K55</f>
        <v>0</v>
      </c>
      <c r="L54">
        <f t="shared" si="26"/>
        <v>0</v>
      </c>
      <c r="M54">
        <f t="shared" si="26"/>
        <v>0</v>
      </c>
      <c r="N54">
        <f t="shared" si="26"/>
        <v>0</v>
      </c>
      <c r="O54">
        <f t="shared" si="26"/>
        <v>0</v>
      </c>
      <c r="P54">
        <f t="shared" si="26"/>
        <v>0</v>
      </c>
      <c r="Q54">
        <f t="shared" si="26"/>
        <v>0</v>
      </c>
      <c r="R54">
        <f t="shared" si="26"/>
        <v>0</v>
      </c>
      <c r="S54">
        <f t="shared" si="26"/>
        <v>0</v>
      </c>
    </row>
    <row r="55" spans="1:19">
      <c r="A55" t="s">
        <v>26</v>
      </c>
      <c r="B55" t="s">
        <v>179</v>
      </c>
      <c r="C55" t="s">
        <v>1825</v>
      </c>
      <c r="D55" t="s">
        <v>289</v>
      </c>
      <c r="H55">
        <f>H54/H44</f>
        <v>0.0248888888888889</v>
      </c>
      <c r="I55">
        <f>I54/I44</f>
        <v>0.0222222222222222</v>
      </c>
      <c r="J55">
        <f>J54/J44</f>
        <v>0.0253658536585366</v>
      </c>
    </row>
    <row r="56" spans="1:19">
      <c r="A56" t="s">
        <v>19</v>
      </c>
      <c r="B56" t="s">
        <v>20</v>
      </c>
      <c r="C56" t="s">
        <v>1826</v>
      </c>
      <c r="D56" t="s">
        <v>309</v>
      </c>
      <c r="H56">
        <f t="shared" ref="H56:S56" si="27">H57</f>
        <v>4200000</v>
      </c>
      <c r="I56">
        <f t="shared" si="27"/>
        <v>3900000</v>
      </c>
      <c r="J56">
        <f t="shared" si="27"/>
        <v>4680000</v>
      </c>
      <c r="K56">
        <f t="shared" si="27"/>
        <v>0</v>
      </c>
      <c r="L56">
        <f t="shared" si="27"/>
        <v>0</v>
      </c>
      <c r="M56">
        <f t="shared" si="27"/>
        <v>0</v>
      </c>
      <c r="N56">
        <f t="shared" si="27"/>
        <v>0</v>
      </c>
      <c r="O56">
        <f t="shared" si="27"/>
        <v>0</v>
      </c>
      <c r="P56">
        <f t="shared" si="27"/>
        <v>0</v>
      </c>
      <c r="Q56">
        <f t="shared" si="27"/>
        <v>0</v>
      </c>
      <c r="R56">
        <f t="shared" si="27"/>
        <v>0</v>
      </c>
      <c r="S56">
        <f t="shared" si="27"/>
        <v>0</v>
      </c>
    </row>
    <row r="57" spans="1:19">
      <c r="A57" t="s">
        <v>23</v>
      </c>
      <c r="B57" t="s">
        <v>20</v>
      </c>
      <c r="C57" t="s">
        <v>1827</v>
      </c>
      <c r="D57" t="s">
        <v>311</v>
      </c>
      <c r="H57">
        <v>4200000</v>
      </c>
      <c r="I57">
        <v>3900000</v>
      </c>
      <c r="J57">
        <v>4680000</v>
      </c>
      <c r="K57">
        <f t="shared" ref="K57:S57" si="28">K44*K58</f>
        <v>0</v>
      </c>
      <c r="L57">
        <f t="shared" si="28"/>
        <v>0</v>
      </c>
      <c r="M57">
        <f t="shared" si="28"/>
        <v>0</v>
      </c>
      <c r="N57">
        <f t="shared" si="28"/>
        <v>0</v>
      </c>
      <c r="O57">
        <f t="shared" si="28"/>
        <v>0</v>
      </c>
      <c r="P57">
        <f t="shared" si="28"/>
        <v>0</v>
      </c>
      <c r="Q57">
        <f t="shared" si="28"/>
        <v>0</v>
      </c>
      <c r="R57">
        <f t="shared" si="28"/>
        <v>0</v>
      </c>
      <c r="S57">
        <f t="shared" si="28"/>
        <v>0</v>
      </c>
    </row>
    <row r="58" spans="1:19">
      <c r="A58" t="s">
        <v>26</v>
      </c>
      <c r="B58" t="s">
        <v>179</v>
      </c>
      <c r="C58" t="s">
        <v>1828</v>
      </c>
      <c r="D58" t="s">
        <v>313</v>
      </c>
      <c r="H58">
        <f>H57/H44</f>
        <v>0.0186666666666667</v>
      </c>
      <c r="I58">
        <f>I57/I44</f>
        <v>0.0166666666666667</v>
      </c>
      <c r="J58">
        <f>J57/J44</f>
        <v>0.0190243902439024</v>
      </c>
    </row>
    <row r="59" spans="1:19">
      <c r="A59" t="s">
        <v>19</v>
      </c>
      <c r="B59" t="s">
        <v>20</v>
      </c>
      <c r="C59" t="s">
        <v>1829</v>
      </c>
      <c r="D59" t="s">
        <v>337</v>
      </c>
      <c r="H59">
        <v>11200000</v>
      </c>
      <c r="I59">
        <v>10400000</v>
      </c>
      <c r="J59">
        <v>12480000</v>
      </c>
      <c r="K59">
        <f t="shared" ref="K59:S59" si="29">K60</f>
        <v>12800000</v>
      </c>
      <c r="L59">
        <f t="shared" si="29"/>
        <v>13120000</v>
      </c>
      <c r="M59">
        <f t="shared" si="29"/>
        <v>13600000</v>
      </c>
      <c r="N59">
        <f t="shared" si="29"/>
        <v>14080000</v>
      </c>
      <c r="O59">
        <f t="shared" si="29"/>
        <v>13920000</v>
      </c>
      <c r="P59">
        <f t="shared" si="29"/>
        <v>13600000</v>
      </c>
      <c r="Q59">
        <f t="shared" si="29"/>
        <v>14880000</v>
      </c>
      <c r="R59">
        <f t="shared" si="29"/>
        <v>14720000</v>
      </c>
      <c r="S59">
        <f t="shared" si="29"/>
        <v>15200000</v>
      </c>
    </row>
    <row r="60" spans="1:19">
      <c r="A60" t="s">
        <v>23</v>
      </c>
      <c r="B60" t="s">
        <v>20</v>
      </c>
      <c r="C60" t="s">
        <v>1830</v>
      </c>
      <c r="D60" t="s">
        <v>337</v>
      </c>
      <c r="H60">
        <f>H59</f>
        <v>11200000</v>
      </c>
      <c r="I60">
        <f>I59</f>
        <v>10400000</v>
      </c>
      <c r="J60">
        <f>J59</f>
        <v>12480000</v>
      </c>
      <c r="K60">
        <v>12800000</v>
      </c>
      <c r="L60">
        <v>13120000</v>
      </c>
      <c r="M60">
        <v>13600000</v>
      </c>
      <c r="N60">
        <v>14080000</v>
      </c>
      <c r="O60">
        <v>13920000</v>
      </c>
      <c r="P60">
        <v>13600000</v>
      </c>
      <c r="Q60">
        <v>14880000</v>
      </c>
      <c r="R60">
        <v>14720000</v>
      </c>
      <c r="S60">
        <v>15200000</v>
      </c>
    </row>
    <row r="61" spans="1:19">
      <c r="A61" t="s">
        <v>19</v>
      </c>
      <c r="B61" t="s">
        <v>35</v>
      </c>
      <c r="C61" t="s">
        <v>1831</v>
      </c>
      <c r="D61" t="s">
        <v>365</v>
      </c>
      <c r="H61">
        <v>1400000</v>
      </c>
      <c r="I61">
        <v>1300000</v>
      </c>
      <c r="J61">
        <v>1560000</v>
      </c>
      <c r="K61">
        <f t="shared" ref="K61:S61" si="30">K62+K64+K66+K68+K70</f>
        <v>3.100050000016e+17</v>
      </c>
      <c r="L61">
        <f t="shared" si="30"/>
        <v>3.2512500000164e+17</v>
      </c>
      <c r="M61">
        <f t="shared" si="30"/>
        <v>3.406050000017e+17</v>
      </c>
      <c r="N61">
        <f t="shared" si="30"/>
        <v>3.4848000000176e+17</v>
      </c>
      <c r="O61">
        <f t="shared" si="30"/>
        <v>3.3282000000174e+17</v>
      </c>
      <c r="P61">
        <f t="shared" si="30"/>
        <v>3.175200000017e+17</v>
      </c>
      <c r="Q61">
        <f t="shared" si="30"/>
        <v>3.1000500000186e+17</v>
      </c>
      <c r="R61">
        <f t="shared" si="30"/>
        <v>3.0258000000184e+17</v>
      </c>
      <c r="S61">
        <f t="shared" si="30"/>
        <v>3.406050000019e+17</v>
      </c>
    </row>
    <row r="62" spans="1:19">
      <c r="A62" t="s">
        <v>23</v>
      </c>
      <c r="B62" t="s">
        <v>35</v>
      </c>
      <c r="C62" t="s">
        <v>1832</v>
      </c>
      <c r="D62" t="s">
        <v>367</v>
      </c>
      <c r="H62">
        <v>1400000</v>
      </c>
      <c r="I62">
        <v>1300000</v>
      </c>
      <c r="J62">
        <v>1560000</v>
      </c>
      <c r="K62">
        <f t="shared" ref="K62:S62" si="31">K36*K63</f>
        <v>0</v>
      </c>
      <c r="L62">
        <f t="shared" si="31"/>
        <v>0</v>
      </c>
      <c r="M62">
        <f t="shared" si="31"/>
        <v>0</v>
      </c>
      <c r="N62">
        <f t="shared" si="31"/>
        <v>0</v>
      </c>
      <c r="O62">
        <f t="shared" si="31"/>
        <v>0</v>
      </c>
      <c r="P62">
        <f t="shared" si="31"/>
        <v>0</v>
      </c>
      <c r="Q62">
        <f t="shared" si="31"/>
        <v>0</v>
      </c>
      <c r="R62">
        <f t="shared" si="31"/>
        <v>0</v>
      </c>
      <c r="S62">
        <f t="shared" si="31"/>
        <v>0</v>
      </c>
    </row>
    <row r="63" spans="1:19">
      <c r="A63" t="s">
        <v>26</v>
      </c>
      <c r="B63" t="s">
        <v>179</v>
      </c>
      <c r="C63" t="s">
        <v>1833</v>
      </c>
      <c r="D63" t="s">
        <v>369</v>
      </c>
      <c r="H63">
        <f>H62/H36</f>
        <v>0.00124444444444444</v>
      </c>
      <c r="I63">
        <f>I62/I36</f>
        <v>0.00111111111111111</v>
      </c>
      <c r="J63">
        <f>J62/J36</f>
        <v>0.00126829268292683</v>
      </c>
    </row>
    <row r="64" spans="1:19">
      <c r="A64" t="s">
        <v>23</v>
      </c>
      <c r="B64" t="s">
        <v>35</v>
      </c>
      <c r="C64" t="s">
        <v>1834</v>
      </c>
      <c r="D64" t="s">
        <v>371</v>
      </c>
      <c r="H64">
        <v>1400000</v>
      </c>
      <c r="I64">
        <v>1300000</v>
      </c>
      <c r="J64">
        <v>1560000</v>
      </c>
      <c r="K64">
        <f t="shared" ref="K64:S64" si="32">K36*K65</f>
        <v>0</v>
      </c>
      <c r="L64">
        <f t="shared" si="32"/>
        <v>0</v>
      </c>
      <c r="M64">
        <f t="shared" si="32"/>
        <v>0</v>
      </c>
      <c r="N64">
        <f t="shared" si="32"/>
        <v>0</v>
      </c>
      <c r="O64">
        <f t="shared" si="32"/>
        <v>0</v>
      </c>
      <c r="P64">
        <f t="shared" si="32"/>
        <v>0</v>
      </c>
      <c r="Q64">
        <f t="shared" si="32"/>
        <v>0</v>
      </c>
      <c r="R64">
        <f t="shared" si="32"/>
        <v>0</v>
      </c>
      <c r="S64">
        <f t="shared" si="32"/>
        <v>0</v>
      </c>
    </row>
    <row r="65" spans="1:19">
      <c r="A65" t="s">
        <v>26</v>
      </c>
      <c r="B65" t="s">
        <v>179</v>
      </c>
      <c r="C65" t="s">
        <v>1835</v>
      </c>
      <c r="D65" t="s">
        <v>369</v>
      </c>
      <c r="H65">
        <f>H64/H36</f>
        <v>0.00124444444444444</v>
      </c>
      <c r="I65">
        <f>I64/I36</f>
        <v>0.00111111111111111</v>
      </c>
      <c r="J65">
        <f>J64/J36</f>
        <v>0.00126829268292683</v>
      </c>
    </row>
    <row r="66" spans="1:19">
      <c r="A66" t="s">
        <v>23</v>
      </c>
      <c r="B66" t="s">
        <v>35</v>
      </c>
      <c r="C66" t="s">
        <v>1836</v>
      </c>
      <c r="D66" t="s">
        <v>374</v>
      </c>
      <c r="H66">
        <v>1400000</v>
      </c>
      <c r="I66">
        <v>1300000</v>
      </c>
      <c r="J66">
        <v>1560000</v>
      </c>
      <c r="K66">
        <f t="shared" ref="K66:S66" si="33">K36*K67</f>
        <v>0</v>
      </c>
      <c r="L66">
        <f t="shared" si="33"/>
        <v>0</v>
      </c>
      <c r="M66">
        <f t="shared" si="33"/>
        <v>0</v>
      </c>
      <c r="N66">
        <f t="shared" si="33"/>
        <v>0</v>
      </c>
      <c r="O66">
        <f t="shared" si="33"/>
        <v>0</v>
      </c>
      <c r="P66">
        <f t="shared" si="33"/>
        <v>0</v>
      </c>
      <c r="Q66">
        <f t="shared" si="33"/>
        <v>0</v>
      </c>
      <c r="R66">
        <f t="shared" si="33"/>
        <v>0</v>
      </c>
      <c r="S66">
        <f t="shared" si="33"/>
        <v>0</v>
      </c>
    </row>
    <row r="67" spans="1:19">
      <c r="A67" t="s">
        <v>26</v>
      </c>
      <c r="B67" t="s">
        <v>179</v>
      </c>
      <c r="C67" t="s">
        <v>1837</v>
      </c>
      <c r="D67" t="s">
        <v>369</v>
      </c>
      <c r="H67">
        <f>H66/H36</f>
        <v>0.00124444444444444</v>
      </c>
      <c r="I67">
        <f>I66/I36</f>
        <v>0.00111111111111111</v>
      </c>
      <c r="J67">
        <f>J66/J36</f>
        <v>0.00126829268292683</v>
      </c>
    </row>
    <row r="68" spans="1:19">
      <c r="A68" t="s">
        <v>23</v>
      </c>
      <c r="B68" t="s">
        <v>35</v>
      </c>
      <c r="C68" t="s">
        <v>1838</v>
      </c>
      <c r="D68" t="s">
        <v>381</v>
      </c>
      <c r="H68">
        <v>225000000</v>
      </c>
      <c r="I68">
        <v>234000000</v>
      </c>
      <c r="J68">
        <v>246000000</v>
      </c>
      <c r="K68">
        <f t="shared" ref="K68:S68" si="34">K36*K69</f>
        <v>3.10005e+17</v>
      </c>
      <c r="L68">
        <f t="shared" si="34"/>
        <v>3.25125e+17</v>
      </c>
      <c r="M68">
        <f t="shared" si="34"/>
        <v>3.40605e+17</v>
      </c>
      <c r="N68">
        <f t="shared" si="34"/>
        <v>3.4848e+17</v>
      </c>
      <c r="O68">
        <f t="shared" si="34"/>
        <v>3.3282e+17</v>
      </c>
      <c r="P68">
        <f t="shared" si="34"/>
        <v>3.1752e+17</v>
      </c>
      <c r="Q68">
        <f t="shared" si="34"/>
        <v>3.10005e+17</v>
      </c>
      <c r="R68">
        <f t="shared" si="34"/>
        <v>3.0258e+17</v>
      </c>
      <c r="S68">
        <f t="shared" si="34"/>
        <v>3.40605e+17</v>
      </c>
    </row>
    <row r="69" spans="1:19">
      <c r="A69" t="s">
        <v>26</v>
      </c>
      <c r="B69" t="s">
        <v>179</v>
      </c>
      <c r="C69" t="s">
        <v>1839</v>
      </c>
      <c r="D69" t="s">
        <v>383</v>
      </c>
      <c r="H69">
        <f>H68/H36</f>
        <v>0.2</v>
      </c>
      <c r="I69">
        <f>I68/I36</f>
        <v>0.2</v>
      </c>
      <c r="J69">
        <f>J68/J36</f>
        <v>0.2</v>
      </c>
      <c r="K69">
        <v>249000000</v>
      </c>
      <c r="L69">
        <v>255000000</v>
      </c>
      <c r="M69">
        <v>261000000</v>
      </c>
      <c r="N69">
        <v>264000000</v>
      </c>
      <c r="O69">
        <v>258000000</v>
      </c>
      <c r="P69">
        <v>252000000</v>
      </c>
      <c r="Q69">
        <v>249000000</v>
      </c>
      <c r="R69">
        <v>246000000</v>
      </c>
      <c r="S69">
        <v>261000000</v>
      </c>
    </row>
    <row r="70" spans="1:19">
      <c r="A70" t="s">
        <v>23</v>
      </c>
      <c r="B70" t="s">
        <v>35</v>
      </c>
      <c r="C70" t="s">
        <v>1840</v>
      </c>
      <c r="D70" t="s">
        <v>179</v>
      </c>
      <c r="H70">
        <f>H61-H62-H64-H66-H68</f>
        <v>-227800000</v>
      </c>
      <c r="I70">
        <f>I61-I62-I64-I66-I68</f>
        <v>-236600000</v>
      </c>
      <c r="J70">
        <f>J61-J62-J64-J66-J68</f>
        <v>-249120000</v>
      </c>
      <c r="K70">
        <v>1600000</v>
      </c>
      <c r="L70">
        <v>1640000</v>
      </c>
      <c r="M70">
        <v>1700000</v>
      </c>
      <c r="N70">
        <v>1760000</v>
      </c>
      <c r="O70">
        <v>1740000</v>
      </c>
      <c r="P70">
        <v>1700000</v>
      </c>
      <c r="Q70">
        <v>1860000</v>
      </c>
      <c r="R70">
        <v>1840000</v>
      </c>
      <c r="S70">
        <v>1900000</v>
      </c>
    </row>
    <row r="71" spans="1:19">
      <c r="A71" t="s">
        <v>19</v>
      </c>
      <c r="B71" t="s">
        <v>20</v>
      </c>
      <c r="C71" t="s">
        <v>1841</v>
      </c>
      <c r="D71" t="s">
        <v>386</v>
      </c>
    </row>
    <row r="72" spans="1:19">
      <c r="A72" t="s">
        <v>19</v>
      </c>
      <c r="B72" t="s">
        <v>20</v>
      </c>
      <c r="C72" t="s">
        <v>1842</v>
      </c>
      <c r="D72" t="s">
        <v>392</v>
      </c>
    </row>
    <row r="73" spans="1:19">
      <c r="A73" t="s">
        <v>19</v>
      </c>
      <c r="B73" t="s">
        <v>393</v>
      </c>
      <c r="C73" t="s">
        <v>1843</v>
      </c>
      <c r="D73" t="s">
        <v>395</v>
      </c>
    </row>
    <row r="74" spans="1:19">
      <c r="A74" t="s">
        <v>23</v>
      </c>
      <c r="B74" t="s">
        <v>393</v>
      </c>
      <c r="C74" t="s">
        <v>1844</v>
      </c>
      <c r="D74" t="s">
        <v>397</v>
      </c>
    </row>
    <row r="75" spans="1:19">
      <c r="A75" t="s">
        <v>26</v>
      </c>
      <c r="B75" t="s">
        <v>393</v>
      </c>
      <c r="C75" t="s">
        <v>1845</v>
      </c>
      <c r="D75" t="s">
        <v>399</v>
      </c>
    </row>
    <row r="76" spans="1:19">
      <c r="A76" t="s">
        <v>60</v>
      </c>
      <c r="B76" t="s">
        <v>393</v>
      </c>
      <c r="C76" t="s">
        <v>1846</v>
      </c>
      <c r="D76" t="s">
        <v>401</v>
      </c>
    </row>
    <row r="77" spans="1:19">
      <c r="A77" t="s">
        <v>60</v>
      </c>
      <c r="B77" t="s">
        <v>393</v>
      </c>
      <c r="C77" t="s">
        <v>1847</v>
      </c>
      <c r="D77" t="s">
        <v>49</v>
      </c>
    </row>
    <row r="78" spans="1:19">
      <c r="A78" t="s">
        <v>26</v>
      </c>
      <c r="B78" t="s">
        <v>393</v>
      </c>
      <c r="C78" t="s">
        <v>1848</v>
      </c>
      <c r="D78" t="s">
        <v>51</v>
      </c>
    </row>
    <row r="79" spans="1:19">
      <c r="A79" t="s">
        <v>60</v>
      </c>
      <c r="B79" t="s">
        <v>393</v>
      </c>
      <c r="C79" t="s">
        <v>1849</v>
      </c>
      <c r="D79" t="s">
        <v>405</v>
      </c>
    </row>
    <row r="80" spans="1:19">
      <c r="A80" t="s">
        <v>60</v>
      </c>
      <c r="B80" t="s">
        <v>393</v>
      </c>
      <c r="C80" t="s">
        <v>1850</v>
      </c>
      <c r="D80" t="s">
        <v>407</v>
      </c>
    </row>
    <row r="81" spans="1:4">
      <c r="A81" t="s">
        <v>26</v>
      </c>
      <c r="B81" t="s">
        <v>393</v>
      </c>
      <c r="C81" t="s">
        <v>1851</v>
      </c>
      <c r="D81" t="s">
        <v>409</v>
      </c>
    </row>
    <row r="82" spans="1:4">
      <c r="A82" t="s">
        <v>60</v>
      </c>
      <c r="B82" t="s">
        <v>393</v>
      </c>
      <c r="C82" t="s">
        <v>1852</v>
      </c>
      <c r="D82" t="s">
        <v>59</v>
      </c>
    </row>
    <row r="83" spans="1:4">
      <c r="A83" t="s">
        <v>192</v>
      </c>
      <c r="B83" t="s">
        <v>393</v>
      </c>
      <c r="C83" t="s">
        <v>1853</v>
      </c>
      <c r="D83" t="s">
        <v>62</v>
      </c>
    </row>
    <row r="84" spans="1:4">
      <c r="A84" t="s">
        <v>192</v>
      </c>
      <c r="B84" t="s">
        <v>393</v>
      </c>
      <c r="C84" t="s">
        <v>1854</v>
      </c>
      <c r="D84" t="s">
        <v>64</v>
      </c>
    </row>
    <row r="85" spans="1:4">
      <c r="A85" t="s">
        <v>60</v>
      </c>
      <c r="B85" t="s">
        <v>393</v>
      </c>
      <c r="C85" t="s">
        <v>1855</v>
      </c>
      <c r="D85" t="s">
        <v>414</v>
      </c>
    </row>
    <row r="86" spans="1:4">
      <c r="A86" t="s">
        <v>60</v>
      </c>
      <c r="B86" t="s">
        <v>393</v>
      </c>
      <c r="C86" t="s">
        <v>1856</v>
      </c>
      <c r="D86" t="s">
        <v>68</v>
      </c>
    </row>
    <row r="87" spans="1:4">
      <c r="A87" t="s">
        <v>60</v>
      </c>
      <c r="B87" t="s">
        <v>393</v>
      </c>
      <c r="C87" t="s">
        <v>1857</v>
      </c>
      <c r="D87" t="s">
        <v>70</v>
      </c>
    </row>
    <row r="88" spans="1:4">
      <c r="A88" t="s">
        <v>26</v>
      </c>
      <c r="B88" t="s">
        <v>393</v>
      </c>
      <c r="C88" t="s">
        <v>1858</v>
      </c>
      <c r="D88" t="s">
        <v>418</v>
      </c>
    </row>
    <row r="89" spans="1:4">
      <c r="A89" t="s">
        <v>26</v>
      </c>
      <c r="B89" t="s">
        <v>393</v>
      </c>
      <c r="C89" t="s">
        <v>1859</v>
      </c>
      <c r="D89" t="s">
        <v>420</v>
      </c>
    </row>
    <row r="90" spans="1:4">
      <c r="A90" t="s">
        <v>23</v>
      </c>
      <c r="B90" t="s">
        <v>393</v>
      </c>
      <c r="C90" t="s">
        <v>1860</v>
      </c>
      <c r="D90" t="s">
        <v>422</v>
      </c>
    </row>
    <row r="91" spans="1:4">
      <c r="A91" t="s">
        <v>26</v>
      </c>
      <c r="B91" t="s">
        <v>393</v>
      </c>
      <c r="C91" t="s">
        <v>1861</v>
      </c>
      <c r="D91" t="s">
        <v>399</v>
      </c>
    </row>
    <row r="92" spans="1:4">
      <c r="A92" t="s">
        <v>60</v>
      </c>
      <c r="B92" t="s">
        <v>393</v>
      </c>
      <c r="C92" t="s">
        <v>1862</v>
      </c>
      <c r="D92" t="s">
        <v>401</v>
      </c>
    </row>
    <row r="93" spans="1:4">
      <c r="A93" t="s">
        <v>60</v>
      </c>
      <c r="B93" t="s">
        <v>393</v>
      </c>
      <c r="C93" t="s">
        <v>1863</v>
      </c>
      <c r="D93" t="s">
        <v>49</v>
      </c>
    </row>
    <row r="94" spans="1:4">
      <c r="A94" t="s">
        <v>26</v>
      </c>
      <c r="B94" t="s">
        <v>393</v>
      </c>
      <c r="C94" t="s">
        <v>1864</v>
      </c>
      <c r="D94" t="s">
        <v>51</v>
      </c>
    </row>
    <row r="95" spans="1:4">
      <c r="A95" t="s">
        <v>60</v>
      </c>
      <c r="B95" t="s">
        <v>393</v>
      </c>
      <c r="C95" t="s">
        <v>1865</v>
      </c>
      <c r="D95" t="s">
        <v>405</v>
      </c>
    </row>
    <row r="96" spans="1:4">
      <c r="A96" t="s">
        <v>60</v>
      </c>
      <c r="B96" t="s">
        <v>393</v>
      </c>
      <c r="C96" t="s">
        <v>1866</v>
      </c>
      <c r="D96" t="s">
        <v>407</v>
      </c>
    </row>
    <row r="97" spans="1:19">
      <c r="A97" t="s">
        <v>26</v>
      </c>
      <c r="B97" t="s">
        <v>393</v>
      </c>
      <c r="C97" t="s">
        <v>1867</v>
      </c>
      <c r="D97" t="s">
        <v>409</v>
      </c>
    </row>
    <row r="98" spans="1:19">
      <c r="A98" t="s">
        <v>60</v>
      </c>
      <c r="B98" t="s">
        <v>393</v>
      </c>
      <c r="C98" t="s">
        <v>1868</v>
      </c>
      <c r="D98" t="s">
        <v>59</v>
      </c>
    </row>
    <row r="99" spans="1:19">
      <c r="A99" t="s">
        <v>192</v>
      </c>
      <c r="B99" t="s">
        <v>393</v>
      </c>
      <c r="C99" t="s">
        <v>1869</v>
      </c>
      <c r="D99" t="s">
        <v>62</v>
      </c>
    </row>
    <row r="100" spans="1:19">
      <c r="A100" t="s">
        <v>192</v>
      </c>
      <c r="B100" t="s">
        <v>393</v>
      </c>
      <c r="C100" t="s">
        <v>1870</v>
      </c>
      <c r="D100" t="s">
        <v>64</v>
      </c>
    </row>
    <row r="101" spans="1:19">
      <c r="A101" t="s">
        <v>60</v>
      </c>
      <c r="B101" t="s">
        <v>393</v>
      </c>
      <c r="C101" t="s">
        <v>1871</v>
      </c>
      <c r="D101" t="s">
        <v>414</v>
      </c>
    </row>
    <row r="102" spans="1:19">
      <c r="A102" t="s">
        <v>60</v>
      </c>
      <c r="B102" t="s">
        <v>393</v>
      </c>
      <c r="C102" t="s">
        <v>1872</v>
      </c>
      <c r="D102" t="s">
        <v>68</v>
      </c>
    </row>
    <row r="103" spans="1:19">
      <c r="A103" t="s">
        <v>60</v>
      </c>
      <c r="B103" t="s">
        <v>393</v>
      </c>
      <c r="C103" t="s">
        <v>1873</v>
      </c>
      <c r="D103" t="s">
        <v>70</v>
      </c>
    </row>
    <row r="104" spans="1:19">
      <c r="A104" t="s">
        <v>26</v>
      </c>
      <c r="B104" t="s">
        <v>393</v>
      </c>
      <c r="C104" t="s">
        <v>1874</v>
      </c>
      <c r="D104" t="s">
        <v>418</v>
      </c>
    </row>
    <row r="105" spans="1:19">
      <c r="A105" t="s">
        <v>26</v>
      </c>
      <c r="B105" t="s">
        <v>393</v>
      </c>
      <c r="C105" t="s">
        <v>1875</v>
      </c>
      <c r="D105" t="s">
        <v>420</v>
      </c>
    </row>
    <row r="106" spans="1:19">
      <c r="A106" t="s">
        <v>19</v>
      </c>
      <c r="B106" t="s">
        <v>438</v>
      </c>
      <c r="C106" t="s">
        <v>1876</v>
      </c>
      <c r="D106" t="s">
        <v>440</v>
      </c>
    </row>
    <row r="107" spans="1:19">
      <c r="A107" t="s">
        <v>23</v>
      </c>
      <c r="B107" t="s">
        <v>438</v>
      </c>
      <c r="C107" t="s">
        <v>1877</v>
      </c>
      <c r="D107" t="s">
        <v>442</v>
      </c>
    </row>
    <row r="108" spans="1:19">
      <c r="A108" t="s">
        <v>26</v>
      </c>
      <c r="B108" t="s">
        <v>438</v>
      </c>
      <c r="C108" t="s">
        <v>1878</v>
      </c>
      <c r="D108" t="s">
        <v>444</v>
      </c>
    </row>
    <row r="109" spans="1:19">
      <c r="A109" t="s">
        <v>60</v>
      </c>
      <c r="B109" t="s">
        <v>438</v>
      </c>
      <c r="C109" t="s">
        <v>1879</v>
      </c>
      <c r="D109" t="s">
        <v>446</v>
      </c>
      <c r="H109">
        <v>1400000</v>
      </c>
      <c r="I109">
        <v>1300000</v>
      </c>
      <c r="J109">
        <v>1560000</v>
      </c>
      <c r="K109">
        <v>1600000</v>
      </c>
      <c r="L109">
        <v>1640000</v>
      </c>
      <c r="M109">
        <v>1700000</v>
      </c>
      <c r="N109">
        <v>1760000</v>
      </c>
      <c r="O109">
        <v>1740000</v>
      </c>
      <c r="P109">
        <v>1700000</v>
      </c>
      <c r="Q109">
        <v>1860000</v>
      </c>
      <c r="R109">
        <v>1840000</v>
      </c>
      <c r="S109">
        <v>1900000</v>
      </c>
    </row>
    <row r="110" spans="1:19">
      <c r="A110" t="s">
        <v>60</v>
      </c>
      <c r="B110" t="s">
        <v>438</v>
      </c>
      <c r="C110" t="s">
        <v>1880</v>
      </c>
      <c r="D110" t="s">
        <v>448</v>
      </c>
      <c r="H110">
        <v>700000</v>
      </c>
      <c r="I110">
        <v>650000</v>
      </c>
      <c r="J110">
        <v>780000</v>
      </c>
      <c r="K110">
        <v>800000</v>
      </c>
      <c r="L110">
        <v>820000</v>
      </c>
      <c r="M110">
        <v>850000</v>
      </c>
      <c r="N110">
        <v>880000</v>
      </c>
      <c r="O110">
        <v>870000</v>
      </c>
      <c r="P110">
        <v>850000</v>
      </c>
      <c r="Q110">
        <v>930000</v>
      </c>
      <c r="R110">
        <v>920000</v>
      </c>
      <c r="S110">
        <v>950000</v>
      </c>
    </row>
    <row r="111" spans="1:19">
      <c r="A111" t="s">
        <v>60</v>
      </c>
      <c r="B111" t="s">
        <v>438</v>
      </c>
      <c r="C111" t="s">
        <v>1881</v>
      </c>
      <c r="D111" t="s">
        <v>450</v>
      </c>
      <c r="H111">
        <v>700000</v>
      </c>
      <c r="I111">
        <v>650000</v>
      </c>
      <c r="J111">
        <v>780000</v>
      </c>
      <c r="K111">
        <v>800000</v>
      </c>
      <c r="L111">
        <v>820000</v>
      </c>
      <c r="M111">
        <v>850000</v>
      </c>
      <c r="N111">
        <v>880000</v>
      </c>
      <c r="O111">
        <v>870000</v>
      </c>
      <c r="P111">
        <v>850000</v>
      </c>
      <c r="Q111">
        <v>930000</v>
      </c>
      <c r="R111">
        <v>920000</v>
      </c>
      <c r="S111">
        <v>950000</v>
      </c>
    </row>
    <row r="112" spans="1:19">
      <c r="A112" t="s">
        <v>60</v>
      </c>
      <c r="B112" t="s">
        <v>438</v>
      </c>
      <c r="C112" t="s">
        <v>1882</v>
      </c>
      <c r="D112" t="s">
        <v>452</v>
      </c>
      <c r="H112">
        <v>700000</v>
      </c>
      <c r="I112">
        <v>650000</v>
      </c>
      <c r="J112">
        <v>780000</v>
      </c>
      <c r="K112">
        <v>800000</v>
      </c>
      <c r="L112">
        <v>820000</v>
      </c>
      <c r="M112">
        <v>850000</v>
      </c>
      <c r="N112">
        <v>880000</v>
      </c>
      <c r="O112">
        <v>870000</v>
      </c>
      <c r="P112">
        <v>850000</v>
      </c>
      <c r="Q112">
        <v>930000</v>
      </c>
      <c r="R112">
        <v>920000</v>
      </c>
      <c r="S112">
        <v>950000</v>
      </c>
    </row>
    <row r="113" spans="1:19">
      <c r="A113" t="s">
        <v>26</v>
      </c>
      <c r="B113" t="s">
        <v>438</v>
      </c>
      <c r="C113" t="s">
        <v>1883</v>
      </c>
      <c r="D113" t="s">
        <v>454</v>
      </c>
    </row>
    <row r="114" spans="1:19">
      <c r="A114" t="s">
        <v>60</v>
      </c>
      <c r="B114" t="s">
        <v>438</v>
      </c>
      <c r="C114" t="s">
        <v>1884</v>
      </c>
      <c r="D114" t="s">
        <v>456</v>
      </c>
      <c r="H114">
        <v>375000000</v>
      </c>
      <c r="I114">
        <v>390000000</v>
      </c>
      <c r="J114">
        <v>410000000</v>
      </c>
      <c r="K114">
        <v>415000000</v>
      </c>
      <c r="L114">
        <v>425000000</v>
      </c>
      <c r="M114">
        <v>435000000</v>
      </c>
      <c r="N114">
        <v>440000000</v>
      </c>
      <c r="O114">
        <v>430000000</v>
      </c>
      <c r="P114">
        <v>420000000</v>
      </c>
      <c r="Q114">
        <v>415000000</v>
      </c>
      <c r="R114">
        <v>410000000</v>
      </c>
      <c r="S114">
        <v>435000000</v>
      </c>
    </row>
    <row r="115" spans="1:19">
      <c r="A115" t="s">
        <v>60</v>
      </c>
      <c r="B115" t="s">
        <v>438</v>
      </c>
      <c r="C115" t="s">
        <v>1885</v>
      </c>
      <c r="D115" t="s">
        <v>458</v>
      </c>
      <c r="H115">
        <v>1400000</v>
      </c>
      <c r="I115">
        <v>1300000</v>
      </c>
      <c r="J115">
        <v>1560000</v>
      </c>
      <c r="K115">
        <v>1600000</v>
      </c>
      <c r="L115">
        <v>1640000</v>
      </c>
      <c r="M115">
        <v>1700000</v>
      </c>
      <c r="N115">
        <v>1760000</v>
      </c>
      <c r="O115">
        <v>1740000</v>
      </c>
      <c r="P115">
        <v>1700000</v>
      </c>
      <c r="Q115">
        <v>1860000</v>
      </c>
      <c r="R115">
        <v>1840000</v>
      </c>
      <c r="S115">
        <v>1900000</v>
      </c>
    </row>
    <row r="116" spans="1:19">
      <c r="A116" t="s">
        <v>60</v>
      </c>
      <c r="B116" t="s">
        <v>438</v>
      </c>
      <c r="C116" t="s">
        <v>1886</v>
      </c>
      <c r="D116" t="s">
        <v>460</v>
      </c>
      <c r="H116">
        <v>700000</v>
      </c>
      <c r="I116">
        <v>650000</v>
      </c>
      <c r="J116">
        <v>780000</v>
      </c>
      <c r="K116">
        <v>800000</v>
      </c>
      <c r="L116">
        <v>820000</v>
      </c>
      <c r="M116">
        <v>850000</v>
      </c>
      <c r="N116">
        <v>880000</v>
      </c>
      <c r="O116">
        <v>870000</v>
      </c>
      <c r="P116">
        <v>850000</v>
      </c>
      <c r="Q116">
        <v>930000</v>
      </c>
      <c r="R116">
        <v>920000</v>
      </c>
      <c r="S116">
        <v>950000</v>
      </c>
    </row>
    <row r="117" spans="1:19">
      <c r="A117" t="s">
        <v>60</v>
      </c>
      <c r="B117" t="s">
        <v>438</v>
      </c>
      <c r="C117" t="s">
        <v>1887</v>
      </c>
      <c r="D117" t="s">
        <v>462</v>
      </c>
      <c r="H117">
        <v>14000000</v>
      </c>
      <c r="I117">
        <v>13000000</v>
      </c>
      <c r="J117">
        <v>15600000</v>
      </c>
      <c r="K117">
        <v>16000000</v>
      </c>
      <c r="L117">
        <v>16400000</v>
      </c>
      <c r="M117">
        <v>17000000</v>
      </c>
      <c r="N117">
        <v>17600000</v>
      </c>
      <c r="O117">
        <v>17400000</v>
      </c>
      <c r="P117">
        <v>17000000</v>
      </c>
      <c r="Q117">
        <v>18600000</v>
      </c>
      <c r="R117">
        <v>18400000</v>
      </c>
      <c r="S117">
        <v>19000000</v>
      </c>
    </row>
    <row r="118" spans="1:19">
      <c r="A118" t="s">
        <v>60</v>
      </c>
      <c r="B118" t="s">
        <v>438</v>
      </c>
      <c r="C118" t="s">
        <v>1888</v>
      </c>
      <c r="D118" t="s">
        <v>464</v>
      </c>
    </row>
    <row r="119" spans="1:19">
      <c r="A119" t="s">
        <v>60</v>
      </c>
      <c r="B119" t="s">
        <v>438</v>
      </c>
      <c r="C119" t="s">
        <v>1889</v>
      </c>
      <c r="D119" t="s">
        <v>466</v>
      </c>
      <c r="H119">
        <v>105000000</v>
      </c>
      <c r="I119">
        <v>97500000</v>
      </c>
      <c r="J119">
        <v>117000000</v>
      </c>
      <c r="K119">
        <v>120000000</v>
      </c>
      <c r="L119">
        <v>123000000</v>
      </c>
      <c r="M119">
        <v>127500000</v>
      </c>
      <c r="N119">
        <v>132000000</v>
      </c>
      <c r="O119">
        <v>130500000</v>
      </c>
      <c r="P119">
        <v>127500000</v>
      </c>
      <c r="Q119">
        <v>139500000</v>
      </c>
      <c r="R119">
        <v>138000000</v>
      </c>
      <c r="S119">
        <v>142500000</v>
      </c>
    </row>
    <row r="120" spans="1:19">
      <c r="A120" t="s">
        <v>60</v>
      </c>
      <c r="B120" t="s">
        <v>438</v>
      </c>
      <c r="C120" t="s">
        <v>1890</v>
      </c>
      <c r="D120" t="s">
        <v>468</v>
      </c>
      <c r="H120">
        <v>375000000</v>
      </c>
      <c r="I120">
        <v>390000000</v>
      </c>
      <c r="J120">
        <v>410000000</v>
      </c>
      <c r="K120">
        <v>415000000</v>
      </c>
      <c r="L120">
        <v>425000000</v>
      </c>
      <c r="M120">
        <v>435000000</v>
      </c>
      <c r="N120">
        <v>440000000</v>
      </c>
      <c r="O120">
        <v>430000000</v>
      </c>
      <c r="P120">
        <v>420000000</v>
      </c>
      <c r="Q120">
        <v>415000000</v>
      </c>
      <c r="R120">
        <v>410000000</v>
      </c>
      <c r="S120">
        <v>435000000</v>
      </c>
    </row>
    <row r="121" spans="1:19">
      <c r="A121" t="s">
        <v>60</v>
      </c>
      <c r="B121" t="s">
        <v>438</v>
      </c>
      <c r="C121" t="s">
        <v>1891</v>
      </c>
      <c r="D121" t="s">
        <v>470</v>
      </c>
    </row>
    <row r="122" spans="1:19">
      <c r="A122" t="s">
        <v>60</v>
      </c>
      <c r="B122" t="s">
        <v>438</v>
      </c>
      <c r="C122" t="s">
        <v>1892</v>
      </c>
      <c r="D122" t="s">
        <v>472</v>
      </c>
    </row>
    <row r="123" spans="1:19">
      <c r="A123" t="s">
        <v>60</v>
      </c>
      <c r="B123" t="s">
        <v>438</v>
      </c>
      <c r="C123" t="s">
        <v>1893</v>
      </c>
      <c r="D123" t="s">
        <v>474</v>
      </c>
    </row>
    <row r="124" spans="1:19">
      <c r="A124" t="s">
        <v>60</v>
      </c>
      <c r="B124" t="s">
        <v>438</v>
      </c>
      <c r="C124" t="s">
        <v>1894</v>
      </c>
      <c r="D124" t="s">
        <v>476</v>
      </c>
      <c r="H124">
        <v>375000000</v>
      </c>
      <c r="I124">
        <v>390000000</v>
      </c>
      <c r="J124">
        <v>410000000</v>
      </c>
      <c r="K124">
        <v>415000000</v>
      </c>
      <c r="L124">
        <v>425000000</v>
      </c>
      <c r="M124">
        <v>435000000</v>
      </c>
      <c r="N124">
        <v>440000000</v>
      </c>
      <c r="O124">
        <v>430000000</v>
      </c>
      <c r="P124">
        <v>420000000</v>
      </c>
      <c r="Q124">
        <v>415000000</v>
      </c>
      <c r="R124">
        <v>410000000</v>
      </c>
      <c r="S124">
        <v>435000000</v>
      </c>
    </row>
    <row r="125" spans="1:19">
      <c r="A125" t="s">
        <v>60</v>
      </c>
      <c r="B125" t="s">
        <v>438</v>
      </c>
      <c r="C125" t="s">
        <v>1895</v>
      </c>
      <c r="D125" t="s">
        <v>478</v>
      </c>
      <c r="H125">
        <v>700000</v>
      </c>
      <c r="I125">
        <v>650000</v>
      </c>
      <c r="J125">
        <v>780000</v>
      </c>
      <c r="K125">
        <v>800000</v>
      </c>
      <c r="L125">
        <v>820000</v>
      </c>
      <c r="M125">
        <v>850000</v>
      </c>
      <c r="N125">
        <v>880000</v>
      </c>
      <c r="O125">
        <v>870000</v>
      </c>
      <c r="P125">
        <v>850000</v>
      </c>
      <c r="Q125">
        <v>930000</v>
      </c>
      <c r="R125">
        <v>920000</v>
      </c>
      <c r="S125">
        <v>950000</v>
      </c>
    </row>
    <row r="126" spans="1:19">
      <c r="A126" t="s">
        <v>60</v>
      </c>
      <c r="B126" t="s">
        <v>438</v>
      </c>
      <c r="C126" t="s">
        <v>1896</v>
      </c>
      <c r="D126" t="s">
        <v>480</v>
      </c>
      <c r="H126">
        <v>700000</v>
      </c>
      <c r="I126">
        <v>650000</v>
      </c>
      <c r="J126">
        <v>780000</v>
      </c>
      <c r="K126">
        <v>800000</v>
      </c>
      <c r="L126">
        <v>820000</v>
      </c>
      <c r="M126">
        <v>850000</v>
      </c>
      <c r="N126">
        <v>880000</v>
      </c>
      <c r="O126">
        <v>870000</v>
      </c>
      <c r="P126">
        <v>850000</v>
      </c>
      <c r="Q126">
        <v>930000</v>
      </c>
      <c r="R126">
        <v>920000</v>
      </c>
      <c r="S126">
        <v>950000</v>
      </c>
    </row>
    <row r="127" spans="1:19">
      <c r="A127" t="s">
        <v>60</v>
      </c>
      <c r="B127" t="s">
        <v>438</v>
      </c>
      <c r="C127" t="s">
        <v>1897</v>
      </c>
      <c r="D127" t="s">
        <v>482</v>
      </c>
    </row>
    <row r="128" spans="1:19">
      <c r="A128" t="s">
        <v>26</v>
      </c>
      <c r="B128" t="s">
        <v>438</v>
      </c>
      <c r="C128" t="s">
        <v>1898</v>
      </c>
      <c r="D128" t="s">
        <v>484</v>
      </c>
    </row>
    <row r="129" spans="1:19">
      <c r="A129" t="s">
        <v>60</v>
      </c>
      <c r="B129" t="s">
        <v>438</v>
      </c>
      <c r="C129" t="s">
        <v>1899</v>
      </c>
      <c r="D129" t="s">
        <v>486</v>
      </c>
      <c r="H129">
        <v>1400000</v>
      </c>
      <c r="I129">
        <v>1300000</v>
      </c>
      <c r="J129">
        <v>1560000</v>
      </c>
      <c r="K129">
        <v>1600000</v>
      </c>
      <c r="L129">
        <v>1640000</v>
      </c>
      <c r="M129">
        <v>1700000</v>
      </c>
      <c r="N129">
        <v>1760000</v>
      </c>
      <c r="O129">
        <v>1740000</v>
      </c>
      <c r="P129">
        <v>1700000</v>
      </c>
      <c r="Q129">
        <v>1860000</v>
      </c>
      <c r="R129">
        <v>1840000</v>
      </c>
      <c r="S129">
        <v>1900000</v>
      </c>
    </row>
    <row r="130" spans="1:19">
      <c r="A130" t="s">
        <v>60</v>
      </c>
      <c r="B130" t="s">
        <v>438</v>
      </c>
      <c r="C130" t="s">
        <v>1900</v>
      </c>
      <c r="D130" t="s">
        <v>488</v>
      </c>
      <c r="H130">
        <v>700000</v>
      </c>
      <c r="I130">
        <v>650000</v>
      </c>
      <c r="J130">
        <v>780000</v>
      </c>
      <c r="K130">
        <v>800000</v>
      </c>
      <c r="L130">
        <v>820000</v>
      </c>
      <c r="M130">
        <v>850000</v>
      </c>
      <c r="N130">
        <v>880000</v>
      </c>
      <c r="O130">
        <v>870000</v>
      </c>
      <c r="P130">
        <v>850000</v>
      </c>
      <c r="Q130">
        <v>930000</v>
      </c>
      <c r="R130">
        <v>920000</v>
      </c>
      <c r="S130">
        <v>950000</v>
      </c>
    </row>
    <row r="131" spans="1:19">
      <c r="A131" t="s">
        <v>60</v>
      </c>
      <c r="B131" t="s">
        <v>438</v>
      </c>
      <c r="C131" t="s">
        <v>1901</v>
      </c>
      <c r="D131" t="s">
        <v>490</v>
      </c>
      <c r="H131">
        <v>700000</v>
      </c>
      <c r="I131">
        <v>650000</v>
      </c>
      <c r="J131">
        <v>780000</v>
      </c>
      <c r="K131">
        <v>800000</v>
      </c>
      <c r="L131">
        <v>820000</v>
      </c>
      <c r="M131">
        <v>850000</v>
      </c>
      <c r="N131">
        <v>880000</v>
      </c>
      <c r="O131">
        <v>870000</v>
      </c>
      <c r="P131">
        <v>850000</v>
      </c>
      <c r="Q131">
        <v>930000</v>
      </c>
      <c r="R131">
        <v>920000</v>
      </c>
      <c r="S131">
        <v>950000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1876</v>
      </c>
      <c r="D2" t="s">
        <v>440</v>
      </c>
    </row>
    <row r="3" spans="1:19">
      <c r="A3" t="s">
        <v>19</v>
      </c>
      <c r="B3" t="s">
        <v>179</v>
      </c>
      <c r="C3" t="s">
        <v>1877</v>
      </c>
      <c r="D3" t="s">
        <v>442</v>
      </c>
    </row>
    <row r="4" spans="1:19">
      <c r="A4" t="s">
        <v>23</v>
      </c>
      <c r="B4" t="s">
        <v>179</v>
      </c>
      <c r="C4" t="s">
        <v>1878</v>
      </c>
      <c r="D4" t="s">
        <v>444</v>
      </c>
    </row>
    <row r="5" spans="1:19">
      <c r="A5" t="s">
        <v>26</v>
      </c>
      <c r="B5" t="s">
        <v>179</v>
      </c>
      <c r="C5" t="s">
        <v>1879</v>
      </c>
      <c r="D5" t="s">
        <v>446</v>
      </c>
      <c r="H5">
        <v>1400000</v>
      </c>
      <c r="I5">
        <v>1300000</v>
      </c>
      <c r="J5">
        <v>1560000</v>
      </c>
      <c r="K5">
        <v>1600000</v>
      </c>
      <c r="L5">
        <v>1640000</v>
      </c>
      <c r="M5">
        <v>1700000</v>
      </c>
      <c r="N5">
        <v>1760000</v>
      </c>
      <c r="O5">
        <v>1740000</v>
      </c>
      <c r="P5">
        <v>1700000</v>
      </c>
      <c r="Q5">
        <v>1860000</v>
      </c>
      <c r="R5">
        <v>1840000</v>
      </c>
      <c r="S5">
        <v>1900000</v>
      </c>
    </row>
    <row r="6" spans="1:19">
      <c r="A6" t="s">
        <v>26</v>
      </c>
      <c r="B6" t="s">
        <v>179</v>
      </c>
      <c r="C6" t="s">
        <v>1880</v>
      </c>
      <c r="D6" t="s">
        <v>448</v>
      </c>
      <c r="H6">
        <v>700000</v>
      </c>
      <c r="I6">
        <v>650000</v>
      </c>
      <c r="J6">
        <v>780000</v>
      </c>
      <c r="K6">
        <v>800000</v>
      </c>
      <c r="L6">
        <v>820000</v>
      </c>
      <c r="M6">
        <v>850000</v>
      </c>
      <c r="N6">
        <v>880000</v>
      </c>
      <c r="O6">
        <v>870000</v>
      </c>
      <c r="P6">
        <v>850000</v>
      </c>
      <c r="Q6">
        <v>930000</v>
      </c>
      <c r="R6">
        <v>920000</v>
      </c>
      <c r="S6">
        <v>950000</v>
      </c>
    </row>
    <row r="7" spans="1:19">
      <c r="A7" t="s">
        <v>26</v>
      </c>
      <c r="B7" t="s">
        <v>179</v>
      </c>
      <c r="C7" t="s">
        <v>1881</v>
      </c>
      <c r="D7" t="s">
        <v>450</v>
      </c>
      <c r="H7">
        <v>700000</v>
      </c>
      <c r="I7">
        <v>650000</v>
      </c>
      <c r="J7">
        <v>780000</v>
      </c>
      <c r="K7">
        <v>800000</v>
      </c>
      <c r="L7">
        <v>820000</v>
      </c>
      <c r="M7">
        <v>850000</v>
      </c>
      <c r="N7">
        <v>880000</v>
      </c>
      <c r="O7">
        <v>870000</v>
      </c>
      <c r="P7">
        <v>850000</v>
      </c>
      <c r="Q7">
        <v>930000</v>
      </c>
      <c r="R7">
        <v>920000</v>
      </c>
      <c r="S7">
        <v>950000</v>
      </c>
    </row>
    <row r="8" spans="1:19">
      <c r="A8" t="s">
        <v>26</v>
      </c>
      <c r="B8" t="s">
        <v>179</v>
      </c>
      <c r="C8" t="s">
        <v>1882</v>
      </c>
      <c r="D8" t="s">
        <v>452</v>
      </c>
      <c r="H8">
        <v>700000</v>
      </c>
      <c r="I8">
        <v>650000</v>
      </c>
      <c r="J8">
        <v>780000</v>
      </c>
      <c r="K8">
        <v>800000</v>
      </c>
      <c r="L8">
        <v>820000</v>
      </c>
      <c r="M8">
        <v>850000</v>
      </c>
      <c r="N8">
        <v>880000</v>
      </c>
      <c r="O8">
        <v>870000</v>
      </c>
      <c r="P8">
        <v>850000</v>
      </c>
      <c r="Q8">
        <v>930000</v>
      </c>
      <c r="R8">
        <v>920000</v>
      </c>
      <c r="S8">
        <v>950000</v>
      </c>
    </row>
    <row r="9" spans="1:19">
      <c r="A9" t="s">
        <v>23</v>
      </c>
      <c r="B9" t="s">
        <v>179</v>
      </c>
      <c r="C9" t="s">
        <v>1883</v>
      </c>
      <c r="D9" t="s">
        <v>454</v>
      </c>
    </row>
    <row r="10" spans="1:19">
      <c r="A10" t="s">
        <v>26</v>
      </c>
      <c r="B10" t="s">
        <v>179</v>
      </c>
      <c r="C10" t="s">
        <v>1884</v>
      </c>
      <c r="D10" t="s">
        <v>456</v>
      </c>
      <c r="H10">
        <v>375000000</v>
      </c>
      <c r="I10">
        <v>390000000</v>
      </c>
      <c r="J10">
        <v>410000000</v>
      </c>
      <c r="K10">
        <v>415000000</v>
      </c>
      <c r="L10">
        <v>425000000</v>
      </c>
      <c r="M10">
        <v>435000000</v>
      </c>
      <c r="N10">
        <v>440000000</v>
      </c>
      <c r="O10">
        <v>430000000</v>
      </c>
      <c r="P10">
        <v>420000000</v>
      </c>
      <c r="Q10">
        <v>415000000</v>
      </c>
      <c r="R10">
        <v>410000000</v>
      </c>
      <c r="S10">
        <v>435000000</v>
      </c>
    </row>
    <row r="11" spans="1:19">
      <c r="A11" t="s">
        <v>26</v>
      </c>
      <c r="B11" t="s">
        <v>179</v>
      </c>
      <c r="C11" t="s">
        <v>1885</v>
      </c>
      <c r="D11" t="s">
        <v>458</v>
      </c>
      <c r="H11">
        <v>1400000</v>
      </c>
      <c r="I11">
        <v>1300000</v>
      </c>
      <c r="J11">
        <v>1560000</v>
      </c>
      <c r="K11">
        <v>1600000</v>
      </c>
      <c r="L11">
        <v>1640000</v>
      </c>
      <c r="M11">
        <v>1700000</v>
      </c>
      <c r="N11">
        <v>1760000</v>
      </c>
      <c r="O11">
        <v>1740000</v>
      </c>
      <c r="P11">
        <v>1700000</v>
      </c>
      <c r="Q11">
        <v>1860000</v>
      </c>
      <c r="R11">
        <v>1840000</v>
      </c>
      <c r="S11">
        <v>1900000</v>
      </c>
    </row>
    <row r="12" spans="1:19">
      <c r="A12" t="s">
        <v>26</v>
      </c>
      <c r="B12" t="s">
        <v>179</v>
      </c>
      <c r="C12" t="s">
        <v>1886</v>
      </c>
      <c r="D12" t="s">
        <v>460</v>
      </c>
      <c r="H12">
        <v>700000</v>
      </c>
      <c r="I12">
        <v>650000</v>
      </c>
      <c r="J12">
        <v>780000</v>
      </c>
      <c r="K12">
        <v>800000</v>
      </c>
      <c r="L12">
        <v>820000</v>
      </c>
      <c r="M12">
        <v>850000</v>
      </c>
      <c r="N12">
        <v>880000</v>
      </c>
      <c r="O12">
        <v>870000</v>
      </c>
      <c r="P12">
        <v>850000</v>
      </c>
      <c r="Q12">
        <v>930000</v>
      </c>
      <c r="R12">
        <v>920000</v>
      </c>
      <c r="S12">
        <v>950000</v>
      </c>
    </row>
    <row r="13" spans="1:19">
      <c r="A13" t="s">
        <v>26</v>
      </c>
      <c r="B13" t="s">
        <v>179</v>
      </c>
      <c r="C13" t="s">
        <v>1887</v>
      </c>
      <c r="D13" t="s">
        <v>462</v>
      </c>
      <c r="H13">
        <v>14000000</v>
      </c>
      <c r="I13">
        <v>13000000</v>
      </c>
      <c r="J13">
        <v>15600000</v>
      </c>
      <c r="K13">
        <v>16000000</v>
      </c>
      <c r="L13">
        <v>16400000</v>
      </c>
      <c r="M13">
        <v>17000000</v>
      </c>
      <c r="N13">
        <v>17600000</v>
      </c>
      <c r="O13">
        <v>17400000</v>
      </c>
      <c r="P13">
        <v>17000000</v>
      </c>
      <c r="Q13">
        <v>18600000</v>
      </c>
      <c r="R13">
        <v>18400000</v>
      </c>
      <c r="S13">
        <v>19000000</v>
      </c>
    </row>
    <row r="14" spans="1:19">
      <c r="A14" t="s">
        <v>26</v>
      </c>
      <c r="B14" t="s">
        <v>179</v>
      </c>
      <c r="C14" t="s">
        <v>1888</v>
      </c>
      <c r="D14" t="s">
        <v>464</v>
      </c>
    </row>
    <row r="15" spans="1:19">
      <c r="A15" t="s">
        <v>26</v>
      </c>
      <c r="B15" t="s">
        <v>179</v>
      </c>
      <c r="C15" t="s">
        <v>1889</v>
      </c>
      <c r="D15" t="s">
        <v>466</v>
      </c>
      <c r="H15">
        <v>105000000</v>
      </c>
      <c r="I15">
        <v>97500000</v>
      </c>
      <c r="J15">
        <v>117000000</v>
      </c>
      <c r="K15">
        <v>120000000</v>
      </c>
      <c r="L15">
        <v>123000000</v>
      </c>
      <c r="M15">
        <v>127500000</v>
      </c>
      <c r="N15">
        <v>132000000</v>
      </c>
      <c r="O15">
        <v>130500000</v>
      </c>
      <c r="P15">
        <v>127500000</v>
      </c>
      <c r="Q15">
        <v>139500000</v>
      </c>
      <c r="R15">
        <v>138000000</v>
      </c>
      <c r="S15">
        <v>142500000</v>
      </c>
    </row>
    <row r="16" spans="1:19">
      <c r="A16" t="s">
        <v>26</v>
      </c>
      <c r="B16" t="s">
        <v>179</v>
      </c>
      <c r="C16" t="s">
        <v>1890</v>
      </c>
      <c r="D16" t="s">
        <v>468</v>
      </c>
      <c r="H16">
        <v>375000000</v>
      </c>
      <c r="I16">
        <v>390000000</v>
      </c>
      <c r="J16">
        <v>410000000</v>
      </c>
      <c r="K16">
        <v>415000000</v>
      </c>
      <c r="L16">
        <v>425000000</v>
      </c>
      <c r="M16">
        <v>435000000</v>
      </c>
      <c r="N16">
        <v>440000000</v>
      </c>
      <c r="O16">
        <v>430000000</v>
      </c>
      <c r="P16">
        <v>420000000</v>
      </c>
      <c r="Q16">
        <v>415000000</v>
      </c>
      <c r="R16">
        <v>410000000</v>
      </c>
      <c r="S16">
        <v>435000000</v>
      </c>
    </row>
    <row r="17" spans="1:19">
      <c r="A17" t="s">
        <v>26</v>
      </c>
      <c r="B17" t="s">
        <v>179</v>
      </c>
      <c r="C17" t="s">
        <v>1891</v>
      </c>
      <c r="D17" t="s">
        <v>470</v>
      </c>
    </row>
    <row r="18" spans="1:19">
      <c r="A18" t="s">
        <v>26</v>
      </c>
      <c r="B18" t="s">
        <v>179</v>
      </c>
      <c r="C18" t="s">
        <v>1892</v>
      </c>
      <c r="D18" t="s">
        <v>472</v>
      </c>
    </row>
    <row r="19" spans="1:19">
      <c r="A19" t="s">
        <v>26</v>
      </c>
      <c r="B19" t="s">
        <v>179</v>
      </c>
      <c r="C19" t="s">
        <v>1893</v>
      </c>
      <c r="D19" t="s">
        <v>474</v>
      </c>
    </row>
    <row r="20" spans="1:19">
      <c r="A20" t="s">
        <v>26</v>
      </c>
      <c r="B20" t="s">
        <v>179</v>
      </c>
      <c r="C20" t="s">
        <v>1894</v>
      </c>
      <c r="D20" t="s">
        <v>476</v>
      </c>
      <c r="H20">
        <v>375000000</v>
      </c>
      <c r="I20">
        <v>390000000</v>
      </c>
      <c r="J20">
        <v>410000000</v>
      </c>
      <c r="K20">
        <v>415000000</v>
      </c>
      <c r="L20">
        <v>425000000</v>
      </c>
      <c r="M20">
        <v>435000000</v>
      </c>
      <c r="N20">
        <v>440000000</v>
      </c>
      <c r="O20">
        <v>430000000</v>
      </c>
      <c r="P20">
        <v>420000000</v>
      </c>
      <c r="Q20">
        <v>415000000</v>
      </c>
      <c r="R20">
        <v>410000000</v>
      </c>
      <c r="S20">
        <v>435000000</v>
      </c>
    </row>
    <row r="21" spans="1:19">
      <c r="A21" t="s">
        <v>26</v>
      </c>
      <c r="B21" t="s">
        <v>179</v>
      </c>
      <c r="C21" t="s">
        <v>1895</v>
      </c>
      <c r="D21" t="s">
        <v>478</v>
      </c>
      <c r="H21">
        <v>700000</v>
      </c>
      <c r="I21">
        <v>650000</v>
      </c>
      <c r="J21">
        <v>780000</v>
      </c>
      <c r="K21">
        <v>800000</v>
      </c>
      <c r="L21">
        <v>820000</v>
      </c>
      <c r="M21">
        <v>850000</v>
      </c>
      <c r="N21">
        <v>880000</v>
      </c>
      <c r="O21">
        <v>870000</v>
      </c>
      <c r="P21">
        <v>850000</v>
      </c>
      <c r="Q21">
        <v>930000</v>
      </c>
      <c r="R21">
        <v>920000</v>
      </c>
      <c r="S21">
        <v>950000</v>
      </c>
    </row>
    <row r="22" spans="1:19">
      <c r="A22" t="s">
        <v>26</v>
      </c>
      <c r="B22" t="s">
        <v>179</v>
      </c>
      <c r="C22" t="s">
        <v>1896</v>
      </c>
      <c r="D22" t="s">
        <v>480</v>
      </c>
      <c r="H22">
        <v>700000</v>
      </c>
      <c r="I22">
        <v>650000</v>
      </c>
      <c r="J22">
        <v>780000</v>
      </c>
      <c r="K22">
        <v>800000</v>
      </c>
      <c r="L22">
        <v>820000</v>
      </c>
      <c r="M22">
        <v>850000</v>
      </c>
      <c r="N22">
        <v>880000</v>
      </c>
      <c r="O22">
        <v>870000</v>
      </c>
      <c r="P22">
        <v>850000</v>
      </c>
      <c r="Q22">
        <v>930000</v>
      </c>
      <c r="R22">
        <v>920000</v>
      </c>
      <c r="S22">
        <v>950000</v>
      </c>
    </row>
    <row r="23" spans="1:19">
      <c r="A23" t="s">
        <v>26</v>
      </c>
      <c r="B23" t="s">
        <v>179</v>
      </c>
      <c r="C23" t="s">
        <v>1897</v>
      </c>
      <c r="D23" t="s">
        <v>482</v>
      </c>
    </row>
    <row r="24" spans="1:19">
      <c r="A24" t="s">
        <v>23</v>
      </c>
      <c r="B24" t="s">
        <v>179</v>
      </c>
      <c r="C24" t="s">
        <v>1898</v>
      </c>
      <c r="D24" t="s">
        <v>484</v>
      </c>
    </row>
    <row r="25" spans="1:19">
      <c r="A25" t="s">
        <v>26</v>
      </c>
      <c r="B25" t="s">
        <v>179</v>
      </c>
      <c r="C25" t="s">
        <v>1899</v>
      </c>
      <c r="D25" t="s">
        <v>486</v>
      </c>
      <c r="H25">
        <v>1400000</v>
      </c>
      <c r="I25">
        <v>1300000</v>
      </c>
      <c r="J25">
        <v>1560000</v>
      </c>
      <c r="K25">
        <v>1600000</v>
      </c>
      <c r="L25">
        <v>1640000</v>
      </c>
      <c r="M25">
        <v>1700000</v>
      </c>
      <c r="N25">
        <v>1760000</v>
      </c>
      <c r="O25">
        <v>1740000</v>
      </c>
      <c r="P25">
        <v>1700000</v>
      </c>
      <c r="Q25">
        <v>1860000</v>
      </c>
      <c r="R25">
        <v>1840000</v>
      </c>
      <c r="S25">
        <v>1900000</v>
      </c>
    </row>
    <row r="26" spans="1:19">
      <c r="A26" t="s">
        <v>26</v>
      </c>
      <c r="B26" t="s">
        <v>179</v>
      </c>
      <c r="C26" t="s">
        <v>1900</v>
      </c>
      <c r="D26" t="s">
        <v>488</v>
      </c>
      <c r="H26">
        <v>700000</v>
      </c>
      <c r="I26">
        <v>650000</v>
      </c>
      <c r="J26">
        <v>780000</v>
      </c>
      <c r="K26">
        <v>800000</v>
      </c>
      <c r="L26">
        <v>820000</v>
      </c>
      <c r="M26">
        <v>850000</v>
      </c>
      <c r="N26">
        <v>880000</v>
      </c>
      <c r="O26">
        <v>870000</v>
      </c>
      <c r="P26">
        <v>850000</v>
      </c>
      <c r="Q26">
        <v>930000</v>
      </c>
      <c r="R26">
        <v>920000</v>
      </c>
      <c r="S26">
        <v>950000</v>
      </c>
    </row>
    <row r="27" spans="1:19">
      <c r="A27" t="s">
        <v>26</v>
      </c>
      <c r="B27" t="s">
        <v>179</v>
      </c>
      <c r="C27" t="s">
        <v>1901</v>
      </c>
      <c r="D27" t="s">
        <v>490</v>
      </c>
      <c r="H27">
        <v>700000</v>
      </c>
      <c r="I27">
        <v>650000</v>
      </c>
      <c r="J27">
        <v>780000</v>
      </c>
      <c r="K27">
        <v>800000</v>
      </c>
      <c r="L27">
        <v>820000</v>
      </c>
      <c r="M27">
        <v>850000</v>
      </c>
      <c r="N27">
        <v>880000</v>
      </c>
      <c r="O27">
        <v>870000</v>
      </c>
      <c r="P27">
        <v>850000</v>
      </c>
      <c r="Q27">
        <v>930000</v>
      </c>
      <c r="R27">
        <v>920000</v>
      </c>
      <c r="S27">
        <v>950000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1902</v>
      </c>
      <c r="D2" t="s">
        <v>22</v>
      </c>
    </row>
    <row r="3" spans="1:19">
      <c r="A3" t="s">
        <v>23</v>
      </c>
      <c r="B3" t="s">
        <v>20</v>
      </c>
      <c r="C3" t="s">
        <v>1903</v>
      </c>
      <c r="D3" t="s">
        <v>25</v>
      </c>
    </row>
    <row r="4" spans="1:19">
      <c r="A4" t="s">
        <v>26</v>
      </c>
      <c r="B4" t="s">
        <v>20</v>
      </c>
      <c r="C4" t="s">
        <v>1904</v>
      </c>
      <c r="D4" t="s">
        <v>28</v>
      </c>
    </row>
    <row r="5" spans="1:19">
      <c r="A5" t="s">
        <v>19</v>
      </c>
      <c r="B5" t="s">
        <v>20</v>
      </c>
      <c r="C5" t="s">
        <v>1905</v>
      </c>
      <c r="D5" t="s">
        <v>176</v>
      </c>
    </row>
    <row r="6" spans="1:19">
      <c r="A6" t="s">
        <v>19</v>
      </c>
      <c r="B6" t="s">
        <v>35</v>
      </c>
      <c r="C6" t="s">
        <v>1906</v>
      </c>
      <c r="D6" t="s">
        <v>241</v>
      </c>
    </row>
    <row r="7" spans="1:19">
      <c r="A7" t="s">
        <v>26</v>
      </c>
      <c r="B7" t="s">
        <v>20</v>
      </c>
      <c r="C7" t="s">
        <v>1907</v>
      </c>
      <c r="D7" t="s">
        <v>30</v>
      </c>
    </row>
    <row r="8" spans="1:19">
      <c r="A8" t="s">
        <v>19</v>
      </c>
      <c r="B8" t="s">
        <v>35</v>
      </c>
      <c r="C8" t="s">
        <v>1908</v>
      </c>
      <c r="D8" t="s">
        <v>285</v>
      </c>
    </row>
    <row r="9" spans="1:19">
      <c r="A9" t="s">
        <v>19</v>
      </c>
      <c r="B9" t="s">
        <v>35</v>
      </c>
      <c r="C9" t="s">
        <v>1909</v>
      </c>
      <c r="D9" t="s">
        <v>309</v>
      </c>
    </row>
    <row r="10" spans="1:19">
      <c r="A10" t="s">
        <v>23</v>
      </c>
      <c r="B10" t="s">
        <v>20</v>
      </c>
      <c r="C10" t="s">
        <v>1910</v>
      </c>
      <c r="D10" t="s">
        <v>497</v>
      </c>
    </row>
    <row r="11" spans="1:19">
      <c r="A11" t="s">
        <v>19</v>
      </c>
      <c r="B11" t="s">
        <v>20</v>
      </c>
      <c r="C11" t="s">
        <v>1911</v>
      </c>
      <c r="D11" t="s">
        <v>337</v>
      </c>
    </row>
    <row r="12" spans="1:19">
      <c r="A12" t="s">
        <v>19</v>
      </c>
      <c r="B12" t="s">
        <v>35</v>
      </c>
      <c r="C12" t="s">
        <v>1912</v>
      </c>
      <c r="D12" t="s">
        <v>365</v>
      </c>
    </row>
    <row r="13" spans="1:19">
      <c r="A13" t="s">
        <v>23</v>
      </c>
      <c r="B13" t="s">
        <v>20</v>
      </c>
      <c r="C13" t="s">
        <v>1913</v>
      </c>
      <c r="D13" t="s">
        <v>34</v>
      </c>
    </row>
    <row r="14" spans="1:19">
      <c r="A14" t="s">
        <v>19</v>
      </c>
      <c r="B14" t="s">
        <v>35</v>
      </c>
      <c r="C14" t="s">
        <v>1914</v>
      </c>
      <c r="D14" t="s">
        <v>37</v>
      </c>
    </row>
    <row r="15" spans="1:19">
      <c r="A15" t="s">
        <v>19</v>
      </c>
      <c r="B15" t="s">
        <v>20</v>
      </c>
      <c r="C15" t="s">
        <v>1915</v>
      </c>
      <c r="D15" t="s">
        <v>39</v>
      </c>
    </row>
    <row r="16" spans="1:19">
      <c r="A16" t="s">
        <v>19</v>
      </c>
      <c r="B16" t="s">
        <v>35</v>
      </c>
      <c r="C16" t="s">
        <v>1916</v>
      </c>
      <c r="D16" t="s">
        <v>41</v>
      </c>
    </row>
    <row r="17" spans="1:4">
      <c r="A17" t="s">
        <v>19</v>
      </c>
      <c r="B17" t="s">
        <v>35</v>
      </c>
      <c r="C17" t="s">
        <v>1917</v>
      </c>
      <c r="D17" t="s">
        <v>43</v>
      </c>
    </row>
    <row r="18" spans="1:4">
      <c r="A18" t="s">
        <v>23</v>
      </c>
      <c r="B18" t="s">
        <v>35</v>
      </c>
      <c r="C18" t="s">
        <v>1918</v>
      </c>
      <c r="D18" t="s">
        <v>45</v>
      </c>
    </row>
    <row r="19" spans="1:4">
      <c r="A19" t="s">
        <v>26</v>
      </c>
      <c r="B19" t="s">
        <v>35</v>
      </c>
      <c r="C19" t="s">
        <v>1919</v>
      </c>
      <c r="D19" t="s">
        <v>47</v>
      </c>
    </row>
    <row r="20" spans="1:4">
      <c r="A20" t="s">
        <v>26</v>
      </c>
      <c r="B20" t="s">
        <v>35</v>
      </c>
      <c r="C20" t="s">
        <v>1920</v>
      </c>
      <c r="D20" t="s">
        <v>49</v>
      </c>
    </row>
    <row r="21" spans="1:4">
      <c r="A21" t="s">
        <v>23</v>
      </c>
      <c r="B21" t="s">
        <v>35</v>
      </c>
      <c r="C21" t="s">
        <v>1921</v>
      </c>
      <c r="D21" t="s">
        <v>51</v>
      </c>
    </row>
    <row r="22" spans="1:4">
      <c r="A22" t="s">
        <v>26</v>
      </c>
      <c r="B22" t="s">
        <v>35</v>
      </c>
      <c r="C22" t="s">
        <v>1922</v>
      </c>
      <c r="D22" t="s">
        <v>53</v>
      </c>
    </row>
    <row r="23" spans="1:4">
      <c r="A23" t="s">
        <v>26</v>
      </c>
      <c r="B23" t="s">
        <v>35</v>
      </c>
      <c r="C23" t="s">
        <v>1923</v>
      </c>
      <c r="D23" t="s">
        <v>55</v>
      </c>
    </row>
    <row r="24" spans="1:4">
      <c r="A24" t="s">
        <v>23</v>
      </c>
      <c r="B24" t="s">
        <v>35</v>
      </c>
      <c r="C24" t="s">
        <v>1924</v>
      </c>
      <c r="D24" t="s">
        <v>57</v>
      </c>
    </row>
    <row r="25" spans="1:4">
      <c r="A25" t="s">
        <v>26</v>
      </c>
      <c r="B25" t="s">
        <v>35</v>
      </c>
      <c r="C25" t="s">
        <v>1925</v>
      </c>
      <c r="D25" t="s">
        <v>59</v>
      </c>
    </row>
    <row r="26" spans="1:4">
      <c r="A26" t="s">
        <v>60</v>
      </c>
      <c r="B26" t="s">
        <v>35</v>
      </c>
      <c r="C26" t="s">
        <v>1926</v>
      </c>
      <c r="D26" t="s">
        <v>62</v>
      </c>
    </row>
    <row r="27" spans="1:4">
      <c r="A27" t="s">
        <v>60</v>
      </c>
      <c r="B27" t="s">
        <v>35</v>
      </c>
      <c r="C27" t="s">
        <v>1927</v>
      </c>
      <c r="D27" t="s">
        <v>64</v>
      </c>
    </row>
    <row r="28" spans="1:4">
      <c r="A28" t="s">
        <v>26</v>
      </c>
      <c r="B28" t="s">
        <v>35</v>
      </c>
      <c r="C28" t="s">
        <v>1928</v>
      </c>
      <c r="D28" t="s">
        <v>66</v>
      </c>
    </row>
    <row r="29" spans="1:4">
      <c r="A29" t="s">
        <v>26</v>
      </c>
      <c r="B29" t="s">
        <v>35</v>
      </c>
      <c r="C29" t="s">
        <v>1929</v>
      </c>
      <c r="D29" t="s">
        <v>68</v>
      </c>
    </row>
    <row r="30" spans="1:4">
      <c r="A30" t="s">
        <v>26</v>
      </c>
      <c r="B30" t="s">
        <v>35</v>
      </c>
      <c r="C30" t="s">
        <v>1930</v>
      </c>
      <c r="D30" t="s">
        <v>70</v>
      </c>
    </row>
    <row r="31" spans="1:4">
      <c r="A31" t="s">
        <v>23</v>
      </c>
      <c r="B31" t="s">
        <v>35</v>
      </c>
      <c r="C31" t="s">
        <v>1931</v>
      </c>
      <c r="D31" t="s">
        <v>72</v>
      </c>
    </row>
    <row r="32" spans="1:4">
      <c r="A32" t="s">
        <v>23</v>
      </c>
      <c r="B32" t="s">
        <v>35</v>
      </c>
      <c r="C32" t="s">
        <v>1932</v>
      </c>
      <c r="D32" t="s">
        <v>74</v>
      </c>
    </row>
    <row r="33" spans="1:4">
      <c r="A33" t="s">
        <v>19</v>
      </c>
      <c r="B33" t="s">
        <v>20</v>
      </c>
      <c r="C33" t="s">
        <v>1933</v>
      </c>
      <c r="D33" t="s">
        <v>76</v>
      </c>
    </row>
    <row r="34" spans="1:4">
      <c r="A34" t="s">
        <v>19</v>
      </c>
      <c r="B34" t="s">
        <v>77</v>
      </c>
      <c r="C34" t="s">
        <v>1934</v>
      </c>
      <c r="D34" t="s">
        <v>79</v>
      </c>
    </row>
    <row r="35" spans="1:4">
      <c r="A35" t="s">
        <v>19</v>
      </c>
      <c r="B35" t="s">
        <v>35</v>
      </c>
      <c r="C35" t="s">
        <v>1935</v>
      </c>
      <c r="D35" t="s">
        <v>81</v>
      </c>
    </row>
    <row r="36" spans="1:4">
      <c r="A36" t="s">
        <v>19</v>
      </c>
      <c r="B36" t="s">
        <v>77</v>
      </c>
      <c r="C36" t="s">
        <v>1936</v>
      </c>
      <c r="D36" t="s">
        <v>83</v>
      </c>
    </row>
    <row r="37" spans="1:4">
      <c r="A37" t="s">
        <v>19</v>
      </c>
      <c r="B37" t="s">
        <v>84</v>
      </c>
      <c r="C37" t="s">
        <v>1937</v>
      </c>
      <c r="D37" t="s">
        <v>86</v>
      </c>
    </row>
    <row r="38" spans="1:4">
      <c r="A38" t="s">
        <v>23</v>
      </c>
      <c r="B38" t="s">
        <v>84</v>
      </c>
      <c r="C38" t="s">
        <v>1938</v>
      </c>
      <c r="D38" t="s">
        <v>88</v>
      </c>
    </row>
    <row r="39" spans="1:4">
      <c r="A39" t="s">
        <v>26</v>
      </c>
      <c r="B39" t="s">
        <v>84</v>
      </c>
      <c r="C39" t="s">
        <v>1939</v>
      </c>
      <c r="D39" t="s">
        <v>90</v>
      </c>
    </row>
    <row r="40" spans="1:4">
      <c r="A40" t="s">
        <v>26</v>
      </c>
      <c r="B40" t="s">
        <v>84</v>
      </c>
      <c r="C40" t="s">
        <v>1940</v>
      </c>
      <c r="D40" t="s">
        <v>96</v>
      </c>
    </row>
    <row r="41" spans="1:4">
      <c r="A41" t="s">
        <v>23</v>
      </c>
      <c r="B41" t="s">
        <v>84</v>
      </c>
      <c r="C41" t="s">
        <v>1941</v>
      </c>
      <c r="D41" t="s">
        <v>102</v>
      </c>
    </row>
    <row r="42" spans="1:4">
      <c r="A42" t="s">
        <v>23</v>
      </c>
      <c r="B42" t="s">
        <v>84</v>
      </c>
      <c r="C42" t="s">
        <v>1942</v>
      </c>
      <c r="D42" t="s">
        <v>104</v>
      </c>
    </row>
    <row r="43" spans="1:4">
      <c r="A43" t="s">
        <v>23</v>
      </c>
      <c r="B43" t="s">
        <v>84</v>
      </c>
      <c r="C43" t="s">
        <v>1943</v>
      </c>
      <c r="D43" t="s">
        <v>112</v>
      </c>
    </row>
    <row r="44" spans="1:4">
      <c r="A44" t="s">
        <v>19</v>
      </c>
      <c r="B44" t="s">
        <v>113</v>
      </c>
      <c r="C44" t="s">
        <v>1944</v>
      </c>
      <c r="D44" t="s">
        <v>115</v>
      </c>
    </row>
    <row r="45" spans="1:4">
      <c r="A45" t="s">
        <v>23</v>
      </c>
      <c r="B45" t="s">
        <v>113</v>
      </c>
      <c r="C45" t="s">
        <v>1945</v>
      </c>
      <c r="D45" t="s">
        <v>117</v>
      </c>
    </row>
    <row r="46" spans="1:4">
      <c r="A46" t="s">
        <v>26</v>
      </c>
      <c r="B46" t="s">
        <v>113</v>
      </c>
      <c r="C46" t="s">
        <v>1946</v>
      </c>
      <c r="D46" t="s">
        <v>90</v>
      </c>
    </row>
    <row r="47" spans="1:4">
      <c r="A47" t="s">
        <v>26</v>
      </c>
      <c r="B47" t="s">
        <v>113</v>
      </c>
      <c r="C47" t="s">
        <v>1947</v>
      </c>
      <c r="D47" t="s">
        <v>96</v>
      </c>
    </row>
    <row r="48" spans="1:4">
      <c r="A48" t="s">
        <v>23</v>
      </c>
      <c r="B48" t="s">
        <v>113</v>
      </c>
      <c r="C48" t="s">
        <v>1948</v>
      </c>
      <c r="D48" t="s">
        <v>102</v>
      </c>
    </row>
    <row r="49" spans="1:4">
      <c r="A49" t="s">
        <v>23</v>
      </c>
      <c r="B49" t="s">
        <v>113</v>
      </c>
      <c r="C49" t="s">
        <v>1949</v>
      </c>
      <c r="D49" t="s">
        <v>104</v>
      </c>
    </row>
    <row r="50" spans="1:4">
      <c r="A50" t="s">
        <v>23</v>
      </c>
      <c r="B50" t="s">
        <v>113</v>
      </c>
      <c r="C50" t="s">
        <v>1950</v>
      </c>
      <c r="D50" t="s">
        <v>112</v>
      </c>
    </row>
    <row r="51" spans="1:4">
      <c r="A51" t="s">
        <v>19</v>
      </c>
      <c r="B51" t="s">
        <v>130</v>
      </c>
      <c r="C51" t="s">
        <v>1951</v>
      </c>
      <c r="D51" t="s">
        <v>132</v>
      </c>
    </row>
    <row r="52" spans="1:4">
      <c r="A52" t="s">
        <v>23</v>
      </c>
      <c r="B52" t="s">
        <v>130</v>
      </c>
      <c r="C52" t="s">
        <v>1952</v>
      </c>
      <c r="D52" t="s">
        <v>134</v>
      </c>
    </row>
    <row r="53" spans="1:4">
      <c r="A53" t="s">
        <v>23</v>
      </c>
      <c r="B53" t="s">
        <v>130</v>
      </c>
      <c r="C53" t="s">
        <v>1953</v>
      </c>
      <c r="D53" t="s">
        <v>140</v>
      </c>
    </row>
    <row r="54" spans="1:4">
      <c r="A54" t="s">
        <v>19</v>
      </c>
      <c r="B54" t="s">
        <v>130</v>
      </c>
      <c r="C54" t="s">
        <v>1954</v>
      </c>
      <c r="D54" t="s">
        <v>142</v>
      </c>
    </row>
    <row r="55" spans="1:4">
      <c r="A55" t="s">
        <v>23</v>
      </c>
      <c r="B55" t="s">
        <v>143</v>
      </c>
      <c r="C55" t="s">
        <v>1955</v>
      </c>
      <c r="D55" t="s">
        <v>145</v>
      </c>
    </row>
    <row r="56" spans="1:4">
      <c r="A56" t="s">
        <v>23</v>
      </c>
      <c r="B56" t="s">
        <v>143</v>
      </c>
      <c r="C56" t="s">
        <v>1956</v>
      </c>
      <c r="D56" t="s">
        <v>149</v>
      </c>
    </row>
    <row r="57" spans="1:4">
      <c r="A57" t="s">
        <v>19</v>
      </c>
      <c r="B57" t="s">
        <v>393</v>
      </c>
      <c r="C57" t="s">
        <v>1957</v>
      </c>
      <c r="D57" t="s">
        <v>395</v>
      </c>
    </row>
    <row r="58" spans="1:4">
      <c r="A58" t="s">
        <v>23</v>
      </c>
      <c r="B58" t="s">
        <v>393</v>
      </c>
      <c r="C58" t="s">
        <v>1958</v>
      </c>
      <c r="D58" t="s">
        <v>397</v>
      </c>
    </row>
    <row r="59" spans="1:4">
      <c r="A59" t="s">
        <v>26</v>
      </c>
      <c r="B59" t="s">
        <v>393</v>
      </c>
      <c r="C59" t="s">
        <v>1959</v>
      </c>
      <c r="D59" t="s">
        <v>399</v>
      </c>
    </row>
    <row r="60" spans="1:4">
      <c r="A60" t="s">
        <v>60</v>
      </c>
      <c r="B60" t="s">
        <v>393</v>
      </c>
      <c r="C60" t="s">
        <v>1960</v>
      </c>
      <c r="D60" t="s">
        <v>401</v>
      </c>
    </row>
    <row r="61" spans="1:4">
      <c r="A61" t="s">
        <v>60</v>
      </c>
      <c r="B61" t="s">
        <v>393</v>
      </c>
      <c r="C61" t="s">
        <v>1961</v>
      </c>
      <c r="D61" t="s">
        <v>49</v>
      </c>
    </row>
    <row r="62" spans="1:4">
      <c r="A62" t="s">
        <v>26</v>
      </c>
      <c r="B62" t="s">
        <v>393</v>
      </c>
      <c r="C62" t="s">
        <v>1962</v>
      </c>
      <c r="D62" t="s">
        <v>51</v>
      </c>
    </row>
    <row r="63" spans="1:4">
      <c r="A63" t="s">
        <v>60</v>
      </c>
      <c r="B63" t="s">
        <v>393</v>
      </c>
      <c r="C63" t="s">
        <v>1963</v>
      </c>
      <c r="D63" t="s">
        <v>405</v>
      </c>
    </row>
    <row r="64" spans="1:4">
      <c r="A64" t="s">
        <v>60</v>
      </c>
      <c r="B64" t="s">
        <v>393</v>
      </c>
      <c r="C64" t="s">
        <v>1964</v>
      </c>
      <c r="D64" t="s">
        <v>407</v>
      </c>
    </row>
    <row r="65" spans="1:4">
      <c r="A65" t="s">
        <v>26</v>
      </c>
      <c r="B65" t="s">
        <v>393</v>
      </c>
      <c r="C65" t="s">
        <v>1965</v>
      </c>
      <c r="D65" t="s">
        <v>409</v>
      </c>
    </row>
    <row r="66" spans="1:4">
      <c r="A66" t="s">
        <v>60</v>
      </c>
      <c r="B66" t="s">
        <v>393</v>
      </c>
      <c r="C66" t="s">
        <v>1966</v>
      </c>
      <c r="D66" t="s">
        <v>59</v>
      </c>
    </row>
    <row r="67" spans="1:4">
      <c r="A67" t="s">
        <v>192</v>
      </c>
      <c r="B67" t="s">
        <v>393</v>
      </c>
      <c r="C67" t="s">
        <v>1967</v>
      </c>
      <c r="D67" t="s">
        <v>62</v>
      </c>
    </row>
    <row r="68" spans="1:4">
      <c r="A68" t="s">
        <v>192</v>
      </c>
      <c r="B68" t="s">
        <v>393</v>
      </c>
      <c r="C68" t="s">
        <v>1968</v>
      </c>
      <c r="D68" t="s">
        <v>64</v>
      </c>
    </row>
    <row r="69" spans="1:4">
      <c r="A69" t="s">
        <v>60</v>
      </c>
      <c r="B69" t="s">
        <v>393</v>
      </c>
      <c r="C69" t="s">
        <v>1969</v>
      </c>
      <c r="D69" t="s">
        <v>414</v>
      </c>
    </row>
    <row r="70" spans="1:4">
      <c r="A70" t="s">
        <v>60</v>
      </c>
      <c r="B70" t="s">
        <v>393</v>
      </c>
      <c r="C70" t="s">
        <v>1970</v>
      </c>
      <c r="D70" t="s">
        <v>68</v>
      </c>
    </row>
    <row r="71" spans="1:4">
      <c r="A71" t="s">
        <v>60</v>
      </c>
      <c r="B71" t="s">
        <v>393</v>
      </c>
      <c r="C71" t="s">
        <v>1971</v>
      </c>
      <c r="D71" t="s">
        <v>70</v>
      </c>
    </row>
    <row r="72" spans="1:4">
      <c r="A72" t="s">
        <v>26</v>
      </c>
      <c r="B72" t="s">
        <v>393</v>
      </c>
      <c r="C72" t="s">
        <v>1972</v>
      </c>
      <c r="D72" t="s">
        <v>418</v>
      </c>
    </row>
    <row r="73" spans="1:4">
      <c r="A73" t="s">
        <v>26</v>
      </c>
      <c r="B73" t="s">
        <v>393</v>
      </c>
      <c r="C73" t="s">
        <v>1973</v>
      </c>
      <c r="D73" t="s">
        <v>420</v>
      </c>
    </row>
    <row r="74" spans="1:4">
      <c r="A74" t="s">
        <v>23</v>
      </c>
      <c r="B74" t="s">
        <v>393</v>
      </c>
      <c r="C74" t="s">
        <v>1974</v>
      </c>
      <c r="D74" t="s">
        <v>422</v>
      </c>
    </row>
    <row r="75" spans="1:4">
      <c r="A75" t="s">
        <v>26</v>
      </c>
      <c r="B75" t="s">
        <v>393</v>
      </c>
      <c r="C75" t="s">
        <v>1975</v>
      </c>
      <c r="D75" t="s">
        <v>399</v>
      </c>
    </row>
    <row r="76" spans="1:4">
      <c r="A76" t="s">
        <v>60</v>
      </c>
      <c r="B76" t="s">
        <v>393</v>
      </c>
      <c r="C76" t="s">
        <v>1976</v>
      </c>
      <c r="D76" t="s">
        <v>401</v>
      </c>
    </row>
    <row r="77" spans="1:4">
      <c r="A77" t="s">
        <v>60</v>
      </c>
      <c r="B77" t="s">
        <v>393</v>
      </c>
      <c r="C77" t="s">
        <v>1977</v>
      </c>
      <c r="D77" t="s">
        <v>49</v>
      </c>
    </row>
    <row r="78" spans="1:4">
      <c r="A78" t="s">
        <v>26</v>
      </c>
      <c r="B78" t="s">
        <v>393</v>
      </c>
      <c r="C78" t="s">
        <v>1978</v>
      </c>
      <c r="D78" t="s">
        <v>51</v>
      </c>
    </row>
    <row r="79" spans="1:4">
      <c r="A79" t="s">
        <v>60</v>
      </c>
      <c r="B79" t="s">
        <v>393</v>
      </c>
      <c r="C79" t="s">
        <v>1979</v>
      </c>
      <c r="D79" t="s">
        <v>405</v>
      </c>
    </row>
    <row r="80" spans="1:4">
      <c r="A80" t="s">
        <v>60</v>
      </c>
      <c r="B80" t="s">
        <v>393</v>
      </c>
      <c r="C80" t="s">
        <v>1980</v>
      </c>
      <c r="D80" t="s">
        <v>407</v>
      </c>
    </row>
    <row r="81" spans="1:4">
      <c r="A81" t="s">
        <v>26</v>
      </c>
      <c r="B81" t="s">
        <v>393</v>
      </c>
      <c r="C81" t="s">
        <v>1981</v>
      </c>
      <c r="D81" t="s">
        <v>409</v>
      </c>
    </row>
    <row r="82" spans="1:4">
      <c r="A82" t="s">
        <v>60</v>
      </c>
      <c r="B82" t="s">
        <v>393</v>
      </c>
      <c r="C82" t="s">
        <v>1982</v>
      </c>
      <c r="D82" t="s">
        <v>59</v>
      </c>
    </row>
    <row r="83" spans="1:4">
      <c r="A83" t="s">
        <v>192</v>
      </c>
      <c r="B83" t="s">
        <v>393</v>
      </c>
      <c r="C83" t="s">
        <v>1983</v>
      </c>
      <c r="D83" t="s">
        <v>62</v>
      </c>
    </row>
    <row r="84" spans="1:4">
      <c r="A84" t="s">
        <v>192</v>
      </c>
      <c r="B84" t="s">
        <v>393</v>
      </c>
      <c r="C84" t="s">
        <v>1984</v>
      </c>
      <c r="D84" t="s">
        <v>64</v>
      </c>
    </row>
    <row r="85" spans="1:4">
      <c r="A85" t="s">
        <v>60</v>
      </c>
      <c r="B85" t="s">
        <v>393</v>
      </c>
      <c r="C85" t="s">
        <v>1985</v>
      </c>
      <c r="D85" t="s">
        <v>414</v>
      </c>
    </row>
    <row r="86" spans="1:4">
      <c r="A86" t="s">
        <v>60</v>
      </c>
      <c r="B86" t="s">
        <v>393</v>
      </c>
      <c r="C86" t="s">
        <v>1986</v>
      </c>
      <c r="D86" t="s">
        <v>68</v>
      </c>
    </row>
    <row r="87" spans="1:4">
      <c r="A87" t="s">
        <v>60</v>
      </c>
      <c r="B87" t="s">
        <v>393</v>
      </c>
      <c r="C87" t="s">
        <v>1987</v>
      </c>
      <c r="D87" t="s">
        <v>70</v>
      </c>
    </row>
    <row r="88" spans="1:4">
      <c r="A88" t="s">
        <v>26</v>
      </c>
      <c r="B88" t="s">
        <v>393</v>
      </c>
      <c r="C88" t="s">
        <v>1988</v>
      </c>
      <c r="D88" t="s">
        <v>418</v>
      </c>
    </row>
    <row r="89" spans="1:4">
      <c r="A89" t="s">
        <v>26</v>
      </c>
      <c r="B89" t="s">
        <v>393</v>
      </c>
      <c r="C89" t="s">
        <v>1989</v>
      </c>
      <c r="D89" t="s">
        <v>420</v>
      </c>
    </row>
    <row r="90" spans="1:4">
      <c r="A90" t="s">
        <v>19</v>
      </c>
      <c r="B90" t="s">
        <v>438</v>
      </c>
      <c r="C90" t="s">
        <v>1990</v>
      </c>
      <c r="D90" t="s">
        <v>440</v>
      </c>
    </row>
    <row r="91" spans="1:4">
      <c r="A91" t="s">
        <v>23</v>
      </c>
      <c r="B91" t="s">
        <v>438</v>
      </c>
      <c r="C91" t="s">
        <v>1991</v>
      </c>
      <c r="D91" t="s">
        <v>442</v>
      </c>
    </row>
    <row r="92" spans="1:4">
      <c r="A92" t="s">
        <v>26</v>
      </c>
      <c r="B92" t="s">
        <v>438</v>
      </c>
      <c r="C92" t="s">
        <v>1992</v>
      </c>
      <c r="D92" t="s">
        <v>444</v>
      </c>
    </row>
    <row r="93" spans="1:4">
      <c r="A93" t="s">
        <v>60</v>
      </c>
      <c r="B93" t="s">
        <v>438</v>
      </c>
      <c r="C93" t="s">
        <v>1993</v>
      </c>
      <c r="D93" t="s">
        <v>446</v>
      </c>
    </row>
    <row r="94" spans="1:4">
      <c r="A94" t="s">
        <v>60</v>
      </c>
      <c r="B94" t="s">
        <v>438</v>
      </c>
      <c r="C94" t="s">
        <v>1994</v>
      </c>
      <c r="D94" t="s">
        <v>448</v>
      </c>
    </row>
    <row r="95" spans="1:4">
      <c r="A95" t="s">
        <v>60</v>
      </c>
      <c r="B95" t="s">
        <v>438</v>
      </c>
      <c r="C95" t="s">
        <v>1995</v>
      </c>
      <c r="D95" t="s">
        <v>450</v>
      </c>
    </row>
    <row r="96" spans="1:4">
      <c r="A96" t="s">
        <v>60</v>
      </c>
      <c r="B96" t="s">
        <v>438</v>
      </c>
      <c r="C96" t="s">
        <v>1996</v>
      </c>
      <c r="D96" t="s">
        <v>452</v>
      </c>
    </row>
    <row r="97" spans="1:4">
      <c r="A97" t="s">
        <v>26</v>
      </c>
      <c r="B97" t="s">
        <v>438</v>
      </c>
      <c r="C97" t="s">
        <v>1997</v>
      </c>
      <c r="D97" t="s">
        <v>454</v>
      </c>
    </row>
    <row r="98" spans="1:4">
      <c r="A98" t="s">
        <v>60</v>
      </c>
      <c r="B98" t="s">
        <v>438</v>
      </c>
      <c r="C98" t="s">
        <v>1998</v>
      </c>
      <c r="D98" t="s">
        <v>456</v>
      </c>
    </row>
    <row r="99" spans="1:4">
      <c r="A99" t="s">
        <v>60</v>
      </c>
      <c r="B99" t="s">
        <v>438</v>
      </c>
      <c r="C99" t="s">
        <v>1999</v>
      </c>
      <c r="D99" t="s">
        <v>458</v>
      </c>
    </row>
    <row r="100" spans="1:4">
      <c r="A100" t="s">
        <v>60</v>
      </c>
      <c r="B100" t="s">
        <v>438</v>
      </c>
      <c r="C100" t="s">
        <v>2000</v>
      </c>
      <c r="D100" t="s">
        <v>460</v>
      </c>
    </row>
    <row r="101" spans="1:4">
      <c r="A101" t="s">
        <v>60</v>
      </c>
      <c r="B101" t="s">
        <v>438</v>
      </c>
      <c r="C101" t="s">
        <v>2001</v>
      </c>
      <c r="D101" t="s">
        <v>462</v>
      </c>
    </row>
    <row r="102" spans="1:4">
      <c r="A102" t="s">
        <v>60</v>
      </c>
      <c r="B102" t="s">
        <v>438</v>
      </c>
      <c r="C102" t="s">
        <v>2002</v>
      </c>
      <c r="D102" t="s">
        <v>464</v>
      </c>
    </row>
    <row r="103" spans="1:4">
      <c r="A103" t="s">
        <v>60</v>
      </c>
      <c r="B103" t="s">
        <v>438</v>
      </c>
      <c r="C103" t="s">
        <v>2003</v>
      </c>
      <c r="D103" t="s">
        <v>466</v>
      </c>
    </row>
    <row r="104" spans="1:4">
      <c r="A104" t="s">
        <v>60</v>
      </c>
      <c r="B104" t="s">
        <v>438</v>
      </c>
      <c r="C104" t="s">
        <v>2004</v>
      </c>
      <c r="D104" t="s">
        <v>468</v>
      </c>
    </row>
    <row r="105" spans="1:4">
      <c r="A105" t="s">
        <v>60</v>
      </c>
      <c r="B105" t="s">
        <v>438</v>
      </c>
      <c r="C105" t="s">
        <v>2005</v>
      </c>
      <c r="D105" t="s">
        <v>470</v>
      </c>
    </row>
    <row r="106" spans="1:4">
      <c r="A106" t="s">
        <v>60</v>
      </c>
      <c r="B106" t="s">
        <v>438</v>
      </c>
      <c r="C106" t="s">
        <v>2006</v>
      </c>
      <c r="D106" t="s">
        <v>472</v>
      </c>
    </row>
    <row r="107" spans="1:4">
      <c r="A107" t="s">
        <v>60</v>
      </c>
      <c r="B107" t="s">
        <v>438</v>
      </c>
      <c r="C107" t="s">
        <v>2007</v>
      </c>
      <c r="D107" t="s">
        <v>474</v>
      </c>
    </row>
    <row r="108" spans="1:4">
      <c r="A108" t="s">
        <v>60</v>
      </c>
      <c r="B108" t="s">
        <v>438</v>
      </c>
      <c r="C108" t="s">
        <v>2008</v>
      </c>
      <c r="D108" t="s">
        <v>476</v>
      </c>
    </row>
    <row r="109" spans="1:4">
      <c r="A109" t="s">
        <v>60</v>
      </c>
      <c r="B109" t="s">
        <v>438</v>
      </c>
      <c r="C109" t="s">
        <v>2009</v>
      </c>
      <c r="D109" t="s">
        <v>478</v>
      </c>
    </row>
    <row r="110" spans="1:4">
      <c r="A110" t="s">
        <v>60</v>
      </c>
      <c r="B110" t="s">
        <v>438</v>
      </c>
      <c r="C110" t="s">
        <v>2010</v>
      </c>
      <c r="D110" t="s">
        <v>480</v>
      </c>
    </row>
    <row r="111" spans="1:4">
      <c r="A111" t="s">
        <v>60</v>
      </c>
      <c r="B111" t="s">
        <v>438</v>
      </c>
      <c r="C111" t="s">
        <v>2011</v>
      </c>
      <c r="D111" t="s">
        <v>482</v>
      </c>
    </row>
    <row r="112" spans="1:4">
      <c r="A112" t="s">
        <v>26</v>
      </c>
      <c r="B112" t="s">
        <v>438</v>
      </c>
      <c r="C112" t="s">
        <v>2012</v>
      </c>
      <c r="D112" t="s">
        <v>484</v>
      </c>
    </row>
    <row r="113" spans="1:4">
      <c r="A113" t="s">
        <v>60</v>
      </c>
      <c r="B113" t="s">
        <v>438</v>
      </c>
      <c r="C113" t="s">
        <v>2013</v>
      </c>
      <c r="D113" t="s">
        <v>486</v>
      </c>
    </row>
    <row r="114" spans="1:4">
      <c r="A114" t="s">
        <v>60</v>
      </c>
      <c r="B114" t="s">
        <v>438</v>
      </c>
      <c r="C114" t="s">
        <v>2014</v>
      </c>
      <c r="D114" t="s">
        <v>488</v>
      </c>
    </row>
    <row r="115" spans="1:4">
      <c r="A115" t="s">
        <v>60</v>
      </c>
      <c r="B115" t="s">
        <v>438</v>
      </c>
      <c r="C115" t="s">
        <v>2015</v>
      </c>
      <c r="D115" t="s">
        <v>490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1990</v>
      </c>
      <c r="D2" t="s">
        <v>440</v>
      </c>
    </row>
    <row r="3" spans="1:19">
      <c r="A3" t="s">
        <v>19</v>
      </c>
      <c r="B3" t="s">
        <v>179</v>
      </c>
      <c r="C3" t="s">
        <v>1991</v>
      </c>
      <c r="D3" t="s">
        <v>442</v>
      </c>
    </row>
    <row r="4" spans="1:19">
      <c r="A4" t="s">
        <v>23</v>
      </c>
      <c r="B4" t="s">
        <v>179</v>
      </c>
      <c r="C4" t="s">
        <v>1992</v>
      </c>
      <c r="D4" t="s">
        <v>444</v>
      </c>
    </row>
    <row r="5" spans="1:19">
      <c r="A5" t="s">
        <v>26</v>
      </c>
      <c r="B5" t="s">
        <v>179</v>
      </c>
      <c r="C5" t="s">
        <v>1993</v>
      </c>
      <c r="D5" t="s">
        <v>446</v>
      </c>
    </row>
    <row r="6" spans="1:19">
      <c r="A6" t="s">
        <v>26</v>
      </c>
      <c r="B6" t="s">
        <v>179</v>
      </c>
      <c r="C6" t="s">
        <v>1994</v>
      </c>
      <c r="D6" t="s">
        <v>448</v>
      </c>
    </row>
    <row r="7" spans="1:19">
      <c r="A7" t="s">
        <v>26</v>
      </c>
      <c r="B7" t="s">
        <v>179</v>
      </c>
      <c r="C7" t="s">
        <v>1995</v>
      </c>
      <c r="D7" t="s">
        <v>450</v>
      </c>
    </row>
    <row r="8" spans="1:19">
      <c r="A8" t="s">
        <v>26</v>
      </c>
      <c r="B8" t="s">
        <v>179</v>
      </c>
      <c r="C8" t="s">
        <v>1996</v>
      </c>
      <c r="D8" t="s">
        <v>452</v>
      </c>
    </row>
    <row r="9" spans="1:19">
      <c r="A9" t="s">
        <v>23</v>
      </c>
      <c r="B9" t="s">
        <v>179</v>
      </c>
      <c r="C9" t="s">
        <v>1997</v>
      </c>
      <c r="D9" t="s">
        <v>454</v>
      </c>
    </row>
    <row r="10" spans="1:19">
      <c r="A10" t="s">
        <v>26</v>
      </c>
      <c r="B10" t="s">
        <v>179</v>
      </c>
      <c r="C10" t="s">
        <v>1998</v>
      </c>
      <c r="D10" t="s">
        <v>456</v>
      </c>
    </row>
    <row r="11" spans="1:19">
      <c r="A11" t="s">
        <v>26</v>
      </c>
      <c r="B11" t="s">
        <v>179</v>
      </c>
      <c r="C11" t="s">
        <v>1999</v>
      </c>
      <c r="D11" t="s">
        <v>458</v>
      </c>
    </row>
    <row r="12" spans="1:19">
      <c r="A12" t="s">
        <v>26</v>
      </c>
      <c r="B12" t="s">
        <v>179</v>
      </c>
      <c r="C12" t="s">
        <v>2000</v>
      </c>
      <c r="D12" t="s">
        <v>460</v>
      </c>
    </row>
    <row r="13" spans="1:19">
      <c r="A13" t="s">
        <v>26</v>
      </c>
      <c r="B13" t="s">
        <v>179</v>
      </c>
      <c r="C13" t="s">
        <v>2001</v>
      </c>
      <c r="D13" t="s">
        <v>462</v>
      </c>
    </row>
    <row r="14" spans="1:19">
      <c r="A14" t="s">
        <v>26</v>
      </c>
      <c r="B14" t="s">
        <v>179</v>
      </c>
      <c r="C14" t="s">
        <v>2002</v>
      </c>
      <c r="D14" t="s">
        <v>464</v>
      </c>
    </row>
    <row r="15" spans="1:19">
      <c r="A15" t="s">
        <v>26</v>
      </c>
      <c r="B15" t="s">
        <v>179</v>
      </c>
      <c r="C15" t="s">
        <v>2003</v>
      </c>
      <c r="D15" t="s">
        <v>466</v>
      </c>
    </row>
    <row r="16" spans="1:19">
      <c r="A16" t="s">
        <v>26</v>
      </c>
      <c r="B16" t="s">
        <v>179</v>
      </c>
      <c r="C16" t="s">
        <v>2004</v>
      </c>
      <c r="D16" t="s">
        <v>468</v>
      </c>
    </row>
    <row r="17" spans="1:4">
      <c r="A17" t="s">
        <v>26</v>
      </c>
      <c r="B17" t="s">
        <v>179</v>
      </c>
      <c r="C17" t="s">
        <v>2005</v>
      </c>
      <c r="D17" t="s">
        <v>470</v>
      </c>
    </row>
    <row r="18" spans="1:4">
      <c r="A18" t="s">
        <v>26</v>
      </c>
      <c r="B18" t="s">
        <v>179</v>
      </c>
      <c r="C18" t="s">
        <v>2006</v>
      </c>
      <c r="D18" t="s">
        <v>472</v>
      </c>
    </row>
    <row r="19" spans="1:4">
      <c r="A19" t="s">
        <v>26</v>
      </c>
      <c r="B19" t="s">
        <v>179</v>
      </c>
      <c r="C19" t="s">
        <v>2007</v>
      </c>
      <c r="D19" t="s">
        <v>474</v>
      </c>
    </row>
    <row r="20" spans="1:4">
      <c r="A20" t="s">
        <v>26</v>
      </c>
      <c r="B20" t="s">
        <v>179</v>
      </c>
      <c r="C20" t="s">
        <v>2008</v>
      </c>
      <c r="D20" t="s">
        <v>476</v>
      </c>
    </row>
    <row r="21" spans="1:4">
      <c r="A21" t="s">
        <v>26</v>
      </c>
      <c r="B21" t="s">
        <v>179</v>
      </c>
      <c r="C21" t="s">
        <v>2009</v>
      </c>
      <c r="D21" t="s">
        <v>478</v>
      </c>
    </row>
    <row r="22" spans="1:4">
      <c r="A22" t="s">
        <v>26</v>
      </c>
      <c r="B22" t="s">
        <v>179</v>
      </c>
      <c r="C22" t="s">
        <v>2010</v>
      </c>
      <c r="D22" t="s">
        <v>480</v>
      </c>
    </row>
    <row r="23" spans="1:4">
      <c r="A23" t="s">
        <v>26</v>
      </c>
      <c r="B23" t="s">
        <v>179</v>
      </c>
      <c r="C23" t="s">
        <v>2011</v>
      </c>
      <c r="D23" t="s">
        <v>482</v>
      </c>
    </row>
    <row r="24" spans="1:4">
      <c r="A24" t="s">
        <v>23</v>
      </c>
      <c r="B24" t="s">
        <v>179</v>
      </c>
      <c r="C24" t="s">
        <v>2012</v>
      </c>
      <c r="D24" t="s">
        <v>484</v>
      </c>
    </row>
    <row r="25" spans="1:4">
      <c r="A25" t="s">
        <v>26</v>
      </c>
      <c r="B25" t="s">
        <v>179</v>
      </c>
      <c r="C25" t="s">
        <v>2013</v>
      </c>
      <c r="D25" t="s">
        <v>486</v>
      </c>
    </row>
    <row r="26" spans="1:4">
      <c r="A26" t="s">
        <v>26</v>
      </c>
      <c r="B26" t="s">
        <v>179</v>
      </c>
      <c r="C26" t="s">
        <v>2014</v>
      </c>
      <c r="D26" t="s">
        <v>488</v>
      </c>
    </row>
    <row r="27" spans="1:4">
      <c r="A27" t="s">
        <v>26</v>
      </c>
      <c r="B27" t="s">
        <v>179</v>
      </c>
      <c r="C27" t="s">
        <v>2015</v>
      </c>
      <c r="D27" t="s">
        <v>490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8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2016</v>
      </c>
      <c r="D2" t="s">
        <v>22</v>
      </c>
      <c r="H2">
        <f t="shared" ref="H2:S2" si="0">H3+H6+H7</f>
        <v>-1448200000</v>
      </c>
      <c r="I2">
        <f t="shared" si="0"/>
        <v>-1511900000</v>
      </c>
      <c r="J2">
        <f t="shared" si="0"/>
        <v>-1582280000</v>
      </c>
      <c r="K2">
        <f t="shared" si="0"/>
        <v>-8.2667999999408e+18</v>
      </c>
      <c r="L2">
        <f t="shared" si="0"/>
        <v>-8.66999999993932e+18</v>
      </c>
      <c r="M2">
        <f t="shared" si="0"/>
        <v>-9.0827999999371e+18</v>
      </c>
      <c r="N2">
        <f t="shared" si="0"/>
        <v>-9.29279999993488e+18</v>
      </c>
      <c r="O2">
        <f t="shared" si="0"/>
        <v>-8.87519999993562e+18</v>
      </c>
      <c r="P2">
        <f t="shared" si="0"/>
        <v>-8.4671999999371e+18</v>
      </c>
      <c r="Q2">
        <f t="shared" si="0"/>
        <v>-8.26679999993118e+18</v>
      </c>
      <c r="R2">
        <f t="shared" si="0"/>
        <v>-8.06879999993192e+18</v>
      </c>
      <c r="S2">
        <f t="shared" si="0"/>
        <v>-9.0827999999297e+18</v>
      </c>
    </row>
    <row r="3" spans="1:19">
      <c r="A3" t="s">
        <v>23</v>
      </c>
      <c r="B3" t="s">
        <v>20</v>
      </c>
      <c r="C3" t="s">
        <v>2017</v>
      </c>
      <c r="D3" t="s">
        <v>25</v>
      </c>
      <c r="H3">
        <f t="shared" ref="H3:S3" si="1">H4+H5</f>
        <v>-1472000000</v>
      </c>
      <c r="I3">
        <f t="shared" si="1"/>
        <v>-1534000000</v>
      </c>
      <c r="J3">
        <f t="shared" si="1"/>
        <v>-1608800000</v>
      </c>
      <c r="K3">
        <f t="shared" si="1"/>
        <v>-8.266799999968e+18</v>
      </c>
      <c r="L3">
        <f t="shared" si="1"/>
        <v>-8.6699999999672e+18</v>
      </c>
      <c r="M3">
        <f t="shared" si="1"/>
        <v>-9.082799999966e+18</v>
      </c>
      <c r="N3">
        <f t="shared" si="1"/>
        <v>-9.2927999999648e+18</v>
      </c>
      <c r="O3">
        <f t="shared" si="1"/>
        <v>-8.8751999999652e+18</v>
      </c>
      <c r="P3">
        <f t="shared" si="1"/>
        <v>-8.467199999966e+18</v>
      </c>
      <c r="Q3">
        <f t="shared" si="1"/>
        <v>-8.2667999999628e+18</v>
      </c>
      <c r="R3">
        <f t="shared" si="1"/>
        <v>-8.0687999999632e+18</v>
      </c>
      <c r="S3">
        <f t="shared" si="1"/>
        <v>-9.082799999962e+18</v>
      </c>
    </row>
    <row r="4" spans="1:19">
      <c r="A4" t="s">
        <v>26</v>
      </c>
      <c r="B4" t="s">
        <v>20</v>
      </c>
      <c r="C4" t="s">
        <v>2018</v>
      </c>
      <c r="D4" t="s">
        <v>28</v>
      </c>
      <c r="H4">
        <f t="shared" ref="H4:S4" si="2">H105-H140</f>
        <v>-1500000000</v>
      </c>
      <c r="I4">
        <f t="shared" si="2"/>
        <v>-1560000000</v>
      </c>
      <c r="J4">
        <f t="shared" si="2"/>
        <v>-1640000000</v>
      </c>
      <c r="K4">
        <f t="shared" si="2"/>
        <v>-8.2668e+18</v>
      </c>
      <c r="L4">
        <f t="shared" si="2"/>
        <v>-8.67e+18</v>
      </c>
      <c r="M4">
        <f t="shared" si="2"/>
        <v>-9.0828e+18</v>
      </c>
      <c r="N4">
        <f t="shared" si="2"/>
        <v>-9.2928e+18</v>
      </c>
      <c r="O4">
        <f t="shared" si="2"/>
        <v>-8.8752e+18</v>
      </c>
      <c r="P4">
        <f t="shared" si="2"/>
        <v>-8.4672e+18</v>
      </c>
      <c r="Q4">
        <f t="shared" si="2"/>
        <v>-8.2668e+18</v>
      </c>
      <c r="R4">
        <f t="shared" si="2"/>
        <v>-8.0688e+18</v>
      </c>
      <c r="S4">
        <f t="shared" si="2"/>
        <v>-9.0828e+18</v>
      </c>
    </row>
    <row r="5" spans="1:19">
      <c r="A5" t="s">
        <v>26</v>
      </c>
      <c r="B5" t="s">
        <v>20</v>
      </c>
      <c r="C5" t="s">
        <v>2019</v>
      </c>
      <c r="D5" t="s">
        <v>30</v>
      </c>
      <c r="H5">
        <f t="shared" ref="H5:S5" si="3">H191-H179</f>
        <v>28000000</v>
      </c>
      <c r="I5">
        <f t="shared" si="3"/>
        <v>26000000</v>
      </c>
      <c r="J5">
        <f t="shared" si="3"/>
        <v>31200000</v>
      </c>
      <c r="K5">
        <f t="shared" si="3"/>
        <v>32000000</v>
      </c>
      <c r="L5">
        <f t="shared" si="3"/>
        <v>32800000</v>
      </c>
      <c r="M5">
        <f t="shared" si="3"/>
        <v>34000000</v>
      </c>
      <c r="N5">
        <f t="shared" si="3"/>
        <v>35200000</v>
      </c>
      <c r="O5">
        <f t="shared" si="3"/>
        <v>34800000</v>
      </c>
      <c r="P5">
        <f t="shared" si="3"/>
        <v>34000000</v>
      </c>
      <c r="Q5">
        <f t="shared" si="3"/>
        <v>37200000</v>
      </c>
      <c r="R5">
        <f t="shared" si="3"/>
        <v>36800000</v>
      </c>
      <c r="S5">
        <f t="shared" si="3"/>
        <v>38000000</v>
      </c>
    </row>
    <row r="6" spans="1:19">
      <c r="A6" t="s">
        <v>23</v>
      </c>
      <c r="B6" t="s">
        <v>20</v>
      </c>
      <c r="C6" t="s">
        <v>2020</v>
      </c>
      <c r="D6" t="s">
        <v>32</v>
      </c>
      <c r="H6">
        <f t="shared" ref="H6:S6" si="4">H205-H207</f>
        <v>23800000</v>
      </c>
      <c r="I6">
        <f t="shared" si="4"/>
        <v>22100000</v>
      </c>
      <c r="J6">
        <f t="shared" si="4"/>
        <v>26520000</v>
      </c>
      <c r="K6">
        <f t="shared" si="4"/>
        <v>27200000</v>
      </c>
      <c r="L6">
        <f t="shared" si="4"/>
        <v>27880000</v>
      </c>
      <c r="M6">
        <f t="shared" si="4"/>
        <v>28900000</v>
      </c>
      <c r="N6">
        <f t="shared" si="4"/>
        <v>29920000</v>
      </c>
      <c r="O6">
        <f t="shared" si="4"/>
        <v>29580000</v>
      </c>
      <c r="P6">
        <f t="shared" si="4"/>
        <v>28900000</v>
      </c>
      <c r="Q6">
        <f t="shared" si="4"/>
        <v>31620000</v>
      </c>
      <c r="R6">
        <f t="shared" si="4"/>
        <v>31280000</v>
      </c>
      <c r="S6">
        <f t="shared" si="4"/>
        <v>32300000</v>
      </c>
    </row>
    <row r="7" spans="1:19">
      <c r="A7" t="s">
        <v>23</v>
      </c>
      <c r="B7" t="s">
        <v>20</v>
      </c>
      <c r="C7" t="s">
        <v>2021</v>
      </c>
      <c r="D7" t="s">
        <v>34</v>
      </c>
      <c r="H7">
        <f t="shared" ref="H7:S7" si="5">H209+H239</f>
        <v>0</v>
      </c>
      <c r="I7">
        <f t="shared" si="5"/>
        <v>0</v>
      </c>
      <c r="J7">
        <f t="shared" si="5"/>
        <v>0</v>
      </c>
      <c r="K7">
        <f t="shared" si="5"/>
        <v>0</v>
      </c>
      <c r="L7">
        <f t="shared" si="5"/>
        <v>0</v>
      </c>
      <c r="M7">
        <f t="shared" si="5"/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</row>
    <row r="8" spans="1:19">
      <c r="A8" t="s">
        <v>19</v>
      </c>
      <c r="B8" t="s">
        <v>35</v>
      </c>
      <c r="C8" t="s">
        <v>2022</v>
      </c>
      <c r="D8" t="s">
        <v>37</v>
      </c>
      <c r="H8">
        <v>35000000</v>
      </c>
      <c r="I8">
        <v>32500000</v>
      </c>
      <c r="J8">
        <v>39000000</v>
      </c>
      <c r="K8">
        <v>40000000</v>
      </c>
      <c r="L8">
        <v>41000000</v>
      </c>
      <c r="M8">
        <v>42500000</v>
      </c>
      <c r="N8">
        <v>44000000</v>
      </c>
      <c r="O8">
        <v>43500000</v>
      </c>
      <c r="P8">
        <v>42500000</v>
      </c>
      <c r="Q8">
        <v>46500000</v>
      </c>
      <c r="R8">
        <v>46000000</v>
      </c>
      <c r="S8">
        <v>47500000</v>
      </c>
    </row>
    <row r="9" spans="1:19">
      <c r="A9" t="s">
        <v>19</v>
      </c>
      <c r="B9" t="s">
        <v>20</v>
      </c>
      <c r="C9" t="s">
        <v>2023</v>
      </c>
      <c r="D9" t="s">
        <v>39</v>
      </c>
      <c r="H9">
        <f t="shared" ref="H9:S9" si="6">H2-H8</f>
        <v>-1483200000</v>
      </c>
      <c r="I9">
        <f t="shared" si="6"/>
        <v>-1544400000</v>
      </c>
      <c r="J9">
        <f t="shared" si="6"/>
        <v>-1621280000</v>
      </c>
      <c r="K9">
        <f t="shared" si="6"/>
        <v>-8.2667999999808e+18</v>
      </c>
      <c r="L9">
        <f t="shared" si="6"/>
        <v>-8.66999999998032e+18</v>
      </c>
      <c r="M9">
        <f t="shared" si="6"/>
        <v>-9.0827999999796e+18</v>
      </c>
      <c r="N9">
        <f t="shared" si="6"/>
        <v>-9.29279999997888e+18</v>
      </c>
      <c r="O9">
        <f t="shared" si="6"/>
        <v>-8.87519999997912e+18</v>
      </c>
      <c r="P9">
        <f t="shared" si="6"/>
        <v>-8.4671999999796e+18</v>
      </c>
      <c r="Q9">
        <f t="shared" si="6"/>
        <v>-8.26679999997768e+18</v>
      </c>
      <c r="R9">
        <f t="shared" si="6"/>
        <v>-8.06879999997792e+18</v>
      </c>
      <c r="S9">
        <f t="shared" si="6"/>
        <v>-9.0827999999772e+18</v>
      </c>
    </row>
    <row r="10" spans="1:19">
      <c r="A10" t="s">
        <v>19</v>
      </c>
      <c r="B10" t="s">
        <v>35</v>
      </c>
      <c r="C10" t="s">
        <v>2024</v>
      </c>
      <c r="D10" t="s">
        <v>41</v>
      </c>
    </row>
    <row r="11" spans="1:19">
      <c r="A11" t="s">
        <v>19</v>
      </c>
      <c r="B11" t="s">
        <v>35</v>
      </c>
      <c r="C11" t="s">
        <v>2025</v>
      </c>
      <c r="D11" t="s">
        <v>43</v>
      </c>
      <c r="H11">
        <f t="shared" ref="H11:S11" si="7">H12+H15+H18+H25+H26</f>
        <v>0</v>
      </c>
      <c r="I11">
        <f t="shared" si="7"/>
        <v>0</v>
      </c>
      <c r="J11">
        <f t="shared" si="7"/>
        <v>0</v>
      </c>
      <c r="K11">
        <f t="shared" si="7"/>
        <v>0</v>
      </c>
      <c r="L11">
        <f t="shared" si="7"/>
        <v>0</v>
      </c>
      <c r="M11">
        <f t="shared" si="7"/>
        <v>0</v>
      </c>
      <c r="N11">
        <f t="shared" si="7"/>
        <v>0</v>
      </c>
      <c r="O11">
        <f t="shared" si="7"/>
        <v>0</v>
      </c>
      <c r="P11">
        <f t="shared" si="7"/>
        <v>0</v>
      </c>
      <c r="Q11">
        <f t="shared" si="7"/>
        <v>0</v>
      </c>
      <c r="R11">
        <f t="shared" si="7"/>
        <v>0</v>
      </c>
      <c r="S11">
        <f t="shared" si="7"/>
        <v>0</v>
      </c>
    </row>
    <row r="12" spans="1:19">
      <c r="A12" t="s">
        <v>23</v>
      </c>
      <c r="B12" t="s">
        <v>35</v>
      </c>
      <c r="C12" t="s">
        <v>2026</v>
      </c>
      <c r="D12" t="s">
        <v>45</v>
      </c>
      <c r="H12">
        <f t="shared" ref="H12:S12" si="8">H13+H14</f>
        <v>0</v>
      </c>
      <c r="I12">
        <f t="shared" si="8"/>
        <v>0</v>
      </c>
      <c r="J12">
        <f t="shared" si="8"/>
        <v>0</v>
      </c>
      <c r="K12">
        <f t="shared" si="8"/>
        <v>0</v>
      </c>
      <c r="L12">
        <f t="shared" si="8"/>
        <v>0</v>
      </c>
      <c r="M12">
        <f t="shared" si="8"/>
        <v>0</v>
      </c>
      <c r="N12">
        <f t="shared" si="8"/>
        <v>0</v>
      </c>
      <c r="O12">
        <f t="shared" si="8"/>
        <v>0</v>
      </c>
      <c r="P12">
        <f t="shared" si="8"/>
        <v>0</v>
      </c>
      <c r="Q12">
        <f t="shared" si="8"/>
        <v>0</v>
      </c>
      <c r="R12">
        <f t="shared" si="8"/>
        <v>0</v>
      </c>
      <c r="S12">
        <f t="shared" si="8"/>
        <v>0</v>
      </c>
    </row>
    <row r="13" spans="1:19">
      <c r="A13" t="s">
        <v>26</v>
      </c>
      <c r="B13" t="s">
        <v>35</v>
      </c>
      <c r="C13" t="s">
        <v>2027</v>
      </c>
      <c r="D13" t="s">
        <v>47</v>
      </c>
    </row>
    <row r="14" spans="1:19">
      <c r="A14" t="s">
        <v>26</v>
      </c>
      <c r="B14" t="s">
        <v>35</v>
      </c>
      <c r="C14" t="s">
        <v>2028</v>
      </c>
      <c r="D14" t="s">
        <v>49</v>
      </c>
    </row>
    <row r="15" spans="1:19">
      <c r="A15" t="s">
        <v>23</v>
      </c>
      <c r="B15" t="s">
        <v>35</v>
      </c>
      <c r="C15" t="s">
        <v>2029</v>
      </c>
      <c r="D15" t="s">
        <v>51</v>
      </c>
      <c r="H15">
        <f t="shared" ref="H15:S15" si="9">H16+H17</f>
        <v>0</v>
      </c>
      <c r="I15">
        <f t="shared" si="9"/>
        <v>0</v>
      </c>
      <c r="J15">
        <f t="shared" si="9"/>
        <v>0</v>
      </c>
      <c r="K15">
        <f t="shared" si="9"/>
        <v>0</v>
      </c>
      <c r="L15">
        <f t="shared" si="9"/>
        <v>0</v>
      </c>
      <c r="M15">
        <f t="shared" si="9"/>
        <v>0</v>
      </c>
      <c r="N15">
        <f t="shared" si="9"/>
        <v>0</v>
      </c>
      <c r="O15">
        <f t="shared" si="9"/>
        <v>0</v>
      </c>
      <c r="P15">
        <f t="shared" si="9"/>
        <v>0</v>
      </c>
      <c r="Q15">
        <f t="shared" si="9"/>
        <v>0</v>
      </c>
      <c r="R15">
        <f t="shared" si="9"/>
        <v>0</v>
      </c>
      <c r="S15">
        <f t="shared" si="9"/>
        <v>0</v>
      </c>
    </row>
    <row r="16" spans="1:19">
      <c r="A16" t="s">
        <v>26</v>
      </c>
      <c r="B16" t="s">
        <v>35</v>
      </c>
      <c r="C16" t="s">
        <v>2030</v>
      </c>
      <c r="D16" t="s">
        <v>53</v>
      </c>
    </row>
    <row r="17" spans="1:19">
      <c r="A17" t="s">
        <v>26</v>
      </c>
      <c r="B17" t="s">
        <v>35</v>
      </c>
      <c r="C17" t="s">
        <v>2031</v>
      </c>
      <c r="D17" t="s">
        <v>55</v>
      </c>
    </row>
    <row r="18" spans="1:19">
      <c r="A18" t="s">
        <v>23</v>
      </c>
      <c r="B18" t="s">
        <v>35</v>
      </c>
      <c r="C18" t="s">
        <v>2032</v>
      </c>
      <c r="D18" t="s">
        <v>57</v>
      </c>
      <c r="H18">
        <f t="shared" ref="H18:S18" si="10">H19+H22+H23+H24</f>
        <v>0</v>
      </c>
      <c r="I18">
        <f t="shared" si="10"/>
        <v>0</v>
      </c>
      <c r="J18">
        <f t="shared" si="10"/>
        <v>0</v>
      </c>
      <c r="K18">
        <f t="shared" si="10"/>
        <v>0</v>
      </c>
      <c r="L18">
        <f t="shared" si="10"/>
        <v>0</v>
      </c>
      <c r="M18">
        <f t="shared" si="10"/>
        <v>0</v>
      </c>
      <c r="N18">
        <f t="shared" si="10"/>
        <v>0</v>
      </c>
      <c r="O18">
        <f t="shared" si="10"/>
        <v>0</v>
      </c>
      <c r="P18">
        <f t="shared" si="10"/>
        <v>0</v>
      </c>
      <c r="Q18">
        <f t="shared" si="10"/>
        <v>0</v>
      </c>
      <c r="R18">
        <f t="shared" si="10"/>
        <v>0</v>
      </c>
      <c r="S18">
        <f t="shared" si="10"/>
        <v>0</v>
      </c>
    </row>
    <row r="19" spans="1:19">
      <c r="A19" t="s">
        <v>26</v>
      </c>
      <c r="B19" t="s">
        <v>35</v>
      </c>
      <c r="C19" t="s">
        <v>2033</v>
      </c>
      <c r="D19" t="s">
        <v>59</v>
      </c>
      <c r="H19">
        <f t="shared" ref="H19:S19" si="11">H20+H21</f>
        <v>0</v>
      </c>
      <c r="I19">
        <f t="shared" si="11"/>
        <v>0</v>
      </c>
      <c r="J19">
        <f t="shared" si="11"/>
        <v>0</v>
      </c>
      <c r="K19">
        <f t="shared" si="11"/>
        <v>0</v>
      </c>
      <c r="L19">
        <f t="shared" si="11"/>
        <v>0</v>
      </c>
      <c r="M19">
        <f t="shared" si="11"/>
        <v>0</v>
      </c>
      <c r="N19">
        <f t="shared" si="11"/>
        <v>0</v>
      </c>
      <c r="O19">
        <f t="shared" si="11"/>
        <v>0</v>
      </c>
      <c r="P19">
        <f t="shared" si="11"/>
        <v>0</v>
      </c>
      <c r="Q19">
        <f t="shared" si="11"/>
        <v>0</v>
      </c>
      <c r="R19">
        <f t="shared" si="11"/>
        <v>0</v>
      </c>
      <c r="S19">
        <f t="shared" si="11"/>
        <v>0</v>
      </c>
    </row>
    <row r="20" spans="1:19">
      <c r="A20" t="s">
        <v>60</v>
      </c>
      <c r="B20" t="s">
        <v>35</v>
      </c>
      <c r="C20" t="s">
        <v>2034</v>
      </c>
      <c r="D20" t="s">
        <v>62</v>
      </c>
    </row>
    <row r="21" spans="1:19">
      <c r="A21" t="s">
        <v>60</v>
      </c>
      <c r="B21" t="s">
        <v>35</v>
      </c>
      <c r="C21" t="s">
        <v>2035</v>
      </c>
      <c r="D21" t="s">
        <v>64</v>
      </c>
    </row>
    <row r="22" spans="1:19">
      <c r="A22" t="s">
        <v>26</v>
      </c>
      <c r="B22" t="s">
        <v>35</v>
      </c>
      <c r="C22" t="s">
        <v>2036</v>
      </c>
      <c r="D22" t="s">
        <v>66</v>
      </c>
    </row>
    <row r="23" spans="1:19">
      <c r="A23" t="s">
        <v>26</v>
      </c>
      <c r="B23" t="s">
        <v>35</v>
      </c>
      <c r="C23" t="s">
        <v>2037</v>
      </c>
      <c r="D23" t="s">
        <v>68</v>
      </c>
    </row>
    <row r="24" spans="1:19">
      <c r="A24" t="s">
        <v>26</v>
      </c>
      <c r="B24" t="s">
        <v>35</v>
      </c>
      <c r="C24" t="s">
        <v>2038</v>
      </c>
      <c r="D24" t="s">
        <v>70</v>
      </c>
    </row>
    <row r="25" spans="1:19">
      <c r="A25" t="s">
        <v>23</v>
      </c>
      <c r="B25" t="s">
        <v>35</v>
      </c>
      <c r="C25" t="s">
        <v>2039</v>
      </c>
      <c r="D25" t="s">
        <v>72</v>
      </c>
    </row>
    <row r="26" spans="1:19">
      <c r="A26" t="s">
        <v>23</v>
      </c>
      <c r="B26" t="s">
        <v>35</v>
      </c>
      <c r="C26" t="s">
        <v>2040</v>
      </c>
      <c r="D26" t="s">
        <v>74</v>
      </c>
    </row>
    <row r="27" spans="1:19">
      <c r="A27" t="s">
        <v>19</v>
      </c>
      <c r="B27" t="s">
        <v>20</v>
      </c>
      <c r="C27" t="s">
        <v>2041</v>
      </c>
      <c r="D27" t="s">
        <v>76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  <row r="28" spans="1:19">
      <c r="A28" t="s">
        <v>19</v>
      </c>
      <c r="B28" t="s">
        <v>77</v>
      </c>
      <c r="C28" t="s">
        <v>2042</v>
      </c>
      <c r="D28" t="s">
        <v>79</v>
      </c>
      <c r="H28">
        <f t="shared" ref="H28:S28" si="12">H9-H10-H11+H27</f>
        <v>-1481800000</v>
      </c>
      <c r="I28">
        <f t="shared" si="12"/>
        <v>-1543100000</v>
      </c>
      <c r="J28">
        <f t="shared" si="12"/>
        <v>-1619720000</v>
      </c>
      <c r="K28">
        <f t="shared" si="12"/>
        <v>-8.2667999999792e+18</v>
      </c>
      <c r="L28">
        <f t="shared" si="12"/>
        <v>-8.66999999997868e+18</v>
      </c>
      <c r="M28">
        <f t="shared" si="12"/>
        <v>-9.0827999999779e+18</v>
      </c>
      <c r="N28">
        <f t="shared" si="12"/>
        <v>-9.29279999997712e+18</v>
      </c>
      <c r="O28">
        <f t="shared" si="12"/>
        <v>-8.87519999997738e+18</v>
      </c>
      <c r="P28">
        <f t="shared" si="12"/>
        <v>-8.4671999999779e+18</v>
      </c>
      <c r="Q28">
        <f t="shared" si="12"/>
        <v>-8.26679999997582e+18</v>
      </c>
      <c r="R28">
        <f t="shared" si="12"/>
        <v>-8.06879999997608e+18</v>
      </c>
      <c r="S28">
        <f t="shared" si="12"/>
        <v>-9.0827999999753e+18</v>
      </c>
    </row>
    <row r="29" spans="1:19">
      <c r="A29" t="s">
        <v>19</v>
      </c>
      <c r="B29" t="s">
        <v>35</v>
      </c>
      <c r="C29" t="s">
        <v>2043</v>
      </c>
      <c r="D29" t="s">
        <v>81</v>
      </c>
      <c r="H29">
        <v>2800000</v>
      </c>
      <c r="I29">
        <v>2600000</v>
      </c>
      <c r="J29">
        <v>3120000</v>
      </c>
      <c r="K29">
        <v>3200000</v>
      </c>
      <c r="L29">
        <v>3280000</v>
      </c>
      <c r="M29">
        <v>3400000</v>
      </c>
      <c r="N29">
        <v>3520000</v>
      </c>
      <c r="O29">
        <v>3480000</v>
      </c>
      <c r="P29">
        <v>3400000</v>
      </c>
      <c r="Q29">
        <v>3720000</v>
      </c>
      <c r="R29">
        <v>3680000</v>
      </c>
      <c r="S29">
        <v>3800000</v>
      </c>
    </row>
    <row r="30" spans="1:19">
      <c r="A30" t="s">
        <v>19</v>
      </c>
      <c r="B30" t="s">
        <v>77</v>
      </c>
      <c r="C30" t="s">
        <v>2044</v>
      </c>
      <c r="D30" t="s">
        <v>83</v>
      </c>
      <c r="H30">
        <f t="shared" ref="H30:S30" si="13">H28-H29</f>
        <v>-1484600000</v>
      </c>
      <c r="I30">
        <f t="shared" si="13"/>
        <v>-1545700000</v>
      </c>
      <c r="J30">
        <f t="shared" si="13"/>
        <v>-1622840000</v>
      </c>
      <c r="K30">
        <f t="shared" si="13"/>
        <v>-8.2667999999824e+18</v>
      </c>
      <c r="L30">
        <f t="shared" si="13"/>
        <v>-8.66999999998196e+18</v>
      </c>
      <c r="M30">
        <f t="shared" si="13"/>
        <v>-9.0827999999813e+18</v>
      </c>
      <c r="N30">
        <f t="shared" si="13"/>
        <v>-9.29279999998064e+18</v>
      </c>
      <c r="O30">
        <f t="shared" si="13"/>
        <v>-8.87519999998086e+18</v>
      </c>
      <c r="P30">
        <f t="shared" si="13"/>
        <v>-8.4671999999813e+18</v>
      </c>
      <c r="Q30">
        <f t="shared" si="13"/>
        <v>-8.26679999997954e+18</v>
      </c>
      <c r="R30">
        <f t="shared" si="13"/>
        <v>-8.06879999997976e+18</v>
      </c>
      <c r="S30">
        <f t="shared" si="13"/>
        <v>-9.0827999999791e+18</v>
      </c>
    </row>
    <row r="31" spans="1:19">
      <c r="A31" t="s">
        <v>19</v>
      </c>
      <c r="B31" t="s">
        <v>84</v>
      </c>
      <c r="C31" t="s">
        <v>2045</v>
      </c>
      <c r="D31" t="s">
        <v>1466</v>
      </c>
      <c r="H31">
        <f t="shared" ref="H31:S31" si="14">H32</f>
        <v>0</v>
      </c>
      <c r="I31">
        <f t="shared" si="14"/>
        <v>0</v>
      </c>
      <c r="J31">
        <f t="shared" si="14"/>
        <v>0</v>
      </c>
      <c r="K31">
        <f t="shared" si="14"/>
        <v>0</v>
      </c>
      <c r="L31">
        <f t="shared" si="14"/>
        <v>0</v>
      </c>
      <c r="M31">
        <f t="shared" si="14"/>
        <v>0</v>
      </c>
      <c r="N31">
        <f t="shared" si="14"/>
        <v>0</v>
      </c>
      <c r="O31">
        <f t="shared" si="14"/>
        <v>0</v>
      </c>
      <c r="P31">
        <f t="shared" si="14"/>
        <v>0</v>
      </c>
      <c r="Q31">
        <f t="shared" si="14"/>
        <v>0</v>
      </c>
      <c r="R31">
        <f t="shared" si="14"/>
        <v>0</v>
      </c>
      <c r="S31">
        <f t="shared" si="14"/>
        <v>0</v>
      </c>
    </row>
    <row r="32" spans="1:19">
      <c r="A32" t="s">
        <v>23</v>
      </c>
      <c r="B32" t="s">
        <v>84</v>
      </c>
      <c r="C32" t="s">
        <v>2046</v>
      </c>
      <c r="D32" t="s">
        <v>117</v>
      </c>
      <c r="H32">
        <f t="shared" ref="H32:S32" si="15">H33</f>
        <v>0</v>
      </c>
      <c r="I32">
        <f t="shared" si="15"/>
        <v>0</v>
      </c>
      <c r="J32">
        <f t="shared" si="15"/>
        <v>0</v>
      </c>
      <c r="K32">
        <f t="shared" si="15"/>
        <v>0</v>
      </c>
      <c r="L32">
        <f t="shared" si="15"/>
        <v>0</v>
      </c>
      <c r="M32">
        <f t="shared" si="15"/>
        <v>0</v>
      </c>
      <c r="N32">
        <f t="shared" si="15"/>
        <v>0</v>
      </c>
      <c r="O32">
        <f t="shared" si="15"/>
        <v>0</v>
      </c>
      <c r="P32">
        <f t="shared" si="15"/>
        <v>0</v>
      </c>
      <c r="Q32">
        <f t="shared" si="15"/>
        <v>0</v>
      </c>
      <c r="R32">
        <f t="shared" si="15"/>
        <v>0</v>
      </c>
      <c r="S32">
        <f t="shared" si="15"/>
        <v>0</v>
      </c>
    </row>
    <row r="33" spans="1:19">
      <c r="A33" t="s">
        <v>26</v>
      </c>
      <c r="B33" t="s">
        <v>84</v>
      </c>
      <c r="C33" t="s">
        <v>2047</v>
      </c>
      <c r="D33" t="s">
        <v>96</v>
      </c>
    </row>
    <row r="34" spans="1:19">
      <c r="A34" t="s">
        <v>19</v>
      </c>
      <c r="B34" t="s">
        <v>113</v>
      </c>
      <c r="C34" t="s">
        <v>2048</v>
      </c>
      <c r="D34" t="s">
        <v>115</v>
      </c>
      <c r="H34">
        <f t="shared" ref="H34:S34" si="16">H35</f>
        <v>0</v>
      </c>
      <c r="I34">
        <f t="shared" si="16"/>
        <v>0</v>
      </c>
      <c r="J34">
        <f t="shared" si="16"/>
        <v>0</v>
      </c>
      <c r="K34">
        <f t="shared" si="16"/>
        <v>0</v>
      </c>
      <c r="L34">
        <f t="shared" si="16"/>
        <v>0</v>
      </c>
      <c r="M34">
        <f t="shared" si="16"/>
        <v>0</v>
      </c>
      <c r="N34">
        <f t="shared" si="16"/>
        <v>0</v>
      </c>
      <c r="O34">
        <f t="shared" si="16"/>
        <v>0</v>
      </c>
      <c r="P34">
        <f t="shared" si="16"/>
        <v>0</v>
      </c>
      <c r="Q34">
        <f t="shared" si="16"/>
        <v>0</v>
      </c>
      <c r="R34">
        <f t="shared" si="16"/>
        <v>0</v>
      </c>
      <c r="S34">
        <f t="shared" si="16"/>
        <v>0</v>
      </c>
    </row>
    <row r="35" spans="1:19">
      <c r="A35" t="s">
        <v>23</v>
      </c>
      <c r="B35" t="s">
        <v>113</v>
      </c>
      <c r="C35" t="s">
        <v>2049</v>
      </c>
      <c r="D35" t="s">
        <v>117</v>
      </c>
      <c r="H35">
        <f t="shared" ref="H35:S35" si="17">H36</f>
        <v>0</v>
      </c>
      <c r="I35">
        <f t="shared" si="17"/>
        <v>0</v>
      </c>
      <c r="J35">
        <f t="shared" si="17"/>
        <v>0</v>
      </c>
      <c r="K35">
        <f t="shared" si="17"/>
        <v>0</v>
      </c>
      <c r="L35">
        <f t="shared" si="17"/>
        <v>0</v>
      </c>
      <c r="M35">
        <f t="shared" si="17"/>
        <v>0</v>
      </c>
      <c r="N35">
        <f t="shared" si="17"/>
        <v>0</v>
      </c>
      <c r="O35">
        <f t="shared" si="17"/>
        <v>0</v>
      </c>
      <c r="P35">
        <f t="shared" si="17"/>
        <v>0</v>
      </c>
      <c r="Q35">
        <f t="shared" si="17"/>
        <v>0</v>
      </c>
      <c r="R35">
        <f t="shared" si="17"/>
        <v>0</v>
      </c>
      <c r="S35">
        <f t="shared" si="17"/>
        <v>0</v>
      </c>
    </row>
    <row r="36" spans="1:19">
      <c r="A36" t="s">
        <v>26</v>
      </c>
      <c r="B36" t="s">
        <v>113</v>
      </c>
      <c r="C36" t="s">
        <v>2050</v>
      </c>
      <c r="D36" t="s">
        <v>96</v>
      </c>
    </row>
    <row r="37" spans="1:19">
      <c r="A37" t="s">
        <v>19</v>
      </c>
      <c r="B37" t="s">
        <v>84</v>
      </c>
      <c r="C37" t="s">
        <v>2051</v>
      </c>
      <c r="D37" t="s">
        <v>2052</v>
      </c>
      <c r="H37">
        <f t="shared" ref="H37:S37" si="18">H38+H39</f>
        <v>0</v>
      </c>
      <c r="I37">
        <f t="shared" si="18"/>
        <v>0</v>
      </c>
      <c r="J37">
        <f t="shared" si="18"/>
        <v>0</v>
      </c>
      <c r="K37">
        <f t="shared" si="18"/>
        <v>0</v>
      </c>
      <c r="L37">
        <f t="shared" si="18"/>
        <v>0</v>
      </c>
      <c r="M37">
        <f t="shared" si="18"/>
        <v>0</v>
      </c>
      <c r="N37">
        <f t="shared" si="18"/>
        <v>0</v>
      </c>
      <c r="O37">
        <f t="shared" si="18"/>
        <v>0</v>
      </c>
      <c r="P37">
        <f t="shared" si="18"/>
        <v>0</v>
      </c>
      <c r="Q37">
        <f t="shared" si="18"/>
        <v>0</v>
      </c>
      <c r="R37">
        <f t="shared" si="18"/>
        <v>0</v>
      </c>
      <c r="S37">
        <f t="shared" si="18"/>
        <v>0</v>
      </c>
    </row>
    <row r="38" spans="1:19">
      <c r="A38" t="s">
        <v>23</v>
      </c>
      <c r="B38" t="s">
        <v>84</v>
      </c>
      <c r="C38" t="s">
        <v>2053</v>
      </c>
      <c r="D38" t="s">
        <v>2054</v>
      </c>
    </row>
    <row r="39" spans="1:19">
      <c r="A39" t="s">
        <v>23</v>
      </c>
      <c r="B39" t="s">
        <v>84</v>
      </c>
      <c r="C39" t="s">
        <v>2055</v>
      </c>
      <c r="D39" t="s">
        <v>2056</v>
      </c>
    </row>
    <row r="40" spans="1:19">
      <c r="A40" t="s">
        <v>19</v>
      </c>
      <c r="B40" t="s">
        <v>113</v>
      </c>
      <c r="C40" t="s">
        <v>2057</v>
      </c>
      <c r="D40" t="s">
        <v>2058</v>
      </c>
      <c r="H40">
        <f t="shared" ref="H40:S40" si="19">H41+H42</f>
        <v>0</v>
      </c>
      <c r="I40">
        <f t="shared" si="19"/>
        <v>0</v>
      </c>
      <c r="J40">
        <f t="shared" si="19"/>
        <v>0</v>
      </c>
      <c r="K40">
        <f t="shared" si="19"/>
        <v>0</v>
      </c>
      <c r="L40">
        <f t="shared" si="19"/>
        <v>0</v>
      </c>
      <c r="M40">
        <f t="shared" si="19"/>
        <v>0</v>
      </c>
      <c r="N40">
        <f t="shared" si="19"/>
        <v>0</v>
      </c>
      <c r="O40">
        <f t="shared" si="19"/>
        <v>0</v>
      </c>
      <c r="P40">
        <f t="shared" si="19"/>
        <v>0</v>
      </c>
      <c r="Q40">
        <f t="shared" si="19"/>
        <v>0</v>
      </c>
      <c r="R40">
        <f t="shared" si="19"/>
        <v>0</v>
      </c>
      <c r="S40">
        <f t="shared" si="19"/>
        <v>0</v>
      </c>
    </row>
    <row r="41" spans="1:19">
      <c r="A41" t="s">
        <v>23</v>
      </c>
      <c r="B41" t="s">
        <v>113</v>
      </c>
      <c r="C41" t="s">
        <v>2059</v>
      </c>
      <c r="D41" t="s">
        <v>2054</v>
      </c>
    </row>
    <row r="42" spans="1:19">
      <c r="A42" t="s">
        <v>23</v>
      </c>
      <c r="B42" t="s">
        <v>113</v>
      </c>
      <c r="C42" t="s">
        <v>2060</v>
      </c>
      <c r="D42" t="s">
        <v>2056</v>
      </c>
    </row>
    <row r="43" spans="1:19">
      <c r="A43" t="s">
        <v>19</v>
      </c>
      <c r="B43" t="s">
        <v>84</v>
      </c>
      <c r="C43" t="s">
        <v>2061</v>
      </c>
      <c r="D43" t="s">
        <v>151</v>
      </c>
      <c r="H43">
        <f t="shared" ref="H43:S43" si="20">H44+H45+H46+H47+H62+H65</f>
        <v>81000000000</v>
      </c>
      <c r="I43">
        <f t="shared" si="20"/>
        <v>84240000000</v>
      </c>
      <c r="J43">
        <f t="shared" si="20"/>
        <v>88560000000</v>
      </c>
      <c r="K43">
        <f t="shared" si="20"/>
        <v>89640000000</v>
      </c>
      <c r="L43">
        <f t="shared" si="20"/>
        <v>91800000000</v>
      </c>
      <c r="M43">
        <f t="shared" si="20"/>
        <v>93960000000</v>
      </c>
      <c r="N43">
        <f t="shared" si="20"/>
        <v>95040000000</v>
      </c>
      <c r="O43">
        <f t="shared" si="20"/>
        <v>92880000000</v>
      </c>
      <c r="P43">
        <f t="shared" si="20"/>
        <v>90720000000</v>
      </c>
      <c r="Q43">
        <f t="shared" si="20"/>
        <v>89640000000</v>
      </c>
      <c r="R43">
        <f t="shared" si="20"/>
        <v>88560000000</v>
      </c>
      <c r="S43">
        <f t="shared" si="20"/>
        <v>93960000000</v>
      </c>
    </row>
    <row r="44" spans="1:19">
      <c r="A44" t="s">
        <v>23</v>
      </c>
      <c r="B44" t="s">
        <v>84</v>
      </c>
      <c r="C44" t="s">
        <v>2062</v>
      </c>
      <c r="D44" t="s">
        <v>153</v>
      </c>
      <c r="H44">
        <v>4500000000</v>
      </c>
      <c r="I44">
        <v>4680000000</v>
      </c>
      <c r="J44">
        <v>4920000000</v>
      </c>
      <c r="K44">
        <v>4980000000</v>
      </c>
      <c r="L44">
        <v>5100000000</v>
      </c>
      <c r="M44">
        <v>5220000000</v>
      </c>
      <c r="N44">
        <v>5280000000</v>
      </c>
      <c r="O44">
        <v>5160000000</v>
      </c>
      <c r="P44">
        <v>5040000000</v>
      </c>
      <c r="Q44">
        <v>4980000000</v>
      </c>
      <c r="R44">
        <v>4920000000</v>
      </c>
      <c r="S44">
        <v>5220000000</v>
      </c>
    </row>
    <row r="45" spans="1:19">
      <c r="A45" t="s">
        <v>23</v>
      </c>
      <c r="B45" t="s">
        <v>84</v>
      </c>
      <c r="C45" t="s">
        <v>2063</v>
      </c>
      <c r="D45" t="s">
        <v>734</v>
      </c>
      <c r="H45">
        <v>4500000000</v>
      </c>
      <c r="I45">
        <v>4680000000</v>
      </c>
      <c r="J45">
        <v>4920000000</v>
      </c>
      <c r="K45">
        <v>4980000000</v>
      </c>
      <c r="L45">
        <v>5100000000</v>
      </c>
      <c r="M45">
        <v>5220000000</v>
      </c>
      <c r="N45">
        <v>5280000000</v>
      </c>
      <c r="O45">
        <v>5160000000</v>
      </c>
      <c r="P45">
        <v>5040000000</v>
      </c>
      <c r="Q45">
        <v>4980000000</v>
      </c>
      <c r="R45">
        <v>4920000000</v>
      </c>
      <c r="S45">
        <v>5220000000</v>
      </c>
    </row>
    <row r="46" spans="1:19">
      <c r="A46" t="s">
        <v>23</v>
      </c>
      <c r="B46" t="s">
        <v>84</v>
      </c>
      <c r="C46" t="s">
        <v>2064</v>
      </c>
      <c r="D46" t="s">
        <v>155</v>
      </c>
      <c r="H46">
        <v>4500000000</v>
      </c>
      <c r="I46">
        <v>4680000000</v>
      </c>
      <c r="J46">
        <v>4920000000</v>
      </c>
      <c r="K46">
        <v>4980000000</v>
      </c>
      <c r="L46">
        <v>5100000000</v>
      </c>
      <c r="M46">
        <v>5220000000</v>
      </c>
      <c r="N46">
        <v>5280000000</v>
      </c>
      <c r="O46">
        <v>5160000000</v>
      </c>
      <c r="P46">
        <v>5040000000</v>
      </c>
      <c r="Q46">
        <v>4980000000</v>
      </c>
      <c r="R46">
        <v>4920000000</v>
      </c>
      <c r="S46">
        <v>5220000000</v>
      </c>
    </row>
    <row r="47" spans="1:19">
      <c r="A47" t="s">
        <v>23</v>
      </c>
      <c r="B47" t="s">
        <v>84</v>
      </c>
      <c r="C47" t="s">
        <v>2065</v>
      </c>
      <c r="D47" t="s">
        <v>157</v>
      </c>
      <c r="H47">
        <f t="shared" ref="H47:S47" si="21">H48+H51+H52+H53+H54+H55+H56+H57+H60+H61</f>
        <v>49500000000</v>
      </c>
      <c r="I47">
        <f t="shared" si="21"/>
        <v>51480000000</v>
      </c>
      <c r="J47">
        <f t="shared" si="21"/>
        <v>54120000000</v>
      </c>
      <c r="K47">
        <f t="shared" si="21"/>
        <v>54780000000</v>
      </c>
      <c r="L47">
        <f t="shared" si="21"/>
        <v>56100000000</v>
      </c>
      <c r="M47">
        <f t="shared" si="21"/>
        <v>57420000000</v>
      </c>
      <c r="N47">
        <f t="shared" si="21"/>
        <v>58080000000</v>
      </c>
      <c r="O47">
        <f t="shared" si="21"/>
        <v>56760000000</v>
      </c>
      <c r="P47">
        <f t="shared" si="21"/>
        <v>55440000000</v>
      </c>
      <c r="Q47">
        <f t="shared" si="21"/>
        <v>54780000000</v>
      </c>
      <c r="R47">
        <f t="shared" si="21"/>
        <v>54120000000</v>
      </c>
      <c r="S47">
        <f t="shared" si="21"/>
        <v>57420000000</v>
      </c>
    </row>
    <row r="48" spans="1:19">
      <c r="A48" t="s">
        <v>26</v>
      </c>
      <c r="B48" t="s">
        <v>84</v>
      </c>
      <c r="C48" t="s">
        <v>2066</v>
      </c>
      <c r="D48" t="s">
        <v>2067</v>
      </c>
      <c r="H48">
        <f t="shared" ref="H48:S48" si="22">H49+H50</f>
        <v>9000000000</v>
      </c>
      <c r="I48">
        <f t="shared" si="22"/>
        <v>9360000000</v>
      </c>
      <c r="J48">
        <f t="shared" si="22"/>
        <v>9840000000</v>
      </c>
      <c r="K48">
        <f t="shared" si="22"/>
        <v>9960000000</v>
      </c>
      <c r="L48">
        <f t="shared" si="22"/>
        <v>10200000000</v>
      </c>
      <c r="M48">
        <f t="shared" si="22"/>
        <v>10440000000</v>
      </c>
      <c r="N48">
        <f t="shared" si="22"/>
        <v>10560000000</v>
      </c>
      <c r="O48">
        <f t="shared" si="22"/>
        <v>10320000000</v>
      </c>
      <c r="P48">
        <f t="shared" si="22"/>
        <v>10080000000</v>
      </c>
      <c r="Q48">
        <f t="shared" si="22"/>
        <v>9960000000</v>
      </c>
      <c r="R48">
        <f t="shared" si="22"/>
        <v>9840000000</v>
      </c>
      <c r="S48">
        <f t="shared" si="22"/>
        <v>10440000000</v>
      </c>
    </row>
    <row r="49" spans="1:19">
      <c r="A49" t="s">
        <v>60</v>
      </c>
      <c r="B49" t="s">
        <v>84</v>
      </c>
      <c r="C49" t="s">
        <v>2068</v>
      </c>
      <c r="D49" t="s">
        <v>2069</v>
      </c>
      <c r="H49">
        <v>4500000000</v>
      </c>
      <c r="I49">
        <v>4680000000</v>
      </c>
      <c r="J49">
        <v>4920000000</v>
      </c>
      <c r="K49">
        <v>4980000000</v>
      </c>
      <c r="L49">
        <v>5100000000</v>
      </c>
      <c r="M49">
        <v>5220000000</v>
      </c>
      <c r="N49">
        <v>5280000000</v>
      </c>
      <c r="O49">
        <v>5160000000</v>
      </c>
      <c r="P49">
        <v>5040000000</v>
      </c>
      <c r="Q49">
        <v>4980000000</v>
      </c>
      <c r="R49">
        <v>4920000000</v>
      </c>
      <c r="S49">
        <v>5220000000</v>
      </c>
    </row>
    <row r="50" spans="1:19">
      <c r="A50" t="s">
        <v>60</v>
      </c>
      <c r="B50" t="s">
        <v>84</v>
      </c>
      <c r="C50" t="s">
        <v>2070</v>
      </c>
      <c r="D50" t="s">
        <v>2071</v>
      </c>
      <c r="H50">
        <v>4500000000</v>
      </c>
      <c r="I50">
        <v>4680000000</v>
      </c>
      <c r="J50">
        <v>4920000000</v>
      </c>
      <c r="K50">
        <v>4980000000</v>
      </c>
      <c r="L50">
        <v>5100000000</v>
      </c>
      <c r="M50">
        <v>5220000000</v>
      </c>
      <c r="N50">
        <v>5280000000</v>
      </c>
      <c r="O50">
        <v>5160000000</v>
      </c>
      <c r="P50">
        <v>5040000000</v>
      </c>
      <c r="Q50">
        <v>4980000000</v>
      </c>
      <c r="R50">
        <v>4920000000</v>
      </c>
      <c r="S50">
        <v>5220000000</v>
      </c>
    </row>
    <row r="51" spans="1:19">
      <c r="A51" t="s">
        <v>26</v>
      </c>
      <c r="B51" t="s">
        <v>84</v>
      </c>
      <c r="C51" t="s">
        <v>2072</v>
      </c>
      <c r="D51" t="s">
        <v>2073</v>
      </c>
      <c r="H51">
        <v>4500000000</v>
      </c>
      <c r="I51">
        <v>4680000000</v>
      </c>
      <c r="J51">
        <v>4920000000</v>
      </c>
      <c r="K51">
        <v>4980000000</v>
      </c>
      <c r="L51">
        <v>5100000000</v>
      </c>
      <c r="M51">
        <v>5220000000</v>
      </c>
      <c r="N51">
        <v>5280000000</v>
      </c>
      <c r="O51">
        <v>5160000000</v>
      </c>
      <c r="P51">
        <v>5040000000</v>
      </c>
      <c r="Q51">
        <v>4980000000</v>
      </c>
      <c r="R51">
        <v>4920000000</v>
      </c>
      <c r="S51">
        <v>5220000000</v>
      </c>
    </row>
    <row r="52" spans="1:19">
      <c r="A52" t="s">
        <v>26</v>
      </c>
      <c r="B52" t="s">
        <v>84</v>
      </c>
      <c r="C52" t="s">
        <v>2074</v>
      </c>
      <c r="D52" t="s">
        <v>2075</v>
      </c>
      <c r="H52">
        <v>4500000000</v>
      </c>
      <c r="I52">
        <v>4680000000</v>
      </c>
      <c r="J52">
        <v>4920000000</v>
      </c>
      <c r="K52">
        <v>4980000000</v>
      </c>
      <c r="L52">
        <v>5100000000</v>
      </c>
      <c r="M52">
        <v>5220000000</v>
      </c>
      <c r="N52">
        <v>5280000000</v>
      </c>
      <c r="O52">
        <v>5160000000</v>
      </c>
      <c r="P52">
        <v>5040000000</v>
      </c>
      <c r="Q52">
        <v>4980000000</v>
      </c>
      <c r="R52">
        <v>4920000000</v>
      </c>
      <c r="S52">
        <v>5220000000</v>
      </c>
    </row>
    <row r="53" spans="1:19">
      <c r="A53" t="s">
        <v>26</v>
      </c>
      <c r="B53" t="s">
        <v>84</v>
      </c>
      <c r="C53" t="s">
        <v>2076</v>
      </c>
      <c r="D53" t="s">
        <v>2077</v>
      </c>
      <c r="H53">
        <v>4500000000</v>
      </c>
      <c r="I53">
        <v>4680000000</v>
      </c>
      <c r="J53">
        <v>4920000000</v>
      </c>
      <c r="K53">
        <v>4980000000</v>
      </c>
      <c r="L53">
        <v>5100000000</v>
      </c>
      <c r="M53">
        <v>5220000000</v>
      </c>
      <c r="N53">
        <v>5280000000</v>
      </c>
      <c r="O53">
        <v>5160000000</v>
      </c>
      <c r="P53">
        <v>5040000000</v>
      </c>
      <c r="Q53">
        <v>4980000000</v>
      </c>
      <c r="R53">
        <v>4920000000</v>
      </c>
      <c r="S53">
        <v>5220000000</v>
      </c>
    </row>
    <row r="54" spans="1:19">
      <c r="A54" t="s">
        <v>26</v>
      </c>
      <c r="B54" t="s">
        <v>84</v>
      </c>
      <c r="C54" t="s">
        <v>2078</v>
      </c>
      <c r="D54" t="s">
        <v>2079</v>
      </c>
      <c r="H54">
        <v>4500000000</v>
      </c>
      <c r="I54">
        <v>4680000000</v>
      </c>
      <c r="J54">
        <v>4920000000</v>
      </c>
      <c r="K54">
        <v>4980000000</v>
      </c>
      <c r="L54">
        <v>5100000000</v>
      </c>
      <c r="M54">
        <v>5220000000</v>
      </c>
      <c r="N54">
        <v>5280000000</v>
      </c>
      <c r="O54">
        <v>5160000000</v>
      </c>
      <c r="P54">
        <v>5040000000</v>
      </c>
      <c r="Q54">
        <v>4980000000</v>
      </c>
      <c r="R54">
        <v>4920000000</v>
      </c>
      <c r="S54">
        <v>5220000000</v>
      </c>
    </row>
    <row r="55" spans="1:19">
      <c r="A55" t="s">
        <v>26</v>
      </c>
      <c r="B55" t="s">
        <v>84</v>
      </c>
      <c r="C55" t="s">
        <v>2080</v>
      </c>
      <c r="D55" t="s">
        <v>2081</v>
      </c>
      <c r="H55">
        <v>4500000000</v>
      </c>
      <c r="I55">
        <v>4680000000</v>
      </c>
      <c r="J55">
        <v>4920000000</v>
      </c>
      <c r="K55">
        <v>4980000000</v>
      </c>
      <c r="L55">
        <v>5100000000</v>
      </c>
      <c r="M55">
        <v>5220000000</v>
      </c>
      <c r="N55">
        <v>5280000000</v>
      </c>
      <c r="O55">
        <v>5160000000</v>
      </c>
      <c r="P55">
        <v>5040000000</v>
      </c>
      <c r="Q55">
        <v>4980000000</v>
      </c>
      <c r="R55">
        <v>4920000000</v>
      </c>
      <c r="S55">
        <v>5220000000</v>
      </c>
    </row>
    <row r="56" spans="1:19">
      <c r="A56" t="s">
        <v>26</v>
      </c>
      <c r="B56" t="s">
        <v>84</v>
      </c>
      <c r="C56" t="s">
        <v>2082</v>
      </c>
      <c r="D56" t="s">
        <v>2083</v>
      </c>
      <c r="H56">
        <v>4500000000</v>
      </c>
      <c r="I56">
        <v>4680000000</v>
      </c>
      <c r="J56">
        <v>4920000000</v>
      </c>
      <c r="K56">
        <v>4980000000</v>
      </c>
      <c r="L56">
        <v>5100000000</v>
      </c>
      <c r="M56">
        <v>5220000000</v>
      </c>
      <c r="N56">
        <v>5280000000</v>
      </c>
      <c r="O56">
        <v>5160000000</v>
      </c>
      <c r="P56">
        <v>5040000000</v>
      </c>
      <c r="Q56">
        <v>4980000000</v>
      </c>
      <c r="R56">
        <v>4920000000</v>
      </c>
      <c r="S56">
        <v>5220000000</v>
      </c>
    </row>
    <row r="57" spans="1:19">
      <c r="A57" t="s">
        <v>26</v>
      </c>
      <c r="B57" t="s">
        <v>84</v>
      </c>
      <c r="C57" t="s">
        <v>2084</v>
      </c>
      <c r="D57" t="s">
        <v>2085</v>
      </c>
      <c r="H57">
        <f t="shared" ref="H57:S57" si="23">H58+H59</f>
        <v>9000000000</v>
      </c>
      <c r="I57">
        <f t="shared" si="23"/>
        <v>9360000000</v>
      </c>
      <c r="J57">
        <f t="shared" si="23"/>
        <v>9840000000</v>
      </c>
      <c r="K57">
        <f t="shared" si="23"/>
        <v>9960000000</v>
      </c>
      <c r="L57">
        <f t="shared" si="23"/>
        <v>10200000000</v>
      </c>
      <c r="M57">
        <f t="shared" si="23"/>
        <v>10440000000</v>
      </c>
      <c r="N57">
        <f t="shared" si="23"/>
        <v>10560000000</v>
      </c>
      <c r="O57">
        <f t="shared" si="23"/>
        <v>10320000000</v>
      </c>
      <c r="P57">
        <f t="shared" si="23"/>
        <v>10080000000</v>
      </c>
      <c r="Q57">
        <f t="shared" si="23"/>
        <v>9960000000</v>
      </c>
      <c r="R57">
        <f t="shared" si="23"/>
        <v>9840000000</v>
      </c>
      <c r="S57">
        <f t="shared" si="23"/>
        <v>10440000000</v>
      </c>
    </row>
    <row r="58" spans="1:19">
      <c r="A58" t="s">
        <v>60</v>
      </c>
      <c r="B58" t="s">
        <v>84</v>
      </c>
      <c r="C58" t="s">
        <v>2086</v>
      </c>
      <c r="D58" t="s">
        <v>2069</v>
      </c>
      <c r="H58">
        <v>4500000000</v>
      </c>
      <c r="I58">
        <v>4680000000</v>
      </c>
      <c r="J58">
        <v>4920000000</v>
      </c>
      <c r="K58">
        <v>4980000000</v>
      </c>
      <c r="L58">
        <v>5100000000</v>
      </c>
      <c r="M58">
        <v>5220000000</v>
      </c>
      <c r="N58">
        <v>5280000000</v>
      </c>
      <c r="O58">
        <v>5160000000</v>
      </c>
      <c r="P58">
        <v>5040000000</v>
      </c>
      <c r="Q58">
        <v>4980000000</v>
      </c>
      <c r="R58">
        <v>4920000000</v>
      </c>
      <c r="S58">
        <v>5220000000</v>
      </c>
    </row>
    <row r="59" spans="1:19">
      <c r="A59" t="s">
        <v>60</v>
      </c>
      <c r="B59" t="s">
        <v>84</v>
      </c>
      <c r="C59" t="s">
        <v>2087</v>
      </c>
      <c r="D59" t="s">
        <v>2071</v>
      </c>
      <c r="H59">
        <v>4500000000</v>
      </c>
      <c r="I59">
        <v>4680000000</v>
      </c>
      <c r="J59">
        <v>4920000000</v>
      </c>
      <c r="K59">
        <v>4980000000</v>
      </c>
      <c r="L59">
        <v>5100000000</v>
      </c>
      <c r="M59">
        <v>5220000000</v>
      </c>
      <c r="N59">
        <v>5280000000</v>
      </c>
      <c r="O59">
        <v>5160000000</v>
      </c>
      <c r="P59">
        <v>5040000000</v>
      </c>
      <c r="Q59">
        <v>4980000000</v>
      </c>
      <c r="R59">
        <v>4920000000</v>
      </c>
      <c r="S59">
        <v>5220000000</v>
      </c>
    </row>
    <row r="60" spans="1:19">
      <c r="A60" t="s">
        <v>26</v>
      </c>
      <c r="B60" t="s">
        <v>84</v>
      </c>
      <c r="C60" t="s">
        <v>2088</v>
      </c>
      <c r="D60" t="s">
        <v>106</v>
      </c>
      <c r="H60">
        <v>4500000000</v>
      </c>
      <c r="I60">
        <v>4680000000</v>
      </c>
      <c r="J60">
        <v>4920000000</v>
      </c>
      <c r="K60">
        <v>4980000000</v>
      </c>
      <c r="L60">
        <v>5100000000</v>
      </c>
      <c r="M60">
        <v>5220000000</v>
      </c>
      <c r="N60">
        <v>5280000000</v>
      </c>
      <c r="O60">
        <v>5160000000</v>
      </c>
      <c r="P60">
        <v>5040000000</v>
      </c>
      <c r="Q60">
        <v>4980000000</v>
      </c>
      <c r="R60">
        <v>4920000000</v>
      </c>
      <c r="S60">
        <v>5220000000</v>
      </c>
    </row>
    <row r="61" spans="1:19">
      <c r="A61" t="s">
        <v>26</v>
      </c>
      <c r="B61" t="s">
        <v>84</v>
      </c>
      <c r="C61" t="s">
        <v>2089</v>
      </c>
      <c r="D61" t="s">
        <v>2090</v>
      </c>
    </row>
    <row r="62" spans="1:19">
      <c r="A62" t="s">
        <v>23</v>
      </c>
      <c r="B62" t="s">
        <v>84</v>
      </c>
      <c r="C62" t="s">
        <v>2091</v>
      </c>
      <c r="D62" t="s">
        <v>738</v>
      </c>
      <c r="H62">
        <f t="shared" ref="H62:S62" si="24">H63+H64</f>
        <v>9000000000</v>
      </c>
      <c r="I62">
        <f t="shared" si="24"/>
        <v>9360000000</v>
      </c>
      <c r="J62">
        <f t="shared" si="24"/>
        <v>9840000000</v>
      </c>
      <c r="K62">
        <f t="shared" si="24"/>
        <v>9960000000</v>
      </c>
      <c r="L62">
        <f t="shared" si="24"/>
        <v>10200000000</v>
      </c>
      <c r="M62">
        <f t="shared" si="24"/>
        <v>10440000000</v>
      </c>
      <c r="N62">
        <f t="shared" si="24"/>
        <v>10560000000</v>
      </c>
      <c r="O62">
        <f t="shared" si="24"/>
        <v>10320000000</v>
      </c>
      <c r="P62">
        <f t="shared" si="24"/>
        <v>10080000000</v>
      </c>
      <c r="Q62">
        <f t="shared" si="24"/>
        <v>9960000000</v>
      </c>
      <c r="R62">
        <f t="shared" si="24"/>
        <v>9840000000</v>
      </c>
      <c r="S62">
        <f t="shared" si="24"/>
        <v>10440000000</v>
      </c>
    </row>
    <row r="63" spans="1:19">
      <c r="A63" t="s">
        <v>26</v>
      </c>
      <c r="B63" t="s">
        <v>84</v>
      </c>
      <c r="C63" t="s">
        <v>2092</v>
      </c>
      <c r="D63" t="s">
        <v>2069</v>
      </c>
      <c r="H63">
        <v>4500000000</v>
      </c>
      <c r="I63">
        <v>4680000000</v>
      </c>
      <c r="J63">
        <v>4920000000</v>
      </c>
      <c r="K63">
        <v>4980000000</v>
      </c>
      <c r="L63">
        <v>5100000000</v>
      </c>
      <c r="M63">
        <v>5220000000</v>
      </c>
      <c r="N63">
        <v>5280000000</v>
      </c>
      <c r="O63">
        <v>5160000000</v>
      </c>
      <c r="P63">
        <v>5040000000</v>
      </c>
      <c r="Q63">
        <v>4980000000</v>
      </c>
      <c r="R63">
        <v>4920000000</v>
      </c>
      <c r="S63">
        <v>5220000000</v>
      </c>
    </row>
    <row r="64" spans="1:19">
      <c r="A64" t="s">
        <v>26</v>
      </c>
      <c r="B64" t="s">
        <v>84</v>
      </c>
      <c r="C64" t="s">
        <v>2093</v>
      </c>
      <c r="D64" t="s">
        <v>2071</v>
      </c>
      <c r="H64">
        <v>4500000000</v>
      </c>
      <c r="I64">
        <v>4680000000</v>
      </c>
      <c r="J64">
        <v>4920000000</v>
      </c>
      <c r="K64">
        <v>4980000000</v>
      </c>
      <c r="L64">
        <v>5100000000</v>
      </c>
      <c r="M64">
        <v>5220000000</v>
      </c>
      <c r="N64">
        <v>5280000000</v>
      </c>
      <c r="O64">
        <v>5160000000</v>
      </c>
      <c r="P64">
        <v>5040000000</v>
      </c>
      <c r="Q64">
        <v>4980000000</v>
      </c>
      <c r="R64">
        <v>4920000000</v>
      </c>
      <c r="S64">
        <v>5220000000</v>
      </c>
    </row>
    <row r="65" spans="1:19">
      <c r="A65" t="s">
        <v>23</v>
      </c>
      <c r="B65" t="s">
        <v>84</v>
      </c>
      <c r="C65" t="s">
        <v>2094</v>
      </c>
      <c r="D65" t="s">
        <v>2095</v>
      </c>
      <c r="H65">
        <f t="shared" ref="H65:S65" si="25">H66+H67</f>
        <v>9000000000</v>
      </c>
      <c r="I65">
        <f t="shared" si="25"/>
        <v>9360000000</v>
      </c>
      <c r="J65">
        <f t="shared" si="25"/>
        <v>9840000000</v>
      </c>
      <c r="K65">
        <f t="shared" si="25"/>
        <v>9960000000</v>
      </c>
      <c r="L65">
        <f t="shared" si="25"/>
        <v>10200000000</v>
      </c>
      <c r="M65">
        <f t="shared" si="25"/>
        <v>10440000000</v>
      </c>
      <c r="N65">
        <f t="shared" si="25"/>
        <v>10560000000</v>
      </c>
      <c r="O65">
        <f t="shared" si="25"/>
        <v>10320000000</v>
      </c>
      <c r="P65">
        <f t="shared" si="25"/>
        <v>10080000000</v>
      </c>
      <c r="Q65">
        <f t="shared" si="25"/>
        <v>9960000000</v>
      </c>
      <c r="R65">
        <f t="shared" si="25"/>
        <v>9840000000</v>
      </c>
      <c r="S65">
        <f t="shared" si="25"/>
        <v>10440000000</v>
      </c>
    </row>
    <row r="66" spans="1:19">
      <c r="A66" t="s">
        <v>26</v>
      </c>
      <c r="B66" t="s">
        <v>84</v>
      </c>
      <c r="C66" t="s">
        <v>2096</v>
      </c>
      <c r="D66" t="s">
        <v>2097</v>
      </c>
      <c r="H66">
        <v>4500000000</v>
      </c>
      <c r="I66">
        <v>4680000000</v>
      </c>
      <c r="J66">
        <v>4920000000</v>
      </c>
      <c r="K66">
        <v>4980000000</v>
      </c>
      <c r="L66">
        <v>5100000000</v>
      </c>
      <c r="M66">
        <v>5220000000</v>
      </c>
      <c r="N66">
        <v>5280000000</v>
      </c>
      <c r="O66">
        <v>5160000000</v>
      </c>
      <c r="P66">
        <v>5040000000</v>
      </c>
      <c r="Q66">
        <v>4980000000</v>
      </c>
      <c r="R66">
        <v>4920000000</v>
      </c>
      <c r="S66">
        <v>5220000000</v>
      </c>
    </row>
    <row r="67" spans="1:19">
      <c r="A67" t="s">
        <v>26</v>
      </c>
      <c r="B67" t="s">
        <v>84</v>
      </c>
      <c r="C67" t="s">
        <v>2098</v>
      </c>
      <c r="D67" t="s">
        <v>2099</v>
      </c>
      <c r="H67">
        <v>4500000000</v>
      </c>
      <c r="I67">
        <v>4680000000</v>
      </c>
      <c r="J67">
        <v>4920000000</v>
      </c>
      <c r="K67">
        <v>4980000000</v>
      </c>
      <c r="L67">
        <v>5100000000</v>
      </c>
      <c r="M67">
        <v>5220000000</v>
      </c>
      <c r="N67">
        <v>5280000000</v>
      </c>
      <c r="O67">
        <v>5160000000</v>
      </c>
      <c r="P67">
        <v>5040000000</v>
      </c>
      <c r="Q67">
        <v>4980000000</v>
      </c>
      <c r="R67">
        <v>4920000000</v>
      </c>
      <c r="S67">
        <v>5220000000</v>
      </c>
    </row>
    <row r="68" spans="1:19">
      <c r="A68" t="s">
        <v>19</v>
      </c>
      <c r="B68" t="s">
        <v>113</v>
      </c>
      <c r="C68" t="s">
        <v>2100</v>
      </c>
      <c r="D68" t="s">
        <v>160</v>
      </c>
      <c r="H68">
        <f t="shared" ref="H68:S68" si="26">H69+H70+H71+H72+H83+H84+H87</f>
        <v>81000000000</v>
      </c>
      <c r="I68">
        <f t="shared" si="26"/>
        <v>84240000000</v>
      </c>
      <c r="J68">
        <f t="shared" si="26"/>
        <v>88560000000</v>
      </c>
      <c r="K68">
        <f t="shared" si="26"/>
        <v>89640000000</v>
      </c>
      <c r="L68">
        <f t="shared" si="26"/>
        <v>91800000000</v>
      </c>
      <c r="M68">
        <f t="shared" si="26"/>
        <v>93960000000</v>
      </c>
      <c r="N68">
        <f t="shared" si="26"/>
        <v>95040000000</v>
      </c>
      <c r="O68">
        <f t="shared" si="26"/>
        <v>92880000000</v>
      </c>
      <c r="P68">
        <f t="shared" si="26"/>
        <v>90720000000</v>
      </c>
      <c r="Q68">
        <f t="shared" si="26"/>
        <v>89640000000</v>
      </c>
      <c r="R68">
        <f t="shared" si="26"/>
        <v>88560000000</v>
      </c>
      <c r="S68">
        <f t="shared" si="26"/>
        <v>93960000000</v>
      </c>
    </row>
    <row r="69" spans="1:19">
      <c r="A69" t="s">
        <v>23</v>
      </c>
      <c r="B69" t="s">
        <v>113</v>
      </c>
      <c r="C69" t="s">
        <v>2101</v>
      </c>
      <c r="D69" t="s">
        <v>153</v>
      </c>
      <c r="H69">
        <v>4500000000</v>
      </c>
      <c r="I69">
        <v>4680000000</v>
      </c>
      <c r="J69">
        <v>4920000000</v>
      </c>
      <c r="K69">
        <v>4980000000</v>
      </c>
      <c r="L69">
        <v>5100000000</v>
      </c>
      <c r="M69">
        <v>5220000000</v>
      </c>
      <c r="N69">
        <v>5280000000</v>
      </c>
      <c r="O69">
        <v>5160000000</v>
      </c>
      <c r="P69">
        <v>5040000000</v>
      </c>
      <c r="Q69">
        <v>4980000000</v>
      </c>
      <c r="R69">
        <v>4920000000</v>
      </c>
      <c r="S69">
        <v>5220000000</v>
      </c>
    </row>
    <row r="70" spans="1:19">
      <c r="A70" t="s">
        <v>23</v>
      </c>
      <c r="B70" t="s">
        <v>113</v>
      </c>
      <c r="C70" t="s">
        <v>2102</v>
      </c>
      <c r="D70" t="s">
        <v>734</v>
      </c>
      <c r="H70">
        <v>4500000000</v>
      </c>
      <c r="I70">
        <v>4680000000</v>
      </c>
      <c r="J70">
        <v>4920000000</v>
      </c>
      <c r="K70">
        <v>4980000000</v>
      </c>
      <c r="L70">
        <v>5100000000</v>
      </c>
      <c r="M70">
        <v>5220000000</v>
      </c>
      <c r="N70">
        <v>5280000000</v>
      </c>
      <c r="O70">
        <v>5160000000</v>
      </c>
      <c r="P70">
        <v>5040000000</v>
      </c>
      <c r="Q70">
        <v>4980000000</v>
      </c>
      <c r="R70">
        <v>4920000000</v>
      </c>
      <c r="S70">
        <v>5220000000</v>
      </c>
    </row>
    <row r="71" spans="1:19">
      <c r="A71" t="s">
        <v>23</v>
      </c>
      <c r="B71" t="s">
        <v>113</v>
      </c>
      <c r="C71" t="s">
        <v>2103</v>
      </c>
      <c r="D71" t="s">
        <v>155</v>
      </c>
      <c r="H71">
        <v>4500000000</v>
      </c>
      <c r="I71">
        <v>4680000000</v>
      </c>
      <c r="J71">
        <v>4920000000</v>
      </c>
      <c r="K71">
        <v>4980000000</v>
      </c>
      <c r="L71">
        <v>5100000000</v>
      </c>
      <c r="M71">
        <v>5220000000</v>
      </c>
      <c r="N71">
        <v>5280000000</v>
      </c>
      <c r="O71">
        <v>5160000000</v>
      </c>
      <c r="P71">
        <v>5040000000</v>
      </c>
      <c r="Q71">
        <v>4980000000</v>
      </c>
      <c r="R71">
        <v>4920000000</v>
      </c>
      <c r="S71">
        <v>5220000000</v>
      </c>
    </row>
    <row r="72" spans="1:19">
      <c r="A72" t="s">
        <v>23</v>
      </c>
      <c r="B72" t="s">
        <v>113</v>
      </c>
      <c r="C72" t="s">
        <v>2104</v>
      </c>
      <c r="D72" t="s">
        <v>157</v>
      </c>
      <c r="H72">
        <f t="shared" ref="H72:S72" si="27">H73+H74+H75+H76+H77+H78+H79+H80+H81+H82</f>
        <v>40500000000</v>
      </c>
      <c r="I72">
        <f t="shared" si="27"/>
        <v>42120000000</v>
      </c>
      <c r="J72">
        <f t="shared" si="27"/>
        <v>44280000000</v>
      </c>
      <c r="K72">
        <f t="shared" si="27"/>
        <v>44820000000</v>
      </c>
      <c r="L72">
        <f t="shared" si="27"/>
        <v>45900000000</v>
      </c>
      <c r="M72">
        <f t="shared" si="27"/>
        <v>46980000000</v>
      </c>
      <c r="N72">
        <f t="shared" si="27"/>
        <v>47520000000</v>
      </c>
      <c r="O72">
        <f t="shared" si="27"/>
        <v>46440000000</v>
      </c>
      <c r="P72">
        <f t="shared" si="27"/>
        <v>45360000000</v>
      </c>
      <c r="Q72">
        <f t="shared" si="27"/>
        <v>44820000000</v>
      </c>
      <c r="R72">
        <f t="shared" si="27"/>
        <v>44280000000</v>
      </c>
      <c r="S72">
        <f t="shared" si="27"/>
        <v>46980000000</v>
      </c>
    </row>
    <row r="73" spans="1:19">
      <c r="A73" t="s">
        <v>26</v>
      </c>
      <c r="B73" t="s">
        <v>113</v>
      </c>
      <c r="C73" t="s">
        <v>2105</v>
      </c>
      <c r="D73" t="s">
        <v>2067</v>
      </c>
      <c r="H73">
        <v>4500000000</v>
      </c>
      <c r="I73">
        <v>4680000000</v>
      </c>
      <c r="J73">
        <v>4920000000</v>
      </c>
      <c r="K73">
        <v>4980000000</v>
      </c>
      <c r="L73">
        <v>5100000000</v>
      </c>
      <c r="M73">
        <v>5220000000</v>
      </c>
      <c r="N73">
        <v>5280000000</v>
      </c>
      <c r="O73">
        <v>5160000000</v>
      </c>
      <c r="P73">
        <v>5040000000</v>
      </c>
      <c r="Q73">
        <v>4980000000</v>
      </c>
      <c r="R73">
        <v>4920000000</v>
      </c>
      <c r="S73">
        <v>5220000000</v>
      </c>
    </row>
    <row r="74" spans="1:19">
      <c r="A74" t="s">
        <v>26</v>
      </c>
      <c r="B74" t="s">
        <v>113</v>
      </c>
      <c r="C74" t="s">
        <v>2106</v>
      </c>
      <c r="D74" t="s">
        <v>2073</v>
      </c>
      <c r="H74">
        <v>4500000000</v>
      </c>
      <c r="I74">
        <v>4680000000</v>
      </c>
      <c r="J74">
        <v>4920000000</v>
      </c>
      <c r="K74">
        <v>4980000000</v>
      </c>
      <c r="L74">
        <v>5100000000</v>
      </c>
      <c r="M74">
        <v>5220000000</v>
      </c>
      <c r="N74">
        <v>5280000000</v>
      </c>
      <c r="O74">
        <v>5160000000</v>
      </c>
      <c r="P74">
        <v>5040000000</v>
      </c>
      <c r="Q74">
        <v>4980000000</v>
      </c>
      <c r="R74">
        <v>4920000000</v>
      </c>
      <c r="S74">
        <v>5220000000</v>
      </c>
    </row>
    <row r="75" spans="1:19">
      <c r="A75" t="s">
        <v>26</v>
      </c>
      <c r="B75" t="s">
        <v>113</v>
      </c>
      <c r="C75" t="s">
        <v>2107</v>
      </c>
      <c r="D75" t="s">
        <v>2075</v>
      </c>
      <c r="H75">
        <v>4500000000</v>
      </c>
      <c r="I75">
        <v>4680000000</v>
      </c>
      <c r="J75">
        <v>4920000000</v>
      </c>
      <c r="K75">
        <v>4980000000</v>
      </c>
      <c r="L75">
        <v>5100000000</v>
      </c>
      <c r="M75">
        <v>5220000000</v>
      </c>
      <c r="N75">
        <v>5280000000</v>
      </c>
      <c r="O75">
        <v>5160000000</v>
      </c>
      <c r="P75">
        <v>5040000000</v>
      </c>
      <c r="Q75">
        <v>4980000000</v>
      </c>
      <c r="R75">
        <v>4920000000</v>
      </c>
      <c r="S75">
        <v>5220000000</v>
      </c>
    </row>
    <row r="76" spans="1:19">
      <c r="A76" t="s">
        <v>26</v>
      </c>
      <c r="B76" t="s">
        <v>113</v>
      </c>
      <c r="C76" t="s">
        <v>2108</v>
      </c>
      <c r="D76" t="s">
        <v>2077</v>
      </c>
      <c r="H76">
        <v>4500000000</v>
      </c>
      <c r="I76">
        <v>4680000000</v>
      </c>
      <c r="J76">
        <v>4920000000</v>
      </c>
      <c r="K76">
        <v>4980000000</v>
      </c>
      <c r="L76">
        <v>5100000000</v>
      </c>
      <c r="M76">
        <v>5220000000</v>
      </c>
      <c r="N76">
        <v>5280000000</v>
      </c>
      <c r="O76">
        <v>5160000000</v>
      </c>
      <c r="P76">
        <v>5040000000</v>
      </c>
      <c r="Q76">
        <v>4980000000</v>
      </c>
      <c r="R76">
        <v>4920000000</v>
      </c>
      <c r="S76">
        <v>5220000000</v>
      </c>
    </row>
    <row r="77" spans="1:19">
      <c r="A77" t="s">
        <v>26</v>
      </c>
      <c r="B77" t="s">
        <v>113</v>
      </c>
      <c r="C77" t="s">
        <v>2109</v>
      </c>
      <c r="D77" t="s">
        <v>2079</v>
      </c>
      <c r="H77">
        <v>4500000000</v>
      </c>
      <c r="I77">
        <v>4680000000</v>
      </c>
      <c r="J77">
        <v>4920000000</v>
      </c>
      <c r="K77">
        <v>4980000000</v>
      </c>
      <c r="L77">
        <v>5100000000</v>
      </c>
      <c r="M77">
        <v>5220000000</v>
      </c>
      <c r="N77">
        <v>5280000000</v>
      </c>
      <c r="O77">
        <v>5160000000</v>
      </c>
      <c r="P77">
        <v>5040000000</v>
      </c>
      <c r="Q77">
        <v>4980000000</v>
      </c>
      <c r="R77">
        <v>4920000000</v>
      </c>
      <c r="S77">
        <v>5220000000</v>
      </c>
    </row>
    <row r="78" spans="1:19">
      <c r="A78" t="s">
        <v>26</v>
      </c>
      <c r="B78" t="s">
        <v>113</v>
      </c>
      <c r="C78" t="s">
        <v>2110</v>
      </c>
      <c r="D78" t="s">
        <v>2081</v>
      </c>
      <c r="H78">
        <v>4500000000</v>
      </c>
      <c r="I78">
        <v>4680000000</v>
      </c>
      <c r="J78">
        <v>4920000000</v>
      </c>
      <c r="K78">
        <v>4980000000</v>
      </c>
      <c r="L78">
        <v>5100000000</v>
      </c>
      <c r="M78">
        <v>5220000000</v>
      </c>
      <c r="N78">
        <v>5280000000</v>
      </c>
      <c r="O78">
        <v>5160000000</v>
      </c>
      <c r="P78">
        <v>5040000000</v>
      </c>
      <c r="Q78">
        <v>4980000000</v>
      </c>
      <c r="R78">
        <v>4920000000</v>
      </c>
      <c r="S78">
        <v>5220000000</v>
      </c>
    </row>
    <row r="79" spans="1:19">
      <c r="A79" t="s">
        <v>26</v>
      </c>
      <c r="B79" t="s">
        <v>113</v>
      </c>
      <c r="C79" t="s">
        <v>2111</v>
      </c>
      <c r="D79" t="s">
        <v>2083</v>
      </c>
      <c r="H79">
        <v>4500000000</v>
      </c>
      <c r="I79">
        <v>4680000000</v>
      </c>
      <c r="J79">
        <v>4920000000</v>
      </c>
      <c r="K79">
        <v>4980000000</v>
      </c>
      <c r="L79">
        <v>5100000000</v>
      </c>
      <c r="M79">
        <v>5220000000</v>
      </c>
      <c r="N79">
        <v>5280000000</v>
      </c>
      <c r="O79">
        <v>5160000000</v>
      </c>
      <c r="P79">
        <v>5040000000</v>
      </c>
      <c r="Q79">
        <v>4980000000</v>
      </c>
      <c r="R79">
        <v>4920000000</v>
      </c>
      <c r="S79">
        <v>5220000000</v>
      </c>
    </row>
    <row r="80" spans="1:19">
      <c r="A80" t="s">
        <v>26</v>
      </c>
      <c r="B80" t="s">
        <v>113</v>
      </c>
      <c r="C80" t="s">
        <v>2112</v>
      </c>
      <c r="D80" t="s">
        <v>2085</v>
      </c>
      <c r="H80">
        <v>4500000000</v>
      </c>
      <c r="I80">
        <v>4680000000</v>
      </c>
      <c r="J80">
        <v>4920000000</v>
      </c>
      <c r="K80">
        <v>4980000000</v>
      </c>
      <c r="L80">
        <v>5100000000</v>
      </c>
      <c r="M80">
        <v>5220000000</v>
      </c>
      <c r="N80">
        <v>5280000000</v>
      </c>
      <c r="O80">
        <v>5160000000</v>
      </c>
      <c r="P80">
        <v>5040000000</v>
      </c>
      <c r="Q80">
        <v>4980000000</v>
      </c>
      <c r="R80">
        <v>4920000000</v>
      </c>
      <c r="S80">
        <v>5220000000</v>
      </c>
    </row>
    <row r="81" spans="1:19">
      <c r="A81" t="s">
        <v>26</v>
      </c>
      <c r="B81" t="s">
        <v>113</v>
      </c>
      <c r="C81" t="s">
        <v>2113</v>
      </c>
      <c r="D81" t="s">
        <v>106</v>
      </c>
      <c r="H81">
        <v>4500000000</v>
      </c>
      <c r="I81">
        <v>4680000000</v>
      </c>
      <c r="J81">
        <v>4920000000</v>
      </c>
      <c r="K81">
        <v>4980000000</v>
      </c>
      <c r="L81">
        <v>5100000000</v>
      </c>
      <c r="M81">
        <v>5220000000</v>
      </c>
      <c r="N81">
        <v>5280000000</v>
      </c>
      <c r="O81">
        <v>5160000000</v>
      </c>
      <c r="P81">
        <v>5040000000</v>
      </c>
      <c r="Q81">
        <v>4980000000</v>
      </c>
      <c r="R81">
        <v>4920000000</v>
      </c>
      <c r="S81">
        <v>5220000000</v>
      </c>
    </row>
    <row r="82" spans="1:19">
      <c r="A82" t="s">
        <v>26</v>
      </c>
      <c r="B82" t="s">
        <v>113</v>
      </c>
      <c r="C82" t="s">
        <v>2114</v>
      </c>
      <c r="D82" t="s">
        <v>2090</v>
      </c>
    </row>
    <row r="83" spans="1:19">
      <c r="A83" t="s">
        <v>23</v>
      </c>
      <c r="B83" t="s">
        <v>113</v>
      </c>
      <c r="C83" t="s">
        <v>2115</v>
      </c>
      <c r="D83" t="s">
        <v>738</v>
      </c>
      <c r="H83">
        <v>4500000000</v>
      </c>
      <c r="I83">
        <v>4680000000</v>
      </c>
      <c r="J83">
        <v>4920000000</v>
      </c>
      <c r="K83">
        <v>4980000000</v>
      </c>
      <c r="L83">
        <v>5100000000</v>
      </c>
      <c r="M83">
        <v>5220000000</v>
      </c>
      <c r="N83">
        <v>5280000000</v>
      </c>
      <c r="O83">
        <v>5160000000</v>
      </c>
      <c r="P83">
        <v>5040000000</v>
      </c>
      <c r="Q83">
        <v>4980000000</v>
      </c>
      <c r="R83">
        <v>4920000000</v>
      </c>
      <c r="S83">
        <v>5220000000</v>
      </c>
    </row>
    <row r="84" spans="1:19">
      <c r="A84" t="s">
        <v>23</v>
      </c>
      <c r="B84" t="s">
        <v>113</v>
      </c>
      <c r="C84" t="s">
        <v>2116</v>
      </c>
      <c r="D84" t="s">
        <v>2095</v>
      </c>
      <c r="H84">
        <f t="shared" ref="H84:S84" si="28">H85+H86</f>
        <v>9000000000</v>
      </c>
      <c r="I84">
        <f t="shared" si="28"/>
        <v>9360000000</v>
      </c>
      <c r="J84">
        <f t="shared" si="28"/>
        <v>9840000000</v>
      </c>
      <c r="K84">
        <f t="shared" si="28"/>
        <v>9960000000</v>
      </c>
      <c r="L84">
        <f t="shared" si="28"/>
        <v>10200000000</v>
      </c>
      <c r="M84">
        <f t="shared" si="28"/>
        <v>10440000000</v>
      </c>
      <c r="N84">
        <f t="shared" si="28"/>
        <v>10560000000</v>
      </c>
      <c r="O84">
        <f t="shared" si="28"/>
        <v>10320000000</v>
      </c>
      <c r="P84">
        <f t="shared" si="28"/>
        <v>10080000000</v>
      </c>
      <c r="Q84">
        <f t="shared" si="28"/>
        <v>9960000000</v>
      </c>
      <c r="R84">
        <f t="shared" si="28"/>
        <v>9840000000</v>
      </c>
      <c r="S84">
        <f t="shared" si="28"/>
        <v>10440000000</v>
      </c>
    </row>
    <row r="85" spans="1:19">
      <c r="A85" t="s">
        <v>26</v>
      </c>
      <c r="B85" t="s">
        <v>113</v>
      </c>
      <c r="C85" t="s">
        <v>2117</v>
      </c>
      <c r="D85" t="s">
        <v>2097</v>
      </c>
      <c r="H85">
        <v>4500000000</v>
      </c>
      <c r="I85">
        <v>4680000000</v>
      </c>
      <c r="J85">
        <v>4920000000</v>
      </c>
      <c r="K85">
        <v>4980000000</v>
      </c>
      <c r="L85">
        <v>5100000000</v>
      </c>
      <c r="M85">
        <v>5220000000</v>
      </c>
      <c r="N85">
        <v>5280000000</v>
      </c>
      <c r="O85">
        <v>5160000000</v>
      </c>
      <c r="P85">
        <v>5040000000</v>
      </c>
      <c r="Q85">
        <v>4980000000</v>
      </c>
      <c r="R85">
        <v>4920000000</v>
      </c>
      <c r="S85">
        <v>5220000000</v>
      </c>
    </row>
    <row r="86" spans="1:19">
      <c r="A86" t="s">
        <v>26</v>
      </c>
      <c r="B86" t="s">
        <v>113</v>
      </c>
      <c r="C86" t="s">
        <v>2118</v>
      </c>
      <c r="D86" t="s">
        <v>2099</v>
      </c>
      <c r="H86">
        <v>4500000000</v>
      </c>
      <c r="I86">
        <v>4680000000</v>
      </c>
      <c r="J86">
        <v>4920000000</v>
      </c>
      <c r="K86">
        <v>4980000000</v>
      </c>
      <c r="L86">
        <v>5100000000</v>
      </c>
      <c r="M86">
        <v>5220000000</v>
      </c>
      <c r="N86">
        <v>5280000000</v>
      </c>
      <c r="O86">
        <v>5160000000</v>
      </c>
      <c r="P86">
        <v>5040000000</v>
      </c>
      <c r="Q86">
        <v>4980000000</v>
      </c>
      <c r="R86">
        <v>4920000000</v>
      </c>
      <c r="S86">
        <v>5220000000</v>
      </c>
    </row>
    <row r="87" spans="1:19">
      <c r="A87" t="s">
        <v>23</v>
      </c>
      <c r="B87" t="s">
        <v>113</v>
      </c>
      <c r="C87" t="s">
        <v>2119</v>
      </c>
      <c r="D87" t="s">
        <v>2120</v>
      </c>
      <c r="H87">
        <f t="shared" ref="H87:S87" si="29">H88+H89+H90</f>
        <v>13500000000</v>
      </c>
      <c r="I87">
        <f t="shared" si="29"/>
        <v>14040000000</v>
      </c>
      <c r="J87">
        <f t="shared" si="29"/>
        <v>14760000000</v>
      </c>
      <c r="K87">
        <f t="shared" si="29"/>
        <v>14940000000</v>
      </c>
      <c r="L87">
        <f t="shared" si="29"/>
        <v>15300000000</v>
      </c>
      <c r="M87">
        <f t="shared" si="29"/>
        <v>15660000000</v>
      </c>
      <c r="N87">
        <f t="shared" si="29"/>
        <v>15840000000</v>
      </c>
      <c r="O87">
        <f t="shared" si="29"/>
        <v>15480000000</v>
      </c>
      <c r="P87">
        <f t="shared" si="29"/>
        <v>15120000000</v>
      </c>
      <c r="Q87">
        <f t="shared" si="29"/>
        <v>14940000000</v>
      </c>
      <c r="R87">
        <f t="shared" si="29"/>
        <v>14760000000</v>
      </c>
      <c r="S87">
        <f t="shared" si="29"/>
        <v>15660000000</v>
      </c>
    </row>
    <row r="88" spans="1:19">
      <c r="A88" t="s">
        <v>26</v>
      </c>
      <c r="B88" t="s">
        <v>113</v>
      </c>
      <c r="C88" t="s">
        <v>2121</v>
      </c>
      <c r="D88" t="s">
        <v>2122</v>
      </c>
      <c r="H88">
        <v>4500000000</v>
      </c>
      <c r="I88">
        <v>4680000000</v>
      </c>
      <c r="J88">
        <v>4920000000</v>
      </c>
      <c r="K88">
        <v>4980000000</v>
      </c>
      <c r="L88">
        <v>5100000000</v>
      </c>
      <c r="M88">
        <v>5220000000</v>
      </c>
      <c r="N88">
        <v>5280000000</v>
      </c>
      <c r="O88">
        <v>5160000000</v>
      </c>
      <c r="P88">
        <v>5040000000</v>
      </c>
      <c r="Q88">
        <v>4980000000</v>
      </c>
      <c r="R88">
        <v>4920000000</v>
      </c>
      <c r="S88">
        <v>5220000000</v>
      </c>
    </row>
    <row r="89" spans="1:19">
      <c r="A89" t="s">
        <v>26</v>
      </c>
      <c r="B89" t="s">
        <v>113</v>
      </c>
      <c r="C89" t="s">
        <v>2123</v>
      </c>
      <c r="D89" t="s">
        <v>2124</v>
      </c>
      <c r="H89">
        <v>4500000000</v>
      </c>
      <c r="I89">
        <v>4680000000</v>
      </c>
      <c r="J89">
        <v>4920000000</v>
      </c>
      <c r="K89">
        <v>4980000000</v>
      </c>
      <c r="L89">
        <v>5100000000</v>
      </c>
      <c r="M89">
        <v>5220000000</v>
      </c>
      <c r="N89">
        <v>5280000000</v>
      </c>
      <c r="O89">
        <v>5160000000</v>
      </c>
      <c r="P89">
        <v>5040000000</v>
      </c>
      <c r="Q89">
        <v>4980000000</v>
      </c>
      <c r="R89">
        <v>4920000000</v>
      </c>
      <c r="S89">
        <v>5220000000</v>
      </c>
    </row>
    <row r="90" spans="1:19">
      <c r="A90" t="s">
        <v>26</v>
      </c>
      <c r="B90" t="s">
        <v>113</v>
      </c>
      <c r="C90" t="s">
        <v>2125</v>
      </c>
      <c r="D90" t="s">
        <v>2126</v>
      </c>
      <c r="H90">
        <v>4500000000</v>
      </c>
      <c r="I90">
        <v>4680000000</v>
      </c>
      <c r="J90">
        <v>4920000000</v>
      </c>
      <c r="K90">
        <v>4980000000</v>
      </c>
      <c r="L90">
        <v>5100000000</v>
      </c>
      <c r="M90">
        <v>5220000000</v>
      </c>
      <c r="N90">
        <v>5280000000</v>
      </c>
      <c r="O90">
        <v>5160000000</v>
      </c>
      <c r="P90">
        <v>5040000000</v>
      </c>
      <c r="Q90">
        <v>4980000000</v>
      </c>
      <c r="R90">
        <v>4920000000</v>
      </c>
      <c r="S90">
        <v>5220000000</v>
      </c>
    </row>
    <row r="91" spans="1:19">
      <c r="A91" t="s">
        <v>19</v>
      </c>
      <c r="B91" t="s">
        <v>130</v>
      </c>
      <c r="C91" t="s">
        <v>2127</v>
      </c>
      <c r="D91" t="s">
        <v>166</v>
      </c>
      <c r="H91" t="e">
        <f>H92+#REF!+H95+H96</f>
        <v>#REF!</v>
      </c>
      <c r="I91" t="e">
        <f>I92+#REF!+I95+I96</f>
        <v>#REF!</v>
      </c>
      <c r="J91" t="e">
        <f>J92+#REF!+J95+J96</f>
        <v>#REF!</v>
      </c>
      <c r="K91" t="e">
        <f>K92+#REF!+K95+K96</f>
        <v>#REF!</v>
      </c>
      <c r="L91" t="e">
        <f>L92+#REF!+L95+L96</f>
        <v>#REF!</v>
      </c>
      <c r="M91" t="e">
        <f>M92+#REF!+M95+M96</f>
        <v>#REF!</v>
      </c>
      <c r="N91" t="e">
        <f>N92+#REF!+N95+N96</f>
        <v>#REF!</v>
      </c>
      <c r="O91" t="e">
        <f>O92+#REF!+O95+O96</f>
        <v>#REF!</v>
      </c>
      <c r="P91" t="e">
        <f>P92+#REF!+P95+P96</f>
        <v>#REF!</v>
      </c>
      <c r="Q91" t="e">
        <f>Q92+#REF!+Q95+Q96</f>
        <v>#REF!</v>
      </c>
      <c r="R91" t="e">
        <f>R92+#REF!+R95+R96</f>
        <v>#REF!</v>
      </c>
      <c r="S91" t="e">
        <f>S92+#REF!+S95+S96</f>
        <v>#REF!</v>
      </c>
    </row>
    <row r="92" spans="1:19">
      <c r="A92" t="s">
        <v>23</v>
      </c>
      <c r="B92" t="s">
        <v>130</v>
      </c>
      <c r="C92" t="s">
        <v>2128</v>
      </c>
      <c r="D92" t="s">
        <v>168</v>
      </c>
      <c r="H92">
        <v>2700000000</v>
      </c>
      <c r="I92">
        <v>2808000000</v>
      </c>
      <c r="J92">
        <v>2952000000</v>
      </c>
      <c r="K92">
        <v>2988000000</v>
      </c>
      <c r="L92">
        <v>3060000000</v>
      </c>
      <c r="M92">
        <v>3132000000</v>
      </c>
      <c r="N92">
        <v>3168000000</v>
      </c>
      <c r="O92">
        <v>3096000000</v>
      </c>
      <c r="P92">
        <v>3024000000</v>
      </c>
      <c r="Q92">
        <v>2988000000</v>
      </c>
      <c r="R92">
        <v>2952000000</v>
      </c>
      <c r="S92">
        <v>3132000000</v>
      </c>
    </row>
    <row r="93" spans="1:19">
      <c r="A93" t="s">
        <v>23</v>
      </c>
      <c r="B93" t="s">
        <v>130</v>
      </c>
      <c r="C93" t="s">
        <v>2129</v>
      </c>
      <c r="D93" t="s">
        <v>748</v>
      </c>
      <c r="H93">
        <v>2700000000</v>
      </c>
      <c r="I93">
        <v>2808000000</v>
      </c>
      <c r="J93">
        <v>2952000000</v>
      </c>
      <c r="K93">
        <v>2988000000</v>
      </c>
      <c r="L93">
        <v>3060000000</v>
      </c>
      <c r="M93">
        <v>3132000000</v>
      </c>
      <c r="N93">
        <v>3168000000</v>
      </c>
      <c r="O93">
        <v>3096000000</v>
      </c>
      <c r="P93">
        <v>3024000000</v>
      </c>
      <c r="Q93">
        <v>2988000000</v>
      </c>
      <c r="R93">
        <v>2952000000</v>
      </c>
      <c r="S93">
        <v>3132000000</v>
      </c>
    </row>
    <row r="94" spans="1:19">
      <c r="A94" t="s">
        <v>23</v>
      </c>
      <c r="B94" t="s">
        <v>130</v>
      </c>
      <c r="C94" t="s">
        <v>2130</v>
      </c>
      <c r="D94" t="s">
        <v>750</v>
      </c>
      <c r="H94">
        <v>2700000000</v>
      </c>
      <c r="I94">
        <v>2808000000</v>
      </c>
      <c r="J94">
        <v>2952000000</v>
      </c>
      <c r="K94">
        <v>2988000000</v>
      </c>
      <c r="L94">
        <v>3060000000</v>
      </c>
      <c r="M94">
        <v>3132000000</v>
      </c>
      <c r="N94">
        <v>3168000000</v>
      </c>
      <c r="O94">
        <v>3096000000</v>
      </c>
      <c r="P94">
        <v>3024000000</v>
      </c>
      <c r="Q94">
        <v>2988000000</v>
      </c>
      <c r="R94">
        <v>2952000000</v>
      </c>
      <c r="S94">
        <v>3132000000</v>
      </c>
    </row>
    <row r="95" spans="1:19">
      <c r="A95" t="s">
        <v>23</v>
      </c>
      <c r="B95" t="s">
        <v>130</v>
      </c>
      <c r="C95" t="s">
        <v>2131</v>
      </c>
      <c r="D95" t="s">
        <v>170</v>
      </c>
      <c r="H95">
        <v>2700000000</v>
      </c>
      <c r="I95">
        <v>2808000000</v>
      </c>
      <c r="J95">
        <v>2952000000</v>
      </c>
      <c r="K95">
        <v>2988000000</v>
      </c>
      <c r="L95">
        <v>3060000000</v>
      </c>
      <c r="M95">
        <v>3132000000</v>
      </c>
      <c r="N95">
        <v>3168000000</v>
      </c>
      <c r="O95">
        <v>3096000000</v>
      </c>
      <c r="P95">
        <v>3024000000</v>
      </c>
      <c r="Q95">
        <v>2988000000</v>
      </c>
      <c r="R95">
        <v>2952000000</v>
      </c>
      <c r="S95">
        <v>3132000000</v>
      </c>
    </row>
    <row r="96" spans="1:19">
      <c r="A96" t="s">
        <v>23</v>
      </c>
      <c r="B96" t="s">
        <v>130</v>
      </c>
      <c r="C96" t="s">
        <v>2132</v>
      </c>
      <c r="D96" t="s">
        <v>753</v>
      </c>
      <c r="H96">
        <v>2700000000</v>
      </c>
      <c r="I96">
        <v>2808000000</v>
      </c>
      <c r="J96">
        <v>2952000000</v>
      </c>
      <c r="K96">
        <v>2988000000</v>
      </c>
      <c r="L96">
        <v>3060000000</v>
      </c>
      <c r="M96">
        <v>3132000000</v>
      </c>
      <c r="N96">
        <v>3168000000</v>
      </c>
      <c r="O96">
        <v>3096000000</v>
      </c>
      <c r="P96">
        <v>3024000000</v>
      </c>
      <c r="Q96">
        <v>2988000000</v>
      </c>
      <c r="R96">
        <v>2952000000</v>
      </c>
      <c r="S96">
        <v>3132000000</v>
      </c>
    </row>
    <row r="97" spans="1:19">
      <c r="A97" t="s">
        <v>23</v>
      </c>
      <c r="B97" t="s">
        <v>130</v>
      </c>
      <c r="C97" t="s">
        <v>2133</v>
      </c>
      <c r="D97" t="s">
        <v>2134</v>
      </c>
      <c r="H97">
        <v>2700000000</v>
      </c>
      <c r="I97">
        <v>2808000000</v>
      </c>
      <c r="J97">
        <v>2952000000</v>
      </c>
      <c r="K97">
        <v>2988000000</v>
      </c>
      <c r="L97">
        <v>3060000000</v>
      </c>
      <c r="M97">
        <v>3132000000</v>
      </c>
      <c r="N97">
        <v>3168000000</v>
      </c>
      <c r="O97">
        <v>3096000000</v>
      </c>
      <c r="P97">
        <v>3024000000</v>
      </c>
      <c r="Q97">
        <v>2988000000</v>
      </c>
      <c r="R97">
        <v>2952000000</v>
      </c>
      <c r="S97">
        <v>3132000000</v>
      </c>
    </row>
    <row r="98" spans="1:19">
      <c r="A98" t="s">
        <v>19</v>
      </c>
      <c r="B98" t="s">
        <v>143</v>
      </c>
      <c r="C98" t="s">
        <v>2135</v>
      </c>
      <c r="D98" t="s">
        <v>172</v>
      </c>
      <c r="H98">
        <f t="shared" ref="H98:S98" si="30">H99+H100+H101+H102+H103+H104</f>
        <v>16200000000</v>
      </c>
      <c r="I98">
        <f t="shared" si="30"/>
        <v>16848000000</v>
      </c>
      <c r="J98">
        <f t="shared" si="30"/>
        <v>17712000000</v>
      </c>
      <c r="K98">
        <f t="shared" si="30"/>
        <v>17928000000</v>
      </c>
      <c r="L98">
        <f t="shared" si="30"/>
        <v>18360000000</v>
      </c>
      <c r="M98">
        <f t="shared" si="30"/>
        <v>18792000000</v>
      </c>
      <c r="N98">
        <f t="shared" si="30"/>
        <v>19008000000</v>
      </c>
      <c r="O98">
        <f t="shared" si="30"/>
        <v>18576000000</v>
      </c>
      <c r="P98">
        <f t="shared" si="30"/>
        <v>18144000000</v>
      </c>
      <c r="Q98">
        <f t="shared" si="30"/>
        <v>17928000000</v>
      </c>
      <c r="R98">
        <f t="shared" si="30"/>
        <v>17712000000</v>
      </c>
      <c r="S98">
        <f t="shared" si="30"/>
        <v>18792000000</v>
      </c>
    </row>
    <row r="99" spans="1:19">
      <c r="A99" t="s">
        <v>23</v>
      </c>
      <c r="B99" t="s">
        <v>143</v>
      </c>
      <c r="C99" t="s">
        <v>2136</v>
      </c>
      <c r="D99" t="s">
        <v>168</v>
      </c>
      <c r="H99">
        <v>2700000000</v>
      </c>
      <c r="I99">
        <v>2808000000</v>
      </c>
      <c r="J99">
        <v>2952000000</v>
      </c>
      <c r="K99">
        <v>2988000000</v>
      </c>
      <c r="L99">
        <v>3060000000</v>
      </c>
      <c r="M99">
        <v>3132000000</v>
      </c>
      <c r="N99">
        <v>3168000000</v>
      </c>
      <c r="O99">
        <v>3096000000</v>
      </c>
      <c r="P99">
        <v>3024000000</v>
      </c>
      <c r="Q99">
        <v>2988000000</v>
      </c>
      <c r="R99">
        <v>2952000000</v>
      </c>
      <c r="S99">
        <v>3132000000</v>
      </c>
    </row>
    <row r="100" spans="1:19">
      <c r="A100" t="s">
        <v>23</v>
      </c>
      <c r="B100" t="s">
        <v>143</v>
      </c>
      <c r="C100" t="s">
        <v>2137</v>
      </c>
      <c r="D100" t="s">
        <v>748</v>
      </c>
      <c r="H100">
        <v>2700000000</v>
      </c>
      <c r="I100">
        <v>2808000000</v>
      </c>
      <c r="J100">
        <v>2952000000</v>
      </c>
      <c r="K100">
        <v>2988000000</v>
      </c>
      <c r="L100">
        <v>3060000000</v>
      </c>
      <c r="M100">
        <v>3132000000</v>
      </c>
      <c r="N100">
        <v>3168000000</v>
      </c>
      <c r="O100">
        <v>3096000000</v>
      </c>
      <c r="P100">
        <v>3024000000</v>
      </c>
      <c r="Q100">
        <v>2988000000</v>
      </c>
      <c r="R100">
        <v>2952000000</v>
      </c>
      <c r="S100">
        <v>3132000000</v>
      </c>
    </row>
    <row r="101" spans="1:19">
      <c r="A101" t="s">
        <v>23</v>
      </c>
      <c r="B101" t="s">
        <v>143</v>
      </c>
      <c r="C101" t="s">
        <v>2138</v>
      </c>
      <c r="D101" t="s">
        <v>750</v>
      </c>
      <c r="H101">
        <v>2700000000</v>
      </c>
      <c r="I101">
        <v>2808000000</v>
      </c>
      <c r="J101">
        <v>2952000000</v>
      </c>
      <c r="K101">
        <v>2988000000</v>
      </c>
      <c r="L101">
        <v>3060000000</v>
      </c>
      <c r="M101">
        <v>3132000000</v>
      </c>
      <c r="N101">
        <v>3168000000</v>
      </c>
      <c r="O101">
        <v>3096000000</v>
      </c>
      <c r="P101">
        <v>3024000000</v>
      </c>
      <c r="Q101">
        <v>2988000000</v>
      </c>
      <c r="R101">
        <v>2952000000</v>
      </c>
      <c r="S101">
        <v>3132000000</v>
      </c>
    </row>
    <row r="102" spans="1:19">
      <c r="A102" t="s">
        <v>23</v>
      </c>
      <c r="B102" t="s">
        <v>143</v>
      </c>
      <c r="C102" t="s">
        <v>2139</v>
      </c>
      <c r="D102" t="s">
        <v>170</v>
      </c>
      <c r="H102">
        <v>2700000000</v>
      </c>
      <c r="I102">
        <v>2808000000</v>
      </c>
      <c r="J102">
        <v>2952000000</v>
      </c>
      <c r="K102">
        <v>2988000000</v>
      </c>
      <c r="L102">
        <v>3060000000</v>
      </c>
      <c r="M102">
        <v>3132000000</v>
      </c>
      <c r="N102">
        <v>3168000000</v>
      </c>
      <c r="O102">
        <v>3096000000</v>
      </c>
      <c r="P102">
        <v>3024000000</v>
      </c>
      <c r="Q102">
        <v>2988000000</v>
      </c>
      <c r="R102">
        <v>2952000000</v>
      </c>
      <c r="S102">
        <v>3132000000</v>
      </c>
    </row>
    <row r="103" spans="1:19">
      <c r="A103" t="s">
        <v>23</v>
      </c>
      <c r="B103" t="s">
        <v>143</v>
      </c>
      <c r="C103" t="s">
        <v>2140</v>
      </c>
      <c r="D103" t="s">
        <v>753</v>
      </c>
      <c r="H103">
        <v>2700000000</v>
      </c>
      <c r="I103">
        <v>2808000000</v>
      </c>
      <c r="J103">
        <v>2952000000</v>
      </c>
      <c r="K103">
        <v>2988000000</v>
      </c>
      <c r="L103">
        <v>3060000000</v>
      </c>
      <c r="M103">
        <v>3132000000</v>
      </c>
      <c r="N103">
        <v>3168000000</v>
      </c>
      <c r="O103">
        <v>3096000000</v>
      </c>
      <c r="P103">
        <v>3024000000</v>
      </c>
      <c r="Q103">
        <v>2988000000</v>
      </c>
      <c r="R103">
        <v>2952000000</v>
      </c>
      <c r="S103">
        <v>3132000000</v>
      </c>
    </row>
    <row r="104" spans="1:19">
      <c r="A104" t="s">
        <v>23</v>
      </c>
      <c r="B104" t="s">
        <v>143</v>
      </c>
      <c r="C104" t="s">
        <v>2141</v>
      </c>
      <c r="D104" t="s">
        <v>2134</v>
      </c>
      <c r="H104">
        <v>2700000000</v>
      </c>
      <c r="I104">
        <v>2808000000</v>
      </c>
      <c r="J104">
        <v>2952000000</v>
      </c>
      <c r="K104">
        <v>2988000000</v>
      </c>
      <c r="L104">
        <v>3060000000</v>
      </c>
      <c r="M104">
        <v>3132000000</v>
      </c>
      <c r="N104">
        <v>3168000000</v>
      </c>
      <c r="O104">
        <v>3096000000</v>
      </c>
      <c r="P104">
        <v>3024000000</v>
      </c>
      <c r="Q104">
        <v>2988000000</v>
      </c>
      <c r="R104">
        <v>2952000000</v>
      </c>
      <c r="S104">
        <v>3132000000</v>
      </c>
    </row>
    <row r="105" spans="1:19">
      <c r="A105" t="s">
        <v>19</v>
      </c>
      <c r="B105" t="s">
        <v>20</v>
      </c>
      <c r="C105" t="s">
        <v>2142</v>
      </c>
      <c r="D105" t="s">
        <v>176</v>
      </c>
      <c r="H105">
        <f t="shared" ref="H105:S105" si="31">H106+H108+H119</f>
        <v>0</v>
      </c>
      <c r="I105">
        <f t="shared" si="31"/>
        <v>0</v>
      </c>
      <c r="J105">
        <f t="shared" si="31"/>
        <v>0</v>
      </c>
      <c r="K105">
        <f t="shared" si="31"/>
        <v>0</v>
      </c>
      <c r="L105">
        <f t="shared" si="31"/>
        <v>0</v>
      </c>
      <c r="M105">
        <f t="shared" si="31"/>
        <v>0</v>
      </c>
      <c r="N105">
        <f t="shared" si="31"/>
        <v>0</v>
      </c>
      <c r="O105">
        <f t="shared" si="31"/>
        <v>0</v>
      </c>
      <c r="P105">
        <f t="shared" si="31"/>
        <v>0</v>
      </c>
      <c r="Q105">
        <f t="shared" si="31"/>
        <v>0</v>
      </c>
      <c r="R105">
        <f t="shared" si="31"/>
        <v>0</v>
      </c>
      <c r="S105">
        <f t="shared" si="31"/>
        <v>0</v>
      </c>
    </row>
    <row r="106" spans="1:19">
      <c r="A106" t="s">
        <v>23</v>
      </c>
      <c r="B106" t="s">
        <v>20</v>
      </c>
      <c r="C106" t="s">
        <v>2143</v>
      </c>
      <c r="D106" t="s">
        <v>178</v>
      </c>
      <c r="K106">
        <f t="shared" ref="K106:S106" si="32">K35*K107</f>
        <v>0</v>
      </c>
      <c r="L106">
        <f t="shared" si="32"/>
        <v>0</v>
      </c>
      <c r="M106">
        <f t="shared" si="32"/>
        <v>0</v>
      </c>
      <c r="N106">
        <f t="shared" si="32"/>
        <v>0</v>
      </c>
      <c r="O106">
        <f t="shared" si="32"/>
        <v>0</v>
      </c>
      <c r="P106">
        <f t="shared" si="32"/>
        <v>0</v>
      </c>
      <c r="Q106">
        <f t="shared" si="32"/>
        <v>0</v>
      </c>
      <c r="R106">
        <f t="shared" si="32"/>
        <v>0</v>
      </c>
      <c r="S106">
        <f t="shared" si="32"/>
        <v>0</v>
      </c>
    </row>
    <row r="107" spans="1:19">
      <c r="A107" t="s">
        <v>26</v>
      </c>
      <c r="B107" t="s">
        <v>179</v>
      </c>
      <c r="C107" t="s">
        <v>2144</v>
      </c>
      <c r="D107" t="s">
        <v>1487</v>
      </c>
      <c r="H107" t="e">
        <f>H106/H35</f>
        <v>#DIV/0!</v>
      </c>
      <c r="I107" t="e">
        <f>I106/I35</f>
        <v>#DIV/0!</v>
      </c>
      <c r="J107" t="e">
        <f>J106/J35</f>
        <v>#DIV/0!</v>
      </c>
    </row>
    <row r="108" spans="1:19">
      <c r="A108" t="s">
        <v>23</v>
      </c>
      <c r="B108" t="s">
        <v>20</v>
      </c>
      <c r="C108" t="s">
        <v>2145</v>
      </c>
      <c r="D108" t="s">
        <v>225</v>
      </c>
      <c r="H108">
        <f t="shared" ref="H108:S108" si="33">H109+H111+H113+H115+H117</f>
        <v>0</v>
      </c>
      <c r="I108">
        <f t="shared" si="33"/>
        <v>0</v>
      </c>
      <c r="J108">
        <f t="shared" si="33"/>
        <v>0</v>
      </c>
      <c r="K108">
        <f t="shared" si="33"/>
        <v>0</v>
      </c>
      <c r="L108">
        <f t="shared" si="33"/>
        <v>0</v>
      </c>
      <c r="M108">
        <f t="shared" si="33"/>
        <v>0</v>
      </c>
      <c r="N108">
        <f t="shared" si="33"/>
        <v>0</v>
      </c>
      <c r="O108">
        <f t="shared" si="33"/>
        <v>0</v>
      </c>
      <c r="P108">
        <f t="shared" si="33"/>
        <v>0</v>
      </c>
      <c r="Q108">
        <f t="shared" si="33"/>
        <v>0</v>
      </c>
      <c r="R108">
        <f t="shared" si="33"/>
        <v>0</v>
      </c>
      <c r="S108">
        <f t="shared" si="33"/>
        <v>0</v>
      </c>
    </row>
    <row r="109" spans="1:19">
      <c r="A109" t="s">
        <v>26</v>
      </c>
      <c r="B109" t="s">
        <v>20</v>
      </c>
      <c r="C109" t="s">
        <v>2146</v>
      </c>
      <c r="D109" t="s">
        <v>729</v>
      </c>
      <c r="K109">
        <f t="shared" ref="K109:S109" si="34">K40*K110</f>
        <v>0</v>
      </c>
      <c r="L109">
        <f t="shared" si="34"/>
        <v>0</v>
      </c>
      <c r="M109">
        <f t="shared" si="34"/>
        <v>0</v>
      </c>
      <c r="N109">
        <f t="shared" si="34"/>
        <v>0</v>
      </c>
      <c r="O109">
        <f t="shared" si="34"/>
        <v>0</v>
      </c>
      <c r="P109">
        <f t="shared" si="34"/>
        <v>0</v>
      </c>
      <c r="Q109">
        <f t="shared" si="34"/>
        <v>0</v>
      </c>
      <c r="R109">
        <f t="shared" si="34"/>
        <v>0</v>
      </c>
      <c r="S109">
        <f t="shared" si="34"/>
        <v>0</v>
      </c>
    </row>
    <row r="110" spans="1:19">
      <c r="A110" t="s">
        <v>60</v>
      </c>
      <c r="B110" t="s">
        <v>179</v>
      </c>
      <c r="C110" t="s">
        <v>2147</v>
      </c>
      <c r="D110" t="s">
        <v>2148</v>
      </c>
      <c r="H110" t="e">
        <f>H109/H40</f>
        <v>#DIV/0!</v>
      </c>
      <c r="I110" t="e">
        <f>I109/I40</f>
        <v>#DIV/0!</v>
      </c>
      <c r="J110" t="e">
        <f>J109/J40</f>
        <v>#DIV/0!</v>
      </c>
    </row>
    <row r="111" spans="1:19">
      <c r="A111" t="s">
        <v>26</v>
      </c>
      <c r="B111" t="s">
        <v>20</v>
      </c>
      <c r="C111" t="s">
        <v>2149</v>
      </c>
      <c r="D111" t="s">
        <v>153</v>
      </c>
      <c r="K111">
        <f t="shared" ref="K111:S111" si="35">K69*K112</f>
        <v>0</v>
      </c>
      <c r="L111">
        <f t="shared" si="35"/>
        <v>0</v>
      </c>
      <c r="M111">
        <f t="shared" si="35"/>
        <v>0</v>
      </c>
      <c r="N111">
        <f t="shared" si="35"/>
        <v>0</v>
      </c>
      <c r="O111">
        <f t="shared" si="35"/>
        <v>0</v>
      </c>
      <c r="P111">
        <f t="shared" si="35"/>
        <v>0</v>
      </c>
      <c r="Q111">
        <f t="shared" si="35"/>
        <v>0</v>
      </c>
      <c r="R111">
        <f t="shared" si="35"/>
        <v>0</v>
      </c>
      <c r="S111">
        <f t="shared" si="35"/>
        <v>0</v>
      </c>
    </row>
    <row r="112" spans="1:19">
      <c r="A112" t="s">
        <v>60</v>
      </c>
      <c r="B112" t="s">
        <v>179</v>
      </c>
      <c r="C112" t="s">
        <v>2150</v>
      </c>
      <c r="D112" t="s">
        <v>2148</v>
      </c>
      <c r="H112">
        <f>H111/H69</f>
        <v>0</v>
      </c>
      <c r="I112">
        <f>I111/I69</f>
        <v>0</v>
      </c>
      <c r="J112">
        <f>J111/J69</f>
        <v>0</v>
      </c>
    </row>
    <row r="113" spans="1:19">
      <c r="A113" t="s">
        <v>26</v>
      </c>
      <c r="B113" t="s">
        <v>20</v>
      </c>
      <c r="C113" t="s">
        <v>2151</v>
      </c>
      <c r="D113" t="s">
        <v>734</v>
      </c>
      <c r="K113">
        <f t="shared" ref="K113:S113" si="36">K70*K114</f>
        <v>0</v>
      </c>
      <c r="L113">
        <f t="shared" si="36"/>
        <v>0</v>
      </c>
      <c r="M113">
        <f t="shared" si="36"/>
        <v>0</v>
      </c>
      <c r="N113">
        <f t="shared" si="36"/>
        <v>0</v>
      </c>
      <c r="O113">
        <f t="shared" si="36"/>
        <v>0</v>
      </c>
      <c r="P113">
        <f t="shared" si="36"/>
        <v>0</v>
      </c>
      <c r="Q113">
        <f t="shared" si="36"/>
        <v>0</v>
      </c>
      <c r="R113">
        <f t="shared" si="36"/>
        <v>0</v>
      </c>
      <c r="S113">
        <f t="shared" si="36"/>
        <v>0</v>
      </c>
    </row>
    <row r="114" spans="1:19">
      <c r="A114" t="s">
        <v>60</v>
      </c>
      <c r="B114" t="s">
        <v>179</v>
      </c>
      <c r="C114" t="s">
        <v>2152</v>
      </c>
      <c r="D114" t="s">
        <v>2148</v>
      </c>
      <c r="H114">
        <f>H113/H70</f>
        <v>0</v>
      </c>
      <c r="I114">
        <f>I113/I70</f>
        <v>0</v>
      </c>
      <c r="J114">
        <f>J113/J70</f>
        <v>0</v>
      </c>
    </row>
    <row r="115" spans="1:19">
      <c r="A115" t="s">
        <v>26</v>
      </c>
      <c r="B115" t="s">
        <v>20</v>
      </c>
      <c r="C115" t="s">
        <v>2153</v>
      </c>
      <c r="D115" t="s">
        <v>155</v>
      </c>
      <c r="K115">
        <f t="shared" ref="K115:S115" si="37">K71*K116</f>
        <v>0</v>
      </c>
      <c r="L115">
        <f t="shared" si="37"/>
        <v>0</v>
      </c>
      <c r="M115">
        <f t="shared" si="37"/>
        <v>0</v>
      </c>
      <c r="N115">
        <f t="shared" si="37"/>
        <v>0</v>
      </c>
      <c r="O115">
        <f t="shared" si="37"/>
        <v>0</v>
      </c>
      <c r="P115">
        <f t="shared" si="37"/>
        <v>0</v>
      </c>
      <c r="Q115">
        <f t="shared" si="37"/>
        <v>0</v>
      </c>
      <c r="R115">
        <f t="shared" si="37"/>
        <v>0</v>
      </c>
      <c r="S115">
        <f t="shared" si="37"/>
        <v>0</v>
      </c>
    </row>
    <row r="116" spans="1:19">
      <c r="A116" t="s">
        <v>60</v>
      </c>
      <c r="B116" t="s">
        <v>179</v>
      </c>
      <c r="C116" t="s">
        <v>2154</v>
      </c>
      <c r="D116" t="s">
        <v>2148</v>
      </c>
      <c r="H116">
        <f>H115/H71</f>
        <v>0</v>
      </c>
      <c r="I116">
        <f>I115/I71</f>
        <v>0</v>
      </c>
      <c r="J116">
        <f>J115/J71</f>
        <v>0</v>
      </c>
    </row>
    <row r="117" spans="1:19">
      <c r="A117" t="s">
        <v>26</v>
      </c>
      <c r="B117" t="s">
        <v>20</v>
      </c>
      <c r="C117" t="s">
        <v>2155</v>
      </c>
      <c r="D117" t="s">
        <v>738</v>
      </c>
      <c r="K117">
        <f t="shared" ref="K117:S117" si="38">K83*K118</f>
        <v>0</v>
      </c>
      <c r="L117">
        <f t="shared" si="38"/>
        <v>0</v>
      </c>
      <c r="M117">
        <f t="shared" si="38"/>
        <v>0</v>
      </c>
      <c r="N117">
        <f t="shared" si="38"/>
        <v>0</v>
      </c>
      <c r="O117">
        <f t="shared" si="38"/>
        <v>0</v>
      </c>
      <c r="P117">
        <f t="shared" si="38"/>
        <v>0</v>
      </c>
      <c r="Q117">
        <f t="shared" si="38"/>
        <v>0</v>
      </c>
      <c r="R117">
        <f t="shared" si="38"/>
        <v>0</v>
      </c>
      <c r="S117">
        <f t="shared" si="38"/>
        <v>0</v>
      </c>
    </row>
    <row r="118" spans="1:19">
      <c r="A118" t="s">
        <v>60</v>
      </c>
      <c r="B118" t="s">
        <v>179</v>
      </c>
      <c r="C118" t="s">
        <v>2156</v>
      </c>
      <c r="D118" t="s">
        <v>2148</v>
      </c>
      <c r="H118">
        <f>H117/H83</f>
        <v>0</v>
      </c>
      <c r="I118">
        <f>I117/I83</f>
        <v>0</v>
      </c>
      <c r="J118">
        <f>J117/J83</f>
        <v>0</v>
      </c>
    </row>
    <row r="119" spans="1:19">
      <c r="A119" t="s">
        <v>23</v>
      </c>
      <c r="B119" t="s">
        <v>20</v>
      </c>
      <c r="C119" t="s">
        <v>2157</v>
      </c>
      <c r="D119" t="s">
        <v>235</v>
      </c>
      <c r="H119">
        <f t="shared" ref="H119:S119" si="39">H120+H122+H124+H126+H128+H130+H132+H134+H136+H138</f>
        <v>0</v>
      </c>
      <c r="I119">
        <f t="shared" si="39"/>
        <v>0</v>
      </c>
      <c r="J119">
        <f t="shared" si="39"/>
        <v>0</v>
      </c>
      <c r="K119">
        <f t="shared" si="39"/>
        <v>0</v>
      </c>
      <c r="L119">
        <f t="shared" si="39"/>
        <v>0</v>
      </c>
      <c r="M119">
        <f t="shared" si="39"/>
        <v>0</v>
      </c>
      <c r="N119">
        <f t="shared" si="39"/>
        <v>0</v>
      </c>
      <c r="O119">
        <f t="shared" si="39"/>
        <v>0</v>
      </c>
      <c r="P119">
        <f t="shared" si="39"/>
        <v>0</v>
      </c>
      <c r="Q119">
        <f t="shared" si="39"/>
        <v>0</v>
      </c>
      <c r="R119">
        <f t="shared" si="39"/>
        <v>0</v>
      </c>
      <c r="S119">
        <f t="shared" si="39"/>
        <v>0</v>
      </c>
    </row>
    <row r="120" spans="1:19">
      <c r="A120" t="s">
        <v>26</v>
      </c>
      <c r="B120" t="s">
        <v>20</v>
      </c>
      <c r="C120" t="s">
        <v>2158</v>
      </c>
      <c r="D120" t="s">
        <v>2067</v>
      </c>
      <c r="K120">
        <f t="shared" ref="K120:S120" si="40">K73*K121</f>
        <v>0</v>
      </c>
      <c r="L120">
        <f t="shared" si="40"/>
        <v>0</v>
      </c>
      <c r="M120">
        <f t="shared" si="40"/>
        <v>0</v>
      </c>
      <c r="N120">
        <f t="shared" si="40"/>
        <v>0</v>
      </c>
      <c r="O120">
        <f t="shared" si="40"/>
        <v>0</v>
      </c>
      <c r="P120">
        <f t="shared" si="40"/>
        <v>0</v>
      </c>
      <c r="Q120">
        <f t="shared" si="40"/>
        <v>0</v>
      </c>
      <c r="R120">
        <f t="shared" si="40"/>
        <v>0</v>
      </c>
      <c r="S120">
        <f t="shared" si="40"/>
        <v>0</v>
      </c>
    </row>
    <row r="121" spans="1:19">
      <c r="A121" t="s">
        <v>60</v>
      </c>
      <c r="B121" t="s">
        <v>179</v>
      </c>
      <c r="C121" t="s">
        <v>2159</v>
      </c>
      <c r="D121" t="s">
        <v>2148</v>
      </c>
      <c r="H121">
        <f>H120/H73</f>
        <v>0</v>
      </c>
      <c r="I121">
        <f>I120/I73</f>
        <v>0</v>
      </c>
      <c r="J121">
        <f>J120/J73</f>
        <v>0</v>
      </c>
    </row>
    <row r="122" spans="1:19">
      <c r="A122" t="s">
        <v>26</v>
      </c>
      <c r="B122" t="s">
        <v>20</v>
      </c>
      <c r="C122" t="s">
        <v>2160</v>
      </c>
      <c r="D122" t="s">
        <v>2073</v>
      </c>
      <c r="K122">
        <f t="shared" ref="K122:S122" si="41">K74*K123</f>
        <v>0</v>
      </c>
      <c r="L122">
        <f t="shared" si="41"/>
        <v>0</v>
      </c>
      <c r="M122">
        <f t="shared" si="41"/>
        <v>0</v>
      </c>
      <c r="N122">
        <f t="shared" si="41"/>
        <v>0</v>
      </c>
      <c r="O122">
        <f t="shared" si="41"/>
        <v>0</v>
      </c>
      <c r="P122">
        <f t="shared" si="41"/>
        <v>0</v>
      </c>
      <c r="Q122">
        <f t="shared" si="41"/>
        <v>0</v>
      </c>
      <c r="R122">
        <f t="shared" si="41"/>
        <v>0</v>
      </c>
      <c r="S122">
        <f t="shared" si="41"/>
        <v>0</v>
      </c>
    </row>
    <row r="123" spans="1:19">
      <c r="A123" t="s">
        <v>60</v>
      </c>
      <c r="B123" t="s">
        <v>179</v>
      </c>
      <c r="C123" t="s">
        <v>2161</v>
      </c>
      <c r="D123" t="s">
        <v>2148</v>
      </c>
      <c r="H123">
        <f>H122/H74</f>
        <v>0</v>
      </c>
      <c r="I123">
        <f>I122/I74</f>
        <v>0</v>
      </c>
      <c r="J123">
        <f>J122/J74</f>
        <v>0</v>
      </c>
    </row>
    <row r="124" spans="1:19">
      <c r="A124" t="s">
        <v>26</v>
      </c>
      <c r="B124" t="s">
        <v>20</v>
      </c>
      <c r="C124" t="s">
        <v>2162</v>
      </c>
      <c r="D124" t="s">
        <v>2075</v>
      </c>
      <c r="K124">
        <f t="shared" ref="K124:S124" si="42">K75*K125</f>
        <v>0</v>
      </c>
      <c r="L124">
        <f t="shared" si="42"/>
        <v>0</v>
      </c>
      <c r="M124">
        <f t="shared" si="42"/>
        <v>0</v>
      </c>
      <c r="N124">
        <f t="shared" si="42"/>
        <v>0</v>
      </c>
      <c r="O124">
        <f t="shared" si="42"/>
        <v>0</v>
      </c>
      <c r="P124">
        <f t="shared" si="42"/>
        <v>0</v>
      </c>
      <c r="Q124">
        <f t="shared" si="42"/>
        <v>0</v>
      </c>
      <c r="R124">
        <f t="shared" si="42"/>
        <v>0</v>
      </c>
      <c r="S124">
        <f t="shared" si="42"/>
        <v>0</v>
      </c>
    </row>
    <row r="125" spans="1:19">
      <c r="A125" t="s">
        <v>60</v>
      </c>
      <c r="B125" t="s">
        <v>179</v>
      </c>
      <c r="C125" t="s">
        <v>2163</v>
      </c>
      <c r="D125" t="s">
        <v>2148</v>
      </c>
      <c r="H125">
        <f>H124/H75</f>
        <v>0</v>
      </c>
      <c r="I125">
        <f>I124/I75</f>
        <v>0</v>
      </c>
      <c r="J125">
        <f>J124/J75</f>
        <v>0</v>
      </c>
    </row>
    <row r="126" spans="1:19">
      <c r="A126" t="s">
        <v>26</v>
      </c>
      <c r="B126" t="s">
        <v>20</v>
      </c>
      <c r="C126" t="s">
        <v>2164</v>
      </c>
      <c r="D126" t="s">
        <v>2077</v>
      </c>
      <c r="K126">
        <f t="shared" ref="K126:S126" si="43">K76*K127</f>
        <v>0</v>
      </c>
      <c r="L126">
        <f t="shared" si="43"/>
        <v>0</v>
      </c>
      <c r="M126">
        <f t="shared" si="43"/>
        <v>0</v>
      </c>
      <c r="N126">
        <f t="shared" si="43"/>
        <v>0</v>
      </c>
      <c r="O126">
        <f t="shared" si="43"/>
        <v>0</v>
      </c>
      <c r="P126">
        <f t="shared" si="43"/>
        <v>0</v>
      </c>
      <c r="Q126">
        <f t="shared" si="43"/>
        <v>0</v>
      </c>
      <c r="R126">
        <f t="shared" si="43"/>
        <v>0</v>
      </c>
      <c r="S126">
        <f t="shared" si="43"/>
        <v>0</v>
      </c>
    </row>
    <row r="127" spans="1:19">
      <c r="A127" t="s">
        <v>60</v>
      </c>
      <c r="B127" t="s">
        <v>179</v>
      </c>
      <c r="C127" t="s">
        <v>2165</v>
      </c>
      <c r="D127" t="s">
        <v>2148</v>
      </c>
      <c r="H127">
        <f>H126/H76</f>
        <v>0</v>
      </c>
      <c r="I127">
        <f>I126/I76</f>
        <v>0</v>
      </c>
      <c r="J127">
        <f>J126/J76</f>
        <v>0</v>
      </c>
    </row>
    <row r="128" spans="1:19">
      <c r="A128" t="s">
        <v>26</v>
      </c>
      <c r="B128" t="s">
        <v>20</v>
      </c>
      <c r="C128" t="s">
        <v>2166</v>
      </c>
      <c r="D128" t="s">
        <v>2079</v>
      </c>
      <c r="K128">
        <f t="shared" ref="K128:S128" si="44">K77*K129</f>
        <v>0</v>
      </c>
      <c r="L128">
        <f t="shared" si="44"/>
        <v>0</v>
      </c>
      <c r="M128">
        <f t="shared" si="44"/>
        <v>0</v>
      </c>
      <c r="N128">
        <f t="shared" si="44"/>
        <v>0</v>
      </c>
      <c r="O128">
        <f t="shared" si="44"/>
        <v>0</v>
      </c>
      <c r="P128">
        <f t="shared" si="44"/>
        <v>0</v>
      </c>
      <c r="Q128">
        <f t="shared" si="44"/>
        <v>0</v>
      </c>
      <c r="R128">
        <f t="shared" si="44"/>
        <v>0</v>
      </c>
      <c r="S128">
        <f t="shared" si="44"/>
        <v>0</v>
      </c>
    </row>
    <row r="129" spans="1:19">
      <c r="A129" t="s">
        <v>60</v>
      </c>
      <c r="B129" t="s">
        <v>179</v>
      </c>
      <c r="C129" t="s">
        <v>2167</v>
      </c>
      <c r="D129" t="s">
        <v>2148</v>
      </c>
      <c r="H129">
        <f>H128/H77</f>
        <v>0</v>
      </c>
      <c r="I129">
        <f>I128/I77</f>
        <v>0</v>
      </c>
      <c r="J129">
        <f>J128/J77</f>
        <v>0</v>
      </c>
    </row>
    <row r="130" spans="1:19">
      <c r="A130" t="s">
        <v>26</v>
      </c>
      <c r="B130" t="s">
        <v>20</v>
      </c>
      <c r="C130" t="s">
        <v>2168</v>
      </c>
      <c r="D130" t="s">
        <v>2081</v>
      </c>
      <c r="K130">
        <f t="shared" ref="K130:S130" si="45">K78*K131</f>
        <v>0</v>
      </c>
      <c r="L130">
        <f t="shared" si="45"/>
        <v>0</v>
      </c>
      <c r="M130">
        <f t="shared" si="45"/>
        <v>0</v>
      </c>
      <c r="N130">
        <f t="shared" si="45"/>
        <v>0</v>
      </c>
      <c r="O130">
        <f t="shared" si="45"/>
        <v>0</v>
      </c>
      <c r="P130">
        <f t="shared" si="45"/>
        <v>0</v>
      </c>
      <c r="Q130">
        <f t="shared" si="45"/>
        <v>0</v>
      </c>
      <c r="R130">
        <f t="shared" si="45"/>
        <v>0</v>
      </c>
      <c r="S130">
        <f t="shared" si="45"/>
        <v>0</v>
      </c>
    </row>
    <row r="131" spans="1:19">
      <c r="A131" t="s">
        <v>60</v>
      </c>
      <c r="B131" t="s">
        <v>179</v>
      </c>
      <c r="C131" t="s">
        <v>2169</v>
      </c>
      <c r="D131" t="s">
        <v>2148</v>
      </c>
      <c r="H131">
        <f>H130/H78</f>
        <v>0</v>
      </c>
      <c r="I131">
        <f>I130/I78</f>
        <v>0</v>
      </c>
      <c r="J131">
        <f>J130/J78</f>
        <v>0</v>
      </c>
    </row>
    <row r="132" spans="1:19">
      <c r="A132" t="s">
        <v>26</v>
      </c>
      <c r="B132" t="s">
        <v>20</v>
      </c>
      <c r="C132" t="s">
        <v>2170</v>
      </c>
      <c r="D132" t="s">
        <v>2083</v>
      </c>
      <c r="K132">
        <f t="shared" ref="K132:S132" si="46">K79*K133</f>
        <v>0</v>
      </c>
      <c r="L132">
        <f t="shared" si="46"/>
        <v>0</v>
      </c>
      <c r="M132">
        <f t="shared" si="46"/>
        <v>0</v>
      </c>
      <c r="N132">
        <f t="shared" si="46"/>
        <v>0</v>
      </c>
      <c r="O132">
        <f t="shared" si="46"/>
        <v>0</v>
      </c>
      <c r="P132">
        <f t="shared" si="46"/>
        <v>0</v>
      </c>
      <c r="Q132">
        <f t="shared" si="46"/>
        <v>0</v>
      </c>
      <c r="R132">
        <f t="shared" si="46"/>
        <v>0</v>
      </c>
      <c r="S132">
        <f t="shared" si="46"/>
        <v>0</v>
      </c>
    </row>
    <row r="133" spans="1:19">
      <c r="A133" t="s">
        <v>60</v>
      </c>
      <c r="B133" t="s">
        <v>179</v>
      </c>
      <c r="C133" t="s">
        <v>2171</v>
      </c>
      <c r="D133" t="s">
        <v>2148</v>
      </c>
      <c r="H133">
        <f>H132/H79</f>
        <v>0</v>
      </c>
      <c r="I133">
        <f>I132/I79</f>
        <v>0</v>
      </c>
      <c r="J133">
        <f>J132/J79</f>
        <v>0</v>
      </c>
    </row>
    <row r="134" spans="1:19">
      <c r="A134" t="s">
        <v>26</v>
      </c>
      <c r="B134" t="s">
        <v>20</v>
      </c>
      <c r="C134" t="s">
        <v>2172</v>
      </c>
      <c r="D134" t="s">
        <v>2085</v>
      </c>
      <c r="K134">
        <f t="shared" ref="K134:S134" si="47">K80*K135</f>
        <v>0</v>
      </c>
      <c r="L134">
        <f t="shared" si="47"/>
        <v>0</v>
      </c>
      <c r="M134">
        <f t="shared" si="47"/>
        <v>0</v>
      </c>
      <c r="N134">
        <f t="shared" si="47"/>
        <v>0</v>
      </c>
      <c r="O134">
        <f t="shared" si="47"/>
        <v>0</v>
      </c>
      <c r="P134">
        <f t="shared" si="47"/>
        <v>0</v>
      </c>
      <c r="Q134">
        <f t="shared" si="47"/>
        <v>0</v>
      </c>
      <c r="R134">
        <f t="shared" si="47"/>
        <v>0</v>
      </c>
      <c r="S134">
        <f t="shared" si="47"/>
        <v>0</v>
      </c>
    </row>
    <row r="135" spans="1:19">
      <c r="A135" t="s">
        <v>60</v>
      </c>
      <c r="B135" t="s">
        <v>179</v>
      </c>
      <c r="C135" t="s">
        <v>2173</v>
      </c>
      <c r="D135" t="s">
        <v>2148</v>
      </c>
      <c r="H135">
        <f>H134/H80</f>
        <v>0</v>
      </c>
      <c r="I135">
        <f>I134/I80</f>
        <v>0</v>
      </c>
      <c r="J135">
        <f>J134/J80</f>
        <v>0</v>
      </c>
    </row>
    <row r="136" spans="1:19">
      <c r="A136" t="s">
        <v>26</v>
      </c>
      <c r="B136" t="s">
        <v>20</v>
      </c>
      <c r="C136" t="s">
        <v>2174</v>
      </c>
      <c r="D136" t="s">
        <v>2175</v>
      </c>
      <c r="K136">
        <f t="shared" ref="K136:S136" si="48">K81*K137</f>
        <v>0</v>
      </c>
      <c r="L136">
        <f t="shared" si="48"/>
        <v>0</v>
      </c>
      <c r="M136">
        <f t="shared" si="48"/>
        <v>0</v>
      </c>
      <c r="N136">
        <f t="shared" si="48"/>
        <v>0</v>
      </c>
      <c r="O136">
        <f t="shared" si="48"/>
        <v>0</v>
      </c>
      <c r="P136">
        <f t="shared" si="48"/>
        <v>0</v>
      </c>
      <c r="Q136">
        <f t="shared" si="48"/>
        <v>0</v>
      </c>
      <c r="R136">
        <f t="shared" si="48"/>
        <v>0</v>
      </c>
      <c r="S136">
        <f t="shared" si="48"/>
        <v>0</v>
      </c>
    </row>
    <row r="137" spans="1:19">
      <c r="A137" t="s">
        <v>60</v>
      </c>
      <c r="B137" t="s">
        <v>179</v>
      </c>
      <c r="C137" t="s">
        <v>2176</v>
      </c>
      <c r="D137" t="s">
        <v>2148</v>
      </c>
      <c r="H137">
        <f>H136/H81</f>
        <v>0</v>
      </c>
      <c r="I137">
        <f>I136/I81</f>
        <v>0</v>
      </c>
      <c r="J137">
        <f>J136/J81</f>
        <v>0</v>
      </c>
    </row>
    <row r="138" spans="1:19">
      <c r="A138" t="s">
        <v>26</v>
      </c>
      <c r="B138" t="s">
        <v>20</v>
      </c>
      <c r="C138" t="s">
        <v>2177</v>
      </c>
      <c r="D138" t="s">
        <v>2090</v>
      </c>
      <c r="K138">
        <f t="shared" ref="K138:S138" si="49">K82*K139</f>
        <v>0</v>
      </c>
      <c r="L138">
        <f t="shared" si="49"/>
        <v>0</v>
      </c>
      <c r="M138">
        <f t="shared" si="49"/>
        <v>0</v>
      </c>
      <c r="N138">
        <f t="shared" si="49"/>
        <v>0</v>
      </c>
      <c r="O138">
        <f t="shared" si="49"/>
        <v>0</v>
      </c>
      <c r="P138">
        <f t="shared" si="49"/>
        <v>0</v>
      </c>
      <c r="Q138">
        <f t="shared" si="49"/>
        <v>0</v>
      </c>
      <c r="R138">
        <f t="shared" si="49"/>
        <v>0</v>
      </c>
      <c r="S138">
        <f t="shared" si="49"/>
        <v>0</v>
      </c>
    </row>
    <row r="139" spans="1:19">
      <c r="A139" t="s">
        <v>60</v>
      </c>
      <c r="B139" t="s">
        <v>179</v>
      </c>
      <c r="C139" t="s">
        <v>2178</v>
      </c>
      <c r="D139" t="s">
        <v>2148</v>
      </c>
      <c r="H139" t="e">
        <f>H138/H82</f>
        <v>#DIV/0!</v>
      </c>
      <c r="I139" t="e">
        <f>I138/I82</f>
        <v>#DIV/0!</v>
      </c>
      <c r="J139" t="e">
        <f>J138/J82</f>
        <v>#DIV/0!</v>
      </c>
    </row>
    <row r="140" spans="1:19">
      <c r="A140" t="s">
        <v>19</v>
      </c>
      <c r="B140" t="s">
        <v>35</v>
      </c>
      <c r="C140" t="s">
        <v>2179</v>
      </c>
      <c r="D140" t="s">
        <v>241</v>
      </c>
      <c r="H140">
        <f t="shared" ref="H140:S140" si="50">H141+H143+H154</f>
        <v>1500000000</v>
      </c>
      <c r="I140">
        <f t="shared" si="50"/>
        <v>1560000000</v>
      </c>
      <c r="J140">
        <f t="shared" si="50"/>
        <v>1640000000</v>
      </c>
      <c r="K140">
        <f t="shared" si="50"/>
        <v>8.2668e+18</v>
      </c>
      <c r="L140">
        <f t="shared" si="50"/>
        <v>8.67e+18</v>
      </c>
      <c r="M140">
        <f t="shared" si="50"/>
        <v>9.0828e+18</v>
      </c>
      <c r="N140">
        <f t="shared" si="50"/>
        <v>9.2928e+18</v>
      </c>
      <c r="O140">
        <f t="shared" si="50"/>
        <v>8.8752e+18</v>
      </c>
      <c r="P140">
        <f t="shared" si="50"/>
        <v>8.4672e+18</v>
      </c>
      <c r="Q140">
        <f t="shared" si="50"/>
        <v>8.2668e+18</v>
      </c>
      <c r="R140">
        <f t="shared" si="50"/>
        <v>8.0688e+18</v>
      </c>
      <c r="S140">
        <f t="shared" si="50"/>
        <v>9.0828e+18</v>
      </c>
    </row>
    <row r="141" spans="1:19">
      <c r="A141" t="s">
        <v>23</v>
      </c>
      <c r="B141" t="s">
        <v>35</v>
      </c>
      <c r="C141" t="s">
        <v>2180</v>
      </c>
      <c r="D141" t="s">
        <v>243</v>
      </c>
      <c r="K141">
        <f t="shared" ref="K141:S141" si="51">K35*K142</f>
        <v>0</v>
      </c>
      <c r="L141">
        <f t="shared" si="51"/>
        <v>0</v>
      </c>
      <c r="M141">
        <f t="shared" si="51"/>
        <v>0</v>
      </c>
      <c r="N141">
        <f t="shared" si="51"/>
        <v>0</v>
      </c>
      <c r="O141">
        <f t="shared" si="51"/>
        <v>0</v>
      </c>
      <c r="P141">
        <f t="shared" si="51"/>
        <v>0</v>
      </c>
      <c r="Q141">
        <f t="shared" si="51"/>
        <v>0</v>
      </c>
      <c r="R141">
        <f t="shared" si="51"/>
        <v>0</v>
      </c>
      <c r="S141">
        <f t="shared" si="51"/>
        <v>0</v>
      </c>
    </row>
    <row r="142" spans="1:19">
      <c r="A142" t="s">
        <v>26</v>
      </c>
      <c r="B142" t="s">
        <v>179</v>
      </c>
      <c r="C142" t="s">
        <v>2181</v>
      </c>
      <c r="D142" t="s">
        <v>1491</v>
      </c>
      <c r="H142" t="e">
        <f>H141/H35</f>
        <v>#DIV/0!</v>
      </c>
      <c r="I142" t="e">
        <f>I141/I35</f>
        <v>#DIV/0!</v>
      </c>
      <c r="J142" t="e">
        <f>J141/J35</f>
        <v>#DIV/0!</v>
      </c>
    </row>
    <row r="143" spans="1:19">
      <c r="A143" t="s">
        <v>23</v>
      </c>
      <c r="B143" t="s">
        <v>35</v>
      </c>
      <c r="C143" t="s">
        <v>2182</v>
      </c>
      <c r="D143" t="s">
        <v>265</v>
      </c>
      <c r="H143">
        <f t="shared" ref="H143:S143" si="52">H144+H146+H148+H150+H152</f>
        <v>0</v>
      </c>
      <c r="I143">
        <f t="shared" si="52"/>
        <v>0</v>
      </c>
      <c r="J143">
        <f t="shared" si="52"/>
        <v>0</v>
      </c>
      <c r="K143">
        <f t="shared" si="52"/>
        <v>0</v>
      </c>
      <c r="L143">
        <f t="shared" si="52"/>
        <v>0</v>
      </c>
      <c r="M143">
        <f t="shared" si="52"/>
        <v>0</v>
      </c>
      <c r="N143">
        <f t="shared" si="52"/>
        <v>0</v>
      </c>
      <c r="O143">
        <f t="shared" si="52"/>
        <v>0</v>
      </c>
      <c r="P143">
        <f t="shared" si="52"/>
        <v>0</v>
      </c>
      <c r="Q143">
        <f t="shared" si="52"/>
        <v>0</v>
      </c>
      <c r="R143">
        <f t="shared" si="52"/>
        <v>0</v>
      </c>
      <c r="S143">
        <f t="shared" si="52"/>
        <v>0</v>
      </c>
    </row>
    <row r="144" spans="1:19">
      <c r="A144" t="s">
        <v>26</v>
      </c>
      <c r="B144" t="s">
        <v>35</v>
      </c>
      <c r="C144" t="s">
        <v>2183</v>
      </c>
      <c r="D144" t="s">
        <v>729</v>
      </c>
      <c r="H144">
        <f t="shared" ref="H144:S144" si="53">H109</f>
        <v>0</v>
      </c>
      <c r="I144">
        <f t="shared" si="53"/>
        <v>0</v>
      </c>
      <c r="J144">
        <f t="shared" si="53"/>
        <v>0</v>
      </c>
      <c r="K144">
        <f t="shared" si="53"/>
        <v>0</v>
      </c>
      <c r="L144">
        <f t="shared" si="53"/>
        <v>0</v>
      </c>
      <c r="M144">
        <f t="shared" si="53"/>
        <v>0</v>
      </c>
      <c r="N144">
        <f t="shared" si="53"/>
        <v>0</v>
      </c>
      <c r="O144">
        <f t="shared" si="53"/>
        <v>0</v>
      </c>
      <c r="P144">
        <f t="shared" si="53"/>
        <v>0</v>
      </c>
      <c r="Q144">
        <f t="shared" si="53"/>
        <v>0</v>
      </c>
      <c r="R144">
        <f t="shared" si="53"/>
        <v>0</v>
      </c>
      <c r="S144">
        <f t="shared" si="53"/>
        <v>0</v>
      </c>
    </row>
    <row r="145" spans="1:19">
      <c r="A145" t="s">
        <v>60</v>
      </c>
      <c r="B145" t="s">
        <v>179</v>
      </c>
      <c r="C145" t="s">
        <v>2184</v>
      </c>
      <c r="D145" t="s">
        <v>2185</v>
      </c>
      <c r="H145" t="e">
        <f t="shared" ref="H145:S145" si="54">H110</f>
        <v>#DIV/0!</v>
      </c>
      <c r="I145" t="e">
        <f t="shared" si="54"/>
        <v>#DIV/0!</v>
      </c>
      <c r="J145" t="e">
        <f t="shared" si="54"/>
        <v>#DIV/0!</v>
      </c>
      <c r="K145">
        <f t="shared" si="54"/>
        <v>0</v>
      </c>
      <c r="L145">
        <f t="shared" si="54"/>
        <v>0</v>
      </c>
      <c r="M145">
        <f t="shared" si="54"/>
        <v>0</v>
      </c>
      <c r="N145">
        <f t="shared" si="54"/>
        <v>0</v>
      </c>
      <c r="O145">
        <f t="shared" si="54"/>
        <v>0</v>
      </c>
      <c r="P145">
        <f t="shared" si="54"/>
        <v>0</v>
      </c>
      <c r="Q145">
        <f t="shared" si="54"/>
        <v>0</v>
      </c>
      <c r="R145">
        <f t="shared" si="54"/>
        <v>0</v>
      </c>
      <c r="S145">
        <f t="shared" si="54"/>
        <v>0</v>
      </c>
    </row>
    <row r="146" spans="1:19">
      <c r="A146" t="s">
        <v>26</v>
      </c>
      <c r="B146" t="s">
        <v>35</v>
      </c>
      <c r="C146" t="s">
        <v>2186</v>
      </c>
      <c r="D146" t="s">
        <v>153</v>
      </c>
      <c r="K146">
        <f t="shared" ref="K146:S146" si="55">K69*K147</f>
        <v>0</v>
      </c>
      <c r="L146">
        <f t="shared" si="55"/>
        <v>0</v>
      </c>
      <c r="M146">
        <f t="shared" si="55"/>
        <v>0</v>
      </c>
      <c r="N146">
        <f t="shared" si="55"/>
        <v>0</v>
      </c>
      <c r="O146">
        <f t="shared" si="55"/>
        <v>0</v>
      </c>
      <c r="P146">
        <f t="shared" si="55"/>
        <v>0</v>
      </c>
      <c r="Q146">
        <f t="shared" si="55"/>
        <v>0</v>
      </c>
      <c r="R146">
        <f t="shared" si="55"/>
        <v>0</v>
      </c>
      <c r="S146">
        <f t="shared" si="55"/>
        <v>0</v>
      </c>
    </row>
    <row r="147" spans="1:19">
      <c r="A147" t="s">
        <v>60</v>
      </c>
      <c r="B147" t="s">
        <v>179</v>
      </c>
      <c r="C147" t="s">
        <v>2187</v>
      </c>
      <c r="D147" t="s">
        <v>2185</v>
      </c>
      <c r="H147">
        <f>H146/H69</f>
        <v>0</v>
      </c>
      <c r="I147">
        <f>I146/I69</f>
        <v>0</v>
      </c>
      <c r="J147">
        <f>J146/J69</f>
        <v>0</v>
      </c>
    </row>
    <row r="148" spans="1:19">
      <c r="A148" t="s">
        <v>26</v>
      </c>
      <c r="B148" t="s">
        <v>35</v>
      </c>
      <c r="C148" t="s">
        <v>2188</v>
      </c>
      <c r="D148" t="s">
        <v>734</v>
      </c>
      <c r="K148">
        <f t="shared" ref="K148:S148" si="56">K70*K149</f>
        <v>0</v>
      </c>
      <c r="L148">
        <f t="shared" si="56"/>
        <v>0</v>
      </c>
      <c r="M148">
        <f t="shared" si="56"/>
        <v>0</v>
      </c>
      <c r="N148">
        <f t="shared" si="56"/>
        <v>0</v>
      </c>
      <c r="O148">
        <f t="shared" si="56"/>
        <v>0</v>
      </c>
      <c r="P148">
        <f t="shared" si="56"/>
        <v>0</v>
      </c>
      <c r="Q148">
        <f t="shared" si="56"/>
        <v>0</v>
      </c>
      <c r="R148">
        <f t="shared" si="56"/>
        <v>0</v>
      </c>
      <c r="S148">
        <f t="shared" si="56"/>
        <v>0</v>
      </c>
    </row>
    <row r="149" spans="1:19">
      <c r="A149" t="s">
        <v>60</v>
      </c>
      <c r="B149" t="s">
        <v>179</v>
      </c>
      <c r="C149" t="s">
        <v>2189</v>
      </c>
      <c r="D149" t="s">
        <v>2185</v>
      </c>
      <c r="H149">
        <f>H148/H70</f>
        <v>0</v>
      </c>
      <c r="I149">
        <f>I148/I70</f>
        <v>0</v>
      </c>
      <c r="J149">
        <f>J148/J70</f>
        <v>0</v>
      </c>
    </row>
    <row r="150" spans="1:19">
      <c r="A150" t="s">
        <v>26</v>
      </c>
      <c r="B150" t="s">
        <v>35</v>
      </c>
      <c r="C150" t="s">
        <v>2190</v>
      </c>
      <c r="D150" t="s">
        <v>155</v>
      </c>
      <c r="K150">
        <f t="shared" ref="K150:S150" si="57">K71*K151</f>
        <v>0</v>
      </c>
      <c r="L150">
        <f t="shared" si="57"/>
        <v>0</v>
      </c>
      <c r="M150">
        <f t="shared" si="57"/>
        <v>0</v>
      </c>
      <c r="N150">
        <f t="shared" si="57"/>
        <v>0</v>
      </c>
      <c r="O150">
        <f t="shared" si="57"/>
        <v>0</v>
      </c>
      <c r="P150">
        <f t="shared" si="57"/>
        <v>0</v>
      </c>
      <c r="Q150">
        <f t="shared" si="57"/>
        <v>0</v>
      </c>
      <c r="R150">
        <f t="shared" si="57"/>
        <v>0</v>
      </c>
      <c r="S150">
        <f t="shared" si="57"/>
        <v>0</v>
      </c>
    </row>
    <row r="151" spans="1:19">
      <c r="A151" t="s">
        <v>60</v>
      </c>
      <c r="B151" t="s">
        <v>179</v>
      </c>
      <c r="C151" t="s">
        <v>2191</v>
      </c>
      <c r="D151" t="s">
        <v>2185</v>
      </c>
      <c r="H151">
        <f>H150/H71</f>
        <v>0</v>
      </c>
      <c r="I151">
        <f>I150/I71</f>
        <v>0</v>
      </c>
      <c r="J151">
        <f>J150/J71</f>
        <v>0</v>
      </c>
    </row>
    <row r="152" spans="1:19">
      <c r="A152" t="s">
        <v>26</v>
      </c>
      <c r="B152" t="s">
        <v>35</v>
      </c>
      <c r="C152" t="s">
        <v>2192</v>
      </c>
      <c r="D152" t="s">
        <v>738</v>
      </c>
      <c r="K152">
        <f t="shared" ref="K152:S152" si="58">(K83+K90)*K153</f>
        <v>0</v>
      </c>
      <c r="L152">
        <f t="shared" si="58"/>
        <v>0</v>
      </c>
      <c r="M152">
        <f t="shared" si="58"/>
        <v>0</v>
      </c>
      <c r="N152">
        <f t="shared" si="58"/>
        <v>0</v>
      </c>
      <c r="O152">
        <f t="shared" si="58"/>
        <v>0</v>
      </c>
      <c r="P152">
        <f t="shared" si="58"/>
        <v>0</v>
      </c>
      <c r="Q152">
        <f t="shared" si="58"/>
        <v>0</v>
      </c>
      <c r="R152">
        <f t="shared" si="58"/>
        <v>0</v>
      </c>
      <c r="S152">
        <f t="shared" si="58"/>
        <v>0</v>
      </c>
    </row>
    <row r="153" spans="1:19">
      <c r="A153" t="s">
        <v>60</v>
      </c>
      <c r="B153" t="s">
        <v>179</v>
      </c>
      <c r="C153" t="s">
        <v>2193</v>
      </c>
      <c r="D153" t="s">
        <v>2185</v>
      </c>
      <c r="H153">
        <f>H152/(H83+H90)</f>
        <v>0</v>
      </c>
      <c r="I153">
        <f>I152/(I83+I90)</f>
        <v>0</v>
      </c>
      <c r="J153">
        <f>J152/(J83+J90)</f>
        <v>0</v>
      </c>
    </row>
    <row r="154" spans="1:19">
      <c r="A154" t="s">
        <v>23</v>
      </c>
      <c r="B154" t="s">
        <v>35</v>
      </c>
      <c r="C154" t="s">
        <v>2194</v>
      </c>
      <c r="D154" t="s">
        <v>275</v>
      </c>
      <c r="H154">
        <f t="shared" ref="H154:S154" si="59">H155+H157+H159+H161+H163+H165+H167+H169+H171+H173+H175+H177</f>
        <v>1500000000</v>
      </c>
      <c r="I154">
        <f t="shared" si="59"/>
        <v>1560000000</v>
      </c>
      <c r="J154">
        <f t="shared" si="59"/>
        <v>1640000000</v>
      </c>
      <c r="K154">
        <f t="shared" si="59"/>
        <v>8.2668e+18</v>
      </c>
      <c r="L154">
        <f t="shared" si="59"/>
        <v>8.67e+18</v>
      </c>
      <c r="M154">
        <f t="shared" si="59"/>
        <v>9.0828e+18</v>
      </c>
      <c r="N154">
        <f t="shared" si="59"/>
        <v>9.2928e+18</v>
      </c>
      <c r="O154">
        <f t="shared" si="59"/>
        <v>8.8752e+18</v>
      </c>
      <c r="P154">
        <f t="shared" si="59"/>
        <v>8.4672e+18</v>
      </c>
      <c r="Q154">
        <f t="shared" si="59"/>
        <v>8.2668e+18</v>
      </c>
      <c r="R154">
        <f t="shared" si="59"/>
        <v>8.0688e+18</v>
      </c>
      <c r="S154">
        <f t="shared" si="59"/>
        <v>9.0828e+18</v>
      </c>
    </row>
    <row r="155" spans="1:19">
      <c r="A155" t="s">
        <v>26</v>
      </c>
      <c r="B155" t="s">
        <v>35</v>
      </c>
      <c r="C155" t="s">
        <v>2195</v>
      </c>
      <c r="D155" t="s">
        <v>2067</v>
      </c>
      <c r="K155">
        <f t="shared" ref="K155:S155" si="60">(K73+K88)*K156</f>
        <v>0</v>
      </c>
      <c r="L155">
        <f t="shared" si="60"/>
        <v>0</v>
      </c>
      <c r="M155">
        <f t="shared" si="60"/>
        <v>0</v>
      </c>
      <c r="N155">
        <f t="shared" si="60"/>
        <v>0</v>
      </c>
      <c r="O155">
        <f t="shared" si="60"/>
        <v>0</v>
      </c>
      <c r="P155">
        <f t="shared" si="60"/>
        <v>0</v>
      </c>
      <c r="Q155">
        <f t="shared" si="60"/>
        <v>0</v>
      </c>
      <c r="R155">
        <f t="shared" si="60"/>
        <v>0</v>
      </c>
      <c r="S155">
        <f t="shared" si="60"/>
        <v>0</v>
      </c>
    </row>
    <row r="156" spans="1:19">
      <c r="A156" t="s">
        <v>60</v>
      </c>
      <c r="B156" t="s">
        <v>179</v>
      </c>
      <c r="C156" t="s">
        <v>2196</v>
      </c>
      <c r="D156" t="s">
        <v>2185</v>
      </c>
      <c r="H156">
        <f>H155/(H73+H88)</f>
        <v>0</v>
      </c>
      <c r="I156">
        <f>I155/(I73+I88)</f>
        <v>0</v>
      </c>
      <c r="J156">
        <f>J155/(J73+J88)</f>
        <v>0</v>
      </c>
    </row>
    <row r="157" spans="1:19">
      <c r="A157" t="s">
        <v>26</v>
      </c>
      <c r="B157" t="s">
        <v>35</v>
      </c>
      <c r="C157" t="s">
        <v>2197</v>
      </c>
      <c r="D157" t="s">
        <v>2073</v>
      </c>
      <c r="K157">
        <f t="shared" ref="K157:S157" si="61">K74*K158</f>
        <v>0</v>
      </c>
      <c r="L157">
        <f t="shared" si="61"/>
        <v>0</v>
      </c>
      <c r="M157">
        <f t="shared" si="61"/>
        <v>0</v>
      </c>
      <c r="N157">
        <f t="shared" si="61"/>
        <v>0</v>
      </c>
      <c r="O157">
        <f t="shared" si="61"/>
        <v>0</v>
      </c>
      <c r="P157">
        <f t="shared" si="61"/>
        <v>0</v>
      </c>
      <c r="Q157">
        <f t="shared" si="61"/>
        <v>0</v>
      </c>
      <c r="R157">
        <f t="shared" si="61"/>
        <v>0</v>
      </c>
      <c r="S157">
        <f t="shared" si="61"/>
        <v>0</v>
      </c>
    </row>
    <row r="158" spans="1:19">
      <c r="A158" t="s">
        <v>60</v>
      </c>
      <c r="B158" t="s">
        <v>179</v>
      </c>
      <c r="C158" t="s">
        <v>2198</v>
      </c>
      <c r="D158" t="s">
        <v>2185</v>
      </c>
      <c r="H158">
        <f>H157/H74</f>
        <v>0</v>
      </c>
      <c r="I158">
        <f>I157/I74</f>
        <v>0</v>
      </c>
      <c r="J158">
        <f>J157/J74</f>
        <v>0</v>
      </c>
    </row>
    <row r="159" spans="1:19">
      <c r="A159" t="s">
        <v>26</v>
      </c>
      <c r="B159" t="s">
        <v>35</v>
      </c>
      <c r="C159" t="s">
        <v>2199</v>
      </c>
      <c r="D159" t="s">
        <v>2075</v>
      </c>
      <c r="K159">
        <f t="shared" ref="K159:S159" si="62">K75*K160</f>
        <v>0</v>
      </c>
      <c r="L159">
        <f t="shared" si="62"/>
        <v>0</v>
      </c>
      <c r="M159">
        <f t="shared" si="62"/>
        <v>0</v>
      </c>
      <c r="N159">
        <f t="shared" si="62"/>
        <v>0</v>
      </c>
      <c r="O159">
        <f t="shared" si="62"/>
        <v>0</v>
      </c>
      <c r="P159">
        <f t="shared" si="62"/>
        <v>0</v>
      </c>
      <c r="Q159">
        <f t="shared" si="62"/>
        <v>0</v>
      </c>
      <c r="R159">
        <f t="shared" si="62"/>
        <v>0</v>
      </c>
      <c r="S159">
        <f t="shared" si="62"/>
        <v>0</v>
      </c>
    </row>
    <row r="160" spans="1:19">
      <c r="A160" t="s">
        <v>60</v>
      </c>
      <c r="B160" t="s">
        <v>179</v>
      </c>
      <c r="C160" t="s">
        <v>2200</v>
      </c>
      <c r="D160" t="s">
        <v>2185</v>
      </c>
      <c r="H160">
        <f>H159/H75</f>
        <v>0</v>
      </c>
      <c r="I160">
        <f>I159/I75</f>
        <v>0</v>
      </c>
      <c r="J160">
        <f>J159/J75</f>
        <v>0</v>
      </c>
    </row>
    <row r="161" spans="1:19">
      <c r="A161" t="s">
        <v>26</v>
      </c>
      <c r="B161" t="s">
        <v>35</v>
      </c>
      <c r="C161" t="s">
        <v>2201</v>
      </c>
      <c r="D161" t="s">
        <v>2077</v>
      </c>
      <c r="K161">
        <f t="shared" ref="K161:S161" si="63">K76*K162</f>
        <v>0</v>
      </c>
      <c r="L161">
        <f t="shared" si="63"/>
        <v>0</v>
      </c>
      <c r="M161">
        <f t="shared" si="63"/>
        <v>0</v>
      </c>
      <c r="N161">
        <f t="shared" si="63"/>
        <v>0</v>
      </c>
      <c r="O161">
        <f t="shared" si="63"/>
        <v>0</v>
      </c>
      <c r="P161">
        <f t="shared" si="63"/>
        <v>0</v>
      </c>
      <c r="Q161">
        <f t="shared" si="63"/>
        <v>0</v>
      </c>
      <c r="R161">
        <f t="shared" si="63"/>
        <v>0</v>
      </c>
      <c r="S161">
        <f t="shared" si="63"/>
        <v>0</v>
      </c>
    </row>
    <row r="162" spans="1:19">
      <c r="A162" t="s">
        <v>60</v>
      </c>
      <c r="B162" t="s">
        <v>179</v>
      </c>
      <c r="C162" t="s">
        <v>2202</v>
      </c>
      <c r="D162" t="s">
        <v>2185</v>
      </c>
      <c r="H162">
        <f>H161/H76</f>
        <v>0</v>
      </c>
      <c r="I162">
        <f>I161/I76</f>
        <v>0</v>
      </c>
      <c r="J162">
        <f>J161/J76</f>
        <v>0</v>
      </c>
    </row>
    <row r="163" spans="1:19">
      <c r="A163" t="s">
        <v>26</v>
      </c>
      <c r="B163" t="s">
        <v>35</v>
      </c>
      <c r="C163" t="s">
        <v>2203</v>
      </c>
      <c r="D163" t="s">
        <v>2079</v>
      </c>
      <c r="K163">
        <f t="shared" ref="K163:S163" si="64">K77*K164</f>
        <v>0</v>
      </c>
      <c r="L163">
        <f t="shared" si="64"/>
        <v>0</v>
      </c>
      <c r="M163">
        <f t="shared" si="64"/>
        <v>0</v>
      </c>
      <c r="N163">
        <f t="shared" si="64"/>
        <v>0</v>
      </c>
      <c r="O163">
        <f t="shared" si="64"/>
        <v>0</v>
      </c>
      <c r="P163">
        <f t="shared" si="64"/>
        <v>0</v>
      </c>
      <c r="Q163">
        <f t="shared" si="64"/>
        <v>0</v>
      </c>
      <c r="R163">
        <f t="shared" si="64"/>
        <v>0</v>
      </c>
      <c r="S163">
        <f t="shared" si="64"/>
        <v>0</v>
      </c>
    </row>
    <row r="164" spans="1:19">
      <c r="A164" t="s">
        <v>60</v>
      </c>
      <c r="B164" t="s">
        <v>179</v>
      </c>
      <c r="C164" t="s">
        <v>2204</v>
      </c>
      <c r="D164" t="s">
        <v>2185</v>
      </c>
      <c r="H164">
        <f>H163/H77</f>
        <v>0</v>
      </c>
      <c r="I164">
        <f>I163/I77</f>
        <v>0</v>
      </c>
      <c r="J164">
        <f>J163/J77</f>
        <v>0</v>
      </c>
    </row>
    <row r="165" spans="1:19">
      <c r="A165" t="s">
        <v>26</v>
      </c>
      <c r="B165" t="s">
        <v>35</v>
      </c>
      <c r="C165" t="s">
        <v>2205</v>
      </c>
      <c r="D165" t="s">
        <v>2081</v>
      </c>
      <c r="K165">
        <f t="shared" ref="K165:S165" si="65">K78*K166</f>
        <v>0</v>
      </c>
      <c r="L165">
        <f t="shared" si="65"/>
        <v>0</v>
      </c>
      <c r="M165">
        <f t="shared" si="65"/>
        <v>0</v>
      </c>
      <c r="N165">
        <f t="shared" si="65"/>
        <v>0</v>
      </c>
      <c r="O165">
        <f t="shared" si="65"/>
        <v>0</v>
      </c>
      <c r="P165">
        <f t="shared" si="65"/>
        <v>0</v>
      </c>
      <c r="Q165">
        <f t="shared" si="65"/>
        <v>0</v>
      </c>
      <c r="R165">
        <f t="shared" si="65"/>
        <v>0</v>
      </c>
      <c r="S165">
        <f t="shared" si="65"/>
        <v>0</v>
      </c>
    </row>
    <row r="166" spans="1:19">
      <c r="A166" t="s">
        <v>60</v>
      </c>
      <c r="B166" t="s">
        <v>179</v>
      </c>
      <c r="C166" t="s">
        <v>2206</v>
      </c>
      <c r="D166" t="s">
        <v>2185</v>
      </c>
      <c r="H166">
        <f>H165/H78</f>
        <v>0</v>
      </c>
      <c r="I166">
        <f>I165/I78</f>
        <v>0</v>
      </c>
      <c r="J166">
        <f>J165/J78</f>
        <v>0</v>
      </c>
    </row>
    <row r="167" spans="1:19">
      <c r="A167" t="s">
        <v>26</v>
      </c>
      <c r="B167" t="s">
        <v>35</v>
      </c>
      <c r="C167" t="s">
        <v>2207</v>
      </c>
      <c r="D167" t="s">
        <v>2083</v>
      </c>
      <c r="K167">
        <f t="shared" ref="K167:S167" si="66">K79*K168</f>
        <v>0</v>
      </c>
      <c r="L167">
        <f t="shared" si="66"/>
        <v>0</v>
      </c>
      <c r="M167">
        <f t="shared" si="66"/>
        <v>0</v>
      </c>
      <c r="N167">
        <f t="shared" si="66"/>
        <v>0</v>
      </c>
      <c r="O167">
        <f t="shared" si="66"/>
        <v>0</v>
      </c>
      <c r="P167">
        <f t="shared" si="66"/>
        <v>0</v>
      </c>
      <c r="Q167">
        <f t="shared" si="66"/>
        <v>0</v>
      </c>
      <c r="R167">
        <f t="shared" si="66"/>
        <v>0</v>
      </c>
      <c r="S167">
        <f t="shared" si="66"/>
        <v>0</v>
      </c>
    </row>
    <row r="168" spans="1:19">
      <c r="A168" t="s">
        <v>60</v>
      </c>
      <c r="B168" t="s">
        <v>179</v>
      </c>
      <c r="C168" t="s">
        <v>2208</v>
      </c>
      <c r="D168" t="s">
        <v>2185</v>
      </c>
      <c r="H168">
        <f>H167/H79</f>
        <v>0</v>
      </c>
      <c r="I168">
        <f>I167/I79</f>
        <v>0</v>
      </c>
      <c r="J168">
        <f>J167/J79</f>
        <v>0</v>
      </c>
    </row>
    <row r="169" spans="1:19">
      <c r="A169" t="s">
        <v>26</v>
      </c>
      <c r="B169" t="s">
        <v>35</v>
      </c>
      <c r="C169" t="s">
        <v>2209</v>
      </c>
      <c r="D169" t="s">
        <v>2085</v>
      </c>
      <c r="K169">
        <f t="shared" ref="K169:S169" si="67">(K80+K89)*K170</f>
        <v>0</v>
      </c>
      <c r="L169">
        <f t="shared" si="67"/>
        <v>0</v>
      </c>
      <c r="M169">
        <f t="shared" si="67"/>
        <v>0</v>
      </c>
      <c r="N169">
        <f t="shared" si="67"/>
        <v>0</v>
      </c>
      <c r="O169">
        <f t="shared" si="67"/>
        <v>0</v>
      </c>
      <c r="P169">
        <f t="shared" si="67"/>
        <v>0</v>
      </c>
      <c r="Q169">
        <f t="shared" si="67"/>
        <v>0</v>
      </c>
      <c r="R169">
        <f t="shared" si="67"/>
        <v>0</v>
      </c>
      <c r="S169">
        <f t="shared" si="67"/>
        <v>0</v>
      </c>
    </row>
    <row r="170" spans="1:19">
      <c r="A170" t="s">
        <v>60</v>
      </c>
      <c r="B170" t="s">
        <v>179</v>
      </c>
      <c r="C170" t="s">
        <v>2210</v>
      </c>
      <c r="D170" t="s">
        <v>2185</v>
      </c>
      <c r="H170">
        <f>H169/(H80+H89)</f>
        <v>0</v>
      </c>
      <c r="I170">
        <f>I169/(I80+I89)</f>
        <v>0</v>
      </c>
      <c r="J170">
        <f>J169/(J80+J89)</f>
        <v>0</v>
      </c>
    </row>
    <row r="171" spans="1:19">
      <c r="A171" t="s">
        <v>26</v>
      </c>
      <c r="B171" t="s">
        <v>35</v>
      </c>
      <c r="C171" t="s">
        <v>2211</v>
      </c>
      <c r="D171" t="s">
        <v>2175</v>
      </c>
      <c r="K171">
        <f t="shared" ref="K171:S171" si="68">K81*K172</f>
        <v>0</v>
      </c>
      <c r="L171">
        <f t="shared" si="68"/>
        <v>0</v>
      </c>
      <c r="M171">
        <f t="shared" si="68"/>
        <v>0</v>
      </c>
      <c r="N171">
        <f t="shared" si="68"/>
        <v>0</v>
      </c>
      <c r="O171">
        <f t="shared" si="68"/>
        <v>0</v>
      </c>
      <c r="P171">
        <f t="shared" si="68"/>
        <v>0</v>
      </c>
      <c r="Q171">
        <f t="shared" si="68"/>
        <v>0</v>
      </c>
      <c r="R171">
        <f t="shared" si="68"/>
        <v>0</v>
      </c>
      <c r="S171">
        <f t="shared" si="68"/>
        <v>0</v>
      </c>
    </row>
    <row r="172" spans="1:19">
      <c r="A172" t="s">
        <v>60</v>
      </c>
      <c r="B172" t="s">
        <v>179</v>
      </c>
      <c r="C172" t="s">
        <v>2212</v>
      </c>
      <c r="D172" t="s">
        <v>2185</v>
      </c>
      <c r="H172">
        <f>H171/H81</f>
        <v>0</v>
      </c>
      <c r="I172">
        <f>I171/I81</f>
        <v>0</v>
      </c>
      <c r="J172">
        <f>J171/J81</f>
        <v>0</v>
      </c>
    </row>
    <row r="173" spans="1:19">
      <c r="A173" t="s">
        <v>26</v>
      </c>
      <c r="B173" t="s">
        <v>35</v>
      </c>
      <c r="C173" t="s">
        <v>2213</v>
      </c>
      <c r="D173" t="s">
        <v>2090</v>
      </c>
      <c r="K173">
        <f t="shared" ref="K173:S173" si="69">K82*K174</f>
        <v>0</v>
      </c>
      <c r="L173">
        <f t="shared" si="69"/>
        <v>0</v>
      </c>
      <c r="M173">
        <f t="shared" si="69"/>
        <v>0</v>
      </c>
      <c r="N173">
        <f t="shared" si="69"/>
        <v>0</v>
      </c>
      <c r="O173">
        <f t="shared" si="69"/>
        <v>0</v>
      </c>
      <c r="P173">
        <f t="shared" si="69"/>
        <v>0</v>
      </c>
      <c r="Q173">
        <f t="shared" si="69"/>
        <v>0</v>
      </c>
      <c r="R173">
        <f t="shared" si="69"/>
        <v>0</v>
      </c>
      <c r="S173">
        <f t="shared" si="69"/>
        <v>0</v>
      </c>
    </row>
    <row r="174" spans="1:19">
      <c r="A174" t="s">
        <v>60</v>
      </c>
      <c r="B174" t="s">
        <v>179</v>
      </c>
      <c r="C174" t="s">
        <v>2214</v>
      </c>
      <c r="D174" t="s">
        <v>2185</v>
      </c>
      <c r="H174" t="e">
        <f>H173/H82</f>
        <v>#DIV/0!</v>
      </c>
      <c r="I174" t="e">
        <f>I173/I82</f>
        <v>#DIV/0!</v>
      </c>
      <c r="J174" t="e">
        <f>J173/J82</f>
        <v>#DIV/0!</v>
      </c>
    </row>
    <row r="175" spans="1:19">
      <c r="A175" t="s">
        <v>26</v>
      </c>
      <c r="B175" t="s">
        <v>35</v>
      </c>
      <c r="C175" t="s">
        <v>2215</v>
      </c>
      <c r="D175" t="s">
        <v>2097</v>
      </c>
      <c r="K175">
        <f t="shared" ref="K175:S175" si="70">K85*K176</f>
        <v>0</v>
      </c>
      <c r="L175">
        <f t="shared" si="70"/>
        <v>0</v>
      </c>
      <c r="M175">
        <f t="shared" si="70"/>
        <v>0</v>
      </c>
      <c r="N175">
        <f t="shared" si="70"/>
        <v>0</v>
      </c>
      <c r="O175">
        <f t="shared" si="70"/>
        <v>0</v>
      </c>
      <c r="P175">
        <f t="shared" si="70"/>
        <v>0</v>
      </c>
      <c r="Q175">
        <f t="shared" si="70"/>
        <v>0</v>
      </c>
      <c r="R175">
        <f t="shared" si="70"/>
        <v>0</v>
      </c>
      <c r="S175">
        <f t="shared" si="70"/>
        <v>0</v>
      </c>
    </row>
    <row r="176" spans="1:19">
      <c r="A176" t="s">
        <v>60</v>
      </c>
      <c r="B176" t="s">
        <v>179</v>
      </c>
      <c r="C176" t="s">
        <v>2216</v>
      </c>
      <c r="D176" t="s">
        <v>2185</v>
      </c>
      <c r="H176">
        <f>H175/H85</f>
        <v>0</v>
      </c>
      <c r="I176">
        <f>I175/I85</f>
        <v>0</v>
      </c>
      <c r="J176">
        <f>J175/J85</f>
        <v>0</v>
      </c>
    </row>
    <row r="177" spans="1:19">
      <c r="A177" t="s">
        <v>26</v>
      </c>
      <c r="B177" t="s">
        <v>35</v>
      </c>
      <c r="C177" t="s">
        <v>2217</v>
      </c>
      <c r="D177" t="s">
        <v>2099</v>
      </c>
      <c r="H177">
        <v>1500000000</v>
      </c>
      <c r="I177">
        <v>1560000000</v>
      </c>
      <c r="J177">
        <v>1640000000</v>
      </c>
      <c r="K177">
        <f t="shared" ref="K177:S177" si="71">K86*K178</f>
        <v>8.2668e+18</v>
      </c>
      <c r="L177">
        <f t="shared" si="71"/>
        <v>8.67e+18</v>
      </c>
      <c r="M177">
        <f t="shared" si="71"/>
        <v>9.0828e+18</v>
      </c>
      <c r="N177">
        <f t="shared" si="71"/>
        <v>9.2928e+18</v>
      </c>
      <c r="O177">
        <f t="shared" si="71"/>
        <v>8.8752e+18</v>
      </c>
      <c r="P177">
        <f t="shared" si="71"/>
        <v>8.4672e+18</v>
      </c>
      <c r="Q177">
        <f t="shared" si="71"/>
        <v>8.2668e+18</v>
      </c>
      <c r="R177">
        <f t="shared" si="71"/>
        <v>8.0688e+18</v>
      </c>
      <c r="S177">
        <f t="shared" si="71"/>
        <v>9.0828e+18</v>
      </c>
    </row>
    <row r="178" spans="1:19">
      <c r="A178" t="s">
        <v>60</v>
      </c>
      <c r="B178" t="s">
        <v>179</v>
      </c>
      <c r="C178" t="s">
        <v>2218</v>
      </c>
      <c r="D178" t="s">
        <v>2185</v>
      </c>
      <c r="H178">
        <f>H177/H86</f>
        <v>0.333333333333333</v>
      </c>
      <c r="I178">
        <f>I177/I86</f>
        <v>0.333333333333333</v>
      </c>
      <c r="J178">
        <f>J177/J86</f>
        <v>0.333333333333333</v>
      </c>
      <c r="K178">
        <v>1660000000</v>
      </c>
      <c r="L178">
        <v>1700000000</v>
      </c>
      <c r="M178">
        <v>1740000000</v>
      </c>
      <c r="N178">
        <v>1760000000</v>
      </c>
      <c r="O178">
        <v>1720000000</v>
      </c>
      <c r="P178">
        <v>1680000000</v>
      </c>
      <c r="Q178">
        <v>1660000000</v>
      </c>
      <c r="R178">
        <v>1640000000</v>
      </c>
      <c r="S178">
        <v>1740000000</v>
      </c>
    </row>
    <row r="179" spans="1:19">
      <c r="A179" t="s">
        <v>19</v>
      </c>
      <c r="B179" t="s">
        <v>35</v>
      </c>
      <c r="C179" t="s">
        <v>2219</v>
      </c>
      <c r="D179" t="s">
        <v>285</v>
      </c>
      <c r="H179">
        <f t="shared" ref="H179:S179" si="72">H180</f>
        <v>0</v>
      </c>
      <c r="I179">
        <f t="shared" si="72"/>
        <v>0</v>
      </c>
      <c r="J179">
        <f t="shared" si="72"/>
        <v>0</v>
      </c>
      <c r="K179">
        <f t="shared" si="72"/>
        <v>0</v>
      </c>
      <c r="L179">
        <f t="shared" si="72"/>
        <v>0</v>
      </c>
      <c r="M179">
        <f t="shared" si="72"/>
        <v>0</v>
      </c>
      <c r="N179">
        <f t="shared" si="72"/>
        <v>0</v>
      </c>
      <c r="O179">
        <f t="shared" si="72"/>
        <v>0</v>
      </c>
      <c r="P179">
        <f t="shared" si="72"/>
        <v>0</v>
      </c>
      <c r="Q179">
        <f t="shared" si="72"/>
        <v>0</v>
      </c>
      <c r="R179">
        <f t="shared" si="72"/>
        <v>0</v>
      </c>
      <c r="S179">
        <f t="shared" si="72"/>
        <v>0</v>
      </c>
    </row>
    <row r="180" spans="1:19">
      <c r="A180" t="s">
        <v>23</v>
      </c>
      <c r="B180" t="s">
        <v>35</v>
      </c>
      <c r="C180" t="s">
        <v>2220</v>
      </c>
      <c r="D180" t="s">
        <v>299</v>
      </c>
      <c r="H180">
        <f t="shared" ref="H180:S180" si="73">H181+H183+H185+H187+H189</f>
        <v>0</v>
      </c>
      <c r="I180">
        <f t="shared" si="73"/>
        <v>0</v>
      </c>
      <c r="J180">
        <f t="shared" si="73"/>
        <v>0</v>
      </c>
      <c r="K180">
        <f t="shared" si="73"/>
        <v>0</v>
      </c>
      <c r="L180">
        <f t="shared" si="73"/>
        <v>0</v>
      </c>
      <c r="M180">
        <f t="shared" si="73"/>
        <v>0</v>
      </c>
      <c r="N180">
        <f t="shared" si="73"/>
        <v>0</v>
      </c>
      <c r="O180">
        <f t="shared" si="73"/>
        <v>0</v>
      </c>
      <c r="P180">
        <f t="shared" si="73"/>
        <v>0</v>
      </c>
      <c r="Q180">
        <f t="shared" si="73"/>
        <v>0</v>
      </c>
      <c r="R180">
        <f t="shared" si="73"/>
        <v>0</v>
      </c>
      <c r="S180">
        <f t="shared" si="73"/>
        <v>0</v>
      </c>
    </row>
    <row r="181" spans="1:19">
      <c r="A181" t="s">
        <v>26</v>
      </c>
      <c r="B181" t="s">
        <v>35</v>
      </c>
      <c r="C181" t="s">
        <v>2221</v>
      </c>
      <c r="D181" t="s">
        <v>168</v>
      </c>
      <c r="K181">
        <f t="shared" ref="K181:S181" si="74">K99*K182</f>
        <v>0</v>
      </c>
      <c r="L181">
        <f t="shared" si="74"/>
        <v>0</v>
      </c>
      <c r="M181">
        <f t="shared" si="74"/>
        <v>0</v>
      </c>
      <c r="N181">
        <f t="shared" si="74"/>
        <v>0</v>
      </c>
      <c r="O181">
        <f t="shared" si="74"/>
        <v>0</v>
      </c>
      <c r="P181">
        <f t="shared" si="74"/>
        <v>0</v>
      </c>
      <c r="Q181">
        <f t="shared" si="74"/>
        <v>0</v>
      </c>
      <c r="R181">
        <f t="shared" si="74"/>
        <v>0</v>
      </c>
      <c r="S181">
        <f t="shared" si="74"/>
        <v>0</v>
      </c>
    </row>
    <row r="182" spans="1:19">
      <c r="A182" t="s">
        <v>60</v>
      </c>
      <c r="B182" t="s">
        <v>179</v>
      </c>
      <c r="C182" t="s">
        <v>2222</v>
      </c>
      <c r="D182" t="s">
        <v>2223</v>
      </c>
      <c r="H182">
        <f>H181/H99</f>
        <v>0</v>
      </c>
      <c r="I182">
        <f>I181/I99</f>
        <v>0</v>
      </c>
      <c r="J182">
        <f>J181/J99</f>
        <v>0</v>
      </c>
    </row>
    <row r="183" spans="1:19">
      <c r="A183" t="s">
        <v>26</v>
      </c>
      <c r="B183" t="s">
        <v>35</v>
      </c>
      <c r="C183" t="s">
        <v>2224</v>
      </c>
      <c r="D183" t="s">
        <v>748</v>
      </c>
      <c r="K183">
        <f t="shared" ref="K183:S183" si="75">K100*K184</f>
        <v>0</v>
      </c>
      <c r="L183">
        <f t="shared" si="75"/>
        <v>0</v>
      </c>
      <c r="M183">
        <f t="shared" si="75"/>
        <v>0</v>
      </c>
      <c r="N183">
        <f t="shared" si="75"/>
        <v>0</v>
      </c>
      <c r="O183">
        <f t="shared" si="75"/>
        <v>0</v>
      </c>
      <c r="P183">
        <f t="shared" si="75"/>
        <v>0</v>
      </c>
      <c r="Q183">
        <f t="shared" si="75"/>
        <v>0</v>
      </c>
      <c r="R183">
        <f t="shared" si="75"/>
        <v>0</v>
      </c>
      <c r="S183">
        <f t="shared" si="75"/>
        <v>0</v>
      </c>
    </row>
    <row r="184" spans="1:19">
      <c r="A184" t="s">
        <v>60</v>
      </c>
      <c r="B184" t="s">
        <v>179</v>
      </c>
      <c r="C184" t="s">
        <v>2225</v>
      </c>
      <c r="D184" t="s">
        <v>2223</v>
      </c>
      <c r="H184">
        <f>H183/H100</f>
        <v>0</v>
      </c>
      <c r="I184">
        <f>I183/I100</f>
        <v>0</v>
      </c>
      <c r="J184">
        <f>J183/J100</f>
        <v>0</v>
      </c>
    </row>
    <row r="185" spans="1:19">
      <c r="A185" t="s">
        <v>26</v>
      </c>
      <c r="B185" t="s">
        <v>35</v>
      </c>
      <c r="C185" t="s">
        <v>2226</v>
      </c>
      <c r="D185" t="s">
        <v>750</v>
      </c>
      <c r="K185">
        <f t="shared" ref="K185:S185" si="76">K101*K186</f>
        <v>0</v>
      </c>
      <c r="L185">
        <f t="shared" si="76"/>
        <v>0</v>
      </c>
      <c r="M185">
        <f t="shared" si="76"/>
        <v>0</v>
      </c>
      <c r="N185">
        <f t="shared" si="76"/>
        <v>0</v>
      </c>
      <c r="O185">
        <f t="shared" si="76"/>
        <v>0</v>
      </c>
      <c r="P185">
        <f t="shared" si="76"/>
        <v>0</v>
      </c>
      <c r="Q185">
        <f t="shared" si="76"/>
        <v>0</v>
      </c>
      <c r="R185">
        <f t="shared" si="76"/>
        <v>0</v>
      </c>
      <c r="S185">
        <f t="shared" si="76"/>
        <v>0</v>
      </c>
    </row>
    <row r="186" spans="1:19">
      <c r="A186" t="s">
        <v>60</v>
      </c>
      <c r="B186" t="s">
        <v>179</v>
      </c>
      <c r="C186" t="s">
        <v>2227</v>
      </c>
      <c r="D186" t="s">
        <v>2223</v>
      </c>
      <c r="H186">
        <f>H185/H101</f>
        <v>0</v>
      </c>
      <c r="I186">
        <f>I185/I101</f>
        <v>0</v>
      </c>
      <c r="J186">
        <f>J185/J101</f>
        <v>0</v>
      </c>
    </row>
    <row r="187" spans="1:19">
      <c r="A187" t="s">
        <v>26</v>
      </c>
      <c r="B187" t="s">
        <v>35</v>
      </c>
      <c r="C187" t="s">
        <v>2228</v>
      </c>
      <c r="D187" t="s">
        <v>170</v>
      </c>
      <c r="K187">
        <f t="shared" ref="K187:S187" si="77">K102*K188</f>
        <v>0</v>
      </c>
      <c r="L187">
        <f t="shared" si="77"/>
        <v>0</v>
      </c>
      <c r="M187">
        <f t="shared" si="77"/>
        <v>0</v>
      </c>
      <c r="N187">
        <f t="shared" si="77"/>
        <v>0</v>
      </c>
      <c r="O187">
        <f t="shared" si="77"/>
        <v>0</v>
      </c>
      <c r="P187">
        <f t="shared" si="77"/>
        <v>0</v>
      </c>
      <c r="Q187">
        <f t="shared" si="77"/>
        <v>0</v>
      </c>
      <c r="R187">
        <f t="shared" si="77"/>
        <v>0</v>
      </c>
      <c r="S187">
        <f t="shared" si="77"/>
        <v>0</v>
      </c>
    </row>
    <row r="188" spans="1:19">
      <c r="A188" t="s">
        <v>60</v>
      </c>
      <c r="B188" t="s">
        <v>179</v>
      </c>
      <c r="C188" t="s">
        <v>2229</v>
      </c>
      <c r="D188" t="s">
        <v>2223</v>
      </c>
      <c r="H188">
        <f>H187/H102</f>
        <v>0</v>
      </c>
      <c r="I188">
        <f>I187/I102</f>
        <v>0</v>
      </c>
      <c r="J188">
        <f>J187/J102</f>
        <v>0</v>
      </c>
    </row>
    <row r="189" spans="1:19">
      <c r="A189" t="s">
        <v>26</v>
      </c>
      <c r="B189" t="s">
        <v>35</v>
      </c>
      <c r="C189" t="s">
        <v>2230</v>
      </c>
      <c r="D189" t="s">
        <v>753</v>
      </c>
      <c r="K189">
        <f t="shared" ref="K189:S189" si="78">K103*K190</f>
        <v>0</v>
      </c>
      <c r="L189">
        <f t="shared" si="78"/>
        <v>0</v>
      </c>
      <c r="M189">
        <f t="shared" si="78"/>
        <v>0</v>
      </c>
      <c r="N189">
        <f t="shared" si="78"/>
        <v>0</v>
      </c>
      <c r="O189">
        <f t="shared" si="78"/>
        <v>0</v>
      </c>
      <c r="P189">
        <f t="shared" si="78"/>
        <v>0</v>
      </c>
      <c r="Q189">
        <f t="shared" si="78"/>
        <v>0</v>
      </c>
      <c r="R189">
        <f t="shared" si="78"/>
        <v>0</v>
      </c>
      <c r="S189">
        <f t="shared" si="78"/>
        <v>0</v>
      </c>
    </row>
    <row r="190" spans="1:19">
      <c r="A190" t="s">
        <v>60</v>
      </c>
      <c r="B190" t="s">
        <v>179</v>
      </c>
      <c r="C190" t="s">
        <v>2231</v>
      </c>
      <c r="D190" t="s">
        <v>2223</v>
      </c>
      <c r="H190">
        <f>H189/H103</f>
        <v>0</v>
      </c>
      <c r="I190">
        <f>I189/I103</f>
        <v>0</v>
      </c>
      <c r="J190">
        <f>J189/J103</f>
        <v>0</v>
      </c>
    </row>
    <row r="191" spans="1:19">
      <c r="A191" t="s">
        <v>19</v>
      </c>
      <c r="B191" t="s">
        <v>20</v>
      </c>
      <c r="C191" t="s">
        <v>2232</v>
      </c>
      <c r="D191" t="s">
        <v>309</v>
      </c>
      <c r="H191">
        <f t="shared" ref="H191:S191" si="79">H192+H203</f>
        <v>28000000</v>
      </c>
      <c r="I191">
        <f t="shared" si="79"/>
        <v>26000000</v>
      </c>
      <c r="J191">
        <f t="shared" si="79"/>
        <v>31200000</v>
      </c>
      <c r="K191">
        <f t="shared" si="79"/>
        <v>32000000</v>
      </c>
      <c r="L191">
        <f t="shared" si="79"/>
        <v>32800000</v>
      </c>
      <c r="M191">
        <f t="shared" si="79"/>
        <v>34000000</v>
      </c>
      <c r="N191">
        <f t="shared" si="79"/>
        <v>35200000</v>
      </c>
      <c r="O191">
        <f t="shared" si="79"/>
        <v>34800000</v>
      </c>
      <c r="P191">
        <f t="shared" si="79"/>
        <v>34000000</v>
      </c>
      <c r="Q191">
        <f t="shared" si="79"/>
        <v>37200000</v>
      </c>
      <c r="R191">
        <f t="shared" si="79"/>
        <v>36800000</v>
      </c>
      <c r="S191">
        <f t="shared" si="79"/>
        <v>38000000</v>
      </c>
    </row>
    <row r="192" spans="1:19">
      <c r="A192" t="s">
        <v>23</v>
      </c>
      <c r="B192" t="s">
        <v>20</v>
      </c>
      <c r="C192" t="s">
        <v>2233</v>
      </c>
      <c r="D192" t="s">
        <v>323</v>
      </c>
      <c r="H192">
        <f t="shared" ref="H192:S192" si="80">H193+H195+H197+H199+H201</f>
        <v>0</v>
      </c>
      <c r="I192">
        <f t="shared" si="80"/>
        <v>0</v>
      </c>
      <c r="J192">
        <f t="shared" si="80"/>
        <v>0</v>
      </c>
      <c r="K192">
        <f t="shared" si="80"/>
        <v>0</v>
      </c>
      <c r="L192">
        <f t="shared" si="80"/>
        <v>0</v>
      </c>
      <c r="M192">
        <f t="shared" si="80"/>
        <v>0</v>
      </c>
      <c r="N192">
        <f t="shared" si="80"/>
        <v>0</v>
      </c>
      <c r="O192">
        <f t="shared" si="80"/>
        <v>0</v>
      </c>
      <c r="P192">
        <f t="shared" si="80"/>
        <v>0</v>
      </c>
      <c r="Q192">
        <f t="shared" si="80"/>
        <v>0</v>
      </c>
      <c r="R192">
        <f t="shared" si="80"/>
        <v>0</v>
      </c>
      <c r="S192">
        <f t="shared" si="80"/>
        <v>0</v>
      </c>
    </row>
    <row r="193" spans="1:19">
      <c r="A193" t="s">
        <v>26</v>
      </c>
      <c r="B193" t="s">
        <v>20</v>
      </c>
      <c r="C193" t="s">
        <v>2234</v>
      </c>
      <c r="D193" t="s">
        <v>168</v>
      </c>
      <c r="K193">
        <f t="shared" ref="K193:S193" si="81">K99*K194</f>
        <v>0</v>
      </c>
      <c r="L193">
        <f t="shared" si="81"/>
        <v>0</v>
      </c>
      <c r="M193">
        <f t="shared" si="81"/>
        <v>0</v>
      </c>
      <c r="N193">
        <f t="shared" si="81"/>
        <v>0</v>
      </c>
      <c r="O193">
        <f t="shared" si="81"/>
        <v>0</v>
      </c>
      <c r="P193">
        <f t="shared" si="81"/>
        <v>0</v>
      </c>
      <c r="Q193">
        <f t="shared" si="81"/>
        <v>0</v>
      </c>
      <c r="R193">
        <f t="shared" si="81"/>
        <v>0</v>
      </c>
      <c r="S193">
        <f t="shared" si="81"/>
        <v>0</v>
      </c>
    </row>
    <row r="194" spans="1:19">
      <c r="A194" t="s">
        <v>60</v>
      </c>
      <c r="B194" t="s">
        <v>179</v>
      </c>
      <c r="C194" t="s">
        <v>2235</v>
      </c>
      <c r="D194" t="s">
        <v>2185</v>
      </c>
      <c r="H194">
        <f>H193/H99</f>
        <v>0</v>
      </c>
      <c r="I194">
        <f>I193/I99</f>
        <v>0</v>
      </c>
      <c r="J194">
        <f>J193/J99</f>
        <v>0</v>
      </c>
    </row>
    <row r="195" spans="1:19">
      <c r="A195" t="s">
        <v>26</v>
      </c>
      <c r="B195" t="s">
        <v>20</v>
      </c>
      <c r="C195" t="s">
        <v>2236</v>
      </c>
      <c r="D195" t="s">
        <v>748</v>
      </c>
      <c r="K195">
        <f t="shared" ref="K195:S195" si="82">K100*K196</f>
        <v>0</v>
      </c>
      <c r="L195">
        <f t="shared" si="82"/>
        <v>0</v>
      </c>
      <c r="M195">
        <f t="shared" si="82"/>
        <v>0</v>
      </c>
      <c r="N195">
        <f t="shared" si="82"/>
        <v>0</v>
      </c>
      <c r="O195">
        <f t="shared" si="82"/>
        <v>0</v>
      </c>
      <c r="P195">
        <f t="shared" si="82"/>
        <v>0</v>
      </c>
      <c r="Q195">
        <f t="shared" si="82"/>
        <v>0</v>
      </c>
      <c r="R195">
        <f t="shared" si="82"/>
        <v>0</v>
      </c>
      <c r="S195">
        <f t="shared" si="82"/>
        <v>0</v>
      </c>
    </row>
    <row r="196" spans="1:19">
      <c r="A196" t="s">
        <v>60</v>
      </c>
      <c r="B196" t="s">
        <v>179</v>
      </c>
      <c r="C196" t="s">
        <v>2237</v>
      </c>
      <c r="D196" t="s">
        <v>2185</v>
      </c>
      <c r="H196">
        <f>H195/H100</f>
        <v>0</v>
      </c>
      <c r="I196">
        <f>I195/I100</f>
        <v>0</v>
      </c>
      <c r="J196">
        <f>J195/J100</f>
        <v>0</v>
      </c>
    </row>
    <row r="197" spans="1:19">
      <c r="A197" t="s">
        <v>26</v>
      </c>
      <c r="B197" t="s">
        <v>20</v>
      </c>
      <c r="C197" t="s">
        <v>2238</v>
      </c>
      <c r="D197" t="s">
        <v>750</v>
      </c>
      <c r="K197">
        <f t="shared" ref="K197:S197" si="83">K101*K198</f>
        <v>0</v>
      </c>
      <c r="L197">
        <f t="shared" si="83"/>
        <v>0</v>
      </c>
      <c r="M197">
        <f t="shared" si="83"/>
        <v>0</v>
      </c>
      <c r="N197">
        <f t="shared" si="83"/>
        <v>0</v>
      </c>
      <c r="O197">
        <f t="shared" si="83"/>
        <v>0</v>
      </c>
      <c r="P197">
        <f t="shared" si="83"/>
        <v>0</v>
      </c>
      <c r="Q197">
        <f t="shared" si="83"/>
        <v>0</v>
      </c>
      <c r="R197">
        <f t="shared" si="83"/>
        <v>0</v>
      </c>
      <c r="S197">
        <f t="shared" si="83"/>
        <v>0</v>
      </c>
    </row>
    <row r="198" spans="1:19">
      <c r="A198" t="s">
        <v>60</v>
      </c>
      <c r="B198" t="s">
        <v>179</v>
      </c>
      <c r="C198" t="s">
        <v>2239</v>
      </c>
      <c r="D198" t="s">
        <v>2185</v>
      </c>
      <c r="H198">
        <f>H197/H101</f>
        <v>0</v>
      </c>
      <c r="I198">
        <f>I197/I101</f>
        <v>0</v>
      </c>
      <c r="J198">
        <f>J197/J101</f>
        <v>0</v>
      </c>
    </row>
    <row r="199" spans="1:19">
      <c r="A199" t="s">
        <v>26</v>
      </c>
      <c r="B199" t="s">
        <v>20</v>
      </c>
      <c r="C199" t="s">
        <v>2240</v>
      </c>
      <c r="D199" t="s">
        <v>170</v>
      </c>
      <c r="K199">
        <f t="shared" ref="K199:S199" si="84">K102*K200</f>
        <v>0</v>
      </c>
      <c r="L199">
        <f t="shared" si="84"/>
        <v>0</v>
      </c>
      <c r="M199">
        <f t="shared" si="84"/>
        <v>0</v>
      </c>
      <c r="N199">
        <f t="shared" si="84"/>
        <v>0</v>
      </c>
      <c r="O199">
        <f t="shared" si="84"/>
        <v>0</v>
      </c>
      <c r="P199">
        <f t="shared" si="84"/>
        <v>0</v>
      </c>
      <c r="Q199">
        <f t="shared" si="84"/>
        <v>0</v>
      </c>
      <c r="R199">
        <f t="shared" si="84"/>
        <v>0</v>
      </c>
      <c r="S199">
        <f t="shared" si="84"/>
        <v>0</v>
      </c>
    </row>
    <row r="200" spans="1:19">
      <c r="A200" t="s">
        <v>60</v>
      </c>
      <c r="B200" t="s">
        <v>179</v>
      </c>
      <c r="C200" t="s">
        <v>2241</v>
      </c>
      <c r="D200" t="s">
        <v>2185</v>
      </c>
      <c r="H200">
        <f>H199/H102</f>
        <v>0</v>
      </c>
      <c r="I200">
        <f>I199/I102</f>
        <v>0</v>
      </c>
      <c r="J200">
        <f>J199/J102</f>
        <v>0</v>
      </c>
    </row>
    <row r="201" spans="1:19">
      <c r="A201" t="s">
        <v>26</v>
      </c>
      <c r="B201" t="s">
        <v>20</v>
      </c>
      <c r="C201" t="s">
        <v>2242</v>
      </c>
      <c r="D201" t="s">
        <v>753</v>
      </c>
      <c r="K201">
        <f t="shared" ref="K201:S201" si="85">K103*K202</f>
        <v>0</v>
      </c>
      <c r="L201">
        <f t="shared" si="85"/>
        <v>0</v>
      </c>
      <c r="M201">
        <f t="shared" si="85"/>
        <v>0</v>
      </c>
      <c r="N201">
        <f t="shared" si="85"/>
        <v>0</v>
      </c>
      <c r="O201">
        <f t="shared" si="85"/>
        <v>0</v>
      </c>
      <c r="P201">
        <f t="shared" si="85"/>
        <v>0</v>
      </c>
      <c r="Q201">
        <f t="shared" si="85"/>
        <v>0</v>
      </c>
      <c r="R201">
        <f t="shared" si="85"/>
        <v>0</v>
      </c>
      <c r="S201">
        <f t="shared" si="85"/>
        <v>0</v>
      </c>
    </row>
    <row r="202" spans="1:19">
      <c r="A202" t="s">
        <v>60</v>
      </c>
      <c r="B202" t="s">
        <v>179</v>
      </c>
      <c r="C202" t="s">
        <v>2243</v>
      </c>
      <c r="D202" t="s">
        <v>2185</v>
      </c>
      <c r="H202">
        <f>H201/H103</f>
        <v>0</v>
      </c>
      <c r="I202">
        <f>I201/I103</f>
        <v>0</v>
      </c>
      <c r="J202">
        <f>J201/J103</f>
        <v>0</v>
      </c>
    </row>
    <row r="203" spans="1:19">
      <c r="A203" t="s">
        <v>23</v>
      </c>
      <c r="B203" t="s">
        <v>20</v>
      </c>
      <c r="C203" t="s">
        <v>2244</v>
      </c>
      <c r="D203" t="s">
        <v>2134</v>
      </c>
      <c r="H203">
        <v>28000000</v>
      </c>
      <c r="I203">
        <v>26000000</v>
      </c>
      <c r="J203">
        <v>31200000</v>
      </c>
      <c r="K203">
        <v>32000000</v>
      </c>
      <c r="L203">
        <v>32800000</v>
      </c>
      <c r="M203">
        <v>34000000</v>
      </c>
      <c r="N203">
        <v>35200000</v>
      </c>
      <c r="O203">
        <v>34800000</v>
      </c>
      <c r="P203">
        <v>34000000</v>
      </c>
      <c r="Q203">
        <v>37200000</v>
      </c>
      <c r="R203">
        <v>36800000</v>
      </c>
      <c r="S203">
        <v>38000000</v>
      </c>
    </row>
    <row r="204" spans="1:19">
      <c r="A204" t="s">
        <v>26</v>
      </c>
      <c r="B204" t="s">
        <v>179</v>
      </c>
      <c r="C204" t="s">
        <v>2245</v>
      </c>
      <c r="D204" t="s">
        <v>2185</v>
      </c>
      <c r="H204">
        <f>H203/H104</f>
        <v>0.0103703703703704</v>
      </c>
      <c r="I204">
        <f>I203/I104</f>
        <v>0.00925925925925926</v>
      </c>
      <c r="J204">
        <f>J203/J104</f>
        <v>0.0105691056910569</v>
      </c>
    </row>
    <row r="205" spans="1:19">
      <c r="A205" t="s">
        <v>19</v>
      </c>
      <c r="B205" t="s">
        <v>20</v>
      </c>
      <c r="C205" t="s">
        <v>2246</v>
      </c>
      <c r="D205" t="s">
        <v>337</v>
      </c>
      <c r="H205">
        <f t="shared" ref="H205:S205" si="86">H206</f>
        <v>28000000</v>
      </c>
      <c r="I205">
        <f t="shared" si="86"/>
        <v>26000000</v>
      </c>
      <c r="J205">
        <f t="shared" si="86"/>
        <v>31200000</v>
      </c>
      <c r="K205">
        <f t="shared" si="86"/>
        <v>32000000</v>
      </c>
      <c r="L205">
        <f t="shared" si="86"/>
        <v>32800000</v>
      </c>
      <c r="M205">
        <f t="shared" si="86"/>
        <v>34000000</v>
      </c>
      <c r="N205">
        <f t="shared" si="86"/>
        <v>35200000</v>
      </c>
      <c r="O205">
        <f t="shared" si="86"/>
        <v>34800000</v>
      </c>
      <c r="P205">
        <f t="shared" si="86"/>
        <v>34000000</v>
      </c>
      <c r="Q205">
        <f t="shared" si="86"/>
        <v>37200000</v>
      </c>
      <c r="R205">
        <f t="shared" si="86"/>
        <v>36800000</v>
      </c>
      <c r="S205">
        <f t="shared" si="86"/>
        <v>38000000</v>
      </c>
    </row>
    <row r="206" spans="1:19">
      <c r="A206" t="s">
        <v>23</v>
      </c>
      <c r="B206" t="s">
        <v>20</v>
      </c>
      <c r="C206" t="s">
        <v>2247</v>
      </c>
      <c r="D206" t="s">
        <v>337</v>
      </c>
      <c r="H206">
        <v>28000000</v>
      </c>
      <c r="I206">
        <v>26000000</v>
      </c>
      <c r="J206">
        <v>31200000</v>
      </c>
      <c r="K206">
        <v>32000000</v>
      </c>
      <c r="L206">
        <v>32800000</v>
      </c>
      <c r="M206">
        <v>34000000</v>
      </c>
      <c r="N206">
        <v>35200000</v>
      </c>
      <c r="O206">
        <v>34800000</v>
      </c>
      <c r="P206">
        <v>34000000</v>
      </c>
      <c r="Q206">
        <v>37200000</v>
      </c>
      <c r="R206">
        <v>36800000</v>
      </c>
      <c r="S206">
        <v>38000000</v>
      </c>
    </row>
    <row r="207" spans="1:19">
      <c r="A207" t="s">
        <v>19</v>
      </c>
      <c r="B207" t="s">
        <v>35</v>
      </c>
      <c r="C207" t="s">
        <v>2248</v>
      </c>
      <c r="D207" t="s">
        <v>365</v>
      </c>
      <c r="H207">
        <f t="shared" ref="H207:S207" si="87">H208</f>
        <v>4200000</v>
      </c>
      <c r="I207">
        <f t="shared" si="87"/>
        <v>3900000</v>
      </c>
      <c r="J207">
        <f t="shared" si="87"/>
        <v>4680000</v>
      </c>
      <c r="K207">
        <f t="shared" si="87"/>
        <v>4800000</v>
      </c>
      <c r="L207">
        <f t="shared" si="87"/>
        <v>4920000</v>
      </c>
      <c r="M207">
        <f t="shared" si="87"/>
        <v>5100000</v>
      </c>
      <c r="N207">
        <f t="shared" si="87"/>
        <v>5280000</v>
      </c>
      <c r="O207">
        <f t="shared" si="87"/>
        <v>5220000</v>
      </c>
      <c r="P207">
        <f t="shared" si="87"/>
        <v>5100000</v>
      </c>
      <c r="Q207">
        <f t="shared" si="87"/>
        <v>5580000</v>
      </c>
      <c r="R207">
        <f t="shared" si="87"/>
        <v>5520000</v>
      </c>
      <c r="S207">
        <f t="shared" si="87"/>
        <v>5700000</v>
      </c>
    </row>
    <row r="208" spans="1:19">
      <c r="A208" t="s">
        <v>23</v>
      </c>
      <c r="B208" t="s">
        <v>35</v>
      </c>
      <c r="C208" t="s">
        <v>2249</v>
      </c>
      <c r="D208" t="s">
        <v>365</v>
      </c>
      <c r="H208">
        <v>4200000</v>
      </c>
      <c r="I208">
        <v>3900000</v>
      </c>
      <c r="J208">
        <v>4680000</v>
      </c>
      <c r="K208">
        <v>4800000</v>
      </c>
      <c r="L208">
        <v>4920000</v>
      </c>
      <c r="M208">
        <v>5100000</v>
      </c>
      <c r="N208">
        <v>5280000</v>
      </c>
      <c r="O208">
        <v>5220000</v>
      </c>
      <c r="P208">
        <v>5100000</v>
      </c>
      <c r="Q208">
        <v>5580000</v>
      </c>
      <c r="R208">
        <v>5520000</v>
      </c>
      <c r="S208">
        <v>5700000</v>
      </c>
    </row>
    <row r="209" spans="1:19">
      <c r="A209" t="s">
        <v>19</v>
      </c>
      <c r="B209" t="s">
        <v>20</v>
      </c>
      <c r="C209" t="s">
        <v>2250</v>
      </c>
      <c r="D209" t="s">
        <v>386</v>
      </c>
      <c r="H209">
        <f t="shared" ref="H209:S209" si="88">H210+H218+H220+H222+H224+H226+H228</f>
        <v>0</v>
      </c>
      <c r="I209">
        <f t="shared" si="88"/>
        <v>0</v>
      </c>
      <c r="J209">
        <f t="shared" si="88"/>
        <v>0</v>
      </c>
      <c r="K209">
        <f t="shared" si="88"/>
        <v>0</v>
      </c>
      <c r="L209">
        <f t="shared" si="88"/>
        <v>0</v>
      </c>
      <c r="M209">
        <f t="shared" si="88"/>
        <v>0</v>
      </c>
      <c r="N209">
        <f t="shared" si="88"/>
        <v>0</v>
      </c>
      <c r="O209">
        <f t="shared" si="88"/>
        <v>0</v>
      </c>
      <c r="P209">
        <f t="shared" si="88"/>
        <v>0</v>
      </c>
      <c r="Q209">
        <f t="shared" si="88"/>
        <v>0</v>
      </c>
      <c r="R209">
        <f t="shared" si="88"/>
        <v>0</v>
      </c>
      <c r="S209">
        <f t="shared" si="88"/>
        <v>0</v>
      </c>
    </row>
    <row r="210" spans="1:19">
      <c r="A210" t="s">
        <v>23</v>
      </c>
      <c r="B210" t="s">
        <v>20</v>
      </c>
      <c r="C210" t="s">
        <v>2251</v>
      </c>
      <c r="D210" t="s">
        <v>2252</v>
      </c>
      <c r="H210">
        <f t="shared" ref="H210:S210" si="89">H211+H212+H213+H214+H215+H216+H217</f>
        <v>0</v>
      </c>
      <c r="I210">
        <f t="shared" si="89"/>
        <v>0</v>
      </c>
      <c r="J210">
        <f t="shared" si="89"/>
        <v>0</v>
      </c>
      <c r="K210">
        <f t="shared" si="89"/>
        <v>0</v>
      </c>
      <c r="L210">
        <f t="shared" si="89"/>
        <v>0</v>
      </c>
      <c r="M210">
        <f t="shared" si="89"/>
        <v>0</v>
      </c>
      <c r="N210">
        <f t="shared" si="89"/>
        <v>0</v>
      </c>
      <c r="O210">
        <f t="shared" si="89"/>
        <v>0</v>
      </c>
      <c r="P210">
        <f t="shared" si="89"/>
        <v>0</v>
      </c>
      <c r="Q210">
        <f t="shared" si="89"/>
        <v>0</v>
      </c>
      <c r="R210">
        <f t="shared" si="89"/>
        <v>0</v>
      </c>
      <c r="S210">
        <f t="shared" si="89"/>
        <v>0</v>
      </c>
    </row>
    <row r="211" spans="1:19">
      <c r="A211" t="s">
        <v>26</v>
      </c>
      <c r="B211" t="s">
        <v>20</v>
      </c>
      <c r="C211" t="s">
        <v>2253</v>
      </c>
      <c r="D211" t="s">
        <v>2254</v>
      </c>
    </row>
    <row r="212" spans="1:19">
      <c r="A212" t="s">
        <v>26</v>
      </c>
      <c r="B212" t="s">
        <v>20</v>
      </c>
      <c r="C212" t="s">
        <v>2255</v>
      </c>
      <c r="D212" t="s">
        <v>2256</v>
      </c>
    </row>
    <row r="213" spans="1:19">
      <c r="A213" t="s">
        <v>26</v>
      </c>
      <c r="B213" t="s">
        <v>20</v>
      </c>
      <c r="C213" t="s">
        <v>2257</v>
      </c>
      <c r="D213" t="s">
        <v>2258</v>
      </c>
    </row>
    <row r="214" spans="1:19">
      <c r="A214" t="s">
        <v>26</v>
      </c>
      <c r="B214" t="s">
        <v>20</v>
      </c>
      <c r="C214" t="s">
        <v>2259</v>
      </c>
      <c r="D214" t="s">
        <v>2260</v>
      </c>
    </row>
    <row r="215" spans="1:19">
      <c r="A215" t="s">
        <v>26</v>
      </c>
      <c r="B215" t="s">
        <v>20</v>
      </c>
      <c r="C215" t="s">
        <v>2261</v>
      </c>
      <c r="D215" t="s">
        <v>2262</v>
      </c>
    </row>
    <row r="216" spans="1:19">
      <c r="A216" t="s">
        <v>26</v>
      </c>
      <c r="B216" t="s">
        <v>20</v>
      </c>
      <c r="C216" t="s">
        <v>2263</v>
      </c>
      <c r="D216" t="s">
        <v>2264</v>
      </c>
    </row>
    <row r="217" spans="1:19">
      <c r="A217" t="s">
        <v>26</v>
      </c>
      <c r="B217" t="s">
        <v>20</v>
      </c>
      <c r="C217" t="s">
        <v>2265</v>
      </c>
      <c r="D217" t="s">
        <v>179</v>
      </c>
    </row>
    <row r="218" spans="1:19">
      <c r="A218" t="s">
        <v>23</v>
      </c>
      <c r="B218" t="s">
        <v>20</v>
      </c>
      <c r="C218" t="s">
        <v>2266</v>
      </c>
      <c r="D218" t="s">
        <v>2267</v>
      </c>
    </row>
    <row r="219" spans="1:19">
      <c r="A219" t="s">
        <v>26</v>
      </c>
      <c r="B219" t="s">
        <v>179</v>
      </c>
      <c r="C219" t="s">
        <v>2268</v>
      </c>
      <c r="D219" t="s">
        <v>2148</v>
      </c>
      <c r="H219">
        <f>H218/(H88+H89)</f>
        <v>0</v>
      </c>
      <c r="I219">
        <f>I218/(I88+I89)</f>
        <v>0</v>
      </c>
      <c r="J219">
        <f>J218/(J88+J89)</f>
        <v>0</v>
      </c>
    </row>
    <row r="220" spans="1:19">
      <c r="A220" t="s">
        <v>23</v>
      </c>
      <c r="B220" t="s">
        <v>20</v>
      </c>
      <c r="C220" t="s">
        <v>2269</v>
      </c>
      <c r="D220" t="s">
        <v>2270</v>
      </c>
    </row>
    <row r="221" spans="1:19">
      <c r="A221" t="s">
        <v>26</v>
      </c>
      <c r="B221" t="s">
        <v>179</v>
      </c>
      <c r="C221" t="s">
        <v>2271</v>
      </c>
      <c r="D221" t="s">
        <v>2148</v>
      </c>
      <c r="H221">
        <f>H220/H90</f>
        <v>0</v>
      </c>
      <c r="I221">
        <f>I220/I90</f>
        <v>0</v>
      </c>
      <c r="J221">
        <f>J220/J90</f>
        <v>0</v>
      </c>
    </row>
    <row r="222" spans="1:19">
      <c r="A222" t="s">
        <v>23</v>
      </c>
      <c r="B222" t="s">
        <v>20</v>
      </c>
      <c r="C222" t="s">
        <v>2272</v>
      </c>
      <c r="D222" t="s">
        <v>2273</v>
      </c>
      <c r="K222">
        <f t="shared" ref="K222:S222" si="90">K85*K223</f>
        <v>0</v>
      </c>
      <c r="L222">
        <f t="shared" si="90"/>
        <v>0</v>
      </c>
      <c r="M222">
        <f t="shared" si="90"/>
        <v>0</v>
      </c>
      <c r="N222">
        <f t="shared" si="90"/>
        <v>0</v>
      </c>
      <c r="O222">
        <f t="shared" si="90"/>
        <v>0</v>
      </c>
      <c r="P222">
        <f t="shared" si="90"/>
        <v>0</v>
      </c>
      <c r="Q222">
        <f t="shared" si="90"/>
        <v>0</v>
      </c>
      <c r="R222">
        <f t="shared" si="90"/>
        <v>0</v>
      </c>
      <c r="S222">
        <f t="shared" si="90"/>
        <v>0</v>
      </c>
    </row>
    <row r="223" spans="1:19">
      <c r="A223" t="s">
        <v>26</v>
      </c>
      <c r="B223" t="s">
        <v>179</v>
      </c>
      <c r="C223" t="s">
        <v>2274</v>
      </c>
      <c r="D223" t="s">
        <v>1074</v>
      </c>
      <c r="H223">
        <f>H222/H85</f>
        <v>0</v>
      </c>
      <c r="I223">
        <f>I222/I85</f>
        <v>0</v>
      </c>
      <c r="J223">
        <f>J222/J85</f>
        <v>0</v>
      </c>
    </row>
    <row r="224" spans="1:19">
      <c r="A224" t="s">
        <v>23</v>
      </c>
      <c r="B224" t="s">
        <v>20</v>
      </c>
      <c r="C224" t="s">
        <v>2275</v>
      </c>
      <c r="D224" t="s">
        <v>2276</v>
      </c>
      <c r="K224">
        <f t="shared" ref="K224:S224" si="91">K86*K225</f>
        <v>0</v>
      </c>
      <c r="L224">
        <f t="shared" si="91"/>
        <v>0</v>
      </c>
      <c r="M224">
        <f t="shared" si="91"/>
        <v>0</v>
      </c>
      <c r="N224">
        <f t="shared" si="91"/>
        <v>0</v>
      </c>
      <c r="O224">
        <f t="shared" si="91"/>
        <v>0</v>
      </c>
      <c r="P224">
        <f t="shared" si="91"/>
        <v>0</v>
      </c>
      <c r="Q224">
        <f t="shared" si="91"/>
        <v>0</v>
      </c>
      <c r="R224">
        <f t="shared" si="91"/>
        <v>0</v>
      </c>
      <c r="S224">
        <f t="shared" si="91"/>
        <v>0</v>
      </c>
    </row>
    <row r="225" spans="1:19">
      <c r="A225" t="s">
        <v>26</v>
      </c>
      <c r="B225" t="s">
        <v>179</v>
      </c>
      <c r="C225" t="s">
        <v>2277</v>
      </c>
      <c r="D225" t="s">
        <v>1074</v>
      </c>
      <c r="H225">
        <f>H224/H86</f>
        <v>0</v>
      </c>
      <c r="I225">
        <f>I224/I86</f>
        <v>0</v>
      </c>
      <c r="J225">
        <f>J224/J86</f>
        <v>0</v>
      </c>
    </row>
    <row r="226" spans="1:19">
      <c r="A226" t="s">
        <v>23</v>
      </c>
      <c r="B226" t="s">
        <v>20</v>
      </c>
      <c r="C226" t="s">
        <v>2278</v>
      </c>
      <c r="D226" t="s">
        <v>2134</v>
      </c>
    </row>
    <row r="227" spans="1:19">
      <c r="A227" t="s">
        <v>26</v>
      </c>
      <c r="B227" t="s">
        <v>179</v>
      </c>
      <c r="C227" t="s">
        <v>2279</v>
      </c>
      <c r="D227" t="s">
        <v>2223</v>
      </c>
      <c r="H227">
        <f>H226/H104</f>
        <v>0</v>
      </c>
      <c r="I227">
        <f>I226/I104</f>
        <v>0</v>
      </c>
      <c r="J227">
        <f>J226/J104</f>
        <v>0</v>
      </c>
    </row>
    <row r="228" spans="1:19">
      <c r="A228" t="s">
        <v>23</v>
      </c>
      <c r="B228" t="s">
        <v>20</v>
      </c>
      <c r="C228" t="s">
        <v>2280</v>
      </c>
      <c r="D228" t="s">
        <v>2281</v>
      </c>
      <c r="H228">
        <f t="shared" ref="H228:S228" si="92">H229+H234</f>
        <v>0</v>
      </c>
      <c r="I228">
        <f t="shared" si="92"/>
        <v>0</v>
      </c>
      <c r="J228">
        <f t="shared" si="92"/>
        <v>0</v>
      </c>
      <c r="K228">
        <f t="shared" si="92"/>
        <v>0</v>
      </c>
      <c r="L228">
        <f t="shared" si="92"/>
        <v>0</v>
      </c>
      <c r="M228">
        <f t="shared" si="92"/>
        <v>0</v>
      </c>
      <c r="N228">
        <f t="shared" si="92"/>
        <v>0</v>
      </c>
      <c r="O228">
        <f t="shared" si="92"/>
        <v>0</v>
      </c>
      <c r="P228">
        <f t="shared" si="92"/>
        <v>0</v>
      </c>
      <c r="Q228">
        <f t="shared" si="92"/>
        <v>0</v>
      </c>
      <c r="R228">
        <f t="shared" si="92"/>
        <v>0</v>
      </c>
      <c r="S228">
        <f t="shared" si="92"/>
        <v>0</v>
      </c>
    </row>
    <row r="229" spans="1:19">
      <c r="A229" t="s">
        <v>26</v>
      </c>
      <c r="B229" t="s">
        <v>20</v>
      </c>
      <c r="C229" t="s">
        <v>2282</v>
      </c>
      <c r="D229" t="s">
        <v>2067</v>
      </c>
      <c r="K229">
        <f t="shared" ref="K229:S229" si="93">K230+K232</f>
        <v>0</v>
      </c>
      <c r="L229">
        <f t="shared" si="93"/>
        <v>0</v>
      </c>
      <c r="M229">
        <f t="shared" si="93"/>
        <v>0</v>
      </c>
      <c r="N229">
        <f t="shared" si="93"/>
        <v>0</v>
      </c>
      <c r="O229">
        <f t="shared" si="93"/>
        <v>0</v>
      </c>
      <c r="P229">
        <f t="shared" si="93"/>
        <v>0</v>
      </c>
      <c r="Q229">
        <f t="shared" si="93"/>
        <v>0</v>
      </c>
      <c r="R229">
        <f t="shared" si="93"/>
        <v>0</v>
      </c>
      <c r="S229">
        <f t="shared" si="93"/>
        <v>0</v>
      </c>
    </row>
    <row r="230" spans="1:19">
      <c r="A230" t="s">
        <v>60</v>
      </c>
      <c r="B230" t="s">
        <v>20</v>
      </c>
      <c r="C230" t="s">
        <v>2283</v>
      </c>
      <c r="D230" t="s">
        <v>2073</v>
      </c>
      <c r="K230">
        <f t="shared" ref="K230:S230" si="94">K74*(K231-K123)</f>
        <v>0</v>
      </c>
      <c r="L230">
        <f t="shared" si="94"/>
        <v>0</v>
      </c>
      <c r="M230">
        <f t="shared" si="94"/>
        <v>0</v>
      </c>
      <c r="N230">
        <f t="shared" si="94"/>
        <v>0</v>
      </c>
      <c r="O230">
        <f t="shared" si="94"/>
        <v>0</v>
      </c>
      <c r="P230">
        <f t="shared" si="94"/>
        <v>0</v>
      </c>
      <c r="Q230">
        <f t="shared" si="94"/>
        <v>0</v>
      </c>
      <c r="R230">
        <f t="shared" si="94"/>
        <v>0</v>
      </c>
      <c r="S230">
        <f t="shared" si="94"/>
        <v>0</v>
      </c>
    </row>
    <row r="231" spans="1:19">
      <c r="A231" t="s">
        <v>60</v>
      </c>
      <c r="B231" t="s">
        <v>179</v>
      </c>
      <c r="C231" t="s">
        <v>2284</v>
      </c>
      <c r="D231" t="s">
        <v>2285</v>
      </c>
    </row>
    <row r="232" spans="1:19">
      <c r="A232" t="s">
        <v>60</v>
      </c>
      <c r="B232" t="s">
        <v>20</v>
      </c>
      <c r="C232" t="s">
        <v>2286</v>
      </c>
      <c r="D232" t="s">
        <v>2077</v>
      </c>
      <c r="K232">
        <f t="shared" ref="K232:S232" si="95">K76*(K233-K127)</f>
        <v>0</v>
      </c>
      <c r="L232">
        <f t="shared" si="95"/>
        <v>0</v>
      </c>
      <c r="M232">
        <f t="shared" si="95"/>
        <v>0</v>
      </c>
      <c r="N232">
        <f t="shared" si="95"/>
        <v>0</v>
      </c>
      <c r="O232">
        <f t="shared" si="95"/>
        <v>0</v>
      </c>
      <c r="P232">
        <f t="shared" si="95"/>
        <v>0</v>
      </c>
      <c r="Q232">
        <f t="shared" si="95"/>
        <v>0</v>
      </c>
      <c r="R232">
        <f t="shared" si="95"/>
        <v>0</v>
      </c>
      <c r="S232">
        <f t="shared" si="95"/>
        <v>0</v>
      </c>
    </row>
    <row r="233" spans="1:19">
      <c r="A233" t="s">
        <v>60</v>
      </c>
      <c r="B233" t="s">
        <v>179</v>
      </c>
      <c r="C233" t="s">
        <v>2287</v>
      </c>
      <c r="D233" t="s">
        <v>2285</v>
      </c>
    </row>
    <row r="234" spans="1:19">
      <c r="A234" t="s">
        <v>26</v>
      </c>
      <c r="B234" t="s">
        <v>20</v>
      </c>
      <c r="C234" t="s">
        <v>2288</v>
      </c>
      <c r="D234" t="s">
        <v>2289</v>
      </c>
      <c r="K234">
        <f t="shared" ref="K234:S234" si="96">K235+K237</f>
        <v>0</v>
      </c>
      <c r="L234">
        <f t="shared" si="96"/>
        <v>0</v>
      </c>
      <c r="M234">
        <f t="shared" si="96"/>
        <v>0</v>
      </c>
      <c r="N234">
        <f t="shared" si="96"/>
        <v>0</v>
      </c>
      <c r="O234">
        <f t="shared" si="96"/>
        <v>0</v>
      </c>
      <c r="P234">
        <f t="shared" si="96"/>
        <v>0</v>
      </c>
      <c r="Q234">
        <f t="shared" si="96"/>
        <v>0</v>
      </c>
      <c r="R234">
        <f t="shared" si="96"/>
        <v>0</v>
      </c>
      <c r="S234">
        <f t="shared" si="96"/>
        <v>0</v>
      </c>
    </row>
    <row r="235" spans="1:19">
      <c r="A235" t="s">
        <v>60</v>
      </c>
      <c r="B235" t="s">
        <v>20</v>
      </c>
      <c r="C235" t="s">
        <v>2290</v>
      </c>
      <c r="D235" t="s">
        <v>2097</v>
      </c>
      <c r="K235">
        <f t="shared" ref="K235:S235" si="97">K85*(K236-K223)</f>
        <v>0</v>
      </c>
      <c r="L235">
        <f t="shared" si="97"/>
        <v>0</v>
      </c>
      <c r="M235">
        <f t="shared" si="97"/>
        <v>0</v>
      </c>
      <c r="N235">
        <f t="shared" si="97"/>
        <v>0</v>
      </c>
      <c r="O235">
        <f t="shared" si="97"/>
        <v>0</v>
      </c>
      <c r="P235">
        <f t="shared" si="97"/>
        <v>0</v>
      </c>
      <c r="Q235">
        <f t="shared" si="97"/>
        <v>0</v>
      </c>
      <c r="R235">
        <f t="shared" si="97"/>
        <v>0</v>
      </c>
      <c r="S235">
        <f t="shared" si="97"/>
        <v>0</v>
      </c>
    </row>
    <row r="236" spans="1:19">
      <c r="A236" t="s">
        <v>60</v>
      </c>
      <c r="B236" t="s">
        <v>179</v>
      </c>
      <c r="C236" t="s">
        <v>2291</v>
      </c>
      <c r="D236" t="s">
        <v>2285</v>
      </c>
    </row>
    <row r="237" spans="1:19">
      <c r="A237" t="s">
        <v>60</v>
      </c>
      <c r="B237" t="s">
        <v>20</v>
      </c>
      <c r="C237" t="s">
        <v>2292</v>
      </c>
      <c r="D237" t="s">
        <v>2099</v>
      </c>
      <c r="K237">
        <f t="shared" ref="K237:S237" si="98">K86*(K238-K225)</f>
        <v>0</v>
      </c>
      <c r="L237">
        <f t="shared" si="98"/>
        <v>0</v>
      </c>
      <c r="M237">
        <f t="shared" si="98"/>
        <v>0</v>
      </c>
      <c r="N237">
        <f t="shared" si="98"/>
        <v>0</v>
      </c>
      <c r="O237">
        <f t="shared" si="98"/>
        <v>0</v>
      </c>
      <c r="P237">
        <f t="shared" si="98"/>
        <v>0</v>
      </c>
      <c r="Q237">
        <f t="shared" si="98"/>
        <v>0</v>
      </c>
      <c r="R237">
        <f t="shared" si="98"/>
        <v>0</v>
      </c>
      <c r="S237">
        <f t="shared" si="98"/>
        <v>0</v>
      </c>
    </row>
    <row r="238" spans="1:19">
      <c r="A238" t="s">
        <v>60</v>
      </c>
      <c r="B238" t="s">
        <v>179</v>
      </c>
      <c r="C238" t="s">
        <v>2293</v>
      </c>
      <c r="D238" t="s">
        <v>2285</v>
      </c>
    </row>
    <row r="239" spans="1:19">
      <c r="A239" t="s">
        <v>19</v>
      </c>
      <c r="B239" t="s">
        <v>20</v>
      </c>
      <c r="C239" t="s">
        <v>2294</v>
      </c>
      <c r="D239" t="s">
        <v>392</v>
      </c>
    </row>
    <row r="240" spans="1:19">
      <c r="A240" t="s">
        <v>19</v>
      </c>
      <c r="B240" t="s">
        <v>393</v>
      </c>
      <c r="C240" t="s">
        <v>2295</v>
      </c>
      <c r="D240" t="s">
        <v>395</v>
      </c>
    </row>
    <row r="241" spans="1:4">
      <c r="A241" t="s">
        <v>23</v>
      </c>
      <c r="B241" t="s">
        <v>393</v>
      </c>
      <c r="C241" t="s">
        <v>2296</v>
      </c>
      <c r="D241" t="s">
        <v>397</v>
      </c>
    </row>
    <row r="242" spans="1:4">
      <c r="A242" t="s">
        <v>26</v>
      </c>
      <c r="B242" t="s">
        <v>393</v>
      </c>
      <c r="C242" t="s">
        <v>2297</v>
      </c>
      <c r="D242" t="s">
        <v>399</v>
      </c>
    </row>
    <row r="243" spans="1:4">
      <c r="A243" t="s">
        <v>60</v>
      </c>
      <c r="B243" t="s">
        <v>393</v>
      </c>
      <c r="C243" t="s">
        <v>2298</v>
      </c>
      <c r="D243" t="s">
        <v>401</v>
      </c>
    </row>
    <row r="244" spans="1:4">
      <c r="A244" t="s">
        <v>60</v>
      </c>
      <c r="B244" t="s">
        <v>393</v>
      </c>
      <c r="C244" t="s">
        <v>2299</v>
      </c>
      <c r="D244" t="s">
        <v>49</v>
      </c>
    </row>
    <row r="245" spans="1:4">
      <c r="A245" t="s">
        <v>26</v>
      </c>
      <c r="B245" t="s">
        <v>393</v>
      </c>
      <c r="C245" t="s">
        <v>2300</v>
      </c>
      <c r="D245" t="s">
        <v>51</v>
      </c>
    </row>
    <row r="246" spans="1:4">
      <c r="A246" t="s">
        <v>60</v>
      </c>
      <c r="B246" t="s">
        <v>393</v>
      </c>
      <c r="C246" t="s">
        <v>2301</v>
      </c>
      <c r="D246" t="s">
        <v>405</v>
      </c>
    </row>
    <row r="247" spans="1:4">
      <c r="A247" t="s">
        <v>60</v>
      </c>
      <c r="B247" t="s">
        <v>393</v>
      </c>
      <c r="C247" t="s">
        <v>2302</v>
      </c>
      <c r="D247" t="s">
        <v>407</v>
      </c>
    </row>
    <row r="248" spans="1:4">
      <c r="A248" t="s">
        <v>26</v>
      </c>
      <c r="B248" t="s">
        <v>393</v>
      </c>
      <c r="C248" t="s">
        <v>2303</v>
      </c>
      <c r="D248" t="s">
        <v>409</v>
      </c>
    </row>
    <row r="249" spans="1:4">
      <c r="A249" t="s">
        <v>60</v>
      </c>
      <c r="B249" t="s">
        <v>393</v>
      </c>
      <c r="C249" t="s">
        <v>2304</v>
      </c>
      <c r="D249" t="s">
        <v>59</v>
      </c>
    </row>
    <row r="250" spans="1:4">
      <c r="A250" t="s">
        <v>192</v>
      </c>
      <c r="B250" t="s">
        <v>393</v>
      </c>
      <c r="C250" t="s">
        <v>2305</v>
      </c>
      <c r="D250" t="s">
        <v>62</v>
      </c>
    </row>
    <row r="251" spans="1:4">
      <c r="A251" t="s">
        <v>192</v>
      </c>
      <c r="B251" t="s">
        <v>393</v>
      </c>
      <c r="C251" t="s">
        <v>2306</v>
      </c>
      <c r="D251" t="s">
        <v>64</v>
      </c>
    </row>
    <row r="252" spans="1:4">
      <c r="A252" t="s">
        <v>60</v>
      </c>
      <c r="B252" t="s">
        <v>393</v>
      </c>
      <c r="C252" t="s">
        <v>2307</v>
      </c>
      <c r="D252" t="s">
        <v>414</v>
      </c>
    </row>
    <row r="253" spans="1:4">
      <c r="A253" t="s">
        <v>60</v>
      </c>
      <c r="B253" t="s">
        <v>393</v>
      </c>
      <c r="C253" t="s">
        <v>2308</v>
      </c>
      <c r="D253" t="s">
        <v>68</v>
      </c>
    </row>
    <row r="254" spans="1:4">
      <c r="A254" t="s">
        <v>60</v>
      </c>
      <c r="B254" t="s">
        <v>393</v>
      </c>
      <c r="C254" t="s">
        <v>2309</v>
      </c>
      <c r="D254" t="s">
        <v>70</v>
      </c>
    </row>
    <row r="255" spans="1:4">
      <c r="A255" t="s">
        <v>26</v>
      </c>
      <c r="B255" t="s">
        <v>393</v>
      </c>
      <c r="C255" t="s">
        <v>2310</v>
      </c>
      <c r="D255" t="s">
        <v>418</v>
      </c>
    </row>
    <row r="256" spans="1:4">
      <c r="A256" t="s">
        <v>26</v>
      </c>
      <c r="B256" t="s">
        <v>393</v>
      </c>
      <c r="C256" t="s">
        <v>2311</v>
      </c>
      <c r="D256" t="s">
        <v>420</v>
      </c>
    </row>
    <row r="257" spans="1:4">
      <c r="A257" t="s">
        <v>23</v>
      </c>
      <c r="B257" t="s">
        <v>393</v>
      </c>
      <c r="C257" t="s">
        <v>2312</v>
      </c>
      <c r="D257" t="s">
        <v>422</v>
      </c>
    </row>
    <row r="258" spans="1:4">
      <c r="A258" t="s">
        <v>26</v>
      </c>
      <c r="B258" t="s">
        <v>393</v>
      </c>
      <c r="C258" t="s">
        <v>2313</v>
      </c>
      <c r="D258" t="s">
        <v>399</v>
      </c>
    </row>
    <row r="259" spans="1:4">
      <c r="A259" t="s">
        <v>60</v>
      </c>
      <c r="B259" t="s">
        <v>393</v>
      </c>
      <c r="C259" t="s">
        <v>2314</v>
      </c>
      <c r="D259" t="s">
        <v>401</v>
      </c>
    </row>
    <row r="260" spans="1:4">
      <c r="A260" t="s">
        <v>60</v>
      </c>
      <c r="B260" t="s">
        <v>393</v>
      </c>
      <c r="C260" t="s">
        <v>2315</v>
      </c>
      <c r="D260" t="s">
        <v>49</v>
      </c>
    </row>
    <row r="261" spans="1:4">
      <c r="A261" t="s">
        <v>26</v>
      </c>
      <c r="B261" t="s">
        <v>393</v>
      </c>
      <c r="C261" t="s">
        <v>2316</v>
      </c>
      <c r="D261" t="s">
        <v>51</v>
      </c>
    </row>
    <row r="262" spans="1:4">
      <c r="A262" t="s">
        <v>60</v>
      </c>
      <c r="B262" t="s">
        <v>393</v>
      </c>
      <c r="C262" t="s">
        <v>2317</v>
      </c>
      <c r="D262" t="s">
        <v>405</v>
      </c>
    </row>
    <row r="263" spans="1:4">
      <c r="A263" t="s">
        <v>60</v>
      </c>
      <c r="B263" t="s">
        <v>393</v>
      </c>
      <c r="C263" t="s">
        <v>2318</v>
      </c>
      <c r="D263" t="s">
        <v>407</v>
      </c>
    </row>
    <row r="264" spans="1:4">
      <c r="A264" t="s">
        <v>26</v>
      </c>
      <c r="B264" t="s">
        <v>393</v>
      </c>
      <c r="C264" t="s">
        <v>2319</v>
      </c>
      <c r="D264" t="s">
        <v>409</v>
      </c>
    </row>
    <row r="265" spans="1:4">
      <c r="A265" t="s">
        <v>60</v>
      </c>
      <c r="B265" t="s">
        <v>393</v>
      </c>
      <c r="C265" t="s">
        <v>2320</v>
      </c>
      <c r="D265" t="s">
        <v>59</v>
      </c>
    </row>
    <row r="266" spans="1:4">
      <c r="A266" t="s">
        <v>192</v>
      </c>
      <c r="B266" t="s">
        <v>393</v>
      </c>
      <c r="C266" t="s">
        <v>2321</v>
      </c>
      <c r="D266" t="s">
        <v>62</v>
      </c>
    </row>
    <row r="267" spans="1:4">
      <c r="A267" t="s">
        <v>192</v>
      </c>
      <c r="B267" t="s">
        <v>393</v>
      </c>
      <c r="C267" t="s">
        <v>2322</v>
      </c>
      <c r="D267" t="s">
        <v>64</v>
      </c>
    </row>
    <row r="268" spans="1:4">
      <c r="A268" t="s">
        <v>60</v>
      </c>
      <c r="B268" t="s">
        <v>393</v>
      </c>
      <c r="C268" t="s">
        <v>2323</v>
      </c>
      <c r="D268" t="s">
        <v>414</v>
      </c>
    </row>
    <row r="269" spans="1:4">
      <c r="A269" t="s">
        <v>60</v>
      </c>
      <c r="B269" t="s">
        <v>393</v>
      </c>
      <c r="C269" t="s">
        <v>2324</v>
      </c>
      <c r="D269" t="s">
        <v>68</v>
      </c>
    </row>
    <row r="270" spans="1:4">
      <c r="A270" t="s">
        <v>60</v>
      </c>
      <c r="B270" t="s">
        <v>393</v>
      </c>
      <c r="C270" t="s">
        <v>2325</v>
      </c>
      <c r="D270" t="s">
        <v>70</v>
      </c>
    </row>
    <row r="271" spans="1:4">
      <c r="A271" t="s">
        <v>26</v>
      </c>
      <c r="B271" t="s">
        <v>393</v>
      </c>
      <c r="C271" t="s">
        <v>2326</v>
      </c>
      <c r="D271" t="s">
        <v>418</v>
      </c>
    </row>
    <row r="272" spans="1:4">
      <c r="A272" t="s">
        <v>26</v>
      </c>
      <c r="B272" t="s">
        <v>393</v>
      </c>
      <c r="C272" t="s">
        <v>2327</v>
      </c>
      <c r="D272" t="s">
        <v>420</v>
      </c>
    </row>
    <row r="273" spans="1:19">
      <c r="A273" t="s">
        <v>19</v>
      </c>
      <c r="B273" t="s">
        <v>438</v>
      </c>
      <c r="C273" t="s">
        <v>2328</v>
      </c>
      <c r="D273" t="s">
        <v>440</v>
      </c>
    </row>
    <row r="274" spans="1:19">
      <c r="A274" t="s">
        <v>23</v>
      </c>
      <c r="B274" t="s">
        <v>438</v>
      </c>
      <c r="C274" t="s">
        <v>2329</v>
      </c>
      <c r="D274" t="s">
        <v>442</v>
      </c>
    </row>
    <row r="275" spans="1:19">
      <c r="A275" t="s">
        <v>26</v>
      </c>
      <c r="B275" t="s">
        <v>438</v>
      </c>
      <c r="C275" t="s">
        <v>2330</v>
      </c>
      <c r="D275" t="s">
        <v>444</v>
      </c>
    </row>
    <row r="276" spans="1:19">
      <c r="A276" t="s">
        <v>60</v>
      </c>
      <c r="B276" t="s">
        <v>438</v>
      </c>
      <c r="C276" t="s">
        <v>2331</v>
      </c>
      <c r="D276" t="s">
        <v>446</v>
      </c>
      <c r="H276">
        <v>2800000</v>
      </c>
      <c r="I276">
        <v>2600000</v>
      </c>
      <c r="J276">
        <v>3120000</v>
      </c>
      <c r="K276">
        <v>3200000</v>
      </c>
      <c r="L276">
        <v>3280000</v>
      </c>
      <c r="M276">
        <v>3400000</v>
      </c>
      <c r="N276">
        <v>3520000</v>
      </c>
      <c r="O276">
        <v>3480000</v>
      </c>
      <c r="P276">
        <v>3400000</v>
      </c>
      <c r="Q276">
        <v>3720000</v>
      </c>
      <c r="R276">
        <v>3680000</v>
      </c>
      <c r="S276">
        <v>3800000</v>
      </c>
    </row>
    <row r="277" spans="1:19">
      <c r="A277" t="s">
        <v>60</v>
      </c>
      <c r="B277" t="s">
        <v>438</v>
      </c>
      <c r="C277" t="s">
        <v>2332</v>
      </c>
      <c r="D277" t="s">
        <v>448</v>
      </c>
      <c r="H277">
        <v>2100000</v>
      </c>
      <c r="I277">
        <v>1950000</v>
      </c>
      <c r="J277">
        <v>2340000</v>
      </c>
      <c r="K277">
        <v>2400000</v>
      </c>
      <c r="L277">
        <v>2460000</v>
      </c>
      <c r="M277">
        <v>2550000</v>
      </c>
      <c r="N277">
        <v>2640000</v>
      </c>
      <c r="O277">
        <v>2610000</v>
      </c>
      <c r="P277">
        <v>2550000</v>
      </c>
      <c r="Q277">
        <v>2790000</v>
      </c>
      <c r="R277">
        <v>2760000</v>
      </c>
      <c r="S277">
        <v>2850000</v>
      </c>
    </row>
    <row r="278" spans="1:19">
      <c r="A278" t="s">
        <v>60</v>
      </c>
      <c r="B278" t="s">
        <v>438</v>
      </c>
      <c r="C278" t="s">
        <v>2333</v>
      </c>
      <c r="D278" t="s">
        <v>450</v>
      </c>
      <c r="H278">
        <v>1400000</v>
      </c>
      <c r="I278">
        <v>1300000</v>
      </c>
      <c r="J278">
        <v>1560000</v>
      </c>
      <c r="K278">
        <v>1600000</v>
      </c>
      <c r="L278">
        <v>1640000</v>
      </c>
      <c r="M278">
        <v>1700000</v>
      </c>
      <c r="N278">
        <v>1760000</v>
      </c>
      <c r="O278">
        <v>1740000</v>
      </c>
      <c r="P278">
        <v>1700000</v>
      </c>
      <c r="Q278">
        <v>1860000</v>
      </c>
      <c r="R278">
        <v>1840000</v>
      </c>
      <c r="S278">
        <v>1900000</v>
      </c>
    </row>
    <row r="279" spans="1:19">
      <c r="A279" t="s">
        <v>60</v>
      </c>
      <c r="B279" t="s">
        <v>438</v>
      </c>
      <c r="C279" t="s">
        <v>2334</v>
      </c>
      <c r="D279" t="s">
        <v>452</v>
      </c>
      <c r="H279">
        <v>1400000</v>
      </c>
      <c r="I279">
        <v>1300000</v>
      </c>
      <c r="J279">
        <v>1560000</v>
      </c>
      <c r="K279">
        <v>1600000</v>
      </c>
      <c r="L279">
        <v>1640000</v>
      </c>
      <c r="M279">
        <v>1700000</v>
      </c>
      <c r="N279">
        <v>1760000</v>
      </c>
      <c r="O279">
        <v>1740000</v>
      </c>
      <c r="P279">
        <v>1700000</v>
      </c>
      <c r="Q279">
        <v>1860000</v>
      </c>
      <c r="R279">
        <v>1840000</v>
      </c>
      <c r="S279">
        <v>1900000</v>
      </c>
    </row>
    <row r="280" spans="1:19">
      <c r="A280" t="s">
        <v>26</v>
      </c>
      <c r="B280" t="s">
        <v>438</v>
      </c>
      <c r="C280" t="s">
        <v>2335</v>
      </c>
      <c r="D280" t="s">
        <v>454</v>
      </c>
    </row>
    <row r="281" spans="1:19">
      <c r="A281" t="s">
        <v>60</v>
      </c>
      <c r="B281" t="s">
        <v>438</v>
      </c>
      <c r="C281" t="s">
        <v>2336</v>
      </c>
      <c r="D281" t="s">
        <v>456</v>
      </c>
    </row>
    <row r="282" spans="1:19">
      <c r="A282" t="s">
        <v>60</v>
      </c>
      <c r="B282" t="s">
        <v>438</v>
      </c>
      <c r="C282" t="s">
        <v>2337</v>
      </c>
      <c r="D282" t="s">
        <v>458</v>
      </c>
      <c r="H282">
        <v>2800000</v>
      </c>
      <c r="I282">
        <v>2600000</v>
      </c>
      <c r="J282">
        <v>3120000</v>
      </c>
      <c r="K282">
        <v>3200000</v>
      </c>
      <c r="L282">
        <v>3280000</v>
      </c>
      <c r="M282">
        <v>3400000</v>
      </c>
      <c r="N282">
        <v>3520000</v>
      </c>
      <c r="O282">
        <v>3480000</v>
      </c>
      <c r="P282">
        <v>3400000</v>
      </c>
      <c r="Q282">
        <v>3720000</v>
      </c>
      <c r="R282">
        <v>3680000</v>
      </c>
      <c r="S282">
        <v>3800000</v>
      </c>
    </row>
    <row r="283" spans="1:19">
      <c r="A283" t="s">
        <v>60</v>
      </c>
      <c r="B283" t="s">
        <v>438</v>
      </c>
      <c r="C283" t="s">
        <v>2338</v>
      </c>
      <c r="D283" t="s">
        <v>460</v>
      </c>
      <c r="H283">
        <v>2100000</v>
      </c>
      <c r="I283">
        <v>1950000</v>
      </c>
      <c r="J283">
        <v>2340000</v>
      </c>
      <c r="K283">
        <v>2400000</v>
      </c>
      <c r="L283">
        <v>2460000</v>
      </c>
      <c r="M283">
        <v>2550000</v>
      </c>
      <c r="N283">
        <v>2640000</v>
      </c>
      <c r="O283">
        <v>2610000</v>
      </c>
      <c r="P283">
        <v>2550000</v>
      </c>
      <c r="Q283">
        <v>2790000</v>
      </c>
      <c r="R283">
        <v>2760000</v>
      </c>
      <c r="S283">
        <v>2850000</v>
      </c>
    </row>
    <row r="284" spans="1:19">
      <c r="A284" t="s">
        <v>60</v>
      </c>
      <c r="B284" t="s">
        <v>438</v>
      </c>
      <c r="C284" t="s">
        <v>2339</v>
      </c>
      <c r="D284" t="s">
        <v>462</v>
      </c>
      <c r="H284">
        <v>112000000</v>
      </c>
      <c r="I284">
        <v>104000000</v>
      </c>
      <c r="J284">
        <v>124800000</v>
      </c>
      <c r="K284">
        <v>128000000</v>
      </c>
      <c r="L284">
        <v>131200000</v>
      </c>
      <c r="M284">
        <v>136000000</v>
      </c>
      <c r="N284">
        <v>140800000</v>
      </c>
      <c r="O284">
        <v>139200000</v>
      </c>
      <c r="P284">
        <v>136000000</v>
      </c>
      <c r="Q284">
        <v>148800000</v>
      </c>
      <c r="R284">
        <v>147200000</v>
      </c>
      <c r="S284">
        <v>152000000</v>
      </c>
    </row>
    <row r="285" spans="1:19">
      <c r="A285" t="s">
        <v>60</v>
      </c>
      <c r="B285" t="s">
        <v>438</v>
      </c>
      <c r="C285" t="s">
        <v>2340</v>
      </c>
      <c r="D285" t="s">
        <v>464</v>
      </c>
    </row>
    <row r="286" spans="1:19">
      <c r="A286" t="s">
        <v>60</v>
      </c>
      <c r="B286" t="s">
        <v>438</v>
      </c>
      <c r="C286" t="s">
        <v>2341</v>
      </c>
      <c r="D286" t="s">
        <v>466</v>
      </c>
      <c r="H286">
        <v>700000000</v>
      </c>
      <c r="I286">
        <v>650000000</v>
      </c>
      <c r="J286">
        <v>780000000</v>
      </c>
      <c r="K286">
        <v>800000000</v>
      </c>
      <c r="L286">
        <v>820000000</v>
      </c>
      <c r="M286">
        <v>850000000</v>
      </c>
      <c r="N286">
        <v>880000000</v>
      </c>
      <c r="O286">
        <v>870000000</v>
      </c>
      <c r="P286">
        <v>850000000</v>
      </c>
      <c r="Q286">
        <v>930000000</v>
      </c>
      <c r="R286">
        <v>920000000</v>
      </c>
      <c r="S286">
        <v>950000000</v>
      </c>
    </row>
    <row r="287" spans="1:19">
      <c r="A287" t="s">
        <v>60</v>
      </c>
      <c r="B287" t="s">
        <v>438</v>
      </c>
      <c r="C287" t="s">
        <v>2342</v>
      </c>
      <c r="D287" t="s">
        <v>468</v>
      </c>
    </row>
    <row r="288" spans="1:19">
      <c r="A288" t="s">
        <v>60</v>
      </c>
      <c r="B288" t="s">
        <v>438</v>
      </c>
      <c r="C288" t="s">
        <v>2343</v>
      </c>
      <c r="D288" t="s">
        <v>470</v>
      </c>
    </row>
    <row r="289" spans="1:19">
      <c r="A289" t="s">
        <v>60</v>
      </c>
      <c r="B289" t="s">
        <v>438</v>
      </c>
      <c r="C289" t="s">
        <v>2344</v>
      </c>
      <c r="D289" t="s">
        <v>472</v>
      </c>
    </row>
    <row r="290" spans="1:19">
      <c r="A290" t="s">
        <v>60</v>
      </c>
      <c r="B290" t="s">
        <v>438</v>
      </c>
      <c r="C290" t="s">
        <v>2345</v>
      </c>
      <c r="D290" t="s">
        <v>474</v>
      </c>
    </row>
    <row r="291" spans="1:19">
      <c r="A291" t="s">
        <v>60</v>
      </c>
      <c r="B291" t="s">
        <v>438</v>
      </c>
      <c r="C291" t="s">
        <v>2346</v>
      </c>
      <c r="D291" t="s">
        <v>476</v>
      </c>
    </row>
    <row r="292" spans="1:19">
      <c r="A292" t="s">
        <v>60</v>
      </c>
      <c r="B292" t="s">
        <v>438</v>
      </c>
      <c r="C292" t="s">
        <v>2347</v>
      </c>
      <c r="D292" t="s">
        <v>478</v>
      </c>
      <c r="H292">
        <v>1400000</v>
      </c>
      <c r="I292">
        <v>1300000</v>
      </c>
      <c r="J292">
        <v>1560000</v>
      </c>
      <c r="K292">
        <v>1600000</v>
      </c>
      <c r="L292">
        <v>1640000</v>
      </c>
      <c r="M292">
        <v>1700000</v>
      </c>
      <c r="N292">
        <v>1760000</v>
      </c>
      <c r="O292">
        <v>1740000</v>
      </c>
      <c r="P292">
        <v>1700000</v>
      </c>
      <c r="Q292">
        <v>1860000</v>
      </c>
      <c r="R292">
        <v>1840000</v>
      </c>
      <c r="S292">
        <v>1900000</v>
      </c>
    </row>
    <row r="293" spans="1:19">
      <c r="A293" t="s">
        <v>60</v>
      </c>
      <c r="B293" t="s">
        <v>438</v>
      </c>
      <c r="C293" t="s">
        <v>2348</v>
      </c>
      <c r="D293" t="s">
        <v>480</v>
      </c>
      <c r="H293">
        <v>1400000</v>
      </c>
      <c r="I293">
        <v>1300000</v>
      </c>
      <c r="J293">
        <v>1560000</v>
      </c>
      <c r="K293">
        <v>1600000</v>
      </c>
      <c r="L293">
        <v>1640000</v>
      </c>
      <c r="M293">
        <v>1700000</v>
      </c>
      <c r="N293">
        <v>1760000</v>
      </c>
      <c r="O293">
        <v>1740000</v>
      </c>
      <c r="P293">
        <v>1700000</v>
      </c>
      <c r="Q293">
        <v>1860000</v>
      </c>
      <c r="R293">
        <v>1840000</v>
      </c>
      <c r="S293">
        <v>1900000</v>
      </c>
    </row>
    <row r="294" spans="1:19">
      <c r="A294" t="s">
        <v>60</v>
      </c>
      <c r="B294" t="s">
        <v>438</v>
      </c>
      <c r="C294" t="s">
        <v>2349</v>
      </c>
      <c r="D294" t="s">
        <v>482</v>
      </c>
    </row>
    <row r="295" spans="1:19">
      <c r="A295" t="s">
        <v>26</v>
      </c>
      <c r="B295" t="s">
        <v>438</v>
      </c>
      <c r="C295" t="s">
        <v>2350</v>
      </c>
      <c r="D295" t="s">
        <v>484</v>
      </c>
    </row>
    <row r="296" spans="1:19">
      <c r="A296" t="s">
        <v>60</v>
      </c>
      <c r="B296" t="s">
        <v>438</v>
      </c>
      <c r="C296" t="s">
        <v>2351</v>
      </c>
      <c r="D296" t="s">
        <v>486</v>
      </c>
      <c r="H296">
        <v>2800000</v>
      </c>
      <c r="I296">
        <v>2600000</v>
      </c>
      <c r="J296">
        <v>3120000</v>
      </c>
      <c r="K296">
        <v>3200000</v>
      </c>
      <c r="L296">
        <v>3280000</v>
      </c>
      <c r="M296">
        <v>3400000</v>
      </c>
      <c r="N296">
        <v>3520000</v>
      </c>
      <c r="O296">
        <v>3480000</v>
      </c>
      <c r="P296">
        <v>3400000</v>
      </c>
      <c r="Q296">
        <v>3720000</v>
      </c>
      <c r="R296">
        <v>3680000</v>
      </c>
      <c r="S296">
        <v>3800000</v>
      </c>
    </row>
    <row r="297" spans="1:19">
      <c r="A297" t="s">
        <v>60</v>
      </c>
      <c r="B297" t="s">
        <v>438</v>
      </c>
      <c r="C297" t="s">
        <v>2352</v>
      </c>
      <c r="D297" t="s">
        <v>488</v>
      </c>
      <c r="H297">
        <v>2100000</v>
      </c>
      <c r="I297">
        <v>1950000</v>
      </c>
      <c r="J297">
        <v>2340000</v>
      </c>
      <c r="K297">
        <v>2400000</v>
      </c>
      <c r="L297">
        <v>2460000</v>
      </c>
      <c r="M297">
        <v>2550000</v>
      </c>
      <c r="N297">
        <v>2640000</v>
      </c>
      <c r="O297">
        <v>2610000</v>
      </c>
      <c r="P297">
        <v>2550000</v>
      </c>
      <c r="Q297">
        <v>2790000</v>
      </c>
      <c r="R297">
        <v>2760000</v>
      </c>
      <c r="S297">
        <v>2850000</v>
      </c>
    </row>
    <row r="298" spans="1:19">
      <c r="A298" t="s">
        <v>60</v>
      </c>
      <c r="B298" t="s">
        <v>438</v>
      </c>
      <c r="C298" t="s">
        <v>2353</v>
      </c>
      <c r="D298" t="s">
        <v>490</v>
      </c>
      <c r="H298">
        <v>1400000</v>
      </c>
      <c r="I298">
        <v>1300000</v>
      </c>
      <c r="J298">
        <v>1560000</v>
      </c>
      <c r="K298">
        <v>1600000</v>
      </c>
      <c r="L298">
        <v>1640000</v>
      </c>
      <c r="M298">
        <v>1700000</v>
      </c>
      <c r="N298">
        <v>1760000</v>
      </c>
      <c r="O298">
        <v>1740000</v>
      </c>
      <c r="P298">
        <v>1700000</v>
      </c>
      <c r="Q298">
        <v>1860000</v>
      </c>
      <c r="R298">
        <v>1840000</v>
      </c>
      <c r="S298">
        <v>1900000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workbookViewId="0">
      <selection activeCell="A1" sqref="A1"/>
    </sheetView>
  </sheetViews>
  <sheetFormatPr defaultColWidth="9" defaultRowHeight="16.8"/>
  <cols>
    <col min="1" max="2" width="12" customWidth="1"/>
    <col min="3" max="3" width="18" customWidth="1"/>
    <col min="4" max="4" width="32" customWidth="1"/>
    <col min="5" max="5" width="24" customWidth="1"/>
    <col min="6" max="7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 t="s">
        <v>179</v>
      </c>
      <c r="C2" t="s">
        <v>2328</v>
      </c>
      <c r="D2" t="s">
        <v>440</v>
      </c>
    </row>
    <row r="3" spans="1:19">
      <c r="A3" t="s">
        <v>19</v>
      </c>
      <c r="B3" t="s">
        <v>179</v>
      </c>
      <c r="C3" t="s">
        <v>2329</v>
      </c>
      <c r="D3" t="s">
        <v>442</v>
      </c>
    </row>
    <row r="4" spans="1:19">
      <c r="A4" t="s">
        <v>23</v>
      </c>
      <c r="B4" t="s">
        <v>179</v>
      </c>
      <c r="C4" t="s">
        <v>2330</v>
      </c>
      <c r="D4" t="s">
        <v>444</v>
      </c>
    </row>
    <row r="5" spans="1:19">
      <c r="A5" t="s">
        <v>26</v>
      </c>
      <c r="B5" t="s">
        <v>179</v>
      </c>
      <c r="C5" t="s">
        <v>2331</v>
      </c>
      <c r="D5" t="s">
        <v>446</v>
      </c>
      <c r="H5">
        <v>2800000</v>
      </c>
      <c r="I5">
        <v>2600000</v>
      </c>
      <c r="J5">
        <v>3120000</v>
      </c>
      <c r="K5">
        <v>3200000</v>
      </c>
      <c r="L5">
        <v>3280000</v>
      </c>
      <c r="M5">
        <v>3400000</v>
      </c>
      <c r="N5">
        <v>3520000</v>
      </c>
      <c r="O5">
        <v>3480000</v>
      </c>
      <c r="P5">
        <v>3400000</v>
      </c>
      <c r="Q5">
        <v>3720000</v>
      </c>
      <c r="R5">
        <v>3680000</v>
      </c>
      <c r="S5">
        <v>3800000</v>
      </c>
    </row>
    <row r="6" spans="1:19">
      <c r="A6" t="s">
        <v>26</v>
      </c>
      <c r="B6" t="s">
        <v>179</v>
      </c>
      <c r="C6" t="s">
        <v>2332</v>
      </c>
      <c r="D6" t="s">
        <v>448</v>
      </c>
      <c r="H6">
        <v>2100000</v>
      </c>
      <c r="I6">
        <v>1950000</v>
      </c>
      <c r="J6">
        <v>2340000</v>
      </c>
      <c r="K6">
        <v>2400000</v>
      </c>
      <c r="L6">
        <v>2460000</v>
      </c>
      <c r="M6">
        <v>2550000</v>
      </c>
      <c r="N6">
        <v>2640000</v>
      </c>
      <c r="O6">
        <v>2610000</v>
      </c>
      <c r="P6">
        <v>2550000</v>
      </c>
      <c r="Q6">
        <v>2790000</v>
      </c>
      <c r="R6">
        <v>2760000</v>
      </c>
      <c r="S6">
        <v>2850000</v>
      </c>
    </row>
    <row r="7" spans="1:19">
      <c r="A7" t="s">
        <v>26</v>
      </c>
      <c r="B7" t="s">
        <v>179</v>
      </c>
      <c r="C7" t="s">
        <v>2333</v>
      </c>
      <c r="D7" t="s">
        <v>450</v>
      </c>
      <c r="H7">
        <v>1400000</v>
      </c>
      <c r="I7">
        <v>1300000</v>
      </c>
      <c r="J7">
        <v>1560000</v>
      </c>
      <c r="K7">
        <v>1600000</v>
      </c>
      <c r="L7">
        <v>1640000</v>
      </c>
      <c r="M7">
        <v>1700000</v>
      </c>
      <c r="N7">
        <v>1760000</v>
      </c>
      <c r="O7">
        <v>1740000</v>
      </c>
      <c r="P7">
        <v>1700000</v>
      </c>
      <c r="Q7">
        <v>1860000</v>
      </c>
      <c r="R7">
        <v>1840000</v>
      </c>
      <c r="S7">
        <v>1900000</v>
      </c>
    </row>
    <row r="8" spans="1:19">
      <c r="A8" t="s">
        <v>26</v>
      </c>
      <c r="B8" t="s">
        <v>179</v>
      </c>
      <c r="C8" t="s">
        <v>2334</v>
      </c>
      <c r="D8" t="s">
        <v>452</v>
      </c>
      <c r="H8">
        <v>1400000</v>
      </c>
      <c r="I8">
        <v>1300000</v>
      </c>
      <c r="J8">
        <v>1560000</v>
      </c>
      <c r="K8">
        <v>1600000</v>
      </c>
      <c r="L8">
        <v>1640000</v>
      </c>
      <c r="M8">
        <v>1700000</v>
      </c>
      <c r="N8">
        <v>1760000</v>
      </c>
      <c r="O8">
        <v>1740000</v>
      </c>
      <c r="P8">
        <v>1700000</v>
      </c>
      <c r="Q8">
        <v>1860000</v>
      </c>
      <c r="R8">
        <v>1840000</v>
      </c>
      <c r="S8">
        <v>1900000</v>
      </c>
    </row>
    <row r="9" spans="1:19">
      <c r="A9" t="s">
        <v>23</v>
      </c>
      <c r="B9" t="s">
        <v>179</v>
      </c>
      <c r="C9" t="s">
        <v>2335</v>
      </c>
      <c r="D9" t="s">
        <v>454</v>
      </c>
    </row>
    <row r="10" spans="1:19">
      <c r="A10" t="s">
        <v>26</v>
      </c>
      <c r="B10" t="s">
        <v>179</v>
      </c>
      <c r="C10" t="s">
        <v>2336</v>
      </c>
      <c r="D10" t="s">
        <v>456</v>
      </c>
    </row>
    <row r="11" spans="1:19">
      <c r="A11" t="s">
        <v>26</v>
      </c>
      <c r="B11" t="s">
        <v>179</v>
      </c>
      <c r="C11" t="s">
        <v>2337</v>
      </c>
      <c r="D11" t="s">
        <v>458</v>
      </c>
      <c r="H11">
        <v>2800000</v>
      </c>
      <c r="I11">
        <v>2600000</v>
      </c>
      <c r="J11">
        <v>3120000</v>
      </c>
      <c r="K11">
        <v>3200000</v>
      </c>
      <c r="L11">
        <v>3280000</v>
      </c>
      <c r="M11">
        <v>3400000</v>
      </c>
      <c r="N11">
        <v>3520000</v>
      </c>
      <c r="O11">
        <v>3480000</v>
      </c>
      <c r="P11">
        <v>3400000</v>
      </c>
      <c r="Q11">
        <v>3720000</v>
      </c>
      <c r="R11">
        <v>3680000</v>
      </c>
      <c r="S11">
        <v>3800000</v>
      </c>
    </row>
    <row r="12" spans="1:19">
      <c r="A12" t="s">
        <v>26</v>
      </c>
      <c r="B12" t="s">
        <v>179</v>
      </c>
      <c r="C12" t="s">
        <v>2338</v>
      </c>
      <c r="D12" t="s">
        <v>460</v>
      </c>
      <c r="H12">
        <v>2100000</v>
      </c>
      <c r="I12">
        <v>1950000</v>
      </c>
      <c r="J12">
        <v>2340000</v>
      </c>
      <c r="K12">
        <v>2400000</v>
      </c>
      <c r="L12">
        <v>2460000</v>
      </c>
      <c r="M12">
        <v>2550000</v>
      </c>
      <c r="N12">
        <v>2640000</v>
      </c>
      <c r="O12">
        <v>2610000</v>
      </c>
      <c r="P12">
        <v>2550000</v>
      </c>
      <c r="Q12">
        <v>2790000</v>
      </c>
      <c r="R12">
        <v>2760000</v>
      </c>
      <c r="S12">
        <v>2850000</v>
      </c>
    </row>
    <row r="13" spans="1:19">
      <c r="A13" t="s">
        <v>26</v>
      </c>
      <c r="B13" t="s">
        <v>179</v>
      </c>
      <c r="C13" t="s">
        <v>2339</v>
      </c>
      <c r="D13" t="s">
        <v>462</v>
      </c>
      <c r="H13">
        <v>112000000</v>
      </c>
      <c r="I13">
        <v>104000000</v>
      </c>
      <c r="J13">
        <v>124800000</v>
      </c>
      <c r="K13">
        <v>128000000</v>
      </c>
      <c r="L13">
        <v>131200000</v>
      </c>
      <c r="M13">
        <v>136000000</v>
      </c>
      <c r="N13">
        <v>140800000</v>
      </c>
      <c r="O13">
        <v>139200000</v>
      </c>
      <c r="P13">
        <v>136000000</v>
      </c>
      <c r="Q13">
        <v>148800000</v>
      </c>
      <c r="R13">
        <v>147200000</v>
      </c>
      <c r="S13">
        <v>152000000</v>
      </c>
    </row>
    <row r="14" spans="1:19">
      <c r="A14" t="s">
        <v>26</v>
      </c>
      <c r="B14" t="s">
        <v>179</v>
      </c>
      <c r="C14" t="s">
        <v>2340</v>
      </c>
      <c r="D14" t="s">
        <v>464</v>
      </c>
    </row>
    <row r="15" spans="1:19">
      <c r="A15" t="s">
        <v>26</v>
      </c>
      <c r="B15" t="s">
        <v>179</v>
      </c>
      <c r="C15" t="s">
        <v>2341</v>
      </c>
      <c r="D15" t="s">
        <v>466</v>
      </c>
      <c r="H15">
        <v>700000000</v>
      </c>
      <c r="I15">
        <v>650000000</v>
      </c>
      <c r="J15">
        <v>780000000</v>
      </c>
      <c r="K15">
        <v>800000000</v>
      </c>
      <c r="L15">
        <v>820000000</v>
      </c>
      <c r="M15">
        <v>850000000</v>
      </c>
      <c r="N15">
        <v>880000000</v>
      </c>
      <c r="O15">
        <v>870000000</v>
      </c>
      <c r="P15">
        <v>850000000</v>
      </c>
      <c r="Q15">
        <v>930000000</v>
      </c>
      <c r="R15">
        <v>920000000</v>
      </c>
      <c r="S15">
        <v>950000000</v>
      </c>
    </row>
    <row r="16" spans="1:19">
      <c r="A16" t="s">
        <v>26</v>
      </c>
      <c r="B16" t="s">
        <v>179</v>
      </c>
      <c r="C16" t="s">
        <v>2342</v>
      </c>
      <c r="D16" t="s">
        <v>468</v>
      </c>
    </row>
    <row r="17" spans="1:19">
      <c r="A17" t="s">
        <v>26</v>
      </c>
      <c r="B17" t="s">
        <v>179</v>
      </c>
      <c r="C17" t="s">
        <v>2343</v>
      </c>
      <c r="D17" t="s">
        <v>470</v>
      </c>
    </row>
    <row r="18" spans="1:19">
      <c r="A18" t="s">
        <v>26</v>
      </c>
      <c r="B18" t="s">
        <v>179</v>
      </c>
      <c r="C18" t="s">
        <v>2344</v>
      </c>
      <c r="D18" t="s">
        <v>472</v>
      </c>
    </row>
    <row r="19" spans="1:19">
      <c r="A19" t="s">
        <v>26</v>
      </c>
      <c r="B19" t="s">
        <v>179</v>
      </c>
      <c r="C19" t="s">
        <v>2345</v>
      </c>
      <c r="D19" t="s">
        <v>474</v>
      </c>
    </row>
    <row r="20" spans="1:19">
      <c r="A20" t="s">
        <v>26</v>
      </c>
      <c r="B20" t="s">
        <v>179</v>
      </c>
      <c r="C20" t="s">
        <v>2346</v>
      </c>
      <c r="D20" t="s">
        <v>476</v>
      </c>
    </row>
    <row r="21" spans="1:19">
      <c r="A21" t="s">
        <v>26</v>
      </c>
      <c r="B21" t="s">
        <v>179</v>
      </c>
      <c r="C21" t="s">
        <v>2347</v>
      </c>
      <c r="D21" t="s">
        <v>478</v>
      </c>
      <c r="H21">
        <v>1400000</v>
      </c>
      <c r="I21">
        <v>1300000</v>
      </c>
      <c r="J21">
        <v>1560000</v>
      </c>
      <c r="K21">
        <v>1600000</v>
      </c>
      <c r="L21">
        <v>1640000</v>
      </c>
      <c r="M21">
        <v>1700000</v>
      </c>
      <c r="N21">
        <v>1760000</v>
      </c>
      <c r="O21">
        <v>1740000</v>
      </c>
      <c r="P21">
        <v>1700000</v>
      </c>
      <c r="Q21">
        <v>1860000</v>
      </c>
      <c r="R21">
        <v>1840000</v>
      </c>
      <c r="S21">
        <v>1900000</v>
      </c>
    </row>
    <row r="22" spans="1:19">
      <c r="A22" t="s">
        <v>26</v>
      </c>
      <c r="B22" t="s">
        <v>179</v>
      </c>
      <c r="C22" t="s">
        <v>2348</v>
      </c>
      <c r="D22" t="s">
        <v>480</v>
      </c>
      <c r="H22">
        <v>1400000</v>
      </c>
      <c r="I22">
        <v>1300000</v>
      </c>
      <c r="J22">
        <v>1560000</v>
      </c>
      <c r="K22">
        <v>1600000</v>
      </c>
      <c r="L22">
        <v>1640000</v>
      </c>
      <c r="M22">
        <v>1700000</v>
      </c>
      <c r="N22">
        <v>1760000</v>
      </c>
      <c r="O22">
        <v>1740000</v>
      </c>
      <c r="P22">
        <v>1700000</v>
      </c>
      <c r="Q22">
        <v>1860000</v>
      </c>
      <c r="R22">
        <v>1840000</v>
      </c>
      <c r="S22">
        <v>1900000</v>
      </c>
    </row>
    <row r="23" spans="1:19">
      <c r="A23" t="s">
        <v>26</v>
      </c>
      <c r="B23" t="s">
        <v>179</v>
      </c>
      <c r="C23" t="s">
        <v>2349</v>
      </c>
      <c r="D23" t="s">
        <v>482</v>
      </c>
    </row>
    <row r="24" spans="1:19">
      <c r="A24" t="s">
        <v>23</v>
      </c>
      <c r="B24" t="s">
        <v>179</v>
      </c>
      <c r="C24" t="s">
        <v>2350</v>
      </c>
      <c r="D24" t="s">
        <v>484</v>
      </c>
    </row>
    <row r="25" spans="1:19">
      <c r="A25" t="s">
        <v>26</v>
      </c>
      <c r="B25" t="s">
        <v>179</v>
      </c>
      <c r="C25" t="s">
        <v>2351</v>
      </c>
      <c r="D25" t="s">
        <v>486</v>
      </c>
      <c r="H25">
        <v>2800000</v>
      </c>
      <c r="I25">
        <v>2600000</v>
      </c>
      <c r="J25">
        <v>3120000</v>
      </c>
      <c r="K25">
        <v>3200000</v>
      </c>
      <c r="L25">
        <v>3280000</v>
      </c>
      <c r="M25">
        <v>3400000</v>
      </c>
      <c r="N25">
        <v>3520000</v>
      </c>
      <c r="O25">
        <v>3480000</v>
      </c>
      <c r="P25">
        <v>3400000</v>
      </c>
      <c r="Q25">
        <v>3720000</v>
      </c>
      <c r="R25">
        <v>3680000</v>
      </c>
      <c r="S25">
        <v>3800000</v>
      </c>
    </row>
    <row r="26" spans="1:19">
      <c r="A26" t="s">
        <v>26</v>
      </c>
      <c r="B26" t="s">
        <v>179</v>
      </c>
      <c r="C26" t="s">
        <v>2352</v>
      </c>
      <c r="D26" t="s">
        <v>488</v>
      </c>
      <c r="H26">
        <v>2100000</v>
      </c>
      <c r="I26">
        <v>1950000</v>
      </c>
      <c r="J26">
        <v>2340000</v>
      </c>
      <c r="K26">
        <v>2400000</v>
      </c>
      <c r="L26">
        <v>2460000</v>
      </c>
      <c r="M26">
        <v>2550000</v>
      </c>
      <c r="N26">
        <v>2640000</v>
      </c>
      <c r="O26">
        <v>2610000</v>
      </c>
      <c r="P26">
        <v>2550000</v>
      </c>
      <c r="Q26">
        <v>2790000</v>
      </c>
      <c r="R26">
        <v>2760000</v>
      </c>
      <c r="S26">
        <v>2850000</v>
      </c>
    </row>
    <row r="27" spans="1:19">
      <c r="A27" t="s">
        <v>26</v>
      </c>
      <c r="B27" t="s">
        <v>179</v>
      </c>
      <c r="C27" t="s">
        <v>2353</v>
      </c>
      <c r="D27" t="s">
        <v>490</v>
      </c>
      <c r="H27">
        <v>1400000</v>
      </c>
      <c r="I27">
        <v>1300000</v>
      </c>
      <c r="J27">
        <v>1560000</v>
      </c>
      <c r="K27">
        <v>1600000</v>
      </c>
      <c r="L27">
        <v>1640000</v>
      </c>
      <c r="M27">
        <v>1700000</v>
      </c>
      <c r="N27">
        <v>1760000</v>
      </c>
      <c r="O27">
        <v>1740000</v>
      </c>
      <c r="P27">
        <v>1700000</v>
      </c>
      <c r="Q27">
        <v>1860000</v>
      </c>
      <c r="R27">
        <v>1840000</v>
      </c>
      <c r="S27">
        <v>1900000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B01企业金融业务状况表</vt:lpstr>
      <vt:lpstr>B01企业金融业务支出评估</vt:lpstr>
      <vt:lpstr>AA微众银行业务状况表</vt:lpstr>
      <vt:lpstr>AA微众银行业务支出评估</vt:lpstr>
      <vt:lpstr>AA微众银行损益表</vt:lpstr>
      <vt:lpstr>AA微众银行资产质量表</vt:lpstr>
      <vt:lpstr>AA微众银行利息净收入表</vt:lpstr>
      <vt:lpstr>A个金群业务状况表</vt:lpstr>
      <vt:lpstr>A个金群业务支出评估</vt:lpstr>
      <vt:lpstr>A01泛微粒贷业务状况表</vt:lpstr>
      <vt:lpstr>A01泛微粒贷业务支出评估</vt:lpstr>
      <vt:lpstr>A02微账户业务状况表</vt:lpstr>
      <vt:lpstr>A02微账户业务支出评估</vt:lpstr>
      <vt:lpstr>A03汽车金融业务状况表</vt:lpstr>
      <vt:lpstr>A03汽车金融业务支出评估</vt:lpstr>
      <vt:lpstr>A04财富业务状况表</vt:lpstr>
      <vt:lpstr>A04财富业务支出评估</vt:lpstr>
      <vt:lpstr>A05小鹅业务状况表</vt:lpstr>
      <vt:lpstr>A05小鹅业务支出评估</vt:lpstr>
      <vt:lpstr>B企金群业务状况表</vt:lpstr>
      <vt:lpstr>B企金群业务支出评估</vt:lpstr>
      <vt:lpstr>B02金融市场业务状况表</vt:lpstr>
      <vt:lpstr>B02金融市场业务支出评估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HHH</cp:lastModifiedBy>
  <dcterms:created xsi:type="dcterms:W3CDTF">2026-06-24T00:51:00Z</dcterms:created>
  <dcterms:modified xsi:type="dcterms:W3CDTF">2026-06-23T23:21:25Z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0D31014AF279384675A43A6AE81BA6FE_43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