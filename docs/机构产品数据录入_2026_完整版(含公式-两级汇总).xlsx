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B01企业金融业务状况表" sheetId="1" r:id="rId1"/>
    <sheet name="B01企业金融业务支出评估" sheetId="2" r:id="rId2"/>
    <sheet name="AA微众银行业务状况表" sheetId="3" r:id="rId3"/>
    <sheet name="AA微众银行业务支出评估" sheetId="4" r:id="rId4"/>
    <sheet name="AA微众银行损益表" sheetId="5" r:id="rId5"/>
    <sheet name="AA微众银行资产质量表" sheetId="6" r:id="rId6"/>
    <sheet name="AA微众银行利息净收入表" sheetId="7" r:id="rId7"/>
    <sheet name="A个金群业务状况表" sheetId="8" r:id="rId8"/>
    <sheet name="A个金群业务支出评估" sheetId="9" r:id="rId9"/>
    <sheet name="A01泛微粒贷业务状况表" sheetId="10" r:id="rId10"/>
    <sheet name="A01泛微粒贷业务支出评估" sheetId="11" r:id="rId11"/>
    <sheet name="A02微账户业务状况表" sheetId="12" r:id="rId12"/>
    <sheet name="A02微账户业务支出评估" sheetId="13" r:id="rId13"/>
    <sheet name="A03汽车金融业务状况表" sheetId="14" r:id="rId14"/>
    <sheet name="A03汽车金融业务支出评估" sheetId="15" r:id="rId15"/>
    <sheet name="A04财富业务状况表" sheetId="16" r:id="rId16"/>
    <sheet name="A04财富业务支出评估" sheetId="17" r:id="rId17"/>
    <sheet name="A05小鹅业务状况表" sheetId="18" r:id="rId18"/>
    <sheet name="A05小鹅业务支出评估" sheetId="19" r:id="rId19"/>
    <sheet name="B企金群业务状况表" sheetId="20" r:id="rId20"/>
    <sheet name="B企金群业务支出评估" sheetId="21" r:id="rId21"/>
    <sheet name="B02金融市场业务状况表" sheetId="22" r:id="rId22"/>
    <sheet name="B02金融市场业务支出评估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<sst xmlns="http://schemas.openxmlformats.org/spreadsheetml/2006/main" count="8941" uniqueCount="2354">
  <si>
    <t>科目层级</t>
  </si>
  <si>
    <t>科目性质</t>
  </si>
  <si>
    <t>科目代码</t>
  </si>
  <si>
    <t>科目名称</t>
  </si>
  <si>
    <t>25年实际</t>
  </si>
  <si>
    <t>26年预算</t>
  </si>
  <si>
    <t>26年预测</t>
  </si>
  <si>
    <t>26年1月实际</t>
  </si>
  <si>
    <t>26年2月实际</t>
  </si>
  <si>
    <t>26年3月实际</t>
  </si>
  <si>
    <t>26年4月预测</t>
  </si>
  <si>
    <t>26年5月预测</t>
  </si>
  <si>
    <t>26年6月预测</t>
  </si>
  <si>
    <t>26年7月预测</t>
  </si>
  <si>
    <t>26年8月预测</t>
  </si>
  <si>
    <t>26年9月预测</t>
  </si>
  <si>
    <t>26年10月预测</t>
  </si>
  <si>
    <t>26年11月预测</t>
  </si>
  <si>
    <t>26年12月预测</t>
  </si>
  <si>
    <t>二级</t>
  </si>
  <si>
    <t>收入</t>
  </si>
  <si>
    <t>B01.01</t>
  </si>
  <si>
    <t>营业收入</t>
  </si>
  <si>
    <t>三级</t>
  </si>
  <si>
    <t>B01.01.01</t>
  </si>
  <si>
    <t>利息净收入</t>
  </si>
  <si>
    <t>四级</t>
  </si>
  <si>
    <t>B01.01.01.01</t>
  </si>
  <si>
    <t>资产业务</t>
  </si>
  <si>
    <t>B01.01.01.02</t>
  </si>
  <si>
    <t>负债业务</t>
  </si>
  <si>
    <t>B01.01.02</t>
  </si>
  <si>
    <t>手续费净收入</t>
  </si>
  <si>
    <t>B01.01.03</t>
  </si>
  <si>
    <t>其他营收</t>
  </si>
  <si>
    <t>支出</t>
  </si>
  <si>
    <t>B01.02</t>
  </si>
  <si>
    <t>减:风险成本</t>
  </si>
  <si>
    <t>B01.03</t>
  </si>
  <si>
    <t>净收入</t>
  </si>
  <si>
    <t>B01.04</t>
  </si>
  <si>
    <t>减:税金及附加</t>
  </si>
  <si>
    <t>B01.05</t>
  </si>
  <si>
    <t>减:直接费用</t>
  </si>
  <si>
    <t>B01.05.01</t>
  </si>
  <si>
    <t>人力费用(不含IT)</t>
  </si>
  <si>
    <t>B01.05.01.01</t>
  </si>
  <si>
    <t>常规人力</t>
  </si>
  <si>
    <t>B01.05.01.02</t>
  </si>
  <si>
    <t>特别人力</t>
  </si>
  <si>
    <t>B01.05.02</t>
  </si>
  <si>
    <t>业务费用</t>
  </si>
  <si>
    <t>B01.05.02.01</t>
  </si>
  <si>
    <t>营销费用</t>
  </si>
  <si>
    <t>B01.05.02.02</t>
  </si>
  <si>
    <t>运营费用</t>
  </si>
  <si>
    <t>B01.05.03</t>
  </si>
  <si>
    <t>IT费用</t>
  </si>
  <si>
    <t>B01.05.03.01</t>
  </si>
  <si>
    <t>IT人力</t>
  </si>
  <si>
    <t>五级</t>
  </si>
  <si>
    <t>B01.05.03.01.01</t>
  </si>
  <si>
    <t>IT常规人力</t>
  </si>
  <si>
    <t>B01.05.03.01.02</t>
  </si>
  <si>
    <t>IT特别人力</t>
  </si>
  <si>
    <t>B01.05.03.02</t>
  </si>
  <si>
    <t>科技费用</t>
  </si>
  <si>
    <t>B01.05.03.03</t>
  </si>
  <si>
    <t>IT职场</t>
  </si>
  <si>
    <t>B01.05.03.04</t>
  </si>
  <si>
    <t>IT日常</t>
  </si>
  <si>
    <t>B01.05.04</t>
  </si>
  <si>
    <t>职场费用</t>
  </si>
  <si>
    <t>B01.05.05</t>
  </si>
  <si>
    <t>日常费用</t>
  </si>
  <si>
    <t>B01.06</t>
  </si>
  <si>
    <t>加:营业外净收入</t>
  </si>
  <si>
    <t>利润</t>
  </si>
  <si>
    <t>B01.07</t>
  </si>
  <si>
    <t>分摊前利润</t>
  </si>
  <si>
    <t>B01.08</t>
  </si>
  <si>
    <t>减:固定管理费</t>
  </si>
  <si>
    <t>B01.09</t>
  </si>
  <si>
    <t>税前利润</t>
  </si>
  <si>
    <t>资产余额</t>
  </si>
  <si>
    <t>B01.10</t>
  </si>
  <si>
    <t>管理贷款余额</t>
  </si>
  <si>
    <t>B01.10.01</t>
  </si>
  <si>
    <t>自持余额</t>
  </si>
  <si>
    <t>B01.10.01.01</t>
  </si>
  <si>
    <t>一般贷款</t>
  </si>
  <si>
    <t>B01.10.01.01.01</t>
  </si>
  <si>
    <t>常规部分</t>
  </si>
  <si>
    <t>B01.10.01.01.02</t>
  </si>
  <si>
    <t>战略部分</t>
  </si>
  <si>
    <t>B01.10.01.02</t>
  </si>
  <si>
    <t>票据融资</t>
  </si>
  <si>
    <t>B01.10.01.02.01</t>
  </si>
  <si>
    <t>票据贴现</t>
  </si>
  <si>
    <t>B01.10.01.02.02</t>
  </si>
  <si>
    <t>贸易融资</t>
  </si>
  <si>
    <t>B01.10.02</t>
  </si>
  <si>
    <t>联贷</t>
  </si>
  <si>
    <t>B01.10.03</t>
  </si>
  <si>
    <t>流转</t>
  </si>
  <si>
    <t>B01.10.03.01</t>
  </si>
  <si>
    <t>ABS</t>
  </si>
  <si>
    <t>B01.10.03.02</t>
  </si>
  <si>
    <t>ABN</t>
  </si>
  <si>
    <t>B01.10.03.03</t>
  </si>
  <si>
    <t>债转</t>
  </si>
  <si>
    <t>B01.10.04</t>
  </si>
  <si>
    <t>银承保函</t>
  </si>
  <si>
    <t>资产日均</t>
  </si>
  <si>
    <t>B01.11</t>
  </si>
  <si>
    <t>管理贷款日均</t>
  </si>
  <si>
    <t>B01.11.01</t>
  </si>
  <si>
    <t>自持</t>
  </si>
  <si>
    <t>B01.11.01.01</t>
  </si>
  <si>
    <t>B01.11.01.01.01</t>
  </si>
  <si>
    <t>B01.11.01.01.02</t>
  </si>
  <si>
    <t>B01.11.01.02</t>
  </si>
  <si>
    <t>B01.11.01.02.01</t>
  </si>
  <si>
    <t>B01.11.01.02.02</t>
  </si>
  <si>
    <t>B01.11.02</t>
  </si>
  <si>
    <t>B01.11.03</t>
  </si>
  <si>
    <t>B01.11.03.01</t>
  </si>
  <si>
    <t>B01.11.03.02</t>
  </si>
  <si>
    <t>B01.11.03.03</t>
  </si>
  <si>
    <t>B01.11.04</t>
  </si>
  <si>
    <t>负债余额</t>
  </si>
  <si>
    <t>B01.12</t>
  </si>
  <si>
    <t>管理资产余额</t>
  </si>
  <si>
    <t>B01.12.01</t>
  </si>
  <si>
    <t>存款余额</t>
  </si>
  <si>
    <t>B01.12.01.01</t>
  </si>
  <si>
    <t>常规存款</t>
  </si>
  <si>
    <t>B01.12.01.02</t>
  </si>
  <si>
    <t>银承保函保证金</t>
  </si>
  <si>
    <t>B01.12.02</t>
  </si>
  <si>
    <t>代销理财</t>
  </si>
  <si>
    <t>B01.13</t>
  </si>
  <si>
    <t>管理资产日均</t>
  </si>
  <si>
    <t>负债日均</t>
  </si>
  <si>
    <t>B01.13.01</t>
  </si>
  <si>
    <t>存款日均</t>
  </si>
  <si>
    <t>B01.13.01.01</t>
  </si>
  <si>
    <t>B01.13.01.02</t>
  </si>
  <si>
    <t>B01.13.02</t>
  </si>
  <si>
    <t>代销理财日均</t>
  </si>
  <si>
    <t>B01.24</t>
  </si>
  <si>
    <t>同业资产余额</t>
  </si>
  <si>
    <t>B01.24.01</t>
  </si>
  <si>
    <t>存放同业</t>
  </si>
  <si>
    <t>B01.24.03</t>
  </si>
  <si>
    <t>买入返售</t>
  </si>
  <si>
    <t>B01.24.04</t>
  </si>
  <si>
    <t>债券投资</t>
  </si>
  <si>
    <t>B01.24.04.09</t>
  </si>
  <si>
    <t>B01.25</t>
  </si>
  <si>
    <t>同业资产日均</t>
  </si>
  <si>
    <t>B01.25.01</t>
  </si>
  <si>
    <t>B01.25.03</t>
  </si>
  <si>
    <t>B01.25.04</t>
  </si>
  <si>
    <t>B01.25.04.09</t>
  </si>
  <si>
    <t>B01.26</t>
  </si>
  <si>
    <t>同业负债余额</t>
  </si>
  <si>
    <t>B01.26.02</t>
  </si>
  <si>
    <t>同业存放</t>
  </si>
  <si>
    <t>B01.26.05</t>
  </si>
  <si>
    <t>卖出回购</t>
  </si>
  <si>
    <t>B01.27</t>
  </si>
  <si>
    <t>同业负债日均</t>
  </si>
  <si>
    <t>B01.27.02</t>
  </si>
  <si>
    <t>B01.27.05</t>
  </si>
  <si>
    <t>B01.14</t>
  </si>
  <si>
    <t>利息收入</t>
  </si>
  <si>
    <t>B01.14.01</t>
  </si>
  <si>
    <t>贷款利息收入</t>
  </si>
  <si>
    <t>其他</t>
  </si>
  <si>
    <t>B01.14.01.01</t>
  </si>
  <si>
    <t>贷款账面收息率</t>
  </si>
  <si>
    <t>B01.14.01.02</t>
  </si>
  <si>
    <t>贷款还原收息率</t>
  </si>
  <si>
    <t>B01.14.01.03</t>
  </si>
  <si>
    <t>一般贷款利息收入</t>
  </si>
  <si>
    <t>B01.14.01.03.01</t>
  </si>
  <si>
    <t>一般贷款账面收息率</t>
  </si>
  <si>
    <t>B01.14.01.03.02</t>
  </si>
  <si>
    <t>一般贷款还原收息率</t>
  </si>
  <si>
    <t>B01.14.01.03.03</t>
  </si>
  <si>
    <t>常规部分利息收入</t>
  </si>
  <si>
    <t>六级</t>
  </si>
  <si>
    <t>B01.14.01.03.03.01</t>
  </si>
  <si>
    <t>常规账面收息率</t>
  </si>
  <si>
    <t>B01.14.01.03.03.02</t>
  </si>
  <si>
    <t>常规还原利息收入</t>
  </si>
  <si>
    <t>B01.14.01.03.03.03</t>
  </si>
  <si>
    <t>常规还原收息率</t>
  </si>
  <si>
    <t>B01.14.01.03.03.04</t>
  </si>
  <si>
    <t>清仓回购利息收入</t>
  </si>
  <si>
    <t>B01.14.01.03.03.05</t>
  </si>
  <si>
    <t>渠道费抵减利息收入</t>
  </si>
  <si>
    <t>B01.14.01.03.03.06</t>
  </si>
  <si>
    <t>增值税回冲</t>
  </si>
  <si>
    <t>B01.14.01.03.04</t>
  </si>
  <si>
    <t>战略部分利息收入</t>
  </si>
  <si>
    <t>B01.14.01.03.04.01</t>
  </si>
  <si>
    <t>战略账面收息率</t>
  </si>
  <si>
    <t>B01.14.01.03.04.02</t>
  </si>
  <si>
    <t>战略还原利息收入</t>
  </si>
  <si>
    <t>B01.14.01.03.04.03</t>
  </si>
  <si>
    <t>战略还原收息率</t>
  </si>
  <si>
    <t>B01.14.01.03.04.04</t>
  </si>
  <si>
    <t>B01.14.01.03.04.05</t>
  </si>
  <si>
    <t>B01.14.01.03.04.06</t>
  </si>
  <si>
    <t>B01.14.01.04</t>
  </si>
  <si>
    <t>票据贴现利息收入</t>
  </si>
  <si>
    <t>B01.14.01.04.01</t>
  </si>
  <si>
    <t>票据贴现收息率</t>
  </si>
  <si>
    <t>B01.14.01.05</t>
  </si>
  <si>
    <t>贸易融资利息收入</t>
  </si>
  <si>
    <t>B01.14.01.05.01</t>
  </si>
  <si>
    <t>贸易融资收息率</t>
  </si>
  <si>
    <t>B01.14.02</t>
  </si>
  <si>
    <t>金融机构往来利息收入</t>
  </si>
  <si>
    <t>B01.14.02.02</t>
  </si>
  <si>
    <t>存放同业利息收入</t>
  </si>
  <si>
    <t>B01.14.02.02.01</t>
  </si>
  <si>
    <t>存放同业收息率</t>
  </si>
  <si>
    <t>B01.14.02.04</t>
  </si>
  <si>
    <t>买入返售利息收入</t>
  </si>
  <si>
    <t>B01.14.02.04.01</t>
  </si>
  <si>
    <t>买入返售收息率</t>
  </si>
  <si>
    <t>B01.14.03</t>
  </si>
  <si>
    <t>投资利息收入</t>
  </si>
  <si>
    <t>B01.14.03.09</t>
  </si>
  <si>
    <t>ABS投资利息收入</t>
  </si>
  <si>
    <t>B01.14.03.09.01</t>
  </si>
  <si>
    <t>ABS收息率</t>
  </si>
  <si>
    <t>B01.15</t>
  </si>
  <si>
    <t>FTP成本</t>
  </si>
  <si>
    <t>B01.15.01</t>
  </si>
  <si>
    <t>贷款FTP成本</t>
  </si>
  <si>
    <t>B01.15.01.01</t>
  </si>
  <si>
    <t>一般贷款FTP成本</t>
  </si>
  <si>
    <t>B01.15.01.01.01</t>
  </si>
  <si>
    <t>一般贷款FTP</t>
  </si>
  <si>
    <t>B01.15.01.01.02</t>
  </si>
  <si>
    <t>常规部分FTP成本</t>
  </si>
  <si>
    <t>B01.15.01.01.02.01</t>
  </si>
  <si>
    <t>常规部分FTP</t>
  </si>
  <si>
    <t>B01.15.01.01.03</t>
  </si>
  <si>
    <t>战略部分FTP成本</t>
  </si>
  <si>
    <t>B01.15.01.01.03.01</t>
  </si>
  <si>
    <t>战略部分FTP</t>
  </si>
  <si>
    <t>B01.15.01.02</t>
  </si>
  <si>
    <t>票据贴现FTP成本</t>
  </si>
  <si>
    <t>B01.15.01.02.01</t>
  </si>
  <si>
    <t>票据贴现FTP</t>
  </si>
  <si>
    <t>B01.15.01.03</t>
  </si>
  <si>
    <t>贸易融资FTP成本</t>
  </si>
  <si>
    <t>B01.15.01.03.01</t>
  </si>
  <si>
    <t>贸易融资FTP</t>
  </si>
  <si>
    <t>B01.15.02</t>
  </si>
  <si>
    <t>金融机构往来FTP成本</t>
  </si>
  <si>
    <t>B01.15.02.02</t>
  </si>
  <si>
    <t>存放同业FTP成本</t>
  </si>
  <si>
    <t>B01.15.02.02.01</t>
  </si>
  <si>
    <t>存放同业FTP</t>
  </si>
  <si>
    <t>B01.15.02.04</t>
  </si>
  <si>
    <t>买入返售FTP成本</t>
  </si>
  <si>
    <t>B01.15.02.04.01</t>
  </si>
  <si>
    <t>买入返售FTP</t>
  </si>
  <si>
    <t>B01.15.03</t>
  </si>
  <si>
    <t>投资FTP成本</t>
  </si>
  <si>
    <t>B01.15.03.09</t>
  </si>
  <si>
    <t>ABS投资FTP成本</t>
  </si>
  <si>
    <t>B01.15.03.09.01</t>
  </si>
  <si>
    <t>ABS投资FTP</t>
  </si>
  <si>
    <t>B01.15.99</t>
  </si>
  <si>
    <t>其他FTP成本</t>
  </si>
  <si>
    <t>B01.15.99.01</t>
  </si>
  <si>
    <t>流动性备付FTP成本</t>
  </si>
  <si>
    <t>B01.16</t>
  </si>
  <si>
    <t>利息支出</t>
  </si>
  <si>
    <t>B01.16.01</t>
  </si>
  <si>
    <t>存款利息支出</t>
  </si>
  <si>
    <t>B01.16.01.01</t>
  </si>
  <si>
    <t>存款付息率</t>
  </si>
  <si>
    <t>B01.16.01.02</t>
  </si>
  <si>
    <t>常规存款利息支出</t>
  </si>
  <si>
    <t>B01.16.01.02.01</t>
  </si>
  <si>
    <t>常规存款付息率</t>
  </si>
  <si>
    <t>B01.16.01.03</t>
  </si>
  <si>
    <t>保证金存款利息支出</t>
  </si>
  <si>
    <t>B01.16.01.03.01</t>
  </si>
  <si>
    <t>保证金存款付息率</t>
  </si>
  <si>
    <t>B01.16.02</t>
  </si>
  <si>
    <t>金融机构往来利息支出</t>
  </si>
  <si>
    <t>B01.16.02.02</t>
  </si>
  <si>
    <t>同业存放利息支出</t>
  </si>
  <si>
    <t>B01.16.02.02.01</t>
  </si>
  <si>
    <t>同业存放付息率</t>
  </si>
  <si>
    <t>B01.16.02.05</t>
  </si>
  <si>
    <t>卖出回购利息支出</t>
  </si>
  <si>
    <t>B01.16.02.05.01</t>
  </si>
  <si>
    <t>卖出回购付息率</t>
  </si>
  <si>
    <t>B01.17</t>
  </si>
  <si>
    <t>FTP收入</t>
  </si>
  <si>
    <t>B01.17.01</t>
  </si>
  <si>
    <t>存款FTP收入</t>
  </si>
  <si>
    <t>B01.17.01.01</t>
  </si>
  <si>
    <t>存款FTP</t>
  </si>
  <si>
    <t>B01.17.01.02</t>
  </si>
  <si>
    <t>常规存款FTP收入</t>
  </si>
  <si>
    <t>B01.17.01.02.01</t>
  </si>
  <si>
    <t>常规存款FTP</t>
  </si>
  <si>
    <t>B01.17.01.03</t>
  </si>
  <si>
    <t>保证金存款FTP收入</t>
  </si>
  <si>
    <t>B01.17.01.03.01</t>
  </si>
  <si>
    <t>保证金存款FTP</t>
  </si>
  <si>
    <t>B01.17.02</t>
  </si>
  <si>
    <t>金融机构往来FTP收入</t>
  </si>
  <si>
    <t>B01.17.02.02</t>
  </si>
  <si>
    <t>同业存放FTP收入</t>
  </si>
  <si>
    <t>B01.17.02.02.01</t>
  </si>
  <si>
    <t>同业存放FTP</t>
  </si>
  <si>
    <t>B01.17.02.05</t>
  </si>
  <si>
    <t>卖出回购FTP收入</t>
  </si>
  <si>
    <t>B01.17.02.05.01</t>
  </si>
  <si>
    <t>卖出回购FTP</t>
  </si>
  <si>
    <t>B01.17.99</t>
  </si>
  <si>
    <t>其他FTP收入</t>
  </si>
  <si>
    <t>B01.17.99.01</t>
  </si>
  <si>
    <t>应付款FTP收入</t>
  </si>
  <si>
    <t>B01.18</t>
  </si>
  <si>
    <t>手续费收入</t>
  </si>
  <si>
    <t>B01.18.01</t>
  </si>
  <si>
    <t>联贷分成收入</t>
  </si>
  <si>
    <t>B01.18.01.01</t>
  </si>
  <si>
    <t>联贷收益率</t>
  </si>
  <si>
    <t>B01.18.01.02</t>
  </si>
  <si>
    <t>小微银银收入</t>
  </si>
  <si>
    <t>B01.18.01.02.01</t>
  </si>
  <si>
    <t>小微银银收益率</t>
  </si>
  <si>
    <t>B01.18.01.03</t>
  </si>
  <si>
    <t>冲销金额</t>
  </si>
  <si>
    <t>B01.18.02</t>
  </si>
  <si>
    <t>ABS收入</t>
  </si>
  <si>
    <t>B01.18.03</t>
  </si>
  <si>
    <t>ABN收入</t>
  </si>
  <si>
    <t>B01.18.04</t>
  </si>
  <si>
    <t>流量经营收入</t>
  </si>
  <si>
    <t>B01.18.05</t>
  </si>
  <si>
    <t>企金代销收入</t>
  </si>
  <si>
    <t>B01.18.05.01</t>
  </si>
  <si>
    <t>代销保险</t>
  </si>
  <si>
    <t>B01.18.05.02</t>
  </si>
  <si>
    <t>B01.18.08</t>
  </si>
  <si>
    <t>银承保函收入</t>
  </si>
  <si>
    <t>B01.18.06</t>
  </si>
  <si>
    <t>催收费收入</t>
  </si>
  <si>
    <t>B01.18.99</t>
  </si>
  <si>
    <t>B01.19</t>
  </si>
  <si>
    <t>手续费支出</t>
  </si>
  <si>
    <t>B01.19.01</t>
  </si>
  <si>
    <t>催收费</t>
  </si>
  <si>
    <t>B01.19.01.01</t>
  </si>
  <si>
    <t>费率</t>
  </si>
  <si>
    <t>B01.19.02</t>
  </si>
  <si>
    <t>征信费</t>
  </si>
  <si>
    <t>B01.19.02.01</t>
  </si>
  <si>
    <t>B01.19.03</t>
  </si>
  <si>
    <t>清算费</t>
  </si>
  <si>
    <t>B01.19.03.01</t>
  </si>
  <si>
    <t>B01.19.04</t>
  </si>
  <si>
    <t>代偿保费</t>
  </si>
  <si>
    <t>B01.19.05</t>
  </si>
  <si>
    <t>担保费用</t>
  </si>
  <si>
    <t>B01.19.14</t>
  </si>
  <si>
    <t>渠道费</t>
  </si>
  <si>
    <t>B01.19.14.01</t>
  </si>
  <si>
    <t>渠道费率</t>
  </si>
  <si>
    <t>B01.19.99</t>
  </si>
  <si>
    <t>B01.20</t>
  </si>
  <si>
    <t>其他外部营收</t>
  </si>
  <si>
    <t>B01.20.01</t>
  </si>
  <si>
    <t>票据转贴现</t>
  </si>
  <si>
    <t>B01.20.02</t>
  </si>
  <si>
    <t>小微激励金</t>
  </si>
  <si>
    <t>B01.21</t>
  </si>
  <si>
    <t>内部营业净收入</t>
  </si>
  <si>
    <t>费用</t>
  </si>
  <si>
    <t>B01.90</t>
  </si>
  <si>
    <t>业务及管理费</t>
  </si>
  <si>
    <t>B01.90.01</t>
  </si>
  <si>
    <t>直接费用</t>
  </si>
  <si>
    <t>B01.90.01.01</t>
  </si>
  <si>
    <t>人力(不含IT)</t>
  </si>
  <si>
    <t>B01.90.01.01.01</t>
  </si>
  <si>
    <t>业务人力</t>
  </si>
  <si>
    <t>B01.90.01.01.02</t>
  </si>
  <si>
    <t>B01.90.01.02</t>
  </si>
  <si>
    <t>B01.90.01.02.01</t>
  </si>
  <si>
    <t>营销</t>
  </si>
  <si>
    <t>B01.90.01.02.02</t>
  </si>
  <si>
    <t>运营</t>
  </si>
  <si>
    <t>B01.90.01.03</t>
  </si>
  <si>
    <t>IT</t>
  </si>
  <si>
    <t>B01.90.01.03.01</t>
  </si>
  <si>
    <t>B01.90.01.03.01.001</t>
  </si>
  <si>
    <t>B01.90.01.03.01.002</t>
  </si>
  <si>
    <t>B01.90.01.03.02</t>
  </si>
  <si>
    <t>科技</t>
  </si>
  <si>
    <t>B01.90.01.03.03</t>
  </si>
  <si>
    <t>B01.90.01.03.04</t>
  </si>
  <si>
    <t>B01.90.01.04</t>
  </si>
  <si>
    <t>职场</t>
  </si>
  <si>
    <t>B01.90.01.05</t>
  </si>
  <si>
    <t>日常</t>
  </si>
  <si>
    <t>B01.90.02</t>
  </si>
  <si>
    <t>间接费用</t>
  </si>
  <si>
    <t>B01.90.02.01</t>
  </si>
  <si>
    <t>B01.90.02.01.01</t>
  </si>
  <si>
    <t>B01.90.02.01.02</t>
  </si>
  <si>
    <t>B01.90.02.02</t>
  </si>
  <si>
    <t>B01.90.02.02.01</t>
  </si>
  <si>
    <t>B01.90.02.02.02</t>
  </si>
  <si>
    <t>B01.90.02.03</t>
  </si>
  <si>
    <t>B01.90.02.03.01</t>
  </si>
  <si>
    <t>B01.90.02.03.01.001</t>
  </si>
  <si>
    <t>B01.90.02.03.01.002</t>
  </si>
  <si>
    <t>B01.90.02.03.02</t>
  </si>
  <si>
    <t>B01.90.02.03.03</t>
  </si>
  <si>
    <t>B01.90.02.03.04</t>
  </si>
  <si>
    <t>B01.90.02.04</t>
  </si>
  <si>
    <t>B01.90.02.05</t>
  </si>
  <si>
    <t>投入产出</t>
  </si>
  <si>
    <t>B01.91</t>
  </si>
  <si>
    <t>业务支出评估</t>
  </si>
  <si>
    <t>B01.91.01</t>
  </si>
  <si>
    <t>客户经营指标</t>
  </si>
  <si>
    <t>B01.91.01.01</t>
  </si>
  <si>
    <t>客户营销与投入</t>
  </si>
  <si>
    <t>B01.91.01.01.001</t>
  </si>
  <si>
    <t>新客营销支出</t>
  </si>
  <si>
    <t>B01.91.01.01.002</t>
  </si>
  <si>
    <t>存客营销支出</t>
  </si>
  <si>
    <t>B01.91.01.01.003</t>
  </si>
  <si>
    <t>新开通客户投入</t>
  </si>
  <si>
    <t>B01.91.01.01.004</t>
  </si>
  <si>
    <t>新发放投入</t>
  </si>
  <si>
    <t>B01.91.01.02</t>
  </si>
  <si>
    <t>客户规模与数量</t>
  </si>
  <si>
    <t>B01.91.01.02.101</t>
  </si>
  <si>
    <t>LUM规模</t>
  </si>
  <si>
    <t>B01.91.01.02.001</t>
  </si>
  <si>
    <t>新客日均LUM</t>
  </si>
  <si>
    <t>B01.91.01.02.002</t>
  </si>
  <si>
    <t>存客日均LUM</t>
  </si>
  <si>
    <t>B01.91.01.02.005</t>
  </si>
  <si>
    <t>新发放LUM</t>
  </si>
  <si>
    <t>B01.91.01.02.006</t>
  </si>
  <si>
    <t>新发放LUM(标服)</t>
  </si>
  <si>
    <t>B01.91.01.02.010</t>
  </si>
  <si>
    <t>日均LUM</t>
  </si>
  <si>
    <t>B01.91.01.02.102</t>
  </si>
  <si>
    <t>AuM规模</t>
  </si>
  <si>
    <t>B01.91.01.02.007</t>
  </si>
  <si>
    <t>存客日均AuM</t>
  </si>
  <si>
    <t>B01.91.01.02.008</t>
  </si>
  <si>
    <t>新客AuM余额</t>
  </si>
  <si>
    <t>B01.91.01.02.011</t>
  </si>
  <si>
    <t>日均AuM</t>
  </si>
  <si>
    <t>B01.91.01.02.103</t>
  </si>
  <si>
    <t>客户数量</t>
  </si>
  <si>
    <t>B01.91.01.02.003</t>
  </si>
  <si>
    <t>新开通客户数</t>
  </si>
  <si>
    <t>B01.91.01.02.004</t>
  </si>
  <si>
    <t>平均有效客户数</t>
  </si>
  <si>
    <t>B01.91.01.02.009</t>
  </si>
  <si>
    <t>MFAU客户数</t>
  </si>
  <si>
    <t>B01.91.01.03</t>
  </si>
  <si>
    <t>客户回收与催收</t>
  </si>
  <si>
    <t>B01.91.01.03.001</t>
  </si>
  <si>
    <t>内催回收额</t>
  </si>
  <si>
    <t>B01.91.01.03.002</t>
  </si>
  <si>
    <t>M6-压降金额</t>
  </si>
  <si>
    <t>B01.91.01.03.003</t>
  </si>
  <si>
    <t>M7+现金回收额</t>
  </si>
  <si>
    <t>一级</t>
  </si>
  <si>
    <t>AA.01</t>
  </si>
  <si>
    <t>AA.01.01</t>
  </si>
  <si>
    <t>AA.14</t>
  </si>
  <si>
    <t>AA.16</t>
  </si>
  <si>
    <t>AA.01.02</t>
  </si>
  <si>
    <t>净手续费收入</t>
  </si>
  <si>
    <t>AA.18</t>
  </si>
  <si>
    <t>AA.19</t>
  </si>
  <si>
    <t>AA.01.03</t>
  </si>
  <si>
    <t>AA.02</t>
  </si>
  <si>
    <t>减:资产减值损失</t>
  </si>
  <si>
    <t>AA.02.01</t>
  </si>
  <si>
    <t>贷款减值损失</t>
  </si>
  <si>
    <t>AA.02.01.01</t>
  </si>
  <si>
    <t>实际风险成本</t>
  </si>
  <si>
    <t>AA.02.01.02</t>
  </si>
  <si>
    <t>超额拨备</t>
  </si>
  <si>
    <t>AA.02.02</t>
  </si>
  <si>
    <t>非贷减值损失</t>
  </si>
  <si>
    <t>AA.03</t>
  </si>
  <si>
    <t>AA.04</t>
  </si>
  <si>
    <t>AA.05</t>
  </si>
  <si>
    <t>减:业务及管理费</t>
  </si>
  <si>
    <t>AA.05.01</t>
  </si>
  <si>
    <t>人力费用</t>
  </si>
  <si>
    <t>AA.05.01.01</t>
  </si>
  <si>
    <t>AA.05.01.02</t>
  </si>
  <si>
    <t>利润分享</t>
  </si>
  <si>
    <t>AA.05.01.03</t>
  </si>
  <si>
    <t>专项费用</t>
  </si>
  <si>
    <t>AA.05.02</t>
  </si>
  <si>
    <t>AA.05.02.01</t>
  </si>
  <si>
    <t>AA.05.02.02</t>
  </si>
  <si>
    <t>AA.05.03</t>
  </si>
  <si>
    <t>AA.06</t>
  </si>
  <si>
    <t>AA.09</t>
  </si>
  <si>
    <t>AA.30</t>
  </si>
  <si>
    <t>减:所得税</t>
  </si>
  <si>
    <t>AA.31</t>
  </si>
  <si>
    <t>净利润</t>
  </si>
  <si>
    <t>AA.10</t>
  </si>
  <si>
    <t>AA.10.01</t>
  </si>
  <si>
    <t>AA.10.01.01</t>
  </si>
  <si>
    <t>AA.10.01.02</t>
  </si>
  <si>
    <t>AA.10.02</t>
  </si>
  <si>
    <t>AA.10.03</t>
  </si>
  <si>
    <t>AA.10.04</t>
  </si>
  <si>
    <t>AA.12</t>
  </si>
  <si>
    <t>AA.12.01</t>
  </si>
  <si>
    <t>各项存款</t>
  </si>
  <si>
    <t>AA.12.02</t>
  </si>
  <si>
    <t>AA.12.03</t>
  </si>
  <si>
    <t>商户结算便利应付款</t>
  </si>
  <si>
    <t>AA.12.04</t>
  </si>
  <si>
    <t>存款服务</t>
  </si>
  <si>
    <t>AA.45</t>
  </si>
  <si>
    <t>拨备覆盖率</t>
  </si>
  <si>
    <t>AA.46</t>
  </si>
  <si>
    <t>贷款拨备率</t>
  </si>
  <si>
    <t>AA.47</t>
  </si>
  <si>
    <t>资产减值准备</t>
  </si>
  <si>
    <t>AA.47.01</t>
  </si>
  <si>
    <t>贷款减值准备</t>
  </si>
  <si>
    <t>AA.47.01.01</t>
  </si>
  <si>
    <t>AA.47.02</t>
  </si>
  <si>
    <t>非贷减值准备</t>
  </si>
  <si>
    <t>AA.54</t>
  </si>
  <si>
    <t>年初资产减值准备</t>
  </si>
  <si>
    <t>AA.54.01</t>
  </si>
  <si>
    <t>年初贷款减值准备</t>
  </si>
  <si>
    <t>AA.54.02</t>
  </si>
  <si>
    <t>年初非贷减值准备</t>
  </si>
  <si>
    <t>AA.48</t>
  </si>
  <si>
    <t>贷款风险成本率</t>
  </si>
  <si>
    <t>AA.38</t>
  </si>
  <si>
    <t>实际风险成本率</t>
  </si>
  <si>
    <t>AA.48.01</t>
  </si>
  <si>
    <t>超额风险成本率</t>
  </si>
  <si>
    <t>AA.49</t>
  </si>
  <si>
    <t>财务指标</t>
  </si>
  <si>
    <t>AA.49.01</t>
  </si>
  <si>
    <t>手续费净收入占比</t>
  </si>
  <si>
    <t>AA.49.02</t>
  </si>
  <si>
    <t>非息收入占比</t>
  </si>
  <si>
    <t>AA.49.03</t>
  </si>
  <si>
    <t>ROA</t>
  </si>
  <si>
    <t>AA.49.04</t>
  </si>
  <si>
    <t>ROAE</t>
  </si>
  <si>
    <t>AA.49.05</t>
  </si>
  <si>
    <t>成本收入比</t>
  </si>
  <si>
    <t>AA.90</t>
  </si>
  <si>
    <t>AA.90.01</t>
  </si>
  <si>
    <t>AA.90.01.01</t>
  </si>
  <si>
    <t>AA.90.01.01.01</t>
  </si>
  <si>
    <t>AA.90.01.01.02</t>
  </si>
  <si>
    <t>AA.90.01.02</t>
  </si>
  <si>
    <t>AA.90.01.02.01</t>
  </si>
  <si>
    <t>AA.90.01.02.02</t>
  </si>
  <si>
    <t>AA.90.01.03</t>
  </si>
  <si>
    <t>AA.90.01.03.01</t>
  </si>
  <si>
    <t>AA.90.01.03.01.001</t>
  </si>
  <si>
    <t>AA.90.01.03.01.002</t>
  </si>
  <si>
    <t>AA.90.01.03.02</t>
  </si>
  <si>
    <t>AA.90.01.03.03</t>
  </si>
  <si>
    <t>AA.90.01.03.04</t>
  </si>
  <si>
    <t>AA.90.01.04</t>
  </si>
  <si>
    <t>AA.90.01.05</t>
  </si>
  <si>
    <t>AA.90.02</t>
  </si>
  <si>
    <t>AA.90.02.01</t>
  </si>
  <si>
    <t>AA.90.02.01.01</t>
  </si>
  <si>
    <t>AA.90.02.01.02</t>
  </si>
  <si>
    <t>AA.90.02.02</t>
  </si>
  <si>
    <t>AA.90.02.02.01</t>
  </si>
  <si>
    <t>AA.90.02.02.02</t>
  </si>
  <si>
    <t>AA.90.02.03</t>
  </si>
  <si>
    <t>AA.90.02.03.01</t>
  </si>
  <si>
    <t>AA.90.02.03.01.001</t>
  </si>
  <si>
    <t>AA.90.02.03.01.002</t>
  </si>
  <si>
    <t>AA.90.02.03.02</t>
  </si>
  <si>
    <t>AA.90.02.03.03</t>
  </si>
  <si>
    <t>AA.90.02.03.04</t>
  </si>
  <si>
    <t>AA.90.02.04</t>
  </si>
  <si>
    <t>AA.90.02.05</t>
  </si>
  <si>
    <t>AA.91</t>
  </si>
  <si>
    <t>AA.91.01</t>
  </si>
  <si>
    <t>AA.91.01.01</t>
  </si>
  <si>
    <t>AA.91.01.01.001</t>
  </si>
  <si>
    <t>AA.91.01.01.002</t>
  </si>
  <si>
    <t>AA.91.01.01.003</t>
  </si>
  <si>
    <t>AA.91.01.01.004</t>
  </si>
  <si>
    <t>AA.91.01.02</t>
  </si>
  <si>
    <t>AA.91.01.02.101</t>
  </si>
  <si>
    <t>AA.91.01.02.001</t>
  </si>
  <si>
    <t>AA.91.01.02.002</t>
  </si>
  <si>
    <t>AA.91.01.02.005</t>
  </si>
  <si>
    <t>AA.91.01.02.006</t>
  </si>
  <si>
    <t>AA.91.01.02.010</t>
  </si>
  <si>
    <t>AA.91.01.02.102</t>
  </si>
  <si>
    <t>AA.91.01.02.007</t>
  </si>
  <si>
    <t>AA.91.01.02.008</t>
  </si>
  <si>
    <t>AA.91.01.02.011</t>
  </si>
  <si>
    <t>AA.91.01.02.103</t>
  </si>
  <si>
    <t>AA.91.01.02.003</t>
  </si>
  <si>
    <t>AA.91.01.02.004</t>
  </si>
  <si>
    <t>AA.91.01.02.009</t>
  </si>
  <si>
    <t>AA.91.01.03</t>
  </si>
  <si>
    <t>AA.91.01.03.001</t>
  </si>
  <si>
    <t>AA.91.01.03.002</t>
  </si>
  <si>
    <t>AA.91.01.03.003</t>
  </si>
  <si>
    <t>风险成本率</t>
  </si>
  <si>
    <t>AA.38.01</t>
  </si>
  <si>
    <t>泛微粒贷</t>
  </si>
  <si>
    <t>AA.38.01.01</t>
  </si>
  <si>
    <t>微粒贷</t>
  </si>
  <si>
    <t>AA.38.01.02</t>
  </si>
  <si>
    <t>分付</t>
  </si>
  <si>
    <t>AA.38.02</t>
  </si>
  <si>
    <t>汽车金融</t>
  </si>
  <si>
    <t>AA.38.03</t>
  </si>
  <si>
    <t>财富</t>
  </si>
  <si>
    <t>AA.38.04</t>
  </si>
  <si>
    <t>小鹅</t>
  </si>
  <si>
    <t>AA.38.05</t>
  </si>
  <si>
    <t>企业金融</t>
  </si>
  <si>
    <t>AA.38.05.01</t>
  </si>
  <si>
    <t>风险成本</t>
  </si>
  <si>
    <t>AA.39</t>
  </si>
  <si>
    <t>不良贷款率</t>
  </si>
  <si>
    <t>AA.39.01</t>
  </si>
  <si>
    <t>AA.39.01.01</t>
  </si>
  <si>
    <t>AA.39.01.02</t>
  </si>
  <si>
    <t>AA.39.02</t>
  </si>
  <si>
    <t>AA.39.03</t>
  </si>
  <si>
    <t>AA.39.04</t>
  </si>
  <si>
    <t>AA.39.05</t>
  </si>
  <si>
    <t>AA.39.05.01</t>
  </si>
  <si>
    <t>AA.40</t>
  </si>
  <si>
    <t>不良贷款余额</t>
  </si>
  <si>
    <t>AA.40.01</t>
  </si>
  <si>
    <t>AA.40.01.01</t>
  </si>
  <si>
    <t>AA.40.01.02</t>
  </si>
  <si>
    <t>AA.40.02</t>
  </si>
  <si>
    <t>AA.40.03</t>
  </si>
  <si>
    <t>AA.40.04</t>
  </si>
  <si>
    <t>AA.40.05</t>
  </si>
  <si>
    <t>AA.40.05.01</t>
  </si>
  <si>
    <t>AA.41</t>
  </si>
  <si>
    <t>不良贷款原值余额</t>
  </si>
  <si>
    <t>AA.41.01</t>
  </si>
  <si>
    <t>AA.41.01.01</t>
  </si>
  <si>
    <t>AA.41.01.02</t>
  </si>
  <si>
    <t>AA.41.02</t>
  </si>
  <si>
    <t>AA.41.03</t>
  </si>
  <si>
    <t>AA.41.04</t>
  </si>
  <si>
    <t>AA.41.05</t>
  </si>
  <si>
    <t>AA.41.05.01</t>
  </si>
  <si>
    <t>AA.42</t>
  </si>
  <si>
    <t>年初不良贷款原值余额</t>
  </si>
  <si>
    <t>AA.42.01</t>
  </si>
  <si>
    <t>AA.42.01.01</t>
  </si>
  <si>
    <t>AA.42.01.02</t>
  </si>
  <si>
    <t>AA.42.02</t>
  </si>
  <si>
    <t>AA.42.03</t>
  </si>
  <si>
    <t>AA.42.04</t>
  </si>
  <si>
    <t>AA.42.05</t>
  </si>
  <si>
    <t>AA.42.05.01</t>
  </si>
  <si>
    <t>AA.43</t>
  </si>
  <si>
    <t>核销净额</t>
  </si>
  <si>
    <t>AA.43.01</t>
  </si>
  <si>
    <t>AA.43.01.01</t>
  </si>
  <si>
    <t>AA.43.01.02</t>
  </si>
  <si>
    <t>AA.43.02</t>
  </si>
  <si>
    <t>AA.43.03</t>
  </si>
  <si>
    <t>AA.43.04</t>
  </si>
  <si>
    <t>AA.43.05</t>
  </si>
  <si>
    <t>AA.43.05.01</t>
  </si>
  <si>
    <t>AA.44</t>
  </si>
  <si>
    <t>代偿和转让</t>
  </si>
  <si>
    <t>AA.44.01</t>
  </si>
  <si>
    <t>微粒贷保险代偿金额</t>
  </si>
  <si>
    <t>AA.44.01.01</t>
  </si>
  <si>
    <t>微粒贷保险代偿净额</t>
  </si>
  <si>
    <t>AA.44.02</t>
  </si>
  <si>
    <t>汽金代偿金代偿金额</t>
  </si>
  <si>
    <t>AA.44.03</t>
  </si>
  <si>
    <t>企金担保代偿金额</t>
  </si>
  <si>
    <t>AA.44.04</t>
  </si>
  <si>
    <t>企金保险代偿金额</t>
  </si>
  <si>
    <t>AA.44.05</t>
  </si>
  <si>
    <t>企金不良转让金额</t>
  </si>
  <si>
    <t>AA.44.05.01</t>
  </si>
  <si>
    <t>企金不良转让净额</t>
  </si>
  <si>
    <t>AA.50</t>
  </si>
  <si>
    <t>生息资产日均规模</t>
  </si>
  <si>
    <t>AA.11.01</t>
  </si>
  <si>
    <t>各项贷款</t>
  </si>
  <si>
    <t>AA.23</t>
  </si>
  <si>
    <t>存放央行</t>
  </si>
  <si>
    <t>AA.25</t>
  </si>
  <si>
    <t>同业资产</t>
  </si>
  <si>
    <t>AA.25.01</t>
  </si>
  <si>
    <t>AA.25.02</t>
  </si>
  <si>
    <t>拆放同业</t>
  </si>
  <si>
    <t>AA.25.03</t>
  </si>
  <si>
    <t>AA.25.04</t>
  </si>
  <si>
    <t>AA.25.05</t>
  </si>
  <si>
    <t>同业存单投资</t>
  </si>
  <si>
    <t>AA.51</t>
  </si>
  <si>
    <t>付息负债日均规模</t>
  </si>
  <si>
    <t>AA.13.01</t>
  </si>
  <si>
    <t>AA.27</t>
  </si>
  <si>
    <t>同业负债</t>
  </si>
  <si>
    <t>AA.27.01</t>
  </si>
  <si>
    <t>向央行借款</t>
  </si>
  <si>
    <t>AA.27.02</t>
  </si>
  <si>
    <t>AA.27.03</t>
  </si>
  <si>
    <t>同业拆入</t>
  </si>
  <si>
    <t>AA.27.04</t>
  </si>
  <si>
    <t>转贷款</t>
  </si>
  <si>
    <t>AA.27.05</t>
  </si>
  <si>
    <t>AA.27.06</t>
  </si>
  <si>
    <t>发行同业存单</t>
  </si>
  <si>
    <t>生息资产利息收入</t>
  </si>
  <si>
    <t>AA.14.01</t>
  </si>
  <si>
    <t>AA.14.02</t>
  </si>
  <si>
    <t>AA.14.03</t>
  </si>
  <si>
    <t>AA.14.03.01</t>
  </si>
  <si>
    <t>AA.14.03.02</t>
  </si>
  <si>
    <t>AA.14.03.03</t>
  </si>
  <si>
    <t>AA.14.03.04</t>
  </si>
  <si>
    <t>AA.14.03.05</t>
  </si>
  <si>
    <t>付息负债利息支出</t>
  </si>
  <si>
    <t>AA.16.01</t>
  </si>
  <si>
    <t>AA.16.02</t>
  </si>
  <si>
    <t>AA.16.02.01</t>
  </si>
  <si>
    <t>AA.16.02.02</t>
  </si>
  <si>
    <t>AA.16.02.03</t>
  </si>
  <si>
    <t>AA.16.02.04</t>
  </si>
  <si>
    <t>AA.16.02.05</t>
  </si>
  <si>
    <t>AA.16.02.06</t>
  </si>
  <si>
    <t>AA.52</t>
  </si>
  <si>
    <t>生息资产收息率</t>
  </si>
  <si>
    <t>AA.52.01</t>
  </si>
  <si>
    <t>AA.52.02</t>
  </si>
  <si>
    <t>AA.52.03</t>
  </si>
  <si>
    <t>AA.52.04</t>
  </si>
  <si>
    <t>AA.52.05</t>
  </si>
  <si>
    <t>AA.52.06</t>
  </si>
  <si>
    <t>AA.52.07</t>
  </si>
  <si>
    <t>AA.52.08</t>
  </si>
  <si>
    <t>AA.53</t>
  </si>
  <si>
    <t>付息负债付息率</t>
  </si>
  <si>
    <t>AA.53.01</t>
  </si>
  <si>
    <t>AA.53.02</t>
  </si>
  <si>
    <t>AA.53.03</t>
  </si>
  <si>
    <t>AA.53.04</t>
  </si>
  <si>
    <t>AA.53.05</t>
  </si>
  <si>
    <t>AA.53.06</t>
  </si>
  <si>
    <t>AA.53.07</t>
  </si>
  <si>
    <t>AA.53.08</t>
  </si>
  <si>
    <t>A.01</t>
  </si>
  <si>
    <t>A.01.01</t>
  </si>
  <si>
    <t>A.01.01.01</t>
  </si>
  <si>
    <t>A.14</t>
  </si>
  <si>
    <t>A.15</t>
  </si>
  <si>
    <t>A.01.01.02</t>
  </si>
  <si>
    <t>A.16</t>
  </si>
  <si>
    <t>A.17</t>
  </si>
  <si>
    <t>A.01.02</t>
  </si>
  <si>
    <t>A.18</t>
  </si>
  <si>
    <t>A.19</t>
  </si>
  <si>
    <t>A.01.03</t>
  </si>
  <si>
    <t>A.02</t>
  </si>
  <si>
    <t>A.03</t>
  </si>
  <si>
    <t>A.04</t>
  </si>
  <si>
    <t>A.05</t>
  </si>
  <si>
    <t>A.05.01</t>
  </si>
  <si>
    <t>A.05.01.01</t>
  </si>
  <si>
    <t>A.05.01.02</t>
  </si>
  <si>
    <t>A.05.02</t>
  </si>
  <si>
    <t>A.05.02.01</t>
  </si>
  <si>
    <t>A.05.02.02</t>
  </si>
  <si>
    <t>A.05.03</t>
  </si>
  <si>
    <t>A.05.03.01</t>
  </si>
  <si>
    <t>A.05.03.01.01</t>
  </si>
  <si>
    <t>A.05.03.01.02</t>
  </si>
  <si>
    <t>A.05.03.02</t>
  </si>
  <si>
    <t>A.05.03.03</t>
  </si>
  <si>
    <t>A.05.03.04</t>
  </si>
  <si>
    <t>A.05.04</t>
  </si>
  <si>
    <t>A.05.05</t>
  </si>
  <si>
    <t>A.06</t>
  </si>
  <si>
    <t>A.07</t>
  </si>
  <si>
    <t>A.08</t>
  </si>
  <si>
    <t>A.09</t>
  </si>
  <si>
    <t>A.10</t>
  </si>
  <si>
    <t>A.10.01</t>
  </si>
  <si>
    <t>A.10.01.01</t>
  </si>
  <si>
    <t>A.10.02</t>
  </si>
  <si>
    <t>A.10.03</t>
  </si>
  <si>
    <t>A.11</t>
  </si>
  <si>
    <t>A.11.01</t>
  </si>
  <si>
    <t>A.11.01.01</t>
  </si>
  <si>
    <t>A.11.02</t>
  </si>
  <si>
    <t>A.11.03</t>
  </si>
  <si>
    <t>A.12</t>
  </si>
  <si>
    <t>A.12.01</t>
  </si>
  <si>
    <t>A.12.02</t>
  </si>
  <si>
    <t>A.12.03</t>
  </si>
  <si>
    <t>A.12.04</t>
  </si>
  <si>
    <t>A.13</t>
  </si>
  <si>
    <t>A.13.01</t>
  </si>
  <si>
    <t>A.13.02</t>
  </si>
  <si>
    <t>A.13.03</t>
  </si>
  <si>
    <t>A.13.04</t>
  </si>
  <si>
    <t>A.90</t>
  </si>
  <si>
    <t>A.90.01</t>
  </si>
  <si>
    <t>A.90.01.01</t>
  </si>
  <si>
    <t>A.90.01.01.01</t>
  </si>
  <si>
    <t>A.90.01.01.02</t>
  </si>
  <si>
    <t>A.90.01.02</t>
  </si>
  <si>
    <t>A.90.01.02.01</t>
  </si>
  <si>
    <t>A.90.01.02.02</t>
  </si>
  <si>
    <t>A.90.01.03</t>
  </si>
  <si>
    <t>A.90.01.03.01</t>
  </si>
  <si>
    <t>A.90.01.03.01.001</t>
  </si>
  <si>
    <t>A.90.01.03.01.002</t>
  </si>
  <si>
    <t>A.90.01.03.02</t>
  </si>
  <si>
    <t>A.90.01.03.03</t>
  </si>
  <si>
    <t>A.90.01.03.04</t>
  </si>
  <si>
    <t>A.90.01.04</t>
  </si>
  <si>
    <t>A.90.01.05</t>
  </si>
  <si>
    <t>A.90.02</t>
  </si>
  <si>
    <t>A.90.02.01</t>
  </si>
  <si>
    <t>A.90.02.01.01</t>
  </si>
  <si>
    <t>A.90.02.01.02</t>
  </si>
  <si>
    <t>A.90.02.02</t>
  </si>
  <si>
    <t>A.90.02.02.01</t>
  </si>
  <si>
    <t>A.90.02.02.02</t>
  </si>
  <si>
    <t>A.90.02.03</t>
  </si>
  <si>
    <t>A.90.02.03.01</t>
  </si>
  <si>
    <t>A.90.02.03.01.001</t>
  </si>
  <si>
    <t>A.90.02.03.01.002</t>
  </si>
  <si>
    <t>A.90.02.03.02</t>
  </si>
  <si>
    <t>A.90.02.03.03</t>
  </si>
  <si>
    <t>A.90.02.03.04</t>
  </si>
  <si>
    <t>A.90.02.04</t>
  </si>
  <si>
    <t>A.90.02.05</t>
  </si>
  <si>
    <t>A.91</t>
  </si>
  <si>
    <t>A.91.01</t>
  </si>
  <si>
    <t>A.91.01.01</t>
  </si>
  <si>
    <t>A.91.01.01.001</t>
  </si>
  <si>
    <t>A.91.01.01.002</t>
  </si>
  <si>
    <t>A.91.01.01.003</t>
  </si>
  <si>
    <t>A.91.01.01.004</t>
  </si>
  <si>
    <t>A.91.01.02</t>
  </si>
  <si>
    <t>A.91.01.02.101</t>
  </si>
  <si>
    <t>A.91.01.02.001</t>
  </si>
  <si>
    <t>A.91.01.02.002</t>
  </si>
  <si>
    <t>A.91.01.02.005</t>
  </si>
  <si>
    <t>A.91.01.02.006</t>
  </si>
  <si>
    <t>A.91.01.02.010</t>
  </si>
  <si>
    <t>A.91.01.02.102</t>
  </si>
  <si>
    <t>A.91.01.02.007</t>
  </si>
  <si>
    <t>A.91.01.02.008</t>
  </si>
  <si>
    <t>A.91.01.02.011</t>
  </si>
  <si>
    <t>A.91.01.02.103</t>
  </si>
  <si>
    <t>A.91.01.02.003</t>
  </si>
  <si>
    <t>A.91.01.02.004</t>
  </si>
  <si>
    <t>A.91.01.02.009</t>
  </si>
  <si>
    <t>A.91.01.03</t>
  </si>
  <si>
    <t>A.91.01.03.001</t>
  </si>
  <si>
    <t>A.91.01.03.002</t>
  </si>
  <si>
    <t>A.91.01.03.003</t>
  </si>
  <si>
    <t>A01.01</t>
  </si>
  <si>
    <t>A01.01.01</t>
  </si>
  <si>
    <t>A01.01.01.01</t>
  </si>
  <si>
    <t>A01.01.01.02</t>
  </si>
  <si>
    <t>A01.01.02</t>
  </si>
  <si>
    <t>A01.01.03</t>
  </si>
  <si>
    <t>A01.02</t>
  </si>
  <si>
    <t>A01.03</t>
  </si>
  <si>
    <t>A01.04</t>
  </si>
  <si>
    <t>A01.05</t>
  </si>
  <si>
    <t>A01.05.01</t>
  </si>
  <si>
    <t>A01.05.01.01</t>
  </si>
  <si>
    <t>A01.05.01.02</t>
  </si>
  <si>
    <t>A01.05.02</t>
  </si>
  <si>
    <t>A01.05.02.01</t>
  </si>
  <si>
    <t>A01.05.02.02</t>
  </si>
  <si>
    <t>A01.05.03</t>
  </si>
  <si>
    <t>A01.05.03.01</t>
  </si>
  <si>
    <t>A01.05.03.01.01</t>
  </si>
  <si>
    <t>A01.05.03.01.02</t>
  </si>
  <si>
    <t>A01.05.03.02</t>
  </si>
  <si>
    <t>A01.05.03.03</t>
  </si>
  <si>
    <t>A01.05.03.04</t>
  </si>
  <si>
    <t>A01.05.04</t>
  </si>
  <si>
    <t>A01.05.05</t>
  </si>
  <si>
    <t>A01.06</t>
  </si>
  <si>
    <t>A01.07</t>
  </si>
  <si>
    <t>A01.08</t>
  </si>
  <si>
    <t>A01.09</t>
  </si>
  <si>
    <t>A01.10</t>
  </si>
  <si>
    <t>A01.10.01</t>
  </si>
  <si>
    <t>A01.10.01.01</t>
  </si>
  <si>
    <t>A01.10.01.01.01</t>
  </si>
  <si>
    <t>A01.10.01.01.01.01</t>
  </si>
  <si>
    <t>其中:分期</t>
  </si>
  <si>
    <t>A01.10.01.01.02</t>
  </si>
  <si>
    <t>A01.10.02</t>
  </si>
  <si>
    <t>A01.10.03</t>
  </si>
  <si>
    <t>A01.11</t>
  </si>
  <si>
    <t>A01.11.01</t>
  </si>
  <si>
    <t>A01.11.01.01</t>
  </si>
  <si>
    <t>A01.11.01.01.01</t>
  </si>
  <si>
    <t>A01.11.01.01.01.01</t>
  </si>
  <si>
    <t>A01.11.01.01.02</t>
  </si>
  <si>
    <t>A01.11.02</t>
  </si>
  <si>
    <t>A01.11.03</t>
  </si>
  <si>
    <t>A01.12</t>
  </si>
  <si>
    <t>A01.12.01</t>
  </si>
  <si>
    <t>存款</t>
  </si>
  <si>
    <t>A01.13</t>
  </si>
  <si>
    <t>A01.13.01</t>
  </si>
  <si>
    <t>A01.24</t>
  </si>
  <si>
    <t>A01.24.01</t>
  </si>
  <si>
    <t>存放同业余额</t>
  </si>
  <si>
    <t>A01.25</t>
  </si>
  <si>
    <t>A01.25.01</t>
  </si>
  <si>
    <t>存放同业日均</t>
  </si>
  <si>
    <t>A01.26</t>
  </si>
  <si>
    <t>A01.26.02</t>
  </si>
  <si>
    <t>同业存放余额</t>
  </si>
  <si>
    <t>A01.27</t>
  </si>
  <si>
    <t>A01.27.02</t>
  </si>
  <si>
    <t>同业存放日均</t>
  </si>
  <si>
    <t>A01.14</t>
  </si>
  <si>
    <t>A01.14.01</t>
  </si>
  <si>
    <t>A01.14.01.01</t>
  </si>
  <si>
    <t>微粒贷利息收入</t>
  </si>
  <si>
    <t>A01.14.01.01.01</t>
  </si>
  <si>
    <t>微粒贷收息率</t>
  </si>
  <si>
    <t>A01.14.01.01.02</t>
  </si>
  <si>
    <t>微粒贷利息收入(渠道费、清仓回购前)</t>
  </si>
  <si>
    <t>A01.14.01.01.02.01</t>
  </si>
  <si>
    <t>微粒贷平均利率(渠道费、清仓回购前)</t>
  </si>
  <si>
    <t>A01.14.01.01.02.02</t>
  </si>
  <si>
    <t>微粒贷平均财务利率</t>
  </si>
  <si>
    <t>A01.14.01.01.02.03</t>
  </si>
  <si>
    <t>微粒贷逾期90+占比</t>
  </si>
  <si>
    <t>A01.14.01.01.02.04</t>
  </si>
  <si>
    <t>微粒贷财务利率调整幅度</t>
  </si>
  <si>
    <t>A01.14.01.01.02.05</t>
  </si>
  <si>
    <t>微粒贷自营联贷差异</t>
  </si>
  <si>
    <t>A01.14.01.01.03</t>
  </si>
  <si>
    <t>微粒贷自营腾讯渠道费</t>
  </si>
  <si>
    <t>A01.14.01.01.03.01</t>
  </si>
  <si>
    <t>微粒贷自营腾讯渠道费率</t>
  </si>
  <si>
    <t>A01.14.01.01.03.02</t>
  </si>
  <si>
    <t>微粒贷合同渠道费率</t>
  </si>
  <si>
    <t>A01.14.01.01.03.03</t>
  </si>
  <si>
    <t>微粒贷免收渠道费占比</t>
  </si>
  <si>
    <t>A01.14.01.01.03.04</t>
  </si>
  <si>
    <t>AA+同业存单收益率</t>
  </si>
  <si>
    <t>A01.14.01.01.04</t>
  </si>
  <si>
    <t>微粒贷电信分期渠道费</t>
  </si>
  <si>
    <t>A01.14.01.01.04.01</t>
  </si>
  <si>
    <t>微粒贷电信分期渠道费率</t>
  </si>
  <si>
    <t>A01.14.01.01.05</t>
  </si>
  <si>
    <t>微粒贷清仓回购利息收入</t>
  </si>
  <si>
    <t>A01.14.01.01.06</t>
  </si>
  <si>
    <t>微粒贷清仓回购腾讯渠道费</t>
  </si>
  <si>
    <t>A01.14.01.02</t>
  </si>
  <si>
    <t>分付利息收入</t>
  </si>
  <si>
    <t>A01.14.01.02.01</t>
  </si>
  <si>
    <t>分付收息率</t>
  </si>
  <si>
    <t>A01.14.01.02.02</t>
  </si>
  <si>
    <t>分付利息收入(渠道费前)</t>
  </si>
  <si>
    <t>A01.14.01.02.02.01</t>
  </si>
  <si>
    <t>分付对客利率</t>
  </si>
  <si>
    <t>A01.14.01.02.02.02</t>
  </si>
  <si>
    <t>分付平均利率(渠道费前)</t>
  </si>
  <si>
    <t>A01.14.01.02.03</t>
  </si>
  <si>
    <t>分付腾讯渠道费</t>
  </si>
  <si>
    <t>A01.14.01.02.03.01</t>
  </si>
  <si>
    <t>分付腾讯渠道费率</t>
  </si>
  <si>
    <t>A01.14.01.02.03.02</t>
  </si>
  <si>
    <t>分付腾讯合同渠道费率</t>
  </si>
  <si>
    <t>A01.14.01.02.03.03</t>
  </si>
  <si>
    <t>分付实收利息比例</t>
  </si>
  <si>
    <t>A01.14.02</t>
  </si>
  <si>
    <t>A01.14.02.02</t>
  </si>
  <si>
    <t>A01.14.02.02.01</t>
  </si>
  <si>
    <t>A01.15</t>
  </si>
  <si>
    <t>A01.15.01</t>
  </si>
  <si>
    <t>A01.15.01.01</t>
  </si>
  <si>
    <t>微粒贷FTP成本</t>
  </si>
  <si>
    <t>A01.15.01.01.01</t>
  </si>
  <si>
    <t>微粒贷FTP</t>
  </si>
  <si>
    <t>A01.15.01.02</t>
  </si>
  <si>
    <t>分付FTP成本</t>
  </si>
  <si>
    <t>A01.15.01.02.01</t>
  </si>
  <si>
    <t>分付FTP</t>
  </si>
  <si>
    <t>A01.15.02</t>
  </si>
  <si>
    <t>A01.15.02.02</t>
  </si>
  <si>
    <t>A01.15.02.02.01</t>
  </si>
  <si>
    <t>A01.15.99</t>
  </si>
  <si>
    <t>A01.15.99.01</t>
  </si>
  <si>
    <t>流动性备付</t>
  </si>
  <si>
    <t>A01.16</t>
  </si>
  <si>
    <t>A01.16.01</t>
  </si>
  <si>
    <t>A01.16.01.01</t>
  </si>
  <si>
    <t>A01.16.02</t>
  </si>
  <si>
    <t>A01.16.02.02</t>
  </si>
  <si>
    <t>A01.16.02.02.01</t>
  </si>
  <si>
    <t>A01.17</t>
  </si>
  <si>
    <t>A01.17.01</t>
  </si>
  <si>
    <t>A01.17.01.01</t>
  </si>
  <si>
    <t>A01.17.02</t>
  </si>
  <si>
    <t>A01.17.02.02</t>
  </si>
  <si>
    <t>A01.17.02.02.01</t>
  </si>
  <si>
    <t>A01.18</t>
  </si>
  <si>
    <t>A01.18.01</t>
  </si>
  <si>
    <t>微粒贷联贷分成收入</t>
  </si>
  <si>
    <t>A01.18.01.01</t>
  </si>
  <si>
    <t>微粒贷联贷总收益率</t>
  </si>
  <si>
    <t>A01.18.01.02</t>
  </si>
  <si>
    <t>微粒贷联贷平台费收入</t>
  </si>
  <si>
    <t>A01.18.01.02.01</t>
  </si>
  <si>
    <t>微粒贷联贷收益率</t>
  </si>
  <si>
    <t>A01.18.01.02.02</t>
  </si>
  <si>
    <t>微粒贷联贷平均财务利率</t>
  </si>
  <si>
    <t>A01.18.01.02.03</t>
  </si>
  <si>
    <t>平台费率</t>
  </si>
  <si>
    <t>A01.18.01.02.04</t>
  </si>
  <si>
    <t>折扣率</t>
  </si>
  <si>
    <t>A01.18.01.03</t>
  </si>
  <si>
    <t>微粒贷信托收益</t>
  </si>
  <si>
    <t>A01.18.06</t>
  </si>
  <si>
    <t>微粒贷同业催收费收入</t>
  </si>
  <si>
    <t>A01.18.06.01</t>
  </si>
  <si>
    <t>收益率</t>
  </si>
  <si>
    <t>A01.18.06.02.01</t>
  </si>
  <si>
    <t>规模占比</t>
  </si>
  <si>
    <t>A01.18.06.02.02</t>
  </si>
  <si>
    <t>系数</t>
  </si>
  <si>
    <t>A01.18.02</t>
  </si>
  <si>
    <t>微粒贷资产流转收入</t>
  </si>
  <si>
    <t>A01.18.04</t>
  </si>
  <si>
    <t>微粒贷导流收入</t>
  </si>
  <si>
    <t>A01.18.99</t>
  </si>
  <si>
    <t>结算便利等其他</t>
  </si>
  <si>
    <t>A01.19</t>
  </si>
  <si>
    <t>A01.19.01</t>
  </si>
  <si>
    <t>A01.19.01.01</t>
  </si>
  <si>
    <t>A01.19.02</t>
  </si>
  <si>
    <t>A01.19.02.01</t>
  </si>
  <si>
    <t>A01.19.03</t>
  </si>
  <si>
    <t>A01.19.03.01</t>
  </si>
  <si>
    <t>A01.19.04</t>
  </si>
  <si>
    <t>A01.19.06</t>
  </si>
  <si>
    <t>微粒贷联贷腾讯渠道费</t>
  </si>
  <si>
    <t>A01.19.06.01</t>
  </si>
  <si>
    <t>微粒贷联贷总渠道费率</t>
  </si>
  <si>
    <t>A01.19.06.02</t>
  </si>
  <si>
    <t>微粒贷联贷平台费收入渠道费</t>
  </si>
  <si>
    <t>A01.19.06.02.01</t>
  </si>
  <si>
    <t>微粒贷联贷渠道费率</t>
  </si>
  <si>
    <t>A01.19.06.02.02</t>
  </si>
  <si>
    <t>微粒贷联贷逾期90+占比</t>
  </si>
  <si>
    <t>A01.19.06.02.03</t>
  </si>
  <si>
    <t>微粒贷联贷免收渠道费占比</t>
  </si>
  <si>
    <t>A01.19.06.03</t>
  </si>
  <si>
    <t>微粒贷信托收益渠道费</t>
  </si>
  <si>
    <t>A01.19.07</t>
  </si>
  <si>
    <t>微粒贷流转腾讯渠道费</t>
  </si>
  <si>
    <t>A01.19.08</t>
  </si>
  <si>
    <t>微粒贷导流腾讯渠道费</t>
  </si>
  <si>
    <t>A01.19.08.01</t>
  </si>
  <si>
    <t>微粒贷导流合同渠道费率</t>
  </si>
  <si>
    <t>A01.19.08.02</t>
  </si>
  <si>
    <t>A01.19.09</t>
  </si>
  <si>
    <t>A01.19.99</t>
  </si>
  <si>
    <t>A01.20</t>
  </si>
  <si>
    <t>A01.21</t>
  </si>
  <si>
    <t>A01.90</t>
  </si>
  <si>
    <t>A01.90.01</t>
  </si>
  <si>
    <t>A01.90.01.01</t>
  </si>
  <si>
    <t>A01.90.01.01.01</t>
  </si>
  <si>
    <t>A01.90.01.01.02</t>
  </si>
  <si>
    <t>A01.90.01.02</t>
  </si>
  <si>
    <t>A01.90.01.02.01</t>
  </si>
  <si>
    <t>A01.90.01.02.02</t>
  </si>
  <si>
    <t>A01.90.01.03</t>
  </si>
  <si>
    <t>A01.90.01.03.01</t>
  </si>
  <si>
    <t>A01.90.01.03.01.001</t>
  </si>
  <si>
    <t>A01.90.01.03.01.002</t>
  </si>
  <si>
    <t>A01.90.01.03.02</t>
  </si>
  <si>
    <t>A01.90.01.03.03</t>
  </si>
  <si>
    <t>A01.90.01.03.04</t>
  </si>
  <si>
    <t>A01.90.01.04</t>
  </si>
  <si>
    <t>A01.90.01.05</t>
  </si>
  <si>
    <t>A01.90.02</t>
  </si>
  <si>
    <t>A01.90.02.01</t>
  </si>
  <si>
    <t>A01.90.02.01.01</t>
  </si>
  <si>
    <t>A01.90.02.01.02</t>
  </si>
  <si>
    <t>A01.90.02.02</t>
  </si>
  <si>
    <t>A01.90.02.02.01</t>
  </si>
  <si>
    <t>A01.90.02.02.02</t>
  </si>
  <si>
    <t>A01.90.02.03</t>
  </si>
  <si>
    <t>A01.90.02.03.01</t>
  </si>
  <si>
    <t>A01.90.02.03.01.001</t>
  </si>
  <si>
    <t>A01.90.02.03.01.002</t>
  </si>
  <si>
    <t>A01.90.02.03.02</t>
  </si>
  <si>
    <t>A01.90.02.03.03</t>
  </si>
  <si>
    <t>A01.90.02.03.04</t>
  </si>
  <si>
    <t>A01.90.02.04</t>
  </si>
  <si>
    <t>A01.90.02.05</t>
  </si>
  <si>
    <t>A01.91</t>
  </si>
  <si>
    <t>A01.91.01</t>
  </si>
  <si>
    <t>A01.91.01.01</t>
  </si>
  <si>
    <t>A01.91.01.01.001</t>
  </si>
  <si>
    <t>A01.91.01.01.002</t>
  </si>
  <si>
    <t>A01.91.01.01.003</t>
  </si>
  <si>
    <t>A01.91.01.01.004</t>
  </si>
  <si>
    <t>A01.91.01.02</t>
  </si>
  <si>
    <t>A01.91.01.02.101</t>
  </si>
  <si>
    <t>A01.91.01.02.001</t>
  </si>
  <si>
    <t>A01.91.01.02.002</t>
  </si>
  <si>
    <t>A01.91.01.02.005</t>
  </si>
  <si>
    <t>A01.91.01.02.006</t>
  </si>
  <si>
    <t>A01.91.01.02.010</t>
  </si>
  <si>
    <t>A01.91.01.02.102</t>
  </si>
  <si>
    <t>A01.91.01.02.007</t>
  </si>
  <si>
    <t>A01.91.01.02.008</t>
  </si>
  <si>
    <t>A01.91.01.02.011</t>
  </si>
  <si>
    <t>A01.91.01.02.103</t>
  </si>
  <si>
    <t>A01.91.01.02.003</t>
  </si>
  <si>
    <t>A01.91.01.02.004</t>
  </si>
  <si>
    <t>A01.91.01.02.009</t>
  </si>
  <si>
    <t>A01.91.01.03</t>
  </si>
  <si>
    <t>A01.91.01.03.001</t>
  </si>
  <si>
    <t>A01.91.01.03.002</t>
  </si>
  <si>
    <t>A01.91.01.03.003</t>
  </si>
  <si>
    <t>A02.01</t>
  </si>
  <si>
    <t>A02.01.01</t>
  </si>
  <si>
    <t>A02.01.01.01</t>
  </si>
  <si>
    <t>A02.01.01.02</t>
  </si>
  <si>
    <t>A02.01.02</t>
  </si>
  <si>
    <t>A02.01.03</t>
  </si>
  <si>
    <t>A02.02</t>
  </si>
  <si>
    <t>A02.03</t>
  </si>
  <si>
    <t>A02.04</t>
  </si>
  <si>
    <t>A02.05</t>
  </si>
  <si>
    <t>A02.05.01</t>
  </si>
  <si>
    <t>A02.05.01.01</t>
  </si>
  <si>
    <t>A02.05.01.02</t>
  </si>
  <si>
    <t>A02.05.02</t>
  </si>
  <si>
    <t>A02.05.02.01</t>
  </si>
  <si>
    <t>A02.05.02.02</t>
  </si>
  <si>
    <t>A02.05.03</t>
  </si>
  <si>
    <t>A02.05.03.01</t>
  </si>
  <si>
    <t>A02.05.03.01.01</t>
  </si>
  <si>
    <t>A02.05.03.01.02</t>
  </si>
  <si>
    <t>A02.05.03.02</t>
  </si>
  <si>
    <t>A02.05.03.03</t>
  </si>
  <si>
    <t>A02.05.03.04</t>
  </si>
  <si>
    <t>A02.05.04</t>
  </si>
  <si>
    <t>A02.05.05</t>
  </si>
  <si>
    <t>A02.06</t>
  </si>
  <si>
    <t>A02.07</t>
  </si>
  <si>
    <t>A02.08</t>
  </si>
  <si>
    <t>A02.09</t>
  </si>
  <si>
    <t>A02.12</t>
  </si>
  <si>
    <t>A02.12.01</t>
  </si>
  <si>
    <t>零钱+</t>
  </si>
  <si>
    <t>A02.12.01.01</t>
  </si>
  <si>
    <t>经营部分</t>
  </si>
  <si>
    <t>A02.17.01.01.04</t>
  </si>
  <si>
    <t>流动性专项备付</t>
  </si>
  <si>
    <t>A02.12.02</t>
  </si>
  <si>
    <t>零钱通</t>
  </si>
  <si>
    <t>A02.12.03</t>
  </si>
  <si>
    <t>A02.12.04</t>
  </si>
  <si>
    <t>A02.13</t>
  </si>
  <si>
    <t>A02.13.01</t>
  </si>
  <si>
    <t>A02.13.01.01</t>
  </si>
  <si>
    <t>A02.13.01.02</t>
  </si>
  <si>
    <t>A02.13.02</t>
  </si>
  <si>
    <t>A02.13.03</t>
  </si>
  <si>
    <t>A02.13.04</t>
  </si>
  <si>
    <t>A02.24</t>
  </si>
  <si>
    <t>A02.24.01</t>
  </si>
  <si>
    <t>A02.25</t>
  </si>
  <si>
    <t>A02.25.01</t>
  </si>
  <si>
    <t>A02.26</t>
  </si>
  <si>
    <t>A02.26.02</t>
  </si>
  <si>
    <t>A02.27</t>
  </si>
  <si>
    <t>A02.27.02</t>
  </si>
  <si>
    <t>A02.14</t>
  </si>
  <si>
    <t>A02.14.02</t>
  </si>
  <si>
    <t>A02.14.02.02</t>
  </si>
  <si>
    <t>A02.14.02.02.01</t>
  </si>
  <si>
    <t>A02.15</t>
  </si>
  <si>
    <t>A02.15.02</t>
  </si>
  <si>
    <t>A02.15.02.02</t>
  </si>
  <si>
    <t>A02.15.02.02.01</t>
  </si>
  <si>
    <t>A02.15.99</t>
  </si>
  <si>
    <t>A02.15.99.01</t>
  </si>
  <si>
    <t>商户结算便利服务FTP成本</t>
  </si>
  <si>
    <t>A02.15.99.02</t>
  </si>
  <si>
    <t>数字人民FTP成本</t>
  </si>
  <si>
    <t>A02.16</t>
  </si>
  <si>
    <t>A02.16.01</t>
  </si>
  <si>
    <t>A02.16.01.01</t>
  </si>
  <si>
    <t>零钱+利息支出</t>
  </si>
  <si>
    <t>A02.16.01.01.01</t>
  </si>
  <si>
    <t>零钱+付息率</t>
  </si>
  <si>
    <t>A02.16.01.01.02</t>
  </si>
  <si>
    <t>零钱+腾讯渠道费</t>
  </si>
  <si>
    <t>A02.16.01.01.02.01</t>
  </si>
  <si>
    <t>零钱+腾讯渠道费率</t>
  </si>
  <si>
    <t>A02.16.01.01.03</t>
  </si>
  <si>
    <t>零钱+对客利息支出</t>
  </si>
  <si>
    <t>A02.16.01.01.03.01</t>
  </si>
  <si>
    <t>零钱+对客付息率</t>
  </si>
  <si>
    <t>A02.16.01.01.04</t>
  </si>
  <si>
    <t>经营部分利息支出</t>
  </si>
  <si>
    <t>A02.16.01.01.04.01</t>
  </si>
  <si>
    <t>经营部分付息率</t>
  </si>
  <si>
    <t>A02.16.01.01.04.02</t>
  </si>
  <si>
    <t>经营部分对客利息支出</t>
  </si>
  <si>
    <t>A02.16.01.01.04.03</t>
  </si>
  <si>
    <t>经营部分对客付息率</t>
  </si>
  <si>
    <t>A02.16.01.01.04.04</t>
  </si>
  <si>
    <t>经营部分腾讯渠道费</t>
  </si>
  <si>
    <t>A02.16.01.01.04.05</t>
  </si>
  <si>
    <t>经营部分腾讯渠道费率</t>
  </si>
  <si>
    <t>A02.16.01.01.05</t>
  </si>
  <si>
    <t>流动性专项备付利息支出</t>
  </si>
  <si>
    <t>A02.16.01.01.05.01</t>
  </si>
  <si>
    <t>专项备付付息率</t>
  </si>
  <si>
    <t>A02.16.01.01.05.02</t>
  </si>
  <si>
    <t>专项备付对客利息支出</t>
  </si>
  <si>
    <t>A02.16.01.01.05.03</t>
  </si>
  <si>
    <t>专项备付对客付息率</t>
  </si>
  <si>
    <t>A02.16.01.01.05.04</t>
  </si>
  <si>
    <t>专项备付腾讯渠道费</t>
  </si>
  <si>
    <t>A02.16.01.01.05.05</t>
  </si>
  <si>
    <t>专项备付腾讯渠道费率</t>
  </si>
  <si>
    <t>A02.16.01.02</t>
  </si>
  <si>
    <t>WE卡存款利息支出</t>
  </si>
  <si>
    <t>A02.16.01.02.01</t>
  </si>
  <si>
    <t>WE卡存款余额</t>
  </si>
  <si>
    <t>A02.16.01.02.02</t>
  </si>
  <si>
    <t>WE卡存款日均</t>
  </si>
  <si>
    <t>A02.16.01.02.03</t>
  </si>
  <si>
    <t>WE卡存款付息率</t>
  </si>
  <si>
    <t>A02.16.01.03</t>
  </si>
  <si>
    <t>数字人民币存款利息支出</t>
  </si>
  <si>
    <t>A02.16.01.03.01</t>
  </si>
  <si>
    <t>数字人民存款币余额</t>
  </si>
  <si>
    <t>A02.16.01.03.02</t>
  </si>
  <si>
    <t>数字人民币存款日均</t>
  </si>
  <si>
    <t>A02.16.01.03.03</t>
  </si>
  <si>
    <t>数字人民币存款付息率</t>
  </si>
  <si>
    <t>A02.16.02</t>
  </si>
  <si>
    <t>A02.16.02.02</t>
  </si>
  <si>
    <t>A02.16.02.02.01</t>
  </si>
  <si>
    <t>A02.17</t>
  </si>
  <si>
    <t>A02.17.01</t>
  </si>
  <si>
    <t>A02.17.01.01</t>
  </si>
  <si>
    <t>零钱+FTP收入</t>
  </si>
  <si>
    <t>A02.17.01.01.01</t>
  </si>
  <si>
    <t>零钱+FTP</t>
  </si>
  <si>
    <t>A02.17.01.01.02</t>
  </si>
  <si>
    <t>零钱+FTP点差</t>
  </si>
  <si>
    <t>A02.17.01.01.03</t>
  </si>
  <si>
    <t>经营部分FTP收入</t>
  </si>
  <si>
    <t>A02.17.01.01.03.01</t>
  </si>
  <si>
    <t>经营部分FTP</t>
  </si>
  <si>
    <t>A02.17.01.01.03.02</t>
  </si>
  <si>
    <t>经营部分FTP点差</t>
  </si>
  <si>
    <t>A02.17.01.01.04.01</t>
  </si>
  <si>
    <t>专项备付FTP</t>
  </si>
  <si>
    <t>A02.17.01.01.04.02</t>
  </si>
  <si>
    <t>专项备付FTP点差</t>
  </si>
  <si>
    <t>A02.17.01.02</t>
  </si>
  <si>
    <t>WE卡存款FTP收入</t>
  </si>
  <si>
    <t>A02.17.01.02.01</t>
  </si>
  <si>
    <t>WE卡存款FTP</t>
  </si>
  <si>
    <t>A02.17.01.03</t>
  </si>
  <si>
    <t>数字人民币存款FTP收入</t>
  </si>
  <si>
    <t>A02.17.01.03.01</t>
  </si>
  <si>
    <t>数字人民币存款FTP</t>
  </si>
  <si>
    <t>A02.17.02</t>
  </si>
  <si>
    <t>A02.17.02.02</t>
  </si>
  <si>
    <t>A02.17.02.02.01</t>
  </si>
  <si>
    <t>A02.17.99</t>
  </si>
  <si>
    <t>A02.17.99.01</t>
  </si>
  <si>
    <t>商户结算便利应付款FTP收入</t>
  </si>
  <si>
    <t>A02.17.99.01.01</t>
  </si>
  <si>
    <t>商户结算便利应付款FTP</t>
  </si>
  <si>
    <t>A02.17.99.02</t>
  </si>
  <si>
    <t>零钱通净申购款FTP收入</t>
  </si>
  <si>
    <t>A02.18</t>
  </si>
  <si>
    <t>A02.18.05</t>
  </si>
  <si>
    <t>零钱通收入</t>
  </si>
  <si>
    <t>A02.18.05.01</t>
  </si>
  <si>
    <t>零钱通收益率</t>
  </si>
  <si>
    <t>A02.18.99</t>
  </si>
  <si>
    <t>A02.19</t>
  </si>
  <si>
    <t>A02.19.10</t>
  </si>
  <si>
    <t>零钱通腾讯渠道费</t>
  </si>
  <si>
    <t>A02.19.10.01</t>
  </si>
  <si>
    <t>零钱通腾讯渠道费率</t>
  </si>
  <si>
    <t>A02.19.11</t>
  </si>
  <si>
    <t>商户结算便利应付款腾讯渠道费</t>
  </si>
  <si>
    <t>A02.19.99</t>
  </si>
  <si>
    <t>A02.20</t>
  </si>
  <si>
    <t>A02.21</t>
  </si>
  <si>
    <t>A02.99</t>
  </si>
  <si>
    <t>微账户参数</t>
  </si>
  <si>
    <t>A02.99.01</t>
  </si>
  <si>
    <t>A02.99.02</t>
  </si>
  <si>
    <t>各项贷款(不含票据)/微账户</t>
  </si>
  <si>
    <t>A02.99.03</t>
  </si>
  <si>
    <t>法定存款准备金率</t>
  </si>
  <si>
    <t>A02.99.04</t>
  </si>
  <si>
    <t>同业资产收益率(不含存放央行)</t>
  </si>
  <si>
    <t>A02.99.04.01</t>
  </si>
  <si>
    <t>同业利息收入</t>
  </si>
  <si>
    <t>A02.99.04.02</t>
  </si>
  <si>
    <t>同业日均规模</t>
  </si>
  <si>
    <t>A02.99.05</t>
  </si>
  <si>
    <t>存放同业比例</t>
  </si>
  <si>
    <t>A02.99.06</t>
  </si>
  <si>
    <t>存放同业利率</t>
  </si>
  <si>
    <t>A02.99.07</t>
  </si>
  <si>
    <t>微账户存款对客挂牌利率</t>
  </si>
  <si>
    <t>A02.99.08</t>
  </si>
  <si>
    <t>法定存款准备金利率</t>
  </si>
  <si>
    <t>A02.99.09</t>
  </si>
  <si>
    <t>超额存款准备金利率</t>
  </si>
  <si>
    <t>A02.90</t>
  </si>
  <si>
    <t>A02.90.01</t>
  </si>
  <si>
    <t>A02.90.01.01</t>
  </si>
  <si>
    <t>A02.90.01.01.01</t>
  </si>
  <si>
    <t>A02.90.01.01.02</t>
  </si>
  <si>
    <t>A02.90.01.02</t>
  </si>
  <si>
    <t>A02.90.01.02.01</t>
  </si>
  <si>
    <t>A02.90.01.02.02</t>
  </si>
  <si>
    <t>A02.90.01.03</t>
  </si>
  <si>
    <t>A02.90.01.03.01</t>
  </si>
  <si>
    <t>A02.90.01.03.01.001</t>
  </si>
  <si>
    <t>A02.90.01.03.01.002</t>
  </si>
  <si>
    <t>A02.90.01.03.02</t>
  </si>
  <si>
    <t>A02.90.01.03.03</t>
  </si>
  <si>
    <t>A02.90.01.03.04</t>
  </si>
  <si>
    <t>A02.90.01.04</t>
  </si>
  <si>
    <t>A02.90.01.05</t>
  </si>
  <si>
    <t>A02.90.02</t>
  </si>
  <si>
    <t>A02.90.02.01</t>
  </si>
  <si>
    <t>A02.90.02.01.01</t>
  </si>
  <si>
    <t>A02.90.02.01.02</t>
  </si>
  <si>
    <t>A02.90.02.02</t>
  </si>
  <si>
    <t>A02.90.02.02.01</t>
  </si>
  <si>
    <t>A02.90.02.02.02</t>
  </si>
  <si>
    <t>A02.90.02.03</t>
  </si>
  <si>
    <t>A02.90.02.03.01</t>
  </si>
  <si>
    <t>A02.90.02.03.01.001</t>
  </si>
  <si>
    <t>A02.90.02.03.01.002</t>
  </si>
  <si>
    <t>A02.90.02.03.02</t>
  </si>
  <si>
    <t>A02.90.02.03.03</t>
  </si>
  <si>
    <t>A02.90.02.03.04</t>
  </si>
  <si>
    <t>A02.90.02.04</t>
  </si>
  <si>
    <t>A02.90.02.05</t>
  </si>
  <si>
    <t>A02.91</t>
  </si>
  <si>
    <t>A02.91.01</t>
  </si>
  <si>
    <t>A02.91.01.01</t>
  </si>
  <si>
    <t>A02.91.01.01.001</t>
  </si>
  <si>
    <t>A02.91.01.01.002</t>
  </si>
  <si>
    <t>A02.91.01.01.003</t>
  </si>
  <si>
    <t>A02.91.01.01.004</t>
  </si>
  <si>
    <t>A02.91.01.02</t>
  </si>
  <si>
    <t>A02.91.01.02.101</t>
  </si>
  <si>
    <t>A02.91.01.02.001</t>
  </si>
  <si>
    <t>A02.91.01.02.002</t>
  </si>
  <si>
    <t>A02.91.01.02.005</t>
  </si>
  <si>
    <t>A02.91.01.02.006</t>
  </si>
  <si>
    <t>A02.91.01.02.010</t>
  </si>
  <si>
    <t>A02.91.01.02.102</t>
  </si>
  <si>
    <t>A02.91.01.02.007</t>
  </si>
  <si>
    <t>A02.91.01.02.008</t>
  </si>
  <si>
    <t>A02.91.01.02.011</t>
  </si>
  <si>
    <t>A02.91.01.02.103</t>
  </si>
  <si>
    <t>A02.91.01.02.003</t>
  </si>
  <si>
    <t>A02.91.01.02.004</t>
  </si>
  <si>
    <t>A02.91.01.02.009</t>
  </si>
  <si>
    <t>A02.91.01.03</t>
  </si>
  <si>
    <t>A02.91.01.03.001</t>
  </si>
  <si>
    <t>A02.91.01.03.002</t>
  </si>
  <si>
    <t>A02.91.01.03.003</t>
  </si>
  <si>
    <t>A03.01</t>
  </si>
  <si>
    <t>A03.01.01</t>
  </si>
  <si>
    <t>A03.01.01.01</t>
  </si>
  <si>
    <t>A03.01.01.02</t>
  </si>
  <si>
    <t>A03.01.02</t>
  </si>
  <si>
    <t>A03.01.03</t>
  </si>
  <si>
    <t>A03.02</t>
  </si>
  <si>
    <t>A03.03</t>
  </si>
  <si>
    <t>A03.04</t>
  </si>
  <si>
    <t>A03.05</t>
  </si>
  <si>
    <t>A03.05.01</t>
  </si>
  <si>
    <t>A03.05.01.01</t>
  </si>
  <si>
    <t>A03.05.01.02</t>
  </si>
  <si>
    <t>A03.05.02</t>
  </si>
  <si>
    <t>A03.05.02.01</t>
  </si>
  <si>
    <t>A03.05.02.02</t>
  </si>
  <si>
    <t>A03.05.03</t>
  </si>
  <si>
    <t>A03.05.03.01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</si>
  <si>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</si>
  <si>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</si>
  <si>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</si>
  <si>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</si>
  <si>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</si>
  <si>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</si>
  <si>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</si>
  <si>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</si>
  <si>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</si>
  <si>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A03.08</t>
  </si>
  <si>
    <t>A03.09</t>
  </si>
  <si>
    <t>A03.10</t>
  </si>
  <si>
    <t>管理贷款</t>
  </si>
  <si>
    <t>A03.10.01</t>
  </si>
  <si>
    <t>A03.10.01.01</t>
  </si>
  <si>
    <t>A03.10.02</t>
  </si>
  <si>
    <t>A03.10.03</t>
  </si>
  <si>
    <t>A03.11</t>
  </si>
  <si>
    <t>A03.11.01</t>
  </si>
  <si>
    <t>A03.11.01.01</t>
  </si>
  <si>
    <t>A03.11.02</t>
  </si>
  <si>
    <t>A03.11.03</t>
  </si>
  <si>
    <t>A03.12</t>
  </si>
  <si>
    <t>A03.12.01</t>
  </si>
  <si>
    <t>A03.13</t>
  </si>
  <si>
    <t>A03.13.01</t>
  </si>
  <si>
    <t>A03.26</t>
  </si>
  <si>
    <t>A03.26.02</t>
  </si>
  <si>
    <t>A03.27</t>
  </si>
  <si>
    <t>A03.27.02</t>
  </si>
  <si>
    <t>A03.14</t>
  </si>
  <si>
    <t>A03.14.01</t>
  </si>
  <si>
    <t>A03.14.01.01</t>
  </si>
  <si>
    <t>贷款收息率</t>
  </si>
  <si>
    <t>A03.15</t>
  </si>
  <si>
    <t>A03.15.01</t>
  </si>
  <si>
    <t>A03.15.01.01</t>
  </si>
  <si>
    <t>贷款FTP</t>
  </si>
  <si>
    <t>A03.15.99</t>
  </si>
  <si>
    <t>A03.15.99.01</t>
  </si>
  <si>
    <t>A03.16</t>
  </si>
  <si>
    <t>A03.16.01</t>
  </si>
  <si>
    <t>A03.16.01.01</t>
  </si>
  <si>
    <t>A03.16.02</t>
  </si>
  <si>
    <t>A03.16.02.02</t>
  </si>
  <si>
    <t>A03.16.02.02.01</t>
  </si>
  <si>
    <t>A03.17</t>
  </si>
  <si>
    <t>A03.17.01</t>
  </si>
  <si>
    <t>A03.17.01.01</t>
  </si>
  <si>
    <t>A03.17.02</t>
  </si>
  <si>
    <t>A03.17.02.02</t>
  </si>
  <si>
    <t>A03.17.02.02.01</t>
  </si>
  <si>
    <t>A03.17.99</t>
  </si>
  <si>
    <t>A03.17.99.01</t>
  </si>
  <si>
    <t>A03.17.99.01.01</t>
  </si>
  <si>
    <t>应付款余额</t>
  </si>
  <si>
    <t>A03.17.99.01.02</t>
  </si>
  <si>
    <t>应付款日均</t>
  </si>
  <si>
    <t>A03.17.99.01.03</t>
  </si>
  <si>
    <t>应付款FTP</t>
  </si>
  <si>
    <t>A03.18</t>
  </si>
  <si>
    <t>A03.18.01</t>
  </si>
  <si>
    <t>A03.18.01.01</t>
  </si>
  <si>
    <t>A03.18.07</t>
  </si>
  <si>
    <t>对公平台服务费收入</t>
  </si>
  <si>
    <t>A03.18.99</t>
  </si>
  <si>
    <t>A03.19</t>
  </si>
  <si>
    <t>A03.19.01</t>
  </si>
  <si>
    <t>A03.19.01.01</t>
  </si>
  <si>
    <t>A03.19.02</t>
  </si>
  <si>
    <t>A03.19.02.01</t>
  </si>
  <si>
    <t>A03.19.03</t>
  </si>
  <si>
    <t>A03.19.03.01</t>
  </si>
  <si>
    <t>A03.19.12</t>
  </si>
  <si>
    <t>A03.19.12.01</t>
  </si>
  <si>
    <t>自持渠道费</t>
  </si>
  <si>
    <t>A03.19.12.01.01</t>
  </si>
  <si>
    <t>自持渠道费率</t>
  </si>
  <si>
    <t>A03.19.99</t>
  </si>
  <si>
    <t>A03.20</t>
  </si>
  <si>
    <t>A03.21</t>
  </si>
  <si>
    <t>A03.90</t>
  </si>
  <si>
    <t>A03.90.01</t>
  </si>
  <si>
    <t>A03.90.01.01</t>
  </si>
  <si>
    <t>A03.90.01.01.01</t>
  </si>
  <si>
    <t>A03.90.01.01.02</t>
  </si>
  <si>
    <t>A03.90.01.02</t>
  </si>
  <si>
    <t>A03.90.01.02.01</t>
  </si>
  <si>
    <t>A03.90.01.02.02</t>
  </si>
  <si>
    <t>A03.90.01.03</t>
  </si>
  <si>
    <t>A03.90.01.03.01</t>
  </si>
  <si>
    <t>A03.90.01.03.01.001</t>
  </si>
  <si>
    <t>A03.90.01.03.01.002</t>
  </si>
  <si>
    <t>A03.90.01.03.02</t>
  </si>
  <si>
    <t>A03.90.01.03.03</t>
  </si>
  <si>
    <t>A03.90.01.03.04</t>
  </si>
  <si>
    <t>A03.90.01.04</t>
  </si>
  <si>
    <t>A03.90.01.05</t>
  </si>
  <si>
    <t>A03.90.02</t>
  </si>
  <si>
    <t>A03.90.02.01</t>
  </si>
  <si>
    <t>A03.90.02.01.01</t>
  </si>
  <si>
    <t>A03.90.02.01.02</t>
  </si>
  <si>
    <t>A03.90.02.02</t>
  </si>
  <si>
    <t>A03.90.02.02.01</t>
  </si>
  <si>
    <t>A03.90.02.02.02</t>
  </si>
  <si>
    <t>A03.90.02.03</t>
  </si>
  <si>
    <t>A03.90.02.03.01</t>
  </si>
  <si>
    <t>A03.90.02.03.01.001</t>
  </si>
  <si>
    <t>A03.90.02.03.01.002</t>
  </si>
  <si>
    <t>A03.90.02.03.02</t>
  </si>
  <si>
    <t>A03.90.02.03.03</t>
  </si>
  <si>
    <t>A03.90.02.03.04</t>
  </si>
  <si>
    <t>A03.90.02.04</t>
  </si>
  <si>
    <t>A03.90.02.05</t>
  </si>
  <si>
    <t>A03.91</t>
  </si>
  <si>
    <t>A03.91.01</t>
  </si>
  <si>
    <t>A03.91.01.01</t>
  </si>
  <si>
    <t>A03.91.01.01.001</t>
  </si>
  <si>
    <t>A03.91.01.01.002</t>
  </si>
  <si>
    <t>A03.91.01.01.003</t>
  </si>
  <si>
    <t>A03.91.01.01.004</t>
  </si>
  <si>
    <t>A03.91.01.02</t>
  </si>
  <si>
    <t>A03.91.01.02.101</t>
  </si>
  <si>
    <t>A03.91.01.02.001</t>
  </si>
  <si>
    <t>A03.91.01.02.002</t>
  </si>
  <si>
    <t>A03.91.01.02.005</t>
  </si>
  <si>
    <t>A03.91.01.02.006</t>
  </si>
  <si>
    <t>A03.91.01.02.010</t>
  </si>
  <si>
    <t>A03.91.01.02.102</t>
  </si>
  <si>
    <t>A03.91.01.02.007</t>
  </si>
  <si>
    <t>A03.91.01.02.008</t>
  </si>
  <si>
    <t>A03.91.01.02.011</t>
  </si>
  <si>
    <t>A03.91.01.02.103</t>
  </si>
  <si>
    <t>A03.91.01.02.003</t>
  </si>
  <si>
    <t>A03.91.01.02.004</t>
  </si>
  <si>
    <t>A03.91.01.02.009</t>
  </si>
  <si>
    <t>A03.91.01.03</t>
  </si>
  <si>
    <t>A03.91.01.03.001</t>
  </si>
  <si>
    <t>A03.91.01.03.002</t>
  </si>
  <si>
    <t>A03.91.01.03.003</t>
  </si>
  <si>
    <t>A04.01</t>
  </si>
  <si>
    <t>A04.01.01</t>
  </si>
  <si>
    <t>A04.01.01.01</t>
  </si>
  <si>
    <t>A04.01.01.02</t>
  </si>
  <si>
    <t>A04.01.02</t>
  </si>
  <si>
    <t>A04.01.03</t>
  </si>
  <si>
    <t>A04.02</t>
  </si>
  <si>
    <t>A04.03</t>
  </si>
  <si>
    <t>A04.04</t>
  </si>
  <si>
    <t>A04.05</t>
  </si>
  <si>
    <t>A04.05.01</t>
  </si>
  <si>
    <t>A04.05.01.01</t>
  </si>
  <si>
    <t>A04.05.01.02</t>
  </si>
  <si>
    <t>A04.05.02</t>
  </si>
  <si>
    <t>A04.05.02.01</t>
  </si>
  <si>
    <t>A04.05.02.02</t>
  </si>
  <si>
    <t>A04.05.03</t>
  </si>
  <si>
    <t>A04.05.03.01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</si>
  <si>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</si>
  <si>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</si>
  <si>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</si>
  <si>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</si>
  <si>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</si>
  <si>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</si>
  <si>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</si>
  <si>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</si>
  <si>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</si>
  <si>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A04.08</t>
  </si>
  <si>
    <t>A04.09</t>
  </si>
  <si>
    <t>A04.10</t>
  </si>
  <si>
    <t>A04.10.01</t>
  </si>
  <si>
    <t>A04.10.01.01</t>
  </si>
  <si>
    <t>A04.10.02</t>
  </si>
  <si>
    <t>A04.10.03</t>
  </si>
  <si>
    <t>A04.11</t>
  </si>
  <si>
    <t>A04.11.01</t>
  </si>
  <si>
    <t>A04.11.01.01</t>
  </si>
  <si>
    <t>A04.11.02</t>
  </si>
  <si>
    <t>A04.11.03</t>
  </si>
  <si>
    <t>A04.12</t>
  </si>
  <si>
    <t>A04.12.01</t>
  </si>
  <si>
    <t>财富存款</t>
  </si>
  <si>
    <t>A04.12.01.01</t>
  </si>
  <si>
    <t>活期</t>
  </si>
  <si>
    <t>A04.12.01.02</t>
  </si>
  <si>
    <t>定期</t>
  </si>
  <si>
    <t>A04.12.02</t>
  </si>
  <si>
    <t>财富代销</t>
  </si>
  <si>
    <t>A04.13</t>
  </si>
  <si>
    <t>A04.13.01</t>
  </si>
  <si>
    <t>A04.13.01.01</t>
  </si>
  <si>
    <t>A04.13.01.02</t>
  </si>
  <si>
    <t>A04.13.02</t>
  </si>
  <si>
    <t>A04.24</t>
  </si>
  <si>
    <t>A04.24.01</t>
  </si>
  <si>
    <t>A04.25</t>
  </si>
  <si>
    <t>A04.25.01</t>
  </si>
  <si>
    <t>A04.26</t>
  </si>
  <si>
    <t>A04.26.02</t>
  </si>
  <si>
    <t>A04.27</t>
  </si>
  <si>
    <t>A04.27.02</t>
  </si>
  <si>
    <t>A04.14</t>
  </si>
  <si>
    <t>A04.14.01</t>
  </si>
  <si>
    <t>A04.14.01.01</t>
  </si>
  <si>
    <t>A04.14.02</t>
  </si>
  <si>
    <t>A04.14.02.02</t>
  </si>
  <si>
    <t>A04.14.02.02.01</t>
  </si>
  <si>
    <t>A04.15</t>
  </si>
  <si>
    <t>A04.15.01</t>
  </si>
  <si>
    <t>A04.15.01.01</t>
  </si>
  <si>
    <t>A04.15.02</t>
  </si>
  <si>
    <t>A04.15.02.02</t>
  </si>
  <si>
    <t>A04.15.02.02.01</t>
  </si>
  <si>
    <t>A04.15.99</t>
  </si>
  <si>
    <t>A04.15.99.01</t>
  </si>
  <si>
    <t>A04.16</t>
  </si>
  <si>
    <t>A04.16.01</t>
  </si>
  <si>
    <t>A04.16.01.01</t>
  </si>
  <si>
    <t>A04.16.01.02</t>
  </si>
  <si>
    <t>个人活存利息支出</t>
  </si>
  <si>
    <t>A04.16.01.02.01</t>
  </si>
  <si>
    <t>个人活存付息率</t>
  </si>
  <si>
    <t>A04.16.01.03</t>
  </si>
  <si>
    <t>个人定存利息支出</t>
  </si>
  <si>
    <t>A04.16.01.03.01</t>
  </si>
  <si>
    <t>个人定存付息率</t>
  </si>
  <si>
    <t>A04.16.02</t>
  </si>
  <si>
    <t>A04.16.02.02</t>
  </si>
  <si>
    <t>A04.16.02.02.01</t>
  </si>
  <si>
    <t>A04.17</t>
  </si>
  <si>
    <t>A04.17.01</t>
  </si>
  <si>
    <t>A04.17.01.01</t>
  </si>
  <si>
    <t>A04.17.01.02</t>
  </si>
  <si>
    <t>个人活存FTP收入</t>
  </si>
  <si>
    <t>A04.17.01.02.01</t>
  </si>
  <si>
    <t>个人活存FTP</t>
  </si>
  <si>
    <t>A04.17.01.03</t>
  </si>
  <si>
    <t>个人定存FTP收入</t>
  </si>
  <si>
    <t>A04.17.01.03.01</t>
  </si>
  <si>
    <t>个人定存FTP</t>
  </si>
  <si>
    <t>A04.17.02</t>
  </si>
  <si>
    <t>A04.17.02.02</t>
  </si>
  <si>
    <t>A04.17.02.02.01</t>
  </si>
  <si>
    <t>A04.17.99</t>
  </si>
  <si>
    <t>A04.17.99.01</t>
  </si>
  <si>
    <t>A04.18</t>
  </si>
  <si>
    <t>A04.18.05</t>
  </si>
  <si>
    <t>代销手续费收入</t>
  </si>
  <si>
    <t>A04.18.05.01</t>
  </si>
  <si>
    <t>A04.18.99</t>
  </si>
  <si>
    <t>A04.19</t>
  </si>
  <si>
    <t>A04.19.03</t>
  </si>
  <si>
    <t>A04.19.03.01</t>
  </si>
  <si>
    <t>A04.19.15</t>
  </si>
  <si>
    <t>积分</t>
  </si>
  <si>
    <t>A04.19.15.01</t>
  </si>
  <si>
    <t>A04.19.99</t>
  </si>
  <si>
    <t>A04.20</t>
  </si>
  <si>
    <t>A04.21</t>
  </si>
  <si>
    <t>A04.90</t>
  </si>
  <si>
    <t>A04.90.01</t>
  </si>
  <si>
    <t>A04.90.01.01</t>
  </si>
  <si>
    <t>A04.90.01.01.01</t>
  </si>
  <si>
    <t>A04.90.01.01.02</t>
  </si>
  <si>
    <t>A04.90.01.02</t>
  </si>
  <si>
    <t>A04.90.01.02.01</t>
  </si>
  <si>
    <t>A04.90.01.02.02</t>
  </si>
  <si>
    <t>A04.90.01.03</t>
  </si>
  <si>
    <t>A04.90.01.03.01</t>
  </si>
  <si>
    <t>A04.90.01.03.01.001</t>
  </si>
  <si>
    <t>A04.90.01.03.01.002</t>
  </si>
  <si>
    <t>A04.90.01.03.02</t>
  </si>
  <si>
    <t>A04.90.01.03.03</t>
  </si>
  <si>
    <t>A04.90.01.03.04</t>
  </si>
  <si>
    <t>A04.90.01.04</t>
  </si>
  <si>
    <t>A04.90.01.05</t>
  </si>
  <si>
    <t>A04.90.02</t>
  </si>
  <si>
    <t>A04.90.02.01</t>
  </si>
  <si>
    <t>A04.90.02.01.01</t>
  </si>
  <si>
    <t>A04.90.02.01.02</t>
  </si>
  <si>
    <t>A04.90.02.02</t>
  </si>
  <si>
    <t>A04.90.02.02.01</t>
  </si>
  <si>
    <t>A04.90.02.02.02</t>
  </si>
  <si>
    <t>A04.90.02.03</t>
  </si>
  <si>
    <t>A04.90.02.03.01</t>
  </si>
  <si>
    <t>A04.90.02.03.01.001</t>
  </si>
  <si>
    <t>A04.90.02.03.01.002</t>
  </si>
  <si>
    <t>A04.90.02.03.02</t>
  </si>
  <si>
    <t>A04.90.02.03.03</t>
  </si>
  <si>
    <t>A04.90.02.03.04</t>
  </si>
  <si>
    <t>A04.90.02.04</t>
  </si>
  <si>
    <t>A04.90.02.05</t>
  </si>
  <si>
    <t>A04.91</t>
  </si>
  <si>
    <t>A04.91.01</t>
  </si>
  <si>
    <t>A04.91.01.01</t>
  </si>
  <si>
    <t>A04.91.01.01.001</t>
  </si>
  <si>
    <t>A04.91.01.01.002</t>
  </si>
  <si>
    <t>A04.91.01.01.003</t>
  </si>
  <si>
    <t>A04.91.01.01.004</t>
  </si>
  <si>
    <t>A04.91.01.02</t>
  </si>
  <si>
    <t>A04.91.01.02.101</t>
  </si>
  <si>
    <t>A04.91.01.02.001</t>
  </si>
  <si>
    <t>A04.91.01.02.002</t>
  </si>
  <si>
    <t>A04.91.01.02.005</t>
  </si>
  <si>
    <t>A04.91.01.02.006</t>
  </si>
  <si>
    <t>A04.91.01.02.010</t>
  </si>
  <si>
    <t>A04.91.01.02.102</t>
  </si>
  <si>
    <t>A04.91.01.02.007</t>
  </si>
  <si>
    <t>A04.91.01.02.008</t>
  </si>
  <si>
    <t>A04.91.01.02.011</t>
  </si>
  <si>
    <t>A04.91.01.02.103</t>
  </si>
  <si>
    <t>A04.91.01.02.003</t>
  </si>
  <si>
    <t>A04.91.01.02.004</t>
  </si>
  <si>
    <t>A04.91.01.02.009</t>
  </si>
  <si>
    <t>A04.91.01.03</t>
  </si>
  <si>
    <t>A04.91.01.03.001</t>
  </si>
  <si>
    <t>A04.91.01.03.002</t>
  </si>
  <si>
    <t>A04.91.01.03.003</t>
  </si>
  <si>
    <t>A05.01</t>
  </si>
  <si>
    <t>A05.01.01</t>
  </si>
  <si>
    <t>A05.01.01.01</t>
  </si>
  <si>
    <t>A05.01.01.02</t>
  </si>
  <si>
    <t>A05.01.02</t>
  </si>
  <si>
    <t>A05.01.03</t>
  </si>
  <si>
    <t>A05.02</t>
  </si>
  <si>
    <t>A05.03</t>
  </si>
  <si>
    <t>A05.04</t>
  </si>
  <si>
    <t>A05.05</t>
  </si>
  <si>
    <t>A05.05.01</t>
  </si>
  <si>
    <t>A05.05.01.01</t>
  </si>
  <si>
    <t>A05.05.01.02</t>
  </si>
  <si>
    <t>A05.05.02</t>
  </si>
  <si>
    <t>A05.05.02.01</t>
  </si>
  <si>
    <t>A05.05.02.02</t>
  </si>
  <si>
    <t>A05.05.03</t>
  </si>
  <si>
    <t>A05.05.03.01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</si>
  <si>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</si>
  <si>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</si>
  <si>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</si>
  <si>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</si>
  <si>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</si>
  <si>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</si>
  <si>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</si>
  <si>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</si>
  <si>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</si>
  <si>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A05.08</t>
  </si>
  <si>
    <t>A05.09</t>
  </si>
  <si>
    <t>A05.10</t>
  </si>
  <si>
    <t>A05.10.01</t>
  </si>
  <si>
    <t>A05.10.01.01</t>
  </si>
  <si>
    <t>A05.10.02</t>
  </si>
  <si>
    <t>A05.10.03</t>
  </si>
  <si>
    <t>A05.11</t>
  </si>
  <si>
    <t>A05.11.01</t>
  </si>
  <si>
    <t>A05.11.01.01</t>
  </si>
  <si>
    <t>A05.11.02</t>
  </si>
  <si>
    <t>A05.11.03</t>
  </si>
  <si>
    <t>A05.12</t>
  </si>
  <si>
    <t>A05.12.01</t>
  </si>
  <si>
    <t>A05.13</t>
  </si>
  <si>
    <t>A05.13.01</t>
  </si>
  <si>
    <t>A05.14</t>
  </si>
  <si>
    <t>A05.14.01</t>
  </si>
  <si>
    <t>A05.14.01.01</t>
  </si>
  <si>
    <t>A05.15</t>
  </si>
  <si>
    <t>A05.15.01</t>
  </si>
  <si>
    <t>A05.15.01.01</t>
  </si>
  <si>
    <t>A05.15.99</t>
  </si>
  <si>
    <t>A05.15.99.01</t>
  </si>
  <si>
    <t>A05.16</t>
  </si>
  <si>
    <t>A05.16.01</t>
  </si>
  <si>
    <t>A05.16.01.01</t>
  </si>
  <si>
    <t>A05.17</t>
  </si>
  <si>
    <t>A05.17.01</t>
  </si>
  <si>
    <t>A05.17.01.01</t>
  </si>
  <si>
    <t>A05.18</t>
  </si>
  <si>
    <t>A05.18.99</t>
  </si>
  <si>
    <t>A05.19</t>
  </si>
  <si>
    <t>A05.19.01</t>
  </si>
  <si>
    <t>A05.19.01.01</t>
  </si>
  <si>
    <t>A05.19.02</t>
  </si>
  <si>
    <t>A05.19.02.01</t>
  </si>
  <si>
    <t>A05.19.03</t>
  </si>
  <si>
    <t>A05.19.03.01</t>
  </si>
  <si>
    <t>A05.19.13</t>
  </si>
  <si>
    <t>A05.19.13.01</t>
  </si>
  <si>
    <t>A05.19.99</t>
  </si>
  <si>
    <t>A05.20</t>
  </si>
  <si>
    <t>A05.21</t>
  </si>
  <si>
    <t>A05.90</t>
  </si>
  <si>
    <t>A05.90.01</t>
  </si>
  <si>
    <t>A05.90.01.01</t>
  </si>
  <si>
    <t>A05.90.01.01.01</t>
  </si>
  <si>
    <t>A05.90.01.01.02</t>
  </si>
  <si>
    <t>A05.90.01.02</t>
  </si>
  <si>
    <t>A05.90.01.02.01</t>
  </si>
  <si>
    <t>A05.90.01.02.02</t>
  </si>
  <si>
    <t>A05.90.01.03</t>
  </si>
  <si>
    <t>A05.90.01.03.01</t>
  </si>
  <si>
    <t>A05.90.01.03.01.001</t>
  </si>
  <si>
    <t>A05.90.01.03.01.002</t>
  </si>
  <si>
    <t>A05.90.01.03.02</t>
  </si>
  <si>
    <t>A05.90.01.03.03</t>
  </si>
  <si>
    <t>A05.90.01.03.04</t>
  </si>
  <si>
    <t>A05.90.01.04</t>
  </si>
  <si>
    <t>A05.90.01.05</t>
  </si>
  <si>
    <t>A05.90.02</t>
  </si>
  <si>
    <t>A05.90.02.01</t>
  </si>
  <si>
    <t>A05.90.02.01.01</t>
  </si>
  <si>
    <t>A05.90.02.01.02</t>
  </si>
  <si>
    <t>A05.90.02.02</t>
  </si>
  <si>
    <t>A05.90.02.02.01</t>
  </si>
  <si>
    <t>A05.90.02.02.02</t>
  </si>
  <si>
    <t>A05.90.02.03</t>
  </si>
  <si>
    <t>A05.90.02.03.01</t>
  </si>
  <si>
    <t>A05.90.02.03.01.001</t>
  </si>
  <si>
    <t>A05.90.02.03.01.002</t>
  </si>
  <si>
    <t>A05.90.02.03.02</t>
  </si>
  <si>
    <t>A05.90.02.03.03</t>
  </si>
  <si>
    <t>A05.90.02.03.04</t>
  </si>
  <si>
    <t>A05.90.02.04</t>
  </si>
  <si>
    <t>A05.90.02.05</t>
  </si>
  <si>
    <t>A05.91</t>
  </si>
  <si>
    <t>A05.91.01</t>
  </si>
  <si>
    <t>A05.91.01.01</t>
  </si>
  <si>
    <t>A05.91.01.01.001</t>
  </si>
  <si>
    <t>A05.91.01.01.002</t>
  </si>
  <si>
    <t>A05.91.01.01.003</t>
  </si>
  <si>
    <t>A05.91.01.01.004</t>
  </si>
  <si>
    <t>A05.91.01.02</t>
  </si>
  <si>
    <t>A05.91.01.02.101</t>
  </si>
  <si>
    <t>A05.91.01.02.001</t>
  </si>
  <si>
    <t>A05.91.01.02.002</t>
  </si>
  <si>
    <t>A05.91.01.02.005</t>
  </si>
  <si>
    <t>A05.91.01.02.006</t>
  </si>
  <si>
    <t>A05.91.01.02.010</t>
  </si>
  <si>
    <t>A05.91.01.02.102</t>
  </si>
  <si>
    <t>A05.91.01.02.007</t>
  </si>
  <si>
    <t>A05.91.01.02.008</t>
  </si>
  <si>
    <t>A05.91.01.02.011</t>
  </si>
  <si>
    <t>A05.91.01.02.103</t>
  </si>
  <si>
    <t>A05.91.01.02.003</t>
  </si>
  <si>
    <t>A05.91.01.02.004</t>
  </si>
  <si>
    <t>A05.91.01.02.009</t>
  </si>
  <si>
    <t>A05.91.01.03</t>
  </si>
  <si>
    <t>A05.91.01.03.001</t>
  </si>
  <si>
    <t>A05.91.01.03.002</t>
  </si>
  <si>
    <t>A05.91.01.03.003</t>
  </si>
  <si>
    <t>B.01</t>
  </si>
  <si>
    <t>B.01.01</t>
  </si>
  <si>
    <t>B.01.01.01</t>
  </si>
  <si>
    <t>B.14</t>
  </si>
  <si>
    <t>B.15</t>
  </si>
  <si>
    <t>B.01.01.02</t>
  </si>
  <si>
    <t>B.16</t>
  </si>
  <si>
    <t>B.17</t>
  </si>
  <si>
    <t>B.01.02</t>
  </si>
  <si>
    <t>B.18</t>
  </si>
  <si>
    <t>B.19</t>
  </si>
  <si>
    <t>B.01.03</t>
  </si>
  <si>
    <t>B.02</t>
  </si>
  <si>
    <t>B.03</t>
  </si>
  <si>
    <t>B.04</t>
  </si>
  <si>
    <t>B.05</t>
  </si>
  <si>
    <t>B.05.01</t>
  </si>
  <si>
    <t>B.05.01.01</t>
  </si>
  <si>
    <t>B.05.01.02</t>
  </si>
  <si>
    <t>B.05.02</t>
  </si>
  <si>
    <t>B.05.02.01</t>
  </si>
  <si>
    <t>B.05.02.02</t>
  </si>
  <si>
    <t>B.05.03</t>
  </si>
  <si>
    <t>B.05.03.01</t>
  </si>
  <si>
    <t>B.05.03.01.01</t>
  </si>
  <si>
    <t>B.05.03.01.02</t>
  </si>
  <si>
    <t>B.05.03.02</t>
  </si>
  <si>
    <t>B.05.03.03</t>
  </si>
  <si>
    <t>B.05.03.04</t>
  </si>
  <si>
    <t>B.05.04</t>
  </si>
  <si>
    <t>B.05.05</t>
  </si>
  <si>
    <t>B.06</t>
  </si>
  <si>
    <t>B.07</t>
  </si>
  <si>
    <t>B.08</t>
  </si>
  <si>
    <t>B.09</t>
  </si>
  <si>
    <t>B.10</t>
  </si>
  <si>
    <t>B.10.01</t>
  </si>
  <si>
    <t>B.10.01.01</t>
  </si>
  <si>
    <t>B.10.01.02</t>
  </si>
  <si>
    <t>B.10.02</t>
  </si>
  <si>
    <t>B.10.03</t>
  </si>
  <si>
    <t>B.10.04</t>
  </si>
  <si>
    <t>B.11</t>
  </si>
  <si>
    <t>B.11.01</t>
  </si>
  <si>
    <t>B.11.01.01</t>
  </si>
  <si>
    <t>B.11.01.02</t>
  </si>
  <si>
    <t>B.11.02</t>
  </si>
  <si>
    <t>B.11.03</t>
  </si>
  <si>
    <t>B.11.04</t>
  </si>
  <si>
    <t>B.12</t>
  </si>
  <si>
    <t>B.12.01</t>
  </si>
  <si>
    <t>B.12.02</t>
  </si>
  <si>
    <t>B.13</t>
  </si>
  <si>
    <t>B.13.01</t>
  </si>
  <si>
    <t>B.13.02</t>
  </si>
  <si>
    <t>B.90</t>
  </si>
  <si>
    <t>B.90.01</t>
  </si>
  <si>
    <t>B.90.01.01</t>
  </si>
  <si>
    <t>B.90.01.01.01</t>
  </si>
  <si>
    <t>B.90.01.01.02</t>
  </si>
  <si>
    <t>B.90.01.02</t>
  </si>
  <si>
    <t>B.90.01.02.01</t>
  </si>
  <si>
    <t>B.90.01.02.02</t>
  </si>
  <si>
    <t>B.90.01.03</t>
  </si>
  <si>
    <t>B.90.01.03.01</t>
  </si>
  <si>
    <t>B.90.01.03.01.001</t>
  </si>
  <si>
    <t>B.90.01.03.01.002</t>
  </si>
  <si>
    <t>B.90.01.03.02</t>
  </si>
  <si>
    <t>B.90.01.03.03</t>
  </si>
  <si>
    <t>B.90.01.03.04</t>
  </si>
  <si>
    <t>B.90.01.04</t>
  </si>
  <si>
    <t>B.90.01.05</t>
  </si>
  <si>
    <t>B.90.02</t>
  </si>
  <si>
    <t>B.90.02.01</t>
  </si>
  <si>
    <t>B.90.02.01.01</t>
  </si>
  <si>
    <t>B.90.02.01.02</t>
  </si>
  <si>
    <t>B.90.02.02</t>
  </si>
  <si>
    <t>B.90.02.02.01</t>
  </si>
  <si>
    <t>B.90.02.02.02</t>
  </si>
  <si>
    <t>B.90.02.03</t>
  </si>
  <si>
    <t>B.90.02.03.01</t>
  </si>
  <si>
    <t>B.90.02.03.01.001</t>
  </si>
  <si>
    <t>B.90.02.03.01.002</t>
  </si>
  <si>
    <t>B.90.02.03.02</t>
  </si>
  <si>
    <t>B.90.02.03.03</t>
  </si>
  <si>
    <t>B.90.02.03.04</t>
  </si>
  <si>
    <t>B.90.02.04</t>
  </si>
  <si>
    <t>B.90.02.05</t>
  </si>
  <si>
    <t>B.91</t>
  </si>
  <si>
    <t>B.91.01</t>
  </si>
  <si>
    <t>B.91.01.01</t>
  </si>
  <si>
    <t>B.91.01.01.001</t>
  </si>
  <si>
    <t>B.91.01.01.002</t>
  </si>
  <si>
    <t>B.91.01.01.003</t>
  </si>
  <si>
    <t>B.91.01.01.004</t>
  </si>
  <si>
    <t>B.91.01.02</t>
  </si>
  <si>
    <t>B.91.01.02.101</t>
  </si>
  <si>
    <t>B.91.01.02.001</t>
  </si>
  <si>
    <t>B.91.01.02.002</t>
  </si>
  <si>
    <t>B.91.01.02.005</t>
  </si>
  <si>
    <t>B.91.01.02.006</t>
  </si>
  <si>
    <t>B.91.01.02.010</t>
  </si>
  <si>
    <t>B.91.01.02.102</t>
  </si>
  <si>
    <t>B.91.01.02.007</t>
  </si>
  <si>
    <t>B.91.01.02.008</t>
  </si>
  <si>
    <t>B.91.01.02.011</t>
  </si>
  <si>
    <t>B.91.01.02.103</t>
  </si>
  <si>
    <t>B.91.01.02.003</t>
  </si>
  <si>
    <t>B.91.01.02.004</t>
  </si>
  <si>
    <t>B.91.01.02.009</t>
  </si>
  <si>
    <t>B.91.01.03</t>
  </si>
  <si>
    <t>B.91.01.03.001</t>
  </si>
  <si>
    <t>B.91.01.03.002</t>
  </si>
  <si>
    <t>B.91.01.03.003</t>
  </si>
  <si>
    <t>B02.01</t>
  </si>
  <si>
    <t>B02.01.01</t>
  </si>
  <si>
    <t>B02.01.01.01</t>
  </si>
  <si>
    <t>B02.01.01.02</t>
  </si>
  <si>
    <t>B02.01.02</t>
  </si>
  <si>
    <t>B02.01.03</t>
  </si>
  <si>
    <t>B02.02</t>
  </si>
  <si>
    <t>B02.03</t>
  </si>
  <si>
    <t>B02.04</t>
  </si>
  <si>
    <t>B02.05</t>
  </si>
  <si>
    <t>B02.05.01</t>
  </si>
  <si>
    <t>B02.05.01.01</t>
  </si>
  <si>
    <t>B02.05.01.02</t>
  </si>
  <si>
    <t>B02.05.02</t>
  </si>
  <si>
    <t>B02.05.02.01</t>
  </si>
  <si>
    <t>B02.05.02.02</t>
  </si>
  <si>
    <t>B02.05.03</t>
  </si>
  <si>
    <t>B02.05.03.01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</si>
  <si>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</si>
  <si>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</si>
  <si>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</si>
  <si>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</si>
  <si>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</si>
  <si>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</si>
  <si>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</si>
  <si>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</si>
  <si>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</si>
  <si>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B02.08</t>
  </si>
  <si>
    <t>B02.09</t>
  </si>
  <si>
    <t>B02.10</t>
  </si>
  <si>
    <t>B02.10.01</t>
  </si>
  <si>
    <t>B02.10.01.02</t>
  </si>
  <si>
    <t>B02.11</t>
  </si>
  <si>
    <t>B02.11.01</t>
  </si>
  <si>
    <t>B02.11.01.02</t>
  </si>
  <si>
    <t>B02.22</t>
  </si>
  <si>
    <t>存放央行余额</t>
  </si>
  <si>
    <t>B02.22.01</t>
  </si>
  <si>
    <t>法准</t>
  </si>
  <si>
    <t>B02.22.02</t>
  </si>
  <si>
    <t>超备</t>
  </si>
  <si>
    <t>B02.23</t>
  </si>
  <si>
    <t>存放央行日均</t>
  </si>
  <si>
    <t>B02.23.01</t>
  </si>
  <si>
    <t>B02.23.02</t>
  </si>
  <si>
    <t>B02.24</t>
  </si>
  <si>
    <t>B02.24.01</t>
  </si>
  <si>
    <t>B02.24.02</t>
  </si>
  <si>
    <t>B02.24.03</t>
  </si>
  <si>
    <t>B02.24.04</t>
  </si>
  <si>
    <t>B02.24.04.01</t>
  </si>
  <si>
    <t>利率债</t>
  </si>
  <si>
    <t>B02.24.04.01.01</t>
  </si>
  <si>
    <t>AC和OCI</t>
  </si>
  <si>
    <t>B02.24.04.01.02</t>
  </si>
  <si>
    <t>PL</t>
  </si>
  <si>
    <t>B02.24.04.02</t>
  </si>
  <si>
    <t>国债</t>
  </si>
  <si>
    <t>B02.24.04.03</t>
  </si>
  <si>
    <t>政金债</t>
  </si>
  <si>
    <t>B02.24.04.04</t>
  </si>
  <si>
    <t>地方债</t>
  </si>
  <si>
    <t>B02.24.04.05</t>
  </si>
  <si>
    <t>铁道债</t>
  </si>
  <si>
    <t>B02.24.04.06</t>
  </si>
  <si>
    <t>银行债</t>
  </si>
  <si>
    <t>B02.24.04.07</t>
  </si>
  <si>
    <t>非银债</t>
  </si>
  <si>
    <t>B02.24.04.08</t>
  </si>
  <si>
    <t>信用债</t>
  </si>
  <si>
    <t>B02.24.04.08.01</t>
  </si>
  <si>
    <t>B02.24.04.08.02</t>
  </si>
  <si>
    <t>B02.24.04.09</t>
  </si>
  <si>
    <t>B02.24.04.10</t>
  </si>
  <si>
    <t>二级资本债</t>
  </si>
  <si>
    <t>B02.24.05</t>
  </si>
  <si>
    <t>B02.24.05.01</t>
  </si>
  <si>
    <t>B02.24.05.02</t>
  </si>
  <si>
    <t>B02.24.06</t>
  </si>
  <si>
    <t>基金投资</t>
  </si>
  <si>
    <t>B02.24.06.01</t>
  </si>
  <si>
    <t>货基</t>
  </si>
  <si>
    <t>B02.24.06.02</t>
  </si>
  <si>
    <t>债基</t>
  </si>
  <si>
    <t>B02.25</t>
  </si>
  <si>
    <t>B02.25.01</t>
  </si>
  <si>
    <t>B02.25.02</t>
  </si>
  <si>
    <t>B02.25.03</t>
  </si>
  <si>
    <t>B02.25.04</t>
  </si>
  <si>
    <t>B02.25.04.01</t>
  </si>
  <si>
    <t>B02.25.04.02</t>
  </si>
  <si>
    <t>B02.25.04.03</t>
  </si>
  <si>
    <t>B02.25.04.04</t>
  </si>
  <si>
    <t>B02.25.04.05</t>
  </si>
  <si>
    <t>B02.25.04.06</t>
  </si>
  <si>
    <t>B02.25.04.07</t>
  </si>
  <si>
    <t>B02.25.04.08</t>
  </si>
  <si>
    <t>B02.25.04.09</t>
  </si>
  <si>
    <t>B02.25.04.10</t>
  </si>
  <si>
    <t>B02.25.05</t>
  </si>
  <si>
    <t>B02.25.06</t>
  </si>
  <si>
    <t>B02.25.06.01</t>
  </si>
  <si>
    <t>B02.25.06.02</t>
  </si>
  <si>
    <t>B02.25.07</t>
  </si>
  <si>
    <t>其他PL资产</t>
  </si>
  <si>
    <t>B02.25.07.01</t>
  </si>
  <si>
    <t>PL利率债</t>
  </si>
  <si>
    <t>B02.25.07.02</t>
  </si>
  <si>
    <t>PL信用债</t>
  </si>
  <si>
    <t>B02.25.07.03</t>
  </si>
  <si>
    <t>PL同业存单投资</t>
  </si>
  <si>
    <t>B02.26</t>
  </si>
  <si>
    <t>B02.26.02</t>
  </si>
  <si>
    <t>B02.26.03</t>
  </si>
  <si>
    <t>B02.26.04</t>
  </si>
  <si>
    <t>B02.26.05</t>
  </si>
  <si>
    <t>B02.26.06</t>
  </si>
  <si>
    <t>B02.26.07</t>
  </si>
  <si>
    <t>交易性金融负债</t>
  </si>
  <si>
    <t>B02.27</t>
  </si>
  <si>
    <t>B02.27.02</t>
  </si>
  <si>
    <t>B02.27.03</t>
  </si>
  <si>
    <t>B02.27.04</t>
  </si>
  <si>
    <t>B02.27.05</t>
  </si>
  <si>
    <t>B02.27.06</t>
  </si>
  <si>
    <t>B02.27.07</t>
  </si>
  <si>
    <t>B02.14</t>
  </si>
  <si>
    <t>B02.14.01</t>
  </si>
  <si>
    <t>B02.14.01.01</t>
  </si>
  <si>
    <t>B02.14.02</t>
  </si>
  <si>
    <t>B02.14.02.01</t>
  </si>
  <si>
    <t>B02.14.02.01.01</t>
  </si>
  <si>
    <t>收息率</t>
  </si>
  <si>
    <t>B02.14.02.02</t>
  </si>
  <si>
    <t>B02.14.02.02.01</t>
  </si>
  <si>
    <t>B02.14.02.03</t>
  </si>
  <si>
    <t>B02.14.02.03.01</t>
  </si>
  <si>
    <t>B02.14.02.04</t>
  </si>
  <si>
    <t>B02.14.02.04.01</t>
  </si>
  <si>
    <t>B02.14.02.05</t>
  </si>
  <si>
    <t>B02.14.02.05.01</t>
  </si>
  <si>
    <t>B02.14.03</t>
  </si>
  <si>
    <t>B02.14.03.01</t>
  </si>
  <si>
    <t>B02.14.03.01.01</t>
  </si>
  <si>
    <t>B02.14.03.02</t>
  </si>
  <si>
    <t>B02.14.03.02.01</t>
  </si>
  <si>
    <t>B02.14.03.03</t>
  </si>
  <si>
    <t>B02.14.03.03.01</t>
  </si>
  <si>
    <t>B02.14.03.04</t>
  </si>
  <si>
    <t>B02.14.03.04.01</t>
  </si>
  <si>
    <t>B02.14.03.05</t>
  </si>
  <si>
    <t>B02.14.03.05.01</t>
  </si>
  <si>
    <t>B02.14.03.06</t>
  </si>
  <si>
    <t>B02.14.03.06.01</t>
  </si>
  <si>
    <t>B02.14.03.07</t>
  </si>
  <si>
    <t>B02.14.03.07.01</t>
  </si>
  <si>
    <t>B02.14.03.08</t>
  </si>
  <si>
    <t>B02.14.03.08.01</t>
  </si>
  <si>
    <t>B02.14.03.09</t>
  </si>
  <si>
    <t>ABS投资</t>
  </si>
  <si>
    <t>B02.14.03.09.01</t>
  </si>
  <si>
    <t>B02.14.03.10</t>
  </si>
  <si>
    <t>B02.14.03.10.01</t>
  </si>
  <si>
    <t>B02.15</t>
  </si>
  <si>
    <t>B02.15.01</t>
  </si>
  <si>
    <t>B02.15.01.01</t>
  </si>
  <si>
    <t>B02.15.02</t>
  </si>
  <si>
    <t>B02.15.02.01</t>
  </si>
  <si>
    <t>B02.15.02.01.01</t>
  </si>
  <si>
    <t>FTP</t>
  </si>
  <si>
    <t>B02.15.02.02</t>
  </si>
  <si>
    <t>B02.15.02.02.01</t>
  </si>
  <si>
    <t>B02.15.02.03</t>
  </si>
  <si>
    <t>B02.15.02.03.01</t>
  </si>
  <si>
    <t>B02.15.02.04</t>
  </si>
  <si>
    <t>B02.15.02.04.01</t>
  </si>
  <si>
    <t>B02.15.02.05</t>
  </si>
  <si>
    <t>B02.15.02.05.01</t>
  </si>
  <si>
    <t>B02.15.03</t>
  </si>
  <si>
    <t>B02.15.03.01</t>
  </si>
  <si>
    <t>B02.15.03.01.01</t>
  </si>
  <si>
    <t>B02.15.03.02</t>
  </si>
  <si>
    <t>B02.15.03.02.01</t>
  </si>
  <si>
    <t>B02.15.03.03</t>
  </si>
  <si>
    <t>B02.15.03.03.01</t>
  </si>
  <si>
    <t>B02.15.03.04</t>
  </si>
  <si>
    <t>B02.15.03.04.01</t>
  </si>
  <si>
    <t>B02.15.03.05</t>
  </si>
  <si>
    <t>B02.15.03.05.01</t>
  </si>
  <si>
    <t>B02.15.03.06</t>
  </si>
  <si>
    <t>B02.15.03.06.01</t>
  </si>
  <si>
    <t>B02.15.03.07</t>
  </si>
  <si>
    <t>B02.15.03.07.01</t>
  </si>
  <si>
    <t>B02.15.03.08</t>
  </si>
  <si>
    <t>B02.15.03.08.01</t>
  </si>
  <si>
    <t>B02.15.03.09</t>
  </si>
  <si>
    <t>B02.15.03.09.01</t>
  </si>
  <si>
    <t>B02.15.03.10</t>
  </si>
  <si>
    <t>B02.15.03.10.01</t>
  </si>
  <si>
    <t>B02.15.03.11</t>
  </si>
  <si>
    <t>B02.15.03.11.01</t>
  </si>
  <si>
    <t>B02.15.03.12</t>
  </si>
  <si>
    <t>B02.15.03.12.01</t>
  </si>
  <si>
    <t>B02.16</t>
  </si>
  <si>
    <t>B02.16.02</t>
  </si>
  <si>
    <t>B02.16.02.02</t>
  </si>
  <si>
    <t>B02.16.02.02.01</t>
  </si>
  <si>
    <t>付息率</t>
  </si>
  <si>
    <t>B02.16.02.03</t>
  </si>
  <si>
    <t>B02.16.02.03.01</t>
  </si>
  <si>
    <t>B02.16.02.04</t>
  </si>
  <si>
    <t>B02.16.02.04.01</t>
  </si>
  <si>
    <t>B02.16.02.05</t>
  </si>
  <si>
    <t>B02.16.02.05.01</t>
  </si>
  <si>
    <t>B02.16.02.06</t>
  </si>
  <si>
    <t>B02.16.02.06.01</t>
  </si>
  <si>
    <t>B02.17</t>
  </si>
  <si>
    <t>B02.17.02</t>
  </si>
  <si>
    <t>B02.17.02.01</t>
  </si>
  <si>
    <t>B02.17.02.01.01</t>
  </si>
  <si>
    <t>B02.17.02.02</t>
  </si>
  <si>
    <t>B02.17.02.02.01</t>
  </si>
  <si>
    <t>B02.17.02.03</t>
  </si>
  <si>
    <t>B02.17.02.03.01</t>
  </si>
  <si>
    <t>B02.17.02.04</t>
  </si>
  <si>
    <t>B02.17.02.04.01</t>
  </si>
  <si>
    <t>B02.17.02.05</t>
  </si>
  <si>
    <t>B02.17.02.05.01</t>
  </si>
  <si>
    <t>B02.17.03</t>
  </si>
  <si>
    <t>B02.17.03.01</t>
  </si>
  <si>
    <t>B02.18</t>
  </si>
  <si>
    <t>B02.18.99</t>
  </si>
  <si>
    <t>B02.19</t>
  </si>
  <si>
    <t>B02.19.99</t>
  </si>
  <si>
    <t>B02.20</t>
  </si>
  <si>
    <t>B02.20.01</t>
  </si>
  <si>
    <t>价差+公允价值变动损益</t>
  </si>
  <si>
    <t>B02.20.01.01</t>
  </si>
  <si>
    <t>债券价差</t>
  </si>
  <si>
    <t>B02.20.01.02</t>
  </si>
  <si>
    <t>债券公允价值变动</t>
  </si>
  <si>
    <t>B02.20.01.03</t>
  </si>
  <si>
    <t>同业存单价差</t>
  </si>
  <si>
    <t>B02.20.01.04</t>
  </si>
  <si>
    <t>同业存单公允价值变动</t>
  </si>
  <si>
    <t>B02.20.01.05</t>
  </si>
  <si>
    <t>交易性金融负债价差</t>
  </si>
  <si>
    <t>B02.20.01.06</t>
  </si>
  <si>
    <t>交易性金融负债公允价值变动</t>
  </si>
  <si>
    <t>B02.20.01.99</t>
  </si>
  <si>
    <t>B02.20.02</t>
  </si>
  <si>
    <t>PL债券投资利息收入</t>
  </si>
  <si>
    <t>B02.20.02.01</t>
  </si>
  <si>
    <t>B02.20.03</t>
  </si>
  <si>
    <t>PL同业存单投资利息收入</t>
  </si>
  <si>
    <t>B02.20.03.01</t>
  </si>
  <si>
    <t>B02.20.04</t>
  </si>
  <si>
    <t>货基投资</t>
  </si>
  <si>
    <t>B02.20.04.01</t>
  </si>
  <si>
    <t>B02.20.05</t>
  </si>
  <si>
    <t>债基投资</t>
  </si>
  <si>
    <t>B02.20.05.01</t>
  </si>
  <si>
    <t>B02.20.06</t>
  </si>
  <si>
    <t>B02.20.06.01</t>
  </si>
  <si>
    <t>B02.20.99</t>
  </si>
  <si>
    <t>返税收入</t>
  </si>
  <si>
    <t>B02.20.99.01</t>
  </si>
  <si>
    <t>B02.20.99.01.01</t>
  </si>
  <si>
    <t>B02.20.99.01.02</t>
  </si>
  <si>
    <t>返税后收益率</t>
  </si>
  <si>
    <t>B02.20.99.01.03</t>
  </si>
  <si>
    <t>B02.20.99.01.04</t>
  </si>
  <si>
    <t>B02.20.99.02</t>
  </si>
  <si>
    <t>基金</t>
  </si>
  <si>
    <t>B02.20.99.02.01</t>
  </si>
  <si>
    <t>B02.20.99.02.02</t>
  </si>
  <si>
    <t>B02.20.99.02.03</t>
  </si>
  <si>
    <t>B02.20.99.02.04</t>
  </si>
  <si>
    <t>B02.21</t>
  </si>
  <si>
    <t>B02.90</t>
  </si>
  <si>
    <t>B02.90.01</t>
  </si>
  <si>
    <t>B02.90.01.01</t>
  </si>
  <si>
    <t>B02.90.01.01.01</t>
  </si>
  <si>
    <t>B02.90.01.01.02</t>
  </si>
  <si>
    <t>B02.90.01.02</t>
  </si>
  <si>
    <t>B02.90.01.02.01</t>
  </si>
  <si>
    <t>B02.90.01.02.02</t>
  </si>
  <si>
    <t>B02.90.01.03</t>
  </si>
  <si>
    <t>B02.90.01.03.01</t>
  </si>
  <si>
    <t>B02.90.01.03.01.001</t>
  </si>
  <si>
    <t>B02.90.01.03.01.002</t>
  </si>
  <si>
    <t>B02.90.01.03.02</t>
  </si>
  <si>
    <t>B02.90.01.03.03</t>
  </si>
  <si>
    <t>B02.90.01.03.04</t>
  </si>
  <si>
    <t>B02.90.01.04</t>
  </si>
  <si>
    <t>B02.90.01.05</t>
  </si>
  <si>
    <t>B02.90.02</t>
  </si>
  <si>
    <t>B02.90.02.01</t>
  </si>
  <si>
    <t>B02.90.02.01.01</t>
  </si>
  <si>
    <t>B02.90.02.01.02</t>
  </si>
  <si>
    <t>B02.90.02.02</t>
  </si>
  <si>
    <t>B02.90.02.02.01</t>
  </si>
  <si>
    <t>B02.90.02.02.02</t>
  </si>
  <si>
    <t>B02.90.02.03</t>
  </si>
  <si>
    <t>B02.90.02.03.01</t>
  </si>
  <si>
    <t>B02.90.02.03.01.001</t>
  </si>
  <si>
    <t>B02.90.02.03.01.002</t>
  </si>
  <si>
    <t>B02.90.02.03.02</t>
  </si>
  <si>
    <t>B02.90.02.03.03</t>
  </si>
  <si>
    <t>B02.90.02.03.04</t>
  </si>
  <si>
    <t>B02.90.02.04</t>
  </si>
  <si>
    <t>B02.90.02.05</t>
  </si>
  <si>
    <t>B02.91</t>
  </si>
  <si>
    <t>B02.91.01</t>
  </si>
  <si>
    <t>B02.91.01.01</t>
  </si>
  <si>
    <t>B02.91.01.01.001</t>
  </si>
  <si>
    <t>B02.91.01.01.002</t>
  </si>
  <si>
    <t>B02.91.01.01.003</t>
  </si>
  <si>
    <t>B02.91.01.01.004</t>
  </si>
  <si>
    <t>B02.91.01.02</t>
  </si>
  <si>
    <t>B02.91.01.02.101</t>
  </si>
  <si>
    <t>B02.91.01.02.001</t>
  </si>
  <si>
    <t>B02.91.01.02.002</t>
  </si>
  <si>
    <t>B02.91.01.02.005</t>
  </si>
  <si>
    <t>B02.91.01.02.006</t>
  </si>
  <si>
    <t>B02.91.01.02.010</t>
  </si>
  <si>
    <t>B02.91.01.02.102</t>
  </si>
  <si>
    <t>B02.91.01.02.007</t>
  </si>
  <si>
    <t>B02.91.01.02.008</t>
  </si>
  <si>
    <t>B02.91.01.02.011</t>
  </si>
  <si>
    <t>B02.91.01.02.103</t>
  </si>
  <si>
    <t>B02.91.01.02.003</t>
  </si>
  <si>
    <t>B02.91.01.02.004</t>
  </si>
  <si>
    <t>B02.91.01.02.009</t>
  </si>
  <si>
    <t>B02.91.01.03</t>
  </si>
  <si>
    <t>B02.91.01.03.001</t>
  </si>
  <si>
    <t>B02.91.01.03.002</t>
  </si>
  <si>
    <t>B02.91.01.03.003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</si>
</sst>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workbookViewId="0">
      <selection activeCell="G8" sqref="G8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G2">
        <f t="shared" ref="G2:G65" si="0">H2+I2+J2+K2+L2+M2+N2+O2+P2+Q2+R2+S2</f>
        <v>9770027202</v>
      </c>
      <c r="H2">
        <f t="shared" ref="H2:S2" si="1">H3+H6+H7</f>
        <v>695074548</v>
      </c>
      <c r="I2">
        <f t="shared" si="1"/>
        <v>660981004</v>
      </c>
      <c r="J2">
        <f t="shared" si="1"/>
        <v>771586838</v>
      </c>
      <c r="K2">
        <f t="shared" si="1"/>
        <v>788847484</v>
      </c>
      <c r="L2">
        <f t="shared" si="1"/>
        <v>808397044</v>
      </c>
      <c r="M2">
        <f t="shared" si="1"/>
        <v>835432542</v>
      </c>
      <c r="N2">
        <f t="shared" si="1"/>
        <v>860179132</v>
      </c>
      <c r="O2">
        <f t="shared" si="1"/>
        <v>848115660</v>
      </c>
      <c r="P2">
        <f t="shared" si="1"/>
        <v>828566104</v>
      </c>
      <c r="Q2">
        <f t="shared" si="1"/>
        <v>886164870</v>
      </c>
      <c r="R2">
        <f t="shared" si="1"/>
        <v>876390016</v>
      </c>
      <c r="S2">
        <f t="shared" si="1"/>
        <v>910291960</v>
      </c>
    </row>
    <row r="3" spans="1:19">
      <c r="A3" t="s">
        <v>23</v>
      </c>
      <c r="B3" t="s">
        <v>20</v>
      </c>
      <c r="C3" t="s">
        <v>24</v>
      </c>
      <c r="D3" t="s">
        <v>25</v>
      </c>
      <c r="G3">
        <f t="shared" si="0"/>
        <v>888184280</v>
      </c>
      <c r="H3">
        <f t="shared" ref="H3:S3" si="2">H4+H5</f>
        <v>63188594</v>
      </c>
      <c r="I3">
        <f t="shared" si="2"/>
        <v>60089182</v>
      </c>
      <c r="J3">
        <f t="shared" si="2"/>
        <v>70144258</v>
      </c>
      <c r="K3">
        <f t="shared" si="2"/>
        <v>71713406</v>
      </c>
      <c r="L3">
        <f t="shared" si="2"/>
        <v>73490640</v>
      </c>
      <c r="M3">
        <f t="shared" si="2"/>
        <v>75948412</v>
      </c>
      <c r="N3">
        <f t="shared" si="2"/>
        <v>78198102</v>
      </c>
      <c r="O3">
        <f t="shared" si="2"/>
        <v>77101422</v>
      </c>
      <c r="P3">
        <f t="shared" si="2"/>
        <v>75324190</v>
      </c>
      <c r="Q3">
        <f t="shared" si="2"/>
        <v>80560442</v>
      </c>
      <c r="R3">
        <f t="shared" si="2"/>
        <v>79671818</v>
      </c>
      <c r="S3">
        <f t="shared" si="2"/>
        <v>82753814</v>
      </c>
    </row>
    <row r="4" spans="1:19">
      <c r="A4" t="s">
        <v>26</v>
      </c>
      <c r="B4" t="s">
        <v>20</v>
      </c>
      <c r="C4" t="s">
        <v>27</v>
      </c>
      <c r="D4" t="s">
        <v>28</v>
      </c>
      <c r="G4">
        <f t="shared" si="0"/>
        <v>444092140</v>
      </c>
      <c r="H4">
        <v>31594297</v>
      </c>
      <c r="I4">
        <v>30044591</v>
      </c>
      <c r="J4">
        <v>35072129</v>
      </c>
      <c r="K4">
        <v>35856703</v>
      </c>
      <c r="L4">
        <v>36745320</v>
      </c>
      <c r="M4">
        <v>37974206</v>
      </c>
      <c r="N4">
        <v>39099051</v>
      </c>
      <c r="O4">
        <v>38550711</v>
      </c>
      <c r="P4">
        <v>37662095</v>
      </c>
      <c r="Q4">
        <v>40280221</v>
      </c>
      <c r="R4">
        <v>39835909</v>
      </c>
      <c r="S4">
        <v>41376907</v>
      </c>
    </row>
    <row r="5" spans="1:19">
      <c r="A5" t="s">
        <v>26</v>
      </c>
      <c r="B5" t="s">
        <v>20</v>
      </c>
      <c r="C5" t="s">
        <v>29</v>
      </c>
      <c r="D5" t="s">
        <v>30</v>
      </c>
      <c r="G5">
        <f t="shared" si="0"/>
        <v>444092140</v>
      </c>
      <c r="H5">
        <v>31594297</v>
      </c>
      <c r="I5">
        <v>30044591</v>
      </c>
      <c r="J5">
        <v>35072129</v>
      </c>
      <c r="K5">
        <v>35856703</v>
      </c>
      <c r="L5">
        <v>36745320</v>
      </c>
      <c r="M5">
        <v>37974206</v>
      </c>
      <c r="N5">
        <v>39099051</v>
      </c>
      <c r="O5">
        <v>38550711</v>
      </c>
      <c r="P5">
        <v>37662095</v>
      </c>
      <c r="Q5">
        <v>40280221</v>
      </c>
      <c r="R5">
        <v>39835909</v>
      </c>
      <c r="S5">
        <v>41376907</v>
      </c>
    </row>
    <row r="6" spans="1:19">
      <c r="A6" t="s">
        <v>23</v>
      </c>
      <c r="B6" t="s">
        <v>20</v>
      </c>
      <c r="C6" t="s">
        <v>31</v>
      </c>
      <c r="D6" t="s">
        <v>32</v>
      </c>
      <c r="G6">
        <f t="shared" si="0"/>
        <v>4440921461</v>
      </c>
      <c r="H6">
        <v>315942977</v>
      </c>
      <c r="I6">
        <v>300445911</v>
      </c>
      <c r="J6">
        <v>350721290</v>
      </c>
      <c r="K6">
        <v>358567039</v>
      </c>
      <c r="L6">
        <v>367453202</v>
      </c>
      <c r="M6">
        <v>379742065</v>
      </c>
      <c r="N6">
        <v>390990515</v>
      </c>
      <c r="O6">
        <v>385507119</v>
      </c>
      <c r="P6">
        <v>376620957</v>
      </c>
      <c r="Q6">
        <v>402802214</v>
      </c>
      <c r="R6">
        <v>398359099</v>
      </c>
      <c r="S6">
        <v>413769073</v>
      </c>
    </row>
    <row r="7" spans="1:19">
      <c r="A7" t="s">
        <v>23</v>
      </c>
      <c r="B7" t="s">
        <v>20</v>
      </c>
      <c r="C7" t="s">
        <v>33</v>
      </c>
      <c r="D7" t="s">
        <v>34</v>
      </c>
      <c r="G7">
        <f t="shared" si="0"/>
        <v>4440921461</v>
      </c>
      <c r="H7">
        <v>315942977</v>
      </c>
      <c r="I7">
        <v>300445911</v>
      </c>
      <c r="J7">
        <v>350721290</v>
      </c>
      <c r="K7">
        <v>358567039</v>
      </c>
      <c r="L7">
        <v>367453202</v>
      </c>
      <c r="M7">
        <v>379742065</v>
      </c>
      <c r="N7">
        <v>390990515</v>
      </c>
      <c r="O7">
        <v>385507119</v>
      </c>
      <c r="P7">
        <v>376620957</v>
      </c>
      <c r="Q7">
        <v>402802214</v>
      </c>
      <c r="R7">
        <v>398359099</v>
      </c>
      <c r="S7">
        <v>413769073</v>
      </c>
    </row>
    <row r="8" spans="1:19">
      <c r="A8" t="s">
        <v>19</v>
      </c>
      <c r="B8" t="s">
        <v>35</v>
      </c>
      <c r="C8" t="s">
        <v>36</v>
      </c>
      <c r="D8" t="s">
        <v>37</v>
      </c>
      <c r="G8">
        <f t="shared" si="0"/>
        <v>3150000000</v>
      </c>
      <c r="H8">
        <v>220500000</v>
      </c>
      <c r="I8">
        <v>204750000</v>
      </c>
      <c r="J8">
        <v>245700000</v>
      </c>
      <c r="K8">
        <v>252000000</v>
      </c>
      <c r="L8">
        <v>258300000</v>
      </c>
      <c r="M8">
        <v>267750000</v>
      </c>
      <c r="N8">
        <v>277200000</v>
      </c>
      <c r="O8">
        <v>274050000</v>
      </c>
      <c r="P8">
        <v>267750000</v>
      </c>
      <c r="Q8">
        <v>292950000</v>
      </c>
      <c r="R8">
        <v>289800000</v>
      </c>
      <c r="S8">
        <v>299250000</v>
      </c>
    </row>
    <row r="9" spans="1:19">
      <c r="A9" t="s">
        <v>19</v>
      </c>
      <c r="B9" t="s">
        <v>20</v>
      </c>
      <c r="C9" t="s">
        <v>38</v>
      </c>
      <c r="D9" t="s">
        <v>39</v>
      </c>
      <c r="G9">
        <f t="shared" si="0"/>
        <v>4440921461</v>
      </c>
      <c r="H9">
        <v>315942977</v>
      </c>
      <c r="I9">
        <v>300445911</v>
      </c>
      <c r="J9">
        <v>350721290</v>
      </c>
      <c r="K9">
        <v>358567039</v>
      </c>
      <c r="L9">
        <v>367453202</v>
      </c>
      <c r="M9">
        <v>379742065</v>
      </c>
      <c r="N9">
        <v>390990515</v>
      </c>
      <c r="O9">
        <v>385507119</v>
      </c>
      <c r="P9">
        <v>376620957</v>
      </c>
      <c r="Q9">
        <v>402802214</v>
      </c>
      <c r="R9">
        <v>398359099</v>
      </c>
      <c r="S9">
        <v>413769073</v>
      </c>
    </row>
    <row r="10" spans="1:19">
      <c r="A10" t="s">
        <v>19</v>
      </c>
      <c r="B10" t="s">
        <v>35</v>
      </c>
      <c r="C10" t="s">
        <v>40</v>
      </c>
      <c r="D10" t="s">
        <v>41</v>
      </c>
      <c r="G10">
        <f t="shared" si="0"/>
        <v>150000000</v>
      </c>
      <c r="H10">
        <v>10500000</v>
      </c>
      <c r="I10">
        <v>9750000</v>
      </c>
      <c r="J10">
        <v>11700000</v>
      </c>
      <c r="K10">
        <v>12000000</v>
      </c>
      <c r="L10">
        <v>12300000</v>
      </c>
      <c r="M10">
        <v>12750000</v>
      </c>
      <c r="N10">
        <v>13200000</v>
      </c>
      <c r="O10">
        <v>13050000</v>
      </c>
      <c r="P10">
        <v>12750000</v>
      </c>
      <c r="Q10">
        <v>13950000</v>
      </c>
      <c r="R10">
        <v>13800000</v>
      </c>
      <c r="S10">
        <v>14250000</v>
      </c>
    </row>
    <row r="11" spans="1:19">
      <c r="A11" t="s">
        <v>19</v>
      </c>
      <c r="B11" t="s">
        <v>35</v>
      </c>
      <c r="C11" t="s">
        <v>42</v>
      </c>
      <c r="D11" t="s">
        <v>43</v>
      </c>
      <c r="G11">
        <f t="shared" si="0"/>
        <v>2070000000</v>
      </c>
      <c r="H11">
        <f t="shared" ref="H11:S11" si="3">H12+H15+H18+H25+H26</f>
        <v>144900000</v>
      </c>
      <c r="I11">
        <f t="shared" si="3"/>
        <v>134550000</v>
      </c>
      <c r="J11">
        <f t="shared" si="3"/>
        <v>161460000</v>
      </c>
      <c r="K11">
        <f t="shared" si="3"/>
        <v>165600000</v>
      </c>
      <c r="L11">
        <f t="shared" si="3"/>
        <v>169740000</v>
      </c>
      <c r="M11">
        <f t="shared" si="3"/>
        <v>175950000</v>
      </c>
      <c r="N11">
        <f t="shared" si="3"/>
        <v>182160000</v>
      </c>
      <c r="O11">
        <f t="shared" si="3"/>
        <v>180090000</v>
      </c>
      <c r="P11">
        <f t="shared" si="3"/>
        <v>175950000</v>
      </c>
      <c r="Q11">
        <f t="shared" si="3"/>
        <v>192510000</v>
      </c>
      <c r="R11">
        <f t="shared" si="3"/>
        <v>190440000</v>
      </c>
      <c r="S11">
        <f t="shared" si="3"/>
        <v>196650000</v>
      </c>
    </row>
    <row r="12" spans="1:19">
      <c r="A12" t="s">
        <v>23</v>
      </c>
      <c r="B12" t="s">
        <v>35</v>
      </c>
      <c r="C12" t="s">
        <v>44</v>
      </c>
      <c r="D12" t="s">
        <v>45</v>
      </c>
      <c r="G12">
        <f t="shared" si="0"/>
        <v>810000000</v>
      </c>
      <c r="H12">
        <f t="shared" ref="H12:S12" si="4">H13+H14</f>
        <v>56700000</v>
      </c>
      <c r="I12">
        <f t="shared" si="4"/>
        <v>52650000</v>
      </c>
      <c r="J12">
        <f t="shared" si="4"/>
        <v>63180000</v>
      </c>
      <c r="K12">
        <f t="shared" si="4"/>
        <v>64800000</v>
      </c>
      <c r="L12">
        <f t="shared" si="4"/>
        <v>66420000</v>
      </c>
      <c r="M12">
        <f t="shared" si="4"/>
        <v>68850000</v>
      </c>
      <c r="N12">
        <f t="shared" si="4"/>
        <v>71280000</v>
      </c>
      <c r="O12">
        <f t="shared" si="4"/>
        <v>70470000</v>
      </c>
      <c r="P12">
        <f t="shared" si="4"/>
        <v>68850000</v>
      </c>
      <c r="Q12">
        <f t="shared" si="4"/>
        <v>75330000</v>
      </c>
      <c r="R12">
        <f t="shared" si="4"/>
        <v>74520000</v>
      </c>
      <c r="S12">
        <f t="shared" si="4"/>
        <v>76950000</v>
      </c>
    </row>
    <row r="13" spans="1:19">
      <c r="A13" t="s">
        <v>26</v>
      </c>
      <c r="B13" t="s">
        <v>35</v>
      </c>
      <c r="C13" t="s">
        <v>46</v>
      </c>
      <c r="D13" t="s">
        <v>47</v>
      </c>
      <c r="G13">
        <f t="shared" si="0"/>
        <v>540000000</v>
      </c>
      <c r="H13">
        <v>37800000</v>
      </c>
      <c r="I13">
        <v>35100000</v>
      </c>
      <c r="J13">
        <v>42120000</v>
      </c>
      <c r="K13">
        <v>43200000</v>
      </c>
      <c r="L13">
        <v>44280000</v>
      </c>
      <c r="M13">
        <v>45900000</v>
      </c>
      <c r="N13">
        <v>47520000</v>
      </c>
      <c r="O13">
        <v>46980000</v>
      </c>
      <c r="P13">
        <v>45900000</v>
      </c>
      <c r="Q13">
        <v>50220000</v>
      </c>
      <c r="R13">
        <v>49680000</v>
      </c>
      <c r="S13">
        <v>51300000</v>
      </c>
    </row>
    <row r="14" spans="1:19">
      <c r="A14" t="s">
        <v>26</v>
      </c>
      <c r="B14" t="s">
        <v>35</v>
      </c>
      <c r="C14" t="s">
        <v>48</v>
      </c>
      <c r="D14" t="s">
        <v>49</v>
      </c>
      <c r="G14">
        <f t="shared" si="0"/>
        <v>270000000</v>
      </c>
      <c r="H14">
        <v>18900000</v>
      </c>
      <c r="I14">
        <v>17550000</v>
      </c>
      <c r="J14">
        <v>21060000</v>
      </c>
      <c r="K14">
        <v>21600000</v>
      </c>
      <c r="L14">
        <v>22140000</v>
      </c>
      <c r="M14">
        <v>22950000</v>
      </c>
      <c r="N14">
        <v>23760000</v>
      </c>
      <c r="O14">
        <v>23490000</v>
      </c>
      <c r="P14">
        <v>22950000</v>
      </c>
      <c r="Q14">
        <v>25110000</v>
      </c>
      <c r="R14">
        <v>24840000</v>
      </c>
      <c r="S14">
        <v>25650000</v>
      </c>
    </row>
    <row r="15" spans="1:19">
      <c r="A15" t="s">
        <v>23</v>
      </c>
      <c r="B15" t="s">
        <v>35</v>
      </c>
      <c r="C15" t="s">
        <v>50</v>
      </c>
      <c r="D15" t="s">
        <v>51</v>
      </c>
      <c r="G15">
        <f t="shared" si="0"/>
        <v>540000000</v>
      </c>
      <c r="H15">
        <f t="shared" ref="H15:S15" si="5">H16+H17</f>
        <v>37800000</v>
      </c>
      <c r="I15">
        <f t="shared" si="5"/>
        <v>35100000</v>
      </c>
      <c r="J15">
        <f t="shared" si="5"/>
        <v>42120000</v>
      </c>
      <c r="K15">
        <f t="shared" si="5"/>
        <v>43200000</v>
      </c>
      <c r="L15">
        <f t="shared" si="5"/>
        <v>44280000</v>
      </c>
      <c r="M15">
        <f t="shared" si="5"/>
        <v>45900000</v>
      </c>
      <c r="N15">
        <f t="shared" si="5"/>
        <v>47520000</v>
      </c>
      <c r="O15">
        <f t="shared" si="5"/>
        <v>46980000</v>
      </c>
      <c r="P15">
        <f t="shared" si="5"/>
        <v>45900000</v>
      </c>
      <c r="Q15">
        <f t="shared" si="5"/>
        <v>50220000</v>
      </c>
      <c r="R15">
        <f t="shared" si="5"/>
        <v>49680000</v>
      </c>
      <c r="S15">
        <f t="shared" si="5"/>
        <v>51300000</v>
      </c>
    </row>
    <row r="16" spans="1:19">
      <c r="A16" t="s">
        <v>26</v>
      </c>
      <c r="B16" t="s">
        <v>35</v>
      </c>
      <c r="C16" t="s">
        <v>52</v>
      </c>
      <c r="D16" t="s">
        <v>53</v>
      </c>
      <c r="G16">
        <f t="shared" si="0"/>
        <v>320000000</v>
      </c>
      <c r="H16">
        <v>22400000</v>
      </c>
      <c r="I16">
        <v>20800000</v>
      </c>
      <c r="J16">
        <v>24960000</v>
      </c>
      <c r="K16">
        <v>25600000</v>
      </c>
      <c r="L16">
        <v>26240000</v>
      </c>
      <c r="M16">
        <v>27200000</v>
      </c>
      <c r="N16">
        <v>28160000</v>
      </c>
      <c r="O16">
        <v>27840000</v>
      </c>
      <c r="P16">
        <v>27200000</v>
      </c>
      <c r="Q16">
        <v>29760000</v>
      </c>
      <c r="R16">
        <v>29440000</v>
      </c>
      <c r="S16">
        <v>30400000</v>
      </c>
    </row>
    <row r="17" spans="1:19">
      <c r="A17" t="s">
        <v>26</v>
      </c>
      <c r="B17" t="s">
        <v>35</v>
      </c>
      <c r="C17" t="s">
        <v>54</v>
      </c>
      <c r="D17" t="s">
        <v>55</v>
      </c>
      <c r="G17">
        <f t="shared" si="0"/>
        <v>220000000</v>
      </c>
      <c r="H17">
        <v>15400000</v>
      </c>
      <c r="I17">
        <v>14300000</v>
      </c>
      <c r="J17">
        <v>17160000</v>
      </c>
      <c r="K17">
        <v>17600000</v>
      </c>
      <c r="L17">
        <v>18040000</v>
      </c>
      <c r="M17">
        <v>18700000</v>
      </c>
      <c r="N17">
        <v>19360000</v>
      </c>
      <c r="O17">
        <v>19140000</v>
      </c>
      <c r="P17">
        <v>18700000</v>
      </c>
      <c r="Q17">
        <v>20460000</v>
      </c>
      <c r="R17">
        <v>20240000</v>
      </c>
      <c r="S17">
        <v>20900000</v>
      </c>
    </row>
    <row r="18" spans="1:19">
      <c r="A18" t="s">
        <v>23</v>
      </c>
      <c r="B18" t="s">
        <v>35</v>
      </c>
      <c r="C18" t="s">
        <v>56</v>
      </c>
      <c r="D18" t="s">
        <v>57</v>
      </c>
      <c r="G18">
        <f t="shared" si="0"/>
        <v>450000000</v>
      </c>
      <c r="H18">
        <f t="shared" ref="H18:S18" si="6">H19+H22+H23+H24</f>
        <v>31500000</v>
      </c>
      <c r="I18">
        <f t="shared" si="6"/>
        <v>29250000</v>
      </c>
      <c r="J18">
        <f t="shared" si="6"/>
        <v>35100000</v>
      </c>
      <c r="K18">
        <f t="shared" si="6"/>
        <v>36000000</v>
      </c>
      <c r="L18">
        <f t="shared" si="6"/>
        <v>36900000</v>
      </c>
      <c r="M18">
        <f t="shared" si="6"/>
        <v>38250000</v>
      </c>
      <c r="N18">
        <f t="shared" si="6"/>
        <v>39600000</v>
      </c>
      <c r="O18">
        <f t="shared" si="6"/>
        <v>39150000</v>
      </c>
      <c r="P18">
        <f t="shared" si="6"/>
        <v>38250000</v>
      </c>
      <c r="Q18">
        <f t="shared" si="6"/>
        <v>41850000</v>
      </c>
      <c r="R18">
        <f t="shared" si="6"/>
        <v>41400000</v>
      </c>
      <c r="S18">
        <f t="shared" si="6"/>
        <v>42750000</v>
      </c>
    </row>
    <row r="19" spans="1:19">
      <c r="A19" t="s">
        <v>26</v>
      </c>
      <c r="B19" t="s">
        <v>35</v>
      </c>
      <c r="C19" t="s">
        <v>58</v>
      </c>
      <c r="D19" t="s">
        <v>59</v>
      </c>
      <c r="G19">
        <f t="shared" si="0"/>
        <v>220000000</v>
      </c>
      <c r="H19">
        <f t="shared" ref="H19:S19" si="7">H20+H21</f>
        <v>15400000</v>
      </c>
      <c r="I19">
        <f t="shared" si="7"/>
        <v>14300000</v>
      </c>
      <c r="J19">
        <f t="shared" si="7"/>
        <v>17160000</v>
      </c>
      <c r="K19">
        <f t="shared" si="7"/>
        <v>17600000</v>
      </c>
      <c r="L19">
        <f t="shared" si="7"/>
        <v>18040000</v>
      </c>
      <c r="M19">
        <f t="shared" si="7"/>
        <v>18700000</v>
      </c>
      <c r="N19">
        <f t="shared" si="7"/>
        <v>19360000</v>
      </c>
      <c r="O19">
        <f t="shared" si="7"/>
        <v>19140000</v>
      </c>
      <c r="P19">
        <f t="shared" si="7"/>
        <v>18700000</v>
      </c>
      <c r="Q19">
        <f t="shared" si="7"/>
        <v>20460000</v>
      </c>
      <c r="R19">
        <f t="shared" si="7"/>
        <v>20240000</v>
      </c>
      <c r="S19">
        <f t="shared" si="7"/>
        <v>20900000</v>
      </c>
    </row>
    <row r="20" spans="1:19">
      <c r="A20" t="s">
        <v>60</v>
      </c>
      <c r="B20" t="s">
        <v>35</v>
      </c>
      <c r="C20" t="s">
        <v>61</v>
      </c>
      <c r="D20" t="s">
        <v>62</v>
      </c>
      <c r="G20">
        <f t="shared" si="0"/>
        <v>130000000</v>
      </c>
      <c r="H20">
        <v>9100000</v>
      </c>
      <c r="I20">
        <v>8450000</v>
      </c>
      <c r="J20">
        <v>10140000</v>
      </c>
      <c r="K20">
        <v>10400000</v>
      </c>
      <c r="L20">
        <v>10660000</v>
      </c>
      <c r="M20">
        <v>11050000</v>
      </c>
      <c r="N20">
        <v>11440000</v>
      </c>
      <c r="O20">
        <v>11310000</v>
      </c>
      <c r="P20">
        <v>11050000</v>
      </c>
      <c r="Q20">
        <v>12090000</v>
      </c>
      <c r="R20">
        <v>11960000</v>
      </c>
      <c r="S20">
        <v>12350000</v>
      </c>
    </row>
    <row r="21" spans="1:19">
      <c r="A21" t="s">
        <v>60</v>
      </c>
      <c r="B21" t="s">
        <v>35</v>
      </c>
      <c r="C21" t="s">
        <v>63</v>
      </c>
      <c r="D21" t="s">
        <v>64</v>
      </c>
      <c r="G21">
        <f t="shared" si="0"/>
        <v>90000000</v>
      </c>
      <c r="H21">
        <v>6300000</v>
      </c>
      <c r="I21">
        <v>5850000</v>
      </c>
      <c r="J21">
        <v>7020000</v>
      </c>
      <c r="K21">
        <v>7200000</v>
      </c>
      <c r="L21">
        <v>7380000</v>
      </c>
      <c r="M21">
        <v>7650000</v>
      </c>
      <c r="N21">
        <v>7920000</v>
      </c>
      <c r="O21">
        <v>7830000</v>
      </c>
      <c r="P21">
        <v>7650000</v>
      </c>
      <c r="Q21">
        <v>8370000</v>
      </c>
      <c r="R21">
        <v>8280000</v>
      </c>
      <c r="S21">
        <v>8550000</v>
      </c>
    </row>
    <row r="22" spans="1:19">
      <c r="A22" t="s">
        <v>26</v>
      </c>
      <c r="B22" t="s">
        <v>35</v>
      </c>
      <c r="C22" t="s">
        <v>65</v>
      </c>
      <c r="D22" t="s">
        <v>66</v>
      </c>
      <c r="G22">
        <f t="shared" si="0"/>
        <v>90000000</v>
      </c>
      <c r="H22">
        <v>6300000</v>
      </c>
      <c r="I22">
        <v>5850000</v>
      </c>
      <c r="J22">
        <v>7020000</v>
      </c>
      <c r="K22">
        <v>7200000</v>
      </c>
      <c r="L22">
        <v>7380000</v>
      </c>
      <c r="M22">
        <v>7650000</v>
      </c>
      <c r="N22">
        <v>7920000</v>
      </c>
      <c r="O22">
        <v>7830000</v>
      </c>
      <c r="P22">
        <v>7650000</v>
      </c>
      <c r="Q22">
        <v>8370000</v>
      </c>
      <c r="R22">
        <v>8280000</v>
      </c>
      <c r="S22">
        <v>8550000</v>
      </c>
    </row>
    <row r="23" spans="1:19">
      <c r="A23" t="s">
        <v>26</v>
      </c>
      <c r="B23" t="s">
        <v>35</v>
      </c>
      <c r="C23" t="s">
        <v>67</v>
      </c>
      <c r="D23" t="s">
        <v>68</v>
      </c>
      <c r="G23">
        <f t="shared" si="0"/>
        <v>70000000</v>
      </c>
      <c r="H23">
        <v>4900000</v>
      </c>
      <c r="I23">
        <v>4550000</v>
      </c>
      <c r="J23">
        <v>5460000</v>
      </c>
      <c r="K23">
        <v>5600000</v>
      </c>
      <c r="L23">
        <v>5740000</v>
      </c>
      <c r="M23">
        <v>5950000</v>
      </c>
      <c r="N23">
        <v>6160000</v>
      </c>
      <c r="O23">
        <v>6090000</v>
      </c>
      <c r="P23">
        <v>5950000</v>
      </c>
      <c r="Q23">
        <v>6510000</v>
      </c>
      <c r="R23">
        <v>6440000</v>
      </c>
      <c r="S23">
        <v>6650000</v>
      </c>
    </row>
    <row r="24" spans="1:19">
      <c r="A24" t="s">
        <v>26</v>
      </c>
      <c r="B24" t="s">
        <v>35</v>
      </c>
      <c r="C24" t="s">
        <v>69</v>
      </c>
      <c r="D24" t="s">
        <v>70</v>
      </c>
      <c r="G24">
        <f t="shared" si="0"/>
        <v>70000000</v>
      </c>
      <c r="H24">
        <v>4900000</v>
      </c>
      <c r="I24">
        <v>4550000</v>
      </c>
      <c r="J24">
        <v>5460000</v>
      </c>
      <c r="K24">
        <v>5600000</v>
      </c>
      <c r="L24">
        <v>5740000</v>
      </c>
      <c r="M24">
        <v>5950000</v>
      </c>
      <c r="N24">
        <v>6160000</v>
      </c>
      <c r="O24">
        <v>6090000</v>
      </c>
      <c r="P24">
        <v>5950000</v>
      </c>
      <c r="Q24">
        <v>6510000</v>
      </c>
      <c r="R24">
        <v>6440000</v>
      </c>
      <c r="S24">
        <v>6650000</v>
      </c>
    </row>
    <row r="25" spans="1:19">
      <c r="A25" t="s">
        <v>23</v>
      </c>
      <c r="B25" t="s">
        <v>35</v>
      </c>
      <c r="C25" t="s">
        <v>71</v>
      </c>
      <c r="D25" t="s">
        <v>72</v>
      </c>
      <c r="G25">
        <f t="shared" si="0"/>
        <v>140000000</v>
      </c>
      <c r="H25">
        <v>9800000</v>
      </c>
      <c r="I25">
        <v>9100000</v>
      </c>
      <c r="J25">
        <v>10920000</v>
      </c>
      <c r="K25">
        <v>11200000</v>
      </c>
      <c r="L25">
        <v>11480000</v>
      </c>
      <c r="M25">
        <v>11900000</v>
      </c>
      <c r="N25">
        <v>12320000</v>
      </c>
      <c r="O25">
        <v>12180000</v>
      </c>
      <c r="P25">
        <v>11900000</v>
      </c>
      <c r="Q25">
        <v>13020000</v>
      </c>
      <c r="R25">
        <v>12880000</v>
      </c>
      <c r="S25">
        <v>13300000</v>
      </c>
    </row>
    <row r="26" spans="1:19">
      <c r="A26" t="s">
        <v>23</v>
      </c>
      <c r="B26" t="s">
        <v>35</v>
      </c>
      <c r="C26" t="s">
        <v>73</v>
      </c>
      <c r="D26" t="s">
        <v>74</v>
      </c>
      <c r="G26">
        <f t="shared" si="0"/>
        <v>130000000</v>
      </c>
      <c r="H26">
        <v>9100000</v>
      </c>
      <c r="I26">
        <v>8450000</v>
      </c>
      <c r="J26">
        <v>10140000</v>
      </c>
      <c r="K26">
        <v>10400000</v>
      </c>
      <c r="L26">
        <v>10660000</v>
      </c>
      <c r="M26">
        <v>11050000</v>
      </c>
      <c r="N26">
        <v>11440000</v>
      </c>
      <c r="O26">
        <v>11310000</v>
      </c>
      <c r="P26">
        <v>11050000</v>
      </c>
      <c r="Q26">
        <v>12090000</v>
      </c>
      <c r="R26">
        <v>11960000</v>
      </c>
      <c r="S26">
        <v>12350000</v>
      </c>
    </row>
    <row r="27" spans="1:19">
      <c r="A27" t="s">
        <v>19</v>
      </c>
      <c r="B27" t="s">
        <v>20</v>
      </c>
      <c r="C27" t="s">
        <v>75</v>
      </c>
      <c r="D27" t="s">
        <v>76</v>
      </c>
      <c r="G27">
        <f t="shared" si="0"/>
        <v>60000000</v>
      </c>
      <c r="H27">
        <v>4200000</v>
      </c>
      <c r="I27">
        <v>3900000</v>
      </c>
      <c r="J27">
        <v>4680000</v>
      </c>
      <c r="K27">
        <v>4800000</v>
      </c>
      <c r="L27">
        <v>4920000</v>
      </c>
      <c r="M27">
        <v>5100000</v>
      </c>
      <c r="N27">
        <v>5280000</v>
      </c>
      <c r="O27">
        <v>5220000</v>
      </c>
      <c r="P27">
        <v>5100000</v>
      </c>
      <c r="Q27">
        <v>5580000</v>
      </c>
      <c r="R27">
        <v>5520000</v>
      </c>
      <c r="S27">
        <v>5700000</v>
      </c>
    </row>
    <row r="28" spans="1:19">
      <c r="A28" t="s">
        <v>19</v>
      </c>
      <c r="B28" t="s">
        <v>77</v>
      </c>
      <c r="C28" t="s">
        <v>78</v>
      </c>
      <c r="D28" t="s">
        <v>79</v>
      </c>
      <c r="G28">
        <f t="shared" si="0"/>
        <v>4440921461</v>
      </c>
      <c r="H28">
        <v>315942977</v>
      </c>
      <c r="I28">
        <v>300445911</v>
      </c>
      <c r="J28">
        <v>350721290</v>
      </c>
      <c r="K28">
        <v>358567039</v>
      </c>
      <c r="L28">
        <v>367453202</v>
      </c>
      <c r="M28">
        <v>379742065</v>
      </c>
      <c r="N28">
        <v>390990515</v>
      </c>
      <c r="O28">
        <v>385507119</v>
      </c>
      <c r="P28">
        <v>376620957</v>
      </c>
      <c r="Q28">
        <v>402802214</v>
      </c>
      <c r="R28">
        <v>398359099</v>
      </c>
      <c r="S28">
        <v>413769073</v>
      </c>
    </row>
    <row r="29" spans="1:19">
      <c r="A29" t="s">
        <v>19</v>
      </c>
      <c r="B29" t="s">
        <v>35</v>
      </c>
      <c r="C29" t="s">
        <v>80</v>
      </c>
      <c r="D29" t="s">
        <v>81</v>
      </c>
      <c r="G29">
        <f t="shared" si="0"/>
        <v>300000000</v>
      </c>
      <c r="H29">
        <v>21000000</v>
      </c>
      <c r="I29">
        <v>19500000</v>
      </c>
      <c r="J29">
        <v>23400000</v>
      </c>
      <c r="K29">
        <v>24000000</v>
      </c>
      <c r="L29">
        <v>24600000</v>
      </c>
      <c r="M29">
        <v>25500000</v>
      </c>
      <c r="N29">
        <v>26400000</v>
      </c>
      <c r="O29">
        <v>26100000</v>
      </c>
      <c r="P29">
        <v>25500000</v>
      </c>
      <c r="Q29">
        <v>27900000</v>
      </c>
      <c r="R29">
        <v>27600000</v>
      </c>
      <c r="S29">
        <v>28500000</v>
      </c>
    </row>
    <row r="30" spans="1:19">
      <c r="A30" t="s">
        <v>19</v>
      </c>
      <c r="B30" t="s">
        <v>77</v>
      </c>
      <c r="C30" t="s">
        <v>82</v>
      </c>
      <c r="D30" t="s">
        <v>83</v>
      </c>
      <c r="G30">
        <f t="shared" si="0"/>
        <v>4440921461</v>
      </c>
      <c r="H30">
        <v>315942977</v>
      </c>
      <c r="I30">
        <v>300445911</v>
      </c>
      <c r="J30">
        <v>350721290</v>
      </c>
      <c r="K30">
        <v>358567039</v>
      </c>
      <c r="L30">
        <v>367453202</v>
      </c>
      <c r="M30">
        <v>379742065</v>
      </c>
      <c r="N30">
        <v>390990515</v>
      </c>
      <c r="O30">
        <v>385507119</v>
      </c>
      <c r="P30">
        <v>376620957</v>
      </c>
      <c r="Q30">
        <v>402802214</v>
      </c>
      <c r="R30">
        <v>398359099</v>
      </c>
      <c r="S30">
        <v>413769073</v>
      </c>
    </row>
    <row r="31" spans="1:19">
      <c r="A31" t="s">
        <v>19</v>
      </c>
      <c r="B31" t="s">
        <v>84</v>
      </c>
      <c r="C31" t="s">
        <v>85</v>
      </c>
      <c r="D31" t="s">
        <v>86</v>
      </c>
      <c r="G31">
        <f t="shared" si="0"/>
        <v>97932276420</v>
      </c>
      <c r="H31">
        <f t="shared" ref="H31:S31" si="8">H32+H39+H40+H44</f>
        <v>7339782891</v>
      </c>
      <c r="I31">
        <f t="shared" si="8"/>
        <v>7624933773</v>
      </c>
      <c r="J31">
        <f t="shared" si="8"/>
        <v>8026416387</v>
      </c>
      <c r="K31">
        <f t="shared" si="8"/>
        <v>8125370109</v>
      </c>
      <c r="L31">
        <f t="shared" si="8"/>
        <v>8321235960</v>
      </c>
      <c r="M31">
        <f t="shared" si="8"/>
        <v>8518122618</v>
      </c>
      <c r="N31">
        <f t="shared" si="8"/>
        <v>8618097153</v>
      </c>
      <c r="O31">
        <f t="shared" si="8"/>
        <v>8423252133</v>
      </c>
      <c r="P31">
        <f t="shared" si="8"/>
        <v>8227386285</v>
      </c>
      <c r="Q31">
        <f t="shared" si="8"/>
        <v>8138640663</v>
      </c>
      <c r="R31">
        <f t="shared" si="8"/>
        <v>8040707727</v>
      </c>
      <c r="S31">
        <f t="shared" si="8"/>
        <v>8528330721</v>
      </c>
    </row>
    <row r="32" spans="1:19">
      <c r="A32" t="s">
        <v>23</v>
      </c>
      <c r="B32" t="s">
        <v>84</v>
      </c>
      <c r="C32" t="s">
        <v>87</v>
      </c>
      <c r="D32" t="s">
        <v>88</v>
      </c>
      <c r="G32">
        <f t="shared" si="0"/>
        <v>73500000000</v>
      </c>
      <c r="H32">
        <f t="shared" ref="H32:S32" si="9">H33+H36</f>
        <v>5512500000</v>
      </c>
      <c r="I32">
        <f t="shared" si="9"/>
        <v>5733000000</v>
      </c>
      <c r="J32">
        <f t="shared" si="9"/>
        <v>6027000000</v>
      </c>
      <c r="K32">
        <f t="shared" si="9"/>
        <v>6100500000</v>
      </c>
      <c r="L32">
        <f t="shared" si="9"/>
        <v>6247500000</v>
      </c>
      <c r="M32">
        <f t="shared" si="9"/>
        <v>6394500000</v>
      </c>
      <c r="N32">
        <f t="shared" si="9"/>
        <v>6468000000</v>
      </c>
      <c r="O32">
        <f t="shared" si="9"/>
        <v>6321000000</v>
      </c>
      <c r="P32">
        <f t="shared" si="9"/>
        <v>6174000000</v>
      </c>
      <c r="Q32">
        <f t="shared" si="9"/>
        <v>6100500000</v>
      </c>
      <c r="R32">
        <f t="shared" si="9"/>
        <v>6027000000</v>
      </c>
      <c r="S32">
        <f t="shared" si="9"/>
        <v>6394500000</v>
      </c>
    </row>
    <row r="33" spans="1:19">
      <c r="A33" t="s">
        <v>26</v>
      </c>
      <c r="B33" t="s">
        <v>84</v>
      </c>
      <c r="C33" t="s">
        <v>89</v>
      </c>
      <c r="D33" t="s">
        <v>90</v>
      </c>
      <c r="G33">
        <f t="shared" si="0"/>
        <v>63000000000</v>
      </c>
      <c r="H33">
        <f t="shared" ref="H33:S33" si="10">H34+H35</f>
        <v>4725000000</v>
      </c>
      <c r="I33">
        <f t="shared" si="10"/>
        <v>4914000000</v>
      </c>
      <c r="J33">
        <f t="shared" si="10"/>
        <v>5166000000</v>
      </c>
      <c r="K33">
        <f t="shared" si="10"/>
        <v>5229000000</v>
      </c>
      <c r="L33">
        <f t="shared" si="10"/>
        <v>5355000000</v>
      </c>
      <c r="M33">
        <f t="shared" si="10"/>
        <v>5481000000</v>
      </c>
      <c r="N33">
        <f t="shared" si="10"/>
        <v>5544000000</v>
      </c>
      <c r="O33">
        <f t="shared" si="10"/>
        <v>5418000000</v>
      </c>
      <c r="P33">
        <f t="shared" si="10"/>
        <v>5292000000</v>
      </c>
      <c r="Q33">
        <f t="shared" si="10"/>
        <v>5229000000</v>
      </c>
      <c r="R33">
        <f t="shared" si="10"/>
        <v>5166000000</v>
      </c>
      <c r="S33">
        <f t="shared" si="10"/>
        <v>5481000000</v>
      </c>
    </row>
    <row r="34" spans="1:19">
      <c r="A34" t="s">
        <v>60</v>
      </c>
      <c r="B34" t="s">
        <v>84</v>
      </c>
      <c r="C34" t="s">
        <v>91</v>
      </c>
      <c r="D34" t="s">
        <v>92</v>
      </c>
      <c r="G34">
        <f t="shared" si="0"/>
        <v>36750000000</v>
      </c>
      <c r="H34">
        <v>2756250000</v>
      </c>
      <c r="I34">
        <v>2866500000</v>
      </c>
      <c r="J34">
        <v>3013500000</v>
      </c>
      <c r="K34">
        <v>3050250000</v>
      </c>
      <c r="L34">
        <v>3123750000</v>
      </c>
      <c r="M34">
        <v>3197250000</v>
      </c>
      <c r="N34">
        <v>3234000000</v>
      </c>
      <c r="O34">
        <v>3160500000</v>
      </c>
      <c r="P34">
        <v>3087000000</v>
      </c>
      <c r="Q34">
        <v>3050250000</v>
      </c>
      <c r="R34">
        <v>3013500000</v>
      </c>
      <c r="S34">
        <v>3197250000</v>
      </c>
    </row>
    <row r="35" spans="1:19">
      <c r="A35" t="s">
        <v>60</v>
      </c>
      <c r="B35" t="s">
        <v>84</v>
      </c>
      <c r="C35" t="s">
        <v>93</v>
      </c>
      <c r="D35" t="s">
        <v>94</v>
      </c>
      <c r="G35">
        <f t="shared" si="0"/>
        <v>26250000000</v>
      </c>
      <c r="H35">
        <v>1968750000</v>
      </c>
      <c r="I35">
        <v>2047500000</v>
      </c>
      <c r="J35">
        <v>2152500000</v>
      </c>
      <c r="K35">
        <v>2178750000</v>
      </c>
      <c r="L35">
        <v>2231250000</v>
      </c>
      <c r="M35">
        <v>2283750000</v>
      </c>
      <c r="N35">
        <v>2310000000</v>
      </c>
      <c r="O35">
        <v>2257500000</v>
      </c>
      <c r="P35">
        <v>2205000000</v>
      </c>
      <c r="Q35">
        <v>2178750000</v>
      </c>
      <c r="R35">
        <v>2152500000</v>
      </c>
      <c r="S35">
        <v>2283750000</v>
      </c>
    </row>
    <row r="36" spans="1:19">
      <c r="A36" t="s">
        <v>26</v>
      </c>
      <c r="B36" t="s">
        <v>84</v>
      </c>
      <c r="C36" t="s">
        <v>95</v>
      </c>
      <c r="D36" t="s">
        <v>96</v>
      </c>
      <c r="G36">
        <f t="shared" si="0"/>
        <v>10500000000</v>
      </c>
      <c r="H36">
        <f t="shared" ref="H36:S36" si="11">H37+H38</f>
        <v>787500000</v>
      </c>
      <c r="I36">
        <f t="shared" si="11"/>
        <v>819000000</v>
      </c>
      <c r="J36">
        <f t="shared" si="11"/>
        <v>861000000</v>
      </c>
      <c r="K36">
        <f t="shared" si="11"/>
        <v>871500000</v>
      </c>
      <c r="L36">
        <f t="shared" si="11"/>
        <v>892500000</v>
      </c>
      <c r="M36">
        <f t="shared" si="11"/>
        <v>913500000</v>
      </c>
      <c r="N36">
        <f t="shared" si="11"/>
        <v>924000000</v>
      </c>
      <c r="O36">
        <f t="shared" si="11"/>
        <v>903000000</v>
      </c>
      <c r="P36">
        <f t="shared" si="11"/>
        <v>882000000</v>
      </c>
      <c r="Q36">
        <f t="shared" si="11"/>
        <v>871500000</v>
      </c>
      <c r="R36">
        <f t="shared" si="11"/>
        <v>861000000</v>
      </c>
      <c r="S36">
        <f t="shared" si="11"/>
        <v>913500000</v>
      </c>
    </row>
    <row r="37" spans="1:19">
      <c r="A37" t="s">
        <v>60</v>
      </c>
      <c r="B37" t="s">
        <v>84</v>
      </c>
      <c r="C37" t="s">
        <v>97</v>
      </c>
      <c r="D37" t="s">
        <v>98</v>
      </c>
      <c r="G37">
        <f t="shared" si="0"/>
        <v>6300000000</v>
      </c>
      <c r="H37">
        <v>472500000</v>
      </c>
      <c r="I37">
        <v>491400000</v>
      </c>
      <c r="J37">
        <v>516600000</v>
      </c>
      <c r="K37">
        <v>522900000</v>
      </c>
      <c r="L37">
        <v>535500000</v>
      </c>
      <c r="M37">
        <v>548100000</v>
      </c>
      <c r="N37">
        <v>554400000</v>
      </c>
      <c r="O37">
        <v>541800000</v>
      </c>
      <c r="P37">
        <v>529200000</v>
      </c>
      <c r="Q37">
        <v>522900000</v>
      </c>
      <c r="R37">
        <v>516600000</v>
      </c>
      <c r="S37">
        <v>548100000</v>
      </c>
    </row>
    <row r="38" spans="1:19">
      <c r="A38" t="s">
        <v>60</v>
      </c>
      <c r="B38" t="s">
        <v>84</v>
      </c>
      <c r="C38" t="s">
        <v>99</v>
      </c>
      <c r="D38" t="s">
        <v>100</v>
      </c>
      <c r="G38">
        <f t="shared" si="0"/>
        <v>4200000000</v>
      </c>
      <c r="H38">
        <v>315000000</v>
      </c>
      <c r="I38">
        <v>327600000</v>
      </c>
      <c r="J38">
        <v>344400000</v>
      </c>
      <c r="K38">
        <v>348600000</v>
      </c>
      <c r="L38">
        <v>357000000</v>
      </c>
      <c r="M38">
        <v>365400000</v>
      </c>
      <c r="N38">
        <v>369600000</v>
      </c>
      <c r="O38">
        <v>361200000</v>
      </c>
      <c r="P38">
        <v>352800000</v>
      </c>
      <c r="Q38">
        <v>348600000</v>
      </c>
      <c r="R38">
        <v>344400000</v>
      </c>
      <c r="S38">
        <v>365400000</v>
      </c>
    </row>
    <row r="39" spans="1:19">
      <c r="A39" t="s">
        <v>23</v>
      </c>
      <c r="B39" t="s">
        <v>84</v>
      </c>
      <c r="C39" t="s">
        <v>101</v>
      </c>
      <c r="D39" t="s">
        <v>102</v>
      </c>
      <c r="G39">
        <f t="shared" si="0"/>
        <v>15750000000</v>
      </c>
      <c r="H39">
        <v>1181250000</v>
      </c>
      <c r="I39">
        <v>1228500000</v>
      </c>
      <c r="J39">
        <v>1291500000</v>
      </c>
      <c r="K39">
        <v>1307250000</v>
      </c>
      <c r="L39">
        <v>1338750000</v>
      </c>
      <c r="M39">
        <v>1370250000</v>
      </c>
      <c r="N39">
        <v>1386000000</v>
      </c>
      <c r="O39">
        <v>1354500000</v>
      </c>
      <c r="P39">
        <v>1323000000</v>
      </c>
      <c r="Q39">
        <v>1307250000</v>
      </c>
      <c r="R39">
        <v>1291500000</v>
      </c>
      <c r="S39">
        <v>1370250000</v>
      </c>
    </row>
    <row r="40" spans="1:19">
      <c r="A40" t="s">
        <v>23</v>
      </c>
      <c r="B40" t="s">
        <v>84</v>
      </c>
      <c r="C40" t="s">
        <v>103</v>
      </c>
      <c r="D40" t="s">
        <v>104</v>
      </c>
      <c r="G40">
        <f t="shared" si="0"/>
        <v>1332276420</v>
      </c>
      <c r="H40">
        <f t="shared" ref="H40:S40" si="12">H41+H42+H43</f>
        <v>94782891</v>
      </c>
      <c r="I40">
        <f t="shared" si="12"/>
        <v>90133773</v>
      </c>
      <c r="J40">
        <f t="shared" si="12"/>
        <v>105216387</v>
      </c>
      <c r="K40">
        <f t="shared" si="12"/>
        <v>107570109</v>
      </c>
      <c r="L40">
        <f t="shared" si="12"/>
        <v>110235960</v>
      </c>
      <c r="M40">
        <f t="shared" si="12"/>
        <v>113922618</v>
      </c>
      <c r="N40">
        <f t="shared" si="12"/>
        <v>117297153</v>
      </c>
      <c r="O40">
        <f t="shared" si="12"/>
        <v>115652133</v>
      </c>
      <c r="P40">
        <f t="shared" si="12"/>
        <v>112986285</v>
      </c>
      <c r="Q40">
        <f t="shared" si="12"/>
        <v>120840663</v>
      </c>
      <c r="R40">
        <f t="shared" si="12"/>
        <v>119507727</v>
      </c>
      <c r="S40">
        <f t="shared" si="12"/>
        <v>124130721</v>
      </c>
    </row>
    <row r="41" spans="1:19">
      <c r="A41" t="s">
        <v>26</v>
      </c>
      <c r="B41" t="s">
        <v>84</v>
      </c>
      <c r="C41" t="s">
        <v>105</v>
      </c>
      <c r="D41" t="s">
        <v>106</v>
      </c>
      <c r="G41">
        <f t="shared" si="0"/>
        <v>444092140</v>
      </c>
      <c r="H41">
        <v>31594297</v>
      </c>
      <c r="I41">
        <v>30044591</v>
      </c>
      <c r="J41">
        <v>35072129</v>
      </c>
      <c r="K41">
        <v>35856703</v>
      </c>
      <c r="L41">
        <v>36745320</v>
      </c>
      <c r="M41">
        <v>37974206</v>
      </c>
      <c r="N41">
        <v>39099051</v>
      </c>
      <c r="O41">
        <v>38550711</v>
      </c>
      <c r="P41">
        <v>37662095</v>
      </c>
      <c r="Q41">
        <v>40280221</v>
      </c>
      <c r="R41">
        <v>39835909</v>
      </c>
      <c r="S41">
        <v>41376907</v>
      </c>
    </row>
    <row r="42" spans="1:19">
      <c r="A42" t="s">
        <v>26</v>
      </c>
      <c r="B42" t="s">
        <v>84</v>
      </c>
      <c r="C42" t="s">
        <v>107</v>
      </c>
      <c r="D42" t="s">
        <v>108</v>
      </c>
      <c r="G42">
        <f t="shared" si="0"/>
        <v>444092140</v>
      </c>
      <c r="H42">
        <v>31594297</v>
      </c>
      <c r="I42">
        <v>30044591</v>
      </c>
      <c r="J42">
        <v>35072129</v>
      </c>
      <c r="K42">
        <v>35856703</v>
      </c>
      <c r="L42">
        <v>36745320</v>
      </c>
      <c r="M42">
        <v>37974206</v>
      </c>
      <c r="N42">
        <v>39099051</v>
      </c>
      <c r="O42">
        <v>38550711</v>
      </c>
      <c r="P42">
        <v>37662095</v>
      </c>
      <c r="Q42">
        <v>40280221</v>
      </c>
      <c r="R42">
        <v>39835909</v>
      </c>
      <c r="S42">
        <v>41376907</v>
      </c>
    </row>
    <row r="43" spans="1:19">
      <c r="A43" t="s">
        <v>26</v>
      </c>
      <c r="B43" t="s">
        <v>84</v>
      </c>
      <c r="C43" t="s">
        <v>109</v>
      </c>
      <c r="D43" t="s">
        <v>110</v>
      </c>
      <c r="G43">
        <f t="shared" si="0"/>
        <v>444092140</v>
      </c>
      <c r="H43">
        <v>31594297</v>
      </c>
      <c r="I43">
        <v>30044591</v>
      </c>
      <c r="J43">
        <v>35072129</v>
      </c>
      <c r="K43">
        <v>35856703</v>
      </c>
      <c r="L43">
        <v>36745320</v>
      </c>
      <c r="M43">
        <v>37974206</v>
      </c>
      <c r="N43">
        <v>39099051</v>
      </c>
      <c r="O43">
        <v>38550711</v>
      </c>
      <c r="P43">
        <v>37662095</v>
      </c>
      <c r="Q43">
        <v>40280221</v>
      </c>
      <c r="R43">
        <v>39835909</v>
      </c>
      <c r="S43">
        <v>41376907</v>
      </c>
    </row>
    <row r="44" spans="1:19">
      <c r="A44" t="s">
        <v>23</v>
      </c>
      <c r="B44" t="s">
        <v>84</v>
      </c>
      <c r="C44" t="s">
        <v>111</v>
      </c>
      <c r="D44" t="s">
        <v>112</v>
      </c>
      <c r="G44">
        <f t="shared" si="0"/>
        <v>7350000000</v>
      </c>
      <c r="H44">
        <v>551250000</v>
      </c>
      <c r="I44">
        <v>573300000</v>
      </c>
      <c r="J44">
        <v>602700000</v>
      </c>
      <c r="K44">
        <v>610050000</v>
      </c>
      <c r="L44">
        <v>624750000</v>
      </c>
      <c r="M44">
        <v>639450000</v>
      </c>
      <c r="N44">
        <v>646800000</v>
      </c>
      <c r="O44">
        <v>632100000</v>
      </c>
      <c r="P44">
        <v>617400000</v>
      </c>
      <c r="Q44">
        <v>610050000</v>
      </c>
      <c r="R44">
        <v>602700000</v>
      </c>
      <c r="S44">
        <v>639450000</v>
      </c>
    </row>
    <row r="45" spans="1:19">
      <c r="A45" t="s">
        <v>19</v>
      </c>
      <c r="B45" t="s">
        <v>113</v>
      </c>
      <c r="C45" t="s">
        <v>114</v>
      </c>
      <c r="D45" t="s">
        <v>115</v>
      </c>
      <c r="G45">
        <f t="shared" si="0"/>
        <v>24609913212</v>
      </c>
      <c r="H45">
        <f t="shared" ref="H45:S45" si="13">H46+H53+H54+H58</f>
        <v>1839920603</v>
      </c>
      <c r="I45">
        <f t="shared" si="13"/>
        <v>1903951605</v>
      </c>
      <c r="J45">
        <f t="shared" si="13"/>
        <v>2013445235</v>
      </c>
      <c r="K45">
        <f t="shared" si="13"/>
        <v>2039212785</v>
      </c>
      <c r="L45">
        <f t="shared" si="13"/>
        <v>2088434084</v>
      </c>
      <c r="M45">
        <f t="shared" si="13"/>
        <v>2138812294</v>
      </c>
      <c r="N45">
        <f t="shared" si="13"/>
        <v>2165736769</v>
      </c>
      <c r="O45">
        <f t="shared" si="13"/>
        <v>2117672413</v>
      </c>
      <c r="P45">
        <f t="shared" si="13"/>
        <v>2068451117</v>
      </c>
      <c r="Q45">
        <f t="shared" si="13"/>
        <v>2054252747</v>
      </c>
      <c r="R45">
        <f t="shared" si="13"/>
        <v>2029642083</v>
      </c>
      <c r="S45">
        <f t="shared" si="13"/>
        <v>2150381477</v>
      </c>
    </row>
    <row r="46" spans="1:19">
      <c r="A46" t="s">
        <v>23</v>
      </c>
      <c r="B46" t="s">
        <v>113</v>
      </c>
      <c r="C46" t="s">
        <v>116</v>
      </c>
      <c r="D46" t="s">
        <v>117</v>
      </c>
      <c r="G46">
        <f t="shared" si="0"/>
        <v>177636792</v>
      </c>
      <c r="H46">
        <f t="shared" ref="H46:S46" si="14">H47+H50</f>
        <v>12637712</v>
      </c>
      <c r="I46">
        <f t="shared" si="14"/>
        <v>12017832</v>
      </c>
      <c r="J46">
        <f t="shared" si="14"/>
        <v>14028848</v>
      </c>
      <c r="K46">
        <f t="shared" si="14"/>
        <v>14342676</v>
      </c>
      <c r="L46">
        <f t="shared" si="14"/>
        <v>14698124</v>
      </c>
      <c r="M46">
        <f t="shared" si="14"/>
        <v>15189676</v>
      </c>
      <c r="N46">
        <f t="shared" si="14"/>
        <v>15639616</v>
      </c>
      <c r="O46">
        <f t="shared" si="14"/>
        <v>15420280</v>
      </c>
      <c r="P46">
        <f t="shared" si="14"/>
        <v>15064832</v>
      </c>
      <c r="Q46">
        <f t="shared" si="14"/>
        <v>16112084</v>
      </c>
      <c r="R46">
        <f t="shared" si="14"/>
        <v>15934356</v>
      </c>
      <c r="S46">
        <f t="shared" si="14"/>
        <v>16550756</v>
      </c>
    </row>
    <row r="47" spans="1:19">
      <c r="A47" t="s">
        <v>26</v>
      </c>
      <c r="B47" t="s">
        <v>113</v>
      </c>
      <c r="C47" t="s">
        <v>118</v>
      </c>
      <c r="D47" t="s">
        <v>90</v>
      </c>
      <c r="G47">
        <f t="shared" si="0"/>
        <v>88818396</v>
      </c>
      <c r="H47">
        <f t="shared" ref="H47:S47" si="15">H48+H49</f>
        <v>6318856</v>
      </c>
      <c r="I47">
        <f t="shared" si="15"/>
        <v>6008916</v>
      </c>
      <c r="J47">
        <f t="shared" si="15"/>
        <v>7014424</v>
      </c>
      <c r="K47">
        <f t="shared" si="15"/>
        <v>7171338</v>
      </c>
      <c r="L47">
        <f t="shared" si="15"/>
        <v>7349062</v>
      </c>
      <c r="M47">
        <f t="shared" si="15"/>
        <v>7594838</v>
      </c>
      <c r="N47">
        <f t="shared" si="15"/>
        <v>7819808</v>
      </c>
      <c r="O47">
        <f t="shared" si="15"/>
        <v>7710140</v>
      </c>
      <c r="P47">
        <f t="shared" si="15"/>
        <v>7532416</v>
      </c>
      <c r="Q47">
        <f t="shared" si="15"/>
        <v>8056042</v>
      </c>
      <c r="R47">
        <f t="shared" si="15"/>
        <v>7967178</v>
      </c>
      <c r="S47">
        <f t="shared" si="15"/>
        <v>8275378</v>
      </c>
    </row>
    <row r="48" spans="1:19">
      <c r="A48" t="s">
        <v>60</v>
      </c>
      <c r="B48" t="s">
        <v>113</v>
      </c>
      <c r="C48" t="s">
        <v>119</v>
      </c>
      <c r="D48" t="s">
        <v>92</v>
      </c>
      <c r="G48">
        <f t="shared" si="0"/>
        <v>44409198</v>
      </c>
      <c r="H48">
        <v>3159428</v>
      </c>
      <c r="I48">
        <v>3004458</v>
      </c>
      <c r="J48">
        <v>3507212</v>
      </c>
      <c r="K48">
        <v>3585669</v>
      </c>
      <c r="L48">
        <v>3674531</v>
      </c>
      <c r="M48">
        <v>3797419</v>
      </c>
      <c r="N48">
        <v>3909904</v>
      </c>
      <c r="O48">
        <v>3855070</v>
      </c>
      <c r="P48">
        <v>3766208</v>
      </c>
      <c r="Q48">
        <v>4028021</v>
      </c>
      <c r="R48">
        <v>3983589</v>
      </c>
      <c r="S48">
        <v>4137689</v>
      </c>
    </row>
    <row r="49" spans="1:19">
      <c r="A49" t="s">
        <v>60</v>
      </c>
      <c r="B49" t="s">
        <v>113</v>
      </c>
      <c r="C49" t="s">
        <v>120</v>
      </c>
      <c r="D49" t="s">
        <v>94</v>
      </c>
      <c r="G49">
        <f t="shared" si="0"/>
        <v>44409198</v>
      </c>
      <c r="H49">
        <v>3159428</v>
      </c>
      <c r="I49">
        <v>3004458</v>
      </c>
      <c r="J49">
        <v>3507212</v>
      </c>
      <c r="K49">
        <v>3585669</v>
      </c>
      <c r="L49">
        <v>3674531</v>
      </c>
      <c r="M49">
        <v>3797419</v>
      </c>
      <c r="N49">
        <v>3909904</v>
      </c>
      <c r="O49">
        <v>3855070</v>
      </c>
      <c r="P49">
        <v>3766208</v>
      </c>
      <c r="Q49">
        <v>4028021</v>
      </c>
      <c r="R49">
        <v>3983589</v>
      </c>
      <c r="S49">
        <v>4137689</v>
      </c>
    </row>
    <row r="50" spans="1:19">
      <c r="A50" t="s">
        <v>26</v>
      </c>
      <c r="B50" t="s">
        <v>113</v>
      </c>
      <c r="C50" t="s">
        <v>121</v>
      </c>
      <c r="D50" t="s">
        <v>96</v>
      </c>
      <c r="G50">
        <f t="shared" si="0"/>
        <v>88818396</v>
      </c>
      <c r="H50">
        <f t="shared" ref="H50:S50" si="16">H51+H52</f>
        <v>6318856</v>
      </c>
      <c r="I50">
        <f t="shared" si="16"/>
        <v>6008916</v>
      </c>
      <c r="J50">
        <f t="shared" si="16"/>
        <v>7014424</v>
      </c>
      <c r="K50">
        <f t="shared" si="16"/>
        <v>7171338</v>
      </c>
      <c r="L50">
        <f t="shared" si="16"/>
        <v>7349062</v>
      </c>
      <c r="M50">
        <f t="shared" si="16"/>
        <v>7594838</v>
      </c>
      <c r="N50">
        <f t="shared" si="16"/>
        <v>7819808</v>
      </c>
      <c r="O50">
        <f t="shared" si="16"/>
        <v>7710140</v>
      </c>
      <c r="P50">
        <f t="shared" si="16"/>
        <v>7532416</v>
      </c>
      <c r="Q50">
        <f t="shared" si="16"/>
        <v>8056042</v>
      </c>
      <c r="R50">
        <f t="shared" si="16"/>
        <v>7967178</v>
      </c>
      <c r="S50">
        <f t="shared" si="16"/>
        <v>8275378</v>
      </c>
    </row>
    <row r="51" spans="1:19">
      <c r="A51" t="s">
        <v>60</v>
      </c>
      <c r="B51" t="s">
        <v>113</v>
      </c>
      <c r="C51" t="s">
        <v>122</v>
      </c>
      <c r="D51" t="s">
        <v>98</v>
      </c>
      <c r="G51">
        <f t="shared" si="0"/>
        <v>44409198</v>
      </c>
      <c r="H51">
        <v>3159428</v>
      </c>
      <c r="I51">
        <v>3004458</v>
      </c>
      <c r="J51">
        <v>3507212</v>
      </c>
      <c r="K51">
        <v>3585669</v>
      </c>
      <c r="L51">
        <v>3674531</v>
      </c>
      <c r="M51">
        <v>3797419</v>
      </c>
      <c r="N51">
        <v>3909904</v>
      </c>
      <c r="O51">
        <v>3855070</v>
      </c>
      <c r="P51">
        <v>3766208</v>
      </c>
      <c r="Q51">
        <v>4028021</v>
      </c>
      <c r="R51">
        <v>3983589</v>
      </c>
      <c r="S51">
        <v>4137689</v>
      </c>
    </row>
    <row r="52" spans="1:19">
      <c r="A52" t="s">
        <v>60</v>
      </c>
      <c r="B52" t="s">
        <v>113</v>
      </c>
      <c r="C52" t="s">
        <v>123</v>
      </c>
      <c r="D52" t="s">
        <v>100</v>
      </c>
      <c r="G52">
        <f t="shared" si="0"/>
        <v>44409198</v>
      </c>
      <c r="H52">
        <v>3159428</v>
      </c>
      <c r="I52">
        <v>3004458</v>
      </c>
      <c r="J52">
        <v>3507212</v>
      </c>
      <c r="K52">
        <v>3585669</v>
      </c>
      <c r="L52">
        <v>3674531</v>
      </c>
      <c r="M52">
        <v>3797419</v>
      </c>
      <c r="N52">
        <v>3909904</v>
      </c>
      <c r="O52">
        <v>3855070</v>
      </c>
      <c r="P52">
        <v>3766208</v>
      </c>
      <c r="Q52">
        <v>4028021</v>
      </c>
      <c r="R52">
        <v>3983589</v>
      </c>
      <c r="S52">
        <v>4137689</v>
      </c>
    </row>
    <row r="53" spans="1:19">
      <c r="A53" t="s">
        <v>23</v>
      </c>
      <c r="B53" t="s">
        <v>113</v>
      </c>
      <c r="C53" t="s">
        <v>124</v>
      </c>
      <c r="D53" t="s">
        <v>102</v>
      </c>
      <c r="G53">
        <f t="shared" si="0"/>
        <v>15750000000</v>
      </c>
      <c r="H53">
        <v>1181250000</v>
      </c>
      <c r="I53">
        <v>1228500000</v>
      </c>
      <c r="J53">
        <v>1291500000</v>
      </c>
      <c r="K53">
        <v>1307250000</v>
      </c>
      <c r="L53">
        <v>1338750000</v>
      </c>
      <c r="M53">
        <v>1370250000</v>
      </c>
      <c r="N53">
        <v>1386000000</v>
      </c>
      <c r="O53">
        <v>1354500000</v>
      </c>
      <c r="P53">
        <v>1323000000</v>
      </c>
      <c r="Q53">
        <v>1307250000</v>
      </c>
      <c r="R53">
        <v>1291500000</v>
      </c>
      <c r="S53">
        <v>1370250000</v>
      </c>
    </row>
    <row r="54" spans="1:19">
      <c r="A54" t="s">
        <v>23</v>
      </c>
      <c r="B54" t="s">
        <v>113</v>
      </c>
      <c r="C54" t="s">
        <v>125</v>
      </c>
      <c r="D54" t="s">
        <v>104</v>
      </c>
      <c r="G54">
        <f t="shared" si="0"/>
        <v>1332276420</v>
      </c>
      <c r="H54">
        <f t="shared" ref="H54:S54" si="17">H55+H56+H57</f>
        <v>94782891</v>
      </c>
      <c r="I54">
        <f t="shared" si="17"/>
        <v>90133773</v>
      </c>
      <c r="J54">
        <f t="shared" si="17"/>
        <v>105216387</v>
      </c>
      <c r="K54">
        <f t="shared" si="17"/>
        <v>107570109</v>
      </c>
      <c r="L54">
        <f t="shared" si="17"/>
        <v>110235960</v>
      </c>
      <c r="M54">
        <f t="shared" si="17"/>
        <v>113922618</v>
      </c>
      <c r="N54">
        <f t="shared" si="17"/>
        <v>117297153</v>
      </c>
      <c r="O54">
        <f t="shared" si="17"/>
        <v>115652133</v>
      </c>
      <c r="P54">
        <f t="shared" si="17"/>
        <v>112986285</v>
      </c>
      <c r="Q54">
        <f t="shared" si="17"/>
        <v>120840663</v>
      </c>
      <c r="R54">
        <f t="shared" si="17"/>
        <v>119507727</v>
      </c>
      <c r="S54">
        <f t="shared" si="17"/>
        <v>124130721</v>
      </c>
    </row>
    <row r="55" spans="1:19">
      <c r="A55" t="s">
        <v>26</v>
      </c>
      <c r="B55" t="s">
        <v>113</v>
      </c>
      <c r="C55" t="s">
        <v>126</v>
      </c>
      <c r="D55" t="s">
        <v>106</v>
      </c>
      <c r="G55">
        <f t="shared" si="0"/>
        <v>444092140</v>
      </c>
      <c r="H55">
        <v>31594297</v>
      </c>
      <c r="I55">
        <v>30044591</v>
      </c>
      <c r="J55">
        <v>35072129</v>
      </c>
      <c r="K55">
        <v>35856703</v>
      </c>
      <c r="L55">
        <v>36745320</v>
      </c>
      <c r="M55">
        <v>37974206</v>
      </c>
      <c r="N55">
        <v>39099051</v>
      </c>
      <c r="O55">
        <v>38550711</v>
      </c>
      <c r="P55">
        <v>37662095</v>
      </c>
      <c r="Q55">
        <v>40280221</v>
      </c>
      <c r="R55">
        <v>39835909</v>
      </c>
      <c r="S55">
        <v>41376907</v>
      </c>
    </row>
    <row r="56" spans="1:19">
      <c r="A56" t="s">
        <v>26</v>
      </c>
      <c r="B56" t="s">
        <v>113</v>
      </c>
      <c r="C56" t="s">
        <v>127</v>
      </c>
      <c r="D56" t="s">
        <v>108</v>
      </c>
      <c r="G56">
        <f t="shared" si="0"/>
        <v>444092140</v>
      </c>
      <c r="H56">
        <v>31594297</v>
      </c>
      <c r="I56">
        <v>30044591</v>
      </c>
      <c r="J56">
        <v>35072129</v>
      </c>
      <c r="K56">
        <v>35856703</v>
      </c>
      <c r="L56">
        <v>36745320</v>
      </c>
      <c r="M56">
        <v>37974206</v>
      </c>
      <c r="N56">
        <v>39099051</v>
      </c>
      <c r="O56">
        <v>38550711</v>
      </c>
      <c r="P56">
        <v>37662095</v>
      </c>
      <c r="Q56">
        <v>40280221</v>
      </c>
      <c r="R56">
        <v>39835909</v>
      </c>
      <c r="S56">
        <v>41376907</v>
      </c>
    </row>
    <row r="57" spans="1:19">
      <c r="A57" t="s">
        <v>26</v>
      </c>
      <c r="B57" t="s">
        <v>113</v>
      </c>
      <c r="C57" t="s">
        <v>128</v>
      </c>
      <c r="D57" t="s">
        <v>110</v>
      </c>
      <c r="G57">
        <f t="shared" si="0"/>
        <v>444092140</v>
      </c>
      <c r="H57">
        <v>31594297</v>
      </c>
      <c r="I57">
        <v>30044591</v>
      </c>
      <c r="J57">
        <v>35072129</v>
      </c>
      <c r="K57">
        <v>35856703</v>
      </c>
      <c r="L57">
        <v>36745320</v>
      </c>
      <c r="M57">
        <v>37974206</v>
      </c>
      <c r="N57">
        <v>39099051</v>
      </c>
      <c r="O57">
        <v>38550711</v>
      </c>
      <c r="P57">
        <v>37662095</v>
      </c>
      <c r="Q57">
        <v>40280221</v>
      </c>
      <c r="R57">
        <v>39835909</v>
      </c>
      <c r="S57">
        <v>41376907</v>
      </c>
    </row>
    <row r="58" spans="1:19">
      <c r="A58" t="s">
        <v>23</v>
      </c>
      <c r="B58" t="s">
        <v>113</v>
      </c>
      <c r="C58" t="s">
        <v>129</v>
      </c>
      <c r="D58" t="s">
        <v>112</v>
      </c>
      <c r="G58">
        <f t="shared" si="0"/>
        <v>7350000000</v>
      </c>
      <c r="H58">
        <v>551250000</v>
      </c>
      <c r="I58">
        <v>573300000</v>
      </c>
      <c r="J58">
        <v>602700000</v>
      </c>
      <c r="K58">
        <v>610050000</v>
      </c>
      <c r="L58">
        <v>624750000</v>
      </c>
      <c r="M58">
        <v>639450000</v>
      </c>
      <c r="N58">
        <v>646800000</v>
      </c>
      <c r="O58">
        <v>632100000</v>
      </c>
      <c r="P58">
        <v>617400000</v>
      </c>
      <c r="Q58">
        <v>610050000</v>
      </c>
      <c r="R58">
        <v>602700000</v>
      </c>
      <c r="S58">
        <v>639450000</v>
      </c>
    </row>
    <row r="59" spans="1:19">
      <c r="A59" t="s">
        <v>19</v>
      </c>
      <c r="B59" t="s">
        <v>130</v>
      </c>
      <c r="C59" t="s">
        <v>131</v>
      </c>
      <c r="D59" t="s">
        <v>132</v>
      </c>
      <c r="G59">
        <f t="shared" si="0"/>
        <v>6138184280</v>
      </c>
      <c r="H59">
        <f t="shared" ref="H59:S59" si="18">H60+H63</f>
        <v>456938594</v>
      </c>
      <c r="I59">
        <f t="shared" si="18"/>
        <v>469589182</v>
      </c>
      <c r="J59">
        <f t="shared" si="18"/>
        <v>500644258</v>
      </c>
      <c r="K59">
        <f t="shared" si="18"/>
        <v>507463406</v>
      </c>
      <c r="L59">
        <f t="shared" si="18"/>
        <v>519740640</v>
      </c>
      <c r="M59">
        <f t="shared" si="18"/>
        <v>532698412</v>
      </c>
      <c r="N59">
        <f t="shared" si="18"/>
        <v>540198102</v>
      </c>
      <c r="O59">
        <f t="shared" si="18"/>
        <v>528601422</v>
      </c>
      <c r="P59">
        <f t="shared" si="18"/>
        <v>516324190</v>
      </c>
      <c r="Q59">
        <f t="shared" si="18"/>
        <v>516310442</v>
      </c>
      <c r="R59">
        <f t="shared" si="18"/>
        <v>510171818</v>
      </c>
      <c r="S59">
        <f t="shared" si="18"/>
        <v>539503814</v>
      </c>
    </row>
    <row r="60" spans="1:19">
      <c r="A60" t="s">
        <v>23</v>
      </c>
      <c r="B60" t="s">
        <v>130</v>
      </c>
      <c r="C60" t="s">
        <v>133</v>
      </c>
      <c r="D60" t="s">
        <v>134</v>
      </c>
      <c r="G60">
        <f t="shared" si="0"/>
        <v>888184280</v>
      </c>
      <c r="H60">
        <f t="shared" ref="H60:S60" si="19">H61+H62</f>
        <v>63188594</v>
      </c>
      <c r="I60">
        <f t="shared" si="19"/>
        <v>60089182</v>
      </c>
      <c r="J60">
        <f t="shared" si="19"/>
        <v>70144258</v>
      </c>
      <c r="K60">
        <f t="shared" si="19"/>
        <v>71713406</v>
      </c>
      <c r="L60">
        <f t="shared" si="19"/>
        <v>73490640</v>
      </c>
      <c r="M60">
        <f t="shared" si="19"/>
        <v>75948412</v>
      </c>
      <c r="N60">
        <f t="shared" si="19"/>
        <v>78198102</v>
      </c>
      <c r="O60">
        <f t="shared" si="19"/>
        <v>77101422</v>
      </c>
      <c r="P60">
        <f t="shared" si="19"/>
        <v>75324190</v>
      </c>
      <c r="Q60">
        <f t="shared" si="19"/>
        <v>80560442</v>
      </c>
      <c r="R60">
        <f t="shared" si="19"/>
        <v>79671818</v>
      </c>
      <c r="S60">
        <f t="shared" si="19"/>
        <v>82753814</v>
      </c>
    </row>
    <row r="61" spans="1:19">
      <c r="A61" t="s">
        <v>26</v>
      </c>
      <c r="B61" t="s">
        <v>130</v>
      </c>
      <c r="C61" t="s">
        <v>135</v>
      </c>
      <c r="D61" t="s">
        <v>136</v>
      </c>
      <c r="G61">
        <f t="shared" si="0"/>
        <v>444092140</v>
      </c>
      <c r="H61">
        <v>31594297</v>
      </c>
      <c r="I61">
        <v>30044591</v>
      </c>
      <c r="J61">
        <v>35072129</v>
      </c>
      <c r="K61">
        <v>35856703</v>
      </c>
      <c r="L61">
        <v>36745320</v>
      </c>
      <c r="M61">
        <v>37974206</v>
      </c>
      <c r="N61">
        <v>39099051</v>
      </c>
      <c r="O61">
        <v>38550711</v>
      </c>
      <c r="P61">
        <v>37662095</v>
      </c>
      <c r="Q61">
        <v>40280221</v>
      </c>
      <c r="R61">
        <v>39835909</v>
      </c>
      <c r="S61">
        <v>41376907</v>
      </c>
    </row>
    <row r="62" spans="1:19">
      <c r="A62" t="s">
        <v>26</v>
      </c>
      <c r="B62" t="s">
        <v>130</v>
      </c>
      <c r="C62" t="s">
        <v>137</v>
      </c>
      <c r="D62" t="s">
        <v>138</v>
      </c>
      <c r="G62">
        <f t="shared" si="0"/>
        <v>444092140</v>
      </c>
      <c r="H62">
        <v>31594297</v>
      </c>
      <c r="I62">
        <v>30044591</v>
      </c>
      <c r="J62">
        <v>35072129</v>
      </c>
      <c r="K62">
        <v>35856703</v>
      </c>
      <c r="L62">
        <v>36745320</v>
      </c>
      <c r="M62">
        <v>37974206</v>
      </c>
      <c r="N62">
        <v>39099051</v>
      </c>
      <c r="O62">
        <v>38550711</v>
      </c>
      <c r="P62">
        <v>37662095</v>
      </c>
      <c r="Q62">
        <v>40280221</v>
      </c>
      <c r="R62">
        <v>39835909</v>
      </c>
      <c r="S62">
        <v>41376907</v>
      </c>
    </row>
    <row r="63" spans="1:19">
      <c r="A63" t="s">
        <v>23</v>
      </c>
      <c r="B63" t="s">
        <v>130</v>
      </c>
      <c r="C63" t="s">
        <v>139</v>
      </c>
      <c r="D63" t="s">
        <v>140</v>
      </c>
      <c r="G63">
        <f t="shared" si="0"/>
        <v>5250000000</v>
      </c>
      <c r="H63">
        <v>393750000</v>
      </c>
      <c r="I63">
        <v>409500000</v>
      </c>
      <c r="J63">
        <v>430500000</v>
      </c>
      <c r="K63">
        <v>435750000</v>
      </c>
      <c r="L63">
        <v>446250000</v>
      </c>
      <c r="M63">
        <v>456750000</v>
      </c>
      <c r="N63">
        <v>462000000</v>
      </c>
      <c r="O63">
        <v>451500000</v>
      </c>
      <c r="P63">
        <v>441000000</v>
      </c>
      <c r="Q63">
        <v>435750000</v>
      </c>
      <c r="R63">
        <v>430500000</v>
      </c>
      <c r="S63">
        <v>456750000</v>
      </c>
    </row>
    <row r="64" spans="1:19">
      <c r="A64" t="s">
        <v>19</v>
      </c>
      <c r="B64" t="s">
        <v>130</v>
      </c>
      <c r="C64" t="s">
        <v>141</v>
      </c>
      <c r="D64" t="s">
        <v>142</v>
      </c>
      <c r="G64">
        <f t="shared" si="0"/>
        <v>6138184280</v>
      </c>
      <c r="H64">
        <f t="shared" ref="H64:S64" si="20">H65+H68</f>
        <v>456938594</v>
      </c>
      <c r="I64">
        <f t="shared" si="20"/>
        <v>469589182</v>
      </c>
      <c r="J64">
        <f t="shared" si="20"/>
        <v>500644258</v>
      </c>
      <c r="K64">
        <f t="shared" si="20"/>
        <v>507463406</v>
      </c>
      <c r="L64">
        <f t="shared" si="20"/>
        <v>519740640</v>
      </c>
      <c r="M64">
        <f t="shared" si="20"/>
        <v>532698412</v>
      </c>
      <c r="N64">
        <f t="shared" si="20"/>
        <v>540198102</v>
      </c>
      <c r="O64">
        <f t="shared" si="20"/>
        <v>528601422</v>
      </c>
      <c r="P64">
        <f t="shared" si="20"/>
        <v>516324190</v>
      </c>
      <c r="Q64">
        <f t="shared" si="20"/>
        <v>516310442</v>
      </c>
      <c r="R64">
        <f t="shared" si="20"/>
        <v>510171818</v>
      </c>
      <c r="S64">
        <f t="shared" si="20"/>
        <v>539503814</v>
      </c>
    </row>
    <row r="65" spans="1:19">
      <c r="A65" t="s">
        <v>23</v>
      </c>
      <c r="B65" t="s">
        <v>143</v>
      </c>
      <c r="C65" t="s">
        <v>144</v>
      </c>
      <c r="D65" t="s">
        <v>145</v>
      </c>
      <c r="G65">
        <f t="shared" si="0"/>
        <v>888184280</v>
      </c>
      <c r="H65">
        <f t="shared" ref="H65:S65" si="21">H66+H67</f>
        <v>63188594</v>
      </c>
      <c r="I65">
        <f t="shared" si="21"/>
        <v>60089182</v>
      </c>
      <c r="J65">
        <f t="shared" si="21"/>
        <v>70144258</v>
      </c>
      <c r="K65">
        <f t="shared" si="21"/>
        <v>71713406</v>
      </c>
      <c r="L65">
        <f t="shared" si="21"/>
        <v>73490640</v>
      </c>
      <c r="M65">
        <f t="shared" si="21"/>
        <v>75948412</v>
      </c>
      <c r="N65">
        <f t="shared" si="21"/>
        <v>78198102</v>
      </c>
      <c r="O65">
        <f t="shared" si="21"/>
        <v>77101422</v>
      </c>
      <c r="P65">
        <f t="shared" si="21"/>
        <v>75324190</v>
      </c>
      <c r="Q65">
        <f t="shared" si="21"/>
        <v>80560442</v>
      </c>
      <c r="R65">
        <f t="shared" si="21"/>
        <v>79671818</v>
      </c>
      <c r="S65">
        <f t="shared" si="21"/>
        <v>82753814</v>
      </c>
    </row>
    <row r="66" spans="1:19">
      <c r="A66" t="s">
        <v>26</v>
      </c>
      <c r="B66" t="s">
        <v>143</v>
      </c>
      <c r="C66" t="s">
        <v>146</v>
      </c>
      <c r="D66" t="s">
        <v>136</v>
      </c>
      <c r="G66">
        <f t="shared" ref="G66:G129" si="22">H66+I66+J66+K66+L66+M66+N66+O66+P66+Q66+R66+S66</f>
        <v>444092140</v>
      </c>
      <c r="H66">
        <v>31594297</v>
      </c>
      <c r="I66">
        <v>30044591</v>
      </c>
      <c r="J66">
        <v>35072129</v>
      </c>
      <c r="K66">
        <v>35856703</v>
      </c>
      <c r="L66">
        <v>36745320</v>
      </c>
      <c r="M66">
        <v>37974206</v>
      </c>
      <c r="N66">
        <v>39099051</v>
      </c>
      <c r="O66">
        <v>38550711</v>
      </c>
      <c r="P66">
        <v>37662095</v>
      </c>
      <c r="Q66">
        <v>40280221</v>
      </c>
      <c r="R66">
        <v>39835909</v>
      </c>
      <c r="S66">
        <v>41376907</v>
      </c>
    </row>
    <row r="67" spans="1:19">
      <c r="A67" t="s">
        <v>26</v>
      </c>
      <c r="B67" t="s">
        <v>143</v>
      </c>
      <c r="C67" t="s">
        <v>147</v>
      </c>
      <c r="D67" t="s">
        <v>138</v>
      </c>
      <c r="G67">
        <f t="shared" si="22"/>
        <v>444092140</v>
      </c>
      <c r="H67">
        <v>31594297</v>
      </c>
      <c r="I67">
        <v>30044591</v>
      </c>
      <c r="J67">
        <v>35072129</v>
      </c>
      <c r="K67">
        <v>35856703</v>
      </c>
      <c r="L67">
        <v>36745320</v>
      </c>
      <c r="M67">
        <v>37974206</v>
      </c>
      <c r="N67">
        <v>39099051</v>
      </c>
      <c r="O67">
        <v>38550711</v>
      </c>
      <c r="P67">
        <v>37662095</v>
      </c>
      <c r="Q67">
        <v>40280221</v>
      </c>
      <c r="R67">
        <v>39835909</v>
      </c>
      <c r="S67">
        <v>41376907</v>
      </c>
    </row>
    <row r="68" spans="1:19">
      <c r="A68" t="s">
        <v>23</v>
      </c>
      <c r="B68" t="s">
        <v>143</v>
      </c>
      <c r="C68" t="s">
        <v>148</v>
      </c>
      <c r="D68" t="s">
        <v>149</v>
      </c>
      <c r="G68">
        <f t="shared" si="22"/>
        <v>5250000000</v>
      </c>
      <c r="H68">
        <v>393750000</v>
      </c>
      <c r="I68">
        <v>409500000</v>
      </c>
      <c r="J68">
        <v>430500000</v>
      </c>
      <c r="K68">
        <v>435750000</v>
      </c>
      <c r="L68">
        <v>446250000</v>
      </c>
      <c r="M68">
        <v>456750000</v>
      </c>
      <c r="N68">
        <v>462000000</v>
      </c>
      <c r="O68">
        <v>451500000</v>
      </c>
      <c r="P68">
        <v>441000000</v>
      </c>
      <c r="Q68">
        <v>435750000</v>
      </c>
      <c r="R68">
        <v>430500000</v>
      </c>
      <c r="S68">
        <v>456750000</v>
      </c>
    </row>
    <row r="69" spans="1:19">
      <c r="A69" t="s">
        <v>19</v>
      </c>
      <c r="B69" t="s">
        <v>84</v>
      </c>
      <c r="C69" t="s">
        <v>150</v>
      </c>
      <c r="D69" t="s">
        <v>151</v>
      </c>
      <c r="G69">
        <f t="shared" si="22"/>
        <v>28444092140</v>
      </c>
      <c r="H69">
        <f t="shared" ref="H69:S69" si="23">H70+H71+H72</f>
        <v>2131594297</v>
      </c>
      <c r="I69">
        <f t="shared" si="23"/>
        <v>2214044591</v>
      </c>
      <c r="J69">
        <f t="shared" si="23"/>
        <v>2331072129</v>
      </c>
      <c r="K69">
        <f t="shared" si="23"/>
        <v>2359856703</v>
      </c>
      <c r="L69">
        <f t="shared" si="23"/>
        <v>2416745320</v>
      </c>
      <c r="M69">
        <f t="shared" si="23"/>
        <v>2473974206</v>
      </c>
      <c r="N69">
        <f t="shared" si="23"/>
        <v>2503099051</v>
      </c>
      <c r="O69">
        <f t="shared" si="23"/>
        <v>2446550711</v>
      </c>
      <c r="P69">
        <f t="shared" si="23"/>
        <v>2389662095</v>
      </c>
      <c r="Q69">
        <f t="shared" si="23"/>
        <v>2364280221</v>
      </c>
      <c r="R69">
        <f t="shared" si="23"/>
        <v>2335835909</v>
      </c>
      <c r="S69">
        <f t="shared" si="23"/>
        <v>2477376907</v>
      </c>
    </row>
    <row r="70" spans="1:19">
      <c r="A70" t="s">
        <v>23</v>
      </c>
      <c r="B70" t="s">
        <v>84</v>
      </c>
      <c r="C70" t="s">
        <v>152</v>
      </c>
      <c r="D70" t="s">
        <v>153</v>
      </c>
      <c r="G70">
        <f t="shared" si="22"/>
        <v>20000000000</v>
      </c>
      <c r="H70">
        <v>1500000000</v>
      </c>
      <c r="I70">
        <v>1560000000</v>
      </c>
      <c r="J70">
        <v>1640000000</v>
      </c>
      <c r="K70">
        <v>1660000000</v>
      </c>
      <c r="L70">
        <v>1700000000</v>
      </c>
      <c r="M70">
        <v>1740000000</v>
      </c>
      <c r="N70">
        <v>1760000000</v>
      </c>
      <c r="O70">
        <v>1720000000</v>
      </c>
      <c r="P70">
        <v>1680000000</v>
      </c>
      <c r="Q70">
        <v>1660000000</v>
      </c>
      <c r="R70">
        <v>1640000000</v>
      </c>
      <c r="S70">
        <v>1740000000</v>
      </c>
    </row>
    <row r="71" spans="1:19">
      <c r="A71" t="s">
        <v>23</v>
      </c>
      <c r="B71" t="s">
        <v>84</v>
      </c>
      <c r="C71" t="s">
        <v>154</v>
      </c>
      <c r="D71" t="s">
        <v>155</v>
      </c>
      <c r="G71">
        <f t="shared" si="22"/>
        <v>8000000000</v>
      </c>
      <c r="H71">
        <v>600000000</v>
      </c>
      <c r="I71">
        <v>624000000</v>
      </c>
      <c r="J71">
        <v>656000000</v>
      </c>
      <c r="K71">
        <v>664000000</v>
      </c>
      <c r="L71">
        <v>680000000</v>
      </c>
      <c r="M71">
        <v>696000000</v>
      </c>
      <c r="N71">
        <v>704000000</v>
      </c>
      <c r="O71">
        <v>688000000</v>
      </c>
      <c r="P71">
        <v>672000000</v>
      </c>
      <c r="Q71">
        <v>664000000</v>
      </c>
      <c r="R71">
        <v>656000000</v>
      </c>
      <c r="S71">
        <v>696000000</v>
      </c>
    </row>
    <row r="72" spans="1:19">
      <c r="A72" t="s">
        <v>23</v>
      </c>
      <c r="B72" t="s">
        <v>84</v>
      </c>
      <c r="C72" t="s">
        <v>156</v>
      </c>
      <c r="D72" t="s">
        <v>157</v>
      </c>
      <c r="G72">
        <f t="shared" si="22"/>
        <v>444092140</v>
      </c>
      <c r="H72">
        <f t="shared" ref="H72:S72" si="24">H73</f>
        <v>31594297</v>
      </c>
      <c r="I72">
        <f t="shared" si="24"/>
        <v>30044591</v>
      </c>
      <c r="J72">
        <f t="shared" si="24"/>
        <v>35072129</v>
      </c>
      <c r="K72">
        <f t="shared" si="24"/>
        <v>35856703</v>
      </c>
      <c r="L72">
        <f t="shared" si="24"/>
        <v>36745320</v>
      </c>
      <c r="M72">
        <f t="shared" si="24"/>
        <v>37974206</v>
      </c>
      <c r="N72">
        <f t="shared" si="24"/>
        <v>39099051</v>
      </c>
      <c r="O72">
        <f t="shared" si="24"/>
        <v>38550711</v>
      </c>
      <c r="P72">
        <f t="shared" si="24"/>
        <v>37662095</v>
      </c>
      <c r="Q72">
        <f t="shared" si="24"/>
        <v>40280221</v>
      </c>
      <c r="R72">
        <f t="shared" si="24"/>
        <v>39835909</v>
      </c>
      <c r="S72">
        <f t="shared" si="24"/>
        <v>41376907</v>
      </c>
    </row>
    <row r="73" spans="1:19">
      <c r="A73" t="s">
        <v>26</v>
      </c>
      <c r="B73" t="s">
        <v>84</v>
      </c>
      <c r="C73" t="s">
        <v>158</v>
      </c>
      <c r="D73" t="s">
        <v>106</v>
      </c>
      <c r="G73">
        <f t="shared" si="22"/>
        <v>444092140</v>
      </c>
      <c r="H73">
        <v>31594297</v>
      </c>
      <c r="I73">
        <v>30044591</v>
      </c>
      <c r="J73">
        <v>35072129</v>
      </c>
      <c r="K73">
        <v>35856703</v>
      </c>
      <c r="L73">
        <v>36745320</v>
      </c>
      <c r="M73">
        <v>37974206</v>
      </c>
      <c r="N73">
        <v>39099051</v>
      </c>
      <c r="O73">
        <v>38550711</v>
      </c>
      <c r="P73">
        <v>37662095</v>
      </c>
      <c r="Q73">
        <v>40280221</v>
      </c>
      <c r="R73">
        <v>39835909</v>
      </c>
      <c r="S73">
        <v>41376907</v>
      </c>
    </row>
    <row r="74" spans="1:19">
      <c r="A74" t="s">
        <v>19</v>
      </c>
      <c r="B74" t="s">
        <v>113</v>
      </c>
      <c r="C74" t="s">
        <v>159</v>
      </c>
      <c r="D74" t="s">
        <v>160</v>
      </c>
      <c r="G74">
        <f t="shared" si="22"/>
        <v>28444092140</v>
      </c>
      <c r="H74">
        <f t="shared" ref="H74:S74" si="25">H75+H76+H77</f>
        <v>2131594297</v>
      </c>
      <c r="I74">
        <f t="shared" si="25"/>
        <v>2214044591</v>
      </c>
      <c r="J74">
        <f t="shared" si="25"/>
        <v>2331072129</v>
      </c>
      <c r="K74">
        <f t="shared" si="25"/>
        <v>2359856703</v>
      </c>
      <c r="L74">
        <f t="shared" si="25"/>
        <v>2416745320</v>
      </c>
      <c r="M74">
        <f t="shared" si="25"/>
        <v>2473974206</v>
      </c>
      <c r="N74">
        <f t="shared" si="25"/>
        <v>2503099051</v>
      </c>
      <c r="O74">
        <f t="shared" si="25"/>
        <v>2446550711</v>
      </c>
      <c r="P74">
        <f t="shared" si="25"/>
        <v>2389662095</v>
      </c>
      <c r="Q74">
        <f t="shared" si="25"/>
        <v>2364280221</v>
      </c>
      <c r="R74">
        <f t="shared" si="25"/>
        <v>2335835909</v>
      </c>
      <c r="S74">
        <f t="shared" si="25"/>
        <v>2477376907</v>
      </c>
    </row>
    <row r="75" spans="1:19">
      <c r="A75" t="s">
        <v>23</v>
      </c>
      <c r="B75" t="s">
        <v>113</v>
      </c>
      <c r="C75" t="s">
        <v>161</v>
      </c>
      <c r="D75" t="s">
        <v>153</v>
      </c>
      <c r="G75">
        <f t="shared" si="22"/>
        <v>20000000000</v>
      </c>
      <c r="H75">
        <v>1500000000</v>
      </c>
      <c r="I75">
        <v>1560000000</v>
      </c>
      <c r="J75">
        <v>1640000000</v>
      </c>
      <c r="K75">
        <v>1660000000</v>
      </c>
      <c r="L75">
        <v>1700000000</v>
      </c>
      <c r="M75">
        <v>1740000000</v>
      </c>
      <c r="N75">
        <v>1760000000</v>
      </c>
      <c r="O75">
        <v>1720000000</v>
      </c>
      <c r="P75">
        <v>1680000000</v>
      </c>
      <c r="Q75">
        <v>1660000000</v>
      </c>
      <c r="R75">
        <v>1640000000</v>
      </c>
      <c r="S75">
        <v>1740000000</v>
      </c>
    </row>
    <row r="76" spans="1:19">
      <c r="A76" t="s">
        <v>23</v>
      </c>
      <c r="B76" t="s">
        <v>113</v>
      </c>
      <c r="C76" t="s">
        <v>162</v>
      </c>
      <c r="D76" t="s">
        <v>155</v>
      </c>
      <c r="G76">
        <f t="shared" si="22"/>
        <v>8000000000</v>
      </c>
      <c r="H76">
        <v>600000000</v>
      </c>
      <c r="I76">
        <v>624000000</v>
      </c>
      <c r="J76">
        <v>656000000</v>
      </c>
      <c r="K76">
        <v>664000000</v>
      </c>
      <c r="L76">
        <v>680000000</v>
      </c>
      <c r="M76">
        <v>696000000</v>
      </c>
      <c r="N76">
        <v>704000000</v>
      </c>
      <c r="O76">
        <v>688000000</v>
      </c>
      <c r="P76">
        <v>672000000</v>
      </c>
      <c r="Q76">
        <v>664000000</v>
      </c>
      <c r="R76">
        <v>656000000</v>
      </c>
      <c r="S76">
        <v>696000000</v>
      </c>
    </row>
    <row r="77" spans="1:19">
      <c r="A77" t="s">
        <v>23</v>
      </c>
      <c r="B77" t="s">
        <v>113</v>
      </c>
      <c r="C77" t="s">
        <v>163</v>
      </c>
      <c r="D77" t="s">
        <v>157</v>
      </c>
      <c r="G77">
        <f t="shared" si="22"/>
        <v>444092140</v>
      </c>
      <c r="H77">
        <f t="shared" ref="H77:S77" si="26">H78</f>
        <v>31594297</v>
      </c>
      <c r="I77">
        <f t="shared" si="26"/>
        <v>30044591</v>
      </c>
      <c r="J77">
        <f t="shared" si="26"/>
        <v>35072129</v>
      </c>
      <c r="K77">
        <f t="shared" si="26"/>
        <v>35856703</v>
      </c>
      <c r="L77">
        <f t="shared" si="26"/>
        <v>36745320</v>
      </c>
      <c r="M77">
        <f t="shared" si="26"/>
        <v>37974206</v>
      </c>
      <c r="N77">
        <f t="shared" si="26"/>
        <v>39099051</v>
      </c>
      <c r="O77">
        <f t="shared" si="26"/>
        <v>38550711</v>
      </c>
      <c r="P77">
        <f t="shared" si="26"/>
        <v>37662095</v>
      </c>
      <c r="Q77">
        <f t="shared" si="26"/>
        <v>40280221</v>
      </c>
      <c r="R77">
        <f t="shared" si="26"/>
        <v>39835909</v>
      </c>
      <c r="S77">
        <f t="shared" si="26"/>
        <v>41376907</v>
      </c>
    </row>
    <row r="78" spans="1:19">
      <c r="A78" t="s">
        <v>26</v>
      </c>
      <c r="B78" t="s">
        <v>113</v>
      </c>
      <c r="C78" t="s">
        <v>164</v>
      </c>
      <c r="D78" t="s">
        <v>106</v>
      </c>
      <c r="G78">
        <f t="shared" si="22"/>
        <v>444092140</v>
      </c>
      <c r="H78">
        <v>31594297</v>
      </c>
      <c r="I78">
        <v>30044591</v>
      </c>
      <c r="J78">
        <v>35072129</v>
      </c>
      <c r="K78">
        <v>35856703</v>
      </c>
      <c r="L78">
        <v>36745320</v>
      </c>
      <c r="M78">
        <v>37974206</v>
      </c>
      <c r="N78">
        <v>39099051</v>
      </c>
      <c r="O78">
        <v>38550711</v>
      </c>
      <c r="P78">
        <v>37662095</v>
      </c>
      <c r="Q78">
        <v>40280221</v>
      </c>
      <c r="R78">
        <v>39835909</v>
      </c>
      <c r="S78">
        <v>41376907</v>
      </c>
    </row>
    <row r="79" spans="1:19">
      <c r="A79" t="s">
        <v>19</v>
      </c>
      <c r="B79" t="s">
        <v>130</v>
      </c>
      <c r="C79" t="s">
        <v>165</v>
      </c>
      <c r="D79" t="s">
        <v>166</v>
      </c>
      <c r="G79">
        <f t="shared" si="22"/>
        <v>35000000000</v>
      </c>
      <c r="H79">
        <f t="shared" ref="H79:S79" si="27">H80+H81</f>
        <v>2625000000</v>
      </c>
      <c r="I79">
        <f t="shared" si="27"/>
        <v>2730000000</v>
      </c>
      <c r="J79">
        <f t="shared" si="27"/>
        <v>2870000000</v>
      </c>
      <c r="K79">
        <f t="shared" si="27"/>
        <v>2905000000</v>
      </c>
      <c r="L79">
        <f t="shared" si="27"/>
        <v>2975000000</v>
      </c>
      <c r="M79">
        <f t="shared" si="27"/>
        <v>3045000000</v>
      </c>
      <c r="N79">
        <f t="shared" si="27"/>
        <v>3080000000</v>
      </c>
      <c r="O79">
        <f t="shared" si="27"/>
        <v>3010000000</v>
      </c>
      <c r="P79">
        <f t="shared" si="27"/>
        <v>2940000000</v>
      </c>
      <c r="Q79">
        <f t="shared" si="27"/>
        <v>2905000000</v>
      </c>
      <c r="R79">
        <f t="shared" si="27"/>
        <v>2870000000</v>
      </c>
      <c r="S79">
        <f t="shared" si="27"/>
        <v>3045000000</v>
      </c>
    </row>
    <row r="80" spans="1:19">
      <c r="A80" t="s">
        <v>23</v>
      </c>
      <c r="B80" t="s">
        <v>130</v>
      </c>
      <c r="C80" t="s">
        <v>167</v>
      </c>
      <c r="D80" t="s">
        <v>168</v>
      </c>
      <c r="G80">
        <f t="shared" si="22"/>
        <v>25000000000</v>
      </c>
      <c r="H80">
        <v>1875000000</v>
      </c>
      <c r="I80">
        <v>1950000000</v>
      </c>
      <c r="J80">
        <v>2050000000</v>
      </c>
      <c r="K80">
        <v>2075000000</v>
      </c>
      <c r="L80">
        <v>2125000000</v>
      </c>
      <c r="M80">
        <v>2175000000</v>
      </c>
      <c r="N80">
        <v>2200000000</v>
      </c>
      <c r="O80">
        <v>2150000000</v>
      </c>
      <c r="P80">
        <v>2100000000</v>
      </c>
      <c r="Q80">
        <v>2075000000</v>
      </c>
      <c r="R80">
        <v>2050000000</v>
      </c>
      <c r="S80">
        <v>2175000000</v>
      </c>
    </row>
    <row r="81" spans="1:19">
      <c r="A81" t="s">
        <v>23</v>
      </c>
      <c r="B81" t="s">
        <v>130</v>
      </c>
      <c r="C81" t="s">
        <v>169</v>
      </c>
      <c r="D81" t="s">
        <v>170</v>
      </c>
      <c r="G81">
        <f t="shared" si="22"/>
        <v>10000000000</v>
      </c>
      <c r="H81">
        <v>750000000</v>
      </c>
      <c r="I81">
        <v>780000000</v>
      </c>
      <c r="J81">
        <v>820000000</v>
      </c>
      <c r="K81">
        <v>830000000</v>
      </c>
      <c r="L81">
        <v>850000000</v>
      </c>
      <c r="M81">
        <v>870000000</v>
      </c>
      <c r="N81">
        <v>880000000</v>
      </c>
      <c r="O81">
        <v>860000000</v>
      </c>
      <c r="P81">
        <v>840000000</v>
      </c>
      <c r="Q81">
        <v>830000000</v>
      </c>
      <c r="R81">
        <v>820000000</v>
      </c>
      <c r="S81">
        <v>870000000</v>
      </c>
    </row>
    <row r="82" spans="1:19">
      <c r="A82" t="s">
        <v>19</v>
      </c>
      <c r="B82" t="s">
        <v>143</v>
      </c>
      <c r="C82" t="s">
        <v>171</v>
      </c>
      <c r="D82" t="s">
        <v>172</v>
      </c>
      <c r="G82">
        <f t="shared" si="22"/>
        <v>35000000000</v>
      </c>
      <c r="H82">
        <f t="shared" ref="H82:S82" si="28">H83+H84</f>
        <v>2625000000</v>
      </c>
      <c r="I82">
        <f t="shared" si="28"/>
        <v>2730000000</v>
      </c>
      <c r="J82">
        <f t="shared" si="28"/>
        <v>2870000000</v>
      </c>
      <c r="K82">
        <f t="shared" si="28"/>
        <v>2905000000</v>
      </c>
      <c r="L82">
        <f t="shared" si="28"/>
        <v>2975000000</v>
      </c>
      <c r="M82">
        <f t="shared" si="28"/>
        <v>3045000000</v>
      </c>
      <c r="N82">
        <f t="shared" si="28"/>
        <v>3080000000</v>
      </c>
      <c r="O82">
        <f t="shared" si="28"/>
        <v>3010000000</v>
      </c>
      <c r="P82">
        <f t="shared" si="28"/>
        <v>2940000000</v>
      </c>
      <c r="Q82">
        <f t="shared" si="28"/>
        <v>2905000000</v>
      </c>
      <c r="R82">
        <f t="shared" si="28"/>
        <v>2870000000</v>
      </c>
      <c r="S82">
        <f t="shared" si="28"/>
        <v>3045000000</v>
      </c>
    </row>
    <row r="83" spans="1:19">
      <c r="A83" t="s">
        <v>23</v>
      </c>
      <c r="B83" t="s">
        <v>143</v>
      </c>
      <c r="C83" t="s">
        <v>173</v>
      </c>
      <c r="D83" t="s">
        <v>168</v>
      </c>
      <c r="G83">
        <f t="shared" si="22"/>
        <v>25000000000</v>
      </c>
      <c r="H83">
        <v>1875000000</v>
      </c>
      <c r="I83">
        <v>1950000000</v>
      </c>
      <c r="J83">
        <v>2050000000</v>
      </c>
      <c r="K83">
        <v>2075000000</v>
      </c>
      <c r="L83">
        <v>2125000000</v>
      </c>
      <c r="M83">
        <v>2175000000</v>
      </c>
      <c r="N83">
        <v>2200000000</v>
      </c>
      <c r="O83">
        <v>2150000000</v>
      </c>
      <c r="P83">
        <v>2100000000</v>
      </c>
      <c r="Q83">
        <v>2075000000</v>
      </c>
      <c r="R83">
        <v>2050000000</v>
      </c>
      <c r="S83">
        <v>2175000000</v>
      </c>
    </row>
    <row r="84" spans="1:19">
      <c r="A84" t="s">
        <v>23</v>
      </c>
      <c r="B84" t="s">
        <v>143</v>
      </c>
      <c r="C84" t="s">
        <v>174</v>
      </c>
      <c r="D84" t="s">
        <v>170</v>
      </c>
      <c r="G84">
        <f t="shared" si="22"/>
        <v>10000000000</v>
      </c>
      <c r="H84">
        <v>750000000</v>
      </c>
      <c r="I84">
        <v>780000000</v>
      </c>
      <c r="J84">
        <v>820000000</v>
      </c>
      <c r="K84">
        <v>830000000</v>
      </c>
      <c r="L84">
        <v>850000000</v>
      </c>
      <c r="M84">
        <v>870000000</v>
      </c>
      <c r="N84">
        <v>880000000</v>
      </c>
      <c r="O84">
        <v>860000000</v>
      </c>
      <c r="P84">
        <v>840000000</v>
      </c>
      <c r="Q84">
        <v>830000000</v>
      </c>
      <c r="R84">
        <v>820000000</v>
      </c>
      <c r="S84">
        <v>870000000</v>
      </c>
    </row>
    <row r="85" spans="1:19">
      <c r="A85" t="s">
        <v>19</v>
      </c>
      <c r="B85" t="s">
        <v>20</v>
      </c>
      <c r="C85" t="s">
        <v>175</v>
      </c>
      <c r="D85" t="s">
        <v>176</v>
      </c>
      <c r="G85">
        <f t="shared" si="22"/>
        <v>35527285.46</v>
      </c>
      <c r="H85">
        <f t="shared" ref="H85:S85" si="29">H86+H110+H115</f>
        <v>2527536.4459</v>
      </c>
      <c r="I85">
        <f t="shared" si="29"/>
        <v>2403560.447551</v>
      </c>
      <c r="J85">
        <f t="shared" si="29"/>
        <v>2805768.449215</v>
      </c>
      <c r="K85">
        <f t="shared" si="29"/>
        <v>2868528.450866</v>
      </c>
      <c r="L85">
        <f t="shared" si="29"/>
        <v>2939616.452517</v>
      </c>
      <c r="M85">
        <f t="shared" si="29"/>
        <v>3037928.454168</v>
      </c>
      <c r="N85">
        <f t="shared" si="29"/>
        <v>3127920.455832</v>
      </c>
      <c r="O85">
        <f t="shared" si="29"/>
        <v>3084048.457483</v>
      </c>
      <c r="P85">
        <f t="shared" si="29"/>
        <v>3012960.459134</v>
      </c>
      <c r="Q85">
        <f t="shared" si="29"/>
        <v>3222408.460785</v>
      </c>
      <c r="R85">
        <f t="shared" si="29"/>
        <v>3186864.462449</v>
      </c>
      <c r="S85">
        <f t="shared" si="29"/>
        <v>3310144.4641</v>
      </c>
    </row>
    <row r="86" spans="1:19">
      <c r="A86" t="s">
        <v>23</v>
      </c>
      <c r="B86" t="s">
        <v>20</v>
      </c>
      <c r="C86" t="s">
        <v>177</v>
      </c>
      <c r="D86" t="s">
        <v>178</v>
      </c>
      <c r="G86">
        <f t="shared" si="22"/>
        <v>35527284.2</v>
      </c>
      <c r="H86">
        <f t="shared" ref="H86:S86" si="30">H87+H88+H89+H106+H108</f>
        <v>2527536.343</v>
      </c>
      <c r="I86">
        <f t="shared" si="30"/>
        <v>2403560.34427</v>
      </c>
      <c r="J86">
        <f t="shared" si="30"/>
        <v>2805768.34555</v>
      </c>
      <c r="K86">
        <f t="shared" si="30"/>
        <v>2868528.34682</v>
      </c>
      <c r="L86">
        <f t="shared" si="30"/>
        <v>2939616.34809</v>
      </c>
      <c r="M86">
        <f t="shared" si="30"/>
        <v>3037928.34936</v>
      </c>
      <c r="N86">
        <f t="shared" si="30"/>
        <v>3127920.35064</v>
      </c>
      <c r="O86">
        <f t="shared" si="30"/>
        <v>3084048.35191</v>
      </c>
      <c r="P86">
        <f t="shared" si="30"/>
        <v>3012960.35318</v>
      </c>
      <c r="Q86">
        <f t="shared" si="30"/>
        <v>3222408.35445</v>
      </c>
      <c r="R86">
        <f t="shared" si="30"/>
        <v>3186864.35573</v>
      </c>
      <c r="S86">
        <f t="shared" si="30"/>
        <v>3310144.357</v>
      </c>
    </row>
    <row r="87" spans="1:19">
      <c r="A87" t="s">
        <v>26</v>
      </c>
      <c r="B87" t="s">
        <v>179</v>
      </c>
      <c r="C87" t="s">
        <v>180</v>
      </c>
      <c r="D87" t="s">
        <v>181</v>
      </c>
      <c r="G87">
        <f t="shared" si="22"/>
        <v>0.42</v>
      </c>
      <c r="H87">
        <v>0.0343</v>
      </c>
      <c r="I87">
        <v>0.034427</v>
      </c>
      <c r="J87">
        <v>0.034555</v>
      </c>
      <c r="K87">
        <v>0.034682</v>
      </c>
      <c r="L87">
        <v>0.034809</v>
      </c>
      <c r="M87">
        <v>0.034936</v>
      </c>
      <c r="N87">
        <v>0.035064</v>
      </c>
      <c r="O87">
        <v>0.035191</v>
      </c>
      <c r="P87">
        <v>0.035318</v>
      </c>
      <c r="Q87">
        <v>0.035445</v>
      </c>
      <c r="R87">
        <v>0.035573</v>
      </c>
      <c r="S87">
        <v>0.0357</v>
      </c>
    </row>
    <row r="88" spans="1:19">
      <c r="A88" t="s">
        <v>26</v>
      </c>
      <c r="B88" t="s">
        <v>179</v>
      </c>
      <c r="C88" t="s">
        <v>182</v>
      </c>
      <c r="D88" t="s">
        <v>183</v>
      </c>
      <c r="G88">
        <f t="shared" si="22"/>
        <v>0.42</v>
      </c>
      <c r="H88">
        <v>0.0343</v>
      </c>
      <c r="I88">
        <v>0.034427</v>
      </c>
      <c r="J88">
        <v>0.034555</v>
      </c>
      <c r="K88">
        <v>0.034682</v>
      </c>
      <c r="L88">
        <v>0.034809</v>
      </c>
      <c r="M88">
        <v>0.034936</v>
      </c>
      <c r="N88">
        <v>0.035064</v>
      </c>
      <c r="O88">
        <v>0.035191</v>
      </c>
      <c r="P88">
        <v>0.035318</v>
      </c>
      <c r="Q88">
        <v>0.035445</v>
      </c>
      <c r="R88">
        <v>0.035573</v>
      </c>
      <c r="S88">
        <v>0.0357</v>
      </c>
    </row>
    <row r="89" spans="1:19">
      <c r="A89" t="s">
        <v>26</v>
      </c>
      <c r="B89" t="s">
        <v>20</v>
      </c>
      <c r="C89" t="s">
        <v>184</v>
      </c>
      <c r="D89" t="s">
        <v>185</v>
      </c>
      <c r="G89">
        <f t="shared" si="22"/>
        <v>35527282.52</v>
      </c>
      <c r="H89">
        <f t="shared" ref="H89:S89" si="31">H90+H91+H92+H99</f>
        <v>2527536.2058</v>
      </c>
      <c r="I89">
        <f t="shared" si="31"/>
        <v>2403560.206562</v>
      </c>
      <c r="J89">
        <f t="shared" si="31"/>
        <v>2805768.20733</v>
      </c>
      <c r="K89">
        <f t="shared" si="31"/>
        <v>2868528.208092</v>
      </c>
      <c r="L89">
        <f t="shared" si="31"/>
        <v>2939616.208854</v>
      </c>
      <c r="M89">
        <f t="shared" si="31"/>
        <v>3037928.209616</v>
      </c>
      <c r="N89">
        <f t="shared" si="31"/>
        <v>3127920.210384</v>
      </c>
      <c r="O89">
        <f t="shared" si="31"/>
        <v>3084048.211146</v>
      </c>
      <c r="P89">
        <f t="shared" si="31"/>
        <v>3012960.211908</v>
      </c>
      <c r="Q89">
        <f t="shared" si="31"/>
        <v>3222408.21267</v>
      </c>
      <c r="R89">
        <f t="shared" si="31"/>
        <v>3186864.213438</v>
      </c>
      <c r="S89">
        <f t="shared" si="31"/>
        <v>3310144.2142</v>
      </c>
    </row>
    <row r="90" spans="1:19">
      <c r="A90" t="s">
        <v>60</v>
      </c>
      <c r="B90" t="s">
        <v>179</v>
      </c>
      <c r="C90" t="s">
        <v>186</v>
      </c>
      <c r="D90" t="s">
        <v>187</v>
      </c>
      <c r="G90">
        <f t="shared" si="22"/>
        <v>0.42</v>
      </c>
      <c r="H90">
        <v>0.0343</v>
      </c>
      <c r="I90">
        <v>0.034427</v>
      </c>
      <c r="J90">
        <v>0.034555</v>
      </c>
      <c r="K90">
        <v>0.034682</v>
      </c>
      <c r="L90">
        <v>0.034809</v>
      </c>
      <c r="M90">
        <v>0.034936</v>
      </c>
      <c r="N90">
        <v>0.035064</v>
      </c>
      <c r="O90">
        <v>0.035191</v>
      </c>
      <c r="P90">
        <v>0.035318</v>
      </c>
      <c r="Q90">
        <v>0.035445</v>
      </c>
      <c r="R90">
        <v>0.035573</v>
      </c>
      <c r="S90">
        <v>0.0357</v>
      </c>
    </row>
    <row r="91" spans="1:19">
      <c r="A91" t="s">
        <v>60</v>
      </c>
      <c r="B91" t="s">
        <v>179</v>
      </c>
      <c r="C91" t="s">
        <v>188</v>
      </c>
      <c r="D91" t="s">
        <v>189</v>
      </c>
      <c r="G91">
        <f t="shared" si="22"/>
        <v>0.42</v>
      </c>
      <c r="H91">
        <v>0.0343</v>
      </c>
      <c r="I91">
        <v>0.034427</v>
      </c>
      <c r="J91">
        <v>0.034555</v>
      </c>
      <c r="K91">
        <v>0.034682</v>
      </c>
      <c r="L91">
        <v>0.034809</v>
      </c>
      <c r="M91">
        <v>0.034936</v>
      </c>
      <c r="N91">
        <v>0.035064</v>
      </c>
      <c r="O91">
        <v>0.035191</v>
      </c>
      <c r="P91">
        <v>0.035318</v>
      </c>
      <c r="Q91">
        <v>0.035445</v>
      </c>
      <c r="R91">
        <v>0.035573</v>
      </c>
      <c r="S91">
        <v>0.0357</v>
      </c>
    </row>
    <row r="92" spans="1:19">
      <c r="A92" t="s">
        <v>60</v>
      </c>
      <c r="B92" t="s">
        <v>20</v>
      </c>
      <c r="C92" t="s">
        <v>190</v>
      </c>
      <c r="D92" t="s">
        <v>191</v>
      </c>
      <c r="G92">
        <f t="shared" si="22"/>
        <v>17763640.84</v>
      </c>
      <c r="H92">
        <f t="shared" ref="H92:S92" si="32">H93+H94+H95+H96+H97+H98</f>
        <v>1263768.0686</v>
      </c>
      <c r="I92">
        <f t="shared" si="32"/>
        <v>1201780.068854</v>
      </c>
      <c r="J92">
        <f t="shared" si="32"/>
        <v>1402884.06911</v>
      </c>
      <c r="K92">
        <f t="shared" si="32"/>
        <v>1434264.069364</v>
      </c>
      <c r="L92">
        <f t="shared" si="32"/>
        <v>1469808.069618</v>
      </c>
      <c r="M92">
        <f t="shared" si="32"/>
        <v>1518964.069872</v>
      </c>
      <c r="N92">
        <f t="shared" si="32"/>
        <v>1563960.070128</v>
      </c>
      <c r="O92">
        <f t="shared" si="32"/>
        <v>1542024.070382</v>
      </c>
      <c r="P92">
        <f t="shared" si="32"/>
        <v>1506480.070636</v>
      </c>
      <c r="Q92">
        <f t="shared" si="32"/>
        <v>1611204.07089</v>
      </c>
      <c r="R92">
        <f t="shared" si="32"/>
        <v>1593432.071146</v>
      </c>
      <c r="S92">
        <f t="shared" si="32"/>
        <v>1655072.0714</v>
      </c>
    </row>
    <row r="93" spans="1:19">
      <c r="A93" t="s">
        <v>192</v>
      </c>
      <c r="B93" t="s">
        <v>179</v>
      </c>
      <c r="C93" t="s">
        <v>193</v>
      </c>
      <c r="D93" t="s">
        <v>194</v>
      </c>
      <c r="G93">
        <f t="shared" si="22"/>
        <v>0.42</v>
      </c>
      <c r="H93">
        <v>0.0343</v>
      </c>
      <c r="I93">
        <v>0.034427</v>
      </c>
      <c r="J93">
        <v>0.034555</v>
      </c>
      <c r="K93">
        <v>0.034682</v>
      </c>
      <c r="L93">
        <v>0.034809</v>
      </c>
      <c r="M93">
        <v>0.034936</v>
      </c>
      <c r="N93">
        <v>0.035064</v>
      </c>
      <c r="O93">
        <v>0.035191</v>
      </c>
      <c r="P93">
        <v>0.035318</v>
      </c>
      <c r="Q93">
        <v>0.035445</v>
      </c>
      <c r="R93">
        <v>0.035573</v>
      </c>
      <c r="S93">
        <v>0.0357</v>
      </c>
    </row>
    <row r="94" spans="1:19">
      <c r="A94" t="s">
        <v>192</v>
      </c>
      <c r="B94" t="s">
        <v>20</v>
      </c>
      <c r="C94" t="s">
        <v>195</v>
      </c>
      <c r="D94" t="s">
        <v>196</v>
      </c>
      <c r="G94">
        <f t="shared" si="22"/>
        <v>4440910</v>
      </c>
      <c r="H94">
        <v>315942</v>
      </c>
      <c r="I94">
        <v>300445</v>
      </c>
      <c r="J94">
        <v>350721</v>
      </c>
      <c r="K94">
        <v>358566</v>
      </c>
      <c r="L94">
        <v>367452</v>
      </c>
      <c r="M94">
        <v>379741</v>
      </c>
      <c r="N94">
        <v>390990</v>
      </c>
      <c r="O94">
        <v>385506</v>
      </c>
      <c r="P94">
        <v>376620</v>
      </c>
      <c r="Q94">
        <v>402801</v>
      </c>
      <c r="R94">
        <v>398358</v>
      </c>
      <c r="S94">
        <v>413768</v>
      </c>
    </row>
    <row r="95" spans="1:19">
      <c r="A95" t="s">
        <v>192</v>
      </c>
      <c r="B95" t="s">
        <v>179</v>
      </c>
      <c r="C95" t="s">
        <v>197</v>
      </c>
      <c r="D95" t="s">
        <v>198</v>
      </c>
      <c r="G95">
        <f t="shared" si="22"/>
        <v>0.42</v>
      </c>
      <c r="H95">
        <v>0.0343</v>
      </c>
      <c r="I95">
        <v>0.034427</v>
      </c>
      <c r="J95">
        <v>0.034555</v>
      </c>
      <c r="K95">
        <v>0.034682</v>
      </c>
      <c r="L95">
        <v>0.034809</v>
      </c>
      <c r="M95">
        <v>0.034936</v>
      </c>
      <c r="N95">
        <v>0.035064</v>
      </c>
      <c r="O95">
        <v>0.035191</v>
      </c>
      <c r="P95">
        <v>0.035318</v>
      </c>
      <c r="Q95">
        <v>0.035445</v>
      </c>
      <c r="R95">
        <v>0.035573</v>
      </c>
      <c r="S95">
        <v>0.0357</v>
      </c>
    </row>
    <row r="96" spans="1:19">
      <c r="A96" t="s">
        <v>192</v>
      </c>
      <c r="B96" t="s">
        <v>20</v>
      </c>
      <c r="C96" t="s">
        <v>199</v>
      </c>
      <c r="D96" t="s">
        <v>200</v>
      </c>
      <c r="G96">
        <f t="shared" si="22"/>
        <v>4440910</v>
      </c>
      <c r="H96">
        <v>315942</v>
      </c>
      <c r="I96">
        <v>300445</v>
      </c>
      <c r="J96">
        <v>350721</v>
      </c>
      <c r="K96">
        <v>358566</v>
      </c>
      <c r="L96">
        <v>367452</v>
      </c>
      <c r="M96">
        <v>379741</v>
      </c>
      <c r="N96">
        <v>390990</v>
      </c>
      <c r="O96">
        <v>385506</v>
      </c>
      <c r="P96">
        <v>376620</v>
      </c>
      <c r="Q96">
        <v>402801</v>
      </c>
      <c r="R96">
        <v>398358</v>
      </c>
      <c r="S96">
        <v>413768</v>
      </c>
    </row>
    <row r="97" spans="1:19">
      <c r="A97" t="s">
        <v>192</v>
      </c>
      <c r="B97" t="s">
        <v>20</v>
      </c>
      <c r="C97" t="s">
        <v>201</v>
      </c>
      <c r="D97" t="s">
        <v>202</v>
      </c>
      <c r="G97">
        <f t="shared" si="22"/>
        <v>4440910</v>
      </c>
      <c r="H97">
        <v>315942</v>
      </c>
      <c r="I97">
        <v>300445</v>
      </c>
      <c r="J97">
        <v>350721</v>
      </c>
      <c r="K97">
        <v>358566</v>
      </c>
      <c r="L97">
        <v>367452</v>
      </c>
      <c r="M97">
        <v>379741</v>
      </c>
      <c r="N97">
        <v>390990</v>
      </c>
      <c r="O97">
        <v>385506</v>
      </c>
      <c r="P97">
        <v>376620</v>
      </c>
      <c r="Q97">
        <v>402801</v>
      </c>
      <c r="R97">
        <v>398358</v>
      </c>
      <c r="S97">
        <v>413768</v>
      </c>
    </row>
    <row r="98" spans="1:19">
      <c r="A98" t="s">
        <v>192</v>
      </c>
      <c r="B98" t="s">
        <v>20</v>
      </c>
      <c r="C98" t="s">
        <v>203</v>
      </c>
      <c r="D98" t="s">
        <v>204</v>
      </c>
      <c r="G98">
        <f t="shared" si="22"/>
        <v>4440910</v>
      </c>
      <c r="H98">
        <v>315942</v>
      </c>
      <c r="I98">
        <v>300445</v>
      </c>
      <c r="J98">
        <v>350721</v>
      </c>
      <c r="K98">
        <v>358566</v>
      </c>
      <c r="L98">
        <v>367452</v>
      </c>
      <c r="M98">
        <v>379741</v>
      </c>
      <c r="N98">
        <v>390990</v>
      </c>
      <c r="O98">
        <v>385506</v>
      </c>
      <c r="P98">
        <v>376620</v>
      </c>
      <c r="Q98">
        <v>402801</v>
      </c>
      <c r="R98">
        <v>398358</v>
      </c>
      <c r="S98">
        <v>413768</v>
      </c>
    </row>
    <row r="99" spans="1:19">
      <c r="A99" t="s">
        <v>60</v>
      </c>
      <c r="B99" t="s">
        <v>20</v>
      </c>
      <c r="C99" t="s">
        <v>205</v>
      </c>
      <c r="D99" t="s">
        <v>206</v>
      </c>
      <c r="G99">
        <f t="shared" si="22"/>
        <v>17763640.84</v>
      </c>
      <c r="H99">
        <f t="shared" ref="H99:S99" si="33">H100+H101+H102+H103+H104+H105</f>
        <v>1263768.0686</v>
      </c>
      <c r="I99">
        <f t="shared" si="33"/>
        <v>1201780.068854</v>
      </c>
      <c r="J99">
        <f t="shared" si="33"/>
        <v>1402884.06911</v>
      </c>
      <c r="K99">
        <f t="shared" si="33"/>
        <v>1434264.069364</v>
      </c>
      <c r="L99">
        <f t="shared" si="33"/>
        <v>1469808.069618</v>
      </c>
      <c r="M99">
        <f t="shared" si="33"/>
        <v>1518964.069872</v>
      </c>
      <c r="N99">
        <f t="shared" si="33"/>
        <v>1563960.070128</v>
      </c>
      <c r="O99">
        <f t="shared" si="33"/>
        <v>1542024.070382</v>
      </c>
      <c r="P99">
        <f t="shared" si="33"/>
        <v>1506480.070636</v>
      </c>
      <c r="Q99">
        <f t="shared" si="33"/>
        <v>1611204.07089</v>
      </c>
      <c r="R99">
        <f t="shared" si="33"/>
        <v>1593432.071146</v>
      </c>
      <c r="S99">
        <f t="shared" si="33"/>
        <v>1655072.0714</v>
      </c>
    </row>
    <row r="100" spans="1:19">
      <c r="A100" t="s">
        <v>192</v>
      </c>
      <c r="B100" t="s">
        <v>179</v>
      </c>
      <c r="C100" t="s">
        <v>207</v>
      </c>
      <c r="D100" t="s">
        <v>208</v>
      </c>
      <c r="G100">
        <f t="shared" si="22"/>
        <v>0.42</v>
      </c>
      <c r="H100">
        <v>0.0343</v>
      </c>
      <c r="I100">
        <v>0.034427</v>
      </c>
      <c r="J100">
        <v>0.034555</v>
      </c>
      <c r="K100">
        <v>0.034682</v>
      </c>
      <c r="L100">
        <v>0.034809</v>
      </c>
      <c r="M100">
        <v>0.034936</v>
      </c>
      <c r="N100">
        <v>0.035064</v>
      </c>
      <c r="O100">
        <v>0.035191</v>
      </c>
      <c r="P100">
        <v>0.035318</v>
      </c>
      <c r="Q100">
        <v>0.035445</v>
      </c>
      <c r="R100">
        <v>0.035573</v>
      </c>
      <c r="S100">
        <v>0.0357</v>
      </c>
    </row>
    <row r="101" spans="1:19">
      <c r="A101" t="s">
        <v>192</v>
      </c>
      <c r="B101" t="s">
        <v>20</v>
      </c>
      <c r="C101" t="s">
        <v>209</v>
      </c>
      <c r="D101" t="s">
        <v>210</v>
      </c>
      <c r="G101">
        <f t="shared" si="22"/>
        <v>4440910</v>
      </c>
      <c r="H101">
        <v>315942</v>
      </c>
      <c r="I101">
        <v>300445</v>
      </c>
      <c r="J101">
        <v>350721</v>
      </c>
      <c r="K101">
        <v>358566</v>
      </c>
      <c r="L101">
        <v>367452</v>
      </c>
      <c r="M101">
        <v>379741</v>
      </c>
      <c r="N101">
        <v>390990</v>
      </c>
      <c r="O101">
        <v>385506</v>
      </c>
      <c r="P101">
        <v>376620</v>
      </c>
      <c r="Q101">
        <v>402801</v>
      </c>
      <c r="R101">
        <v>398358</v>
      </c>
      <c r="S101">
        <v>413768</v>
      </c>
    </row>
    <row r="102" spans="1:19">
      <c r="A102" t="s">
        <v>192</v>
      </c>
      <c r="B102" t="s">
        <v>179</v>
      </c>
      <c r="C102" t="s">
        <v>211</v>
      </c>
      <c r="D102" t="s">
        <v>212</v>
      </c>
      <c r="G102">
        <f t="shared" si="22"/>
        <v>0.42</v>
      </c>
      <c r="H102">
        <v>0.0343</v>
      </c>
      <c r="I102">
        <v>0.034427</v>
      </c>
      <c r="J102">
        <v>0.034555</v>
      </c>
      <c r="K102">
        <v>0.034682</v>
      </c>
      <c r="L102">
        <v>0.034809</v>
      </c>
      <c r="M102">
        <v>0.034936</v>
      </c>
      <c r="N102">
        <v>0.035064</v>
      </c>
      <c r="O102">
        <v>0.035191</v>
      </c>
      <c r="P102">
        <v>0.035318</v>
      </c>
      <c r="Q102">
        <v>0.035445</v>
      </c>
      <c r="R102">
        <v>0.035573</v>
      </c>
      <c r="S102">
        <v>0.0357</v>
      </c>
    </row>
    <row r="103" spans="1:19">
      <c r="A103" t="s">
        <v>192</v>
      </c>
      <c r="B103" t="s">
        <v>20</v>
      </c>
      <c r="C103" t="s">
        <v>213</v>
      </c>
      <c r="D103" t="s">
        <v>200</v>
      </c>
      <c r="G103">
        <f t="shared" si="22"/>
        <v>4440910</v>
      </c>
      <c r="H103">
        <v>315942</v>
      </c>
      <c r="I103">
        <v>300445</v>
      </c>
      <c r="J103">
        <v>350721</v>
      </c>
      <c r="K103">
        <v>358566</v>
      </c>
      <c r="L103">
        <v>367452</v>
      </c>
      <c r="M103">
        <v>379741</v>
      </c>
      <c r="N103">
        <v>390990</v>
      </c>
      <c r="O103">
        <v>385506</v>
      </c>
      <c r="P103">
        <v>376620</v>
      </c>
      <c r="Q103">
        <v>402801</v>
      </c>
      <c r="R103">
        <v>398358</v>
      </c>
      <c r="S103">
        <v>413768</v>
      </c>
    </row>
    <row r="104" spans="1:19">
      <c r="A104" t="s">
        <v>192</v>
      </c>
      <c r="B104" t="s">
        <v>20</v>
      </c>
      <c r="C104" t="s">
        <v>214</v>
      </c>
      <c r="D104" t="s">
        <v>202</v>
      </c>
      <c r="G104">
        <f t="shared" si="22"/>
        <v>4440910</v>
      </c>
      <c r="H104">
        <v>315942</v>
      </c>
      <c r="I104">
        <v>300445</v>
      </c>
      <c r="J104">
        <v>350721</v>
      </c>
      <c r="K104">
        <v>358566</v>
      </c>
      <c r="L104">
        <v>367452</v>
      </c>
      <c r="M104">
        <v>379741</v>
      </c>
      <c r="N104">
        <v>390990</v>
      </c>
      <c r="O104">
        <v>385506</v>
      </c>
      <c r="P104">
        <v>376620</v>
      </c>
      <c r="Q104">
        <v>402801</v>
      </c>
      <c r="R104">
        <v>398358</v>
      </c>
      <c r="S104">
        <v>413768</v>
      </c>
    </row>
    <row r="105" spans="1:19">
      <c r="A105" t="s">
        <v>192</v>
      </c>
      <c r="B105" t="s">
        <v>20</v>
      </c>
      <c r="C105" t="s">
        <v>215</v>
      </c>
      <c r="D105" t="s">
        <v>204</v>
      </c>
      <c r="G105">
        <f t="shared" si="22"/>
        <v>4440910</v>
      </c>
      <c r="H105">
        <v>315942</v>
      </c>
      <c r="I105">
        <v>300445</v>
      </c>
      <c r="J105">
        <v>350721</v>
      </c>
      <c r="K105">
        <v>358566</v>
      </c>
      <c r="L105">
        <v>367452</v>
      </c>
      <c r="M105">
        <v>379741</v>
      </c>
      <c r="N105">
        <v>390990</v>
      </c>
      <c r="O105">
        <v>385506</v>
      </c>
      <c r="P105">
        <v>376620</v>
      </c>
      <c r="Q105">
        <v>402801</v>
      </c>
      <c r="R105">
        <v>398358</v>
      </c>
      <c r="S105">
        <v>413768</v>
      </c>
    </row>
    <row r="106" spans="1:19">
      <c r="A106" t="s">
        <v>26</v>
      </c>
      <c r="B106" t="s">
        <v>20</v>
      </c>
      <c r="C106" t="s">
        <v>216</v>
      </c>
      <c r="D106" t="s">
        <v>217</v>
      </c>
      <c r="G106">
        <f t="shared" si="22"/>
        <v>0.42</v>
      </c>
      <c r="H106">
        <f t="shared" ref="H106:S106" si="34">H107</f>
        <v>0.0343</v>
      </c>
      <c r="I106">
        <f t="shared" si="34"/>
        <v>0.034427</v>
      </c>
      <c r="J106">
        <f t="shared" si="34"/>
        <v>0.034555</v>
      </c>
      <c r="K106">
        <f t="shared" si="34"/>
        <v>0.034682</v>
      </c>
      <c r="L106">
        <f t="shared" si="34"/>
        <v>0.034809</v>
      </c>
      <c r="M106">
        <f t="shared" si="34"/>
        <v>0.034936</v>
      </c>
      <c r="N106">
        <f t="shared" si="34"/>
        <v>0.035064</v>
      </c>
      <c r="O106">
        <f t="shared" si="34"/>
        <v>0.035191</v>
      </c>
      <c r="P106">
        <f t="shared" si="34"/>
        <v>0.035318</v>
      </c>
      <c r="Q106">
        <f t="shared" si="34"/>
        <v>0.035445</v>
      </c>
      <c r="R106">
        <f t="shared" si="34"/>
        <v>0.035573</v>
      </c>
      <c r="S106">
        <f t="shared" si="34"/>
        <v>0.0357</v>
      </c>
    </row>
    <row r="107" spans="1:19">
      <c r="A107" t="s">
        <v>60</v>
      </c>
      <c r="B107" t="s">
        <v>179</v>
      </c>
      <c r="C107" t="s">
        <v>218</v>
      </c>
      <c r="D107" t="s">
        <v>219</v>
      </c>
      <c r="G107">
        <f t="shared" si="22"/>
        <v>0.42</v>
      </c>
      <c r="H107">
        <v>0.0343</v>
      </c>
      <c r="I107">
        <v>0.034427</v>
      </c>
      <c r="J107">
        <v>0.034555</v>
      </c>
      <c r="K107">
        <v>0.034682</v>
      </c>
      <c r="L107">
        <v>0.034809</v>
      </c>
      <c r="M107">
        <v>0.034936</v>
      </c>
      <c r="N107">
        <v>0.035064</v>
      </c>
      <c r="O107">
        <v>0.035191</v>
      </c>
      <c r="P107">
        <v>0.035318</v>
      </c>
      <c r="Q107">
        <v>0.035445</v>
      </c>
      <c r="R107">
        <v>0.035573</v>
      </c>
      <c r="S107">
        <v>0.0357</v>
      </c>
    </row>
    <row r="108" spans="1:19">
      <c r="A108" t="s">
        <v>26</v>
      </c>
      <c r="B108" t="s">
        <v>20</v>
      </c>
      <c r="C108" t="s">
        <v>220</v>
      </c>
      <c r="D108" t="s">
        <v>221</v>
      </c>
      <c r="G108">
        <f t="shared" si="22"/>
        <v>0.42</v>
      </c>
      <c r="H108">
        <f t="shared" ref="H108:S108" si="35">H109</f>
        <v>0.0343</v>
      </c>
      <c r="I108">
        <f t="shared" si="35"/>
        <v>0.034427</v>
      </c>
      <c r="J108">
        <f t="shared" si="35"/>
        <v>0.034555</v>
      </c>
      <c r="K108">
        <f t="shared" si="35"/>
        <v>0.034682</v>
      </c>
      <c r="L108">
        <f t="shared" si="35"/>
        <v>0.034809</v>
      </c>
      <c r="M108">
        <f t="shared" si="35"/>
        <v>0.034936</v>
      </c>
      <c r="N108">
        <f t="shared" si="35"/>
        <v>0.035064</v>
      </c>
      <c r="O108">
        <f t="shared" si="35"/>
        <v>0.035191</v>
      </c>
      <c r="P108">
        <f t="shared" si="35"/>
        <v>0.035318</v>
      </c>
      <c r="Q108">
        <f t="shared" si="35"/>
        <v>0.035445</v>
      </c>
      <c r="R108">
        <f t="shared" si="35"/>
        <v>0.035573</v>
      </c>
      <c r="S108">
        <f t="shared" si="35"/>
        <v>0.0357</v>
      </c>
    </row>
    <row r="109" spans="1:19">
      <c r="A109" t="s">
        <v>60</v>
      </c>
      <c r="B109" t="s">
        <v>179</v>
      </c>
      <c r="C109" t="s">
        <v>222</v>
      </c>
      <c r="D109" t="s">
        <v>223</v>
      </c>
      <c r="G109">
        <f t="shared" si="22"/>
        <v>0.42</v>
      </c>
      <c r="H109">
        <v>0.0343</v>
      </c>
      <c r="I109">
        <v>0.034427</v>
      </c>
      <c r="J109">
        <v>0.034555</v>
      </c>
      <c r="K109">
        <v>0.034682</v>
      </c>
      <c r="L109">
        <v>0.034809</v>
      </c>
      <c r="M109">
        <v>0.034936</v>
      </c>
      <c r="N109">
        <v>0.035064</v>
      </c>
      <c r="O109">
        <v>0.035191</v>
      </c>
      <c r="P109">
        <v>0.035318</v>
      </c>
      <c r="Q109">
        <v>0.035445</v>
      </c>
      <c r="R109">
        <v>0.035573</v>
      </c>
      <c r="S109">
        <v>0.0357</v>
      </c>
    </row>
    <row r="110" spans="1:19">
      <c r="A110" t="s">
        <v>23</v>
      </c>
      <c r="B110" t="s">
        <v>20</v>
      </c>
      <c r="C110" t="s">
        <v>224</v>
      </c>
      <c r="D110" t="s">
        <v>225</v>
      </c>
      <c r="G110">
        <f t="shared" si="22"/>
        <v>0.84</v>
      </c>
      <c r="H110">
        <f t="shared" ref="H110:S110" si="36">H111+H113</f>
        <v>0.0686</v>
      </c>
      <c r="I110">
        <f t="shared" si="36"/>
        <v>0.068854</v>
      </c>
      <c r="J110">
        <f t="shared" si="36"/>
        <v>0.06911</v>
      </c>
      <c r="K110">
        <f t="shared" si="36"/>
        <v>0.069364</v>
      </c>
      <c r="L110">
        <f t="shared" si="36"/>
        <v>0.069618</v>
      </c>
      <c r="M110">
        <f t="shared" si="36"/>
        <v>0.069872</v>
      </c>
      <c r="N110">
        <f t="shared" si="36"/>
        <v>0.070128</v>
      </c>
      <c r="O110">
        <f t="shared" si="36"/>
        <v>0.070382</v>
      </c>
      <c r="P110">
        <f t="shared" si="36"/>
        <v>0.070636</v>
      </c>
      <c r="Q110">
        <f t="shared" si="36"/>
        <v>0.07089</v>
      </c>
      <c r="R110">
        <f t="shared" si="36"/>
        <v>0.071146</v>
      </c>
      <c r="S110">
        <f t="shared" si="36"/>
        <v>0.0714</v>
      </c>
    </row>
    <row r="111" spans="1:19">
      <c r="A111" t="s">
        <v>26</v>
      </c>
      <c r="B111" t="s">
        <v>20</v>
      </c>
      <c r="C111" t="s">
        <v>226</v>
      </c>
      <c r="D111" t="s">
        <v>227</v>
      </c>
      <c r="G111">
        <f t="shared" si="22"/>
        <v>0.42</v>
      </c>
      <c r="H111">
        <f t="shared" ref="H111:S111" si="37">H112</f>
        <v>0.0343</v>
      </c>
      <c r="I111">
        <f t="shared" si="37"/>
        <v>0.034427</v>
      </c>
      <c r="J111">
        <f t="shared" si="37"/>
        <v>0.034555</v>
      </c>
      <c r="K111">
        <f t="shared" si="37"/>
        <v>0.034682</v>
      </c>
      <c r="L111">
        <f t="shared" si="37"/>
        <v>0.034809</v>
      </c>
      <c r="M111">
        <f t="shared" si="37"/>
        <v>0.034936</v>
      </c>
      <c r="N111">
        <f t="shared" si="37"/>
        <v>0.035064</v>
      </c>
      <c r="O111">
        <f t="shared" si="37"/>
        <v>0.035191</v>
      </c>
      <c r="P111">
        <f t="shared" si="37"/>
        <v>0.035318</v>
      </c>
      <c r="Q111">
        <f t="shared" si="37"/>
        <v>0.035445</v>
      </c>
      <c r="R111">
        <f t="shared" si="37"/>
        <v>0.035573</v>
      </c>
      <c r="S111">
        <f t="shared" si="37"/>
        <v>0.0357</v>
      </c>
    </row>
    <row r="112" spans="1:19">
      <c r="A112" t="s">
        <v>60</v>
      </c>
      <c r="B112" t="s">
        <v>179</v>
      </c>
      <c r="C112" t="s">
        <v>228</v>
      </c>
      <c r="D112" t="s">
        <v>229</v>
      </c>
      <c r="G112">
        <f t="shared" si="22"/>
        <v>0.42</v>
      </c>
      <c r="H112">
        <v>0.0343</v>
      </c>
      <c r="I112">
        <v>0.034427</v>
      </c>
      <c r="J112">
        <v>0.034555</v>
      </c>
      <c r="K112">
        <v>0.034682</v>
      </c>
      <c r="L112">
        <v>0.034809</v>
      </c>
      <c r="M112">
        <v>0.034936</v>
      </c>
      <c r="N112">
        <v>0.035064</v>
      </c>
      <c r="O112">
        <v>0.035191</v>
      </c>
      <c r="P112">
        <v>0.035318</v>
      </c>
      <c r="Q112">
        <v>0.035445</v>
      </c>
      <c r="R112">
        <v>0.035573</v>
      </c>
      <c r="S112">
        <v>0.0357</v>
      </c>
    </row>
    <row r="113" spans="1:19">
      <c r="A113" t="s">
        <v>26</v>
      </c>
      <c r="B113" t="s">
        <v>20</v>
      </c>
      <c r="C113" t="s">
        <v>230</v>
      </c>
      <c r="D113" t="s">
        <v>231</v>
      </c>
      <c r="G113">
        <f t="shared" si="22"/>
        <v>0.42</v>
      </c>
      <c r="H113">
        <f t="shared" ref="H113:S113" si="38">H114</f>
        <v>0.0343</v>
      </c>
      <c r="I113">
        <f t="shared" si="38"/>
        <v>0.034427</v>
      </c>
      <c r="J113">
        <f t="shared" si="38"/>
        <v>0.034555</v>
      </c>
      <c r="K113">
        <f t="shared" si="38"/>
        <v>0.034682</v>
      </c>
      <c r="L113">
        <f t="shared" si="38"/>
        <v>0.034809</v>
      </c>
      <c r="M113">
        <f t="shared" si="38"/>
        <v>0.034936</v>
      </c>
      <c r="N113">
        <f t="shared" si="38"/>
        <v>0.035064</v>
      </c>
      <c r="O113">
        <f t="shared" si="38"/>
        <v>0.035191</v>
      </c>
      <c r="P113">
        <f t="shared" si="38"/>
        <v>0.035318</v>
      </c>
      <c r="Q113">
        <f t="shared" si="38"/>
        <v>0.035445</v>
      </c>
      <c r="R113">
        <f t="shared" si="38"/>
        <v>0.035573</v>
      </c>
      <c r="S113">
        <f t="shared" si="38"/>
        <v>0.0357</v>
      </c>
    </row>
    <row r="114" spans="1:19">
      <c r="A114" t="s">
        <v>60</v>
      </c>
      <c r="B114" t="s">
        <v>179</v>
      </c>
      <c r="C114" t="s">
        <v>232</v>
      </c>
      <c r="D114" t="s">
        <v>233</v>
      </c>
      <c r="G114">
        <f t="shared" si="22"/>
        <v>0.42</v>
      </c>
      <c r="H114">
        <v>0.0343</v>
      </c>
      <c r="I114">
        <v>0.034427</v>
      </c>
      <c r="J114">
        <v>0.034555</v>
      </c>
      <c r="K114">
        <v>0.034682</v>
      </c>
      <c r="L114">
        <v>0.034809</v>
      </c>
      <c r="M114">
        <v>0.034936</v>
      </c>
      <c r="N114">
        <v>0.035064</v>
      </c>
      <c r="O114">
        <v>0.035191</v>
      </c>
      <c r="P114">
        <v>0.035318</v>
      </c>
      <c r="Q114">
        <v>0.035445</v>
      </c>
      <c r="R114">
        <v>0.035573</v>
      </c>
      <c r="S114">
        <v>0.0357</v>
      </c>
    </row>
    <row r="115" spans="1:19">
      <c r="A115" t="s">
        <v>23</v>
      </c>
      <c r="B115" t="s">
        <v>20</v>
      </c>
      <c r="C115" t="s">
        <v>234</v>
      </c>
      <c r="D115" t="s">
        <v>235</v>
      </c>
      <c r="G115">
        <f t="shared" si="22"/>
        <v>0.42</v>
      </c>
      <c r="H115">
        <f t="shared" ref="H115:S115" si="39">H116</f>
        <v>0.0343</v>
      </c>
      <c r="I115">
        <f t="shared" si="39"/>
        <v>0.034427</v>
      </c>
      <c r="J115">
        <f t="shared" si="39"/>
        <v>0.034555</v>
      </c>
      <c r="K115">
        <f t="shared" si="39"/>
        <v>0.034682</v>
      </c>
      <c r="L115">
        <f t="shared" si="39"/>
        <v>0.034809</v>
      </c>
      <c r="M115">
        <f t="shared" si="39"/>
        <v>0.034936</v>
      </c>
      <c r="N115">
        <f t="shared" si="39"/>
        <v>0.035064</v>
      </c>
      <c r="O115">
        <f t="shared" si="39"/>
        <v>0.035191</v>
      </c>
      <c r="P115">
        <f t="shared" si="39"/>
        <v>0.035318</v>
      </c>
      <c r="Q115">
        <f t="shared" si="39"/>
        <v>0.035445</v>
      </c>
      <c r="R115">
        <f t="shared" si="39"/>
        <v>0.035573</v>
      </c>
      <c r="S115">
        <f t="shared" si="39"/>
        <v>0.0357</v>
      </c>
    </row>
    <row r="116" spans="1:19">
      <c r="A116" t="s">
        <v>26</v>
      </c>
      <c r="B116" t="s">
        <v>20</v>
      </c>
      <c r="C116" t="s">
        <v>236</v>
      </c>
      <c r="D116" t="s">
        <v>237</v>
      </c>
      <c r="G116">
        <f t="shared" si="22"/>
        <v>0.42</v>
      </c>
      <c r="H116">
        <f t="shared" ref="H116:S116" si="40">H117</f>
        <v>0.0343</v>
      </c>
      <c r="I116">
        <f t="shared" si="40"/>
        <v>0.034427</v>
      </c>
      <c r="J116">
        <f t="shared" si="40"/>
        <v>0.034555</v>
      </c>
      <c r="K116">
        <f t="shared" si="40"/>
        <v>0.034682</v>
      </c>
      <c r="L116">
        <f t="shared" si="40"/>
        <v>0.034809</v>
      </c>
      <c r="M116">
        <f t="shared" si="40"/>
        <v>0.034936</v>
      </c>
      <c r="N116">
        <f t="shared" si="40"/>
        <v>0.035064</v>
      </c>
      <c r="O116">
        <f t="shared" si="40"/>
        <v>0.035191</v>
      </c>
      <c r="P116">
        <f t="shared" si="40"/>
        <v>0.035318</v>
      </c>
      <c r="Q116">
        <f t="shared" si="40"/>
        <v>0.035445</v>
      </c>
      <c r="R116">
        <f t="shared" si="40"/>
        <v>0.035573</v>
      </c>
      <c r="S116">
        <f t="shared" si="40"/>
        <v>0.0357</v>
      </c>
    </row>
    <row r="117" spans="1:19">
      <c r="A117" t="s">
        <v>60</v>
      </c>
      <c r="B117" t="s">
        <v>179</v>
      </c>
      <c r="C117" t="s">
        <v>238</v>
      </c>
      <c r="D117" t="s">
        <v>239</v>
      </c>
      <c r="G117">
        <f t="shared" si="22"/>
        <v>0.42</v>
      </c>
      <c r="H117">
        <v>0.0343</v>
      </c>
      <c r="I117">
        <v>0.034427</v>
      </c>
      <c r="J117">
        <v>0.034555</v>
      </c>
      <c r="K117">
        <v>0.034682</v>
      </c>
      <c r="L117">
        <v>0.034809</v>
      </c>
      <c r="M117">
        <v>0.034936</v>
      </c>
      <c r="N117">
        <v>0.035064</v>
      </c>
      <c r="O117">
        <v>0.035191</v>
      </c>
      <c r="P117">
        <v>0.035318</v>
      </c>
      <c r="Q117">
        <v>0.035445</v>
      </c>
      <c r="R117">
        <v>0.035573</v>
      </c>
      <c r="S117">
        <v>0.0357</v>
      </c>
    </row>
    <row r="118" spans="1:19">
      <c r="A118" t="s">
        <v>19</v>
      </c>
      <c r="B118" t="s">
        <v>35</v>
      </c>
      <c r="C118" t="s">
        <v>240</v>
      </c>
      <c r="D118" t="s">
        <v>241</v>
      </c>
      <c r="G118">
        <f t="shared" si="22"/>
        <v>2.7</v>
      </c>
      <c r="H118">
        <f t="shared" ref="H118:S118" si="41">H119+H130+H135+H138</f>
        <v>0.2205</v>
      </c>
      <c r="I118">
        <f t="shared" si="41"/>
        <v>0.221319</v>
      </c>
      <c r="J118">
        <f t="shared" si="41"/>
        <v>0.222138</v>
      </c>
      <c r="K118">
        <f t="shared" si="41"/>
        <v>0.222957</v>
      </c>
      <c r="L118">
        <f t="shared" si="41"/>
        <v>0.223776</v>
      </c>
      <c r="M118">
        <f t="shared" si="41"/>
        <v>0.224595</v>
      </c>
      <c r="N118">
        <f t="shared" si="41"/>
        <v>0.225405</v>
      </c>
      <c r="O118">
        <f t="shared" si="41"/>
        <v>0.226224</v>
      </c>
      <c r="P118">
        <f t="shared" si="41"/>
        <v>0.227043</v>
      </c>
      <c r="Q118">
        <f t="shared" si="41"/>
        <v>0.227862</v>
      </c>
      <c r="R118">
        <f t="shared" si="41"/>
        <v>0.228681</v>
      </c>
      <c r="S118">
        <f t="shared" si="41"/>
        <v>0.2295</v>
      </c>
    </row>
    <row r="119" spans="1:19">
      <c r="A119" t="s">
        <v>23</v>
      </c>
      <c r="B119" t="s">
        <v>35</v>
      </c>
      <c r="C119" t="s">
        <v>242</v>
      </c>
      <c r="D119" t="s">
        <v>243</v>
      </c>
      <c r="G119">
        <f t="shared" si="22"/>
        <v>1.5</v>
      </c>
      <c r="H119">
        <f t="shared" ref="H119:S119" si="42">H120+H126+H128</f>
        <v>0.1225</v>
      </c>
      <c r="I119">
        <f t="shared" si="42"/>
        <v>0.122955</v>
      </c>
      <c r="J119">
        <f t="shared" si="42"/>
        <v>0.12341</v>
      </c>
      <c r="K119">
        <f t="shared" si="42"/>
        <v>0.123865</v>
      </c>
      <c r="L119">
        <f t="shared" si="42"/>
        <v>0.12432</v>
      </c>
      <c r="M119">
        <f t="shared" si="42"/>
        <v>0.124775</v>
      </c>
      <c r="N119">
        <f t="shared" si="42"/>
        <v>0.125225</v>
      </c>
      <c r="O119">
        <f t="shared" si="42"/>
        <v>0.12568</v>
      </c>
      <c r="P119">
        <f t="shared" si="42"/>
        <v>0.126135</v>
      </c>
      <c r="Q119">
        <f t="shared" si="42"/>
        <v>0.12659</v>
      </c>
      <c r="R119">
        <f t="shared" si="42"/>
        <v>0.127045</v>
      </c>
      <c r="S119">
        <f t="shared" si="42"/>
        <v>0.1275</v>
      </c>
    </row>
    <row r="120" spans="1:19">
      <c r="A120" t="s">
        <v>26</v>
      </c>
      <c r="B120" t="s">
        <v>35</v>
      </c>
      <c r="C120" t="s">
        <v>244</v>
      </c>
      <c r="D120" t="s">
        <v>245</v>
      </c>
      <c r="G120">
        <f t="shared" si="22"/>
        <v>0.9</v>
      </c>
      <c r="H120">
        <f t="shared" ref="H120:S120" si="43">H121+H122+H124</f>
        <v>0.0735</v>
      </c>
      <c r="I120">
        <f t="shared" si="43"/>
        <v>0.073773</v>
      </c>
      <c r="J120">
        <f t="shared" si="43"/>
        <v>0.074046</v>
      </c>
      <c r="K120">
        <f t="shared" si="43"/>
        <v>0.074319</v>
      </c>
      <c r="L120">
        <f t="shared" si="43"/>
        <v>0.074592</v>
      </c>
      <c r="M120">
        <f t="shared" si="43"/>
        <v>0.074865</v>
      </c>
      <c r="N120">
        <f t="shared" si="43"/>
        <v>0.075135</v>
      </c>
      <c r="O120">
        <f t="shared" si="43"/>
        <v>0.075408</v>
      </c>
      <c r="P120">
        <f t="shared" si="43"/>
        <v>0.075681</v>
      </c>
      <c r="Q120">
        <f t="shared" si="43"/>
        <v>0.075954</v>
      </c>
      <c r="R120">
        <f t="shared" si="43"/>
        <v>0.076227</v>
      </c>
      <c r="S120">
        <f t="shared" si="43"/>
        <v>0.0765</v>
      </c>
    </row>
    <row r="121" spans="1:19">
      <c r="A121" t="s">
        <v>60</v>
      </c>
      <c r="B121" t="s">
        <v>179</v>
      </c>
      <c r="C121" t="s">
        <v>246</v>
      </c>
      <c r="D121" t="s">
        <v>247</v>
      </c>
      <c r="G121">
        <f t="shared" si="22"/>
        <v>0.3</v>
      </c>
      <c r="H121">
        <v>0.0245</v>
      </c>
      <c r="I121">
        <v>0.024591</v>
      </c>
      <c r="J121">
        <v>0.024682</v>
      </c>
      <c r="K121">
        <v>0.024773</v>
      </c>
      <c r="L121">
        <v>0.024864</v>
      </c>
      <c r="M121">
        <v>0.024955</v>
      </c>
      <c r="N121">
        <v>0.025045</v>
      </c>
      <c r="O121">
        <v>0.025136</v>
      </c>
      <c r="P121">
        <v>0.025227</v>
      </c>
      <c r="Q121">
        <v>0.025318</v>
      </c>
      <c r="R121">
        <v>0.025409</v>
      </c>
      <c r="S121">
        <v>0.0255</v>
      </c>
    </row>
    <row r="122" spans="1:19">
      <c r="A122" t="s">
        <v>60</v>
      </c>
      <c r="B122" t="s">
        <v>35</v>
      </c>
      <c r="C122" t="s">
        <v>248</v>
      </c>
      <c r="D122" t="s">
        <v>249</v>
      </c>
      <c r="G122">
        <f t="shared" si="22"/>
        <v>0.3</v>
      </c>
      <c r="H122">
        <f t="shared" ref="H122:S122" si="44">H123</f>
        <v>0.0245</v>
      </c>
      <c r="I122">
        <f t="shared" si="44"/>
        <v>0.024591</v>
      </c>
      <c r="J122">
        <f t="shared" si="44"/>
        <v>0.024682</v>
      </c>
      <c r="K122">
        <f t="shared" si="44"/>
        <v>0.024773</v>
      </c>
      <c r="L122">
        <f t="shared" si="44"/>
        <v>0.024864</v>
      </c>
      <c r="M122">
        <f t="shared" si="44"/>
        <v>0.024955</v>
      </c>
      <c r="N122">
        <f t="shared" si="44"/>
        <v>0.025045</v>
      </c>
      <c r="O122">
        <f t="shared" si="44"/>
        <v>0.025136</v>
      </c>
      <c r="P122">
        <f t="shared" si="44"/>
        <v>0.025227</v>
      </c>
      <c r="Q122">
        <f t="shared" si="44"/>
        <v>0.025318</v>
      </c>
      <c r="R122">
        <f t="shared" si="44"/>
        <v>0.025409</v>
      </c>
      <c r="S122">
        <f t="shared" si="44"/>
        <v>0.0255</v>
      </c>
    </row>
    <row r="123" spans="1:19">
      <c r="A123" t="s">
        <v>192</v>
      </c>
      <c r="B123" t="s">
        <v>179</v>
      </c>
      <c r="C123" t="s">
        <v>250</v>
      </c>
      <c r="D123" t="s">
        <v>251</v>
      </c>
      <c r="G123">
        <f t="shared" si="22"/>
        <v>0.3</v>
      </c>
      <c r="H123">
        <v>0.0245</v>
      </c>
      <c r="I123">
        <v>0.024591</v>
      </c>
      <c r="J123">
        <v>0.024682</v>
      </c>
      <c r="K123">
        <v>0.024773</v>
      </c>
      <c r="L123">
        <v>0.024864</v>
      </c>
      <c r="M123">
        <v>0.024955</v>
      </c>
      <c r="N123">
        <v>0.025045</v>
      </c>
      <c r="O123">
        <v>0.025136</v>
      </c>
      <c r="P123">
        <v>0.025227</v>
      </c>
      <c r="Q123">
        <v>0.025318</v>
      </c>
      <c r="R123">
        <v>0.025409</v>
      </c>
      <c r="S123">
        <v>0.0255</v>
      </c>
    </row>
    <row r="124" spans="1:19">
      <c r="A124" t="s">
        <v>60</v>
      </c>
      <c r="B124" t="s">
        <v>35</v>
      </c>
      <c r="C124" t="s">
        <v>252</v>
      </c>
      <c r="D124" t="s">
        <v>253</v>
      </c>
      <c r="G124">
        <f t="shared" si="22"/>
        <v>0.3</v>
      </c>
      <c r="H124">
        <f t="shared" ref="H124:S124" si="45">H125</f>
        <v>0.0245</v>
      </c>
      <c r="I124">
        <f t="shared" si="45"/>
        <v>0.024591</v>
      </c>
      <c r="J124">
        <f t="shared" si="45"/>
        <v>0.024682</v>
      </c>
      <c r="K124">
        <f t="shared" si="45"/>
        <v>0.024773</v>
      </c>
      <c r="L124">
        <f t="shared" si="45"/>
        <v>0.024864</v>
      </c>
      <c r="M124">
        <f t="shared" si="45"/>
        <v>0.024955</v>
      </c>
      <c r="N124">
        <f t="shared" si="45"/>
        <v>0.025045</v>
      </c>
      <c r="O124">
        <f t="shared" si="45"/>
        <v>0.025136</v>
      </c>
      <c r="P124">
        <f t="shared" si="45"/>
        <v>0.025227</v>
      </c>
      <c r="Q124">
        <f t="shared" si="45"/>
        <v>0.025318</v>
      </c>
      <c r="R124">
        <f t="shared" si="45"/>
        <v>0.025409</v>
      </c>
      <c r="S124">
        <f t="shared" si="45"/>
        <v>0.0255</v>
      </c>
    </row>
    <row r="125" spans="1:19">
      <c r="A125" t="s">
        <v>192</v>
      </c>
      <c r="B125" t="s">
        <v>179</v>
      </c>
      <c r="C125" t="s">
        <v>254</v>
      </c>
      <c r="D125" t="s">
        <v>255</v>
      </c>
      <c r="G125">
        <f t="shared" si="22"/>
        <v>0.3</v>
      </c>
      <c r="H125">
        <v>0.0245</v>
      </c>
      <c r="I125">
        <v>0.024591</v>
      </c>
      <c r="J125">
        <v>0.024682</v>
      </c>
      <c r="K125">
        <v>0.024773</v>
      </c>
      <c r="L125">
        <v>0.024864</v>
      </c>
      <c r="M125">
        <v>0.024955</v>
      </c>
      <c r="N125">
        <v>0.025045</v>
      </c>
      <c r="O125">
        <v>0.025136</v>
      </c>
      <c r="P125">
        <v>0.025227</v>
      </c>
      <c r="Q125">
        <v>0.025318</v>
      </c>
      <c r="R125">
        <v>0.025409</v>
      </c>
      <c r="S125">
        <v>0.0255</v>
      </c>
    </row>
    <row r="126" spans="1:19">
      <c r="A126" t="s">
        <v>26</v>
      </c>
      <c r="B126" t="s">
        <v>35</v>
      </c>
      <c r="C126" t="s">
        <v>256</v>
      </c>
      <c r="D126" t="s">
        <v>257</v>
      </c>
      <c r="G126">
        <f t="shared" si="22"/>
        <v>0.3</v>
      </c>
      <c r="H126">
        <f t="shared" ref="H126:S126" si="46">H127</f>
        <v>0.0245</v>
      </c>
      <c r="I126">
        <f t="shared" si="46"/>
        <v>0.024591</v>
      </c>
      <c r="J126">
        <f t="shared" si="46"/>
        <v>0.024682</v>
      </c>
      <c r="K126">
        <f t="shared" si="46"/>
        <v>0.024773</v>
      </c>
      <c r="L126">
        <f t="shared" si="46"/>
        <v>0.024864</v>
      </c>
      <c r="M126">
        <f t="shared" si="46"/>
        <v>0.024955</v>
      </c>
      <c r="N126">
        <f t="shared" si="46"/>
        <v>0.025045</v>
      </c>
      <c r="O126">
        <f t="shared" si="46"/>
        <v>0.025136</v>
      </c>
      <c r="P126">
        <f t="shared" si="46"/>
        <v>0.025227</v>
      </c>
      <c r="Q126">
        <f t="shared" si="46"/>
        <v>0.025318</v>
      </c>
      <c r="R126">
        <f t="shared" si="46"/>
        <v>0.025409</v>
      </c>
      <c r="S126">
        <f t="shared" si="46"/>
        <v>0.0255</v>
      </c>
    </row>
    <row r="127" spans="1:19">
      <c r="A127" t="s">
        <v>60</v>
      </c>
      <c r="B127" t="s">
        <v>179</v>
      </c>
      <c r="C127" t="s">
        <v>258</v>
      </c>
      <c r="D127" t="s">
        <v>259</v>
      </c>
      <c r="G127">
        <f t="shared" si="22"/>
        <v>0.3</v>
      </c>
      <c r="H127">
        <v>0.0245</v>
      </c>
      <c r="I127">
        <v>0.024591</v>
      </c>
      <c r="J127">
        <v>0.024682</v>
      </c>
      <c r="K127">
        <v>0.024773</v>
      </c>
      <c r="L127">
        <v>0.024864</v>
      </c>
      <c r="M127">
        <v>0.024955</v>
      </c>
      <c r="N127">
        <v>0.025045</v>
      </c>
      <c r="O127">
        <v>0.025136</v>
      </c>
      <c r="P127">
        <v>0.025227</v>
      </c>
      <c r="Q127">
        <v>0.025318</v>
      </c>
      <c r="R127">
        <v>0.025409</v>
      </c>
      <c r="S127">
        <v>0.0255</v>
      </c>
    </row>
    <row r="128" spans="1:19">
      <c r="A128" t="s">
        <v>26</v>
      </c>
      <c r="B128" t="s">
        <v>35</v>
      </c>
      <c r="C128" t="s">
        <v>260</v>
      </c>
      <c r="D128" t="s">
        <v>261</v>
      </c>
      <c r="G128">
        <f t="shared" si="22"/>
        <v>0.3</v>
      </c>
      <c r="H128">
        <f t="shared" ref="H128:S128" si="47">H129</f>
        <v>0.0245</v>
      </c>
      <c r="I128">
        <f t="shared" si="47"/>
        <v>0.024591</v>
      </c>
      <c r="J128">
        <f t="shared" si="47"/>
        <v>0.024682</v>
      </c>
      <c r="K128">
        <f t="shared" si="47"/>
        <v>0.024773</v>
      </c>
      <c r="L128">
        <f t="shared" si="47"/>
        <v>0.024864</v>
      </c>
      <c r="M128">
        <f t="shared" si="47"/>
        <v>0.024955</v>
      </c>
      <c r="N128">
        <f t="shared" si="47"/>
        <v>0.025045</v>
      </c>
      <c r="O128">
        <f t="shared" si="47"/>
        <v>0.025136</v>
      </c>
      <c r="P128">
        <f t="shared" si="47"/>
        <v>0.025227</v>
      </c>
      <c r="Q128">
        <f t="shared" si="47"/>
        <v>0.025318</v>
      </c>
      <c r="R128">
        <f t="shared" si="47"/>
        <v>0.025409</v>
      </c>
      <c r="S128">
        <f t="shared" si="47"/>
        <v>0.0255</v>
      </c>
    </row>
    <row r="129" spans="1:19">
      <c r="A129" t="s">
        <v>60</v>
      </c>
      <c r="B129" t="s">
        <v>179</v>
      </c>
      <c r="C129" t="s">
        <v>262</v>
      </c>
      <c r="D129" t="s">
        <v>263</v>
      </c>
      <c r="G129">
        <f t="shared" si="22"/>
        <v>0.3</v>
      </c>
      <c r="H129">
        <v>0.0245</v>
      </c>
      <c r="I129">
        <v>0.024591</v>
      </c>
      <c r="J129">
        <v>0.024682</v>
      </c>
      <c r="K129">
        <v>0.024773</v>
      </c>
      <c r="L129">
        <v>0.024864</v>
      </c>
      <c r="M129">
        <v>0.024955</v>
      </c>
      <c r="N129">
        <v>0.025045</v>
      </c>
      <c r="O129">
        <v>0.025136</v>
      </c>
      <c r="P129">
        <v>0.025227</v>
      </c>
      <c r="Q129">
        <v>0.025318</v>
      </c>
      <c r="R129">
        <v>0.025409</v>
      </c>
      <c r="S129">
        <v>0.0255</v>
      </c>
    </row>
    <row r="130" spans="1:19">
      <c r="A130" t="s">
        <v>23</v>
      </c>
      <c r="B130" t="s">
        <v>35</v>
      </c>
      <c r="C130" t="s">
        <v>264</v>
      </c>
      <c r="D130" t="s">
        <v>265</v>
      </c>
      <c r="G130">
        <f t="shared" ref="G130:G193" si="48">H130+I130+J130+K130+L130+M130+N130+O130+P130+Q130+R130+S130</f>
        <v>0.6</v>
      </c>
      <c r="H130">
        <f t="shared" ref="H130:S130" si="49">H131+H133</f>
        <v>0.049</v>
      </c>
      <c r="I130">
        <f t="shared" si="49"/>
        <v>0.049182</v>
      </c>
      <c r="J130">
        <f t="shared" si="49"/>
        <v>0.049364</v>
      </c>
      <c r="K130">
        <f t="shared" si="49"/>
        <v>0.049546</v>
      </c>
      <c r="L130">
        <f t="shared" si="49"/>
        <v>0.049728</v>
      </c>
      <c r="M130">
        <f t="shared" si="49"/>
        <v>0.04991</v>
      </c>
      <c r="N130">
        <f t="shared" si="49"/>
        <v>0.05009</v>
      </c>
      <c r="O130">
        <f t="shared" si="49"/>
        <v>0.050272</v>
      </c>
      <c r="P130">
        <f t="shared" si="49"/>
        <v>0.050454</v>
      </c>
      <c r="Q130">
        <f t="shared" si="49"/>
        <v>0.050636</v>
      </c>
      <c r="R130">
        <f t="shared" si="49"/>
        <v>0.050818</v>
      </c>
      <c r="S130">
        <f t="shared" si="49"/>
        <v>0.051</v>
      </c>
    </row>
    <row r="131" spans="1:19">
      <c r="A131" t="s">
        <v>26</v>
      </c>
      <c r="B131" t="s">
        <v>35</v>
      </c>
      <c r="C131" t="s">
        <v>266</v>
      </c>
      <c r="D131" t="s">
        <v>267</v>
      </c>
      <c r="G131">
        <f t="shared" si="48"/>
        <v>0.3</v>
      </c>
      <c r="H131">
        <f t="shared" ref="H131:S131" si="50">H132</f>
        <v>0.0245</v>
      </c>
      <c r="I131">
        <f t="shared" si="50"/>
        <v>0.024591</v>
      </c>
      <c r="J131">
        <f t="shared" si="50"/>
        <v>0.024682</v>
      </c>
      <c r="K131">
        <f t="shared" si="50"/>
        <v>0.024773</v>
      </c>
      <c r="L131">
        <f t="shared" si="50"/>
        <v>0.024864</v>
      </c>
      <c r="M131">
        <f t="shared" si="50"/>
        <v>0.024955</v>
      </c>
      <c r="N131">
        <f t="shared" si="50"/>
        <v>0.025045</v>
      </c>
      <c r="O131">
        <f t="shared" si="50"/>
        <v>0.025136</v>
      </c>
      <c r="P131">
        <f t="shared" si="50"/>
        <v>0.025227</v>
      </c>
      <c r="Q131">
        <f t="shared" si="50"/>
        <v>0.025318</v>
      </c>
      <c r="R131">
        <f t="shared" si="50"/>
        <v>0.025409</v>
      </c>
      <c r="S131">
        <f t="shared" si="50"/>
        <v>0.0255</v>
      </c>
    </row>
    <row r="132" spans="1:19">
      <c r="A132" t="s">
        <v>60</v>
      </c>
      <c r="B132" t="s">
        <v>179</v>
      </c>
      <c r="C132" t="s">
        <v>268</v>
      </c>
      <c r="D132" t="s">
        <v>269</v>
      </c>
      <c r="G132">
        <f t="shared" si="48"/>
        <v>0.3</v>
      </c>
      <c r="H132">
        <v>0.0245</v>
      </c>
      <c r="I132">
        <v>0.024591</v>
      </c>
      <c r="J132">
        <v>0.024682</v>
      </c>
      <c r="K132">
        <v>0.024773</v>
      </c>
      <c r="L132">
        <v>0.024864</v>
      </c>
      <c r="M132">
        <v>0.024955</v>
      </c>
      <c r="N132">
        <v>0.025045</v>
      </c>
      <c r="O132">
        <v>0.025136</v>
      </c>
      <c r="P132">
        <v>0.025227</v>
      </c>
      <c r="Q132">
        <v>0.025318</v>
      </c>
      <c r="R132">
        <v>0.025409</v>
      </c>
      <c r="S132">
        <v>0.0255</v>
      </c>
    </row>
    <row r="133" spans="1:19">
      <c r="A133" t="s">
        <v>26</v>
      </c>
      <c r="B133" t="s">
        <v>35</v>
      </c>
      <c r="C133" t="s">
        <v>270</v>
      </c>
      <c r="D133" t="s">
        <v>271</v>
      </c>
      <c r="G133">
        <f t="shared" si="48"/>
        <v>0.3</v>
      </c>
      <c r="H133">
        <f t="shared" ref="H133:S133" si="51">H134</f>
        <v>0.0245</v>
      </c>
      <c r="I133">
        <f t="shared" si="51"/>
        <v>0.024591</v>
      </c>
      <c r="J133">
        <f t="shared" si="51"/>
        <v>0.024682</v>
      </c>
      <c r="K133">
        <f t="shared" si="51"/>
        <v>0.024773</v>
      </c>
      <c r="L133">
        <f t="shared" si="51"/>
        <v>0.024864</v>
      </c>
      <c r="M133">
        <f t="shared" si="51"/>
        <v>0.024955</v>
      </c>
      <c r="N133">
        <f t="shared" si="51"/>
        <v>0.025045</v>
      </c>
      <c r="O133">
        <f t="shared" si="51"/>
        <v>0.025136</v>
      </c>
      <c r="P133">
        <f t="shared" si="51"/>
        <v>0.025227</v>
      </c>
      <c r="Q133">
        <f t="shared" si="51"/>
        <v>0.025318</v>
      </c>
      <c r="R133">
        <f t="shared" si="51"/>
        <v>0.025409</v>
      </c>
      <c r="S133">
        <f t="shared" si="51"/>
        <v>0.0255</v>
      </c>
    </row>
    <row r="134" spans="1:19">
      <c r="A134" t="s">
        <v>60</v>
      </c>
      <c r="B134" t="s">
        <v>179</v>
      </c>
      <c r="C134" t="s">
        <v>272</v>
      </c>
      <c r="D134" t="s">
        <v>273</v>
      </c>
      <c r="G134">
        <f t="shared" si="48"/>
        <v>0.3</v>
      </c>
      <c r="H134">
        <v>0.0245</v>
      </c>
      <c r="I134">
        <v>0.024591</v>
      </c>
      <c r="J134">
        <v>0.024682</v>
      </c>
      <c r="K134">
        <v>0.024773</v>
      </c>
      <c r="L134">
        <v>0.024864</v>
      </c>
      <c r="M134">
        <v>0.024955</v>
      </c>
      <c r="N134">
        <v>0.025045</v>
      </c>
      <c r="O134">
        <v>0.025136</v>
      </c>
      <c r="P134">
        <v>0.025227</v>
      </c>
      <c r="Q134">
        <v>0.025318</v>
      </c>
      <c r="R134">
        <v>0.025409</v>
      </c>
      <c r="S134">
        <v>0.0255</v>
      </c>
    </row>
    <row r="135" spans="1:19">
      <c r="A135" t="s">
        <v>23</v>
      </c>
      <c r="B135" t="s">
        <v>35</v>
      </c>
      <c r="C135" t="s">
        <v>274</v>
      </c>
      <c r="D135" t="s">
        <v>275</v>
      </c>
      <c r="G135">
        <f t="shared" si="48"/>
        <v>0.3</v>
      </c>
      <c r="H135">
        <f t="shared" ref="H135:S135" si="52">H136</f>
        <v>0.0245</v>
      </c>
      <c r="I135">
        <f t="shared" si="52"/>
        <v>0.024591</v>
      </c>
      <c r="J135">
        <f t="shared" si="52"/>
        <v>0.024682</v>
      </c>
      <c r="K135">
        <f t="shared" si="52"/>
        <v>0.024773</v>
      </c>
      <c r="L135">
        <f t="shared" si="52"/>
        <v>0.024864</v>
      </c>
      <c r="M135">
        <f t="shared" si="52"/>
        <v>0.024955</v>
      </c>
      <c r="N135">
        <f t="shared" si="52"/>
        <v>0.025045</v>
      </c>
      <c r="O135">
        <f t="shared" si="52"/>
        <v>0.025136</v>
      </c>
      <c r="P135">
        <f t="shared" si="52"/>
        <v>0.025227</v>
      </c>
      <c r="Q135">
        <f t="shared" si="52"/>
        <v>0.025318</v>
      </c>
      <c r="R135">
        <f t="shared" si="52"/>
        <v>0.025409</v>
      </c>
      <c r="S135">
        <f t="shared" si="52"/>
        <v>0.0255</v>
      </c>
    </row>
    <row r="136" spans="1:19">
      <c r="A136" t="s">
        <v>26</v>
      </c>
      <c r="B136" t="s">
        <v>35</v>
      </c>
      <c r="C136" t="s">
        <v>276</v>
      </c>
      <c r="D136" t="s">
        <v>277</v>
      </c>
      <c r="G136">
        <f t="shared" si="48"/>
        <v>0.3</v>
      </c>
      <c r="H136">
        <f t="shared" ref="H136:S136" si="53">H137</f>
        <v>0.0245</v>
      </c>
      <c r="I136">
        <f t="shared" si="53"/>
        <v>0.024591</v>
      </c>
      <c r="J136">
        <f t="shared" si="53"/>
        <v>0.024682</v>
      </c>
      <c r="K136">
        <f t="shared" si="53"/>
        <v>0.024773</v>
      </c>
      <c r="L136">
        <f t="shared" si="53"/>
        <v>0.024864</v>
      </c>
      <c r="M136">
        <f t="shared" si="53"/>
        <v>0.024955</v>
      </c>
      <c r="N136">
        <f t="shared" si="53"/>
        <v>0.025045</v>
      </c>
      <c r="O136">
        <f t="shared" si="53"/>
        <v>0.025136</v>
      </c>
      <c r="P136">
        <f t="shared" si="53"/>
        <v>0.025227</v>
      </c>
      <c r="Q136">
        <f t="shared" si="53"/>
        <v>0.025318</v>
      </c>
      <c r="R136">
        <f t="shared" si="53"/>
        <v>0.025409</v>
      </c>
      <c r="S136">
        <f t="shared" si="53"/>
        <v>0.0255</v>
      </c>
    </row>
    <row r="137" spans="1:19">
      <c r="A137" t="s">
        <v>60</v>
      </c>
      <c r="B137" t="s">
        <v>179</v>
      </c>
      <c r="C137" t="s">
        <v>278</v>
      </c>
      <c r="D137" t="s">
        <v>279</v>
      </c>
      <c r="G137">
        <f t="shared" si="48"/>
        <v>0.3</v>
      </c>
      <c r="H137">
        <v>0.0245</v>
      </c>
      <c r="I137">
        <v>0.024591</v>
      </c>
      <c r="J137">
        <v>0.024682</v>
      </c>
      <c r="K137">
        <v>0.024773</v>
      </c>
      <c r="L137">
        <v>0.024864</v>
      </c>
      <c r="M137">
        <v>0.024955</v>
      </c>
      <c r="N137">
        <v>0.025045</v>
      </c>
      <c r="O137">
        <v>0.025136</v>
      </c>
      <c r="P137">
        <v>0.025227</v>
      </c>
      <c r="Q137">
        <v>0.025318</v>
      </c>
      <c r="R137">
        <v>0.025409</v>
      </c>
      <c r="S137">
        <v>0.0255</v>
      </c>
    </row>
    <row r="138" spans="1:19">
      <c r="A138" t="s">
        <v>23</v>
      </c>
      <c r="B138" t="s">
        <v>35</v>
      </c>
      <c r="C138" t="s">
        <v>280</v>
      </c>
      <c r="D138" t="s">
        <v>281</v>
      </c>
      <c r="G138">
        <f t="shared" si="48"/>
        <v>0.3</v>
      </c>
      <c r="H138">
        <f t="shared" ref="H138:S138" si="54">H139</f>
        <v>0.0245</v>
      </c>
      <c r="I138">
        <f t="shared" si="54"/>
        <v>0.024591</v>
      </c>
      <c r="J138">
        <f t="shared" si="54"/>
        <v>0.024682</v>
      </c>
      <c r="K138">
        <f t="shared" si="54"/>
        <v>0.024773</v>
      </c>
      <c r="L138">
        <f t="shared" si="54"/>
        <v>0.024864</v>
      </c>
      <c r="M138">
        <f t="shared" si="54"/>
        <v>0.024955</v>
      </c>
      <c r="N138">
        <f t="shared" si="54"/>
        <v>0.025045</v>
      </c>
      <c r="O138">
        <f t="shared" si="54"/>
        <v>0.025136</v>
      </c>
      <c r="P138">
        <f t="shared" si="54"/>
        <v>0.025227</v>
      </c>
      <c r="Q138">
        <f t="shared" si="54"/>
        <v>0.025318</v>
      </c>
      <c r="R138">
        <f t="shared" si="54"/>
        <v>0.025409</v>
      </c>
      <c r="S138">
        <f t="shared" si="54"/>
        <v>0.0255</v>
      </c>
    </row>
    <row r="139" spans="1:19">
      <c r="A139" t="s">
        <v>26</v>
      </c>
      <c r="B139" t="s">
        <v>35</v>
      </c>
      <c r="C139" t="s">
        <v>282</v>
      </c>
      <c r="D139" t="s">
        <v>283</v>
      </c>
      <c r="G139">
        <f t="shared" si="48"/>
        <v>0.3</v>
      </c>
      <c r="H139">
        <v>0.0245</v>
      </c>
      <c r="I139">
        <v>0.024591</v>
      </c>
      <c r="J139">
        <v>0.024682</v>
      </c>
      <c r="K139">
        <v>0.024773</v>
      </c>
      <c r="L139">
        <v>0.024864</v>
      </c>
      <c r="M139">
        <v>0.024955</v>
      </c>
      <c r="N139">
        <v>0.025045</v>
      </c>
      <c r="O139">
        <v>0.025136</v>
      </c>
      <c r="P139">
        <v>0.025227</v>
      </c>
      <c r="Q139">
        <v>0.025318</v>
      </c>
      <c r="R139">
        <v>0.025409</v>
      </c>
      <c r="S139">
        <v>0.0255</v>
      </c>
    </row>
    <row r="140" spans="1:19">
      <c r="A140" t="s">
        <v>19</v>
      </c>
      <c r="B140" t="s">
        <v>35</v>
      </c>
      <c r="C140" t="s">
        <v>284</v>
      </c>
      <c r="D140" t="s">
        <v>285</v>
      </c>
      <c r="G140">
        <f t="shared" si="48"/>
        <v>1.08</v>
      </c>
      <c r="H140">
        <f t="shared" ref="H140:S140" si="55">H141+H147</f>
        <v>0.0882</v>
      </c>
      <c r="I140">
        <f t="shared" si="55"/>
        <v>0.088525</v>
      </c>
      <c r="J140">
        <f t="shared" si="55"/>
        <v>0.088855</v>
      </c>
      <c r="K140">
        <f t="shared" si="55"/>
        <v>0.08918</v>
      </c>
      <c r="L140">
        <f t="shared" si="55"/>
        <v>0.08951</v>
      </c>
      <c r="M140">
        <f t="shared" si="55"/>
        <v>0.089835</v>
      </c>
      <c r="N140">
        <f t="shared" si="55"/>
        <v>0.090165</v>
      </c>
      <c r="O140">
        <f t="shared" si="55"/>
        <v>0.09049</v>
      </c>
      <c r="P140">
        <f t="shared" si="55"/>
        <v>0.09082</v>
      </c>
      <c r="Q140">
        <f t="shared" si="55"/>
        <v>0.091145</v>
      </c>
      <c r="R140">
        <f t="shared" si="55"/>
        <v>0.091475</v>
      </c>
      <c r="S140">
        <f t="shared" si="55"/>
        <v>0.0918</v>
      </c>
    </row>
    <row r="141" spans="1:19">
      <c r="A141" t="s">
        <v>23</v>
      </c>
      <c r="B141" t="s">
        <v>35</v>
      </c>
      <c r="C141" t="s">
        <v>286</v>
      </c>
      <c r="D141" t="s">
        <v>287</v>
      </c>
      <c r="G141">
        <f t="shared" si="48"/>
        <v>0.648</v>
      </c>
      <c r="H141">
        <f t="shared" ref="H141:S141" si="56">H142+H143+H145</f>
        <v>0.05292</v>
      </c>
      <c r="I141">
        <f t="shared" si="56"/>
        <v>0.053115</v>
      </c>
      <c r="J141">
        <f t="shared" si="56"/>
        <v>0.053313</v>
      </c>
      <c r="K141">
        <f t="shared" si="56"/>
        <v>0.053508</v>
      </c>
      <c r="L141">
        <f t="shared" si="56"/>
        <v>0.053706</v>
      </c>
      <c r="M141">
        <f t="shared" si="56"/>
        <v>0.053901</v>
      </c>
      <c r="N141">
        <f t="shared" si="56"/>
        <v>0.054099</v>
      </c>
      <c r="O141">
        <f t="shared" si="56"/>
        <v>0.054294</v>
      </c>
      <c r="P141">
        <f t="shared" si="56"/>
        <v>0.054492</v>
      </c>
      <c r="Q141">
        <f t="shared" si="56"/>
        <v>0.054687</v>
      </c>
      <c r="R141">
        <f t="shared" si="56"/>
        <v>0.054885</v>
      </c>
      <c r="S141">
        <f t="shared" si="56"/>
        <v>0.05508</v>
      </c>
    </row>
    <row r="142" spans="1:19">
      <c r="A142" t="s">
        <v>26</v>
      </c>
      <c r="B142" t="s">
        <v>179</v>
      </c>
      <c r="C142" t="s">
        <v>288</v>
      </c>
      <c r="D142" t="s">
        <v>289</v>
      </c>
      <c r="G142">
        <f t="shared" si="48"/>
        <v>0.216</v>
      </c>
      <c r="H142">
        <v>0.01764</v>
      </c>
      <c r="I142">
        <v>0.017705</v>
      </c>
      <c r="J142">
        <v>0.017771</v>
      </c>
      <c r="K142">
        <v>0.017836</v>
      </c>
      <c r="L142">
        <v>0.017902</v>
      </c>
      <c r="M142">
        <v>0.017967</v>
      </c>
      <c r="N142">
        <v>0.018033</v>
      </c>
      <c r="O142">
        <v>0.018098</v>
      </c>
      <c r="P142">
        <v>0.018164</v>
      </c>
      <c r="Q142">
        <v>0.018229</v>
      </c>
      <c r="R142">
        <v>0.018295</v>
      </c>
      <c r="S142">
        <v>0.01836</v>
      </c>
    </row>
    <row r="143" spans="1:19">
      <c r="A143" t="s">
        <v>26</v>
      </c>
      <c r="B143" t="s">
        <v>35</v>
      </c>
      <c r="C143" t="s">
        <v>290</v>
      </c>
      <c r="D143" t="s">
        <v>291</v>
      </c>
      <c r="G143">
        <f t="shared" si="48"/>
        <v>0.216</v>
      </c>
      <c r="H143">
        <f t="shared" ref="H143:S143" si="57">H144</f>
        <v>0.01764</v>
      </c>
      <c r="I143">
        <f t="shared" si="57"/>
        <v>0.017705</v>
      </c>
      <c r="J143">
        <f t="shared" si="57"/>
        <v>0.017771</v>
      </c>
      <c r="K143">
        <f t="shared" si="57"/>
        <v>0.017836</v>
      </c>
      <c r="L143">
        <f t="shared" si="57"/>
        <v>0.017902</v>
      </c>
      <c r="M143">
        <f t="shared" si="57"/>
        <v>0.017967</v>
      </c>
      <c r="N143">
        <f t="shared" si="57"/>
        <v>0.018033</v>
      </c>
      <c r="O143">
        <f t="shared" si="57"/>
        <v>0.018098</v>
      </c>
      <c r="P143">
        <f t="shared" si="57"/>
        <v>0.018164</v>
      </c>
      <c r="Q143">
        <f t="shared" si="57"/>
        <v>0.018229</v>
      </c>
      <c r="R143">
        <f t="shared" si="57"/>
        <v>0.018295</v>
      </c>
      <c r="S143">
        <f t="shared" si="57"/>
        <v>0.01836</v>
      </c>
    </row>
    <row r="144" spans="1:19">
      <c r="A144" t="s">
        <v>60</v>
      </c>
      <c r="B144" t="s">
        <v>179</v>
      </c>
      <c r="C144" t="s">
        <v>292</v>
      </c>
      <c r="D144" t="s">
        <v>293</v>
      </c>
      <c r="G144">
        <f t="shared" si="48"/>
        <v>0.216</v>
      </c>
      <c r="H144">
        <v>0.01764</v>
      </c>
      <c r="I144">
        <v>0.017705</v>
      </c>
      <c r="J144">
        <v>0.017771</v>
      </c>
      <c r="K144">
        <v>0.017836</v>
      </c>
      <c r="L144">
        <v>0.017902</v>
      </c>
      <c r="M144">
        <v>0.017967</v>
      </c>
      <c r="N144">
        <v>0.018033</v>
      </c>
      <c r="O144">
        <v>0.018098</v>
      </c>
      <c r="P144">
        <v>0.018164</v>
      </c>
      <c r="Q144">
        <v>0.018229</v>
      </c>
      <c r="R144">
        <v>0.018295</v>
      </c>
      <c r="S144">
        <v>0.01836</v>
      </c>
    </row>
    <row r="145" spans="1:19">
      <c r="A145" t="s">
        <v>26</v>
      </c>
      <c r="B145" t="s">
        <v>35</v>
      </c>
      <c r="C145" t="s">
        <v>294</v>
      </c>
      <c r="D145" t="s">
        <v>295</v>
      </c>
      <c r="G145">
        <f t="shared" si="48"/>
        <v>0.216</v>
      </c>
      <c r="H145">
        <f t="shared" ref="H145:S145" si="58">H146</f>
        <v>0.01764</v>
      </c>
      <c r="I145">
        <f t="shared" si="58"/>
        <v>0.017705</v>
      </c>
      <c r="J145">
        <f t="shared" si="58"/>
        <v>0.017771</v>
      </c>
      <c r="K145">
        <f t="shared" si="58"/>
        <v>0.017836</v>
      </c>
      <c r="L145">
        <f t="shared" si="58"/>
        <v>0.017902</v>
      </c>
      <c r="M145">
        <f t="shared" si="58"/>
        <v>0.017967</v>
      </c>
      <c r="N145">
        <f t="shared" si="58"/>
        <v>0.018033</v>
      </c>
      <c r="O145">
        <f t="shared" si="58"/>
        <v>0.018098</v>
      </c>
      <c r="P145">
        <f t="shared" si="58"/>
        <v>0.018164</v>
      </c>
      <c r="Q145">
        <f t="shared" si="58"/>
        <v>0.018229</v>
      </c>
      <c r="R145">
        <f t="shared" si="58"/>
        <v>0.018295</v>
      </c>
      <c r="S145">
        <f t="shared" si="58"/>
        <v>0.01836</v>
      </c>
    </row>
    <row r="146" spans="1:19">
      <c r="A146" t="s">
        <v>60</v>
      </c>
      <c r="B146" t="s">
        <v>179</v>
      </c>
      <c r="C146" t="s">
        <v>296</v>
      </c>
      <c r="D146" t="s">
        <v>297</v>
      </c>
      <c r="G146">
        <f t="shared" si="48"/>
        <v>0.216</v>
      </c>
      <c r="H146">
        <v>0.01764</v>
      </c>
      <c r="I146">
        <v>0.017705</v>
      </c>
      <c r="J146">
        <v>0.017771</v>
      </c>
      <c r="K146">
        <v>0.017836</v>
      </c>
      <c r="L146">
        <v>0.017902</v>
      </c>
      <c r="M146">
        <v>0.017967</v>
      </c>
      <c r="N146">
        <v>0.018033</v>
      </c>
      <c r="O146">
        <v>0.018098</v>
      </c>
      <c r="P146">
        <v>0.018164</v>
      </c>
      <c r="Q146">
        <v>0.018229</v>
      </c>
      <c r="R146">
        <v>0.018295</v>
      </c>
      <c r="S146">
        <v>0.01836</v>
      </c>
    </row>
    <row r="147" spans="1:19">
      <c r="A147" t="s">
        <v>23</v>
      </c>
      <c r="B147" t="s">
        <v>35</v>
      </c>
      <c r="C147" t="s">
        <v>298</v>
      </c>
      <c r="D147" t="s">
        <v>299</v>
      </c>
      <c r="G147">
        <f t="shared" si="48"/>
        <v>0.432</v>
      </c>
      <c r="H147">
        <f t="shared" ref="H147:S147" si="59">H148+H150</f>
        <v>0.03528</v>
      </c>
      <c r="I147">
        <f t="shared" si="59"/>
        <v>0.03541</v>
      </c>
      <c r="J147">
        <f t="shared" si="59"/>
        <v>0.035542</v>
      </c>
      <c r="K147">
        <f t="shared" si="59"/>
        <v>0.035672</v>
      </c>
      <c r="L147">
        <f t="shared" si="59"/>
        <v>0.035804</v>
      </c>
      <c r="M147">
        <f t="shared" si="59"/>
        <v>0.035934</v>
      </c>
      <c r="N147">
        <f t="shared" si="59"/>
        <v>0.036066</v>
      </c>
      <c r="O147">
        <f t="shared" si="59"/>
        <v>0.036196</v>
      </c>
      <c r="P147">
        <f t="shared" si="59"/>
        <v>0.036328</v>
      </c>
      <c r="Q147">
        <f t="shared" si="59"/>
        <v>0.036458</v>
      </c>
      <c r="R147">
        <f t="shared" si="59"/>
        <v>0.03659</v>
      </c>
      <c r="S147">
        <f t="shared" si="59"/>
        <v>0.03672</v>
      </c>
    </row>
    <row r="148" spans="1:19">
      <c r="A148" t="s">
        <v>26</v>
      </c>
      <c r="B148" t="s">
        <v>35</v>
      </c>
      <c r="C148" t="s">
        <v>300</v>
      </c>
      <c r="D148" t="s">
        <v>301</v>
      </c>
      <c r="G148">
        <f t="shared" si="48"/>
        <v>0.216</v>
      </c>
      <c r="H148">
        <f t="shared" ref="H148:S148" si="60">H149</f>
        <v>0.01764</v>
      </c>
      <c r="I148">
        <f t="shared" si="60"/>
        <v>0.017705</v>
      </c>
      <c r="J148">
        <f t="shared" si="60"/>
        <v>0.017771</v>
      </c>
      <c r="K148">
        <f t="shared" si="60"/>
        <v>0.017836</v>
      </c>
      <c r="L148">
        <f t="shared" si="60"/>
        <v>0.017902</v>
      </c>
      <c r="M148">
        <f t="shared" si="60"/>
        <v>0.017967</v>
      </c>
      <c r="N148">
        <f t="shared" si="60"/>
        <v>0.018033</v>
      </c>
      <c r="O148">
        <f t="shared" si="60"/>
        <v>0.018098</v>
      </c>
      <c r="P148">
        <f t="shared" si="60"/>
        <v>0.018164</v>
      </c>
      <c r="Q148">
        <f t="shared" si="60"/>
        <v>0.018229</v>
      </c>
      <c r="R148">
        <f t="shared" si="60"/>
        <v>0.018295</v>
      </c>
      <c r="S148">
        <f t="shared" si="60"/>
        <v>0.01836</v>
      </c>
    </row>
    <row r="149" spans="1:19">
      <c r="A149" t="s">
        <v>60</v>
      </c>
      <c r="B149" t="s">
        <v>179</v>
      </c>
      <c r="C149" t="s">
        <v>302</v>
      </c>
      <c r="D149" t="s">
        <v>303</v>
      </c>
      <c r="G149">
        <f t="shared" si="48"/>
        <v>0.216</v>
      </c>
      <c r="H149">
        <v>0.01764</v>
      </c>
      <c r="I149">
        <v>0.017705</v>
      </c>
      <c r="J149">
        <v>0.017771</v>
      </c>
      <c r="K149">
        <v>0.017836</v>
      </c>
      <c r="L149">
        <v>0.017902</v>
      </c>
      <c r="M149">
        <v>0.017967</v>
      </c>
      <c r="N149">
        <v>0.018033</v>
      </c>
      <c r="O149">
        <v>0.018098</v>
      </c>
      <c r="P149">
        <v>0.018164</v>
      </c>
      <c r="Q149">
        <v>0.018229</v>
      </c>
      <c r="R149">
        <v>0.018295</v>
      </c>
      <c r="S149">
        <v>0.01836</v>
      </c>
    </row>
    <row r="150" spans="1:19">
      <c r="A150" t="s">
        <v>26</v>
      </c>
      <c r="B150" t="s">
        <v>35</v>
      </c>
      <c r="C150" t="s">
        <v>304</v>
      </c>
      <c r="D150" t="s">
        <v>305</v>
      </c>
      <c r="G150">
        <f t="shared" si="48"/>
        <v>0.216</v>
      </c>
      <c r="H150">
        <f t="shared" ref="H150:S150" si="61">H151</f>
        <v>0.01764</v>
      </c>
      <c r="I150">
        <f t="shared" si="61"/>
        <v>0.017705</v>
      </c>
      <c r="J150">
        <f t="shared" si="61"/>
        <v>0.017771</v>
      </c>
      <c r="K150">
        <f t="shared" si="61"/>
        <v>0.017836</v>
      </c>
      <c r="L150">
        <f t="shared" si="61"/>
        <v>0.017902</v>
      </c>
      <c r="M150">
        <f t="shared" si="61"/>
        <v>0.017967</v>
      </c>
      <c r="N150">
        <f t="shared" si="61"/>
        <v>0.018033</v>
      </c>
      <c r="O150">
        <f t="shared" si="61"/>
        <v>0.018098</v>
      </c>
      <c r="P150">
        <f t="shared" si="61"/>
        <v>0.018164</v>
      </c>
      <c r="Q150">
        <f t="shared" si="61"/>
        <v>0.018229</v>
      </c>
      <c r="R150">
        <f t="shared" si="61"/>
        <v>0.018295</v>
      </c>
      <c r="S150">
        <f t="shared" si="61"/>
        <v>0.01836</v>
      </c>
    </row>
    <row r="151" spans="1:19">
      <c r="A151" t="s">
        <v>60</v>
      </c>
      <c r="B151" t="s">
        <v>179</v>
      </c>
      <c r="C151" t="s">
        <v>306</v>
      </c>
      <c r="D151" t="s">
        <v>307</v>
      </c>
      <c r="G151">
        <f t="shared" si="48"/>
        <v>0.216</v>
      </c>
      <c r="H151">
        <v>0.01764</v>
      </c>
      <c r="I151">
        <v>0.017705</v>
      </c>
      <c r="J151">
        <v>0.017771</v>
      </c>
      <c r="K151">
        <v>0.017836</v>
      </c>
      <c r="L151">
        <v>0.017902</v>
      </c>
      <c r="M151">
        <v>0.017967</v>
      </c>
      <c r="N151">
        <v>0.018033</v>
      </c>
      <c r="O151">
        <v>0.018098</v>
      </c>
      <c r="P151">
        <v>0.018164</v>
      </c>
      <c r="Q151">
        <v>0.018229</v>
      </c>
      <c r="R151">
        <v>0.018295</v>
      </c>
      <c r="S151">
        <v>0.01836</v>
      </c>
    </row>
    <row r="152" spans="1:19">
      <c r="A152" t="s">
        <v>19</v>
      </c>
      <c r="B152" t="s">
        <v>20</v>
      </c>
      <c r="C152" t="s">
        <v>308</v>
      </c>
      <c r="D152" t="s">
        <v>309</v>
      </c>
      <c r="G152">
        <f t="shared" si="48"/>
        <v>1.8</v>
      </c>
      <c r="H152">
        <f t="shared" ref="H152:S152" si="62">H153+H159+H164</f>
        <v>0.147</v>
      </c>
      <c r="I152">
        <f t="shared" si="62"/>
        <v>0.147546</v>
      </c>
      <c r="J152">
        <f t="shared" si="62"/>
        <v>0.148092</v>
      </c>
      <c r="K152">
        <f t="shared" si="62"/>
        <v>0.148638</v>
      </c>
      <c r="L152">
        <f t="shared" si="62"/>
        <v>0.149184</v>
      </c>
      <c r="M152">
        <f t="shared" si="62"/>
        <v>0.14973</v>
      </c>
      <c r="N152">
        <f t="shared" si="62"/>
        <v>0.15027</v>
      </c>
      <c r="O152">
        <f t="shared" si="62"/>
        <v>0.150816</v>
      </c>
      <c r="P152">
        <f t="shared" si="62"/>
        <v>0.151362</v>
      </c>
      <c r="Q152">
        <f t="shared" si="62"/>
        <v>0.151908</v>
      </c>
      <c r="R152">
        <f t="shared" si="62"/>
        <v>0.152454</v>
      </c>
      <c r="S152">
        <f t="shared" si="62"/>
        <v>0.153</v>
      </c>
    </row>
    <row r="153" spans="1:19">
      <c r="A153" t="s">
        <v>23</v>
      </c>
      <c r="B153" t="s">
        <v>20</v>
      </c>
      <c r="C153" t="s">
        <v>310</v>
      </c>
      <c r="D153" t="s">
        <v>311</v>
      </c>
      <c r="G153">
        <f t="shared" si="48"/>
        <v>0.9</v>
      </c>
      <c r="H153">
        <f t="shared" ref="H153:S153" si="63">H154+H155+H157</f>
        <v>0.0735</v>
      </c>
      <c r="I153">
        <f t="shared" si="63"/>
        <v>0.073773</v>
      </c>
      <c r="J153">
        <f t="shared" si="63"/>
        <v>0.074046</v>
      </c>
      <c r="K153">
        <f t="shared" si="63"/>
        <v>0.074319</v>
      </c>
      <c r="L153">
        <f t="shared" si="63"/>
        <v>0.074592</v>
      </c>
      <c r="M153">
        <f t="shared" si="63"/>
        <v>0.074865</v>
      </c>
      <c r="N153">
        <f t="shared" si="63"/>
        <v>0.075135</v>
      </c>
      <c r="O153">
        <f t="shared" si="63"/>
        <v>0.075408</v>
      </c>
      <c r="P153">
        <f t="shared" si="63"/>
        <v>0.075681</v>
      </c>
      <c r="Q153">
        <f t="shared" si="63"/>
        <v>0.075954</v>
      </c>
      <c r="R153">
        <f t="shared" si="63"/>
        <v>0.076227</v>
      </c>
      <c r="S153">
        <f t="shared" si="63"/>
        <v>0.0765</v>
      </c>
    </row>
    <row r="154" spans="1:19">
      <c r="A154" t="s">
        <v>26</v>
      </c>
      <c r="B154" t="s">
        <v>179</v>
      </c>
      <c r="C154" t="s">
        <v>312</v>
      </c>
      <c r="D154" t="s">
        <v>313</v>
      </c>
      <c r="G154">
        <f t="shared" si="48"/>
        <v>0.3</v>
      </c>
      <c r="H154">
        <v>0.0245</v>
      </c>
      <c r="I154">
        <v>0.024591</v>
      </c>
      <c r="J154">
        <v>0.024682</v>
      </c>
      <c r="K154">
        <v>0.024773</v>
      </c>
      <c r="L154">
        <v>0.024864</v>
      </c>
      <c r="M154">
        <v>0.024955</v>
      </c>
      <c r="N154">
        <v>0.025045</v>
      </c>
      <c r="O154">
        <v>0.025136</v>
      </c>
      <c r="P154">
        <v>0.025227</v>
      </c>
      <c r="Q154">
        <v>0.025318</v>
      </c>
      <c r="R154">
        <v>0.025409</v>
      </c>
      <c r="S154">
        <v>0.0255</v>
      </c>
    </row>
    <row r="155" spans="1:19">
      <c r="A155" t="s">
        <v>26</v>
      </c>
      <c r="B155" t="s">
        <v>20</v>
      </c>
      <c r="C155" t="s">
        <v>314</v>
      </c>
      <c r="D155" t="s">
        <v>315</v>
      </c>
      <c r="G155">
        <f t="shared" si="48"/>
        <v>0.3</v>
      </c>
      <c r="H155">
        <f t="shared" ref="H155:S155" si="64">H156</f>
        <v>0.0245</v>
      </c>
      <c r="I155">
        <f t="shared" si="64"/>
        <v>0.024591</v>
      </c>
      <c r="J155">
        <f t="shared" si="64"/>
        <v>0.024682</v>
      </c>
      <c r="K155">
        <f t="shared" si="64"/>
        <v>0.024773</v>
      </c>
      <c r="L155">
        <f t="shared" si="64"/>
        <v>0.024864</v>
      </c>
      <c r="M155">
        <f t="shared" si="64"/>
        <v>0.024955</v>
      </c>
      <c r="N155">
        <f t="shared" si="64"/>
        <v>0.025045</v>
      </c>
      <c r="O155">
        <f t="shared" si="64"/>
        <v>0.025136</v>
      </c>
      <c r="P155">
        <f t="shared" si="64"/>
        <v>0.025227</v>
      </c>
      <c r="Q155">
        <f t="shared" si="64"/>
        <v>0.025318</v>
      </c>
      <c r="R155">
        <f t="shared" si="64"/>
        <v>0.025409</v>
      </c>
      <c r="S155">
        <f t="shared" si="64"/>
        <v>0.0255</v>
      </c>
    </row>
    <row r="156" spans="1:19">
      <c r="A156" t="s">
        <v>60</v>
      </c>
      <c r="B156" t="s">
        <v>179</v>
      </c>
      <c r="C156" t="s">
        <v>316</v>
      </c>
      <c r="D156" t="s">
        <v>317</v>
      </c>
      <c r="G156">
        <f t="shared" si="48"/>
        <v>0.3</v>
      </c>
      <c r="H156">
        <v>0.0245</v>
      </c>
      <c r="I156">
        <v>0.024591</v>
      </c>
      <c r="J156">
        <v>0.024682</v>
      </c>
      <c r="K156">
        <v>0.024773</v>
      </c>
      <c r="L156">
        <v>0.024864</v>
      </c>
      <c r="M156">
        <v>0.024955</v>
      </c>
      <c r="N156">
        <v>0.025045</v>
      </c>
      <c r="O156">
        <v>0.025136</v>
      </c>
      <c r="P156">
        <v>0.025227</v>
      </c>
      <c r="Q156">
        <v>0.025318</v>
      </c>
      <c r="R156">
        <v>0.025409</v>
      </c>
      <c r="S156">
        <v>0.0255</v>
      </c>
    </row>
    <row r="157" spans="1:19">
      <c r="A157" t="s">
        <v>26</v>
      </c>
      <c r="B157" t="s">
        <v>20</v>
      </c>
      <c r="C157" t="s">
        <v>318</v>
      </c>
      <c r="D157" t="s">
        <v>319</v>
      </c>
      <c r="G157">
        <f t="shared" si="48"/>
        <v>0.3</v>
      </c>
      <c r="H157">
        <f t="shared" ref="H157:S157" si="65">H158</f>
        <v>0.0245</v>
      </c>
      <c r="I157">
        <f t="shared" si="65"/>
        <v>0.024591</v>
      </c>
      <c r="J157">
        <f t="shared" si="65"/>
        <v>0.024682</v>
      </c>
      <c r="K157">
        <f t="shared" si="65"/>
        <v>0.024773</v>
      </c>
      <c r="L157">
        <f t="shared" si="65"/>
        <v>0.024864</v>
      </c>
      <c r="M157">
        <f t="shared" si="65"/>
        <v>0.024955</v>
      </c>
      <c r="N157">
        <f t="shared" si="65"/>
        <v>0.025045</v>
      </c>
      <c r="O157">
        <f t="shared" si="65"/>
        <v>0.025136</v>
      </c>
      <c r="P157">
        <f t="shared" si="65"/>
        <v>0.025227</v>
      </c>
      <c r="Q157">
        <f t="shared" si="65"/>
        <v>0.025318</v>
      </c>
      <c r="R157">
        <f t="shared" si="65"/>
        <v>0.025409</v>
      </c>
      <c r="S157">
        <f t="shared" si="65"/>
        <v>0.0255</v>
      </c>
    </row>
    <row r="158" spans="1:19">
      <c r="A158" t="s">
        <v>60</v>
      </c>
      <c r="B158" t="s">
        <v>179</v>
      </c>
      <c r="C158" t="s">
        <v>320</v>
      </c>
      <c r="D158" t="s">
        <v>321</v>
      </c>
      <c r="G158">
        <f t="shared" si="48"/>
        <v>0.3</v>
      </c>
      <c r="H158">
        <v>0.0245</v>
      </c>
      <c r="I158">
        <v>0.024591</v>
      </c>
      <c r="J158">
        <v>0.024682</v>
      </c>
      <c r="K158">
        <v>0.024773</v>
      </c>
      <c r="L158">
        <v>0.024864</v>
      </c>
      <c r="M158">
        <v>0.024955</v>
      </c>
      <c r="N158">
        <v>0.025045</v>
      </c>
      <c r="O158">
        <v>0.025136</v>
      </c>
      <c r="P158">
        <v>0.025227</v>
      </c>
      <c r="Q158">
        <v>0.025318</v>
      </c>
      <c r="R158">
        <v>0.025409</v>
      </c>
      <c r="S158">
        <v>0.0255</v>
      </c>
    </row>
    <row r="159" spans="1:19">
      <c r="A159" t="s">
        <v>23</v>
      </c>
      <c r="B159" t="s">
        <v>20</v>
      </c>
      <c r="C159" t="s">
        <v>322</v>
      </c>
      <c r="D159" t="s">
        <v>323</v>
      </c>
      <c r="G159">
        <f t="shared" si="48"/>
        <v>0.6</v>
      </c>
      <c r="H159">
        <f t="shared" ref="H159:S159" si="66">H160+H162</f>
        <v>0.049</v>
      </c>
      <c r="I159">
        <f t="shared" si="66"/>
        <v>0.049182</v>
      </c>
      <c r="J159">
        <f t="shared" si="66"/>
        <v>0.049364</v>
      </c>
      <c r="K159">
        <f t="shared" si="66"/>
        <v>0.049546</v>
      </c>
      <c r="L159">
        <f t="shared" si="66"/>
        <v>0.049728</v>
      </c>
      <c r="M159">
        <f t="shared" si="66"/>
        <v>0.04991</v>
      </c>
      <c r="N159">
        <f t="shared" si="66"/>
        <v>0.05009</v>
      </c>
      <c r="O159">
        <f t="shared" si="66"/>
        <v>0.050272</v>
      </c>
      <c r="P159">
        <f t="shared" si="66"/>
        <v>0.050454</v>
      </c>
      <c r="Q159">
        <f t="shared" si="66"/>
        <v>0.050636</v>
      </c>
      <c r="R159">
        <f t="shared" si="66"/>
        <v>0.050818</v>
      </c>
      <c r="S159">
        <f t="shared" si="66"/>
        <v>0.051</v>
      </c>
    </row>
    <row r="160" spans="1:19">
      <c r="A160" t="s">
        <v>26</v>
      </c>
      <c r="B160" t="s">
        <v>20</v>
      </c>
      <c r="C160" t="s">
        <v>324</v>
      </c>
      <c r="D160" t="s">
        <v>325</v>
      </c>
      <c r="G160">
        <f t="shared" si="48"/>
        <v>0.3</v>
      </c>
      <c r="H160">
        <f t="shared" ref="H160:S160" si="67">H161</f>
        <v>0.0245</v>
      </c>
      <c r="I160">
        <f t="shared" si="67"/>
        <v>0.024591</v>
      </c>
      <c r="J160">
        <f t="shared" si="67"/>
        <v>0.024682</v>
      </c>
      <c r="K160">
        <f t="shared" si="67"/>
        <v>0.024773</v>
      </c>
      <c r="L160">
        <f t="shared" si="67"/>
        <v>0.024864</v>
      </c>
      <c r="M160">
        <f t="shared" si="67"/>
        <v>0.024955</v>
      </c>
      <c r="N160">
        <f t="shared" si="67"/>
        <v>0.025045</v>
      </c>
      <c r="O160">
        <f t="shared" si="67"/>
        <v>0.025136</v>
      </c>
      <c r="P160">
        <f t="shared" si="67"/>
        <v>0.025227</v>
      </c>
      <c r="Q160">
        <f t="shared" si="67"/>
        <v>0.025318</v>
      </c>
      <c r="R160">
        <f t="shared" si="67"/>
        <v>0.025409</v>
      </c>
      <c r="S160">
        <f t="shared" si="67"/>
        <v>0.0255</v>
      </c>
    </row>
    <row r="161" spans="1:19">
      <c r="A161" t="s">
        <v>60</v>
      </c>
      <c r="B161" t="s">
        <v>179</v>
      </c>
      <c r="C161" t="s">
        <v>326</v>
      </c>
      <c r="D161" t="s">
        <v>327</v>
      </c>
      <c r="G161">
        <f t="shared" si="48"/>
        <v>0.3</v>
      </c>
      <c r="H161">
        <v>0.0245</v>
      </c>
      <c r="I161">
        <v>0.024591</v>
      </c>
      <c r="J161">
        <v>0.024682</v>
      </c>
      <c r="K161">
        <v>0.024773</v>
      </c>
      <c r="L161">
        <v>0.024864</v>
      </c>
      <c r="M161">
        <v>0.024955</v>
      </c>
      <c r="N161">
        <v>0.025045</v>
      </c>
      <c r="O161">
        <v>0.025136</v>
      </c>
      <c r="P161">
        <v>0.025227</v>
      </c>
      <c r="Q161">
        <v>0.025318</v>
      </c>
      <c r="R161">
        <v>0.025409</v>
      </c>
      <c r="S161">
        <v>0.0255</v>
      </c>
    </row>
    <row r="162" spans="1:19">
      <c r="A162" t="s">
        <v>26</v>
      </c>
      <c r="B162" t="s">
        <v>20</v>
      </c>
      <c r="C162" t="s">
        <v>328</v>
      </c>
      <c r="D162" t="s">
        <v>329</v>
      </c>
      <c r="G162">
        <f t="shared" si="48"/>
        <v>0.3</v>
      </c>
      <c r="H162">
        <f t="shared" ref="H162:S162" si="68">H163</f>
        <v>0.0245</v>
      </c>
      <c r="I162">
        <f t="shared" si="68"/>
        <v>0.024591</v>
      </c>
      <c r="J162">
        <f t="shared" si="68"/>
        <v>0.024682</v>
      </c>
      <c r="K162">
        <f t="shared" si="68"/>
        <v>0.024773</v>
      </c>
      <c r="L162">
        <f t="shared" si="68"/>
        <v>0.024864</v>
      </c>
      <c r="M162">
        <f t="shared" si="68"/>
        <v>0.024955</v>
      </c>
      <c r="N162">
        <f t="shared" si="68"/>
        <v>0.025045</v>
      </c>
      <c r="O162">
        <f t="shared" si="68"/>
        <v>0.025136</v>
      </c>
      <c r="P162">
        <f t="shared" si="68"/>
        <v>0.025227</v>
      </c>
      <c r="Q162">
        <f t="shared" si="68"/>
        <v>0.025318</v>
      </c>
      <c r="R162">
        <f t="shared" si="68"/>
        <v>0.025409</v>
      </c>
      <c r="S162">
        <f t="shared" si="68"/>
        <v>0.0255</v>
      </c>
    </row>
    <row r="163" spans="1:19">
      <c r="A163" t="s">
        <v>60</v>
      </c>
      <c r="B163" t="s">
        <v>179</v>
      </c>
      <c r="C163" t="s">
        <v>330</v>
      </c>
      <c r="D163" t="s">
        <v>331</v>
      </c>
      <c r="G163">
        <f t="shared" si="48"/>
        <v>0.3</v>
      </c>
      <c r="H163">
        <v>0.0245</v>
      </c>
      <c r="I163">
        <v>0.024591</v>
      </c>
      <c r="J163">
        <v>0.024682</v>
      </c>
      <c r="K163">
        <v>0.024773</v>
      </c>
      <c r="L163">
        <v>0.024864</v>
      </c>
      <c r="M163">
        <v>0.024955</v>
      </c>
      <c r="N163">
        <v>0.025045</v>
      </c>
      <c r="O163">
        <v>0.025136</v>
      </c>
      <c r="P163">
        <v>0.025227</v>
      </c>
      <c r="Q163">
        <v>0.025318</v>
      </c>
      <c r="R163">
        <v>0.025409</v>
      </c>
      <c r="S163">
        <v>0.0255</v>
      </c>
    </row>
    <row r="164" spans="1:19">
      <c r="A164" t="s">
        <v>23</v>
      </c>
      <c r="B164" t="s">
        <v>20</v>
      </c>
      <c r="C164" t="s">
        <v>332</v>
      </c>
      <c r="D164" t="s">
        <v>333</v>
      </c>
      <c r="G164">
        <f t="shared" si="48"/>
        <v>0.3</v>
      </c>
      <c r="H164">
        <f t="shared" ref="H164:S164" si="69">H165</f>
        <v>0.0245</v>
      </c>
      <c r="I164">
        <f t="shared" si="69"/>
        <v>0.024591</v>
      </c>
      <c r="J164">
        <f t="shared" si="69"/>
        <v>0.024682</v>
      </c>
      <c r="K164">
        <f t="shared" si="69"/>
        <v>0.024773</v>
      </c>
      <c r="L164">
        <f t="shared" si="69"/>
        <v>0.024864</v>
      </c>
      <c r="M164">
        <f t="shared" si="69"/>
        <v>0.024955</v>
      </c>
      <c r="N164">
        <f t="shared" si="69"/>
        <v>0.025045</v>
      </c>
      <c r="O164">
        <f t="shared" si="69"/>
        <v>0.025136</v>
      </c>
      <c r="P164">
        <f t="shared" si="69"/>
        <v>0.025227</v>
      </c>
      <c r="Q164">
        <f t="shared" si="69"/>
        <v>0.025318</v>
      </c>
      <c r="R164">
        <f t="shared" si="69"/>
        <v>0.025409</v>
      </c>
      <c r="S164">
        <f t="shared" si="69"/>
        <v>0.0255</v>
      </c>
    </row>
    <row r="165" spans="1:19">
      <c r="A165" t="s">
        <v>26</v>
      </c>
      <c r="B165" t="s">
        <v>20</v>
      </c>
      <c r="C165" t="s">
        <v>334</v>
      </c>
      <c r="D165" t="s">
        <v>335</v>
      </c>
      <c r="G165">
        <f t="shared" si="48"/>
        <v>0.3</v>
      </c>
      <c r="H165">
        <v>0.0245</v>
      </c>
      <c r="I165">
        <v>0.024591</v>
      </c>
      <c r="J165">
        <v>0.024682</v>
      </c>
      <c r="K165">
        <v>0.024773</v>
      </c>
      <c r="L165">
        <v>0.024864</v>
      </c>
      <c r="M165">
        <v>0.024955</v>
      </c>
      <c r="N165">
        <v>0.025045</v>
      </c>
      <c r="O165">
        <v>0.025136</v>
      </c>
      <c r="P165">
        <v>0.025227</v>
      </c>
      <c r="Q165">
        <v>0.025318</v>
      </c>
      <c r="R165">
        <v>0.025409</v>
      </c>
      <c r="S165">
        <v>0.0255</v>
      </c>
    </row>
    <row r="166" spans="1:19">
      <c r="A166" t="s">
        <v>19</v>
      </c>
      <c r="B166" t="s">
        <v>20</v>
      </c>
      <c r="C166" t="s">
        <v>336</v>
      </c>
      <c r="D166" t="s">
        <v>337</v>
      </c>
      <c r="G166">
        <f t="shared" si="48"/>
        <v>2971626420.84</v>
      </c>
      <c r="H166">
        <f t="shared" ref="H166:S166" si="70">H167+H172+H173+H174+H175+H178+H179+H180</f>
        <v>206782891.0686</v>
      </c>
      <c r="I166">
        <f t="shared" si="70"/>
        <v>194133773.068854</v>
      </c>
      <c r="J166">
        <f t="shared" si="70"/>
        <v>230016387.06911</v>
      </c>
      <c r="K166">
        <f t="shared" si="70"/>
        <v>239570109.069364</v>
      </c>
      <c r="L166">
        <f t="shared" si="70"/>
        <v>245535960.069618</v>
      </c>
      <c r="M166">
        <f t="shared" si="70"/>
        <v>254172618.069872</v>
      </c>
      <c r="N166">
        <f t="shared" si="70"/>
        <v>262497153.070128</v>
      </c>
      <c r="O166">
        <f t="shared" si="70"/>
        <v>259202133.070382</v>
      </c>
      <c r="P166">
        <f t="shared" si="70"/>
        <v>253236285.070636</v>
      </c>
      <c r="Q166">
        <f t="shared" si="70"/>
        <v>274290663.07089</v>
      </c>
      <c r="R166">
        <f t="shared" si="70"/>
        <v>271307727.071146</v>
      </c>
      <c r="S166">
        <f t="shared" si="70"/>
        <v>280880721.0714</v>
      </c>
    </row>
    <row r="167" spans="1:19">
      <c r="A167" t="s">
        <v>23</v>
      </c>
      <c r="B167" t="s">
        <v>20</v>
      </c>
      <c r="C167" t="s">
        <v>338</v>
      </c>
      <c r="D167" t="s">
        <v>339</v>
      </c>
      <c r="G167">
        <f t="shared" si="48"/>
        <v>444092140.84</v>
      </c>
      <c r="H167">
        <f t="shared" ref="H167:S167" si="71">H168+H169+H171</f>
        <v>31594297.0686</v>
      </c>
      <c r="I167">
        <f t="shared" si="71"/>
        <v>30044591.068854</v>
      </c>
      <c r="J167">
        <f t="shared" si="71"/>
        <v>35072129.06911</v>
      </c>
      <c r="K167">
        <f t="shared" si="71"/>
        <v>35856703.069364</v>
      </c>
      <c r="L167">
        <f t="shared" si="71"/>
        <v>36745320.069618</v>
      </c>
      <c r="M167">
        <f t="shared" si="71"/>
        <v>37974206.069872</v>
      </c>
      <c r="N167">
        <f t="shared" si="71"/>
        <v>39099051.070128</v>
      </c>
      <c r="O167">
        <f t="shared" si="71"/>
        <v>38550711.070382</v>
      </c>
      <c r="P167">
        <f t="shared" si="71"/>
        <v>37662095.070636</v>
      </c>
      <c r="Q167">
        <f t="shared" si="71"/>
        <v>40280221.07089</v>
      </c>
      <c r="R167">
        <f t="shared" si="71"/>
        <v>39835909.071146</v>
      </c>
      <c r="S167">
        <f t="shared" si="71"/>
        <v>41376907.0714</v>
      </c>
    </row>
    <row r="168" spans="1:19">
      <c r="A168" t="s">
        <v>26</v>
      </c>
      <c r="B168" t="s">
        <v>179</v>
      </c>
      <c r="C168" t="s">
        <v>340</v>
      </c>
      <c r="D168" t="s">
        <v>341</v>
      </c>
      <c r="G168">
        <f t="shared" si="48"/>
        <v>0.42</v>
      </c>
      <c r="H168">
        <v>0.0343</v>
      </c>
      <c r="I168">
        <v>0.034427</v>
      </c>
      <c r="J168">
        <v>0.034555</v>
      </c>
      <c r="K168">
        <v>0.034682</v>
      </c>
      <c r="L168">
        <v>0.034809</v>
      </c>
      <c r="M168">
        <v>0.034936</v>
      </c>
      <c r="N168">
        <v>0.035064</v>
      </c>
      <c r="O168">
        <v>0.035191</v>
      </c>
      <c r="P168">
        <v>0.035318</v>
      </c>
      <c r="Q168">
        <v>0.035445</v>
      </c>
      <c r="R168">
        <v>0.035573</v>
      </c>
      <c r="S168">
        <v>0.0357</v>
      </c>
    </row>
    <row r="169" spans="1:19">
      <c r="A169" t="s">
        <v>26</v>
      </c>
      <c r="B169" t="s">
        <v>20</v>
      </c>
      <c r="C169" t="s">
        <v>342</v>
      </c>
      <c r="D169" t="s">
        <v>343</v>
      </c>
      <c r="G169">
        <f t="shared" si="48"/>
        <v>0.42</v>
      </c>
      <c r="H169">
        <f t="shared" ref="H169:S169" si="72">H170</f>
        <v>0.0343</v>
      </c>
      <c r="I169">
        <f t="shared" si="72"/>
        <v>0.034427</v>
      </c>
      <c r="J169">
        <f t="shared" si="72"/>
        <v>0.034555</v>
      </c>
      <c r="K169">
        <f t="shared" si="72"/>
        <v>0.034682</v>
      </c>
      <c r="L169">
        <f t="shared" si="72"/>
        <v>0.034809</v>
      </c>
      <c r="M169">
        <f t="shared" si="72"/>
        <v>0.034936</v>
      </c>
      <c r="N169">
        <f t="shared" si="72"/>
        <v>0.035064</v>
      </c>
      <c r="O169">
        <f t="shared" si="72"/>
        <v>0.035191</v>
      </c>
      <c r="P169">
        <f t="shared" si="72"/>
        <v>0.035318</v>
      </c>
      <c r="Q169">
        <f t="shared" si="72"/>
        <v>0.035445</v>
      </c>
      <c r="R169">
        <f t="shared" si="72"/>
        <v>0.035573</v>
      </c>
      <c r="S169">
        <f t="shared" si="72"/>
        <v>0.0357</v>
      </c>
    </row>
    <row r="170" spans="1:19">
      <c r="A170" t="s">
        <v>60</v>
      </c>
      <c r="B170" t="s">
        <v>179</v>
      </c>
      <c r="C170" t="s">
        <v>344</v>
      </c>
      <c r="D170" t="s">
        <v>345</v>
      </c>
      <c r="G170">
        <f t="shared" si="48"/>
        <v>0.42</v>
      </c>
      <c r="H170">
        <v>0.0343</v>
      </c>
      <c r="I170">
        <v>0.034427</v>
      </c>
      <c r="J170">
        <v>0.034555</v>
      </c>
      <c r="K170">
        <v>0.034682</v>
      </c>
      <c r="L170">
        <v>0.034809</v>
      </c>
      <c r="M170">
        <v>0.034936</v>
      </c>
      <c r="N170">
        <v>0.035064</v>
      </c>
      <c r="O170">
        <v>0.035191</v>
      </c>
      <c r="P170">
        <v>0.035318</v>
      </c>
      <c r="Q170">
        <v>0.035445</v>
      </c>
      <c r="R170">
        <v>0.035573</v>
      </c>
      <c r="S170">
        <v>0.0357</v>
      </c>
    </row>
    <row r="171" spans="1:19">
      <c r="A171" t="s">
        <v>26</v>
      </c>
      <c r="B171" t="s">
        <v>20</v>
      </c>
      <c r="C171" t="s">
        <v>346</v>
      </c>
      <c r="D171" t="s">
        <v>347</v>
      </c>
      <c r="G171">
        <f t="shared" si="48"/>
        <v>444092140</v>
      </c>
      <c r="H171">
        <v>31594297</v>
      </c>
      <c r="I171">
        <v>30044591</v>
      </c>
      <c r="J171">
        <v>35072129</v>
      </c>
      <c r="K171">
        <v>35856703</v>
      </c>
      <c r="L171">
        <v>36745320</v>
      </c>
      <c r="M171">
        <v>37974206</v>
      </c>
      <c r="N171">
        <v>39099051</v>
      </c>
      <c r="O171">
        <v>38550711</v>
      </c>
      <c r="P171">
        <v>37662095</v>
      </c>
      <c r="Q171">
        <v>40280221</v>
      </c>
      <c r="R171">
        <v>39835909</v>
      </c>
      <c r="S171">
        <v>41376907</v>
      </c>
    </row>
    <row r="172" spans="1:19">
      <c r="A172" t="s">
        <v>23</v>
      </c>
      <c r="B172" t="s">
        <v>20</v>
      </c>
      <c r="C172" t="s">
        <v>348</v>
      </c>
      <c r="D172" t="s">
        <v>349</v>
      </c>
      <c r="G172">
        <f t="shared" si="48"/>
        <v>500000000</v>
      </c>
      <c r="H172">
        <v>35000000</v>
      </c>
      <c r="I172">
        <v>32500000</v>
      </c>
      <c r="J172">
        <v>39000000</v>
      </c>
      <c r="K172">
        <v>40000000</v>
      </c>
      <c r="L172">
        <v>41000000</v>
      </c>
      <c r="M172">
        <v>42500000</v>
      </c>
      <c r="N172">
        <v>44000000</v>
      </c>
      <c r="O172">
        <v>43500000</v>
      </c>
      <c r="P172">
        <v>42500000</v>
      </c>
      <c r="Q172">
        <v>46500000</v>
      </c>
      <c r="R172">
        <v>46000000</v>
      </c>
      <c r="S172">
        <v>47500000</v>
      </c>
    </row>
    <row r="173" spans="1:19">
      <c r="A173" t="s">
        <v>23</v>
      </c>
      <c r="B173" t="s">
        <v>20</v>
      </c>
      <c r="C173" t="s">
        <v>350</v>
      </c>
      <c r="D173" t="s">
        <v>351</v>
      </c>
      <c r="G173">
        <f t="shared" si="48"/>
        <v>300000000</v>
      </c>
      <c r="H173">
        <v>21000000</v>
      </c>
      <c r="I173">
        <v>19500000</v>
      </c>
      <c r="J173">
        <v>23400000</v>
      </c>
      <c r="K173">
        <v>24000000</v>
      </c>
      <c r="L173">
        <v>24600000</v>
      </c>
      <c r="M173">
        <v>25500000</v>
      </c>
      <c r="N173">
        <v>26400000</v>
      </c>
      <c r="O173">
        <v>26100000</v>
      </c>
      <c r="P173">
        <v>25500000</v>
      </c>
      <c r="Q173">
        <v>27900000</v>
      </c>
      <c r="R173">
        <v>27600000</v>
      </c>
      <c r="S173">
        <v>28500000</v>
      </c>
    </row>
    <row r="174" spans="1:19">
      <c r="A174" t="s">
        <v>23</v>
      </c>
      <c r="B174" t="s">
        <v>20</v>
      </c>
      <c r="C174" t="s">
        <v>352</v>
      </c>
      <c r="D174" t="s">
        <v>353</v>
      </c>
      <c r="G174">
        <f t="shared" si="48"/>
        <v>300000000</v>
      </c>
      <c r="H174">
        <v>21000000</v>
      </c>
      <c r="I174">
        <v>19500000</v>
      </c>
      <c r="J174">
        <v>23400000</v>
      </c>
      <c r="K174">
        <v>24000000</v>
      </c>
      <c r="L174">
        <v>24600000</v>
      </c>
      <c r="M174">
        <v>25500000</v>
      </c>
      <c r="N174">
        <v>26400000</v>
      </c>
      <c r="O174">
        <v>26100000</v>
      </c>
      <c r="P174">
        <v>25500000</v>
      </c>
      <c r="Q174">
        <v>27900000</v>
      </c>
      <c r="R174">
        <v>27600000</v>
      </c>
      <c r="S174">
        <v>28500000</v>
      </c>
    </row>
    <row r="175" spans="1:19">
      <c r="A175" t="s">
        <v>23</v>
      </c>
      <c r="B175" t="s">
        <v>20</v>
      </c>
      <c r="C175" t="s">
        <v>354</v>
      </c>
      <c r="D175" t="s">
        <v>355</v>
      </c>
      <c r="G175">
        <f t="shared" si="48"/>
        <v>888184280</v>
      </c>
      <c r="H175">
        <f t="shared" ref="H175:S175" si="73">H176+H177</f>
        <v>63188594</v>
      </c>
      <c r="I175">
        <f t="shared" si="73"/>
        <v>60089182</v>
      </c>
      <c r="J175">
        <f t="shared" si="73"/>
        <v>70144258</v>
      </c>
      <c r="K175">
        <f t="shared" si="73"/>
        <v>71713406</v>
      </c>
      <c r="L175">
        <f t="shared" si="73"/>
        <v>73490640</v>
      </c>
      <c r="M175">
        <f t="shared" si="73"/>
        <v>75948412</v>
      </c>
      <c r="N175">
        <f t="shared" si="73"/>
        <v>78198102</v>
      </c>
      <c r="O175">
        <f t="shared" si="73"/>
        <v>77101422</v>
      </c>
      <c r="P175">
        <f t="shared" si="73"/>
        <v>75324190</v>
      </c>
      <c r="Q175">
        <f t="shared" si="73"/>
        <v>80560442</v>
      </c>
      <c r="R175">
        <f t="shared" si="73"/>
        <v>79671818</v>
      </c>
      <c r="S175">
        <f t="shared" si="73"/>
        <v>82753814</v>
      </c>
    </row>
    <row r="176" spans="1:19">
      <c r="A176" t="s">
        <v>26</v>
      </c>
      <c r="B176" t="s">
        <v>20</v>
      </c>
      <c r="C176" t="s">
        <v>356</v>
      </c>
      <c r="D176" t="s">
        <v>357</v>
      </c>
      <c r="G176">
        <f t="shared" si="48"/>
        <v>444092140</v>
      </c>
      <c r="H176">
        <v>31594297</v>
      </c>
      <c r="I176">
        <v>30044591</v>
      </c>
      <c r="J176">
        <v>35072129</v>
      </c>
      <c r="K176">
        <v>35856703</v>
      </c>
      <c r="L176">
        <v>36745320</v>
      </c>
      <c r="M176">
        <v>37974206</v>
      </c>
      <c r="N176">
        <v>39099051</v>
      </c>
      <c r="O176">
        <v>38550711</v>
      </c>
      <c r="P176">
        <v>37662095</v>
      </c>
      <c r="Q176">
        <v>40280221</v>
      </c>
      <c r="R176">
        <v>39835909</v>
      </c>
      <c r="S176">
        <v>41376907</v>
      </c>
    </row>
    <row r="177" spans="1:19">
      <c r="A177" t="s">
        <v>26</v>
      </c>
      <c r="B177" t="s">
        <v>20</v>
      </c>
      <c r="C177" t="s">
        <v>358</v>
      </c>
      <c r="D177" t="s">
        <v>140</v>
      </c>
      <c r="G177">
        <f t="shared" si="48"/>
        <v>444092140</v>
      </c>
      <c r="H177">
        <v>31594297</v>
      </c>
      <c r="I177">
        <v>30044591</v>
      </c>
      <c r="J177">
        <v>35072129</v>
      </c>
      <c r="K177">
        <v>35856703</v>
      </c>
      <c r="L177">
        <v>36745320</v>
      </c>
      <c r="M177">
        <v>37974206</v>
      </c>
      <c r="N177">
        <v>39099051</v>
      </c>
      <c r="O177">
        <v>38550711</v>
      </c>
      <c r="P177">
        <v>37662095</v>
      </c>
      <c r="Q177">
        <v>40280221</v>
      </c>
      <c r="R177">
        <v>39835909</v>
      </c>
      <c r="S177">
        <v>41376907</v>
      </c>
    </row>
    <row r="178" spans="1:19">
      <c r="A178" t="s">
        <v>23</v>
      </c>
      <c r="B178" t="s">
        <v>20</v>
      </c>
      <c r="C178" t="s">
        <v>359</v>
      </c>
      <c r="D178" t="s">
        <v>360</v>
      </c>
      <c r="G178">
        <f t="shared" si="48"/>
        <v>300000000</v>
      </c>
      <c r="H178">
        <v>21000000</v>
      </c>
      <c r="I178">
        <v>19500000</v>
      </c>
      <c r="J178">
        <v>23400000</v>
      </c>
      <c r="K178">
        <v>24000000</v>
      </c>
      <c r="L178">
        <v>24600000</v>
      </c>
      <c r="M178">
        <v>25500000</v>
      </c>
      <c r="N178">
        <v>26400000</v>
      </c>
      <c r="O178">
        <v>26100000</v>
      </c>
      <c r="P178">
        <v>25500000</v>
      </c>
      <c r="Q178">
        <v>27900000</v>
      </c>
      <c r="R178">
        <v>27600000</v>
      </c>
      <c r="S178">
        <v>28500000</v>
      </c>
    </row>
    <row r="179" spans="1:19">
      <c r="A179" t="s">
        <v>23</v>
      </c>
      <c r="B179" t="s">
        <v>20</v>
      </c>
      <c r="C179" t="s">
        <v>361</v>
      </c>
      <c r="D179" t="s">
        <v>362</v>
      </c>
      <c r="G179">
        <f t="shared" si="48"/>
        <v>200000000</v>
      </c>
      <c r="H179">
        <v>14000000</v>
      </c>
      <c r="I179">
        <v>13000000</v>
      </c>
      <c r="J179">
        <v>15600000</v>
      </c>
      <c r="K179">
        <v>16000000</v>
      </c>
      <c r="L179">
        <v>16400000</v>
      </c>
      <c r="M179">
        <v>17000000</v>
      </c>
      <c r="N179">
        <v>17600000</v>
      </c>
      <c r="O179">
        <v>17400000</v>
      </c>
      <c r="P179">
        <v>17000000</v>
      </c>
      <c r="Q179">
        <v>18600000</v>
      </c>
      <c r="R179">
        <v>18400000</v>
      </c>
      <c r="S179">
        <v>19000000</v>
      </c>
    </row>
    <row r="180" spans="1:19">
      <c r="A180" t="s">
        <v>23</v>
      </c>
      <c r="B180" t="s">
        <v>20</v>
      </c>
      <c r="C180" t="s">
        <v>363</v>
      </c>
      <c r="D180" t="s">
        <v>179</v>
      </c>
      <c r="G180">
        <f t="shared" si="48"/>
        <v>39350000</v>
      </c>
      <c r="K180">
        <v>4000000</v>
      </c>
      <c r="L180">
        <v>4100000</v>
      </c>
      <c r="M180">
        <v>4250000</v>
      </c>
      <c r="N180">
        <v>4400000</v>
      </c>
      <c r="O180">
        <v>4350000</v>
      </c>
      <c r="P180">
        <v>4250000</v>
      </c>
      <c r="Q180">
        <v>4650000</v>
      </c>
      <c r="R180">
        <v>4600000</v>
      </c>
      <c r="S180">
        <v>4750000</v>
      </c>
    </row>
    <row r="181" spans="1:19">
      <c r="A181" t="s">
        <v>19</v>
      </c>
      <c r="B181" t="s">
        <v>35</v>
      </c>
      <c r="C181" t="s">
        <v>364</v>
      </c>
      <c r="D181" t="s">
        <v>365</v>
      </c>
      <c r="G181">
        <f t="shared" si="48"/>
        <v>4640921461.72</v>
      </c>
      <c r="H181">
        <f t="shared" ref="H181:S181" si="74">H182+H184+H186+H188+H189+H190+H192</f>
        <v>329942977.0588</v>
      </c>
      <c r="I181">
        <f t="shared" si="74"/>
        <v>313445911.05902</v>
      </c>
      <c r="J181">
        <f t="shared" si="74"/>
        <v>366321290.059236</v>
      </c>
      <c r="K181">
        <f t="shared" si="74"/>
        <v>374567039.059456</v>
      </c>
      <c r="L181">
        <f t="shared" si="74"/>
        <v>383853202.059672</v>
      </c>
      <c r="M181">
        <f t="shared" si="74"/>
        <v>396742065.059892</v>
      </c>
      <c r="N181">
        <f t="shared" si="74"/>
        <v>408590515.060108</v>
      </c>
      <c r="O181">
        <f t="shared" si="74"/>
        <v>402907119.060328</v>
      </c>
      <c r="P181">
        <f t="shared" si="74"/>
        <v>393620957.060544</v>
      </c>
      <c r="Q181">
        <f t="shared" si="74"/>
        <v>421402214.060764</v>
      </c>
      <c r="R181">
        <f t="shared" si="74"/>
        <v>416759099.06098</v>
      </c>
      <c r="S181">
        <f t="shared" si="74"/>
        <v>432769073.0612</v>
      </c>
    </row>
    <row r="182" spans="1:19">
      <c r="A182" t="s">
        <v>23</v>
      </c>
      <c r="B182" t="s">
        <v>35</v>
      </c>
      <c r="C182" t="s">
        <v>366</v>
      </c>
      <c r="D182" t="s">
        <v>367</v>
      </c>
      <c r="G182">
        <f t="shared" si="48"/>
        <v>0.18</v>
      </c>
      <c r="H182">
        <f t="shared" ref="H182:S182" si="75">H183</f>
        <v>0.0147</v>
      </c>
      <c r="I182">
        <f t="shared" si="75"/>
        <v>0.014755</v>
      </c>
      <c r="J182">
        <f t="shared" si="75"/>
        <v>0.014809</v>
      </c>
      <c r="K182">
        <f t="shared" si="75"/>
        <v>0.014864</v>
      </c>
      <c r="L182">
        <f t="shared" si="75"/>
        <v>0.014918</v>
      </c>
      <c r="M182">
        <f t="shared" si="75"/>
        <v>0.014973</v>
      </c>
      <c r="N182">
        <f t="shared" si="75"/>
        <v>0.015027</v>
      </c>
      <c r="O182">
        <f t="shared" si="75"/>
        <v>0.015082</v>
      </c>
      <c r="P182">
        <f t="shared" si="75"/>
        <v>0.015136</v>
      </c>
      <c r="Q182">
        <f t="shared" si="75"/>
        <v>0.015191</v>
      </c>
      <c r="R182">
        <f t="shared" si="75"/>
        <v>0.015245</v>
      </c>
      <c r="S182">
        <f t="shared" si="75"/>
        <v>0.0153</v>
      </c>
    </row>
    <row r="183" spans="1:19">
      <c r="A183" t="s">
        <v>26</v>
      </c>
      <c r="B183" t="s">
        <v>179</v>
      </c>
      <c r="C183" t="s">
        <v>368</v>
      </c>
      <c r="D183" t="s">
        <v>369</v>
      </c>
      <c r="G183">
        <f t="shared" si="48"/>
        <v>0.18</v>
      </c>
      <c r="H183">
        <v>0.0147</v>
      </c>
      <c r="I183">
        <v>0.014755</v>
      </c>
      <c r="J183">
        <v>0.014809</v>
      </c>
      <c r="K183">
        <v>0.014864</v>
      </c>
      <c r="L183">
        <v>0.014918</v>
      </c>
      <c r="M183">
        <v>0.014973</v>
      </c>
      <c r="N183">
        <v>0.015027</v>
      </c>
      <c r="O183">
        <v>0.015082</v>
      </c>
      <c r="P183">
        <v>0.015136</v>
      </c>
      <c r="Q183">
        <v>0.015191</v>
      </c>
      <c r="R183">
        <v>0.015245</v>
      </c>
      <c r="S183">
        <v>0.0153</v>
      </c>
    </row>
    <row r="184" spans="1:19">
      <c r="A184" t="s">
        <v>23</v>
      </c>
      <c r="B184" t="s">
        <v>35</v>
      </c>
      <c r="C184" t="s">
        <v>370</v>
      </c>
      <c r="D184" t="s">
        <v>371</v>
      </c>
      <c r="G184">
        <f t="shared" si="48"/>
        <v>0.18</v>
      </c>
      <c r="H184">
        <f t="shared" ref="H184:S184" si="76">H185</f>
        <v>0.0147</v>
      </c>
      <c r="I184">
        <f t="shared" si="76"/>
        <v>0.014755</v>
      </c>
      <c r="J184">
        <f t="shared" si="76"/>
        <v>0.014809</v>
      </c>
      <c r="K184">
        <f t="shared" si="76"/>
        <v>0.014864</v>
      </c>
      <c r="L184">
        <f t="shared" si="76"/>
        <v>0.014918</v>
      </c>
      <c r="M184">
        <f t="shared" si="76"/>
        <v>0.014973</v>
      </c>
      <c r="N184">
        <f t="shared" si="76"/>
        <v>0.015027</v>
      </c>
      <c r="O184">
        <f t="shared" si="76"/>
        <v>0.015082</v>
      </c>
      <c r="P184">
        <f t="shared" si="76"/>
        <v>0.015136</v>
      </c>
      <c r="Q184">
        <f t="shared" si="76"/>
        <v>0.015191</v>
      </c>
      <c r="R184">
        <f t="shared" si="76"/>
        <v>0.015245</v>
      </c>
      <c r="S184">
        <f t="shared" si="76"/>
        <v>0.0153</v>
      </c>
    </row>
    <row r="185" spans="1:19">
      <c r="A185" t="s">
        <v>26</v>
      </c>
      <c r="B185" t="s">
        <v>179</v>
      </c>
      <c r="C185" t="s">
        <v>372</v>
      </c>
      <c r="D185" t="s">
        <v>369</v>
      </c>
      <c r="G185">
        <f t="shared" si="48"/>
        <v>0.18</v>
      </c>
      <c r="H185">
        <v>0.0147</v>
      </c>
      <c r="I185">
        <v>0.014755</v>
      </c>
      <c r="J185">
        <v>0.014809</v>
      </c>
      <c r="K185">
        <v>0.014864</v>
      </c>
      <c r="L185">
        <v>0.014918</v>
      </c>
      <c r="M185">
        <v>0.014973</v>
      </c>
      <c r="N185">
        <v>0.015027</v>
      </c>
      <c r="O185">
        <v>0.015082</v>
      </c>
      <c r="P185">
        <v>0.015136</v>
      </c>
      <c r="Q185">
        <v>0.015191</v>
      </c>
      <c r="R185">
        <v>0.015245</v>
      </c>
      <c r="S185">
        <v>0.0153</v>
      </c>
    </row>
    <row r="186" spans="1:19">
      <c r="A186" t="s">
        <v>23</v>
      </c>
      <c r="B186" t="s">
        <v>35</v>
      </c>
      <c r="C186" t="s">
        <v>373</v>
      </c>
      <c r="D186" t="s">
        <v>374</v>
      </c>
      <c r="G186">
        <f t="shared" si="48"/>
        <v>0.18</v>
      </c>
      <c r="H186">
        <f t="shared" ref="H186:S186" si="77">H187</f>
        <v>0.0147</v>
      </c>
      <c r="I186">
        <f t="shared" si="77"/>
        <v>0.014755</v>
      </c>
      <c r="J186">
        <f t="shared" si="77"/>
        <v>0.014809</v>
      </c>
      <c r="K186">
        <f t="shared" si="77"/>
        <v>0.014864</v>
      </c>
      <c r="L186">
        <f t="shared" si="77"/>
        <v>0.014918</v>
      </c>
      <c r="M186">
        <f t="shared" si="77"/>
        <v>0.014973</v>
      </c>
      <c r="N186">
        <f t="shared" si="77"/>
        <v>0.015027</v>
      </c>
      <c r="O186">
        <f t="shared" si="77"/>
        <v>0.015082</v>
      </c>
      <c r="P186">
        <f t="shared" si="77"/>
        <v>0.015136</v>
      </c>
      <c r="Q186">
        <f t="shared" si="77"/>
        <v>0.015191</v>
      </c>
      <c r="R186">
        <f t="shared" si="77"/>
        <v>0.015245</v>
      </c>
      <c r="S186">
        <f t="shared" si="77"/>
        <v>0.0153</v>
      </c>
    </row>
    <row r="187" spans="1:19">
      <c r="A187" t="s">
        <v>26</v>
      </c>
      <c r="B187" t="s">
        <v>179</v>
      </c>
      <c r="C187" t="s">
        <v>375</v>
      </c>
      <c r="D187" t="s">
        <v>369</v>
      </c>
      <c r="G187">
        <f t="shared" si="48"/>
        <v>0.18</v>
      </c>
      <c r="H187">
        <v>0.0147</v>
      </c>
      <c r="I187">
        <v>0.014755</v>
      </c>
      <c r="J187">
        <v>0.014809</v>
      </c>
      <c r="K187">
        <v>0.014864</v>
      </c>
      <c r="L187">
        <v>0.014918</v>
      </c>
      <c r="M187">
        <v>0.014973</v>
      </c>
      <c r="N187">
        <v>0.015027</v>
      </c>
      <c r="O187">
        <v>0.015082</v>
      </c>
      <c r="P187">
        <v>0.015136</v>
      </c>
      <c r="Q187">
        <v>0.015191</v>
      </c>
      <c r="R187">
        <v>0.015245</v>
      </c>
      <c r="S187">
        <v>0.0153</v>
      </c>
    </row>
    <row r="188" spans="1:19">
      <c r="A188" t="s">
        <v>23</v>
      </c>
      <c r="B188" t="s">
        <v>35</v>
      </c>
      <c r="C188" t="s">
        <v>376</v>
      </c>
      <c r="D188" t="s">
        <v>377</v>
      </c>
      <c r="G188">
        <f t="shared" si="48"/>
        <v>100000000</v>
      </c>
      <c r="H188">
        <v>7000000</v>
      </c>
      <c r="I188">
        <v>6500000</v>
      </c>
      <c r="J188">
        <v>7800000</v>
      </c>
      <c r="K188">
        <v>8000000</v>
      </c>
      <c r="L188">
        <v>8200000</v>
      </c>
      <c r="M188">
        <v>8500000</v>
      </c>
      <c r="N188">
        <v>8800000</v>
      </c>
      <c r="O188">
        <v>8700000</v>
      </c>
      <c r="P188">
        <v>8500000</v>
      </c>
      <c r="Q188">
        <v>9300000</v>
      </c>
      <c r="R188">
        <v>9200000</v>
      </c>
      <c r="S188">
        <v>9500000</v>
      </c>
    </row>
    <row r="189" spans="1:19">
      <c r="A189" t="s">
        <v>23</v>
      </c>
      <c r="B189" t="s">
        <v>35</v>
      </c>
      <c r="C189" t="s">
        <v>378</v>
      </c>
      <c r="D189" t="s">
        <v>379</v>
      </c>
      <c r="G189">
        <f t="shared" si="48"/>
        <v>100000000</v>
      </c>
      <c r="H189">
        <v>7000000</v>
      </c>
      <c r="I189">
        <v>6500000</v>
      </c>
      <c r="J189">
        <v>7800000</v>
      </c>
      <c r="K189">
        <v>8000000</v>
      </c>
      <c r="L189">
        <v>8200000</v>
      </c>
      <c r="M189">
        <v>8500000</v>
      </c>
      <c r="N189">
        <v>8800000</v>
      </c>
      <c r="O189">
        <v>8700000</v>
      </c>
      <c r="P189">
        <v>8500000</v>
      </c>
      <c r="Q189">
        <v>9300000</v>
      </c>
      <c r="R189">
        <v>9200000</v>
      </c>
      <c r="S189">
        <v>9500000</v>
      </c>
    </row>
    <row r="190" spans="1:19">
      <c r="A190" t="s">
        <v>23</v>
      </c>
      <c r="B190" t="s">
        <v>35</v>
      </c>
      <c r="C190" t="s">
        <v>380</v>
      </c>
      <c r="D190" t="s">
        <v>381</v>
      </c>
      <c r="G190">
        <f t="shared" si="48"/>
        <v>0.18</v>
      </c>
      <c r="H190">
        <f t="shared" ref="H190:S190" si="78">H191</f>
        <v>0.0147</v>
      </c>
      <c r="I190">
        <f t="shared" si="78"/>
        <v>0.014755</v>
      </c>
      <c r="J190">
        <f t="shared" si="78"/>
        <v>0.014809</v>
      </c>
      <c r="K190">
        <f t="shared" si="78"/>
        <v>0.014864</v>
      </c>
      <c r="L190">
        <f t="shared" si="78"/>
        <v>0.014918</v>
      </c>
      <c r="M190">
        <f t="shared" si="78"/>
        <v>0.014973</v>
      </c>
      <c r="N190">
        <f t="shared" si="78"/>
        <v>0.015027</v>
      </c>
      <c r="O190">
        <f t="shared" si="78"/>
        <v>0.015082</v>
      </c>
      <c r="P190">
        <f t="shared" si="78"/>
        <v>0.015136</v>
      </c>
      <c r="Q190">
        <f t="shared" si="78"/>
        <v>0.015191</v>
      </c>
      <c r="R190">
        <f t="shared" si="78"/>
        <v>0.015245</v>
      </c>
      <c r="S190">
        <f t="shared" si="78"/>
        <v>0.0153</v>
      </c>
    </row>
    <row r="191" spans="1:19">
      <c r="A191" t="s">
        <v>26</v>
      </c>
      <c r="B191" t="s">
        <v>179</v>
      </c>
      <c r="C191" t="s">
        <v>382</v>
      </c>
      <c r="D191" t="s">
        <v>383</v>
      </c>
      <c r="G191">
        <f t="shared" si="48"/>
        <v>0.18</v>
      </c>
      <c r="H191">
        <v>0.0147</v>
      </c>
      <c r="I191">
        <v>0.014755</v>
      </c>
      <c r="J191">
        <v>0.014809</v>
      </c>
      <c r="K191">
        <v>0.014864</v>
      </c>
      <c r="L191">
        <v>0.014918</v>
      </c>
      <c r="M191">
        <v>0.014973</v>
      </c>
      <c r="N191">
        <v>0.015027</v>
      </c>
      <c r="O191">
        <v>0.015082</v>
      </c>
      <c r="P191">
        <v>0.015136</v>
      </c>
      <c r="Q191">
        <v>0.015191</v>
      </c>
      <c r="R191">
        <v>0.015245</v>
      </c>
      <c r="S191">
        <v>0.0153</v>
      </c>
    </row>
    <row r="192" spans="1:19">
      <c r="A192" t="s">
        <v>23</v>
      </c>
      <c r="B192" t="s">
        <v>35</v>
      </c>
      <c r="C192" t="s">
        <v>384</v>
      </c>
      <c r="D192" t="s">
        <v>179</v>
      </c>
      <c r="G192">
        <f t="shared" si="48"/>
        <v>4440921461</v>
      </c>
      <c r="H192">
        <v>315942977</v>
      </c>
      <c r="I192">
        <v>300445911</v>
      </c>
      <c r="J192">
        <v>350721290</v>
      </c>
      <c r="K192">
        <v>358567039</v>
      </c>
      <c r="L192">
        <v>367453202</v>
      </c>
      <c r="M192">
        <v>379742065</v>
      </c>
      <c r="N192">
        <v>390990515</v>
      </c>
      <c r="O192">
        <v>385507119</v>
      </c>
      <c r="P192">
        <v>376620957</v>
      </c>
      <c r="Q192">
        <v>402802214</v>
      </c>
      <c r="R192">
        <v>398359099</v>
      </c>
      <c r="S192">
        <v>413769073</v>
      </c>
    </row>
    <row r="193" spans="1:19">
      <c r="A193" t="s">
        <v>19</v>
      </c>
      <c r="B193" t="s">
        <v>20</v>
      </c>
      <c r="C193" t="s">
        <v>385</v>
      </c>
      <c r="D193" t="s">
        <v>386</v>
      </c>
      <c r="G193">
        <f t="shared" si="48"/>
        <v>8881842922</v>
      </c>
      <c r="H193">
        <f t="shared" ref="H193:S193" si="79">H194+H195</f>
        <v>631885954</v>
      </c>
      <c r="I193">
        <f t="shared" si="79"/>
        <v>600891822</v>
      </c>
      <c r="J193">
        <f t="shared" si="79"/>
        <v>701442580</v>
      </c>
      <c r="K193">
        <f t="shared" si="79"/>
        <v>717134078</v>
      </c>
      <c r="L193">
        <f t="shared" si="79"/>
        <v>734906404</v>
      </c>
      <c r="M193">
        <f t="shared" si="79"/>
        <v>759484130</v>
      </c>
      <c r="N193">
        <f t="shared" si="79"/>
        <v>781981030</v>
      </c>
      <c r="O193">
        <f t="shared" si="79"/>
        <v>771014238</v>
      </c>
      <c r="P193">
        <f t="shared" si="79"/>
        <v>753241914</v>
      </c>
      <c r="Q193">
        <f t="shared" si="79"/>
        <v>805604428</v>
      </c>
      <c r="R193">
        <f t="shared" si="79"/>
        <v>796718198</v>
      </c>
      <c r="S193">
        <f t="shared" si="79"/>
        <v>827538146</v>
      </c>
    </row>
    <row r="194" spans="1:19">
      <c r="A194" t="s">
        <v>23</v>
      </c>
      <c r="B194" t="s">
        <v>20</v>
      </c>
      <c r="C194" t="s">
        <v>387</v>
      </c>
      <c r="D194" t="s">
        <v>388</v>
      </c>
      <c r="G194">
        <f t="shared" ref="G194:G255" si="80">H194+I194+J194+K194+L194+M194+N194+O194+P194+Q194+R194+S194</f>
        <v>4440921461</v>
      </c>
      <c r="H194">
        <v>315942977</v>
      </c>
      <c r="I194">
        <v>300445911</v>
      </c>
      <c r="J194">
        <v>350721290</v>
      </c>
      <c r="K194">
        <v>358567039</v>
      </c>
      <c r="L194">
        <v>367453202</v>
      </c>
      <c r="M194">
        <v>379742065</v>
      </c>
      <c r="N194">
        <v>390990515</v>
      </c>
      <c r="O194">
        <v>385507119</v>
      </c>
      <c r="P194">
        <v>376620957</v>
      </c>
      <c r="Q194">
        <v>402802214</v>
      </c>
      <c r="R194">
        <v>398359099</v>
      </c>
      <c r="S194">
        <v>413769073</v>
      </c>
    </row>
    <row r="195" spans="1:19">
      <c r="A195" t="s">
        <v>23</v>
      </c>
      <c r="B195" t="s">
        <v>20</v>
      </c>
      <c r="C195" t="s">
        <v>389</v>
      </c>
      <c r="D195" t="s">
        <v>390</v>
      </c>
      <c r="G195">
        <f t="shared" si="80"/>
        <v>4440921461</v>
      </c>
      <c r="H195">
        <v>315942977</v>
      </c>
      <c r="I195">
        <v>300445911</v>
      </c>
      <c r="J195">
        <v>350721290</v>
      </c>
      <c r="K195">
        <v>358567039</v>
      </c>
      <c r="L195">
        <v>367453202</v>
      </c>
      <c r="M195">
        <v>379742065</v>
      </c>
      <c r="N195">
        <v>390990515</v>
      </c>
      <c r="O195">
        <v>385507119</v>
      </c>
      <c r="P195">
        <v>376620957</v>
      </c>
      <c r="Q195">
        <v>402802214</v>
      </c>
      <c r="R195">
        <v>398359099</v>
      </c>
      <c r="S195">
        <v>413769073</v>
      </c>
    </row>
    <row r="196" spans="1:19">
      <c r="A196" t="s">
        <v>19</v>
      </c>
      <c r="B196" t="s">
        <v>20</v>
      </c>
      <c r="C196" t="s">
        <v>391</v>
      </c>
      <c r="D196" t="s">
        <v>392</v>
      </c>
      <c r="G196">
        <f t="shared" si="80"/>
        <v>4440921461</v>
      </c>
      <c r="H196">
        <v>315942977</v>
      </c>
      <c r="I196">
        <v>300445911</v>
      </c>
      <c r="J196">
        <v>350721290</v>
      </c>
      <c r="K196">
        <v>358567039</v>
      </c>
      <c r="L196">
        <v>367453202</v>
      </c>
      <c r="M196">
        <v>379742065</v>
      </c>
      <c r="N196">
        <v>390990515</v>
      </c>
      <c r="O196">
        <v>385507119</v>
      </c>
      <c r="P196">
        <v>376620957</v>
      </c>
      <c r="Q196">
        <v>402802214</v>
      </c>
      <c r="R196">
        <v>398359099</v>
      </c>
      <c r="S196">
        <v>413769073</v>
      </c>
    </row>
    <row r="197" spans="1:19">
      <c r="A197" t="s">
        <v>19</v>
      </c>
      <c r="B197" t="s">
        <v>393</v>
      </c>
      <c r="C197" t="s">
        <v>394</v>
      </c>
      <c r="D197" t="s">
        <v>395</v>
      </c>
      <c r="G197">
        <f t="shared" si="80"/>
        <v>1910000000</v>
      </c>
      <c r="H197">
        <f t="shared" ref="H197:S197" si="81">H198+H214</f>
        <v>133700000</v>
      </c>
      <c r="I197">
        <f t="shared" si="81"/>
        <v>124150000</v>
      </c>
      <c r="J197">
        <f t="shared" si="81"/>
        <v>148980000</v>
      </c>
      <c r="K197">
        <f t="shared" si="81"/>
        <v>152800000</v>
      </c>
      <c r="L197">
        <f t="shared" si="81"/>
        <v>156620000</v>
      </c>
      <c r="M197">
        <f t="shared" si="81"/>
        <v>162350000</v>
      </c>
      <c r="N197">
        <f t="shared" si="81"/>
        <v>168080000</v>
      </c>
      <c r="O197">
        <f t="shared" si="81"/>
        <v>166170000</v>
      </c>
      <c r="P197">
        <f t="shared" si="81"/>
        <v>162350000</v>
      </c>
      <c r="Q197">
        <f t="shared" si="81"/>
        <v>177630000</v>
      </c>
      <c r="R197">
        <f t="shared" si="81"/>
        <v>175720000</v>
      </c>
      <c r="S197">
        <f t="shared" si="81"/>
        <v>181450000</v>
      </c>
    </row>
    <row r="198" spans="1:19">
      <c r="A198" t="s">
        <v>23</v>
      </c>
      <c r="B198" t="s">
        <v>393</v>
      </c>
      <c r="C198" t="s">
        <v>396</v>
      </c>
      <c r="D198" t="s">
        <v>397</v>
      </c>
      <c r="G198">
        <f t="shared" si="80"/>
        <v>1260000000</v>
      </c>
      <c r="H198">
        <f t="shared" ref="H198:S198" si="82">H199+H202+H205+H212+H213</f>
        <v>88200000</v>
      </c>
      <c r="I198">
        <f t="shared" si="82"/>
        <v>81900000</v>
      </c>
      <c r="J198">
        <f t="shared" si="82"/>
        <v>98280000</v>
      </c>
      <c r="K198">
        <f t="shared" si="82"/>
        <v>100800000</v>
      </c>
      <c r="L198">
        <f t="shared" si="82"/>
        <v>103320000</v>
      </c>
      <c r="M198">
        <f t="shared" si="82"/>
        <v>107100000</v>
      </c>
      <c r="N198">
        <f t="shared" si="82"/>
        <v>110880000</v>
      </c>
      <c r="O198">
        <f t="shared" si="82"/>
        <v>109620000</v>
      </c>
      <c r="P198">
        <f t="shared" si="82"/>
        <v>107100000</v>
      </c>
      <c r="Q198">
        <f t="shared" si="82"/>
        <v>117180000</v>
      </c>
      <c r="R198">
        <f t="shared" si="82"/>
        <v>115920000</v>
      </c>
      <c r="S198">
        <f t="shared" si="82"/>
        <v>119700000</v>
      </c>
    </row>
    <row r="199" spans="1:19">
      <c r="A199" t="s">
        <v>26</v>
      </c>
      <c r="B199" t="s">
        <v>393</v>
      </c>
      <c r="C199" t="s">
        <v>398</v>
      </c>
      <c r="D199" t="s">
        <v>399</v>
      </c>
      <c r="G199">
        <f t="shared" si="80"/>
        <v>450000000</v>
      </c>
      <c r="H199">
        <f t="shared" ref="H199:S199" si="83">H200+H201</f>
        <v>31500000</v>
      </c>
      <c r="I199">
        <f t="shared" si="83"/>
        <v>29250000</v>
      </c>
      <c r="J199">
        <f t="shared" si="83"/>
        <v>35100000</v>
      </c>
      <c r="K199">
        <f t="shared" si="83"/>
        <v>36000000</v>
      </c>
      <c r="L199">
        <f t="shared" si="83"/>
        <v>36900000</v>
      </c>
      <c r="M199">
        <f t="shared" si="83"/>
        <v>38250000</v>
      </c>
      <c r="N199">
        <f t="shared" si="83"/>
        <v>39600000</v>
      </c>
      <c r="O199">
        <f t="shared" si="83"/>
        <v>39150000</v>
      </c>
      <c r="P199">
        <f t="shared" si="83"/>
        <v>38250000</v>
      </c>
      <c r="Q199">
        <f t="shared" si="83"/>
        <v>41850000</v>
      </c>
      <c r="R199">
        <f t="shared" si="83"/>
        <v>41400000</v>
      </c>
      <c r="S199">
        <f t="shared" si="83"/>
        <v>42750000</v>
      </c>
    </row>
    <row r="200" spans="1:19">
      <c r="A200" t="s">
        <v>60</v>
      </c>
      <c r="B200" t="s">
        <v>393</v>
      </c>
      <c r="C200" t="s">
        <v>400</v>
      </c>
      <c r="D200" t="s">
        <v>401</v>
      </c>
      <c r="G200">
        <f t="shared" si="80"/>
        <v>320000000</v>
      </c>
      <c r="H200">
        <v>22400000</v>
      </c>
      <c r="I200">
        <v>20800000</v>
      </c>
      <c r="J200">
        <v>24960000</v>
      </c>
      <c r="K200">
        <v>25600000</v>
      </c>
      <c r="L200">
        <v>26240000</v>
      </c>
      <c r="M200">
        <v>27200000</v>
      </c>
      <c r="N200">
        <v>28160000</v>
      </c>
      <c r="O200">
        <v>27840000</v>
      </c>
      <c r="P200">
        <v>27200000</v>
      </c>
      <c r="Q200">
        <v>29760000</v>
      </c>
      <c r="R200">
        <v>29440000</v>
      </c>
      <c r="S200">
        <v>30400000</v>
      </c>
    </row>
    <row r="201" spans="1:19">
      <c r="A201" t="s">
        <v>60</v>
      </c>
      <c r="B201" t="s">
        <v>393</v>
      </c>
      <c r="C201" t="s">
        <v>402</v>
      </c>
      <c r="D201" t="s">
        <v>49</v>
      </c>
      <c r="G201">
        <f t="shared" si="80"/>
        <v>130000000</v>
      </c>
      <c r="H201">
        <v>9100000</v>
      </c>
      <c r="I201">
        <v>8450000</v>
      </c>
      <c r="J201">
        <v>10140000</v>
      </c>
      <c r="K201">
        <v>10400000</v>
      </c>
      <c r="L201">
        <v>10660000</v>
      </c>
      <c r="M201">
        <v>11050000</v>
      </c>
      <c r="N201">
        <v>11440000</v>
      </c>
      <c r="O201">
        <v>11310000</v>
      </c>
      <c r="P201">
        <v>11050000</v>
      </c>
      <c r="Q201">
        <v>12090000</v>
      </c>
      <c r="R201">
        <v>11960000</v>
      </c>
      <c r="S201">
        <v>12350000</v>
      </c>
    </row>
    <row r="202" spans="1:19">
      <c r="A202" t="s">
        <v>26</v>
      </c>
      <c r="B202" t="s">
        <v>393</v>
      </c>
      <c r="C202" t="s">
        <v>403</v>
      </c>
      <c r="D202" t="s">
        <v>51</v>
      </c>
      <c r="G202">
        <f t="shared" si="80"/>
        <v>360000000</v>
      </c>
      <c r="H202">
        <f t="shared" ref="H202:S202" si="84">H203+H204</f>
        <v>25200000</v>
      </c>
      <c r="I202">
        <f t="shared" si="84"/>
        <v>23400000</v>
      </c>
      <c r="J202">
        <f t="shared" si="84"/>
        <v>28080000</v>
      </c>
      <c r="K202">
        <f t="shared" si="84"/>
        <v>28800000</v>
      </c>
      <c r="L202">
        <f t="shared" si="84"/>
        <v>29520000</v>
      </c>
      <c r="M202">
        <f t="shared" si="84"/>
        <v>30600000</v>
      </c>
      <c r="N202">
        <f t="shared" si="84"/>
        <v>31680000</v>
      </c>
      <c r="O202">
        <f t="shared" si="84"/>
        <v>31320000</v>
      </c>
      <c r="P202">
        <f t="shared" si="84"/>
        <v>30600000</v>
      </c>
      <c r="Q202">
        <f t="shared" si="84"/>
        <v>33480000</v>
      </c>
      <c r="R202">
        <f t="shared" si="84"/>
        <v>33120000</v>
      </c>
      <c r="S202">
        <f t="shared" si="84"/>
        <v>34200000</v>
      </c>
    </row>
    <row r="203" spans="1:19">
      <c r="A203" t="s">
        <v>60</v>
      </c>
      <c r="B203" t="s">
        <v>393</v>
      </c>
      <c r="C203" t="s">
        <v>404</v>
      </c>
      <c r="D203" t="s">
        <v>405</v>
      </c>
      <c r="G203">
        <f t="shared" si="80"/>
        <v>220000000</v>
      </c>
      <c r="H203">
        <v>15400000</v>
      </c>
      <c r="I203">
        <v>14300000</v>
      </c>
      <c r="J203">
        <v>17160000</v>
      </c>
      <c r="K203">
        <v>17600000</v>
      </c>
      <c r="L203">
        <v>18040000</v>
      </c>
      <c r="M203">
        <v>18700000</v>
      </c>
      <c r="N203">
        <v>19360000</v>
      </c>
      <c r="O203">
        <v>19140000</v>
      </c>
      <c r="P203">
        <v>18700000</v>
      </c>
      <c r="Q203">
        <v>20460000</v>
      </c>
      <c r="R203">
        <v>20240000</v>
      </c>
      <c r="S203">
        <v>20900000</v>
      </c>
    </row>
    <row r="204" spans="1:19">
      <c r="A204" t="s">
        <v>60</v>
      </c>
      <c r="B204" t="s">
        <v>393</v>
      </c>
      <c r="C204" t="s">
        <v>406</v>
      </c>
      <c r="D204" t="s">
        <v>407</v>
      </c>
      <c r="G204">
        <f t="shared" si="80"/>
        <v>140000000</v>
      </c>
      <c r="H204">
        <v>9800000</v>
      </c>
      <c r="I204">
        <v>9100000</v>
      </c>
      <c r="J204">
        <v>10920000</v>
      </c>
      <c r="K204">
        <v>11200000</v>
      </c>
      <c r="L204">
        <v>11480000</v>
      </c>
      <c r="M204">
        <v>11900000</v>
      </c>
      <c r="N204">
        <v>12320000</v>
      </c>
      <c r="O204">
        <v>12180000</v>
      </c>
      <c r="P204">
        <v>11900000</v>
      </c>
      <c r="Q204">
        <v>13020000</v>
      </c>
      <c r="R204">
        <v>12880000</v>
      </c>
      <c r="S204">
        <v>13300000</v>
      </c>
    </row>
    <row r="205" spans="1:19">
      <c r="A205" t="s">
        <v>26</v>
      </c>
      <c r="B205" t="s">
        <v>393</v>
      </c>
      <c r="C205" t="s">
        <v>408</v>
      </c>
      <c r="D205" t="s">
        <v>409</v>
      </c>
      <c r="G205">
        <f t="shared" si="80"/>
        <v>270000000</v>
      </c>
      <c r="H205">
        <f t="shared" ref="H205:S205" si="85">H206+H209+H210+H211</f>
        <v>18900000</v>
      </c>
      <c r="I205">
        <f t="shared" si="85"/>
        <v>17550000</v>
      </c>
      <c r="J205">
        <f t="shared" si="85"/>
        <v>21060000</v>
      </c>
      <c r="K205">
        <f t="shared" si="85"/>
        <v>21600000</v>
      </c>
      <c r="L205">
        <f t="shared" si="85"/>
        <v>22140000</v>
      </c>
      <c r="M205">
        <f t="shared" si="85"/>
        <v>22950000</v>
      </c>
      <c r="N205">
        <f t="shared" si="85"/>
        <v>23760000</v>
      </c>
      <c r="O205">
        <f t="shared" si="85"/>
        <v>23490000</v>
      </c>
      <c r="P205">
        <f t="shared" si="85"/>
        <v>22950000</v>
      </c>
      <c r="Q205">
        <f t="shared" si="85"/>
        <v>25110000</v>
      </c>
      <c r="R205">
        <f t="shared" si="85"/>
        <v>24840000</v>
      </c>
      <c r="S205">
        <f t="shared" si="85"/>
        <v>25650000</v>
      </c>
    </row>
    <row r="206" spans="1:19">
      <c r="A206" t="s">
        <v>60</v>
      </c>
      <c r="B206" t="s">
        <v>393</v>
      </c>
      <c r="C206" t="s">
        <v>410</v>
      </c>
      <c r="D206" t="s">
        <v>59</v>
      </c>
      <c r="G206">
        <f t="shared" si="80"/>
        <v>140000000</v>
      </c>
      <c r="H206">
        <f t="shared" ref="H206:S206" si="86">H207+H208</f>
        <v>9800000</v>
      </c>
      <c r="I206">
        <f t="shared" si="86"/>
        <v>9100000</v>
      </c>
      <c r="J206">
        <f t="shared" si="86"/>
        <v>10920000</v>
      </c>
      <c r="K206">
        <f t="shared" si="86"/>
        <v>11200000</v>
      </c>
      <c r="L206">
        <f t="shared" si="86"/>
        <v>11480000</v>
      </c>
      <c r="M206">
        <f t="shared" si="86"/>
        <v>11900000</v>
      </c>
      <c r="N206">
        <f t="shared" si="86"/>
        <v>12320000</v>
      </c>
      <c r="O206">
        <f t="shared" si="86"/>
        <v>12180000</v>
      </c>
      <c r="P206">
        <f t="shared" si="86"/>
        <v>11900000</v>
      </c>
      <c r="Q206">
        <f t="shared" si="86"/>
        <v>13020000</v>
      </c>
      <c r="R206">
        <f t="shared" si="86"/>
        <v>12880000</v>
      </c>
      <c r="S206">
        <f t="shared" si="86"/>
        <v>13300000</v>
      </c>
    </row>
    <row r="207" spans="1:19">
      <c r="A207" t="s">
        <v>192</v>
      </c>
      <c r="B207" t="s">
        <v>393</v>
      </c>
      <c r="C207" t="s">
        <v>411</v>
      </c>
      <c r="D207" t="s">
        <v>62</v>
      </c>
      <c r="G207">
        <f t="shared" si="80"/>
        <v>90000000</v>
      </c>
      <c r="H207">
        <v>6300000</v>
      </c>
      <c r="I207">
        <v>5850000</v>
      </c>
      <c r="J207">
        <v>7020000</v>
      </c>
      <c r="K207">
        <v>7200000</v>
      </c>
      <c r="L207">
        <v>7380000</v>
      </c>
      <c r="M207">
        <v>7650000</v>
      </c>
      <c r="N207">
        <v>7920000</v>
      </c>
      <c r="O207">
        <v>7830000</v>
      </c>
      <c r="P207">
        <v>7650000</v>
      </c>
      <c r="Q207">
        <v>8370000</v>
      </c>
      <c r="R207">
        <v>8280000</v>
      </c>
      <c r="S207">
        <v>8550000</v>
      </c>
    </row>
    <row r="208" spans="1:19">
      <c r="A208" t="s">
        <v>192</v>
      </c>
      <c r="B208" t="s">
        <v>393</v>
      </c>
      <c r="C208" t="s">
        <v>412</v>
      </c>
      <c r="D208" t="s">
        <v>64</v>
      </c>
      <c r="G208">
        <f t="shared" si="80"/>
        <v>50000000</v>
      </c>
      <c r="H208">
        <v>3500000</v>
      </c>
      <c r="I208">
        <v>3250000</v>
      </c>
      <c r="J208">
        <v>3900000</v>
      </c>
      <c r="K208">
        <v>4000000</v>
      </c>
      <c r="L208">
        <v>4100000</v>
      </c>
      <c r="M208">
        <v>4250000</v>
      </c>
      <c r="N208">
        <v>4400000</v>
      </c>
      <c r="O208">
        <v>4350000</v>
      </c>
      <c r="P208">
        <v>4250000</v>
      </c>
      <c r="Q208">
        <v>4650000</v>
      </c>
      <c r="R208">
        <v>4600000</v>
      </c>
      <c r="S208">
        <v>4750000</v>
      </c>
    </row>
    <row r="209" spans="1:19">
      <c r="A209" t="s">
        <v>60</v>
      </c>
      <c r="B209" t="s">
        <v>393</v>
      </c>
      <c r="C209" t="s">
        <v>413</v>
      </c>
      <c r="D209" t="s">
        <v>414</v>
      </c>
      <c r="G209">
        <f t="shared" si="80"/>
        <v>50000000</v>
      </c>
      <c r="H209">
        <v>3500000</v>
      </c>
      <c r="I209">
        <v>3250000</v>
      </c>
      <c r="J209">
        <v>3900000</v>
      </c>
      <c r="K209">
        <v>4000000</v>
      </c>
      <c r="L209">
        <v>4100000</v>
      </c>
      <c r="M209">
        <v>4250000</v>
      </c>
      <c r="N209">
        <v>4400000</v>
      </c>
      <c r="O209">
        <v>4350000</v>
      </c>
      <c r="P209">
        <v>4250000</v>
      </c>
      <c r="Q209">
        <v>4650000</v>
      </c>
      <c r="R209">
        <v>4600000</v>
      </c>
      <c r="S209">
        <v>4750000</v>
      </c>
    </row>
    <row r="210" spans="1:19">
      <c r="A210" t="s">
        <v>60</v>
      </c>
      <c r="B210" t="s">
        <v>393</v>
      </c>
      <c r="C210" t="s">
        <v>415</v>
      </c>
      <c r="D210" t="s">
        <v>68</v>
      </c>
      <c r="G210">
        <f t="shared" si="80"/>
        <v>40000000</v>
      </c>
      <c r="H210">
        <v>2800000</v>
      </c>
      <c r="I210">
        <v>2600000</v>
      </c>
      <c r="J210">
        <v>3120000</v>
      </c>
      <c r="K210">
        <v>3200000</v>
      </c>
      <c r="L210">
        <v>3280000</v>
      </c>
      <c r="M210">
        <v>3400000</v>
      </c>
      <c r="N210">
        <v>3520000</v>
      </c>
      <c r="O210">
        <v>3480000</v>
      </c>
      <c r="P210">
        <v>3400000</v>
      </c>
      <c r="Q210">
        <v>3720000</v>
      </c>
      <c r="R210">
        <v>3680000</v>
      </c>
      <c r="S210">
        <v>3800000</v>
      </c>
    </row>
    <row r="211" spans="1:19">
      <c r="A211" t="s">
        <v>60</v>
      </c>
      <c r="B211" t="s">
        <v>393</v>
      </c>
      <c r="C211" t="s">
        <v>416</v>
      </c>
      <c r="D211" t="s">
        <v>70</v>
      </c>
      <c r="G211">
        <f t="shared" si="80"/>
        <v>40000000</v>
      </c>
      <c r="H211">
        <v>2800000</v>
      </c>
      <c r="I211">
        <v>2600000</v>
      </c>
      <c r="J211">
        <v>3120000</v>
      </c>
      <c r="K211">
        <v>3200000</v>
      </c>
      <c r="L211">
        <v>3280000</v>
      </c>
      <c r="M211">
        <v>3400000</v>
      </c>
      <c r="N211">
        <v>3520000</v>
      </c>
      <c r="O211">
        <v>3480000</v>
      </c>
      <c r="P211">
        <v>3400000</v>
      </c>
      <c r="Q211">
        <v>3720000</v>
      </c>
      <c r="R211">
        <v>3680000</v>
      </c>
      <c r="S211">
        <v>3800000</v>
      </c>
    </row>
    <row r="212" spans="1:19">
      <c r="A212" t="s">
        <v>26</v>
      </c>
      <c r="B212" t="s">
        <v>393</v>
      </c>
      <c r="C212" t="s">
        <v>417</v>
      </c>
      <c r="D212" t="s">
        <v>418</v>
      </c>
      <c r="G212">
        <f t="shared" si="80"/>
        <v>90000000</v>
      </c>
      <c r="H212">
        <v>6300000</v>
      </c>
      <c r="I212">
        <v>5850000</v>
      </c>
      <c r="J212">
        <v>7020000</v>
      </c>
      <c r="K212">
        <v>7200000</v>
      </c>
      <c r="L212">
        <v>7380000</v>
      </c>
      <c r="M212">
        <v>7650000</v>
      </c>
      <c r="N212">
        <v>7920000</v>
      </c>
      <c r="O212">
        <v>7830000</v>
      </c>
      <c r="P212">
        <v>7650000</v>
      </c>
      <c r="Q212">
        <v>8370000</v>
      </c>
      <c r="R212">
        <v>8280000</v>
      </c>
      <c r="S212">
        <v>8550000</v>
      </c>
    </row>
    <row r="213" spans="1:19">
      <c r="A213" t="s">
        <v>26</v>
      </c>
      <c r="B213" t="s">
        <v>393</v>
      </c>
      <c r="C213" t="s">
        <v>419</v>
      </c>
      <c r="D213" t="s">
        <v>420</v>
      </c>
      <c r="G213">
        <f t="shared" si="80"/>
        <v>90000000</v>
      </c>
      <c r="H213">
        <v>6300000</v>
      </c>
      <c r="I213">
        <v>5850000</v>
      </c>
      <c r="J213">
        <v>7020000</v>
      </c>
      <c r="K213">
        <v>7200000</v>
      </c>
      <c r="L213">
        <v>7380000</v>
      </c>
      <c r="M213">
        <v>7650000</v>
      </c>
      <c r="N213">
        <v>7920000</v>
      </c>
      <c r="O213">
        <v>7830000</v>
      </c>
      <c r="P213">
        <v>7650000</v>
      </c>
      <c r="Q213">
        <v>8370000</v>
      </c>
      <c r="R213">
        <v>8280000</v>
      </c>
      <c r="S213">
        <v>8550000</v>
      </c>
    </row>
    <row r="214" spans="1:19">
      <c r="A214" t="s">
        <v>23</v>
      </c>
      <c r="B214" t="s">
        <v>393</v>
      </c>
      <c r="C214" t="s">
        <v>421</v>
      </c>
      <c r="D214" t="s">
        <v>422</v>
      </c>
      <c r="G214">
        <f t="shared" si="80"/>
        <v>650000000</v>
      </c>
      <c r="H214">
        <f t="shared" ref="H214:S214" si="87">H215+H218+H221+H228+H229</f>
        <v>45500000</v>
      </c>
      <c r="I214">
        <f t="shared" si="87"/>
        <v>42250000</v>
      </c>
      <c r="J214">
        <f t="shared" si="87"/>
        <v>50700000</v>
      </c>
      <c r="K214">
        <f t="shared" si="87"/>
        <v>52000000</v>
      </c>
      <c r="L214">
        <f t="shared" si="87"/>
        <v>53300000</v>
      </c>
      <c r="M214">
        <f t="shared" si="87"/>
        <v>55250000</v>
      </c>
      <c r="N214">
        <f t="shared" si="87"/>
        <v>57200000</v>
      </c>
      <c r="O214">
        <f t="shared" si="87"/>
        <v>56550000</v>
      </c>
      <c r="P214">
        <f t="shared" si="87"/>
        <v>55250000</v>
      </c>
      <c r="Q214">
        <f t="shared" si="87"/>
        <v>60450000</v>
      </c>
      <c r="R214">
        <f t="shared" si="87"/>
        <v>59800000</v>
      </c>
      <c r="S214">
        <f t="shared" si="87"/>
        <v>61750000</v>
      </c>
    </row>
    <row r="215" spans="1:19">
      <c r="A215" t="s">
        <v>26</v>
      </c>
      <c r="B215" t="s">
        <v>393</v>
      </c>
      <c r="C215" t="s">
        <v>423</v>
      </c>
      <c r="D215" t="s">
        <v>399</v>
      </c>
      <c r="G215">
        <f t="shared" si="80"/>
        <v>180000000</v>
      </c>
      <c r="H215">
        <f t="shared" ref="H215:S215" si="88">H216+H217</f>
        <v>12600000</v>
      </c>
      <c r="I215">
        <f t="shared" si="88"/>
        <v>11700000</v>
      </c>
      <c r="J215">
        <f t="shared" si="88"/>
        <v>14040000</v>
      </c>
      <c r="K215">
        <f t="shared" si="88"/>
        <v>14400000</v>
      </c>
      <c r="L215">
        <f t="shared" si="88"/>
        <v>14760000</v>
      </c>
      <c r="M215">
        <f t="shared" si="88"/>
        <v>15300000</v>
      </c>
      <c r="N215">
        <f t="shared" si="88"/>
        <v>15840000</v>
      </c>
      <c r="O215">
        <f t="shared" si="88"/>
        <v>15660000</v>
      </c>
      <c r="P215">
        <f t="shared" si="88"/>
        <v>15300000</v>
      </c>
      <c r="Q215">
        <f t="shared" si="88"/>
        <v>16740000</v>
      </c>
      <c r="R215">
        <f t="shared" si="88"/>
        <v>16560000</v>
      </c>
      <c r="S215">
        <f t="shared" si="88"/>
        <v>17100000</v>
      </c>
    </row>
    <row r="216" spans="1:19">
      <c r="A216" t="s">
        <v>60</v>
      </c>
      <c r="B216" t="s">
        <v>393</v>
      </c>
      <c r="C216" t="s">
        <v>424</v>
      </c>
      <c r="D216" t="s">
        <v>401</v>
      </c>
      <c r="G216">
        <f t="shared" si="80"/>
        <v>130000000</v>
      </c>
      <c r="H216">
        <v>9100000</v>
      </c>
      <c r="I216">
        <v>8450000</v>
      </c>
      <c r="J216">
        <v>10140000</v>
      </c>
      <c r="K216">
        <v>10400000</v>
      </c>
      <c r="L216">
        <v>10660000</v>
      </c>
      <c r="M216">
        <v>11050000</v>
      </c>
      <c r="N216">
        <v>11440000</v>
      </c>
      <c r="O216">
        <v>11310000</v>
      </c>
      <c r="P216">
        <v>11050000</v>
      </c>
      <c r="Q216">
        <v>12090000</v>
      </c>
      <c r="R216">
        <v>11960000</v>
      </c>
      <c r="S216">
        <v>12350000</v>
      </c>
    </row>
    <row r="217" spans="1:19">
      <c r="A217" t="s">
        <v>60</v>
      </c>
      <c r="B217" t="s">
        <v>393</v>
      </c>
      <c r="C217" t="s">
        <v>425</v>
      </c>
      <c r="D217" t="s">
        <v>49</v>
      </c>
      <c r="G217">
        <f t="shared" si="80"/>
        <v>50000000</v>
      </c>
      <c r="H217">
        <v>3500000</v>
      </c>
      <c r="I217">
        <v>3250000</v>
      </c>
      <c r="J217">
        <v>3900000</v>
      </c>
      <c r="K217">
        <v>4000000</v>
      </c>
      <c r="L217">
        <v>4100000</v>
      </c>
      <c r="M217">
        <v>4250000</v>
      </c>
      <c r="N217">
        <v>4400000</v>
      </c>
      <c r="O217">
        <v>4350000</v>
      </c>
      <c r="P217">
        <v>4250000</v>
      </c>
      <c r="Q217">
        <v>4650000</v>
      </c>
      <c r="R217">
        <v>4600000</v>
      </c>
      <c r="S217">
        <v>4750000</v>
      </c>
    </row>
    <row r="218" spans="1:19">
      <c r="A218" t="s">
        <v>26</v>
      </c>
      <c r="B218" t="s">
        <v>393</v>
      </c>
      <c r="C218" t="s">
        <v>426</v>
      </c>
      <c r="D218" t="s">
        <v>51</v>
      </c>
      <c r="G218">
        <f t="shared" si="80"/>
        <v>140000000</v>
      </c>
      <c r="H218">
        <f t="shared" ref="H218:S218" si="89">H219+H220</f>
        <v>9800000</v>
      </c>
      <c r="I218">
        <f t="shared" si="89"/>
        <v>9100000</v>
      </c>
      <c r="J218">
        <f t="shared" si="89"/>
        <v>10920000</v>
      </c>
      <c r="K218">
        <f t="shared" si="89"/>
        <v>11200000</v>
      </c>
      <c r="L218">
        <f t="shared" si="89"/>
        <v>11480000</v>
      </c>
      <c r="M218">
        <f t="shared" si="89"/>
        <v>11900000</v>
      </c>
      <c r="N218">
        <f t="shared" si="89"/>
        <v>12320000</v>
      </c>
      <c r="O218">
        <f t="shared" si="89"/>
        <v>12180000</v>
      </c>
      <c r="P218">
        <f t="shared" si="89"/>
        <v>11900000</v>
      </c>
      <c r="Q218">
        <f t="shared" si="89"/>
        <v>13020000</v>
      </c>
      <c r="R218">
        <f t="shared" si="89"/>
        <v>12880000</v>
      </c>
      <c r="S218">
        <f t="shared" si="89"/>
        <v>13300000</v>
      </c>
    </row>
    <row r="219" spans="1:19">
      <c r="A219" t="s">
        <v>60</v>
      </c>
      <c r="B219" t="s">
        <v>393</v>
      </c>
      <c r="C219" t="s">
        <v>427</v>
      </c>
      <c r="D219" t="s">
        <v>405</v>
      </c>
      <c r="G219">
        <f t="shared" si="80"/>
        <v>90000000</v>
      </c>
      <c r="H219">
        <v>6300000</v>
      </c>
      <c r="I219">
        <v>5850000</v>
      </c>
      <c r="J219">
        <v>7020000</v>
      </c>
      <c r="K219">
        <v>7200000</v>
      </c>
      <c r="L219">
        <v>7380000</v>
      </c>
      <c r="M219">
        <v>7650000</v>
      </c>
      <c r="N219">
        <v>7920000</v>
      </c>
      <c r="O219">
        <v>7830000</v>
      </c>
      <c r="P219">
        <v>7650000</v>
      </c>
      <c r="Q219">
        <v>8370000</v>
      </c>
      <c r="R219">
        <v>8280000</v>
      </c>
      <c r="S219">
        <v>8550000</v>
      </c>
    </row>
    <row r="220" spans="1:19">
      <c r="A220" t="s">
        <v>60</v>
      </c>
      <c r="B220" t="s">
        <v>393</v>
      </c>
      <c r="C220" t="s">
        <v>428</v>
      </c>
      <c r="D220" t="s">
        <v>407</v>
      </c>
      <c r="G220">
        <f t="shared" si="80"/>
        <v>50000000</v>
      </c>
      <c r="H220">
        <v>3500000</v>
      </c>
      <c r="I220">
        <v>3250000</v>
      </c>
      <c r="J220">
        <v>3900000</v>
      </c>
      <c r="K220">
        <v>4000000</v>
      </c>
      <c r="L220">
        <v>4100000</v>
      </c>
      <c r="M220">
        <v>4250000</v>
      </c>
      <c r="N220">
        <v>4400000</v>
      </c>
      <c r="O220">
        <v>4350000</v>
      </c>
      <c r="P220">
        <v>4250000</v>
      </c>
      <c r="Q220">
        <v>4650000</v>
      </c>
      <c r="R220">
        <v>4600000</v>
      </c>
      <c r="S220">
        <v>4750000</v>
      </c>
    </row>
    <row r="221" spans="1:19">
      <c r="A221" t="s">
        <v>26</v>
      </c>
      <c r="B221" t="s">
        <v>393</v>
      </c>
      <c r="C221" t="s">
        <v>429</v>
      </c>
      <c r="D221" t="s">
        <v>409</v>
      </c>
      <c r="G221">
        <f t="shared" si="80"/>
        <v>150000000</v>
      </c>
      <c r="H221">
        <f t="shared" ref="H221:S221" si="90">H222+H225+H226+H227</f>
        <v>10500000</v>
      </c>
      <c r="I221">
        <f t="shared" si="90"/>
        <v>9750000</v>
      </c>
      <c r="J221">
        <f t="shared" si="90"/>
        <v>11700000</v>
      </c>
      <c r="K221">
        <f t="shared" si="90"/>
        <v>12000000</v>
      </c>
      <c r="L221">
        <f t="shared" si="90"/>
        <v>12300000</v>
      </c>
      <c r="M221">
        <f t="shared" si="90"/>
        <v>12750000</v>
      </c>
      <c r="N221">
        <f t="shared" si="90"/>
        <v>13200000</v>
      </c>
      <c r="O221">
        <f t="shared" si="90"/>
        <v>13050000</v>
      </c>
      <c r="P221">
        <f t="shared" si="90"/>
        <v>12750000</v>
      </c>
      <c r="Q221">
        <f t="shared" si="90"/>
        <v>13950000</v>
      </c>
      <c r="R221">
        <f t="shared" si="90"/>
        <v>13800000</v>
      </c>
      <c r="S221">
        <f t="shared" si="90"/>
        <v>14250000</v>
      </c>
    </row>
    <row r="222" spans="1:19">
      <c r="A222" t="s">
        <v>60</v>
      </c>
      <c r="B222" t="s">
        <v>393</v>
      </c>
      <c r="C222" t="s">
        <v>430</v>
      </c>
      <c r="D222" t="s">
        <v>59</v>
      </c>
      <c r="G222">
        <f t="shared" si="80"/>
        <v>80000000</v>
      </c>
      <c r="H222">
        <f t="shared" ref="H222:S222" si="91">H223+H224</f>
        <v>5600000</v>
      </c>
      <c r="I222">
        <f t="shared" si="91"/>
        <v>5200000</v>
      </c>
      <c r="J222">
        <f t="shared" si="91"/>
        <v>6240000</v>
      </c>
      <c r="K222">
        <f t="shared" si="91"/>
        <v>6400000</v>
      </c>
      <c r="L222">
        <f t="shared" si="91"/>
        <v>6560000</v>
      </c>
      <c r="M222">
        <f t="shared" si="91"/>
        <v>6800000</v>
      </c>
      <c r="N222">
        <f t="shared" si="91"/>
        <v>7040000</v>
      </c>
      <c r="O222">
        <f t="shared" si="91"/>
        <v>6960000</v>
      </c>
      <c r="P222">
        <f t="shared" si="91"/>
        <v>6800000</v>
      </c>
      <c r="Q222">
        <f t="shared" si="91"/>
        <v>7440000</v>
      </c>
      <c r="R222">
        <f t="shared" si="91"/>
        <v>7360000</v>
      </c>
      <c r="S222">
        <f t="shared" si="91"/>
        <v>7600000</v>
      </c>
    </row>
    <row r="223" spans="1:19">
      <c r="A223" t="s">
        <v>192</v>
      </c>
      <c r="B223" t="s">
        <v>393</v>
      </c>
      <c r="C223" t="s">
        <v>431</v>
      </c>
      <c r="D223" t="s">
        <v>62</v>
      </c>
      <c r="G223">
        <f t="shared" si="80"/>
        <v>50000000</v>
      </c>
      <c r="H223">
        <v>3500000</v>
      </c>
      <c r="I223">
        <v>3250000</v>
      </c>
      <c r="J223">
        <v>3900000</v>
      </c>
      <c r="K223">
        <v>4000000</v>
      </c>
      <c r="L223">
        <v>4100000</v>
      </c>
      <c r="M223">
        <v>4250000</v>
      </c>
      <c r="N223">
        <v>4400000</v>
      </c>
      <c r="O223">
        <v>4350000</v>
      </c>
      <c r="P223">
        <v>4250000</v>
      </c>
      <c r="Q223">
        <v>4650000</v>
      </c>
      <c r="R223">
        <v>4600000</v>
      </c>
      <c r="S223">
        <v>4750000</v>
      </c>
    </row>
    <row r="224" spans="1:19">
      <c r="A224" t="s">
        <v>192</v>
      </c>
      <c r="B224" t="s">
        <v>393</v>
      </c>
      <c r="C224" t="s">
        <v>432</v>
      </c>
      <c r="D224" t="s">
        <v>64</v>
      </c>
      <c r="G224">
        <f t="shared" si="80"/>
        <v>30000000</v>
      </c>
      <c r="H224">
        <v>2100000</v>
      </c>
      <c r="I224">
        <v>1950000</v>
      </c>
      <c r="J224">
        <v>2340000</v>
      </c>
      <c r="K224">
        <v>2400000</v>
      </c>
      <c r="L224">
        <v>2460000</v>
      </c>
      <c r="M224">
        <v>2550000</v>
      </c>
      <c r="N224">
        <v>2640000</v>
      </c>
      <c r="O224">
        <v>2610000</v>
      </c>
      <c r="P224">
        <v>2550000</v>
      </c>
      <c r="Q224">
        <v>2790000</v>
      </c>
      <c r="R224">
        <v>2760000</v>
      </c>
      <c r="S224">
        <v>2850000</v>
      </c>
    </row>
    <row r="225" spans="1:19">
      <c r="A225" t="s">
        <v>60</v>
      </c>
      <c r="B225" t="s">
        <v>393</v>
      </c>
      <c r="C225" t="s">
        <v>433</v>
      </c>
      <c r="D225" t="s">
        <v>414</v>
      </c>
      <c r="G225">
        <f t="shared" si="80"/>
        <v>30000000</v>
      </c>
      <c r="H225">
        <v>2100000</v>
      </c>
      <c r="I225">
        <v>1950000</v>
      </c>
      <c r="J225">
        <v>2340000</v>
      </c>
      <c r="K225">
        <v>2400000</v>
      </c>
      <c r="L225">
        <v>2460000</v>
      </c>
      <c r="M225">
        <v>2550000</v>
      </c>
      <c r="N225">
        <v>2640000</v>
      </c>
      <c r="O225">
        <v>2610000</v>
      </c>
      <c r="P225">
        <v>2550000</v>
      </c>
      <c r="Q225">
        <v>2790000</v>
      </c>
      <c r="R225">
        <v>2760000</v>
      </c>
      <c r="S225">
        <v>2850000</v>
      </c>
    </row>
    <row r="226" spans="1:19">
      <c r="A226" t="s">
        <v>60</v>
      </c>
      <c r="B226" t="s">
        <v>393</v>
      </c>
      <c r="C226" t="s">
        <v>434</v>
      </c>
      <c r="D226" t="s">
        <v>68</v>
      </c>
      <c r="G226">
        <f t="shared" si="80"/>
        <v>20000000</v>
      </c>
      <c r="H226">
        <v>1400000</v>
      </c>
      <c r="I226">
        <v>1300000</v>
      </c>
      <c r="J226">
        <v>1560000</v>
      </c>
      <c r="K226">
        <v>1600000</v>
      </c>
      <c r="L226">
        <v>1640000</v>
      </c>
      <c r="M226">
        <v>1700000</v>
      </c>
      <c r="N226">
        <v>1760000</v>
      </c>
      <c r="O226">
        <v>1740000</v>
      </c>
      <c r="P226">
        <v>1700000</v>
      </c>
      <c r="Q226">
        <v>1860000</v>
      </c>
      <c r="R226">
        <v>1840000</v>
      </c>
      <c r="S226">
        <v>1900000</v>
      </c>
    </row>
    <row r="227" spans="1:19">
      <c r="A227" t="s">
        <v>60</v>
      </c>
      <c r="B227" t="s">
        <v>393</v>
      </c>
      <c r="C227" t="s">
        <v>435</v>
      </c>
      <c r="D227" t="s">
        <v>70</v>
      </c>
      <c r="G227">
        <f t="shared" si="80"/>
        <v>20000000</v>
      </c>
      <c r="H227">
        <v>1400000</v>
      </c>
      <c r="I227">
        <v>1300000</v>
      </c>
      <c r="J227">
        <v>1560000</v>
      </c>
      <c r="K227">
        <v>1600000</v>
      </c>
      <c r="L227">
        <v>1640000</v>
      </c>
      <c r="M227">
        <v>1700000</v>
      </c>
      <c r="N227">
        <v>1760000</v>
      </c>
      <c r="O227">
        <v>1740000</v>
      </c>
      <c r="P227">
        <v>1700000</v>
      </c>
      <c r="Q227">
        <v>1860000</v>
      </c>
      <c r="R227">
        <v>1840000</v>
      </c>
      <c r="S227">
        <v>1900000</v>
      </c>
    </row>
    <row r="228" spans="1:19">
      <c r="A228" t="s">
        <v>26</v>
      </c>
      <c r="B228" t="s">
        <v>393</v>
      </c>
      <c r="C228" t="s">
        <v>436</v>
      </c>
      <c r="D228" t="s">
        <v>418</v>
      </c>
      <c r="G228">
        <f t="shared" si="80"/>
        <v>90000000</v>
      </c>
      <c r="H228">
        <v>6300000</v>
      </c>
      <c r="I228">
        <v>5850000</v>
      </c>
      <c r="J228">
        <v>7020000</v>
      </c>
      <c r="K228">
        <v>7200000</v>
      </c>
      <c r="L228">
        <v>7380000</v>
      </c>
      <c r="M228">
        <v>7650000</v>
      </c>
      <c r="N228">
        <v>7920000</v>
      </c>
      <c r="O228">
        <v>7830000</v>
      </c>
      <c r="P228">
        <v>7650000</v>
      </c>
      <c r="Q228">
        <v>8370000</v>
      </c>
      <c r="R228">
        <v>8280000</v>
      </c>
      <c r="S228">
        <v>8550000</v>
      </c>
    </row>
    <row r="229" spans="1:19">
      <c r="A229" t="s">
        <v>26</v>
      </c>
      <c r="B229" t="s">
        <v>393</v>
      </c>
      <c r="C229" t="s">
        <v>437</v>
      </c>
      <c r="D229" t="s">
        <v>420</v>
      </c>
      <c r="G229">
        <f t="shared" si="80"/>
        <v>90000000</v>
      </c>
      <c r="H229">
        <v>6300000</v>
      </c>
      <c r="I229">
        <v>5850000</v>
      </c>
      <c r="J229">
        <v>7020000</v>
      </c>
      <c r="K229">
        <v>7200000</v>
      </c>
      <c r="L229">
        <v>7380000</v>
      </c>
      <c r="M229">
        <v>7650000</v>
      </c>
      <c r="N229">
        <v>7920000</v>
      </c>
      <c r="O229">
        <v>7830000</v>
      </c>
      <c r="P229">
        <v>7650000</v>
      </c>
      <c r="Q229">
        <v>8370000</v>
      </c>
      <c r="R229">
        <v>8280000</v>
      </c>
      <c r="S229">
        <v>8550000</v>
      </c>
    </row>
    <row r="230" spans="1:19">
      <c r="A230" t="s">
        <v>19</v>
      </c>
      <c r="B230" t="s">
        <v>438</v>
      </c>
      <c r="C230" t="s">
        <v>439</v>
      </c>
      <c r="D230" t="s">
        <v>440</v>
      </c>
      <c r="G230">
        <f t="shared" si="80"/>
        <v>932593158</v>
      </c>
      <c r="H230">
        <f t="shared" ref="H230:S230" si="92">H231</f>
        <v>66347988</v>
      </c>
      <c r="I230">
        <f t="shared" si="92"/>
        <v>63093618</v>
      </c>
      <c r="J230">
        <f t="shared" si="92"/>
        <v>73651452</v>
      </c>
      <c r="K230">
        <f t="shared" si="92"/>
        <v>75299049</v>
      </c>
      <c r="L230">
        <f t="shared" si="92"/>
        <v>77165151</v>
      </c>
      <c r="M230">
        <f t="shared" si="92"/>
        <v>79745799</v>
      </c>
      <c r="N230">
        <f t="shared" si="92"/>
        <v>82107984</v>
      </c>
      <c r="O230">
        <f t="shared" si="92"/>
        <v>80956470</v>
      </c>
      <c r="P230">
        <f t="shared" si="92"/>
        <v>79090368</v>
      </c>
      <c r="Q230">
        <f t="shared" si="92"/>
        <v>84588441</v>
      </c>
      <c r="R230">
        <f t="shared" si="92"/>
        <v>83655369</v>
      </c>
      <c r="S230">
        <f t="shared" si="92"/>
        <v>86891469</v>
      </c>
    </row>
    <row r="231" spans="1:19">
      <c r="A231" t="s">
        <v>23</v>
      </c>
      <c r="B231" t="s">
        <v>438</v>
      </c>
      <c r="C231" t="s">
        <v>441</v>
      </c>
      <c r="D231" t="s">
        <v>442</v>
      </c>
      <c r="G231">
        <f t="shared" si="80"/>
        <v>932593158</v>
      </c>
      <c r="H231">
        <f t="shared" ref="H231:S231" si="93">H232+H237+H252</f>
        <v>66347988</v>
      </c>
      <c r="I231">
        <f t="shared" si="93"/>
        <v>63093618</v>
      </c>
      <c r="J231">
        <f t="shared" si="93"/>
        <v>73651452</v>
      </c>
      <c r="K231">
        <f t="shared" si="93"/>
        <v>75299049</v>
      </c>
      <c r="L231">
        <f t="shared" si="93"/>
        <v>77165151</v>
      </c>
      <c r="M231">
        <f t="shared" si="93"/>
        <v>79745799</v>
      </c>
      <c r="N231">
        <f t="shared" si="93"/>
        <v>82107984</v>
      </c>
      <c r="O231">
        <f t="shared" si="93"/>
        <v>80956470</v>
      </c>
      <c r="P231">
        <f t="shared" si="93"/>
        <v>79090368</v>
      </c>
      <c r="Q231">
        <f t="shared" si="93"/>
        <v>84588441</v>
      </c>
      <c r="R231">
        <f t="shared" si="93"/>
        <v>83655369</v>
      </c>
      <c r="S231">
        <f t="shared" si="93"/>
        <v>86891469</v>
      </c>
    </row>
    <row r="232" spans="1:19">
      <c r="A232" t="s">
        <v>26</v>
      </c>
      <c r="B232" t="s">
        <v>438</v>
      </c>
      <c r="C232" t="s">
        <v>443</v>
      </c>
      <c r="D232" t="s">
        <v>444</v>
      </c>
      <c r="G232">
        <f t="shared" si="80"/>
        <v>177636792</v>
      </c>
      <c r="H232">
        <f t="shared" ref="H232:S232" si="94">H233+H234+H235+H236</f>
        <v>12637712</v>
      </c>
      <c r="I232">
        <f t="shared" si="94"/>
        <v>12017832</v>
      </c>
      <c r="J232">
        <f t="shared" si="94"/>
        <v>14028848</v>
      </c>
      <c r="K232">
        <f t="shared" si="94"/>
        <v>14342676</v>
      </c>
      <c r="L232">
        <f t="shared" si="94"/>
        <v>14698124</v>
      </c>
      <c r="M232">
        <f t="shared" si="94"/>
        <v>15189676</v>
      </c>
      <c r="N232">
        <f t="shared" si="94"/>
        <v>15639616</v>
      </c>
      <c r="O232">
        <f t="shared" si="94"/>
        <v>15420280</v>
      </c>
      <c r="P232">
        <f t="shared" si="94"/>
        <v>15064832</v>
      </c>
      <c r="Q232">
        <f t="shared" si="94"/>
        <v>16112084</v>
      </c>
      <c r="R232">
        <f t="shared" si="94"/>
        <v>15934356</v>
      </c>
      <c r="S232">
        <f t="shared" si="94"/>
        <v>16550756</v>
      </c>
    </row>
    <row r="233" spans="1:19">
      <c r="A233" t="s">
        <v>60</v>
      </c>
      <c r="B233" t="s">
        <v>438</v>
      </c>
      <c r="C233" t="s">
        <v>445</v>
      </c>
      <c r="D233" t="s">
        <v>446</v>
      </c>
      <c r="G233">
        <f t="shared" si="80"/>
        <v>44409198</v>
      </c>
      <c r="H233">
        <v>3159428</v>
      </c>
      <c r="I233">
        <v>3004458</v>
      </c>
      <c r="J233">
        <v>3507212</v>
      </c>
      <c r="K233">
        <v>3585669</v>
      </c>
      <c r="L233">
        <v>3674531</v>
      </c>
      <c r="M233">
        <v>3797419</v>
      </c>
      <c r="N233">
        <v>3909904</v>
      </c>
      <c r="O233">
        <v>3855070</v>
      </c>
      <c r="P233">
        <v>3766208</v>
      </c>
      <c r="Q233">
        <v>4028021</v>
      </c>
      <c r="R233">
        <v>3983589</v>
      </c>
      <c r="S233">
        <v>4137689</v>
      </c>
    </row>
    <row r="234" spans="1:19">
      <c r="A234" t="s">
        <v>60</v>
      </c>
      <c r="B234" t="s">
        <v>438</v>
      </c>
      <c r="C234" t="s">
        <v>447</v>
      </c>
      <c r="D234" t="s">
        <v>448</v>
      </c>
      <c r="G234">
        <f t="shared" si="80"/>
        <v>44409198</v>
      </c>
      <c r="H234">
        <v>3159428</v>
      </c>
      <c r="I234">
        <v>3004458</v>
      </c>
      <c r="J234">
        <v>3507212</v>
      </c>
      <c r="K234">
        <v>3585669</v>
      </c>
      <c r="L234">
        <v>3674531</v>
      </c>
      <c r="M234">
        <v>3797419</v>
      </c>
      <c r="N234">
        <v>3909904</v>
      </c>
      <c r="O234">
        <v>3855070</v>
      </c>
      <c r="P234">
        <v>3766208</v>
      </c>
      <c r="Q234">
        <v>4028021</v>
      </c>
      <c r="R234">
        <v>3983589</v>
      </c>
      <c r="S234">
        <v>4137689</v>
      </c>
    </row>
    <row r="235" spans="1:19">
      <c r="A235" t="s">
        <v>60</v>
      </c>
      <c r="B235" t="s">
        <v>438</v>
      </c>
      <c r="C235" t="s">
        <v>449</v>
      </c>
      <c r="D235" t="s">
        <v>450</v>
      </c>
      <c r="G235">
        <f t="shared" si="80"/>
        <v>44409198</v>
      </c>
      <c r="H235">
        <v>3159428</v>
      </c>
      <c r="I235">
        <v>3004458</v>
      </c>
      <c r="J235">
        <v>3507212</v>
      </c>
      <c r="K235">
        <v>3585669</v>
      </c>
      <c r="L235">
        <v>3674531</v>
      </c>
      <c r="M235">
        <v>3797419</v>
      </c>
      <c r="N235">
        <v>3909904</v>
      </c>
      <c r="O235">
        <v>3855070</v>
      </c>
      <c r="P235">
        <v>3766208</v>
      </c>
      <c r="Q235">
        <v>4028021</v>
      </c>
      <c r="R235">
        <v>3983589</v>
      </c>
      <c r="S235">
        <v>4137689</v>
      </c>
    </row>
    <row r="236" spans="1:19">
      <c r="A236" t="s">
        <v>60</v>
      </c>
      <c r="B236" t="s">
        <v>438</v>
      </c>
      <c r="C236" t="s">
        <v>451</v>
      </c>
      <c r="D236" t="s">
        <v>452</v>
      </c>
      <c r="G236">
        <f t="shared" si="80"/>
        <v>44409198</v>
      </c>
      <c r="H236">
        <v>3159428</v>
      </c>
      <c r="I236">
        <v>3004458</v>
      </c>
      <c r="J236">
        <v>3507212</v>
      </c>
      <c r="K236">
        <v>3585669</v>
      </c>
      <c r="L236">
        <v>3674531</v>
      </c>
      <c r="M236">
        <v>3797419</v>
      </c>
      <c r="N236">
        <v>3909904</v>
      </c>
      <c r="O236">
        <v>3855070</v>
      </c>
      <c r="P236">
        <v>3766208</v>
      </c>
      <c r="Q236">
        <v>4028021</v>
      </c>
      <c r="R236">
        <v>3983589</v>
      </c>
      <c r="S236">
        <v>4137689</v>
      </c>
    </row>
    <row r="237" spans="1:19">
      <c r="A237" t="s">
        <v>26</v>
      </c>
      <c r="B237" t="s">
        <v>438</v>
      </c>
      <c r="C237" t="s">
        <v>453</v>
      </c>
      <c r="D237" t="s">
        <v>454</v>
      </c>
      <c r="G237">
        <f t="shared" si="80"/>
        <v>621728772</v>
      </c>
      <c r="H237">
        <f t="shared" ref="H237:S237" si="95">H238+H239+H240+H241+H242+H243+H244+H245+H246+H247+H248+H249+H250+H251</f>
        <v>44231992</v>
      </c>
      <c r="I237">
        <f t="shared" si="95"/>
        <v>42062412</v>
      </c>
      <c r="J237">
        <f t="shared" si="95"/>
        <v>49100968</v>
      </c>
      <c r="K237">
        <f t="shared" si="95"/>
        <v>50199366</v>
      </c>
      <c r="L237">
        <f t="shared" si="95"/>
        <v>51443434</v>
      </c>
      <c r="M237">
        <f t="shared" si="95"/>
        <v>53163866</v>
      </c>
      <c r="N237">
        <f t="shared" si="95"/>
        <v>54738656</v>
      </c>
      <c r="O237">
        <f t="shared" si="95"/>
        <v>53970980</v>
      </c>
      <c r="P237">
        <f t="shared" si="95"/>
        <v>52726912</v>
      </c>
      <c r="Q237">
        <f t="shared" si="95"/>
        <v>56392294</v>
      </c>
      <c r="R237">
        <f t="shared" si="95"/>
        <v>55770246</v>
      </c>
      <c r="S237">
        <f t="shared" si="95"/>
        <v>57927646</v>
      </c>
    </row>
    <row r="238" spans="1:19">
      <c r="A238" t="s">
        <v>60</v>
      </c>
      <c r="B238" t="s">
        <v>438</v>
      </c>
      <c r="C238" t="s">
        <v>455</v>
      </c>
      <c r="D238" t="s">
        <v>456</v>
      </c>
      <c r="G238">
        <f t="shared" si="80"/>
        <v>44409198</v>
      </c>
      <c r="H238">
        <v>3159428</v>
      </c>
      <c r="I238">
        <v>3004458</v>
      </c>
      <c r="J238">
        <v>3507212</v>
      </c>
      <c r="K238">
        <v>3585669</v>
      </c>
      <c r="L238">
        <v>3674531</v>
      </c>
      <c r="M238">
        <v>3797419</v>
      </c>
      <c r="N238">
        <v>3909904</v>
      </c>
      <c r="O238">
        <v>3855070</v>
      </c>
      <c r="P238">
        <v>3766208</v>
      </c>
      <c r="Q238">
        <v>4028021</v>
      </c>
      <c r="R238">
        <v>3983589</v>
      </c>
      <c r="S238">
        <v>4137689</v>
      </c>
    </row>
    <row r="239" spans="1:19">
      <c r="A239" t="s">
        <v>60</v>
      </c>
      <c r="B239" t="s">
        <v>438</v>
      </c>
      <c r="C239" t="s">
        <v>457</v>
      </c>
      <c r="D239" t="s">
        <v>458</v>
      </c>
      <c r="G239">
        <f t="shared" si="80"/>
        <v>44409198</v>
      </c>
      <c r="H239">
        <v>3159428</v>
      </c>
      <c r="I239">
        <v>3004458</v>
      </c>
      <c r="J239">
        <v>3507212</v>
      </c>
      <c r="K239">
        <v>3585669</v>
      </c>
      <c r="L239">
        <v>3674531</v>
      </c>
      <c r="M239">
        <v>3797419</v>
      </c>
      <c r="N239">
        <v>3909904</v>
      </c>
      <c r="O239">
        <v>3855070</v>
      </c>
      <c r="P239">
        <v>3766208</v>
      </c>
      <c r="Q239">
        <v>4028021</v>
      </c>
      <c r="R239">
        <v>3983589</v>
      </c>
      <c r="S239">
        <v>4137689</v>
      </c>
    </row>
    <row r="240" spans="1:19">
      <c r="A240" t="s">
        <v>60</v>
      </c>
      <c r="B240" t="s">
        <v>438</v>
      </c>
      <c r="C240" t="s">
        <v>459</v>
      </c>
      <c r="D240" t="s">
        <v>460</v>
      </c>
      <c r="G240">
        <f t="shared" si="80"/>
        <v>44409198</v>
      </c>
      <c r="H240">
        <v>3159428</v>
      </c>
      <c r="I240">
        <v>3004458</v>
      </c>
      <c r="J240">
        <v>3507212</v>
      </c>
      <c r="K240">
        <v>3585669</v>
      </c>
      <c r="L240">
        <v>3674531</v>
      </c>
      <c r="M240">
        <v>3797419</v>
      </c>
      <c r="N240">
        <v>3909904</v>
      </c>
      <c r="O240">
        <v>3855070</v>
      </c>
      <c r="P240">
        <v>3766208</v>
      </c>
      <c r="Q240">
        <v>4028021</v>
      </c>
      <c r="R240">
        <v>3983589</v>
      </c>
      <c r="S240">
        <v>4137689</v>
      </c>
    </row>
    <row r="241" spans="1:19">
      <c r="A241" t="s">
        <v>60</v>
      </c>
      <c r="B241" t="s">
        <v>438</v>
      </c>
      <c r="C241" t="s">
        <v>461</v>
      </c>
      <c r="D241" t="s">
        <v>462</v>
      </c>
      <c r="G241">
        <f t="shared" si="80"/>
        <v>44409198</v>
      </c>
      <c r="H241">
        <v>3159428</v>
      </c>
      <c r="I241">
        <v>3004458</v>
      </c>
      <c r="J241">
        <v>3507212</v>
      </c>
      <c r="K241">
        <v>3585669</v>
      </c>
      <c r="L241">
        <v>3674531</v>
      </c>
      <c r="M241">
        <v>3797419</v>
      </c>
      <c r="N241">
        <v>3909904</v>
      </c>
      <c r="O241">
        <v>3855070</v>
      </c>
      <c r="P241">
        <v>3766208</v>
      </c>
      <c r="Q241">
        <v>4028021</v>
      </c>
      <c r="R241">
        <v>3983589</v>
      </c>
      <c r="S241">
        <v>4137689</v>
      </c>
    </row>
    <row r="242" spans="1:19">
      <c r="A242" t="s">
        <v>60</v>
      </c>
      <c r="B242" t="s">
        <v>438</v>
      </c>
      <c r="C242" t="s">
        <v>463</v>
      </c>
      <c r="D242" t="s">
        <v>464</v>
      </c>
      <c r="G242">
        <f t="shared" si="80"/>
        <v>44409198</v>
      </c>
      <c r="H242">
        <v>3159428</v>
      </c>
      <c r="I242">
        <v>3004458</v>
      </c>
      <c r="J242">
        <v>3507212</v>
      </c>
      <c r="K242">
        <v>3585669</v>
      </c>
      <c r="L242">
        <v>3674531</v>
      </c>
      <c r="M242">
        <v>3797419</v>
      </c>
      <c r="N242">
        <v>3909904</v>
      </c>
      <c r="O242">
        <v>3855070</v>
      </c>
      <c r="P242">
        <v>3766208</v>
      </c>
      <c r="Q242">
        <v>4028021</v>
      </c>
      <c r="R242">
        <v>3983589</v>
      </c>
      <c r="S242">
        <v>4137689</v>
      </c>
    </row>
    <row r="243" spans="1:19">
      <c r="A243" t="s">
        <v>60</v>
      </c>
      <c r="B243" t="s">
        <v>438</v>
      </c>
      <c r="C243" t="s">
        <v>465</v>
      </c>
      <c r="D243" t="s">
        <v>466</v>
      </c>
      <c r="G243">
        <f t="shared" si="80"/>
        <v>44409198</v>
      </c>
      <c r="H243">
        <v>3159428</v>
      </c>
      <c r="I243">
        <v>3004458</v>
      </c>
      <c r="J243">
        <v>3507212</v>
      </c>
      <c r="K243">
        <v>3585669</v>
      </c>
      <c r="L243">
        <v>3674531</v>
      </c>
      <c r="M243">
        <v>3797419</v>
      </c>
      <c r="N243">
        <v>3909904</v>
      </c>
      <c r="O243">
        <v>3855070</v>
      </c>
      <c r="P243">
        <v>3766208</v>
      </c>
      <c r="Q243">
        <v>4028021</v>
      </c>
      <c r="R243">
        <v>3983589</v>
      </c>
      <c r="S243">
        <v>4137689</v>
      </c>
    </row>
    <row r="244" spans="1:19">
      <c r="A244" t="s">
        <v>60</v>
      </c>
      <c r="B244" t="s">
        <v>438</v>
      </c>
      <c r="C244" t="s">
        <v>467</v>
      </c>
      <c r="D244" t="s">
        <v>468</v>
      </c>
      <c r="G244">
        <f t="shared" si="80"/>
        <v>44409198</v>
      </c>
      <c r="H244">
        <v>3159428</v>
      </c>
      <c r="I244">
        <v>3004458</v>
      </c>
      <c r="J244">
        <v>3507212</v>
      </c>
      <c r="K244">
        <v>3585669</v>
      </c>
      <c r="L244">
        <v>3674531</v>
      </c>
      <c r="M244">
        <v>3797419</v>
      </c>
      <c r="N244">
        <v>3909904</v>
      </c>
      <c r="O244">
        <v>3855070</v>
      </c>
      <c r="P244">
        <v>3766208</v>
      </c>
      <c r="Q244">
        <v>4028021</v>
      </c>
      <c r="R244">
        <v>3983589</v>
      </c>
      <c r="S244">
        <v>4137689</v>
      </c>
    </row>
    <row r="245" spans="1:19">
      <c r="A245" t="s">
        <v>60</v>
      </c>
      <c r="B245" t="s">
        <v>438</v>
      </c>
      <c r="C245" t="s">
        <v>469</v>
      </c>
      <c r="D245" t="s">
        <v>470</v>
      </c>
      <c r="G245">
        <f t="shared" si="80"/>
        <v>44409198</v>
      </c>
      <c r="H245">
        <v>3159428</v>
      </c>
      <c r="I245">
        <v>3004458</v>
      </c>
      <c r="J245">
        <v>3507212</v>
      </c>
      <c r="K245">
        <v>3585669</v>
      </c>
      <c r="L245">
        <v>3674531</v>
      </c>
      <c r="M245">
        <v>3797419</v>
      </c>
      <c r="N245">
        <v>3909904</v>
      </c>
      <c r="O245">
        <v>3855070</v>
      </c>
      <c r="P245">
        <v>3766208</v>
      </c>
      <c r="Q245">
        <v>4028021</v>
      </c>
      <c r="R245">
        <v>3983589</v>
      </c>
      <c r="S245">
        <v>4137689</v>
      </c>
    </row>
    <row r="246" spans="1:19">
      <c r="A246" t="s">
        <v>60</v>
      </c>
      <c r="B246" t="s">
        <v>438</v>
      </c>
      <c r="C246" t="s">
        <v>471</v>
      </c>
      <c r="D246" t="s">
        <v>472</v>
      </c>
      <c r="G246">
        <f t="shared" si="80"/>
        <v>44409198</v>
      </c>
      <c r="H246">
        <v>3159428</v>
      </c>
      <c r="I246">
        <v>3004458</v>
      </c>
      <c r="J246">
        <v>3507212</v>
      </c>
      <c r="K246">
        <v>3585669</v>
      </c>
      <c r="L246">
        <v>3674531</v>
      </c>
      <c r="M246">
        <v>3797419</v>
      </c>
      <c r="N246">
        <v>3909904</v>
      </c>
      <c r="O246">
        <v>3855070</v>
      </c>
      <c r="P246">
        <v>3766208</v>
      </c>
      <c r="Q246">
        <v>4028021</v>
      </c>
      <c r="R246">
        <v>3983589</v>
      </c>
      <c r="S246">
        <v>4137689</v>
      </c>
    </row>
    <row r="247" spans="1:19">
      <c r="A247" t="s">
        <v>60</v>
      </c>
      <c r="B247" t="s">
        <v>438</v>
      </c>
      <c r="C247" t="s">
        <v>473</v>
      </c>
      <c r="D247" t="s">
        <v>474</v>
      </c>
      <c r="G247">
        <f t="shared" si="80"/>
        <v>44409198</v>
      </c>
      <c r="H247">
        <v>3159428</v>
      </c>
      <c r="I247">
        <v>3004458</v>
      </c>
      <c r="J247">
        <v>3507212</v>
      </c>
      <c r="K247">
        <v>3585669</v>
      </c>
      <c r="L247">
        <v>3674531</v>
      </c>
      <c r="M247">
        <v>3797419</v>
      </c>
      <c r="N247">
        <v>3909904</v>
      </c>
      <c r="O247">
        <v>3855070</v>
      </c>
      <c r="P247">
        <v>3766208</v>
      </c>
      <c r="Q247">
        <v>4028021</v>
      </c>
      <c r="R247">
        <v>3983589</v>
      </c>
      <c r="S247">
        <v>4137689</v>
      </c>
    </row>
    <row r="248" spans="1:19">
      <c r="A248" t="s">
        <v>60</v>
      </c>
      <c r="B248" t="s">
        <v>438</v>
      </c>
      <c r="C248" t="s">
        <v>475</v>
      </c>
      <c r="D248" t="s">
        <v>476</v>
      </c>
      <c r="G248">
        <f t="shared" si="80"/>
        <v>44409198</v>
      </c>
      <c r="H248">
        <v>3159428</v>
      </c>
      <c r="I248">
        <v>3004458</v>
      </c>
      <c r="J248">
        <v>3507212</v>
      </c>
      <c r="K248">
        <v>3585669</v>
      </c>
      <c r="L248">
        <v>3674531</v>
      </c>
      <c r="M248">
        <v>3797419</v>
      </c>
      <c r="N248">
        <v>3909904</v>
      </c>
      <c r="O248">
        <v>3855070</v>
      </c>
      <c r="P248">
        <v>3766208</v>
      </c>
      <c r="Q248">
        <v>4028021</v>
      </c>
      <c r="R248">
        <v>3983589</v>
      </c>
      <c r="S248">
        <v>4137689</v>
      </c>
    </row>
    <row r="249" spans="1:19">
      <c r="A249" t="s">
        <v>60</v>
      </c>
      <c r="B249" t="s">
        <v>438</v>
      </c>
      <c r="C249" t="s">
        <v>477</v>
      </c>
      <c r="D249" t="s">
        <v>478</v>
      </c>
      <c r="G249">
        <f t="shared" si="80"/>
        <v>44409198</v>
      </c>
      <c r="H249">
        <v>3159428</v>
      </c>
      <c r="I249">
        <v>3004458</v>
      </c>
      <c r="J249">
        <v>3507212</v>
      </c>
      <c r="K249">
        <v>3585669</v>
      </c>
      <c r="L249">
        <v>3674531</v>
      </c>
      <c r="M249">
        <v>3797419</v>
      </c>
      <c r="N249">
        <v>3909904</v>
      </c>
      <c r="O249">
        <v>3855070</v>
      </c>
      <c r="P249">
        <v>3766208</v>
      </c>
      <c r="Q249">
        <v>4028021</v>
      </c>
      <c r="R249">
        <v>3983589</v>
      </c>
      <c r="S249">
        <v>4137689</v>
      </c>
    </row>
    <row r="250" spans="1:19">
      <c r="A250" t="s">
        <v>60</v>
      </c>
      <c r="B250" t="s">
        <v>438</v>
      </c>
      <c r="C250" t="s">
        <v>479</v>
      </c>
      <c r="D250" t="s">
        <v>480</v>
      </c>
      <c r="G250">
        <f t="shared" si="80"/>
        <v>44409198</v>
      </c>
      <c r="H250">
        <v>3159428</v>
      </c>
      <c r="I250">
        <v>3004458</v>
      </c>
      <c r="J250">
        <v>3507212</v>
      </c>
      <c r="K250">
        <v>3585669</v>
      </c>
      <c r="L250">
        <v>3674531</v>
      </c>
      <c r="M250">
        <v>3797419</v>
      </c>
      <c r="N250">
        <v>3909904</v>
      </c>
      <c r="O250">
        <v>3855070</v>
      </c>
      <c r="P250">
        <v>3766208</v>
      </c>
      <c r="Q250">
        <v>4028021</v>
      </c>
      <c r="R250">
        <v>3983589</v>
      </c>
      <c r="S250">
        <v>4137689</v>
      </c>
    </row>
    <row r="251" spans="1:19">
      <c r="A251" t="s">
        <v>60</v>
      </c>
      <c r="B251" t="s">
        <v>438</v>
      </c>
      <c r="C251" t="s">
        <v>481</v>
      </c>
      <c r="D251" t="s">
        <v>482</v>
      </c>
      <c r="G251">
        <f t="shared" si="80"/>
        <v>44409198</v>
      </c>
      <c r="H251">
        <v>3159428</v>
      </c>
      <c r="I251">
        <v>3004458</v>
      </c>
      <c r="J251">
        <v>3507212</v>
      </c>
      <c r="K251">
        <v>3585669</v>
      </c>
      <c r="L251">
        <v>3674531</v>
      </c>
      <c r="M251">
        <v>3797419</v>
      </c>
      <c r="N251">
        <v>3909904</v>
      </c>
      <c r="O251">
        <v>3855070</v>
      </c>
      <c r="P251">
        <v>3766208</v>
      </c>
      <c r="Q251">
        <v>4028021</v>
      </c>
      <c r="R251">
        <v>3983589</v>
      </c>
      <c r="S251">
        <v>4137689</v>
      </c>
    </row>
    <row r="252" spans="1:19">
      <c r="A252" t="s">
        <v>26</v>
      </c>
      <c r="B252" t="s">
        <v>438</v>
      </c>
      <c r="C252" t="s">
        <v>483</v>
      </c>
      <c r="D252" t="s">
        <v>484</v>
      </c>
      <c r="G252">
        <f t="shared" si="80"/>
        <v>133227594</v>
      </c>
      <c r="H252">
        <f t="shared" ref="H252:S252" si="96">H253+H254+H255</f>
        <v>9478284</v>
      </c>
      <c r="I252">
        <f t="shared" si="96"/>
        <v>9013374</v>
      </c>
      <c r="J252">
        <f t="shared" si="96"/>
        <v>10521636</v>
      </c>
      <c r="K252">
        <f t="shared" si="96"/>
        <v>10757007</v>
      </c>
      <c r="L252">
        <f t="shared" si="96"/>
        <v>11023593</v>
      </c>
      <c r="M252">
        <f t="shared" si="96"/>
        <v>11392257</v>
      </c>
      <c r="N252">
        <f t="shared" si="96"/>
        <v>11729712</v>
      </c>
      <c r="O252">
        <f t="shared" si="96"/>
        <v>11565210</v>
      </c>
      <c r="P252">
        <f t="shared" si="96"/>
        <v>11298624</v>
      </c>
      <c r="Q252">
        <f t="shared" si="96"/>
        <v>12084063</v>
      </c>
      <c r="R252">
        <f t="shared" si="96"/>
        <v>11950767</v>
      </c>
      <c r="S252">
        <f t="shared" si="96"/>
        <v>12413067</v>
      </c>
    </row>
    <row r="253" spans="1:19">
      <c r="A253" t="s">
        <v>60</v>
      </c>
      <c r="B253" t="s">
        <v>438</v>
      </c>
      <c r="C253" t="s">
        <v>485</v>
      </c>
      <c r="D253" t="s">
        <v>486</v>
      </c>
      <c r="G253">
        <f t="shared" si="80"/>
        <v>44409198</v>
      </c>
      <c r="H253">
        <v>3159428</v>
      </c>
      <c r="I253">
        <v>3004458</v>
      </c>
      <c r="J253">
        <v>3507212</v>
      </c>
      <c r="K253">
        <v>3585669</v>
      </c>
      <c r="L253">
        <v>3674531</v>
      </c>
      <c r="M253">
        <v>3797419</v>
      </c>
      <c r="N253">
        <v>3909904</v>
      </c>
      <c r="O253">
        <v>3855070</v>
      </c>
      <c r="P253">
        <v>3766208</v>
      </c>
      <c r="Q253">
        <v>4028021</v>
      </c>
      <c r="R253">
        <v>3983589</v>
      </c>
      <c r="S253">
        <v>4137689</v>
      </c>
    </row>
    <row r="254" spans="1:19">
      <c r="A254" t="s">
        <v>60</v>
      </c>
      <c r="B254" t="s">
        <v>438</v>
      </c>
      <c r="C254" t="s">
        <v>487</v>
      </c>
      <c r="D254" t="s">
        <v>488</v>
      </c>
      <c r="G254">
        <f t="shared" si="80"/>
        <v>44409198</v>
      </c>
      <c r="H254">
        <v>3159428</v>
      </c>
      <c r="I254">
        <v>3004458</v>
      </c>
      <c r="J254">
        <v>3507212</v>
      </c>
      <c r="K254">
        <v>3585669</v>
      </c>
      <c r="L254">
        <v>3674531</v>
      </c>
      <c r="M254">
        <v>3797419</v>
      </c>
      <c r="N254">
        <v>3909904</v>
      </c>
      <c r="O254">
        <v>3855070</v>
      </c>
      <c r="P254">
        <v>3766208</v>
      </c>
      <c r="Q254">
        <v>4028021</v>
      </c>
      <c r="R254">
        <v>3983589</v>
      </c>
      <c r="S254">
        <v>4137689</v>
      </c>
    </row>
    <row r="255" spans="1:19">
      <c r="A255" t="s">
        <v>60</v>
      </c>
      <c r="B255" t="s">
        <v>438</v>
      </c>
      <c r="C255" t="s">
        <v>489</v>
      </c>
      <c r="D255" t="s">
        <v>490</v>
      </c>
      <c r="G255">
        <f t="shared" si="80"/>
        <v>44409198</v>
      </c>
      <c r="H255">
        <v>3159428</v>
      </c>
      <c r="I255">
        <v>3004458</v>
      </c>
      <c r="J255">
        <v>3507212</v>
      </c>
      <c r="K255">
        <v>3585669</v>
      </c>
      <c r="L255">
        <v>3674531</v>
      </c>
      <c r="M255">
        <v>3797419</v>
      </c>
      <c r="N255">
        <v>3909904</v>
      </c>
      <c r="O255">
        <v>3855070</v>
      </c>
      <c r="P255">
        <v>3766208</v>
      </c>
      <c r="Q255">
        <v>4028021</v>
      </c>
      <c r="R255">
        <v>3983589</v>
      </c>
      <c r="S255">
        <v>4137689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439</v>
      </c>
      <c r="D2" t="s">
        <v>440</v>
      </c>
      <c r="G2">
        <f t="shared" ref="G2:G27" si="0">H2+I2+J2+K2+L2+M2+N2+O2+P2+Q2+R2+S2</f>
        <v>638620000000</v>
      </c>
      <c r="H2">
        <f t="shared" ref="H2:S2" si="1">H3</f>
        <v>45803400000</v>
      </c>
      <c r="I2">
        <f t="shared" si="1"/>
        <v>44370300000</v>
      </c>
      <c r="J2">
        <f t="shared" si="1"/>
        <v>50692360000</v>
      </c>
      <c r="K2">
        <f t="shared" si="1"/>
        <v>51749600000</v>
      </c>
      <c r="L2">
        <f t="shared" si="1"/>
        <v>53026840000</v>
      </c>
      <c r="M2">
        <f t="shared" si="1"/>
        <v>54722700000</v>
      </c>
      <c r="N2">
        <f t="shared" si="1"/>
        <v>56198560000</v>
      </c>
      <c r="O2">
        <f t="shared" si="1"/>
        <v>55339940000</v>
      </c>
      <c r="P2">
        <f t="shared" si="1"/>
        <v>54062700000</v>
      </c>
      <c r="Q2">
        <f t="shared" si="1"/>
        <v>57191660000</v>
      </c>
      <c r="R2">
        <f t="shared" si="1"/>
        <v>56553040000</v>
      </c>
      <c r="S2">
        <f t="shared" si="1"/>
        <v>58908900000</v>
      </c>
    </row>
    <row r="3" spans="1:19">
      <c r="A3" t="s">
        <v>19</v>
      </c>
      <c r="B3" t="s">
        <v>179</v>
      </c>
      <c r="C3" t="s">
        <v>441</v>
      </c>
      <c r="D3" t="s">
        <v>442</v>
      </c>
      <c r="G3">
        <f t="shared" si="0"/>
        <v>638620000000</v>
      </c>
      <c r="H3">
        <f t="shared" ref="H3:S3" si="2">H4+H9+H24</f>
        <v>45803400000</v>
      </c>
      <c r="I3">
        <f t="shared" si="2"/>
        <v>44370300000</v>
      </c>
      <c r="J3">
        <f t="shared" si="2"/>
        <v>50692360000</v>
      </c>
      <c r="K3">
        <f t="shared" si="2"/>
        <v>51749600000</v>
      </c>
      <c r="L3">
        <f t="shared" si="2"/>
        <v>53026840000</v>
      </c>
      <c r="M3">
        <f t="shared" si="2"/>
        <v>54722700000</v>
      </c>
      <c r="N3">
        <f t="shared" si="2"/>
        <v>56198560000</v>
      </c>
      <c r="O3">
        <f t="shared" si="2"/>
        <v>55339940000</v>
      </c>
      <c r="P3">
        <f t="shared" si="2"/>
        <v>54062700000</v>
      </c>
      <c r="Q3">
        <f t="shared" si="2"/>
        <v>57191660000</v>
      </c>
      <c r="R3">
        <f t="shared" si="2"/>
        <v>56553040000</v>
      </c>
      <c r="S3">
        <f t="shared" si="2"/>
        <v>58908900000</v>
      </c>
    </row>
    <row r="4" spans="1:19">
      <c r="A4" t="s">
        <v>23</v>
      </c>
      <c r="B4" t="s">
        <v>179</v>
      </c>
      <c r="C4" t="s">
        <v>443</v>
      </c>
      <c r="D4" t="s">
        <v>444</v>
      </c>
      <c r="G4">
        <f t="shared" si="0"/>
        <v>720000000</v>
      </c>
      <c r="H4">
        <f t="shared" ref="H4:S4" si="3">H5+H6+H7+H8</f>
        <v>50400000</v>
      </c>
      <c r="I4">
        <f t="shared" si="3"/>
        <v>46800000</v>
      </c>
      <c r="J4">
        <f t="shared" si="3"/>
        <v>56160000</v>
      </c>
      <c r="K4">
        <f t="shared" si="3"/>
        <v>57600000</v>
      </c>
      <c r="L4">
        <f t="shared" si="3"/>
        <v>59040000</v>
      </c>
      <c r="M4">
        <f t="shared" si="3"/>
        <v>61200000</v>
      </c>
      <c r="N4">
        <f t="shared" si="3"/>
        <v>63360000</v>
      </c>
      <c r="O4">
        <f t="shared" si="3"/>
        <v>62640000</v>
      </c>
      <c r="P4">
        <f t="shared" si="3"/>
        <v>61200000</v>
      </c>
      <c r="Q4">
        <f t="shared" si="3"/>
        <v>66960000</v>
      </c>
      <c r="R4">
        <f t="shared" si="3"/>
        <v>66240000</v>
      </c>
      <c r="S4">
        <f t="shared" si="3"/>
        <v>68400000</v>
      </c>
    </row>
    <row r="5" spans="1:19">
      <c r="A5" t="s">
        <v>26</v>
      </c>
      <c r="B5" t="s">
        <v>179</v>
      </c>
      <c r="C5" t="s">
        <v>445</v>
      </c>
      <c r="D5" t="s">
        <v>446</v>
      </c>
      <c r="G5">
        <f t="shared" si="0"/>
        <v>300000000</v>
      </c>
      <c r="H5">
        <v>21000000</v>
      </c>
      <c r="I5">
        <v>19500000</v>
      </c>
      <c r="J5">
        <v>23400000</v>
      </c>
      <c r="K5">
        <v>24000000</v>
      </c>
      <c r="L5">
        <v>24600000</v>
      </c>
      <c r="M5">
        <v>25500000</v>
      </c>
      <c r="N5">
        <v>26400000</v>
      </c>
      <c r="O5">
        <v>26100000</v>
      </c>
      <c r="P5">
        <v>25500000</v>
      </c>
      <c r="Q5">
        <v>27900000</v>
      </c>
      <c r="R5">
        <v>27600000</v>
      </c>
      <c r="S5">
        <v>28500000</v>
      </c>
    </row>
    <row r="6" spans="1:19">
      <c r="A6" t="s">
        <v>26</v>
      </c>
      <c r="B6" t="s">
        <v>179</v>
      </c>
      <c r="C6" t="s">
        <v>447</v>
      </c>
      <c r="D6" t="s">
        <v>448</v>
      </c>
      <c r="G6">
        <f t="shared" si="0"/>
        <v>200000000</v>
      </c>
      <c r="H6">
        <v>14000000</v>
      </c>
      <c r="I6">
        <v>13000000</v>
      </c>
      <c r="J6">
        <v>15600000</v>
      </c>
      <c r="K6">
        <v>16000000</v>
      </c>
      <c r="L6">
        <v>16400000</v>
      </c>
      <c r="M6">
        <v>17000000</v>
      </c>
      <c r="N6">
        <v>17600000</v>
      </c>
      <c r="O6">
        <v>17400000</v>
      </c>
      <c r="P6">
        <v>17000000</v>
      </c>
      <c r="Q6">
        <v>18600000</v>
      </c>
      <c r="R6">
        <v>18400000</v>
      </c>
      <c r="S6">
        <v>19000000</v>
      </c>
    </row>
    <row r="7" spans="1:19">
      <c r="A7" t="s">
        <v>26</v>
      </c>
      <c r="B7" t="s">
        <v>179</v>
      </c>
      <c r="C7" t="s">
        <v>449</v>
      </c>
      <c r="D7" t="s">
        <v>450</v>
      </c>
      <c r="G7">
        <f t="shared" si="0"/>
        <v>120000000</v>
      </c>
      <c r="H7">
        <v>8400000</v>
      </c>
      <c r="I7">
        <v>7800000</v>
      </c>
      <c r="J7">
        <v>9360000</v>
      </c>
      <c r="K7">
        <v>9600000</v>
      </c>
      <c r="L7">
        <v>9840000</v>
      </c>
      <c r="M7">
        <v>10200000</v>
      </c>
      <c r="N7">
        <v>10560000</v>
      </c>
      <c r="O7">
        <v>10440000</v>
      </c>
      <c r="P7">
        <v>10200000</v>
      </c>
      <c r="Q7">
        <v>11160000</v>
      </c>
      <c r="R7">
        <v>11040000</v>
      </c>
      <c r="S7">
        <v>11400000</v>
      </c>
    </row>
    <row r="8" spans="1:19">
      <c r="A8" t="s">
        <v>26</v>
      </c>
      <c r="B8" t="s">
        <v>179</v>
      </c>
      <c r="C8" t="s">
        <v>451</v>
      </c>
      <c r="D8" t="s">
        <v>452</v>
      </c>
      <c r="G8">
        <f t="shared" si="0"/>
        <v>100000000</v>
      </c>
      <c r="H8">
        <v>7000000</v>
      </c>
      <c r="I8">
        <v>6500000</v>
      </c>
      <c r="J8">
        <v>7800000</v>
      </c>
      <c r="K8">
        <v>8000000</v>
      </c>
      <c r="L8">
        <v>8200000</v>
      </c>
      <c r="M8">
        <v>8500000</v>
      </c>
      <c r="N8">
        <v>8800000</v>
      </c>
      <c r="O8">
        <v>8700000</v>
      </c>
      <c r="P8">
        <v>8500000</v>
      </c>
      <c r="Q8">
        <v>9300000</v>
      </c>
      <c r="R8">
        <v>9200000</v>
      </c>
      <c r="S8">
        <v>9500000</v>
      </c>
    </row>
    <row r="9" spans="1:19">
      <c r="A9" t="s">
        <v>23</v>
      </c>
      <c r="B9" t="s">
        <v>179</v>
      </c>
      <c r="C9" t="s">
        <v>453</v>
      </c>
      <c r="D9" t="s">
        <v>454</v>
      </c>
      <c r="G9">
        <f t="shared" si="0"/>
        <v>637000000000</v>
      </c>
      <c r="H9">
        <f t="shared" ref="H9:S9" si="4">H10+H11+H12+H13+H14+H15+H16+H17+H18+H19+H20+H21+H22+H23</f>
        <v>45690000000</v>
      </c>
      <c r="I9">
        <f t="shared" si="4"/>
        <v>44265000000</v>
      </c>
      <c r="J9">
        <f t="shared" si="4"/>
        <v>50566000000</v>
      </c>
      <c r="K9">
        <f t="shared" si="4"/>
        <v>51620000000</v>
      </c>
      <c r="L9">
        <f t="shared" si="4"/>
        <v>52894000000</v>
      </c>
      <c r="M9">
        <f t="shared" si="4"/>
        <v>54585000000</v>
      </c>
      <c r="N9">
        <f t="shared" si="4"/>
        <v>56056000000</v>
      </c>
      <c r="O9">
        <f t="shared" si="4"/>
        <v>55199000000</v>
      </c>
      <c r="P9">
        <f t="shared" si="4"/>
        <v>53925000000</v>
      </c>
      <c r="Q9">
        <f t="shared" si="4"/>
        <v>57041000000</v>
      </c>
      <c r="R9">
        <f t="shared" si="4"/>
        <v>56404000000</v>
      </c>
      <c r="S9">
        <f t="shared" si="4"/>
        <v>58755000000</v>
      </c>
    </row>
    <row r="10" spans="1:19">
      <c r="A10" t="s">
        <v>26</v>
      </c>
      <c r="B10" t="s">
        <v>179</v>
      </c>
      <c r="C10" t="s">
        <v>455</v>
      </c>
      <c r="D10" t="s">
        <v>456</v>
      </c>
      <c r="G10">
        <f t="shared" si="0"/>
        <v>80000000000</v>
      </c>
      <c r="H10">
        <v>6000000000</v>
      </c>
      <c r="I10">
        <v>6240000000</v>
      </c>
      <c r="J10">
        <v>6560000000</v>
      </c>
      <c r="K10">
        <v>6640000000</v>
      </c>
      <c r="L10">
        <v>6800000000</v>
      </c>
      <c r="M10">
        <v>6960000000</v>
      </c>
      <c r="N10">
        <v>7040000000</v>
      </c>
      <c r="O10">
        <v>6880000000</v>
      </c>
      <c r="P10">
        <v>6720000000</v>
      </c>
      <c r="Q10">
        <v>6640000000</v>
      </c>
      <c r="R10">
        <v>6560000000</v>
      </c>
      <c r="S10">
        <v>6960000000</v>
      </c>
    </row>
    <row r="11" spans="1:19">
      <c r="A11" t="s">
        <v>26</v>
      </c>
      <c r="B11" t="s">
        <v>179</v>
      </c>
      <c r="C11" t="s">
        <v>457</v>
      </c>
      <c r="D11" t="s">
        <v>458</v>
      </c>
      <c r="G11">
        <f t="shared" si="0"/>
        <v>30000000000</v>
      </c>
      <c r="H11">
        <v>2100000000</v>
      </c>
      <c r="I11">
        <v>1950000000</v>
      </c>
      <c r="J11">
        <v>2340000000</v>
      </c>
      <c r="K11">
        <v>2400000000</v>
      </c>
      <c r="L11">
        <v>2460000000</v>
      </c>
      <c r="M11">
        <v>2550000000</v>
      </c>
      <c r="N11">
        <v>2640000000</v>
      </c>
      <c r="O11">
        <v>2610000000</v>
      </c>
      <c r="P11">
        <v>2550000000</v>
      </c>
      <c r="Q11">
        <v>2790000000</v>
      </c>
      <c r="R11">
        <v>2760000000</v>
      </c>
      <c r="S11">
        <v>2850000000</v>
      </c>
    </row>
    <row r="12" spans="1:19">
      <c r="A12" t="s">
        <v>26</v>
      </c>
      <c r="B12" t="s">
        <v>179</v>
      </c>
      <c r="C12" t="s">
        <v>459</v>
      </c>
      <c r="D12" t="s">
        <v>460</v>
      </c>
      <c r="G12">
        <f t="shared" si="0"/>
        <v>50000000000</v>
      </c>
      <c r="H12">
        <v>3500000000</v>
      </c>
      <c r="I12">
        <v>3250000000</v>
      </c>
      <c r="J12">
        <v>3900000000</v>
      </c>
      <c r="K12">
        <v>4000000000</v>
      </c>
      <c r="L12">
        <v>4100000000</v>
      </c>
      <c r="M12">
        <v>4250000000</v>
      </c>
      <c r="N12">
        <v>4400000000</v>
      </c>
      <c r="O12">
        <v>4350000000</v>
      </c>
      <c r="P12">
        <v>4250000000</v>
      </c>
      <c r="Q12">
        <v>4650000000</v>
      </c>
      <c r="R12">
        <v>4600000000</v>
      </c>
      <c r="S12">
        <v>4750000000</v>
      </c>
    </row>
    <row r="13" spans="1:19">
      <c r="A13" t="s">
        <v>26</v>
      </c>
      <c r="B13" t="s">
        <v>179</v>
      </c>
      <c r="C13" t="s">
        <v>461</v>
      </c>
      <c r="D13" t="s">
        <v>462</v>
      </c>
      <c r="G13">
        <f t="shared" si="0"/>
        <v>12000000000</v>
      </c>
      <c r="H13">
        <v>840000000</v>
      </c>
      <c r="I13">
        <v>780000000</v>
      </c>
      <c r="J13">
        <v>936000000</v>
      </c>
      <c r="K13">
        <v>960000000</v>
      </c>
      <c r="L13">
        <v>984000000</v>
      </c>
      <c r="M13">
        <v>1020000000</v>
      </c>
      <c r="N13">
        <v>1056000000</v>
      </c>
      <c r="O13">
        <v>1044000000</v>
      </c>
      <c r="P13">
        <v>1020000000</v>
      </c>
      <c r="Q13">
        <v>1116000000</v>
      </c>
      <c r="R13">
        <v>1104000000</v>
      </c>
      <c r="S13">
        <v>1140000000</v>
      </c>
    </row>
    <row r="14" spans="1:19">
      <c r="A14" t="s">
        <v>26</v>
      </c>
      <c r="B14" t="s">
        <v>179</v>
      </c>
      <c r="C14" t="s">
        <v>463</v>
      </c>
      <c r="D14" t="s">
        <v>464</v>
      </c>
      <c r="G14">
        <f t="shared" si="0"/>
        <v>5000000000</v>
      </c>
      <c r="H14">
        <v>350000000</v>
      </c>
      <c r="I14">
        <v>325000000</v>
      </c>
      <c r="J14">
        <v>390000000</v>
      </c>
      <c r="K14">
        <v>400000000</v>
      </c>
      <c r="L14">
        <v>410000000</v>
      </c>
      <c r="M14">
        <v>425000000</v>
      </c>
      <c r="N14">
        <v>440000000</v>
      </c>
      <c r="O14">
        <v>435000000</v>
      </c>
      <c r="P14">
        <v>425000000</v>
      </c>
      <c r="Q14">
        <v>465000000</v>
      </c>
      <c r="R14">
        <v>460000000</v>
      </c>
      <c r="S14">
        <v>475000000</v>
      </c>
    </row>
    <row r="15" spans="1:19">
      <c r="A15" t="s">
        <v>26</v>
      </c>
      <c r="B15" t="s">
        <v>179</v>
      </c>
      <c r="C15" t="s">
        <v>465</v>
      </c>
      <c r="D15" t="s">
        <v>466</v>
      </c>
      <c r="G15">
        <f t="shared" si="0"/>
        <v>80000000000</v>
      </c>
      <c r="H15">
        <v>5600000000</v>
      </c>
      <c r="I15">
        <v>5200000000</v>
      </c>
      <c r="J15">
        <v>6240000000</v>
      </c>
      <c r="K15">
        <v>6400000000</v>
      </c>
      <c r="L15">
        <v>6560000000</v>
      </c>
      <c r="M15">
        <v>6800000000</v>
      </c>
      <c r="N15">
        <v>7040000000</v>
      </c>
      <c r="O15">
        <v>6960000000</v>
      </c>
      <c r="P15">
        <v>6800000000</v>
      </c>
      <c r="Q15">
        <v>7440000000</v>
      </c>
      <c r="R15">
        <v>7360000000</v>
      </c>
      <c r="S15">
        <v>7600000000</v>
      </c>
    </row>
    <row r="16" spans="1:19">
      <c r="A16" t="s">
        <v>26</v>
      </c>
      <c r="B16" t="s">
        <v>179</v>
      </c>
      <c r="C16" t="s">
        <v>467</v>
      </c>
      <c r="D16" t="s">
        <v>468</v>
      </c>
      <c r="G16">
        <f t="shared" si="0"/>
        <v>60000000000</v>
      </c>
      <c r="H16">
        <v>4500000000</v>
      </c>
      <c r="I16">
        <v>4680000000</v>
      </c>
      <c r="J16">
        <v>4920000000</v>
      </c>
      <c r="K16">
        <v>4980000000</v>
      </c>
      <c r="L16">
        <v>5100000000</v>
      </c>
      <c r="M16">
        <v>5220000000</v>
      </c>
      <c r="N16">
        <v>5280000000</v>
      </c>
      <c r="O16">
        <v>5160000000</v>
      </c>
      <c r="P16">
        <v>5040000000</v>
      </c>
      <c r="Q16">
        <v>4980000000</v>
      </c>
      <c r="R16">
        <v>4920000000</v>
      </c>
      <c r="S16">
        <v>5220000000</v>
      </c>
    </row>
    <row r="17" spans="1:19">
      <c r="A17" t="s">
        <v>26</v>
      </c>
      <c r="B17" t="s">
        <v>179</v>
      </c>
      <c r="C17" t="s">
        <v>469</v>
      </c>
      <c r="D17" t="s">
        <v>470</v>
      </c>
      <c r="G17">
        <f t="shared" si="0"/>
        <v>35000000000</v>
      </c>
      <c r="H17">
        <v>2450000000</v>
      </c>
      <c r="I17">
        <v>2275000000</v>
      </c>
      <c r="J17">
        <v>2730000000</v>
      </c>
      <c r="K17">
        <v>2800000000</v>
      </c>
      <c r="L17">
        <v>2870000000</v>
      </c>
      <c r="M17">
        <v>2975000000</v>
      </c>
      <c r="N17">
        <v>3080000000</v>
      </c>
      <c r="O17">
        <v>3045000000</v>
      </c>
      <c r="P17">
        <v>2975000000</v>
      </c>
      <c r="Q17">
        <v>3255000000</v>
      </c>
      <c r="R17">
        <v>3220000000</v>
      </c>
      <c r="S17">
        <v>3325000000</v>
      </c>
    </row>
    <row r="18" spans="1:19">
      <c r="A18" t="s">
        <v>26</v>
      </c>
      <c r="B18" t="s">
        <v>179</v>
      </c>
      <c r="C18" t="s">
        <v>471</v>
      </c>
      <c r="D18" t="s">
        <v>472</v>
      </c>
      <c r="G18">
        <f t="shared" si="0"/>
        <v>15000000000</v>
      </c>
      <c r="H18">
        <v>1050000000</v>
      </c>
      <c r="I18">
        <v>975000000</v>
      </c>
      <c r="J18">
        <v>1170000000</v>
      </c>
      <c r="K18">
        <v>1200000000</v>
      </c>
      <c r="L18">
        <v>1230000000</v>
      </c>
      <c r="M18">
        <v>1275000000</v>
      </c>
      <c r="N18">
        <v>1320000000</v>
      </c>
      <c r="O18">
        <v>1305000000</v>
      </c>
      <c r="P18">
        <v>1275000000</v>
      </c>
      <c r="Q18">
        <v>1395000000</v>
      </c>
      <c r="R18">
        <v>1380000000</v>
      </c>
      <c r="S18">
        <v>1425000000</v>
      </c>
    </row>
    <row r="19" spans="1:19">
      <c r="A19" t="s">
        <v>26</v>
      </c>
      <c r="B19" t="s">
        <v>179</v>
      </c>
      <c r="C19" t="s">
        <v>473</v>
      </c>
      <c r="D19" t="s">
        <v>474</v>
      </c>
      <c r="G19">
        <f t="shared" si="0"/>
        <v>60000000000</v>
      </c>
      <c r="H19">
        <v>4200000000</v>
      </c>
      <c r="I19">
        <v>3900000000</v>
      </c>
      <c r="J19">
        <v>4680000000</v>
      </c>
      <c r="K19">
        <v>4800000000</v>
      </c>
      <c r="L19">
        <v>4920000000</v>
      </c>
      <c r="M19">
        <v>5100000000</v>
      </c>
      <c r="N19">
        <v>5280000000</v>
      </c>
      <c r="O19">
        <v>5220000000</v>
      </c>
      <c r="P19">
        <v>5100000000</v>
      </c>
      <c r="Q19">
        <v>5580000000</v>
      </c>
      <c r="R19">
        <v>5520000000</v>
      </c>
      <c r="S19">
        <v>5700000000</v>
      </c>
    </row>
    <row r="20" spans="1:19">
      <c r="A20" t="s">
        <v>26</v>
      </c>
      <c r="B20" t="s">
        <v>179</v>
      </c>
      <c r="C20" t="s">
        <v>475</v>
      </c>
      <c r="D20" t="s">
        <v>476</v>
      </c>
      <c r="G20">
        <f t="shared" si="0"/>
        <v>80000000000</v>
      </c>
      <c r="H20">
        <v>6000000000</v>
      </c>
      <c r="I20">
        <v>6240000000</v>
      </c>
      <c r="J20">
        <v>6560000000</v>
      </c>
      <c r="K20">
        <v>6640000000</v>
      </c>
      <c r="L20">
        <v>6800000000</v>
      </c>
      <c r="M20">
        <v>6960000000</v>
      </c>
      <c r="N20">
        <v>7040000000</v>
      </c>
      <c r="O20">
        <v>6880000000</v>
      </c>
      <c r="P20">
        <v>6720000000</v>
      </c>
      <c r="Q20">
        <v>6640000000</v>
      </c>
      <c r="R20">
        <v>6560000000</v>
      </c>
      <c r="S20">
        <v>6960000000</v>
      </c>
    </row>
    <row r="21" spans="1:19">
      <c r="A21" t="s">
        <v>26</v>
      </c>
      <c r="B21" t="s">
        <v>179</v>
      </c>
      <c r="C21" t="s">
        <v>477</v>
      </c>
      <c r="D21" t="s">
        <v>478</v>
      </c>
      <c r="G21">
        <f t="shared" si="0"/>
        <v>20000000000</v>
      </c>
      <c r="H21">
        <v>1400000000</v>
      </c>
      <c r="I21">
        <v>1300000000</v>
      </c>
      <c r="J21">
        <v>1560000000</v>
      </c>
      <c r="K21">
        <v>1600000000</v>
      </c>
      <c r="L21">
        <v>1640000000</v>
      </c>
      <c r="M21">
        <v>1700000000</v>
      </c>
      <c r="N21">
        <v>1760000000</v>
      </c>
      <c r="O21">
        <v>1740000000</v>
      </c>
      <c r="P21">
        <v>1700000000</v>
      </c>
      <c r="Q21">
        <v>1860000000</v>
      </c>
      <c r="R21">
        <v>1840000000</v>
      </c>
      <c r="S21">
        <v>1900000000</v>
      </c>
    </row>
    <row r="22" spans="1:19">
      <c r="A22" t="s">
        <v>26</v>
      </c>
      <c r="B22" t="s">
        <v>179</v>
      </c>
      <c r="C22" t="s">
        <v>479</v>
      </c>
      <c r="D22" t="s">
        <v>480</v>
      </c>
      <c r="G22">
        <f t="shared" si="0"/>
        <v>60000000000</v>
      </c>
      <c r="H22">
        <v>4200000000</v>
      </c>
      <c r="I22">
        <v>3900000000</v>
      </c>
      <c r="J22">
        <v>4680000000</v>
      </c>
      <c r="K22">
        <v>4800000000</v>
      </c>
      <c r="L22">
        <v>4920000000</v>
      </c>
      <c r="M22">
        <v>5100000000</v>
      </c>
      <c r="N22">
        <v>5280000000</v>
      </c>
      <c r="O22">
        <v>5220000000</v>
      </c>
      <c r="P22">
        <v>5100000000</v>
      </c>
      <c r="Q22">
        <v>5580000000</v>
      </c>
      <c r="R22">
        <v>5520000000</v>
      </c>
      <c r="S22">
        <v>5700000000</v>
      </c>
    </row>
    <row r="23" spans="1:19">
      <c r="A23" t="s">
        <v>26</v>
      </c>
      <c r="B23" t="s">
        <v>179</v>
      </c>
      <c r="C23" t="s">
        <v>481</v>
      </c>
      <c r="D23" t="s">
        <v>482</v>
      </c>
      <c r="G23">
        <f t="shared" si="0"/>
        <v>50000000000</v>
      </c>
      <c r="H23">
        <v>3500000000</v>
      </c>
      <c r="I23">
        <v>3250000000</v>
      </c>
      <c r="J23">
        <v>3900000000</v>
      </c>
      <c r="K23">
        <v>4000000000</v>
      </c>
      <c r="L23">
        <v>4100000000</v>
      </c>
      <c r="M23">
        <v>4250000000</v>
      </c>
      <c r="N23">
        <v>4400000000</v>
      </c>
      <c r="O23">
        <v>4350000000</v>
      </c>
      <c r="P23">
        <v>4250000000</v>
      </c>
      <c r="Q23">
        <v>4650000000</v>
      </c>
      <c r="R23">
        <v>4600000000</v>
      </c>
      <c r="S23">
        <v>4750000000</v>
      </c>
    </row>
    <row r="24" spans="1:19">
      <c r="A24" t="s">
        <v>23</v>
      </c>
      <c r="B24" t="s">
        <v>179</v>
      </c>
      <c r="C24" t="s">
        <v>483</v>
      </c>
      <c r="D24" t="s">
        <v>484</v>
      </c>
      <c r="G24">
        <f t="shared" si="0"/>
        <v>900000000</v>
      </c>
      <c r="H24">
        <f t="shared" ref="H24:S24" si="5">H25+H26+H27</f>
        <v>63000000</v>
      </c>
      <c r="I24">
        <f t="shared" si="5"/>
        <v>58500000</v>
      </c>
      <c r="J24">
        <f t="shared" si="5"/>
        <v>70200000</v>
      </c>
      <c r="K24">
        <f t="shared" si="5"/>
        <v>72000000</v>
      </c>
      <c r="L24">
        <f t="shared" si="5"/>
        <v>73800000</v>
      </c>
      <c r="M24">
        <f t="shared" si="5"/>
        <v>76500000</v>
      </c>
      <c r="N24">
        <f t="shared" si="5"/>
        <v>79200000</v>
      </c>
      <c r="O24">
        <f t="shared" si="5"/>
        <v>78300000</v>
      </c>
      <c r="P24">
        <f t="shared" si="5"/>
        <v>76500000</v>
      </c>
      <c r="Q24">
        <f t="shared" si="5"/>
        <v>83700000</v>
      </c>
      <c r="R24">
        <f t="shared" si="5"/>
        <v>82800000</v>
      </c>
      <c r="S24">
        <f t="shared" si="5"/>
        <v>85500000</v>
      </c>
    </row>
    <row r="25" spans="1:19">
      <c r="A25" t="s">
        <v>26</v>
      </c>
      <c r="B25" t="s">
        <v>179</v>
      </c>
      <c r="C25" t="s">
        <v>485</v>
      </c>
      <c r="D25" t="s">
        <v>486</v>
      </c>
      <c r="G25">
        <f t="shared" si="0"/>
        <v>500000000</v>
      </c>
      <c r="H25">
        <v>35000000</v>
      </c>
      <c r="I25">
        <v>32500000</v>
      </c>
      <c r="J25">
        <v>39000000</v>
      </c>
      <c r="K25">
        <v>40000000</v>
      </c>
      <c r="L25">
        <v>41000000</v>
      </c>
      <c r="M25">
        <v>42500000</v>
      </c>
      <c r="N25">
        <v>44000000</v>
      </c>
      <c r="O25">
        <v>43500000</v>
      </c>
      <c r="P25">
        <v>42500000</v>
      </c>
      <c r="Q25">
        <v>46500000</v>
      </c>
      <c r="R25">
        <v>46000000</v>
      </c>
      <c r="S25">
        <v>47500000</v>
      </c>
    </row>
    <row r="26" spans="1:19">
      <c r="A26" t="s">
        <v>26</v>
      </c>
      <c r="B26" t="s">
        <v>179</v>
      </c>
      <c r="C26" t="s">
        <v>487</v>
      </c>
      <c r="D26" t="s">
        <v>488</v>
      </c>
      <c r="G26">
        <f t="shared" si="0"/>
        <v>250000000</v>
      </c>
      <c r="H26">
        <v>17500000</v>
      </c>
      <c r="I26">
        <v>16250000</v>
      </c>
      <c r="J26">
        <v>19500000</v>
      </c>
      <c r="K26">
        <v>20000000</v>
      </c>
      <c r="L26">
        <v>20500000</v>
      </c>
      <c r="M26">
        <v>21250000</v>
      </c>
      <c r="N26">
        <v>22000000</v>
      </c>
      <c r="O26">
        <v>21750000</v>
      </c>
      <c r="P26">
        <v>21250000</v>
      </c>
      <c r="Q26">
        <v>23250000</v>
      </c>
      <c r="R26">
        <v>23000000</v>
      </c>
      <c r="S26">
        <v>23750000</v>
      </c>
    </row>
    <row r="27" spans="1:19">
      <c r="A27" t="s">
        <v>26</v>
      </c>
      <c r="B27" t="s">
        <v>179</v>
      </c>
      <c r="C27" t="s">
        <v>489</v>
      </c>
      <c r="D27" t="s">
        <v>490</v>
      </c>
      <c r="G27">
        <f t="shared" si="0"/>
        <v>150000000</v>
      </c>
      <c r="H27">
        <v>10500000</v>
      </c>
      <c r="I27">
        <v>9750000</v>
      </c>
      <c r="J27">
        <v>11700000</v>
      </c>
      <c r="K27">
        <v>12000000</v>
      </c>
      <c r="L27">
        <v>12300000</v>
      </c>
      <c r="M27">
        <v>12750000</v>
      </c>
      <c r="N27">
        <v>13200000</v>
      </c>
      <c r="O27">
        <v>13050000</v>
      </c>
      <c r="P27">
        <v>12750000</v>
      </c>
      <c r="Q27">
        <v>13950000</v>
      </c>
      <c r="R27">
        <v>13800000</v>
      </c>
      <c r="S27">
        <v>14250000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492</v>
      </c>
      <c r="D2" t="s">
        <v>22</v>
      </c>
      <c r="G2">
        <f t="shared" ref="G2:G65" si="0">H2+I2+J2+K2+L2+M2+N2+O2+P2+Q2+R2+S2</f>
        <v>41725591568</v>
      </c>
      <c r="H2">
        <f t="shared" ref="H2:S2" si="1">H3+H6+H9</f>
        <v>2948948970</v>
      </c>
      <c r="I2">
        <f t="shared" si="1"/>
        <v>2782705536</v>
      </c>
      <c r="J2">
        <f t="shared" si="1"/>
        <v>3268312726</v>
      </c>
      <c r="K2">
        <f t="shared" si="1"/>
        <v>3355590174</v>
      </c>
      <c r="L2">
        <f t="shared" si="1"/>
        <v>3438013270</v>
      </c>
      <c r="M2">
        <f t="shared" si="1"/>
        <v>3556968830</v>
      </c>
      <c r="N2">
        <f t="shared" si="1"/>
        <v>3671738766</v>
      </c>
      <c r="O2">
        <f t="shared" si="1"/>
        <v>3620431090</v>
      </c>
      <c r="P2">
        <f t="shared" si="1"/>
        <v>3541682748</v>
      </c>
      <c r="Q2">
        <f t="shared" si="1"/>
        <v>3834566876</v>
      </c>
      <c r="R2">
        <f t="shared" si="1"/>
        <v>3781297802</v>
      </c>
      <c r="S2">
        <f t="shared" si="1"/>
        <v>3925334780</v>
      </c>
    </row>
    <row r="3" spans="1:19">
      <c r="A3" t="s">
        <v>23</v>
      </c>
      <c r="B3" t="s">
        <v>20</v>
      </c>
      <c r="C3" t="s">
        <v>493</v>
      </c>
      <c r="D3" t="s">
        <v>25</v>
      </c>
      <c r="G3">
        <f t="shared" si="0"/>
        <v>18362795784</v>
      </c>
      <c r="H3">
        <v>1299474485</v>
      </c>
      <c r="I3">
        <v>1228852768</v>
      </c>
      <c r="J3">
        <v>1439156363</v>
      </c>
      <c r="K3">
        <v>1477795087</v>
      </c>
      <c r="L3">
        <v>1514006635</v>
      </c>
      <c r="M3">
        <v>1565984415</v>
      </c>
      <c r="N3">
        <v>1615869383</v>
      </c>
      <c r="O3">
        <v>1592715545</v>
      </c>
      <c r="P3">
        <v>1558341374</v>
      </c>
      <c r="Q3">
        <v>1684783438</v>
      </c>
      <c r="R3">
        <v>1660648901</v>
      </c>
      <c r="S3">
        <v>1725167390</v>
      </c>
    </row>
    <row r="4" spans="1:19">
      <c r="A4" t="s">
        <v>19</v>
      </c>
      <c r="B4" t="s">
        <v>20</v>
      </c>
      <c r="C4" t="s">
        <v>494</v>
      </c>
      <c r="D4" t="s">
        <v>176</v>
      </c>
      <c r="G4">
        <f t="shared" si="0"/>
        <v>37800000000</v>
      </c>
      <c r="H4">
        <v>2646000000</v>
      </c>
      <c r="I4">
        <v>2457000000</v>
      </c>
      <c r="J4">
        <v>2948400000</v>
      </c>
      <c r="K4">
        <v>3024000000</v>
      </c>
      <c r="L4">
        <v>3099600000</v>
      </c>
      <c r="M4">
        <v>3213000000</v>
      </c>
      <c r="N4">
        <v>3326400000</v>
      </c>
      <c r="O4">
        <v>3288600000</v>
      </c>
      <c r="P4">
        <v>3213000000</v>
      </c>
      <c r="Q4">
        <v>3515400000</v>
      </c>
      <c r="R4">
        <v>3477600000</v>
      </c>
      <c r="S4">
        <v>3591000000</v>
      </c>
    </row>
    <row r="5" spans="1:19">
      <c r="A5" t="s">
        <v>19</v>
      </c>
      <c r="B5" t="s">
        <v>35</v>
      </c>
      <c r="C5" t="s">
        <v>495</v>
      </c>
      <c r="D5" t="s">
        <v>285</v>
      </c>
      <c r="G5">
        <f t="shared" si="0"/>
        <v>16800000000</v>
      </c>
      <c r="H5">
        <v>1176000000</v>
      </c>
      <c r="I5">
        <v>1092000000</v>
      </c>
      <c r="J5">
        <v>1310400000</v>
      </c>
      <c r="K5">
        <v>1344000000</v>
      </c>
      <c r="L5">
        <v>1377600000</v>
      </c>
      <c r="M5">
        <v>1428000000</v>
      </c>
      <c r="N5">
        <v>1478400000</v>
      </c>
      <c r="O5">
        <v>1461600000</v>
      </c>
      <c r="P5">
        <v>1428000000</v>
      </c>
      <c r="Q5">
        <v>1562400000</v>
      </c>
      <c r="R5">
        <v>1545600000</v>
      </c>
      <c r="S5">
        <v>1596000000</v>
      </c>
    </row>
    <row r="6" spans="1:19">
      <c r="A6" t="s">
        <v>23</v>
      </c>
      <c r="B6" t="s">
        <v>20</v>
      </c>
      <c r="C6" t="s">
        <v>496</v>
      </c>
      <c r="D6" t="s">
        <v>497</v>
      </c>
      <c r="G6">
        <f t="shared" si="0"/>
        <v>18362795784</v>
      </c>
      <c r="H6">
        <v>1299474485</v>
      </c>
      <c r="I6">
        <v>1228852768</v>
      </c>
      <c r="J6">
        <v>1439156363</v>
      </c>
      <c r="K6">
        <v>1477795087</v>
      </c>
      <c r="L6">
        <v>1514006635</v>
      </c>
      <c r="M6">
        <v>1565984415</v>
      </c>
      <c r="N6">
        <v>1615869383</v>
      </c>
      <c r="O6">
        <v>1592715545</v>
      </c>
      <c r="P6">
        <v>1558341374</v>
      </c>
      <c r="Q6">
        <v>1684783438</v>
      </c>
      <c r="R6">
        <v>1660648901</v>
      </c>
      <c r="S6">
        <v>1725167390</v>
      </c>
    </row>
    <row r="7" spans="1:19">
      <c r="A7" t="s">
        <v>19</v>
      </c>
      <c r="B7" t="s">
        <v>20</v>
      </c>
      <c r="C7" t="s">
        <v>498</v>
      </c>
      <c r="D7" t="s">
        <v>337</v>
      </c>
      <c r="G7">
        <f t="shared" si="0"/>
        <v>15000000000</v>
      </c>
      <c r="H7">
        <v>1050000000</v>
      </c>
      <c r="I7">
        <v>975000000</v>
      </c>
      <c r="J7">
        <v>1170000000</v>
      </c>
      <c r="K7">
        <v>1200000000</v>
      </c>
      <c r="L7">
        <v>1230000000</v>
      </c>
      <c r="M7">
        <v>1275000000</v>
      </c>
      <c r="N7">
        <v>1320000000</v>
      </c>
      <c r="O7">
        <v>1305000000</v>
      </c>
      <c r="P7">
        <v>1275000000</v>
      </c>
      <c r="Q7">
        <v>1395000000</v>
      </c>
      <c r="R7">
        <v>1380000000</v>
      </c>
      <c r="S7">
        <v>1425000000</v>
      </c>
    </row>
    <row r="8" spans="1:19">
      <c r="A8" t="s">
        <v>19</v>
      </c>
      <c r="B8" t="s">
        <v>35</v>
      </c>
      <c r="C8" t="s">
        <v>499</v>
      </c>
      <c r="D8" t="s">
        <v>365</v>
      </c>
      <c r="G8">
        <f t="shared" si="0"/>
        <v>3000000000</v>
      </c>
      <c r="H8">
        <v>210000000</v>
      </c>
      <c r="I8">
        <v>195000000</v>
      </c>
      <c r="J8">
        <v>234000000</v>
      </c>
      <c r="K8">
        <v>240000000</v>
      </c>
      <c r="L8">
        <v>246000000</v>
      </c>
      <c r="M8">
        <v>255000000</v>
      </c>
      <c r="N8">
        <v>264000000</v>
      </c>
      <c r="O8">
        <v>261000000</v>
      </c>
      <c r="P8">
        <v>255000000</v>
      </c>
      <c r="Q8">
        <v>279000000</v>
      </c>
      <c r="R8">
        <v>276000000</v>
      </c>
      <c r="S8">
        <v>285000000</v>
      </c>
    </row>
    <row r="9" spans="1:19">
      <c r="A9" t="s">
        <v>23</v>
      </c>
      <c r="B9" t="s">
        <v>20</v>
      </c>
      <c r="C9" t="s">
        <v>500</v>
      </c>
      <c r="D9" t="s">
        <v>34</v>
      </c>
      <c r="G9">
        <f t="shared" si="0"/>
        <v>5000000000</v>
      </c>
      <c r="H9">
        <v>350000000</v>
      </c>
      <c r="I9">
        <v>325000000</v>
      </c>
      <c r="J9">
        <v>390000000</v>
      </c>
      <c r="K9">
        <v>400000000</v>
      </c>
      <c r="L9">
        <v>410000000</v>
      </c>
      <c r="M9">
        <v>425000000</v>
      </c>
      <c r="N9">
        <v>440000000</v>
      </c>
      <c r="O9">
        <v>435000000</v>
      </c>
      <c r="P9">
        <v>425000000</v>
      </c>
      <c r="Q9">
        <v>465000000</v>
      </c>
      <c r="R9">
        <v>460000000</v>
      </c>
      <c r="S9">
        <v>475000000</v>
      </c>
    </row>
    <row r="10" spans="1:19">
      <c r="A10" t="s">
        <v>19</v>
      </c>
      <c r="B10" t="s">
        <v>35</v>
      </c>
      <c r="C10" t="s">
        <v>501</v>
      </c>
      <c r="D10" t="s">
        <v>502</v>
      </c>
      <c r="G10">
        <f t="shared" si="0"/>
        <v>12000000000</v>
      </c>
      <c r="H10">
        <f t="shared" ref="H10:S10" si="2">H11+H14</f>
        <v>840000000</v>
      </c>
      <c r="I10">
        <f t="shared" si="2"/>
        <v>780000000</v>
      </c>
      <c r="J10">
        <f t="shared" si="2"/>
        <v>936000000</v>
      </c>
      <c r="K10">
        <f t="shared" si="2"/>
        <v>960000000</v>
      </c>
      <c r="L10">
        <f t="shared" si="2"/>
        <v>984000000</v>
      </c>
      <c r="M10">
        <f t="shared" si="2"/>
        <v>1020000000</v>
      </c>
      <c r="N10">
        <f t="shared" si="2"/>
        <v>1056000000</v>
      </c>
      <c r="O10">
        <f t="shared" si="2"/>
        <v>1044000000</v>
      </c>
      <c r="P10">
        <f t="shared" si="2"/>
        <v>1020000000</v>
      </c>
      <c r="Q10">
        <f t="shared" si="2"/>
        <v>1116000000</v>
      </c>
      <c r="R10">
        <f t="shared" si="2"/>
        <v>1104000000</v>
      </c>
      <c r="S10">
        <f t="shared" si="2"/>
        <v>1140000000</v>
      </c>
    </row>
    <row r="11" spans="1:19">
      <c r="A11" t="s">
        <v>23</v>
      </c>
      <c r="B11" t="s">
        <v>35</v>
      </c>
      <c r="C11" t="s">
        <v>503</v>
      </c>
      <c r="D11" t="s">
        <v>504</v>
      </c>
      <c r="G11">
        <f t="shared" si="0"/>
        <v>11400000000</v>
      </c>
      <c r="H11">
        <f t="shared" ref="H11:S11" si="3">H12+H13</f>
        <v>798000000</v>
      </c>
      <c r="I11">
        <f t="shared" si="3"/>
        <v>741000000</v>
      </c>
      <c r="J11">
        <f t="shared" si="3"/>
        <v>889200000</v>
      </c>
      <c r="K11">
        <f t="shared" si="3"/>
        <v>912000000</v>
      </c>
      <c r="L11">
        <f t="shared" si="3"/>
        <v>934800000</v>
      </c>
      <c r="M11">
        <f t="shared" si="3"/>
        <v>969000000</v>
      </c>
      <c r="N11">
        <f t="shared" si="3"/>
        <v>1003200000</v>
      </c>
      <c r="O11">
        <f t="shared" si="3"/>
        <v>991800000</v>
      </c>
      <c r="P11">
        <f t="shared" si="3"/>
        <v>969000000</v>
      </c>
      <c r="Q11">
        <f t="shared" si="3"/>
        <v>1060200000</v>
      </c>
      <c r="R11">
        <f t="shared" si="3"/>
        <v>1048800000</v>
      </c>
      <c r="S11">
        <f t="shared" si="3"/>
        <v>1083000000</v>
      </c>
    </row>
    <row r="12" spans="1:19">
      <c r="A12" t="s">
        <v>26</v>
      </c>
      <c r="B12" t="s">
        <v>35</v>
      </c>
      <c r="C12" t="s">
        <v>505</v>
      </c>
      <c r="D12" t="s">
        <v>506</v>
      </c>
      <c r="G12">
        <f t="shared" si="0"/>
        <v>10200000000</v>
      </c>
      <c r="H12">
        <v>714000000</v>
      </c>
      <c r="I12">
        <v>663000000</v>
      </c>
      <c r="J12">
        <v>795600000</v>
      </c>
      <c r="K12">
        <v>816000000</v>
      </c>
      <c r="L12">
        <v>836400000</v>
      </c>
      <c r="M12">
        <v>867000000</v>
      </c>
      <c r="N12">
        <v>897600000</v>
      </c>
      <c r="O12">
        <v>887400000</v>
      </c>
      <c r="P12">
        <v>867000000</v>
      </c>
      <c r="Q12">
        <v>948600000</v>
      </c>
      <c r="R12">
        <v>938400000</v>
      </c>
      <c r="S12">
        <v>969000000</v>
      </c>
    </row>
    <row r="13" spans="1:19">
      <c r="A13" t="s">
        <v>26</v>
      </c>
      <c r="B13" t="s">
        <v>35</v>
      </c>
      <c r="C13" t="s">
        <v>507</v>
      </c>
      <c r="D13" t="s">
        <v>508</v>
      </c>
      <c r="G13">
        <f t="shared" si="0"/>
        <v>1200000000</v>
      </c>
      <c r="H13">
        <v>84000000</v>
      </c>
      <c r="I13">
        <v>78000000</v>
      </c>
      <c r="J13">
        <v>93600000</v>
      </c>
      <c r="K13">
        <v>96000000</v>
      </c>
      <c r="L13">
        <v>98400000</v>
      </c>
      <c r="M13">
        <v>102000000</v>
      </c>
      <c r="N13">
        <v>105600000</v>
      </c>
      <c r="O13">
        <v>104400000</v>
      </c>
      <c r="P13">
        <v>102000000</v>
      </c>
      <c r="Q13">
        <v>111600000</v>
      </c>
      <c r="R13">
        <v>110400000</v>
      </c>
      <c r="S13">
        <v>114000000</v>
      </c>
    </row>
    <row r="14" spans="1:19">
      <c r="A14" t="s">
        <v>23</v>
      </c>
      <c r="B14" t="s">
        <v>35</v>
      </c>
      <c r="C14" t="s">
        <v>509</v>
      </c>
      <c r="D14" t="s">
        <v>510</v>
      </c>
      <c r="G14">
        <f t="shared" si="0"/>
        <v>600000000</v>
      </c>
      <c r="H14">
        <v>42000000</v>
      </c>
      <c r="I14">
        <v>39000000</v>
      </c>
      <c r="J14">
        <v>46800000</v>
      </c>
      <c r="K14">
        <v>48000000</v>
      </c>
      <c r="L14">
        <v>49200000</v>
      </c>
      <c r="M14">
        <v>51000000</v>
      </c>
      <c r="N14">
        <v>52800000</v>
      </c>
      <c r="O14">
        <v>52200000</v>
      </c>
      <c r="P14">
        <v>51000000</v>
      </c>
      <c r="Q14">
        <v>55800000</v>
      </c>
      <c r="R14">
        <v>55200000</v>
      </c>
      <c r="S14">
        <v>57000000</v>
      </c>
    </row>
    <row r="15" spans="1:19">
      <c r="A15" t="s">
        <v>19</v>
      </c>
      <c r="B15" t="s">
        <v>20</v>
      </c>
      <c r="C15" t="s">
        <v>511</v>
      </c>
      <c r="D15" t="s">
        <v>39</v>
      </c>
      <c r="G15">
        <f t="shared" si="0"/>
        <v>18362795784</v>
      </c>
      <c r="H15">
        <v>1299474485</v>
      </c>
      <c r="I15">
        <v>1228852768</v>
      </c>
      <c r="J15">
        <v>1439156363</v>
      </c>
      <c r="K15">
        <v>1477795087</v>
      </c>
      <c r="L15">
        <v>1514006635</v>
      </c>
      <c r="M15">
        <v>1565984415</v>
      </c>
      <c r="N15">
        <v>1615869383</v>
      </c>
      <c r="O15">
        <v>1592715545</v>
      </c>
      <c r="P15">
        <v>1558341374</v>
      </c>
      <c r="Q15">
        <v>1684783438</v>
      </c>
      <c r="R15">
        <v>1660648901</v>
      </c>
      <c r="S15">
        <v>1725167390</v>
      </c>
    </row>
    <row r="16" spans="1:19">
      <c r="A16" t="s">
        <v>19</v>
      </c>
      <c r="B16" t="s">
        <v>35</v>
      </c>
      <c r="C16" t="s">
        <v>512</v>
      </c>
      <c r="D16" t="s">
        <v>41</v>
      </c>
      <c r="G16">
        <f t="shared" si="0"/>
        <v>500000000</v>
      </c>
      <c r="H16">
        <v>35000000</v>
      </c>
      <c r="I16">
        <v>32500000</v>
      </c>
      <c r="J16">
        <v>39000000</v>
      </c>
      <c r="K16">
        <v>40000000</v>
      </c>
      <c r="L16">
        <v>41000000</v>
      </c>
      <c r="M16">
        <v>42500000</v>
      </c>
      <c r="N16">
        <v>44000000</v>
      </c>
      <c r="O16">
        <v>43500000</v>
      </c>
      <c r="P16">
        <v>42500000</v>
      </c>
      <c r="Q16">
        <v>46500000</v>
      </c>
      <c r="R16">
        <v>46000000</v>
      </c>
      <c r="S16">
        <v>47500000</v>
      </c>
    </row>
    <row r="17" spans="1:19">
      <c r="A17" t="s">
        <v>19</v>
      </c>
      <c r="B17" t="s">
        <v>35</v>
      </c>
      <c r="C17" t="s">
        <v>513</v>
      </c>
      <c r="D17" t="s">
        <v>514</v>
      </c>
      <c r="G17">
        <f t="shared" si="0"/>
        <v>6000000000</v>
      </c>
      <c r="H17">
        <f t="shared" ref="H17:S17" si="4">H18+H22+H25</f>
        <v>420000000</v>
      </c>
      <c r="I17">
        <f t="shared" si="4"/>
        <v>390000000</v>
      </c>
      <c r="J17">
        <f t="shared" si="4"/>
        <v>468000000</v>
      </c>
      <c r="K17">
        <f t="shared" si="4"/>
        <v>480000000</v>
      </c>
      <c r="L17">
        <f t="shared" si="4"/>
        <v>492000000</v>
      </c>
      <c r="M17">
        <f t="shared" si="4"/>
        <v>510000000</v>
      </c>
      <c r="N17">
        <f t="shared" si="4"/>
        <v>528000000</v>
      </c>
      <c r="O17">
        <f t="shared" si="4"/>
        <v>522000000</v>
      </c>
      <c r="P17">
        <f t="shared" si="4"/>
        <v>510000000</v>
      </c>
      <c r="Q17">
        <f t="shared" si="4"/>
        <v>558000000</v>
      </c>
      <c r="R17">
        <f t="shared" si="4"/>
        <v>552000000</v>
      </c>
      <c r="S17">
        <f t="shared" si="4"/>
        <v>570000000</v>
      </c>
    </row>
    <row r="18" spans="1:19">
      <c r="A18" t="s">
        <v>23</v>
      </c>
      <c r="B18" t="s">
        <v>35</v>
      </c>
      <c r="C18" t="s">
        <v>515</v>
      </c>
      <c r="D18" t="s">
        <v>516</v>
      </c>
      <c r="G18">
        <f t="shared" si="0"/>
        <v>3000000000</v>
      </c>
      <c r="H18">
        <f t="shared" ref="H18:S18" si="5">H19+H20+H21</f>
        <v>210000000</v>
      </c>
      <c r="I18">
        <f t="shared" si="5"/>
        <v>195000000</v>
      </c>
      <c r="J18">
        <f t="shared" si="5"/>
        <v>234000000</v>
      </c>
      <c r="K18">
        <f t="shared" si="5"/>
        <v>240000000</v>
      </c>
      <c r="L18">
        <f t="shared" si="5"/>
        <v>246000000</v>
      </c>
      <c r="M18">
        <f t="shared" si="5"/>
        <v>255000000</v>
      </c>
      <c r="N18">
        <f t="shared" si="5"/>
        <v>264000000</v>
      </c>
      <c r="O18">
        <f t="shared" si="5"/>
        <v>261000000</v>
      </c>
      <c r="P18">
        <f t="shared" si="5"/>
        <v>255000000</v>
      </c>
      <c r="Q18">
        <f t="shared" si="5"/>
        <v>279000000</v>
      </c>
      <c r="R18">
        <f t="shared" si="5"/>
        <v>276000000</v>
      </c>
      <c r="S18">
        <f t="shared" si="5"/>
        <v>285000000</v>
      </c>
    </row>
    <row r="19" spans="1:19">
      <c r="A19" t="s">
        <v>26</v>
      </c>
      <c r="B19" t="s">
        <v>35</v>
      </c>
      <c r="C19" t="s">
        <v>517</v>
      </c>
      <c r="D19" t="s">
        <v>47</v>
      </c>
      <c r="G19">
        <f t="shared" si="0"/>
        <v>2100000000</v>
      </c>
      <c r="H19">
        <v>147000000</v>
      </c>
      <c r="I19">
        <v>136500000</v>
      </c>
      <c r="J19">
        <v>163800000</v>
      </c>
      <c r="K19">
        <v>168000000</v>
      </c>
      <c r="L19">
        <v>172200000</v>
      </c>
      <c r="M19">
        <v>178500000</v>
      </c>
      <c r="N19">
        <v>184800000</v>
      </c>
      <c r="O19">
        <v>182700000</v>
      </c>
      <c r="P19">
        <v>178500000</v>
      </c>
      <c r="Q19">
        <v>195300000</v>
      </c>
      <c r="R19">
        <v>193200000</v>
      </c>
      <c r="S19">
        <v>199500000</v>
      </c>
    </row>
    <row r="20" spans="1:19">
      <c r="A20" t="s">
        <v>26</v>
      </c>
      <c r="B20" t="s">
        <v>35</v>
      </c>
      <c r="C20" t="s">
        <v>518</v>
      </c>
      <c r="D20" t="s">
        <v>519</v>
      </c>
      <c r="G20">
        <f t="shared" si="0"/>
        <v>600000000</v>
      </c>
      <c r="H20">
        <v>42000000</v>
      </c>
      <c r="I20">
        <v>39000000</v>
      </c>
      <c r="J20">
        <v>46800000</v>
      </c>
      <c r="K20">
        <v>48000000</v>
      </c>
      <c r="L20">
        <v>49200000</v>
      </c>
      <c r="M20">
        <v>51000000</v>
      </c>
      <c r="N20">
        <v>52800000</v>
      </c>
      <c r="O20">
        <v>52200000</v>
      </c>
      <c r="P20">
        <v>51000000</v>
      </c>
      <c r="Q20">
        <v>55800000</v>
      </c>
      <c r="R20">
        <v>55200000</v>
      </c>
      <c r="S20">
        <v>57000000</v>
      </c>
    </row>
    <row r="21" spans="1:19">
      <c r="A21" t="s">
        <v>26</v>
      </c>
      <c r="B21" t="s">
        <v>35</v>
      </c>
      <c r="C21" t="s">
        <v>520</v>
      </c>
      <c r="D21" t="s">
        <v>521</v>
      </c>
      <c r="G21">
        <f t="shared" si="0"/>
        <v>300000000</v>
      </c>
      <c r="H21">
        <v>21000000</v>
      </c>
      <c r="I21">
        <v>19500000</v>
      </c>
      <c r="J21">
        <v>23400000</v>
      </c>
      <c r="K21">
        <v>24000000</v>
      </c>
      <c r="L21">
        <v>24600000</v>
      </c>
      <c r="M21">
        <v>25500000</v>
      </c>
      <c r="N21">
        <v>26400000</v>
      </c>
      <c r="O21">
        <v>26100000</v>
      </c>
      <c r="P21">
        <v>25500000</v>
      </c>
      <c r="Q21">
        <v>27900000</v>
      </c>
      <c r="R21">
        <v>27600000</v>
      </c>
      <c r="S21">
        <v>28500000</v>
      </c>
    </row>
    <row r="22" spans="1:19">
      <c r="A22" t="s">
        <v>23</v>
      </c>
      <c r="B22" t="s">
        <v>35</v>
      </c>
      <c r="C22" t="s">
        <v>522</v>
      </c>
      <c r="D22" t="s">
        <v>51</v>
      </c>
      <c r="G22">
        <f t="shared" si="0"/>
        <v>1800000000</v>
      </c>
      <c r="H22">
        <f t="shared" ref="H22:S22" si="6">H23+H24</f>
        <v>126000000</v>
      </c>
      <c r="I22">
        <f t="shared" si="6"/>
        <v>117000000</v>
      </c>
      <c r="J22">
        <f t="shared" si="6"/>
        <v>140400000</v>
      </c>
      <c r="K22">
        <f t="shared" si="6"/>
        <v>144000000</v>
      </c>
      <c r="L22">
        <f t="shared" si="6"/>
        <v>147600000</v>
      </c>
      <c r="M22">
        <f t="shared" si="6"/>
        <v>153000000</v>
      </c>
      <c r="N22">
        <f t="shared" si="6"/>
        <v>158400000</v>
      </c>
      <c r="O22">
        <f t="shared" si="6"/>
        <v>156600000</v>
      </c>
      <c r="P22">
        <f t="shared" si="6"/>
        <v>153000000</v>
      </c>
      <c r="Q22">
        <f t="shared" si="6"/>
        <v>167400000</v>
      </c>
      <c r="R22">
        <f t="shared" si="6"/>
        <v>165600000</v>
      </c>
      <c r="S22">
        <f t="shared" si="6"/>
        <v>171000000</v>
      </c>
    </row>
    <row r="23" spans="1:19">
      <c r="A23" t="s">
        <v>26</v>
      </c>
      <c r="B23" t="s">
        <v>35</v>
      </c>
      <c r="C23" t="s">
        <v>523</v>
      </c>
      <c r="D23" t="s">
        <v>53</v>
      </c>
      <c r="G23">
        <f t="shared" si="0"/>
        <v>1080000000</v>
      </c>
      <c r="H23">
        <v>75600000</v>
      </c>
      <c r="I23">
        <v>70200000</v>
      </c>
      <c r="J23">
        <v>84240000</v>
      </c>
      <c r="K23">
        <v>86400000</v>
      </c>
      <c r="L23">
        <v>88560000</v>
      </c>
      <c r="M23">
        <v>91800000</v>
      </c>
      <c r="N23">
        <v>95040000</v>
      </c>
      <c r="O23">
        <v>93960000</v>
      </c>
      <c r="P23">
        <v>91800000</v>
      </c>
      <c r="Q23">
        <v>100440000</v>
      </c>
      <c r="R23">
        <v>99360000</v>
      </c>
      <c r="S23">
        <v>102600000</v>
      </c>
    </row>
    <row r="24" spans="1:19">
      <c r="A24" t="s">
        <v>26</v>
      </c>
      <c r="B24" t="s">
        <v>35</v>
      </c>
      <c r="C24" t="s">
        <v>524</v>
      </c>
      <c r="D24" t="s">
        <v>55</v>
      </c>
      <c r="G24">
        <f t="shared" si="0"/>
        <v>720000000</v>
      </c>
      <c r="H24">
        <v>50400000</v>
      </c>
      <c r="I24">
        <v>46800000</v>
      </c>
      <c r="J24">
        <v>56160000</v>
      </c>
      <c r="K24">
        <v>57600000</v>
      </c>
      <c r="L24">
        <v>59040000</v>
      </c>
      <c r="M24">
        <v>61200000</v>
      </c>
      <c r="N24">
        <v>63360000</v>
      </c>
      <c r="O24">
        <v>62640000</v>
      </c>
      <c r="P24">
        <v>61200000</v>
      </c>
      <c r="Q24">
        <v>66960000</v>
      </c>
      <c r="R24">
        <v>66240000</v>
      </c>
      <c r="S24">
        <v>68400000</v>
      </c>
    </row>
    <row r="25" spans="1:19">
      <c r="A25" t="s">
        <v>23</v>
      </c>
      <c r="B25" t="s">
        <v>35</v>
      </c>
      <c r="C25" t="s">
        <v>525</v>
      </c>
      <c r="D25" t="s">
        <v>74</v>
      </c>
      <c r="G25">
        <f t="shared" si="0"/>
        <v>1200000000</v>
      </c>
      <c r="H25">
        <v>84000000</v>
      </c>
      <c r="I25">
        <v>78000000</v>
      </c>
      <c r="J25">
        <v>93600000</v>
      </c>
      <c r="K25">
        <v>96000000</v>
      </c>
      <c r="L25">
        <v>98400000</v>
      </c>
      <c r="M25">
        <v>102000000</v>
      </c>
      <c r="N25">
        <v>105600000</v>
      </c>
      <c r="O25">
        <v>104400000</v>
      </c>
      <c r="P25">
        <v>102000000</v>
      </c>
      <c r="Q25">
        <v>111600000</v>
      </c>
      <c r="R25">
        <v>110400000</v>
      </c>
      <c r="S25">
        <v>114000000</v>
      </c>
    </row>
    <row r="26" spans="1:19">
      <c r="A26" t="s">
        <v>19</v>
      </c>
      <c r="B26" t="s">
        <v>20</v>
      </c>
      <c r="C26" t="s">
        <v>526</v>
      </c>
      <c r="D26" t="s">
        <v>76</v>
      </c>
      <c r="G26">
        <f t="shared" si="0"/>
        <v>200000000</v>
      </c>
      <c r="H26">
        <v>14000000</v>
      </c>
      <c r="I26">
        <v>13000000</v>
      </c>
      <c r="J26">
        <v>15600000</v>
      </c>
      <c r="K26">
        <v>16000000</v>
      </c>
      <c r="L26">
        <v>16400000</v>
      </c>
      <c r="M26">
        <v>17000000</v>
      </c>
      <c r="N26">
        <v>17600000</v>
      </c>
      <c r="O26">
        <v>17400000</v>
      </c>
      <c r="P26">
        <v>17000000</v>
      </c>
      <c r="Q26">
        <v>18600000</v>
      </c>
      <c r="R26">
        <v>18400000</v>
      </c>
      <c r="S26">
        <v>19000000</v>
      </c>
    </row>
    <row r="27" spans="1:19">
      <c r="A27" t="s">
        <v>19</v>
      </c>
      <c r="B27" t="s">
        <v>77</v>
      </c>
      <c r="C27" t="s">
        <v>527</v>
      </c>
      <c r="D27" t="s">
        <v>83</v>
      </c>
      <c r="G27">
        <f t="shared" si="0"/>
        <v>18362795784</v>
      </c>
      <c r="H27">
        <v>1299474485</v>
      </c>
      <c r="I27">
        <v>1228852768</v>
      </c>
      <c r="J27">
        <v>1439156363</v>
      </c>
      <c r="K27">
        <v>1477795087</v>
      </c>
      <c r="L27">
        <v>1514006635</v>
      </c>
      <c r="M27">
        <v>1565984415</v>
      </c>
      <c r="N27">
        <v>1615869383</v>
      </c>
      <c r="O27">
        <v>1592715545</v>
      </c>
      <c r="P27">
        <v>1558341374</v>
      </c>
      <c r="Q27">
        <v>1684783438</v>
      </c>
      <c r="R27">
        <v>1660648901</v>
      </c>
      <c r="S27">
        <v>1725167390</v>
      </c>
    </row>
    <row r="28" spans="1:19">
      <c r="A28" t="s">
        <v>19</v>
      </c>
      <c r="B28" t="s">
        <v>35</v>
      </c>
      <c r="C28" t="s">
        <v>528</v>
      </c>
      <c r="D28" t="s">
        <v>529</v>
      </c>
      <c r="G28">
        <f t="shared" si="0"/>
        <v>4920000000</v>
      </c>
      <c r="H28">
        <v>344400000</v>
      </c>
      <c r="I28">
        <v>319800000</v>
      </c>
      <c r="J28">
        <v>383760000</v>
      </c>
      <c r="K28">
        <v>393600000</v>
      </c>
      <c r="L28">
        <v>403440000</v>
      </c>
      <c r="M28">
        <v>418200000</v>
      </c>
      <c r="N28">
        <v>432960000</v>
      </c>
      <c r="O28">
        <v>428040000</v>
      </c>
      <c r="P28">
        <v>418200000</v>
      </c>
      <c r="Q28">
        <v>457560000</v>
      </c>
      <c r="R28">
        <v>452640000</v>
      </c>
      <c r="S28">
        <v>467400000</v>
      </c>
    </row>
    <row r="29" spans="1:19">
      <c r="A29" t="s">
        <v>19</v>
      </c>
      <c r="B29" t="s">
        <v>77</v>
      </c>
      <c r="C29" t="s">
        <v>530</v>
      </c>
      <c r="D29" t="s">
        <v>531</v>
      </c>
      <c r="G29">
        <f t="shared" si="0"/>
        <v>18362795784</v>
      </c>
      <c r="H29">
        <v>1299474485</v>
      </c>
      <c r="I29">
        <v>1228852768</v>
      </c>
      <c r="J29">
        <v>1439156363</v>
      </c>
      <c r="K29">
        <v>1477795087</v>
      </c>
      <c r="L29">
        <v>1514006635</v>
      </c>
      <c r="M29">
        <v>1565984415</v>
      </c>
      <c r="N29">
        <v>1615869383</v>
      </c>
      <c r="O29">
        <v>1592715545</v>
      </c>
      <c r="P29">
        <v>1558341374</v>
      </c>
      <c r="Q29">
        <v>1684783438</v>
      </c>
      <c r="R29">
        <v>1660648901</v>
      </c>
      <c r="S29">
        <v>1725167390</v>
      </c>
    </row>
    <row r="30" spans="1:19">
      <c r="A30" t="s">
        <v>19</v>
      </c>
      <c r="B30" t="s">
        <v>84</v>
      </c>
      <c r="C30" t="s">
        <v>532</v>
      </c>
      <c r="D30" t="s">
        <v>86</v>
      </c>
      <c r="G30">
        <f t="shared" si="0"/>
        <v>350000000000</v>
      </c>
      <c r="H30">
        <f t="shared" ref="H30:S30" si="7">H31+H34+H35+H36</f>
        <v>26250000000</v>
      </c>
      <c r="I30">
        <f t="shared" si="7"/>
        <v>27300000000</v>
      </c>
      <c r="J30">
        <f t="shared" si="7"/>
        <v>28700000000</v>
      </c>
      <c r="K30">
        <f t="shared" si="7"/>
        <v>29050000000</v>
      </c>
      <c r="L30">
        <f t="shared" si="7"/>
        <v>29750000000</v>
      </c>
      <c r="M30">
        <f t="shared" si="7"/>
        <v>30450000000</v>
      </c>
      <c r="N30">
        <f t="shared" si="7"/>
        <v>30800000000</v>
      </c>
      <c r="O30">
        <f t="shared" si="7"/>
        <v>30100000000</v>
      </c>
      <c r="P30">
        <f t="shared" si="7"/>
        <v>29400000000</v>
      </c>
      <c r="Q30">
        <f t="shared" si="7"/>
        <v>29050000000</v>
      </c>
      <c r="R30">
        <f t="shared" si="7"/>
        <v>28700000000</v>
      </c>
      <c r="S30">
        <f t="shared" si="7"/>
        <v>30450000000</v>
      </c>
    </row>
    <row r="31" spans="1:19">
      <c r="A31" t="s">
        <v>23</v>
      </c>
      <c r="B31" t="s">
        <v>84</v>
      </c>
      <c r="C31" t="s">
        <v>533</v>
      </c>
      <c r="D31" t="s">
        <v>88</v>
      </c>
      <c r="G31">
        <f t="shared" si="0"/>
        <v>245000000000</v>
      </c>
      <c r="H31">
        <f t="shared" ref="H31:S31" si="8">H32+H33</f>
        <v>18375000000</v>
      </c>
      <c r="I31">
        <f t="shared" si="8"/>
        <v>19110000000</v>
      </c>
      <c r="J31">
        <f t="shared" si="8"/>
        <v>20090000000</v>
      </c>
      <c r="K31">
        <f t="shared" si="8"/>
        <v>20335000000</v>
      </c>
      <c r="L31">
        <f t="shared" si="8"/>
        <v>20825000000</v>
      </c>
      <c r="M31">
        <f t="shared" si="8"/>
        <v>21315000000</v>
      </c>
      <c r="N31">
        <f t="shared" si="8"/>
        <v>21560000000</v>
      </c>
      <c r="O31">
        <f t="shared" si="8"/>
        <v>21070000000</v>
      </c>
      <c r="P31">
        <f t="shared" si="8"/>
        <v>20580000000</v>
      </c>
      <c r="Q31">
        <f t="shared" si="8"/>
        <v>20335000000</v>
      </c>
      <c r="R31">
        <f t="shared" si="8"/>
        <v>20090000000</v>
      </c>
      <c r="S31">
        <f t="shared" si="8"/>
        <v>21315000000</v>
      </c>
    </row>
    <row r="32" spans="1:19">
      <c r="A32" t="s">
        <v>26</v>
      </c>
      <c r="B32" t="s">
        <v>84</v>
      </c>
      <c r="C32" t="s">
        <v>534</v>
      </c>
      <c r="D32" t="s">
        <v>90</v>
      </c>
      <c r="G32">
        <f t="shared" si="0"/>
        <v>210000000000</v>
      </c>
      <c r="H32">
        <v>15750000000</v>
      </c>
      <c r="I32">
        <v>16380000000</v>
      </c>
      <c r="J32">
        <v>17220000000</v>
      </c>
      <c r="K32">
        <v>17430000000</v>
      </c>
      <c r="L32">
        <v>17850000000</v>
      </c>
      <c r="M32">
        <v>18270000000</v>
      </c>
      <c r="N32">
        <v>18480000000</v>
      </c>
      <c r="O32">
        <v>18060000000</v>
      </c>
      <c r="P32">
        <v>17640000000</v>
      </c>
      <c r="Q32">
        <v>17430000000</v>
      </c>
      <c r="R32">
        <v>17220000000</v>
      </c>
      <c r="S32">
        <v>18270000000</v>
      </c>
    </row>
    <row r="33" spans="1:19">
      <c r="A33" t="s">
        <v>26</v>
      </c>
      <c r="B33" t="s">
        <v>84</v>
      </c>
      <c r="C33" t="s">
        <v>535</v>
      </c>
      <c r="D33" t="s">
        <v>96</v>
      </c>
      <c r="G33">
        <f t="shared" si="0"/>
        <v>35000000000</v>
      </c>
      <c r="H33">
        <v>2625000000</v>
      </c>
      <c r="I33">
        <v>2730000000</v>
      </c>
      <c r="J33">
        <v>2870000000</v>
      </c>
      <c r="K33">
        <v>2905000000</v>
      </c>
      <c r="L33">
        <v>2975000000</v>
      </c>
      <c r="M33">
        <v>3045000000</v>
      </c>
      <c r="N33">
        <v>3080000000</v>
      </c>
      <c r="O33">
        <v>3010000000</v>
      </c>
      <c r="P33">
        <v>2940000000</v>
      </c>
      <c r="Q33">
        <v>2905000000</v>
      </c>
      <c r="R33">
        <v>2870000000</v>
      </c>
      <c r="S33">
        <v>3045000000</v>
      </c>
    </row>
    <row r="34" spans="1:19">
      <c r="A34" t="s">
        <v>23</v>
      </c>
      <c r="B34" t="s">
        <v>84</v>
      </c>
      <c r="C34" t="s">
        <v>536</v>
      </c>
      <c r="D34" t="s">
        <v>102</v>
      </c>
      <c r="G34">
        <f t="shared" si="0"/>
        <v>63000000000</v>
      </c>
      <c r="H34">
        <v>4725000000</v>
      </c>
      <c r="I34">
        <v>4914000000</v>
      </c>
      <c r="J34">
        <v>5166000000</v>
      </c>
      <c r="K34">
        <v>5229000000</v>
      </c>
      <c r="L34">
        <v>5355000000</v>
      </c>
      <c r="M34">
        <v>5481000000</v>
      </c>
      <c r="N34">
        <v>5544000000</v>
      </c>
      <c r="O34">
        <v>5418000000</v>
      </c>
      <c r="P34">
        <v>5292000000</v>
      </c>
      <c r="Q34">
        <v>5229000000</v>
      </c>
      <c r="R34">
        <v>5166000000</v>
      </c>
      <c r="S34">
        <v>5481000000</v>
      </c>
    </row>
    <row r="35" spans="1:19">
      <c r="A35" t="s">
        <v>23</v>
      </c>
      <c r="B35" t="s">
        <v>84</v>
      </c>
      <c r="C35" t="s">
        <v>537</v>
      </c>
      <c r="D35" t="s">
        <v>104</v>
      </c>
      <c r="G35">
        <f t="shared" si="0"/>
        <v>28000000000</v>
      </c>
      <c r="H35">
        <v>2100000000</v>
      </c>
      <c r="I35">
        <v>2184000000</v>
      </c>
      <c r="J35">
        <v>2296000000</v>
      </c>
      <c r="K35">
        <v>2324000000</v>
      </c>
      <c r="L35">
        <v>2380000000</v>
      </c>
      <c r="M35">
        <v>2436000000</v>
      </c>
      <c r="N35">
        <v>2464000000</v>
      </c>
      <c r="O35">
        <v>2408000000</v>
      </c>
      <c r="P35">
        <v>2352000000</v>
      </c>
      <c r="Q35">
        <v>2324000000</v>
      </c>
      <c r="R35">
        <v>2296000000</v>
      </c>
      <c r="S35">
        <v>2436000000</v>
      </c>
    </row>
    <row r="36" spans="1:19">
      <c r="A36" t="s">
        <v>23</v>
      </c>
      <c r="B36" t="s">
        <v>84</v>
      </c>
      <c r="C36" t="s">
        <v>538</v>
      </c>
      <c r="D36" t="s">
        <v>112</v>
      </c>
      <c r="G36">
        <f t="shared" si="0"/>
        <v>14000000000</v>
      </c>
      <c r="H36">
        <v>1050000000</v>
      </c>
      <c r="I36">
        <v>1092000000</v>
      </c>
      <c r="J36">
        <v>1148000000</v>
      </c>
      <c r="K36">
        <v>1162000000</v>
      </c>
      <c r="L36">
        <v>1190000000</v>
      </c>
      <c r="M36">
        <v>1218000000</v>
      </c>
      <c r="N36">
        <v>1232000000</v>
      </c>
      <c r="O36">
        <v>1204000000</v>
      </c>
      <c r="P36">
        <v>1176000000</v>
      </c>
      <c r="Q36">
        <v>1162000000</v>
      </c>
      <c r="R36">
        <v>1148000000</v>
      </c>
      <c r="S36">
        <v>1218000000</v>
      </c>
    </row>
    <row r="37" spans="1:19">
      <c r="A37" t="s">
        <v>19</v>
      </c>
      <c r="B37" t="s">
        <v>130</v>
      </c>
      <c r="C37" t="s">
        <v>539</v>
      </c>
      <c r="D37" t="s">
        <v>132</v>
      </c>
      <c r="G37">
        <f t="shared" si="0"/>
        <v>500000000000</v>
      </c>
      <c r="H37">
        <f t="shared" ref="H37:S37" si="9">H38+H39+H40+H41</f>
        <v>37500000000</v>
      </c>
      <c r="I37">
        <f t="shared" si="9"/>
        <v>39000000000</v>
      </c>
      <c r="J37">
        <f t="shared" si="9"/>
        <v>41000000000</v>
      </c>
      <c r="K37">
        <f t="shared" si="9"/>
        <v>41500000000</v>
      </c>
      <c r="L37">
        <f t="shared" si="9"/>
        <v>42500000000</v>
      </c>
      <c r="M37">
        <f t="shared" si="9"/>
        <v>43500000000</v>
      </c>
      <c r="N37">
        <f t="shared" si="9"/>
        <v>44000000000</v>
      </c>
      <c r="O37">
        <f t="shared" si="9"/>
        <v>43000000000</v>
      </c>
      <c r="P37">
        <f t="shared" si="9"/>
        <v>42000000000</v>
      </c>
      <c r="Q37">
        <f t="shared" si="9"/>
        <v>41500000000</v>
      </c>
      <c r="R37">
        <f t="shared" si="9"/>
        <v>41000000000</v>
      </c>
      <c r="S37">
        <f t="shared" si="9"/>
        <v>43500000000</v>
      </c>
    </row>
    <row r="38" spans="1:19">
      <c r="A38" t="s">
        <v>23</v>
      </c>
      <c r="B38" t="s">
        <v>130</v>
      </c>
      <c r="C38" t="s">
        <v>540</v>
      </c>
      <c r="D38" t="s">
        <v>541</v>
      </c>
      <c r="G38">
        <f t="shared" si="0"/>
        <v>450000000000</v>
      </c>
      <c r="H38">
        <v>33750000000</v>
      </c>
      <c r="I38">
        <v>35100000000</v>
      </c>
      <c r="J38">
        <v>36900000000</v>
      </c>
      <c r="K38">
        <v>37350000000</v>
      </c>
      <c r="L38">
        <v>38250000000</v>
      </c>
      <c r="M38">
        <v>39150000000</v>
      </c>
      <c r="N38">
        <v>39600000000</v>
      </c>
      <c r="O38">
        <v>38700000000</v>
      </c>
      <c r="P38">
        <v>37800000000</v>
      </c>
      <c r="Q38">
        <v>37350000000</v>
      </c>
      <c r="R38">
        <v>36900000000</v>
      </c>
      <c r="S38">
        <v>39150000000</v>
      </c>
    </row>
    <row r="39" spans="1:19">
      <c r="A39" t="s">
        <v>23</v>
      </c>
      <c r="B39" t="s">
        <v>130</v>
      </c>
      <c r="C39" t="s">
        <v>542</v>
      </c>
      <c r="D39" t="s">
        <v>140</v>
      </c>
      <c r="G39">
        <f t="shared" si="0"/>
        <v>30000000000</v>
      </c>
      <c r="H39">
        <v>2250000000</v>
      </c>
      <c r="I39">
        <v>2340000000</v>
      </c>
      <c r="J39">
        <v>2460000000</v>
      </c>
      <c r="K39">
        <v>2490000000</v>
      </c>
      <c r="L39">
        <v>2550000000</v>
      </c>
      <c r="M39">
        <v>2610000000</v>
      </c>
      <c r="N39">
        <v>2640000000</v>
      </c>
      <c r="O39">
        <v>2580000000</v>
      </c>
      <c r="P39">
        <v>2520000000</v>
      </c>
      <c r="Q39">
        <v>2490000000</v>
      </c>
      <c r="R39">
        <v>2460000000</v>
      </c>
      <c r="S39">
        <v>2610000000</v>
      </c>
    </row>
    <row r="40" spans="1:19">
      <c r="A40" t="s">
        <v>23</v>
      </c>
      <c r="B40" t="s">
        <v>130</v>
      </c>
      <c r="C40" t="s">
        <v>543</v>
      </c>
      <c r="D40" t="s">
        <v>544</v>
      </c>
      <c r="G40">
        <f t="shared" si="0"/>
        <v>10000000000</v>
      </c>
      <c r="H40">
        <v>750000000</v>
      </c>
      <c r="I40">
        <v>780000000</v>
      </c>
      <c r="J40">
        <v>820000000</v>
      </c>
      <c r="K40">
        <v>830000000</v>
      </c>
      <c r="L40">
        <v>850000000</v>
      </c>
      <c r="M40">
        <v>870000000</v>
      </c>
      <c r="N40">
        <v>880000000</v>
      </c>
      <c r="O40">
        <v>860000000</v>
      </c>
      <c r="P40">
        <v>840000000</v>
      </c>
      <c r="Q40">
        <v>830000000</v>
      </c>
      <c r="R40">
        <v>820000000</v>
      </c>
      <c r="S40">
        <v>870000000</v>
      </c>
    </row>
    <row r="41" spans="1:19">
      <c r="A41" t="s">
        <v>23</v>
      </c>
      <c r="B41" t="s">
        <v>130</v>
      </c>
      <c r="C41" t="s">
        <v>545</v>
      </c>
      <c r="D41" t="s">
        <v>546</v>
      </c>
      <c r="G41">
        <f t="shared" si="0"/>
        <v>10000000000</v>
      </c>
      <c r="H41">
        <v>750000000</v>
      </c>
      <c r="I41">
        <v>780000000</v>
      </c>
      <c r="J41">
        <v>820000000</v>
      </c>
      <c r="K41">
        <v>830000000</v>
      </c>
      <c r="L41">
        <v>850000000</v>
      </c>
      <c r="M41">
        <v>870000000</v>
      </c>
      <c r="N41">
        <v>880000000</v>
      </c>
      <c r="O41">
        <v>860000000</v>
      </c>
      <c r="P41">
        <v>840000000</v>
      </c>
      <c r="Q41">
        <v>830000000</v>
      </c>
      <c r="R41">
        <v>820000000</v>
      </c>
      <c r="S41">
        <v>870000000</v>
      </c>
    </row>
    <row r="42" spans="1:19">
      <c r="A42" t="s">
        <v>19</v>
      </c>
      <c r="B42" t="s">
        <v>179</v>
      </c>
      <c r="C42" t="s">
        <v>547</v>
      </c>
      <c r="D42" t="s">
        <v>548</v>
      </c>
      <c r="G42">
        <f t="shared" si="0"/>
        <v>350</v>
      </c>
      <c r="H42">
        <v>24.5</v>
      </c>
      <c r="I42">
        <v>22.75</v>
      </c>
      <c r="J42">
        <v>27.3</v>
      </c>
      <c r="K42">
        <v>28</v>
      </c>
      <c r="L42">
        <v>28.7</v>
      </c>
      <c r="M42">
        <v>29.75</v>
      </c>
      <c r="N42">
        <v>30.8</v>
      </c>
      <c r="O42">
        <v>30.45</v>
      </c>
      <c r="P42">
        <v>29.75</v>
      </c>
      <c r="Q42">
        <v>32.55</v>
      </c>
      <c r="R42">
        <v>32.2</v>
      </c>
      <c r="S42">
        <v>33.25</v>
      </c>
    </row>
    <row r="43" spans="1:19">
      <c r="A43" t="s">
        <v>19</v>
      </c>
      <c r="B43" t="s">
        <v>179</v>
      </c>
      <c r="C43" t="s">
        <v>549</v>
      </c>
      <c r="D43" t="s">
        <v>550</v>
      </c>
      <c r="G43">
        <f t="shared" si="0"/>
        <v>3.51</v>
      </c>
      <c r="H43">
        <v>0.25</v>
      </c>
      <c r="I43">
        <v>0.23</v>
      </c>
      <c r="J43">
        <v>0.27</v>
      </c>
      <c r="K43">
        <v>0.28</v>
      </c>
      <c r="L43">
        <v>0.29</v>
      </c>
      <c r="M43">
        <v>0.3</v>
      </c>
      <c r="N43">
        <v>0.31</v>
      </c>
      <c r="O43">
        <v>0.3</v>
      </c>
      <c r="P43">
        <v>0.3</v>
      </c>
      <c r="Q43">
        <v>0.33</v>
      </c>
      <c r="R43">
        <v>0.32</v>
      </c>
      <c r="S43">
        <v>0.33</v>
      </c>
    </row>
    <row r="44" spans="1:19">
      <c r="A44" t="s">
        <v>19</v>
      </c>
      <c r="B44" t="s">
        <v>84</v>
      </c>
      <c r="C44" t="s">
        <v>551</v>
      </c>
      <c r="D44" t="s">
        <v>552</v>
      </c>
      <c r="G44">
        <f t="shared" si="0"/>
        <v>2450000000</v>
      </c>
      <c r="H44">
        <f t="shared" ref="H44:S44" si="10">H45+H47</f>
        <v>171500000</v>
      </c>
      <c r="I44">
        <f t="shared" si="10"/>
        <v>159250000</v>
      </c>
      <c r="J44">
        <f t="shared" si="10"/>
        <v>191100000</v>
      </c>
      <c r="K44">
        <f t="shared" si="10"/>
        <v>196000000</v>
      </c>
      <c r="L44">
        <f t="shared" si="10"/>
        <v>200900000</v>
      </c>
      <c r="M44">
        <f t="shared" si="10"/>
        <v>208250000</v>
      </c>
      <c r="N44">
        <f t="shared" si="10"/>
        <v>215600000</v>
      </c>
      <c r="O44">
        <f t="shared" si="10"/>
        <v>213150000</v>
      </c>
      <c r="P44">
        <f t="shared" si="10"/>
        <v>208250000</v>
      </c>
      <c r="Q44">
        <f t="shared" si="10"/>
        <v>227850000</v>
      </c>
      <c r="R44">
        <f t="shared" si="10"/>
        <v>225400000</v>
      </c>
      <c r="S44">
        <f t="shared" si="10"/>
        <v>232750000</v>
      </c>
    </row>
    <row r="45" spans="1:19">
      <c r="A45" t="s">
        <v>23</v>
      </c>
      <c r="B45" t="s">
        <v>84</v>
      </c>
      <c r="C45" t="s">
        <v>553</v>
      </c>
      <c r="D45" t="s">
        <v>554</v>
      </c>
      <c r="G45">
        <f t="shared" si="0"/>
        <v>1750000000</v>
      </c>
      <c r="H45">
        <f t="shared" ref="H45:S45" si="11">H46</f>
        <v>122500000</v>
      </c>
      <c r="I45">
        <f t="shared" si="11"/>
        <v>113750000</v>
      </c>
      <c r="J45">
        <f t="shared" si="11"/>
        <v>136500000</v>
      </c>
      <c r="K45">
        <f t="shared" si="11"/>
        <v>140000000</v>
      </c>
      <c r="L45">
        <f t="shared" si="11"/>
        <v>143500000</v>
      </c>
      <c r="M45">
        <f t="shared" si="11"/>
        <v>148750000</v>
      </c>
      <c r="N45">
        <f t="shared" si="11"/>
        <v>154000000</v>
      </c>
      <c r="O45">
        <f t="shared" si="11"/>
        <v>152250000</v>
      </c>
      <c r="P45">
        <f t="shared" si="11"/>
        <v>148750000</v>
      </c>
      <c r="Q45">
        <f t="shared" si="11"/>
        <v>162750000</v>
      </c>
      <c r="R45">
        <f t="shared" si="11"/>
        <v>161000000</v>
      </c>
      <c r="S45">
        <f t="shared" si="11"/>
        <v>166250000</v>
      </c>
    </row>
    <row r="46" spans="1:19">
      <c r="A46" t="s">
        <v>26</v>
      </c>
      <c r="B46" t="s">
        <v>84</v>
      </c>
      <c r="C46" t="s">
        <v>555</v>
      </c>
      <c r="D46" t="s">
        <v>508</v>
      </c>
      <c r="G46">
        <f t="shared" si="0"/>
        <v>1750000000</v>
      </c>
      <c r="H46">
        <v>122500000</v>
      </c>
      <c r="I46">
        <v>113750000</v>
      </c>
      <c r="J46">
        <v>136500000</v>
      </c>
      <c r="K46">
        <v>140000000</v>
      </c>
      <c r="L46">
        <v>143500000</v>
      </c>
      <c r="M46">
        <v>148750000</v>
      </c>
      <c r="N46">
        <v>154000000</v>
      </c>
      <c r="O46">
        <v>152250000</v>
      </c>
      <c r="P46">
        <v>148750000</v>
      </c>
      <c r="Q46">
        <v>162750000</v>
      </c>
      <c r="R46">
        <v>161000000</v>
      </c>
      <c r="S46">
        <v>166250000</v>
      </c>
    </row>
    <row r="47" spans="1:19">
      <c r="A47" t="s">
        <v>23</v>
      </c>
      <c r="B47" t="s">
        <v>84</v>
      </c>
      <c r="C47" t="s">
        <v>556</v>
      </c>
      <c r="D47" t="s">
        <v>557</v>
      </c>
      <c r="G47">
        <f t="shared" si="0"/>
        <v>700000000</v>
      </c>
      <c r="H47">
        <v>49000000</v>
      </c>
      <c r="I47">
        <v>45500000</v>
      </c>
      <c r="J47">
        <v>54600000</v>
      </c>
      <c r="K47">
        <v>56000000</v>
      </c>
      <c r="L47">
        <v>57400000</v>
      </c>
      <c r="M47">
        <v>59500000</v>
      </c>
      <c r="N47">
        <v>61600000</v>
      </c>
      <c r="O47">
        <v>60900000</v>
      </c>
      <c r="P47">
        <v>59500000</v>
      </c>
      <c r="Q47">
        <v>65100000</v>
      </c>
      <c r="R47">
        <v>64400000</v>
      </c>
      <c r="S47">
        <v>66500000</v>
      </c>
    </row>
    <row r="48" spans="1:19">
      <c r="A48" t="s">
        <v>19</v>
      </c>
      <c r="B48" t="s">
        <v>84</v>
      </c>
      <c r="C48" t="s">
        <v>558</v>
      </c>
      <c r="D48" t="s">
        <v>559</v>
      </c>
      <c r="G48">
        <f t="shared" si="0"/>
        <v>11200000000</v>
      </c>
      <c r="H48">
        <f t="shared" ref="H48:S48" si="12">H49+H50</f>
        <v>784000000</v>
      </c>
      <c r="I48">
        <f t="shared" si="12"/>
        <v>728000000</v>
      </c>
      <c r="J48">
        <f t="shared" si="12"/>
        <v>873600000</v>
      </c>
      <c r="K48">
        <f t="shared" si="12"/>
        <v>896000000</v>
      </c>
      <c r="L48">
        <f t="shared" si="12"/>
        <v>918400000</v>
      </c>
      <c r="M48">
        <f t="shared" si="12"/>
        <v>952000000</v>
      </c>
      <c r="N48">
        <f t="shared" si="12"/>
        <v>985600000</v>
      </c>
      <c r="O48">
        <f t="shared" si="12"/>
        <v>974400000</v>
      </c>
      <c r="P48">
        <f t="shared" si="12"/>
        <v>952000000</v>
      </c>
      <c r="Q48">
        <f t="shared" si="12"/>
        <v>1041600000</v>
      </c>
      <c r="R48">
        <f t="shared" si="12"/>
        <v>1030400000</v>
      </c>
      <c r="S48">
        <f t="shared" si="12"/>
        <v>1064000000</v>
      </c>
    </row>
    <row r="49" spans="1:19">
      <c r="A49" t="s">
        <v>23</v>
      </c>
      <c r="B49" t="s">
        <v>84</v>
      </c>
      <c r="C49" t="s">
        <v>560</v>
      </c>
      <c r="D49" t="s">
        <v>561</v>
      </c>
      <c r="G49">
        <f t="shared" si="0"/>
        <v>10500000000</v>
      </c>
      <c r="H49">
        <v>735000000</v>
      </c>
      <c r="I49">
        <v>682500000</v>
      </c>
      <c r="J49">
        <v>819000000</v>
      </c>
      <c r="K49">
        <v>840000000</v>
      </c>
      <c r="L49">
        <v>861000000</v>
      </c>
      <c r="M49">
        <v>892500000</v>
      </c>
      <c r="N49">
        <v>924000000</v>
      </c>
      <c r="O49">
        <v>913500000</v>
      </c>
      <c r="P49">
        <v>892500000</v>
      </c>
      <c r="Q49">
        <v>976500000</v>
      </c>
      <c r="R49">
        <v>966000000</v>
      </c>
      <c r="S49">
        <v>997500000</v>
      </c>
    </row>
    <row r="50" spans="1:19">
      <c r="A50" t="s">
        <v>23</v>
      </c>
      <c r="B50" t="s">
        <v>84</v>
      </c>
      <c r="C50" t="s">
        <v>562</v>
      </c>
      <c r="D50" t="s">
        <v>563</v>
      </c>
      <c r="G50">
        <f t="shared" si="0"/>
        <v>700000000</v>
      </c>
      <c r="H50">
        <v>49000000</v>
      </c>
      <c r="I50">
        <v>45500000</v>
      </c>
      <c r="J50">
        <v>54600000</v>
      </c>
      <c r="K50">
        <v>56000000</v>
      </c>
      <c r="L50">
        <v>57400000</v>
      </c>
      <c r="M50">
        <v>59500000</v>
      </c>
      <c r="N50">
        <v>61600000</v>
      </c>
      <c r="O50">
        <v>60900000</v>
      </c>
      <c r="P50">
        <v>59500000</v>
      </c>
      <c r="Q50">
        <v>65100000</v>
      </c>
      <c r="R50">
        <v>64400000</v>
      </c>
      <c r="S50">
        <v>66500000</v>
      </c>
    </row>
    <row r="51" spans="1:19">
      <c r="A51" t="s">
        <v>19</v>
      </c>
      <c r="B51" t="s">
        <v>179</v>
      </c>
      <c r="C51" t="s">
        <v>564</v>
      </c>
      <c r="D51" t="s">
        <v>565</v>
      </c>
      <c r="G51">
        <f t="shared" si="0"/>
        <v>0.71</v>
      </c>
      <c r="H51">
        <f t="shared" ref="H51:S51" si="13">H53</f>
        <v>0.05</v>
      </c>
      <c r="I51">
        <f t="shared" si="13"/>
        <v>0.05</v>
      </c>
      <c r="J51">
        <f t="shared" si="13"/>
        <v>0.05</v>
      </c>
      <c r="K51">
        <f t="shared" si="13"/>
        <v>0.06</v>
      </c>
      <c r="L51">
        <f t="shared" si="13"/>
        <v>0.06</v>
      </c>
      <c r="M51">
        <f t="shared" si="13"/>
        <v>0.06</v>
      </c>
      <c r="N51">
        <f t="shared" si="13"/>
        <v>0.06</v>
      </c>
      <c r="O51">
        <f t="shared" si="13"/>
        <v>0.06</v>
      </c>
      <c r="P51">
        <f t="shared" si="13"/>
        <v>0.06</v>
      </c>
      <c r="Q51">
        <f t="shared" si="13"/>
        <v>0.07</v>
      </c>
      <c r="R51">
        <f t="shared" si="13"/>
        <v>0.06</v>
      </c>
      <c r="S51">
        <f t="shared" si="13"/>
        <v>0.07</v>
      </c>
    </row>
    <row r="52" spans="1:19">
      <c r="A52" t="s">
        <v>19</v>
      </c>
      <c r="B52" t="s">
        <v>179</v>
      </c>
      <c r="C52" t="s">
        <v>566</v>
      </c>
      <c r="D52" t="s">
        <v>567</v>
      </c>
      <c r="G52">
        <f t="shared" si="0"/>
        <v>2.81</v>
      </c>
      <c r="H52">
        <v>0.2</v>
      </c>
      <c r="I52">
        <v>0.18</v>
      </c>
      <c r="J52">
        <v>0.22</v>
      </c>
      <c r="K52">
        <v>0.22</v>
      </c>
      <c r="L52">
        <v>0.23</v>
      </c>
      <c r="M52">
        <v>0.24</v>
      </c>
      <c r="N52">
        <v>0.25</v>
      </c>
      <c r="O52">
        <v>0.24</v>
      </c>
      <c r="P52">
        <v>0.24</v>
      </c>
      <c r="Q52">
        <v>0.26</v>
      </c>
      <c r="R52">
        <v>0.26</v>
      </c>
      <c r="S52">
        <v>0.27</v>
      </c>
    </row>
    <row r="53" spans="1:19">
      <c r="A53" t="s">
        <v>23</v>
      </c>
      <c r="B53" t="s">
        <v>179</v>
      </c>
      <c r="C53" t="s">
        <v>568</v>
      </c>
      <c r="D53" t="s">
        <v>569</v>
      </c>
      <c r="G53">
        <f t="shared" si="0"/>
        <v>0.71</v>
      </c>
      <c r="H53">
        <v>0.05</v>
      </c>
      <c r="I53">
        <v>0.05</v>
      </c>
      <c r="J53">
        <v>0.05</v>
      </c>
      <c r="K53">
        <v>0.06</v>
      </c>
      <c r="L53">
        <v>0.06</v>
      </c>
      <c r="M53">
        <v>0.06</v>
      </c>
      <c r="N53">
        <v>0.06</v>
      </c>
      <c r="O53">
        <v>0.06</v>
      </c>
      <c r="P53">
        <v>0.06</v>
      </c>
      <c r="Q53">
        <v>0.07</v>
      </c>
      <c r="R53">
        <v>0.06</v>
      </c>
      <c r="S53">
        <v>0.07</v>
      </c>
    </row>
    <row r="54" spans="1:19">
      <c r="A54" t="s">
        <v>19</v>
      </c>
      <c r="B54" t="s">
        <v>179</v>
      </c>
      <c r="C54" t="s">
        <v>570</v>
      </c>
      <c r="D54" t="s">
        <v>571</v>
      </c>
      <c r="G54">
        <f t="shared" si="0"/>
        <v>107.41</v>
      </c>
      <c r="H54">
        <f t="shared" ref="H54:S54" si="14">H55+H56+H57+H58+H59</f>
        <v>7.53</v>
      </c>
      <c r="I54">
        <f t="shared" si="14"/>
        <v>6.99</v>
      </c>
      <c r="J54">
        <f t="shared" si="14"/>
        <v>8.38</v>
      </c>
      <c r="K54">
        <f t="shared" si="14"/>
        <v>8.6</v>
      </c>
      <c r="L54">
        <f t="shared" si="14"/>
        <v>8.81</v>
      </c>
      <c r="M54">
        <f t="shared" si="14"/>
        <v>9.12</v>
      </c>
      <c r="N54">
        <f t="shared" si="14"/>
        <v>9.46</v>
      </c>
      <c r="O54">
        <f t="shared" si="14"/>
        <v>9.34</v>
      </c>
      <c r="P54">
        <f t="shared" si="14"/>
        <v>9.12</v>
      </c>
      <c r="Q54">
        <f t="shared" si="14"/>
        <v>9.99</v>
      </c>
      <c r="R54">
        <f t="shared" si="14"/>
        <v>9.87</v>
      </c>
      <c r="S54">
        <f t="shared" si="14"/>
        <v>10.2</v>
      </c>
    </row>
    <row r="55" spans="1:19">
      <c r="A55" t="s">
        <v>23</v>
      </c>
      <c r="B55" t="s">
        <v>179</v>
      </c>
      <c r="C55" t="s">
        <v>572</v>
      </c>
      <c r="D55" t="s">
        <v>573</v>
      </c>
      <c r="G55">
        <f t="shared" si="0"/>
        <v>23.69</v>
      </c>
      <c r="H55">
        <v>1.66</v>
      </c>
      <c r="I55">
        <v>1.54</v>
      </c>
      <c r="J55">
        <v>1.85</v>
      </c>
      <c r="K55">
        <v>1.9</v>
      </c>
      <c r="L55">
        <v>1.94</v>
      </c>
      <c r="M55">
        <v>2.01</v>
      </c>
      <c r="N55">
        <v>2.09</v>
      </c>
      <c r="O55">
        <v>2.06</v>
      </c>
      <c r="P55">
        <v>2.01</v>
      </c>
      <c r="Q55">
        <v>2.2</v>
      </c>
      <c r="R55">
        <v>2.18</v>
      </c>
      <c r="S55">
        <v>2.25</v>
      </c>
    </row>
    <row r="56" spans="1:19">
      <c r="A56" t="s">
        <v>23</v>
      </c>
      <c r="B56" t="s">
        <v>179</v>
      </c>
      <c r="C56" t="s">
        <v>574</v>
      </c>
      <c r="D56" t="s">
        <v>575</v>
      </c>
      <c r="G56">
        <f t="shared" si="0"/>
        <v>44.72</v>
      </c>
      <c r="H56">
        <v>3.13</v>
      </c>
      <c r="I56">
        <v>2.91</v>
      </c>
      <c r="J56">
        <v>3.49</v>
      </c>
      <c r="K56">
        <v>3.58</v>
      </c>
      <c r="L56">
        <v>3.67</v>
      </c>
      <c r="M56">
        <v>3.8</v>
      </c>
      <c r="N56">
        <v>3.93</v>
      </c>
      <c r="O56">
        <v>3.89</v>
      </c>
      <c r="P56">
        <v>3.8</v>
      </c>
      <c r="Q56">
        <v>4.16</v>
      </c>
      <c r="R56">
        <v>4.11</v>
      </c>
      <c r="S56">
        <v>4.25</v>
      </c>
    </row>
    <row r="57" spans="1:19">
      <c r="A57" t="s">
        <v>23</v>
      </c>
      <c r="B57" t="s">
        <v>179</v>
      </c>
      <c r="C57" t="s">
        <v>576</v>
      </c>
      <c r="D57" t="s">
        <v>577</v>
      </c>
      <c r="G57">
        <f t="shared" si="0"/>
        <v>2.11</v>
      </c>
      <c r="H57">
        <v>0.15</v>
      </c>
      <c r="I57">
        <v>0.14</v>
      </c>
      <c r="J57">
        <v>0.16</v>
      </c>
      <c r="K57">
        <v>0.17</v>
      </c>
      <c r="L57">
        <v>0.17</v>
      </c>
      <c r="M57">
        <v>0.18</v>
      </c>
      <c r="N57">
        <v>0.19</v>
      </c>
      <c r="O57">
        <v>0.18</v>
      </c>
      <c r="P57">
        <v>0.18</v>
      </c>
      <c r="Q57">
        <v>0.2</v>
      </c>
      <c r="R57">
        <v>0.19</v>
      </c>
      <c r="S57">
        <v>0.2</v>
      </c>
    </row>
    <row r="58" spans="1:19">
      <c r="A58" t="s">
        <v>23</v>
      </c>
      <c r="B58" t="s">
        <v>179</v>
      </c>
      <c r="C58" t="s">
        <v>578</v>
      </c>
      <c r="D58" t="s">
        <v>579</v>
      </c>
      <c r="G58">
        <f t="shared" si="0"/>
        <v>21.1</v>
      </c>
      <c r="H58">
        <v>1.48</v>
      </c>
      <c r="I58">
        <v>1.37</v>
      </c>
      <c r="J58">
        <v>1.65</v>
      </c>
      <c r="K58">
        <v>1.69</v>
      </c>
      <c r="L58">
        <v>1.73</v>
      </c>
      <c r="M58">
        <v>1.79</v>
      </c>
      <c r="N58">
        <v>1.86</v>
      </c>
      <c r="O58">
        <v>1.84</v>
      </c>
      <c r="P58">
        <v>1.79</v>
      </c>
      <c r="Q58">
        <v>1.96</v>
      </c>
      <c r="R58">
        <v>1.94</v>
      </c>
      <c r="S58">
        <v>2</v>
      </c>
    </row>
    <row r="59" spans="1:19">
      <c r="A59" t="s">
        <v>23</v>
      </c>
      <c r="B59" t="s">
        <v>179</v>
      </c>
      <c r="C59" t="s">
        <v>580</v>
      </c>
      <c r="D59" t="s">
        <v>581</v>
      </c>
      <c r="G59">
        <f t="shared" si="0"/>
        <v>15.79</v>
      </c>
      <c r="H59">
        <v>1.11</v>
      </c>
      <c r="I59">
        <v>1.03</v>
      </c>
      <c r="J59">
        <v>1.23</v>
      </c>
      <c r="K59">
        <v>1.26</v>
      </c>
      <c r="L59">
        <v>1.3</v>
      </c>
      <c r="M59">
        <v>1.34</v>
      </c>
      <c r="N59">
        <v>1.39</v>
      </c>
      <c r="O59">
        <v>1.37</v>
      </c>
      <c r="P59">
        <v>1.34</v>
      </c>
      <c r="Q59">
        <v>1.47</v>
      </c>
      <c r="R59">
        <v>1.45</v>
      </c>
      <c r="S59">
        <v>1.5</v>
      </c>
    </row>
    <row r="60" spans="1:19">
      <c r="A60" t="s">
        <v>19</v>
      </c>
      <c r="B60" t="s">
        <v>393</v>
      </c>
      <c r="C60" t="s">
        <v>582</v>
      </c>
      <c r="D60" t="s">
        <v>395</v>
      </c>
      <c r="G60">
        <f t="shared" si="0"/>
        <v>6330000000</v>
      </c>
      <c r="H60">
        <f t="shared" ref="H60:S60" si="15">H61+H77</f>
        <v>443100000</v>
      </c>
      <c r="I60">
        <f t="shared" si="15"/>
        <v>411450000</v>
      </c>
      <c r="J60">
        <f t="shared" si="15"/>
        <v>493740000</v>
      </c>
      <c r="K60">
        <f t="shared" si="15"/>
        <v>506400000</v>
      </c>
      <c r="L60">
        <f t="shared" si="15"/>
        <v>519060000</v>
      </c>
      <c r="M60">
        <f t="shared" si="15"/>
        <v>538050000</v>
      </c>
      <c r="N60">
        <f t="shared" si="15"/>
        <v>557040000</v>
      </c>
      <c r="O60">
        <f t="shared" si="15"/>
        <v>550710000</v>
      </c>
      <c r="P60">
        <f t="shared" si="15"/>
        <v>538050000</v>
      </c>
      <c r="Q60">
        <f t="shared" si="15"/>
        <v>588690000</v>
      </c>
      <c r="R60">
        <f t="shared" si="15"/>
        <v>582360000</v>
      </c>
      <c r="S60">
        <f t="shared" si="15"/>
        <v>601350000</v>
      </c>
    </row>
    <row r="61" spans="1:19">
      <c r="A61" t="s">
        <v>23</v>
      </c>
      <c r="B61" t="s">
        <v>393</v>
      </c>
      <c r="C61" t="s">
        <v>583</v>
      </c>
      <c r="D61" t="s">
        <v>397</v>
      </c>
      <c r="G61">
        <f t="shared" si="0"/>
        <v>4200000000</v>
      </c>
      <c r="H61">
        <f t="shared" ref="H61:S61" si="16">H62+H65+H68+H75+H76</f>
        <v>294000000</v>
      </c>
      <c r="I61">
        <f t="shared" si="16"/>
        <v>273000000</v>
      </c>
      <c r="J61">
        <f t="shared" si="16"/>
        <v>327600000</v>
      </c>
      <c r="K61">
        <f t="shared" si="16"/>
        <v>336000000</v>
      </c>
      <c r="L61">
        <f t="shared" si="16"/>
        <v>344400000</v>
      </c>
      <c r="M61">
        <f t="shared" si="16"/>
        <v>357000000</v>
      </c>
      <c r="N61">
        <f t="shared" si="16"/>
        <v>369600000</v>
      </c>
      <c r="O61">
        <f t="shared" si="16"/>
        <v>365400000</v>
      </c>
      <c r="P61">
        <f t="shared" si="16"/>
        <v>357000000</v>
      </c>
      <c r="Q61">
        <f t="shared" si="16"/>
        <v>390600000</v>
      </c>
      <c r="R61">
        <f t="shared" si="16"/>
        <v>386400000</v>
      </c>
      <c r="S61">
        <f t="shared" si="16"/>
        <v>399000000</v>
      </c>
    </row>
    <row r="62" spans="1:19">
      <c r="A62" t="s">
        <v>26</v>
      </c>
      <c r="B62" t="s">
        <v>393</v>
      </c>
      <c r="C62" t="s">
        <v>584</v>
      </c>
      <c r="D62" t="s">
        <v>399</v>
      </c>
      <c r="G62">
        <f t="shared" si="0"/>
        <v>1500000000</v>
      </c>
      <c r="H62">
        <f t="shared" ref="H62:S62" si="17">H63+H64</f>
        <v>105000000</v>
      </c>
      <c r="I62">
        <f t="shared" si="17"/>
        <v>97500000</v>
      </c>
      <c r="J62">
        <f t="shared" si="17"/>
        <v>117000000</v>
      </c>
      <c r="K62">
        <f t="shared" si="17"/>
        <v>120000000</v>
      </c>
      <c r="L62">
        <f t="shared" si="17"/>
        <v>123000000</v>
      </c>
      <c r="M62">
        <f t="shared" si="17"/>
        <v>127500000</v>
      </c>
      <c r="N62">
        <f t="shared" si="17"/>
        <v>132000000</v>
      </c>
      <c r="O62">
        <f t="shared" si="17"/>
        <v>130500000</v>
      </c>
      <c r="P62">
        <f t="shared" si="17"/>
        <v>127500000</v>
      </c>
      <c r="Q62">
        <f t="shared" si="17"/>
        <v>139500000</v>
      </c>
      <c r="R62">
        <f t="shared" si="17"/>
        <v>138000000</v>
      </c>
      <c r="S62">
        <f t="shared" si="17"/>
        <v>142500000</v>
      </c>
    </row>
    <row r="63" spans="1:19">
      <c r="A63" t="s">
        <v>60</v>
      </c>
      <c r="B63" t="s">
        <v>393</v>
      </c>
      <c r="C63" t="s">
        <v>585</v>
      </c>
      <c r="D63" t="s">
        <v>401</v>
      </c>
      <c r="G63">
        <f t="shared" si="0"/>
        <v>1080000000</v>
      </c>
      <c r="H63">
        <v>75600000</v>
      </c>
      <c r="I63">
        <v>70200000</v>
      </c>
      <c r="J63">
        <v>84240000</v>
      </c>
      <c r="K63">
        <v>86400000</v>
      </c>
      <c r="L63">
        <v>88560000</v>
      </c>
      <c r="M63">
        <v>91800000</v>
      </c>
      <c r="N63">
        <v>95040000</v>
      </c>
      <c r="O63">
        <v>93960000</v>
      </c>
      <c r="P63">
        <v>91800000</v>
      </c>
      <c r="Q63">
        <v>100440000</v>
      </c>
      <c r="R63">
        <v>99360000</v>
      </c>
      <c r="S63">
        <v>102600000</v>
      </c>
    </row>
    <row r="64" spans="1:19">
      <c r="A64" t="s">
        <v>60</v>
      </c>
      <c r="B64" t="s">
        <v>393</v>
      </c>
      <c r="C64" t="s">
        <v>586</v>
      </c>
      <c r="D64" t="s">
        <v>49</v>
      </c>
      <c r="G64">
        <f t="shared" si="0"/>
        <v>420000000</v>
      </c>
      <c r="H64">
        <v>29400000</v>
      </c>
      <c r="I64">
        <v>27300000</v>
      </c>
      <c r="J64">
        <v>32760000</v>
      </c>
      <c r="K64">
        <v>33600000</v>
      </c>
      <c r="L64">
        <v>34440000</v>
      </c>
      <c r="M64">
        <v>35700000</v>
      </c>
      <c r="N64">
        <v>36960000</v>
      </c>
      <c r="O64">
        <v>36540000</v>
      </c>
      <c r="P64">
        <v>35700000</v>
      </c>
      <c r="Q64">
        <v>39060000</v>
      </c>
      <c r="R64">
        <v>38640000</v>
      </c>
      <c r="S64">
        <v>39900000</v>
      </c>
    </row>
    <row r="65" spans="1:19">
      <c r="A65" t="s">
        <v>26</v>
      </c>
      <c r="B65" t="s">
        <v>393</v>
      </c>
      <c r="C65" t="s">
        <v>587</v>
      </c>
      <c r="D65" t="s">
        <v>51</v>
      </c>
      <c r="G65">
        <f t="shared" si="0"/>
        <v>1200000000</v>
      </c>
      <c r="H65">
        <f t="shared" ref="H65:S65" si="18">H66+H67</f>
        <v>84000000</v>
      </c>
      <c r="I65">
        <f t="shared" si="18"/>
        <v>78000000</v>
      </c>
      <c r="J65">
        <f t="shared" si="18"/>
        <v>93600000</v>
      </c>
      <c r="K65">
        <f t="shared" si="18"/>
        <v>96000000</v>
      </c>
      <c r="L65">
        <f t="shared" si="18"/>
        <v>98400000</v>
      </c>
      <c r="M65">
        <f t="shared" si="18"/>
        <v>102000000</v>
      </c>
      <c r="N65">
        <f t="shared" si="18"/>
        <v>105600000</v>
      </c>
      <c r="O65">
        <f t="shared" si="18"/>
        <v>104400000</v>
      </c>
      <c r="P65">
        <f t="shared" si="18"/>
        <v>102000000</v>
      </c>
      <c r="Q65">
        <f t="shared" si="18"/>
        <v>111600000</v>
      </c>
      <c r="R65">
        <f t="shared" si="18"/>
        <v>110400000</v>
      </c>
      <c r="S65">
        <f t="shared" si="18"/>
        <v>114000000</v>
      </c>
    </row>
    <row r="66" spans="1:19">
      <c r="A66" t="s">
        <v>60</v>
      </c>
      <c r="B66" t="s">
        <v>393</v>
      </c>
      <c r="C66" t="s">
        <v>588</v>
      </c>
      <c r="D66" t="s">
        <v>405</v>
      </c>
      <c r="G66">
        <f t="shared" ref="G66:G118" si="19">H66+I66+J66+K66+L66+M66+N66+O66+P66+Q66+R66+S66</f>
        <v>720000000</v>
      </c>
      <c r="H66">
        <v>50400000</v>
      </c>
      <c r="I66">
        <v>46800000</v>
      </c>
      <c r="J66">
        <v>56160000</v>
      </c>
      <c r="K66">
        <v>57600000</v>
      </c>
      <c r="L66">
        <v>59040000</v>
      </c>
      <c r="M66">
        <v>61200000</v>
      </c>
      <c r="N66">
        <v>63360000</v>
      </c>
      <c r="O66">
        <v>62640000</v>
      </c>
      <c r="P66">
        <v>61200000</v>
      </c>
      <c r="Q66">
        <v>66960000</v>
      </c>
      <c r="R66">
        <v>66240000</v>
      </c>
      <c r="S66">
        <v>68400000</v>
      </c>
    </row>
    <row r="67" spans="1:19">
      <c r="A67" t="s">
        <v>60</v>
      </c>
      <c r="B67" t="s">
        <v>393</v>
      </c>
      <c r="C67" t="s">
        <v>589</v>
      </c>
      <c r="D67" t="s">
        <v>407</v>
      </c>
      <c r="G67">
        <f t="shared" si="19"/>
        <v>480000000</v>
      </c>
      <c r="H67">
        <v>33600000</v>
      </c>
      <c r="I67">
        <v>31200000</v>
      </c>
      <c r="J67">
        <v>37440000</v>
      </c>
      <c r="K67">
        <v>38400000</v>
      </c>
      <c r="L67">
        <v>39360000</v>
      </c>
      <c r="M67">
        <v>40800000</v>
      </c>
      <c r="N67">
        <v>42240000</v>
      </c>
      <c r="O67">
        <v>41760000</v>
      </c>
      <c r="P67">
        <v>40800000</v>
      </c>
      <c r="Q67">
        <v>44640000</v>
      </c>
      <c r="R67">
        <v>44160000</v>
      </c>
      <c r="S67">
        <v>45600000</v>
      </c>
    </row>
    <row r="68" spans="1:19">
      <c r="A68" t="s">
        <v>26</v>
      </c>
      <c r="B68" t="s">
        <v>393</v>
      </c>
      <c r="C68" t="s">
        <v>590</v>
      </c>
      <c r="D68" t="s">
        <v>409</v>
      </c>
      <c r="G68">
        <f t="shared" si="19"/>
        <v>900000000</v>
      </c>
      <c r="H68">
        <f t="shared" ref="H68:S68" si="20">H69+H72+H73+H74</f>
        <v>63000000</v>
      </c>
      <c r="I68">
        <f t="shared" si="20"/>
        <v>58500000</v>
      </c>
      <c r="J68">
        <f t="shared" si="20"/>
        <v>70200000</v>
      </c>
      <c r="K68">
        <f t="shared" si="20"/>
        <v>72000000</v>
      </c>
      <c r="L68">
        <f t="shared" si="20"/>
        <v>73800000</v>
      </c>
      <c r="M68">
        <f t="shared" si="20"/>
        <v>76500000</v>
      </c>
      <c r="N68">
        <f t="shared" si="20"/>
        <v>79200000</v>
      </c>
      <c r="O68">
        <f t="shared" si="20"/>
        <v>78300000</v>
      </c>
      <c r="P68">
        <f t="shared" si="20"/>
        <v>76500000</v>
      </c>
      <c r="Q68">
        <f t="shared" si="20"/>
        <v>83700000</v>
      </c>
      <c r="R68">
        <f t="shared" si="20"/>
        <v>82800000</v>
      </c>
      <c r="S68">
        <f t="shared" si="20"/>
        <v>85500000</v>
      </c>
    </row>
    <row r="69" spans="1:19">
      <c r="A69" t="s">
        <v>60</v>
      </c>
      <c r="B69" t="s">
        <v>393</v>
      </c>
      <c r="C69" t="s">
        <v>591</v>
      </c>
      <c r="D69" t="s">
        <v>59</v>
      </c>
      <c r="G69">
        <f t="shared" si="19"/>
        <v>480000000</v>
      </c>
      <c r="H69">
        <f t="shared" ref="H69:S69" si="21">H70+H71</f>
        <v>33600000</v>
      </c>
      <c r="I69">
        <f t="shared" si="21"/>
        <v>31200000</v>
      </c>
      <c r="J69">
        <f t="shared" si="21"/>
        <v>37440000</v>
      </c>
      <c r="K69">
        <f t="shared" si="21"/>
        <v>38400000</v>
      </c>
      <c r="L69">
        <f t="shared" si="21"/>
        <v>39360000</v>
      </c>
      <c r="M69">
        <f t="shared" si="21"/>
        <v>40800000</v>
      </c>
      <c r="N69">
        <f t="shared" si="21"/>
        <v>42240000</v>
      </c>
      <c r="O69">
        <f t="shared" si="21"/>
        <v>41760000</v>
      </c>
      <c r="P69">
        <f t="shared" si="21"/>
        <v>40800000</v>
      </c>
      <c r="Q69">
        <f t="shared" si="21"/>
        <v>44640000</v>
      </c>
      <c r="R69">
        <f t="shared" si="21"/>
        <v>44160000</v>
      </c>
      <c r="S69">
        <f t="shared" si="21"/>
        <v>45600000</v>
      </c>
    </row>
    <row r="70" spans="1:19">
      <c r="A70" t="s">
        <v>192</v>
      </c>
      <c r="B70" t="s">
        <v>393</v>
      </c>
      <c r="C70" t="s">
        <v>592</v>
      </c>
      <c r="D70" t="s">
        <v>62</v>
      </c>
      <c r="G70">
        <f t="shared" si="19"/>
        <v>300000000</v>
      </c>
      <c r="H70">
        <v>21000000</v>
      </c>
      <c r="I70">
        <v>19500000</v>
      </c>
      <c r="J70">
        <v>23400000</v>
      </c>
      <c r="K70">
        <v>24000000</v>
      </c>
      <c r="L70">
        <v>24600000</v>
      </c>
      <c r="M70">
        <v>25500000</v>
      </c>
      <c r="N70">
        <v>26400000</v>
      </c>
      <c r="O70">
        <v>26100000</v>
      </c>
      <c r="P70">
        <v>25500000</v>
      </c>
      <c r="Q70">
        <v>27900000</v>
      </c>
      <c r="R70">
        <v>27600000</v>
      </c>
      <c r="S70">
        <v>28500000</v>
      </c>
    </row>
    <row r="71" spans="1:19">
      <c r="A71" t="s">
        <v>192</v>
      </c>
      <c r="B71" t="s">
        <v>393</v>
      </c>
      <c r="C71" t="s">
        <v>593</v>
      </c>
      <c r="D71" t="s">
        <v>64</v>
      </c>
      <c r="G71">
        <f t="shared" si="19"/>
        <v>180000000</v>
      </c>
      <c r="H71">
        <v>12600000</v>
      </c>
      <c r="I71">
        <v>11700000</v>
      </c>
      <c r="J71">
        <v>14040000</v>
      </c>
      <c r="K71">
        <v>14400000</v>
      </c>
      <c r="L71">
        <v>14760000</v>
      </c>
      <c r="M71">
        <v>15300000</v>
      </c>
      <c r="N71">
        <v>15840000</v>
      </c>
      <c r="O71">
        <v>15660000</v>
      </c>
      <c r="P71">
        <v>15300000</v>
      </c>
      <c r="Q71">
        <v>16740000</v>
      </c>
      <c r="R71">
        <v>16560000</v>
      </c>
      <c r="S71">
        <v>17100000</v>
      </c>
    </row>
    <row r="72" spans="1:19">
      <c r="A72" t="s">
        <v>60</v>
      </c>
      <c r="B72" t="s">
        <v>393</v>
      </c>
      <c r="C72" t="s">
        <v>594</v>
      </c>
      <c r="D72" t="s">
        <v>414</v>
      </c>
      <c r="G72">
        <f t="shared" si="19"/>
        <v>180000000</v>
      </c>
      <c r="H72">
        <v>12600000</v>
      </c>
      <c r="I72">
        <v>11700000</v>
      </c>
      <c r="J72">
        <v>14040000</v>
      </c>
      <c r="K72">
        <v>14400000</v>
      </c>
      <c r="L72">
        <v>14760000</v>
      </c>
      <c r="M72">
        <v>15300000</v>
      </c>
      <c r="N72">
        <v>15840000</v>
      </c>
      <c r="O72">
        <v>15660000</v>
      </c>
      <c r="P72">
        <v>15300000</v>
      </c>
      <c r="Q72">
        <v>16740000</v>
      </c>
      <c r="R72">
        <v>16560000</v>
      </c>
      <c r="S72">
        <v>17100000</v>
      </c>
    </row>
    <row r="73" spans="1:19">
      <c r="A73" t="s">
        <v>60</v>
      </c>
      <c r="B73" t="s">
        <v>393</v>
      </c>
      <c r="C73" t="s">
        <v>595</v>
      </c>
      <c r="D73" t="s">
        <v>68</v>
      </c>
      <c r="G73">
        <f t="shared" si="19"/>
        <v>120000000</v>
      </c>
      <c r="H73">
        <v>8400000</v>
      </c>
      <c r="I73">
        <v>7800000</v>
      </c>
      <c r="J73">
        <v>9360000</v>
      </c>
      <c r="K73">
        <v>9600000</v>
      </c>
      <c r="L73">
        <v>9840000</v>
      </c>
      <c r="M73">
        <v>10200000</v>
      </c>
      <c r="N73">
        <v>10560000</v>
      </c>
      <c r="O73">
        <v>10440000</v>
      </c>
      <c r="P73">
        <v>10200000</v>
      </c>
      <c r="Q73">
        <v>11160000</v>
      </c>
      <c r="R73">
        <v>11040000</v>
      </c>
      <c r="S73">
        <v>11400000</v>
      </c>
    </row>
    <row r="74" spans="1:19">
      <c r="A74" t="s">
        <v>60</v>
      </c>
      <c r="B74" t="s">
        <v>393</v>
      </c>
      <c r="C74" t="s">
        <v>596</v>
      </c>
      <c r="D74" t="s">
        <v>70</v>
      </c>
      <c r="G74">
        <f t="shared" si="19"/>
        <v>120000000</v>
      </c>
      <c r="H74">
        <v>8400000</v>
      </c>
      <c r="I74">
        <v>7800000</v>
      </c>
      <c r="J74">
        <v>9360000</v>
      </c>
      <c r="K74">
        <v>9600000</v>
      </c>
      <c r="L74">
        <v>9840000</v>
      </c>
      <c r="M74">
        <v>10200000</v>
      </c>
      <c r="N74">
        <v>10560000</v>
      </c>
      <c r="O74">
        <v>10440000</v>
      </c>
      <c r="P74">
        <v>10200000</v>
      </c>
      <c r="Q74">
        <v>11160000</v>
      </c>
      <c r="R74">
        <v>11040000</v>
      </c>
      <c r="S74">
        <v>11400000</v>
      </c>
    </row>
    <row r="75" spans="1:19">
      <c r="A75" t="s">
        <v>26</v>
      </c>
      <c r="B75" t="s">
        <v>393</v>
      </c>
      <c r="C75" t="s">
        <v>597</v>
      </c>
      <c r="D75" t="s">
        <v>418</v>
      </c>
      <c r="G75">
        <f t="shared" si="19"/>
        <v>300000000</v>
      </c>
      <c r="H75">
        <v>21000000</v>
      </c>
      <c r="I75">
        <v>19500000</v>
      </c>
      <c r="J75">
        <v>23400000</v>
      </c>
      <c r="K75">
        <v>24000000</v>
      </c>
      <c r="L75">
        <v>24600000</v>
      </c>
      <c r="M75">
        <v>25500000</v>
      </c>
      <c r="N75">
        <v>26400000</v>
      </c>
      <c r="O75">
        <v>26100000</v>
      </c>
      <c r="P75">
        <v>25500000</v>
      </c>
      <c r="Q75">
        <v>27900000</v>
      </c>
      <c r="R75">
        <v>27600000</v>
      </c>
      <c r="S75">
        <v>28500000</v>
      </c>
    </row>
    <row r="76" spans="1:19">
      <c r="A76" t="s">
        <v>26</v>
      </c>
      <c r="B76" t="s">
        <v>393</v>
      </c>
      <c r="C76" t="s">
        <v>598</v>
      </c>
      <c r="D76" t="s">
        <v>420</v>
      </c>
      <c r="G76">
        <f t="shared" si="19"/>
        <v>300000000</v>
      </c>
      <c r="H76">
        <v>21000000</v>
      </c>
      <c r="I76">
        <v>19500000</v>
      </c>
      <c r="J76">
        <v>23400000</v>
      </c>
      <c r="K76">
        <v>24000000</v>
      </c>
      <c r="L76">
        <v>24600000</v>
      </c>
      <c r="M76">
        <v>25500000</v>
      </c>
      <c r="N76">
        <v>26400000</v>
      </c>
      <c r="O76">
        <v>26100000</v>
      </c>
      <c r="P76">
        <v>25500000</v>
      </c>
      <c r="Q76">
        <v>27900000</v>
      </c>
      <c r="R76">
        <v>27600000</v>
      </c>
      <c r="S76">
        <v>28500000</v>
      </c>
    </row>
    <row r="77" spans="1:19">
      <c r="A77" t="s">
        <v>23</v>
      </c>
      <c r="B77" t="s">
        <v>393</v>
      </c>
      <c r="C77" t="s">
        <v>599</v>
      </c>
      <c r="D77" t="s">
        <v>422</v>
      </c>
      <c r="G77">
        <f t="shared" si="19"/>
        <v>2130000000</v>
      </c>
      <c r="H77">
        <f t="shared" ref="H77:S77" si="22">H78+H81+H84+H91+H92</f>
        <v>149100000</v>
      </c>
      <c r="I77">
        <f t="shared" si="22"/>
        <v>138450000</v>
      </c>
      <c r="J77">
        <f t="shared" si="22"/>
        <v>166140000</v>
      </c>
      <c r="K77">
        <f t="shared" si="22"/>
        <v>170400000</v>
      </c>
      <c r="L77">
        <f t="shared" si="22"/>
        <v>174660000</v>
      </c>
      <c r="M77">
        <f t="shared" si="22"/>
        <v>181050000</v>
      </c>
      <c r="N77">
        <f t="shared" si="22"/>
        <v>187440000</v>
      </c>
      <c r="O77">
        <f t="shared" si="22"/>
        <v>185310000</v>
      </c>
      <c r="P77">
        <f t="shared" si="22"/>
        <v>181050000</v>
      </c>
      <c r="Q77">
        <f t="shared" si="22"/>
        <v>198090000</v>
      </c>
      <c r="R77">
        <f t="shared" si="22"/>
        <v>195960000</v>
      </c>
      <c r="S77">
        <f t="shared" si="22"/>
        <v>202350000</v>
      </c>
    </row>
    <row r="78" spans="1:19">
      <c r="A78" t="s">
        <v>26</v>
      </c>
      <c r="B78" t="s">
        <v>393</v>
      </c>
      <c r="C78" t="s">
        <v>600</v>
      </c>
      <c r="D78" t="s">
        <v>399</v>
      </c>
      <c r="G78">
        <f t="shared" si="19"/>
        <v>600000000</v>
      </c>
      <c r="H78">
        <f t="shared" ref="H78:S78" si="23">H79+H80</f>
        <v>42000000</v>
      </c>
      <c r="I78">
        <f t="shared" si="23"/>
        <v>39000000</v>
      </c>
      <c r="J78">
        <f t="shared" si="23"/>
        <v>46800000</v>
      </c>
      <c r="K78">
        <f t="shared" si="23"/>
        <v>48000000</v>
      </c>
      <c r="L78">
        <f t="shared" si="23"/>
        <v>49200000</v>
      </c>
      <c r="M78">
        <f t="shared" si="23"/>
        <v>51000000</v>
      </c>
      <c r="N78">
        <f t="shared" si="23"/>
        <v>52800000</v>
      </c>
      <c r="O78">
        <f t="shared" si="23"/>
        <v>52200000</v>
      </c>
      <c r="P78">
        <f t="shared" si="23"/>
        <v>51000000</v>
      </c>
      <c r="Q78">
        <f t="shared" si="23"/>
        <v>55800000</v>
      </c>
      <c r="R78">
        <f t="shared" si="23"/>
        <v>55200000</v>
      </c>
      <c r="S78">
        <f t="shared" si="23"/>
        <v>57000000</v>
      </c>
    </row>
    <row r="79" spans="1:19">
      <c r="A79" t="s">
        <v>60</v>
      </c>
      <c r="B79" t="s">
        <v>393</v>
      </c>
      <c r="C79" t="s">
        <v>601</v>
      </c>
      <c r="D79" t="s">
        <v>401</v>
      </c>
      <c r="G79">
        <f t="shared" si="19"/>
        <v>420000000</v>
      </c>
      <c r="H79">
        <v>29400000</v>
      </c>
      <c r="I79">
        <v>27300000</v>
      </c>
      <c r="J79">
        <v>32760000</v>
      </c>
      <c r="K79">
        <v>33600000</v>
      </c>
      <c r="L79">
        <v>34440000</v>
      </c>
      <c r="M79">
        <v>35700000</v>
      </c>
      <c r="N79">
        <v>36960000</v>
      </c>
      <c r="O79">
        <v>36540000</v>
      </c>
      <c r="P79">
        <v>35700000</v>
      </c>
      <c r="Q79">
        <v>39060000</v>
      </c>
      <c r="R79">
        <v>38640000</v>
      </c>
      <c r="S79">
        <v>39900000</v>
      </c>
    </row>
    <row r="80" spans="1:19">
      <c r="A80" t="s">
        <v>60</v>
      </c>
      <c r="B80" t="s">
        <v>393</v>
      </c>
      <c r="C80" t="s">
        <v>602</v>
      </c>
      <c r="D80" t="s">
        <v>49</v>
      </c>
      <c r="G80">
        <f t="shared" si="19"/>
        <v>180000000</v>
      </c>
      <c r="H80">
        <v>12600000</v>
      </c>
      <c r="I80">
        <v>11700000</v>
      </c>
      <c r="J80">
        <v>14040000</v>
      </c>
      <c r="K80">
        <v>14400000</v>
      </c>
      <c r="L80">
        <v>14760000</v>
      </c>
      <c r="M80">
        <v>15300000</v>
      </c>
      <c r="N80">
        <v>15840000</v>
      </c>
      <c r="O80">
        <v>15660000</v>
      </c>
      <c r="P80">
        <v>15300000</v>
      </c>
      <c r="Q80">
        <v>16740000</v>
      </c>
      <c r="R80">
        <v>16560000</v>
      </c>
      <c r="S80">
        <v>17100000</v>
      </c>
    </row>
    <row r="81" spans="1:19">
      <c r="A81" t="s">
        <v>26</v>
      </c>
      <c r="B81" t="s">
        <v>393</v>
      </c>
      <c r="C81" t="s">
        <v>603</v>
      </c>
      <c r="D81" t="s">
        <v>51</v>
      </c>
      <c r="G81">
        <f t="shared" si="19"/>
        <v>480000000</v>
      </c>
      <c r="H81">
        <f t="shared" ref="H81:S81" si="24">H82+H83</f>
        <v>33600000</v>
      </c>
      <c r="I81">
        <f t="shared" si="24"/>
        <v>31200000</v>
      </c>
      <c r="J81">
        <f t="shared" si="24"/>
        <v>37440000</v>
      </c>
      <c r="K81">
        <f t="shared" si="24"/>
        <v>38400000</v>
      </c>
      <c r="L81">
        <f t="shared" si="24"/>
        <v>39360000</v>
      </c>
      <c r="M81">
        <f t="shared" si="24"/>
        <v>40800000</v>
      </c>
      <c r="N81">
        <f t="shared" si="24"/>
        <v>42240000</v>
      </c>
      <c r="O81">
        <f t="shared" si="24"/>
        <v>41760000</v>
      </c>
      <c r="P81">
        <f t="shared" si="24"/>
        <v>40800000</v>
      </c>
      <c r="Q81">
        <f t="shared" si="24"/>
        <v>44640000</v>
      </c>
      <c r="R81">
        <f t="shared" si="24"/>
        <v>44160000</v>
      </c>
      <c r="S81">
        <f t="shared" si="24"/>
        <v>45600000</v>
      </c>
    </row>
    <row r="82" spans="1:19">
      <c r="A82" t="s">
        <v>60</v>
      </c>
      <c r="B82" t="s">
        <v>393</v>
      </c>
      <c r="C82" t="s">
        <v>604</v>
      </c>
      <c r="D82" t="s">
        <v>405</v>
      </c>
      <c r="G82">
        <f t="shared" si="19"/>
        <v>300000000</v>
      </c>
      <c r="H82">
        <v>21000000</v>
      </c>
      <c r="I82">
        <v>19500000</v>
      </c>
      <c r="J82">
        <v>23400000</v>
      </c>
      <c r="K82">
        <v>24000000</v>
      </c>
      <c r="L82">
        <v>24600000</v>
      </c>
      <c r="M82">
        <v>25500000</v>
      </c>
      <c r="N82">
        <v>26400000</v>
      </c>
      <c r="O82">
        <v>26100000</v>
      </c>
      <c r="P82">
        <v>25500000</v>
      </c>
      <c r="Q82">
        <v>27900000</v>
      </c>
      <c r="R82">
        <v>27600000</v>
      </c>
      <c r="S82">
        <v>28500000</v>
      </c>
    </row>
    <row r="83" spans="1:19">
      <c r="A83" t="s">
        <v>60</v>
      </c>
      <c r="B83" t="s">
        <v>393</v>
      </c>
      <c r="C83" t="s">
        <v>605</v>
      </c>
      <c r="D83" t="s">
        <v>407</v>
      </c>
      <c r="G83">
        <f t="shared" si="19"/>
        <v>180000000</v>
      </c>
      <c r="H83">
        <v>12600000</v>
      </c>
      <c r="I83">
        <v>11700000</v>
      </c>
      <c r="J83">
        <v>14040000</v>
      </c>
      <c r="K83">
        <v>14400000</v>
      </c>
      <c r="L83">
        <v>14760000</v>
      </c>
      <c r="M83">
        <v>15300000</v>
      </c>
      <c r="N83">
        <v>15840000</v>
      </c>
      <c r="O83">
        <v>15660000</v>
      </c>
      <c r="P83">
        <v>15300000</v>
      </c>
      <c r="Q83">
        <v>16740000</v>
      </c>
      <c r="R83">
        <v>16560000</v>
      </c>
      <c r="S83">
        <v>17100000</v>
      </c>
    </row>
    <row r="84" spans="1:19">
      <c r="A84" t="s">
        <v>26</v>
      </c>
      <c r="B84" t="s">
        <v>393</v>
      </c>
      <c r="C84" t="s">
        <v>606</v>
      </c>
      <c r="D84" t="s">
        <v>409</v>
      </c>
      <c r="G84">
        <f t="shared" si="19"/>
        <v>450000000</v>
      </c>
      <c r="H84">
        <f t="shared" ref="H84:S84" si="25">H85+H88+H89+H90</f>
        <v>31500000</v>
      </c>
      <c r="I84">
        <f t="shared" si="25"/>
        <v>29250000</v>
      </c>
      <c r="J84">
        <f t="shared" si="25"/>
        <v>35100000</v>
      </c>
      <c r="K84">
        <f t="shared" si="25"/>
        <v>36000000</v>
      </c>
      <c r="L84">
        <f t="shared" si="25"/>
        <v>36900000</v>
      </c>
      <c r="M84">
        <f t="shared" si="25"/>
        <v>38250000</v>
      </c>
      <c r="N84">
        <f t="shared" si="25"/>
        <v>39600000</v>
      </c>
      <c r="O84">
        <f t="shared" si="25"/>
        <v>39150000</v>
      </c>
      <c r="P84">
        <f t="shared" si="25"/>
        <v>38250000</v>
      </c>
      <c r="Q84">
        <f t="shared" si="25"/>
        <v>41850000</v>
      </c>
      <c r="R84">
        <f t="shared" si="25"/>
        <v>41400000</v>
      </c>
      <c r="S84">
        <f t="shared" si="25"/>
        <v>42750000</v>
      </c>
    </row>
    <row r="85" spans="1:19">
      <c r="A85" t="s">
        <v>60</v>
      </c>
      <c r="B85" t="s">
        <v>393</v>
      </c>
      <c r="C85" t="s">
        <v>607</v>
      </c>
      <c r="D85" t="s">
        <v>59</v>
      </c>
      <c r="G85">
        <f t="shared" si="19"/>
        <v>240000000</v>
      </c>
      <c r="H85">
        <f t="shared" ref="H85:S85" si="26">H86+H87</f>
        <v>16800000</v>
      </c>
      <c r="I85">
        <f t="shared" si="26"/>
        <v>15600000</v>
      </c>
      <c r="J85">
        <f t="shared" si="26"/>
        <v>18720000</v>
      </c>
      <c r="K85">
        <f t="shared" si="26"/>
        <v>19200000</v>
      </c>
      <c r="L85">
        <f t="shared" si="26"/>
        <v>19680000</v>
      </c>
      <c r="M85">
        <f t="shared" si="26"/>
        <v>20400000</v>
      </c>
      <c r="N85">
        <f t="shared" si="26"/>
        <v>21120000</v>
      </c>
      <c r="O85">
        <f t="shared" si="26"/>
        <v>20880000</v>
      </c>
      <c r="P85">
        <f t="shared" si="26"/>
        <v>20400000</v>
      </c>
      <c r="Q85">
        <f t="shared" si="26"/>
        <v>22320000</v>
      </c>
      <c r="R85">
        <f t="shared" si="26"/>
        <v>22080000</v>
      </c>
      <c r="S85">
        <f t="shared" si="26"/>
        <v>22800000</v>
      </c>
    </row>
    <row r="86" spans="1:19">
      <c r="A86" t="s">
        <v>192</v>
      </c>
      <c r="B86" t="s">
        <v>393</v>
      </c>
      <c r="C86" t="s">
        <v>608</v>
      </c>
      <c r="D86" t="s">
        <v>62</v>
      </c>
      <c r="G86">
        <f t="shared" si="19"/>
        <v>150000000</v>
      </c>
      <c r="H86">
        <v>10500000</v>
      </c>
      <c r="I86">
        <v>9750000</v>
      </c>
      <c r="J86">
        <v>11700000</v>
      </c>
      <c r="K86">
        <v>12000000</v>
      </c>
      <c r="L86">
        <v>12300000</v>
      </c>
      <c r="M86">
        <v>12750000</v>
      </c>
      <c r="N86">
        <v>13200000</v>
      </c>
      <c r="O86">
        <v>13050000</v>
      </c>
      <c r="P86">
        <v>12750000</v>
      </c>
      <c r="Q86">
        <v>13950000</v>
      </c>
      <c r="R86">
        <v>13800000</v>
      </c>
      <c r="S86">
        <v>14250000</v>
      </c>
    </row>
    <row r="87" spans="1:19">
      <c r="A87" t="s">
        <v>192</v>
      </c>
      <c r="B87" t="s">
        <v>393</v>
      </c>
      <c r="C87" t="s">
        <v>609</v>
      </c>
      <c r="D87" t="s">
        <v>64</v>
      </c>
      <c r="G87">
        <f t="shared" si="19"/>
        <v>90000000</v>
      </c>
      <c r="H87">
        <v>6300000</v>
      </c>
      <c r="I87">
        <v>5850000</v>
      </c>
      <c r="J87">
        <v>7020000</v>
      </c>
      <c r="K87">
        <v>7200000</v>
      </c>
      <c r="L87">
        <v>7380000</v>
      </c>
      <c r="M87">
        <v>7650000</v>
      </c>
      <c r="N87">
        <v>7920000</v>
      </c>
      <c r="O87">
        <v>7830000</v>
      </c>
      <c r="P87">
        <v>7650000</v>
      </c>
      <c r="Q87">
        <v>8370000</v>
      </c>
      <c r="R87">
        <v>8280000</v>
      </c>
      <c r="S87">
        <v>8550000</v>
      </c>
    </row>
    <row r="88" spans="1:19">
      <c r="A88" t="s">
        <v>60</v>
      </c>
      <c r="B88" t="s">
        <v>393</v>
      </c>
      <c r="C88" t="s">
        <v>610</v>
      </c>
      <c r="D88" t="s">
        <v>414</v>
      </c>
      <c r="G88">
        <f t="shared" si="19"/>
        <v>90000000</v>
      </c>
      <c r="H88">
        <v>6300000</v>
      </c>
      <c r="I88">
        <v>5850000</v>
      </c>
      <c r="J88">
        <v>7020000</v>
      </c>
      <c r="K88">
        <v>7200000</v>
      </c>
      <c r="L88">
        <v>7380000</v>
      </c>
      <c r="M88">
        <v>7650000</v>
      </c>
      <c r="N88">
        <v>7920000</v>
      </c>
      <c r="O88">
        <v>7830000</v>
      </c>
      <c r="P88">
        <v>7650000</v>
      </c>
      <c r="Q88">
        <v>8370000</v>
      </c>
      <c r="R88">
        <v>8280000</v>
      </c>
      <c r="S88">
        <v>8550000</v>
      </c>
    </row>
    <row r="89" spans="1:19">
      <c r="A89" t="s">
        <v>60</v>
      </c>
      <c r="B89" t="s">
        <v>393</v>
      </c>
      <c r="C89" t="s">
        <v>611</v>
      </c>
      <c r="D89" t="s">
        <v>68</v>
      </c>
      <c r="G89">
        <f t="shared" si="19"/>
        <v>60000000</v>
      </c>
      <c r="H89">
        <v>4200000</v>
      </c>
      <c r="I89">
        <v>3900000</v>
      </c>
      <c r="J89">
        <v>4680000</v>
      </c>
      <c r="K89">
        <v>4800000</v>
      </c>
      <c r="L89">
        <v>4920000</v>
      </c>
      <c r="M89">
        <v>5100000</v>
      </c>
      <c r="N89">
        <v>5280000</v>
      </c>
      <c r="O89">
        <v>5220000</v>
      </c>
      <c r="P89">
        <v>5100000</v>
      </c>
      <c r="Q89">
        <v>5580000</v>
      </c>
      <c r="R89">
        <v>5520000</v>
      </c>
      <c r="S89">
        <v>5700000</v>
      </c>
    </row>
    <row r="90" spans="1:19">
      <c r="A90" t="s">
        <v>60</v>
      </c>
      <c r="B90" t="s">
        <v>393</v>
      </c>
      <c r="C90" t="s">
        <v>612</v>
      </c>
      <c r="D90" t="s">
        <v>70</v>
      </c>
      <c r="G90">
        <f t="shared" si="19"/>
        <v>60000000</v>
      </c>
      <c r="H90">
        <v>4200000</v>
      </c>
      <c r="I90">
        <v>3900000</v>
      </c>
      <c r="J90">
        <v>4680000</v>
      </c>
      <c r="K90">
        <v>4800000</v>
      </c>
      <c r="L90">
        <v>4920000</v>
      </c>
      <c r="M90">
        <v>5100000</v>
      </c>
      <c r="N90">
        <v>5280000</v>
      </c>
      <c r="O90">
        <v>5220000</v>
      </c>
      <c r="P90">
        <v>5100000</v>
      </c>
      <c r="Q90">
        <v>5580000</v>
      </c>
      <c r="R90">
        <v>5520000</v>
      </c>
      <c r="S90">
        <v>5700000</v>
      </c>
    </row>
    <row r="91" spans="1:19">
      <c r="A91" t="s">
        <v>26</v>
      </c>
      <c r="B91" t="s">
        <v>393</v>
      </c>
      <c r="C91" t="s">
        <v>613</v>
      </c>
      <c r="D91" t="s">
        <v>418</v>
      </c>
      <c r="G91">
        <f t="shared" si="19"/>
        <v>300000000</v>
      </c>
      <c r="H91">
        <v>21000000</v>
      </c>
      <c r="I91">
        <v>19500000</v>
      </c>
      <c r="J91">
        <v>23400000</v>
      </c>
      <c r="K91">
        <v>24000000</v>
      </c>
      <c r="L91">
        <v>24600000</v>
      </c>
      <c r="M91">
        <v>25500000</v>
      </c>
      <c r="N91">
        <v>26400000</v>
      </c>
      <c r="O91">
        <v>26100000</v>
      </c>
      <c r="P91">
        <v>25500000</v>
      </c>
      <c r="Q91">
        <v>27900000</v>
      </c>
      <c r="R91">
        <v>27600000</v>
      </c>
      <c r="S91">
        <v>28500000</v>
      </c>
    </row>
    <row r="92" spans="1:19">
      <c r="A92" t="s">
        <v>26</v>
      </c>
      <c r="B92" t="s">
        <v>393</v>
      </c>
      <c r="C92" t="s">
        <v>614</v>
      </c>
      <c r="D92" t="s">
        <v>420</v>
      </c>
      <c r="G92">
        <f t="shared" si="19"/>
        <v>300000000</v>
      </c>
      <c r="H92">
        <v>21000000</v>
      </c>
      <c r="I92">
        <v>19500000</v>
      </c>
      <c r="J92">
        <v>23400000</v>
      </c>
      <c r="K92">
        <v>24000000</v>
      </c>
      <c r="L92">
        <v>24600000</v>
      </c>
      <c r="M92">
        <v>25500000</v>
      </c>
      <c r="N92">
        <v>26400000</v>
      </c>
      <c r="O92">
        <v>26100000</v>
      </c>
      <c r="P92">
        <v>25500000</v>
      </c>
      <c r="Q92">
        <v>27900000</v>
      </c>
      <c r="R92">
        <v>27600000</v>
      </c>
      <c r="S92">
        <v>28500000</v>
      </c>
    </row>
    <row r="93" spans="1:19">
      <c r="A93" t="s">
        <v>19</v>
      </c>
      <c r="B93" t="s">
        <v>438</v>
      </c>
      <c r="C93" t="s">
        <v>615</v>
      </c>
      <c r="D93" t="s">
        <v>440</v>
      </c>
      <c r="G93">
        <f t="shared" si="19"/>
        <v>3856186866</v>
      </c>
      <c r="H93">
        <f t="shared" ref="H93:S93" si="27">H94</f>
        <v>272889624</v>
      </c>
      <c r="I93">
        <f t="shared" si="27"/>
        <v>258059067</v>
      </c>
      <c r="J93">
        <f t="shared" si="27"/>
        <v>302222823</v>
      </c>
      <c r="K93">
        <f t="shared" si="27"/>
        <v>310336950</v>
      </c>
      <c r="L93">
        <f t="shared" si="27"/>
        <v>317941365</v>
      </c>
      <c r="M93">
        <f t="shared" si="27"/>
        <v>328856703</v>
      </c>
      <c r="N93">
        <f t="shared" si="27"/>
        <v>339332553</v>
      </c>
      <c r="O93">
        <f t="shared" si="27"/>
        <v>334470234</v>
      </c>
      <c r="P93">
        <f t="shared" si="27"/>
        <v>327251673</v>
      </c>
      <c r="Q93">
        <f t="shared" si="27"/>
        <v>353804493</v>
      </c>
      <c r="R93">
        <f t="shared" si="27"/>
        <v>348736248</v>
      </c>
      <c r="S93">
        <f t="shared" si="27"/>
        <v>362285133</v>
      </c>
    </row>
    <row r="94" spans="1:19">
      <c r="A94" t="s">
        <v>23</v>
      </c>
      <c r="B94" t="s">
        <v>438</v>
      </c>
      <c r="C94" t="s">
        <v>616</v>
      </c>
      <c r="D94" t="s">
        <v>442</v>
      </c>
      <c r="G94">
        <f t="shared" si="19"/>
        <v>3856186866</v>
      </c>
      <c r="H94">
        <f t="shared" ref="H94:S94" si="28">H95+H100+H115</f>
        <v>272889624</v>
      </c>
      <c r="I94">
        <f t="shared" si="28"/>
        <v>258059067</v>
      </c>
      <c r="J94">
        <f t="shared" si="28"/>
        <v>302222823</v>
      </c>
      <c r="K94">
        <f t="shared" si="28"/>
        <v>310336950</v>
      </c>
      <c r="L94">
        <f t="shared" si="28"/>
        <v>317941365</v>
      </c>
      <c r="M94">
        <f t="shared" si="28"/>
        <v>328856703</v>
      </c>
      <c r="N94">
        <f t="shared" si="28"/>
        <v>339332553</v>
      </c>
      <c r="O94">
        <f t="shared" si="28"/>
        <v>334470234</v>
      </c>
      <c r="P94">
        <f t="shared" si="28"/>
        <v>327251673</v>
      </c>
      <c r="Q94">
        <f t="shared" si="28"/>
        <v>353804493</v>
      </c>
      <c r="R94">
        <f t="shared" si="28"/>
        <v>348736248</v>
      </c>
      <c r="S94">
        <f t="shared" si="28"/>
        <v>362285133</v>
      </c>
    </row>
    <row r="95" spans="1:19">
      <c r="A95" t="s">
        <v>26</v>
      </c>
      <c r="B95" t="s">
        <v>438</v>
      </c>
      <c r="C95" t="s">
        <v>617</v>
      </c>
      <c r="D95" t="s">
        <v>444</v>
      </c>
      <c r="G95">
        <f t="shared" si="19"/>
        <v>734511784</v>
      </c>
      <c r="H95">
        <f t="shared" ref="H95:S95" si="29">H96+H97+H98+H99</f>
        <v>51978976</v>
      </c>
      <c r="I95">
        <f t="shared" si="29"/>
        <v>49154108</v>
      </c>
      <c r="J95">
        <f t="shared" si="29"/>
        <v>57566252</v>
      </c>
      <c r="K95">
        <f t="shared" si="29"/>
        <v>59111800</v>
      </c>
      <c r="L95">
        <f t="shared" si="29"/>
        <v>60560260</v>
      </c>
      <c r="M95">
        <f t="shared" si="29"/>
        <v>62639372</v>
      </c>
      <c r="N95">
        <f t="shared" si="29"/>
        <v>64634772</v>
      </c>
      <c r="O95">
        <f t="shared" si="29"/>
        <v>63708616</v>
      </c>
      <c r="P95">
        <f t="shared" si="29"/>
        <v>62333652</v>
      </c>
      <c r="Q95">
        <f t="shared" si="29"/>
        <v>67391332</v>
      </c>
      <c r="R95">
        <f t="shared" si="29"/>
        <v>66425952</v>
      </c>
      <c r="S95">
        <f t="shared" si="29"/>
        <v>69006692</v>
      </c>
    </row>
    <row r="96" spans="1:19">
      <c r="A96" t="s">
        <v>60</v>
      </c>
      <c r="B96" t="s">
        <v>438</v>
      </c>
      <c r="C96" t="s">
        <v>618</v>
      </c>
      <c r="D96" t="s">
        <v>446</v>
      </c>
      <c r="G96">
        <f t="shared" si="19"/>
        <v>183627946</v>
      </c>
      <c r="H96">
        <v>12994744</v>
      </c>
      <c r="I96">
        <v>12288527</v>
      </c>
      <c r="J96">
        <v>14391563</v>
      </c>
      <c r="K96">
        <v>14777950</v>
      </c>
      <c r="L96">
        <v>15140065</v>
      </c>
      <c r="M96">
        <v>15659843</v>
      </c>
      <c r="N96">
        <v>16158693</v>
      </c>
      <c r="O96">
        <v>15927154</v>
      </c>
      <c r="P96">
        <v>15583413</v>
      </c>
      <c r="Q96">
        <v>16847833</v>
      </c>
      <c r="R96">
        <v>16606488</v>
      </c>
      <c r="S96">
        <v>17251673</v>
      </c>
    </row>
    <row r="97" spans="1:19">
      <c r="A97" t="s">
        <v>60</v>
      </c>
      <c r="B97" t="s">
        <v>438</v>
      </c>
      <c r="C97" t="s">
        <v>619</v>
      </c>
      <c r="D97" t="s">
        <v>448</v>
      </c>
      <c r="G97">
        <f t="shared" si="19"/>
        <v>183627946</v>
      </c>
      <c r="H97">
        <v>12994744</v>
      </c>
      <c r="I97">
        <v>12288527</v>
      </c>
      <c r="J97">
        <v>14391563</v>
      </c>
      <c r="K97">
        <v>14777950</v>
      </c>
      <c r="L97">
        <v>15140065</v>
      </c>
      <c r="M97">
        <v>15659843</v>
      </c>
      <c r="N97">
        <v>16158693</v>
      </c>
      <c r="O97">
        <v>15927154</v>
      </c>
      <c r="P97">
        <v>15583413</v>
      </c>
      <c r="Q97">
        <v>16847833</v>
      </c>
      <c r="R97">
        <v>16606488</v>
      </c>
      <c r="S97">
        <v>17251673</v>
      </c>
    </row>
    <row r="98" spans="1:19">
      <c r="A98" t="s">
        <v>60</v>
      </c>
      <c r="B98" t="s">
        <v>438</v>
      </c>
      <c r="C98" t="s">
        <v>620</v>
      </c>
      <c r="D98" t="s">
        <v>450</v>
      </c>
      <c r="G98">
        <f t="shared" si="19"/>
        <v>183627946</v>
      </c>
      <c r="H98">
        <v>12994744</v>
      </c>
      <c r="I98">
        <v>12288527</v>
      </c>
      <c r="J98">
        <v>14391563</v>
      </c>
      <c r="K98">
        <v>14777950</v>
      </c>
      <c r="L98">
        <v>15140065</v>
      </c>
      <c r="M98">
        <v>15659843</v>
      </c>
      <c r="N98">
        <v>16158693</v>
      </c>
      <c r="O98">
        <v>15927154</v>
      </c>
      <c r="P98">
        <v>15583413</v>
      </c>
      <c r="Q98">
        <v>16847833</v>
      </c>
      <c r="R98">
        <v>16606488</v>
      </c>
      <c r="S98">
        <v>17251673</v>
      </c>
    </row>
    <row r="99" spans="1:19">
      <c r="A99" t="s">
        <v>60</v>
      </c>
      <c r="B99" t="s">
        <v>438</v>
      </c>
      <c r="C99" t="s">
        <v>621</v>
      </c>
      <c r="D99" t="s">
        <v>452</v>
      </c>
      <c r="G99">
        <f t="shared" si="19"/>
        <v>183627946</v>
      </c>
      <c r="H99">
        <v>12994744</v>
      </c>
      <c r="I99">
        <v>12288527</v>
      </c>
      <c r="J99">
        <v>14391563</v>
      </c>
      <c r="K99">
        <v>14777950</v>
      </c>
      <c r="L99">
        <v>15140065</v>
      </c>
      <c r="M99">
        <v>15659843</v>
      </c>
      <c r="N99">
        <v>16158693</v>
      </c>
      <c r="O99">
        <v>15927154</v>
      </c>
      <c r="P99">
        <v>15583413</v>
      </c>
      <c r="Q99">
        <v>16847833</v>
      </c>
      <c r="R99">
        <v>16606488</v>
      </c>
      <c r="S99">
        <v>17251673</v>
      </c>
    </row>
    <row r="100" spans="1:19">
      <c r="A100" t="s">
        <v>26</v>
      </c>
      <c r="B100" t="s">
        <v>438</v>
      </c>
      <c r="C100" t="s">
        <v>622</v>
      </c>
      <c r="D100" t="s">
        <v>454</v>
      </c>
      <c r="G100">
        <f t="shared" si="19"/>
        <v>2570791244</v>
      </c>
      <c r="H100">
        <f t="shared" ref="H100:S100" si="30">H101+H102+H103+H104+H105+H106+H107+H108+H109+H110+H111+H112+H113+H114</f>
        <v>181926416</v>
      </c>
      <c r="I100">
        <f t="shared" si="30"/>
        <v>172039378</v>
      </c>
      <c r="J100">
        <f t="shared" si="30"/>
        <v>201481882</v>
      </c>
      <c r="K100">
        <f t="shared" si="30"/>
        <v>206891300</v>
      </c>
      <c r="L100">
        <f t="shared" si="30"/>
        <v>211960910</v>
      </c>
      <c r="M100">
        <f t="shared" si="30"/>
        <v>219237802</v>
      </c>
      <c r="N100">
        <f t="shared" si="30"/>
        <v>226221702</v>
      </c>
      <c r="O100">
        <f t="shared" si="30"/>
        <v>222980156</v>
      </c>
      <c r="P100">
        <f t="shared" si="30"/>
        <v>218167782</v>
      </c>
      <c r="Q100">
        <f t="shared" si="30"/>
        <v>235869662</v>
      </c>
      <c r="R100">
        <f t="shared" si="30"/>
        <v>232490832</v>
      </c>
      <c r="S100">
        <f t="shared" si="30"/>
        <v>241523422</v>
      </c>
    </row>
    <row r="101" spans="1:19">
      <c r="A101" t="s">
        <v>60</v>
      </c>
      <c r="B101" t="s">
        <v>438</v>
      </c>
      <c r="C101" t="s">
        <v>623</v>
      </c>
      <c r="D101" t="s">
        <v>456</v>
      </c>
      <c r="G101">
        <f t="shared" si="19"/>
        <v>183627946</v>
      </c>
      <c r="H101">
        <v>12994744</v>
      </c>
      <c r="I101">
        <v>12288527</v>
      </c>
      <c r="J101">
        <v>14391563</v>
      </c>
      <c r="K101">
        <v>14777950</v>
      </c>
      <c r="L101">
        <v>15140065</v>
      </c>
      <c r="M101">
        <v>15659843</v>
      </c>
      <c r="N101">
        <v>16158693</v>
      </c>
      <c r="O101">
        <v>15927154</v>
      </c>
      <c r="P101">
        <v>15583413</v>
      </c>
      <c r="Q101">
        <v>16847833</v>
      </c>
      <c r="R101">
        <v>16606488</v>
      </c>
      <c r="S101">
        <v>17251673</v>
      </c>
    </row>
    <row r="102" spans="1:19">
      <c r="A102" t="s">
        <v>60</v>
      </c>
      <c r="B102" t="s">
        <v>438</v>
      </c>
      <c r="C102" t="s">
        <v>624</v>
      </c>
      <c r="D102" t="s">
        <v>458</v>
      </c>
      <c r="G102">
        <f t="shared" si="19"/>
        <v>183627946</v>
      </c>
      <c r="H102">
        <v>12994744</v>
      </c>
      <c r="I102">
        <v>12288527</v>
      </c>
      <c r="J102">
        <v>14391563</v>
      </c>
      <c r="K102">
        <v>14777950</v>
      </c>
      <c r="L102">
        <v>15140065</v>
      </c>
      <c r="M102">
        <v>15659843</v>
      </c>
      <c r="N102">
        <v>16158693</v>
      </c>
      <c r="O102">
        <v>15927154</v>
      </c>
      <c r="P102">
        <v>15583413</v>
      </c>
      <c r="Q102">
        <v>16847833</v>
      </c>
      <c r="R102">
        <v>16606488</v>
      </c>
      <c r="S102">
        <v>17251673</v>
      </c>
    </row>
    <row r="103" spans="1:19">
      <c r="A103" t="s">
        <v>60</v>
      </c>
      <c r="B103" t="s">
        <v>438</v>
      </c>
      <c r="C103" t="s">
        <v>625</v>
      </c>
      <c r="D103" t="s">
        <v>460</v>
      </c>
      <c r="G103">
        <f t="shared" si="19"/>
        <v>183627946</v>
      </c>
      <c r="H103">
        <v>12994744</v>
      </c>
      <c r="I103">
        <v>12288527</v>
      </c>
      <c r="J103">
        <v>14391563</v>
      </c>
      <c r="K103">
        <v>14777950</v>
      </c>
      <c r="L103">
        <v>15140065</v>
      </c>
      <c r="M103">
        <v>15659843</v>
      </c>
      <c r="N103">
        <v>16158693</v>
      </c>
      <c r="O103">
        <v>15927154</v>
      </c>
      <c r="P103">
        <v>15583413</v>
      </c>
      <c r="Q103">
        <v>16847833</v>
      </c>
      <c r="R103">
        <v>16606488</v>
      </c>
      <c r="S103">
        <v>17251673</v>
      </c>
    </row>
    <row r="104" spans="1:19">
      <c r="A104" t="s">
        <v>60</v>
      </c>
      <c r="B104" t="s">
        <v>438</v>
      </c>
      <c r="C104" t="s">
        <v>626</v>
      </c>
      <c r="D104" t="s">
        <v>462</v>
      </c>
      <c r="G104">
        <f t="shared" si="19"/>
        <v>183627946</v>
      </c>
      <c r="H104">
        <v>12994744</v>
      </c>
      <c r="I104">
        <v>12288527</v>
      </c>
      <c r="J104">
        <v>14391563</v>
      </c>
      <c r="K104">
        <v>14777950</v>
      </c>
      <c r="L104">
        <v>15140065</v>
      </c>
      <c r="M104">
        <v>15659843</v>
      </c>
      <c r="N104">
        <v>16158693</v>
      </c>
      <c r="O104">
        <v>15927154</v>
      </c>
      <c r="P104">
        <v>15583413</v>
      </c>
      <c r="Q104">
        <v>16847833</v>
      </c>
      <c r="R104">
        <v>16606488</v>
      </c>
      <c r="S104">
        <v>17251673</v>
      </c>
    </row>
    <row r="105" spans="1:19">
      <c r="A105" t="s">
        <v>60</v>
      </c>
      <c r="B105" t="s">
        <v>438</v>
      </c>
      <c r="C105" t="s">
        <v>627</v>
      </c>
      <c r="D105" t="s">
        <v>464</v>
      </c>
      <c r="G105">
        <f t="shared" si="19"/>
        <v>183627946</v>
      </c>
      <c r="H105">
        <v>12994744</v>
      </c>
      <c r="I105">
        <v>12288527</v>
      </c>
      <c r="J105">
        <v>14391563</v>
      </c>
      <c r="K105">
        <v>14777950</v>
      </c>
      <c r="L105">
        <v>15140065</v>
      </c>
      <c r="M105">
        <v>15659843</v>
      </c>
      <c r="N105">
        <v>16158693</v>
      </c>
      <c r="O105">
        <v>15927154</v>
      </c>
      <c r="P105">
        <v>15583413</v>
      </c>
      <c r="Q105">
        <v>16847833</v>
      </c>
      <c r="R105">
        <v>16606488</v>
      </c>
      <c r="S105">
        <v>17251673</v>
      </c>
    </row>
    <row r="106" spans="1:19">
      <c r="A106" t="s">
        <v>60</v>
      </c>
      <c r="B106" t="s">
        <v>438</v>
      </c>
      <c r="C106" t="s">
        <v>628</v>
      </c>
      <c r="D106" t="s">
        <v>466</v>
      </c>
      <c r="G106">
        <f t="shared" si="19"/>
        <v>183627946</v>
      </c>
      <c r="H106">
        <v>12994744</v>
      </c>
      <c r="I106">
        <v>12288527</v>
      </c>
      <c r="J106">
        <v>14391563</v>
      </c>
      <c r="K106">
        <v>14777950</v>
      </c>
      <c r="L106">
        <v>15140065</v>
      </c>
      <c r="M106">
        <v>15659843</v>
      </c>
      <c r="N106">
        <v>16158693</v>
      </c>
      <c r="O106">
        <v>15927154</v>
      </c>
      <c r="P106">
        <v>15583413</v>
      </c>
      <c r="Q106">
        <v>16847833</v>
      </c>
      <c r="R106">
        <v>16606488</v>
      </c>
      <c r="S106">
        <v>17251673</v>
      </c>
    </row>
    <row r="107" spans="1:19">
      <c r="A107" t="s">
        <v>60</v>
      </c>
      <c r="B107" t="s">
        <v>438</v>
      </c>
      <c r="C107" t="s">
        <v>629</v>
      </c>
      <c r="D107" t="s">
        <v>468</v>
      </c>
      <c r="G107">
        <f t="shared" si="19"/>
        <v>183627946</v>
      </c>
      <c r="H107">
        <v>12994744</v>
      </c>
      <c r="I107">
        <v>12288527</v>
      </c>
      <c r="J107">
        <v>14391563</v>
      </c>
      <c r="K107">
        <v>14777950</v>
      </c>
      <c r="L107">
        <v>15140065</v>
      </c>
      <c r="M107">
        <v>15659843</v>
      </c>
      <c r="N107">
        <v>16158693</v>
      </c>
      <c r="O107">
        <v>15927154</v>
      </c>
      <c r="P107">
        <v>15583413</v>
      </c>
      <c r="Q107">
        <v>16847833</v>
      </c>
      <c r="R107">
        <v>16606488</v>
      </c>
      <c r="S107">
        <v>17251673</v>
      </c>
    </row>
    <row r="108" spans="1:19">
      <c r="A108" t="s">
        <v>60</v>
      </c>
      <c r="B108" t="s">
        <v>438</v>
      </c>
      <c r="C108" t="s">
        <v>630</v>
      </c>
      <c r="D108" t="s">
        <v>470</v>
      </c>
      <c r="G108">
        <f t="shared" si="19"/>
        <v>183627946</v>
      </c>
      <c r="H108">
        <v>12994744</v>
      </c>
      <c r="I108">
        <v>12288527</v>
      </c>
      <c r="J108">
        <v>14391563</v>
      </c>
      <c r="K108">
        <v>14777950</v>
      </c>
      <c r="L108">
        <v>15140065</v>
      </c>
      <c r="M108">
        <v>15659843</v>
      </c>
      <c r="N108">
        <v>16158693</v>
      </c>
      <c r="O108">
        <v>15927154</v>
      </c>
      <c r="P108">
        <v>15583413</v>
      </c>
      <c r="Q108">
        <v>16847833</v>
      </c>
      <c r="R108">
        <v>16606488</v>
      </c>
      <c r="S108">
        <v>17251673</v>
      </c>
    </row>
    <row r="109" spans="1:19">
      <c r="A109" t="s">
        <v>60</v>
      </c>
      <c r="B109" t="s">
        <v>438</v>
      </c>
      <c r="C109" t="s">
        <v>631</v>
      </c>
      <c r="D109" t="s">
        <v>472</v>
      </c>
      <c r="G109">
        <f t="shared" si="19"/>
        <v>183627946</v>
      </c>
      <c r="H109">
        <v>12994744</v>
      </c>
      <c r="I109">
        <v>12288527</v>
      </c>
      <c r="J109">
        <v>14391563</v>
      </c>
      <c r="K109">
        <v>14777950</v>
      </c>
      <c r="L109">
        <v>15140065</v>
      </c>
      <c r="M109">
        <v>15659843</v>
      </c>
      <c r="N109">
        <v>16158693</v>
      </c>
      <c r="O109">
        <v>15927154</v>
      </c>
      <c r="P109">
        <v>15583413</v>
      </c>
      <c r="Q109">
        <v>16847833</v>
      </c>
      <c r="R109">
        <v>16606488</v>
      </c>
      <c r="S109">
        <v>17251673</v>
      </c>
    </row>
    <row r="110" spans="1:19">
      <c r="A110" t="s">
        <v>60</v>
      </c>
      <c r="B110" t="s">
        <v>438</v>
      </c>
      <c r="C110" t="s">
        <v>632</v>
      </c>
      <c r="D110" t="s">
        <v>474</v>
      </c>
      <c r="G110">
        <f t="shared" si="19"/>
        <v>183627946</v>
      </c>
      <c r="H110">
        <v>12994744</v>
      </c>
      <c r="I110">
        <v>12288527</v>
      </c>
      <c r="J110">
        <v>14391563</v>
      </c>
      <c r="K110">
        <v>14777950</v>
      </c>
      <c r="L110">
        <v>15140065</v>
      </c>
      <c r="M110">
        <v>15659843</v>
      </c>
      <c r="N110">
        <v>16158693</v>
      </c>
      <c r="O110">
        <v>15927154</v>
      </c>
      <c r="P110">
        <v>15583413</v>
      </c>
      <c r="Q110">
        <v>16847833</v>
      </c>
      <c r="R110">
        <v>16606488</v>
      </c>
      <c r="S110">
        <v>17251673</v>
      </c>
    </row>
    <row r="111" spans="1:19">
      <c r="A111" t="s">
        <v>60</v>
      </c>
      <c r="B111" t="s">
        <v>438</v>
      </c>
      <c r="C111" t="s">
        <v>633</v>
      </c>
      <c r="D111" t="s">
        <v>476</v>
      </c>
      <c r="G111">
        <f t="shared" si="19"/>
        <v>183627946</v>
      </c>
      <c r="H111">
        <v>12994744</v>
      </c>
      <c r="I111">
        <v>12288527</v>
      </c>
      <c r="J111">
        <v>14391563</v>
      </c>
      <c r="K111">
        <v>14777950</v>
      </c>
      <c r="L111">
        <v>15140065</v>
      </c>
      <c r="M111">
        <v>15659843</v>
      </c>
      <c r="N111">
        <v>16158693</v>
      </c>
      <c r="O111">
        <v>15927154</v>
      </c>
      <c r="P111">
        <v>15583413</v>
      </c>
      <c r="Q111">
        <v>16847833</v>
      </c>
      <c r="R111">
        <v>16606488</v>
      </c>
      <c r="S111">
        <v>17251673</v>
      </c>
    </row>
    <row r="112" spans="1:19">
      <c r="A112" t="s">
        <v>60</v>
      </c>
      <c r="B112" t="s">
        <v>438</v>
      </c>
      <c r="C112" t="s">
        <v>634</v>
      </c>
      <c r="D112" t="s">
        <v>478</v>
      </c>
      <c r="G112">
        <f t="shared" si="19"/>
        <v>183627946</v>
      </c>
      <c r="H112">
        <v>12994744</v>
      </c>
      <c r="I112">
        <v>12288527</v>
      </c>
      <c r="J112">
        <v>14391563</v>
      </c>
      <c r="K112">
        <v>14777950</v>
      </c>
      <c r="L112">
        <v>15140065</v>
      </c>
      <c r="M112">
        <v>15659843</v>
      </c>
      <c r="N112">
        <v>16158693</v>
      </c>
      <c r="O112">
        <v>15927154</v>
      </c>
      <c r="P112">
        <v>15583413</v>
      </c>
      <c r="Q112">
        <v>16847833</v>
      </c>
      <c r="R112">
        <v>16606488</v>
      </c>
      <c r="S112">
        <v>17251673</v>
      </c>
    </row>
    <row r="113" spans="1:19">
      <c r="A113" t="s">
        <v>60</v>
      </c>
      <c r="B113" t="s">
        <v>438</v>
      </c>
      <c r="C113" t="s">
        <v>635</v>
      </c>
      <c r="D113" t="s">
        <v>480</v>
      </c>
      <c r="G113">
        <f t="shared" si="19"/>
        <v>183627946</v>
      </c>
      <c r="H113">
        <v>12994744</v>
      </c>
      <c r="I113">
        <v>12288527</v>
      </c>
      <c r="J113">
        <v>14391563</v>
      </c>
      <c r="K113">
        <v>14777950</v>
      </c>
      <c r="L113">
        <v>15140065</v>
      </c>
      <c r="M113">
        <v>15659843</v>
      </c>
      <c r="N113">
        <v>16158693</v>
      </c>
      <c r="O113">
        <v>15927154</v>
      </c>
      <c r="P113">
        <v>15583413</v>
      </c>
      <c r="Q113">
        <v>16847833</v>
      </c>
      <c r="R113">
        <v>16606488</v>
      </c>
      <c r="S113">
        <v>17251673</v>
      </c>
    </row>
    <row r="114" spans="1:19">
      <c r="A114" t="s">
        <v>60</v>
      </c>
      <c r="B114" t="s">
        <v>438</v>
      </c>
      <c r="C114" t="s">
        <v>636</v>
      </c>
      <c r="D114" t="s">
        <v>482</v>
      </c>
      <c r="G114">
        <f t="shared" si="19"/>
        <v>183627946</v>
      </c>
      <c r="H114">
        <v>12994744</v>
      </c>
      <c r="I114">
        <v>12288527</v>
      </c>
      <c r="J114">
        <v>14391563</v>
      </c>
      <c r="K114">
        <v>14777950</v>
      </c>
      <c r="L114">
        <v>15140065</v>
      </c>
      <c r="M114">
        <v>15659843</v>
      </c>
      <c r="N114">
        <v>16158693</v>
      </c>
      <c r="O114">
        <v>15927154</v>
      </c>
      <c r="P114">
        <v>15583413</v>
      </c>
      <c r="Q114">
        <v>16847833</v>
      </c>
      <c r="R114">
        <v>16606488</v>
      </c>
      <c r="S114">
        <v>17251673</v>
      </c>
    </row>
    <row r="115" spans="1:19">
      <c r="A115" t="s">
        <v>26</v>
      </c>
      <c r="B115" t="s">
        <v>438</v>
      </c>
      <c r="C115" t="s">
        <v>637</v>
      </c>
      <c r="D115" t="s">
        <v>484</v>
      </c>
      <c r="G115">
        <f t="shared" si="19"/>
        <v>550883838</v>
      </c>
      <c r="H115">
        <f t="shared" ref="H115:S115" si="31">H116+H117+H118</f>
        <v>38984232</v>
      </c>
      <c r="I115">
        <f t="shared" si="31"/>
        <v>36865581</v>
      </c>
      <c r="J115">
        <f t="shared" si="31"/>
        <v>43174689</v>
      </c>
      <c r="K115">
        <f t="shared" si="31"/>
        <v>44333850</v>
      </c>
      <c r="L115">
        <f t="shared" si="31"/>
        <v>45420195</v>
      </c>
      <c r="M115">
        <f t="shared" si="31"/>
        <v>46979529</v>
      </c>
      <c r="N115">
        <f t="shared" si="31"/>
        <v>48476079</v>
      </c>
      <c r="O115">
        <f t="shared" si="31"/>
        <v>47781462</v>
      </c>
      <c r="P115">
        <f t="shared" si="31"/>
        <v>46750239</v>
      </c>
      <c r="Q115">
        <f t="shared" si="31"/>
        <v>50543499</v>
      </c>
      <c r="R115">
        <f t="shared" si="31"/>
        <v>49819464</v>
      </c>
      <c r="S115">
        <f t="shared" si="31"/>
        <v>51755019</v>
      </c>
    </row>
    <row r="116" spans="1:19">
      <c r="A116" t="s">
        <v>60</v>
      </c>
      <c r="B116" t="s">
        <v>438</v>
      </c>
      <c r="C116" t="s">
        <v>638</v>
      </c>
      <c r="D116" t="s">
        <v>486</v>
      </c>
      <c r="G116">
        <f t="shared" si="19"/>
        <v>183627946</v>
      </c>
      <c r="H116">
        <v>12994744</v>
      </c>
      <c r="I116">
        <v>12288527</v>
      </c>
      <c r="J116">
        <v>14391563</v>
      </c>
      <c r="K116">
        <v>14777950</v>
      </c>
      <c r="L116">
        <v>15140065</v>
      </c>
      <c r="M116">
        <v>15659843</v>
      </c>
      <c r="N116">
        <v>16158693</v>
      </c>
      <c r="O116">
        <v>15927154</v>
      </c>
      <c r="P116">
        <v>15583413</v>
      </c>
      <c r="Q116">
        <v>16847833</v>
      </c>
      <c r="R116">
        <v>16606488</v>
      </c>
      <c r="S116">
        <v>17251673</v>
      </c>
    </row>
    <row r="117" spans="1:19">
      <c r="A117" t="s">
        <v>60</v>
      </c>
      <c r="B117" t="s">
        <v>438</v>
      </c>
      <c r="C117" t="s">
        <v>639</v>
      </c>
      <c r="D117" t="s">
        <v>488</v>
      </c>
      <c r="G117">
        <f t="shared" si="19"/>
        <v>183627946</v>
      </c>
      <c r="H117">
        <v>12994744</v>
      </c>
      <c r="I117">
        <v>12288527</v>
      </c>
      <c r="J117">
        <v>14391563</v>
      </c>
      <c r="K117">
        <v>14777950</v>
      </c>
      <c r="L117">
        <v>15140065</v>
      </c>
      <c r="M117">
        <v>15659843</v>
      </c>
      <c r="N117">
        <v>16158693</v>
      </c>
      <c r="O117">
        <v>15927154</v>
      </c>
      <c r="P117">
        <v>15583413</v>
      </c>
      <c r="Q117">
        <v>16847833</v>
      </c>
      <c r="R117">
        <v>16606488</v>
      </c>
      <c r="S117">
        <v>17251673</v>
      </c>
    </row>
    <row r="118" spans="1:19">
      <c r="A118" t="s">
        <v>60</v>
      </c>
      <c r="B118" t="s">
        <v>438</v>
      </c>
      <c r="C118" t="s">
        <v>640</v>
      </c>
      <c r="D118" t="s">
        <v>490</v>
      </c>
      <c r="G118">
        <f t="shared" si="19"/>
        <v>183627946</v>
      </c>
      <c r="H118">
        <v>12994744</v>
      </c>
      <c r="I118">
        <v>12288527</v>
      </c>
      <c r="J118">
        <v>14391563</v>
      </c>
      <c r="K118">
        <v>14777950</v>
      </c>
      <c r="L118">
        <v>15140065</v>
      </c>
      <c r="M118">
        <v>15659843</v>
      </c>
      <c r="N118">
        <v>16158693</v>
      </c>
      <c r="O118">
        <v>15927154</v>
      </c>
      <c r="P118">
        <v>15583413</v>
      </c>
      <c r="Q118">
        <v>16847833</v>
      </c>
      <c r="R118">
        <v>16606488</v>
      </c>
      <c r="S118">
        <v>17251673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615</v>
      </c>
      <c r="D2" t="s">
        <v>440</v>
      </c>
      <c r="G2">
        <f t="shared" ref="G2:G27" si="0">H2+I2+J2+K2+L2+M2+N2+O2+P2+Q2+R2+S2</f>
        <v>26709858</v>
      </c>
      <c r="H2">
        <f t="shared" ref="H2:S2" si="1">H3</f>
        <v>1801800</v>
      </c>
      <c r="I2">
        <f t="shared" si="1"/>
        <v>2007600</v>
      </c>
      <c r="J2">
        <f t="shared" si="1"/>
        <v>2100000</v>
      </c>
      <c r="K2">
        <f t="shared" si="1"/>
        <v>2146200</v>
      </c>
      <c r="L2">
        <f t="shared" si="1"/>
        <v>2200800</v>
      </c>
      <c r="M2">
        <f t="shared" si="1"/>
        <v>2274300</v>
      </c>
      <c r="N2">
        <f t="shared" si="1"/>
        <v>2341500</v>
      </c>
      <c r="O2">
        <f t="shared" si="1"/>
        <v>2307900</v>
      </c>
      <c r="P2">
        <f t="shared" si="1"/>
        <v>2255400</v>
      </c>
      <c r="Q2">
        <f t="shared" si="1"/>
        <v>2410779</v>
      </c>
      <c r="R2">
        <f t="shared" si="1"/>
        <v>2385579</v>
      </c>
      <c r="S2">
        <f t="shared" si="1"/>
        <v>2478000</v>
      </c>
    </row>
    <row r="3" spans="1:19">
      <c r="A3" t="s">
        <v>19</v>
      </c>
      <c r="B3" t="s">
        <v>179</v>
      </c>
      <c r="C3" t="s">
        <v>616</v>
      </c>
      <c r="D3" t="s">
        <v>442</v>
      </c>
      <c r="G3">
        <f t="shared" si="0"/>
        <v>26709858</v>
      </c>
      <c r="H3">
        <f t="shared" ref="H3:S3" si="2">H4+H9+H24</f>
        <v>1801800</v>
      </c>
      <c r="I3">
        <f t="shared" si="2"/>
        <v>2007600</v>
      </c>
      <c r="J3">
        <f t="shared" si="2"/>
        <v>2100000</v>
      </c>
      <c r="K3">
        <f t="shared" si="2"/>
        <v>2146200</v>
      </c>
      <c r="L3">
        <f t="shared" si="2"/>
        <v>2200800</v>
      </c>
      <c r="M3">
        <f t="shared" si="2"/>
        <v>2274300</v>
      </c>
      <c r="N3">
        <f t="shared" si="2"/>
        <v>2341500</v>
      </c>
      <c r="O3">
        <f t="shared" si="2"/>
        <v>2307900</v>
      </c>
      <c r="P3">
        <f t="shared" si="2"/>
        <v>2255400</v>
      </c>
      <c r="Q3">
        <f t="shared" si="2"/>
        <v>2410779</v>
      </c>
      <c r="R3">
        <f t="shared" si="2"/>
        <v>2385579</v>
      </c>
      <c r="S3">
        <f t="shared" si="2"/>
        <v>2478000</v>
      </c>
    </row>
    <row r="4" spans="1:19">
      <c r="A4" t="s">
        <v>23</v>
      </c>
      <c r="B4" t="s">
        <v>179</v>
      </c>
      <c r="C4" t="s">
        <v>617</v>
      </c>
      <c r="D4" t="s">
        <v>444</v>
      </c>
      <c r="G4">
        <f t="shared" si="0"/>
        <v>5087592</v>
      </c>
      <c r="H4">
        <f t="shared" ref="H4:S4" si="3">H5+H6+H7+H8</f>
        <v>343200</v>
      </c>
      <c r="I4">
        <f t="shared" si="3"/>
        <v>382400</v>
      </c>
      <c r="J4">
        <f t="shared" si="3"/>
        <v>400000</v>
      </c>
      <c r="K4">
        <f t="shared" si="3"/>
        <v>408800</v>
      </c>
      <c r="L4">
        <f t="shared" si="3"/>
        <v>419200</v>
      </c>
      <c r="M4">
        <f t="shared" si="3"/>
        <v>433200</v>
      </c>
      <c r="N4">
        <f t="shared" si="3"/>
        <v>446000</v>
      </c>
      <c r="O4">
        <f t="shared" si="3"/>
        <v>439600</v>
      </c>
      <c r="P4">
        <f t="shared" si="3"/>
        <v>429600</v>
      </c>
      <c r="Q4">
        <f t="shared" si="3"/>
        <v>459196</v>
      </c>
      <c r="R4">
        <f t="shared" si="3"/>
        <v>454396</v>
      </c>
      <c r="S4">
        <f t="shared" si="3"/>
        <v>472000</v>
      </c>
    </row>
    <row r="5" spans="1:19">
      <c r="A5" t="s">
        <v>26</v>
      </c>
      <c r="B5" t="s">
        <v>179</v>
      </c>
      <c r="C5" t="s">
        <v>618</v>
      </c>
      <c r="D5" t="s">
        <v>446</v>
      </c>
      <c r="G5">
        <f t="shared" si="0"/>
        <v>1271898</v>
      </c>
      <c r="H5">
        <v>85800</v>
      </c>
      <c r="I5">
        <v>95600</v>
      </c>
      <c r="J5">
        <v>100000</v>
      </c>
      <c r="K5">
        <v>102200</v>
      </c>
      <c r="L5">
        <v>104800</v>
      </c>
      <c r="M5">
        <v>108300</v>
      </c>
      <c r="N5">
        <v>111500</v>
      </c>
      <c r="O5">
        <v>109900</v>
      </c>
      <c r="P5">
        <v>107400</v>
      </c>
      <c r="Q5">
        <v>114799</v>
      </c>
      <c r="R5">
        <v>113599</v>
      </c>
      <c r="S5">
        <v>118000</v>
      </c>
    </row>
    <row r="6" spans="1:19">
      <c r="A6" t="s">
        <v>26</v>
      </c>
      <c r="B6" t="s">
        <v>179</v>
      </c>
      <c r="C6" t="s">
        <v>619</v>
      </c>
      <c r="D6" t="s">
        <v>448</v>
      </c>
      <c r="G6">
        <f t="shared" si="0"/>
        <v>1271898</v>
      </c>
      <c r="H6">
        <v>85800</v>
      </c>
      <c r="I6">
        <v>95600</v>
      </c>
      <c r="J6">
        <v>100000</v>
      </c>
      <c r="K6">
        <v>102200</v>
      </c>
      <c r="L6">
        <v>104800</v>
      </c>
      <c r="M6">
        <v>108300</v>
      </c>
      <c r="N6">
        <v>111500</v>
      </c>
      <c r="O6">
        <v>109900</v>
      </c>
      <c r="P6">
        <v>107400</v>
      </c>
      <c r="Q6">
        <v>114799</v>
      </c>
      <c r="R6">
        <v>113599</v>
      </c>
      <c r="S6">
        <v>118000</v>
      </c>
    </row>
    <row r="7" spans="1:19">
      <c r="A7" t="s">
        <v>26</v>
      </c>
      <c r="B7" t="s">
        <v>179</v>
      </c>
      <c r="C7" t="s">
        <v>620</v>
      </c>
      <c r="D7" t="s">
        <v>450</v>
      </c>
      <c r="G7">
        <f t="shared" si="0"/>
        <v>1271898</v>
      </c>
      <c r="H7">
        <v>85800</v>
      </c>
      <c r="I7">
        <v>95600</v>
      </c>
      <c r="J7">
        <v>100000</v>
      </c>
      <c r="K7">
        <v>102200</v>
      </c>
      <c r="L7">
        <v>104800</v>
      </c>
      <c r="M7">
        <v>108300</v>
      </c>
      <c r="N7">
        <v>111500</v>
      </c>
      <c r="O7">
        <v>109900</v>
      </c>
      <c r="P7">
        <v>107400</v>
      </c>
      <c r="Q7">
        <v>114799</v>
      </c>
      <c r="R7">
        <v>113599</v>
      </c>
      <c r="S7">
        <v>118000</v>
      </c>
    </row>
    <row r="8" spans="1:19">
      <c r="A8" t="s">
        <v>26</v>
      </c>
      <c r="B8" t="s">
        <v>179</v>
      </c>
      <c r="C8" t="s">
        <v>621</v>
      </c>
      <c r="D8" t="s">
        <v>452</v>
      </c>
      <c r="G8">
        <f t="shared" si="0"/>
        <v>1271898</v>
      </c>
      <c r="H8">
        <v>85800</v>
      </c>
      <c r="I8">
        <v>95600</v>
      </c>
      <c r="J8">
        <v>100000</v>
      </c>
      <c r="K8">
        <v>102200</v>
      </c>
      <c r="L8">
        <v>104800</v>
      </c>
      <c r="M8">
        <v>108300</v>
      </c>
      <c r="N8">
        <v>111500</v>
      </c>
      <c r="O8">
        <v>109900</v>
      </c>
      <c r="P8">
        <v>107400</v>
      </c>
      <c r="Q8">
        <v>114799</v>
      </c>
      <c r="R8">
        <v>113599</v>
      </c>
      <c r="S8">
        <v>118000</v>
      </c>
    </row>
    <row r="9" spans="1:19">
      <c r="A9" t="s">
        <v>23</v>
      </c>
      <c r="B9" t="s">
        <v>179</v>
      </c>
      <c r="C9" t="s">
        <v>622</v>
      </c>
      <c r="D9" t="s">
        <v>454</v>
      </c>
      <c r="G9">
        <f t="shared" si="0"/>
        <v>17806572</v>
      </c>
      <c r="H9">
        <f t="shared" ref="H9:S9" si="4">H10+H11+H12+H13+H14+H15+H16+H17+H18+H19+H20+H21+H22+H23</f>
        <v>1201200</v>
      </c>
      <c r="I9">
        <f t="shared" si="4"/>
        <v>1338400</v>
      </c>
      <c r="J9">
        <f t="shared" si="4"/>
        <v>1400000</v>
      </c>
      <c r="K9">
        <f t="shared" si="4"/>
        <v>1430800</v>
      </c>
      <c r="L9">
        <f t="shared" si="4"/>
        <v>1467200</v>
      </c>
      <c r="M9">
        <f t="shared" si="4"/>
        <v>1516200</v>
      </c>
      <c r="N9">
        <f t="shared" si="4"/>
        <v>1561000</v>
      </c>
      <c r="O9">
        <f t="shared" si="4"/>
        <v>1538600</v>
      </c>
      <c r="P9">
        <f t="shared" si="4"/>
        <v>1503600</v>
      </c>
      <c r="Q9">
        <f t="shared" si="4"/>
        <v>1607186</v>
      </c>
      <c r="R9">
        <f t="shared" si="4"/>
        <v>1590386</v>
      </c>
      <c r="S9">
        <f t="shared" si="4"/>
        <v>1652000</v>
      </c>
    </row>
    <row r="10" spans="1:19">
      <c r="A10" t="s">
        <v>26</v>
      </c>
      <c r="B10" t="s">
        <v>179</v>
      </c>
      <c r="C10" t="s">
        <v>623</v>
      </c>
      <c r="D10" t="s">
        <v>456</v>
      </c>
      <c r="G10">
        <f t="shared" si="0"/>
        <v>1271898</v>
      </c>
      <c r="H10">
        <v>85800</v>
      </c>
      <c r="I10">
        <v>95600</v>
      </c>
      <c r="J10">
        <v>100000</v>
      </c>
      <c r="K10">
        <v>102200</v>
      </c>
      <c r="L10">
        <v>104800</v>
      </c>
      <c r="M10">
        <v>108300</v>
      </c>
      <c r="N10">
        <v>111500</v>
      </c>
      <c r="O10">
        <v>109900</v>
      </c>
      <c r="P10">
        <v>107400</v>
      </c>
      <c r="Q10">
        <v>114799</v>
      </c>
      <c r="R10">
        <v>113599</v>
      </c>
      <c r="S10">
        <v>118000</v>
      </c>
    </row>
    <row r="11" spans="1:19">
      <c r="A11" t="s">
        <v>26</v>
      </c>
      <c r="B11" t="s">
        <v>179</v>
      </c>
      <c r="C11" t="s">
        <v>624</v>
      </c>
      <c r="D11" t="s">
        <v>458</v>
      </c>
      <c r="G11">
        <f t="shared" si="0"/>
        <v>1271898</v>
      </c>
      <c r="H11">
        <v>85800</v>
      </c>
      <c r="I11">
        <v>95600</v>
      </c>
      <c r="J11">
        <v>100000</v>
      </c>
      <c r="K11">
        <v>102200</v>
      </c>
      <c r="L11">
        <v>104800</v>
      </c>
      <c r="M11">
        <v>108300</v>
      </c>
      <c r="N11">
        <v>111500</v>
      </c>
      <c r="O11">
        <v>109900</v>
      </c>
      <c r="P11">
        <v>107400</v>
      </c>
      <c r="Q11">
        <v>114799</v>
      </c>
      <c r="R11">
        <v>113599</v>
      </c>
      <c r="S11">
        <v>118000</v>
      </c>
    </row>
    <row r="12" spans="1:19">
      <c r="A12" t="s">
        <v>26</v>
      </c>
      <c r="B12" t="s">
        <v>179</v>
      </c>
      <c r="C12" t="s">
        <v>625</v>
      </c>
      <c r="D12" t="s">
        <v>460</v>
      </c>
      <c r="G12">
        <f t="shared" si="0"/>
        <v>1271898</v>
      </c>
      <c r="H12">
        <v>85800</v>
      </c>
      <c r="I12">
        <v>95600</v>
      </c>
      <c r="J12">
        <v>100000</v>
      </c>
      <c r="K12">
        <v>102200</v>
      </c>
      <c r="L12">
        <v>104800</v>
      </c>
      <c r="M12">
        <v>108300</v>
      </c>
      <c r="N12">
        <v>111500</v>
      </c>
      <c r="O12">
        <v>109900</v>
      </c>
      <c r="P12">
        <v>107400</v>
      </c>
      <c r="Q12">
        <v>114799</v>
      </c>
      <c r="R12">
        <v>113599</v>
      </c>
      <c r="S12">
        <v>118000</v>
      </c>
    </row>
    <row r="13" spans="1:19">
      <c r="A13" t="s">
        <v>26</v>
      </c>
      <c r="B13" t="s">
        <v>179</v>
      </c>
      <c r="C13" t="s">
        <v>626</v>
      </c>
      <c r="D13" t="s">
        <v>462</v>
      </c>
      <c r="G13">
        <f t="shared" si="0"/>
        <v>1271898</v>
      </c>
      <c r="H13">
        <v>85800</v>
      </c>
      <c r="I13">
        <v>95600</v>
      </c>
      <c r="J13">
        <v>100000</v>
      </c>
      <c r="K13">
        <v>102200</v>
      </c>
      <c r="L13">
        <v>104800</v>
      </c>
      <c r="M13">
        <v>108300</v>
      </c>
      <c r="N13">
        <v>111500</v>
      </c>
      <c r="O13">
        <v>109900</v>
      </c>
      <c r="P13">
        <v>107400</v>
      </c>
      <c r="Q13">
        <v>114799</v>
      </c>
      <c r="R13">
        <v>113599</v>
      </c>
      <c r="S13">
        <v>118000</v>
      </c>
    </row>
    <row r="14" spans="1:19">
      <c r="A14" t="s">
        <v>26</v>
      </c>
      <c r="B14" t="s">
        <v>179</v>
      </c>
      <c r="C14" t="s">
        <v>627</v>
      </c>
      <c r="D14" t="s">
        <v>464</v>
      </c>
      <c r="G14">
        <f t="shared" si="0"/>
        <v>1271898</v>
      </c>
      <c r="H14">
        <v>85800</v>
      </c>
      <c r="I14">
        <v>95600</v>
      </c>
      <c r="J14">
        <v>100000</v>
      </c>
      <c r="K14">
        <v>102200</v>
      </c>
      <c r="L14">
        <v>104800</v>
      </c>
      <c r="M14">
        <v>108300</v>
      </c>
      <c r="N14">
        <v>111500</v>
      </c>
      <c r="O14">
        <v>109900</v>
      </c>
      <c r="P14">
        <v>107400</v>
      </c>
      <c r="Q14">
        <v>114799</v>
      </c>
      <c r="R14">
        <v>113599</v>
      </c>
      <c r="S14">
        <v>118000</v>
      </c>
    </row>
    <row r="15" spans="1:19">
      <c r="A15" t="s">
        <v>26</v>
      </c>
      <c r="B15" t="s">
        <v>179</v>
      </c>
      <c r="C15" t="s">
        <v>628</v>
      </c>
      <c r="D15" t="s">
        <v>466</v>
      </c>
      <c r="G15">
        <f t="shared" si="0"/>
        <v>1271898</v>
      </c>
      <c r="H15">
        <v>85800</v>
      </c>
      <c r="I15">
        <v>95600</v>
      </c>
      <c r="J15">
        <v>100000</v>
      </c>
      <c r="K15">
        <v>102200</v>
      </c>
      <c r="L15">
        <v>104800</v>
      </c>
      <c r="M15">
        <v>108300</v>
      </c>
      <c r="N15">
        <v>111500</v>
      </c>
      <c r="O15">
        <v>109900</v>
      </c>
      <c r="P15">
        <v>107400</v>
      </c>
      <c r="Q15">
        <v>114799</v>
      </c>
      <c r="R15">
        <v>113599</v>
      </c>
      <c r="S15">
        <v>118000</v>
      </c>
    </row>
    <row r="16" spans="1:19">
      <c r="A16" t="s">
        <v>26</v>
      </c>
      <c r="B16" t="s">
        <v>179</v>
      </c>
      <c r="C16" t="s">
        <v>629</v>
      </c>
      <c r="D16" t="s">
        <v>468</v>
      </c>
      <c r="G16">
        <f t="shared" si="0"/>
        <v>1271898</v>
      </c>
      <c r="H16">
        <v>85800</v>
      </c>
      <c r="I16">
        <v>95600</v>
      </c>
      <c r="J16">
        <v>100000</v>
      </c>
      <c r="K16">
        <v>102200</v>
      </c>
      <c r="L16">
        <v>104800</v>
      </c>
      <c r="M16">
        <v>108300</v>
      </c>
      <c r="N16">
        <v>111500</v>
      </c>
      <c r="O16">
        <v>109900</v>
      </c>
      <c r="P16">
        <v>107400</v>
      </c>
      <c r="Q16">
        <v>114799</v>
      </c>
      <c r="R16">
        <v>113599</v>
      </c>
      <c r="S16">
        <v>118000</v>
      </c>
    </row>
    <row r="17" spans="1:19">
      <c r="A17" t="s">
        <v>26</v>
      </c>
      <c r="B17" t="s">
        <v>179</v>
      </c>
      <c r="C17" t="s">
        <v>630</v>
      </c>
      <c r="D17" t="s">
        <v>470</v>
      </c>
      <c r="G17">
        <f t="shared" si="0"/>
        <v>1271898</v>
      </c>
      <c r="H17">
        <v>85800</v>
      </c>
      <c r="I17">
        <v>95600</v>
      </c>
      <c r="J17">
        <v>100000</v>
      </c>
      <c r="K17">
        <v>102200</v>
      </c>
      <c r="L17">
        <v>104800</v>
      </c>
      <c r="M17">
        <v>108300</v>
      </c>
      <c r="N17">
        <v>111500</v>
      </c>
      <c r="O17">
        <v>109900</v>
      </c>
      <c r="P17">
        <v>107400</v>
      </c>
      <c r="Q17">
        <v>114799</v>
      </c>
      <c r="R17">
        <v>113599</v>
      </c>
      <c r="S17">
        <v>118000</v>
      </c>
    </row>
    <row r="18" spans="1:19">
      <c r="A18" t="s">
        <v>26</v>
      </c>
      <c r="B18" t="s">
        <v>179</v>
      </c>
      <c r="C18" t="s">
        <v>631</v>
      </c>
      <c r="D18" t="s">
        <v>472</v>
      </c>
      <c r="G18">
        <f t="shared" si="0"/>
        <v>1271898</v>
      </c>
      <c r="H18">
        <v>85800</v>
      </c>
      <c r="I18">
        <v>95600</v>
      </c>
      <c r="J18">
        <v>100000</v>
      </c>
      <c r="K18">
        <v>102200</v>
      </c>
      <c r="L18">
        <v>104800</v>
      </c>
      <c r="M18">
        <v>108300</v>
      </c>
      <c r="N18">
        <v>111500</v>
      </c>
      <c r="O18">
        <v>109900</v>
      </c>
      <c r="P18">
        <v>107400</v>
      </c>
      <c r="Q18">
        <v>114799</v>
      </c>
      <c r="R18">
        <v>113599</v>
      </c>
      <c r="S18">
        <v>118000</v>
      </c>
    </row>
    <row r="19" spans="1:19">
      <c r="A19" t="s">
        <v>26</v>
      </c>
      <c r="B19" t="s">
        <v>179</v>
      </c>
      <c r="C19" t="s">
        <v>632</v>
      </c>
      <c r="D19" t="s">
        <v>474</v>
      </c>
      <c r="G19">
        <f t="shared" si="0"/>
        <v>1271898</v>
      </c>
      <c r="H19">
        <v>85800</v>
      </c>
      <c r="I19">
        <v>95600</v>
      </c>
      <c r="J19">
        <v>100000</v>
      </c>
      <c r="K19">
        <v>102200</v>
      </c>
      <c r="L19">
        <v>104800</v>
      </c>
      <c r="M19">
        <v>108300</v>
      </c>
      <c r="N19">
        <v>111500</v>
      </c>
      <c r="O19">
        <v>109900</v>
      </c>
      <c r="P19">
        <v>107400</v>
      </c>
      <c r="Q19">
        <v>114799</v>
      </c>
      <c r="R19">
        <v>113599</v>
      </c>
      <c r="S19">
        <v>118000</v>
      </c>
    </row>
    <row r="20" spans="1:19">
      <c r="A20" t="s">
        <v>26</v>
      </c>
      <c r="B20" t="s">
        <v>179</v>
      </c>
      <c r="C20" t="s">
        <v>633</v>
      </c>
      <c r="D20" t="s">
        <v>476</v>
      </c>
      <c r="G20">
        <f t="shared" si="0"/>
        <v>1271898</v>
      </c>
      <c r="H20">
        <v>85800</v>
      </c>
      <c r="I20">
        <v>95600</v>
      </c>
      <c r="J20">
        <v>100000</v>
      </c>
      <c r="K20">
        <v>102200</v>
      </c>
      <c r="L20">
        <v>104800</v>
      </c>
      <c r="M20">
        <v>108300</v>
      </c>
      <c r="N20">
        <v>111500</v>
      </c>
      <c r="O20">
        <v>109900</v>
      </c>
      <c r="P20">
        <v>107400</v>
      </c>
      <c r="Q20">
        <v>114799</v>
      </c>
      <c r="R20">
        <v>113599</v>
      </c>
      <c r="S20">
        <v>118000</v>
      </c>
    </row>
    <row r="21" spans="1:19">
      <c r="A21" t="s">
        <v>26</v>
      </c>
      <c r="B21" t="s">
        <v>179</v>
      </c>
      <c r="C21" t="s">
        <v>634</v>
      </c>
      <c r="D21" t="s">
        <v>478</v>
      </c>
      <c r="G21">
        <f t="shared" si="0"/>
        <v>1271898</v>
      </c>
      <c r="H21">
        <v>85800</v>
      </c>
      <c r="I21">
        <v>95600</v>
      </c>
      <c r="J21">
        <v>100000</v>
      </c>
      <c r="K21">
        <v>102200</v>
      </c>
      <c r="L21">
        <v>104800</v>
      </c>
      <c r="M21">
        <v>108300</v>
      </c>
      <c r="N21">
        <v>111500</v>
      </c>
      <c r="O21">
        <v>109900</v>
      </c>
      <c r="P21">
        <v>107400</v>
      </c>
      <c r="Q21">
        <v>114799</v>
      </c>
      <c r="R21">
        <v>113599</v>
      </c>
      <c r="S21">
        <v>118000</v>
      </c>
    </row>
    <row r="22" spans="1:19">
      <c r="A22" t="s">
        <v>26</v>
      </c>
      <c r="B22" t="s">
        <v>179</v>
      </c>
      <c r="C22" t="s">
        <v>635</v>
      </c>
      <c r="D22" t="s">
        <v>480</v>
      </c>
      <c r="G22">
        <f t="shared" si="0"/>
        <v>1271898</v>
      </c>
      <c r="H22">
        <v>85800</v>
      </c>
      <c r="I22">
        <v>95600</v>
      </c>
      <c r="J22">
        <v>100000</v>
      </c>
      <c r="K22">
        <v>102200</v>
      </c>
      <c r="L22">
        <v>104800</v>
      </c>
      <c r="M22">
        <v>108300</v>
      </c>
      <c r="N22">
        <v>111500</v>
      </c>
      <c r="O22">
        <v>109900</v>
      </c>
      <c r="P22">
        <v>107400</v>
      </c>
      <c r="Q22">
        <v>114799</v>
      </c>
      <c r="R22">
        <v>113599</v>
      </c>
      <c r="S22">
        <v>118000</v>
      </c>
    </row>
    <row r="23" spans="1:19">
      <c r="A23" t="s">
        <v>26</v>
      </c>
      <c r="B23" t="s">
        <v>179</v>
      </c>
      <c r="C23" t="s">
        <v>636</v>
      </c>
      <c r="D23" t="s">
        <v>482</v>
      </c>
      <c r="G23">
        <f t="shared" si="0"/>
        <v>1271898</v>
      </c>
      <c r="H23">
        <v>85800</v>
      </c>
      <c r="I23">
        <v>95600</v>
      </c>
      <c r="J23">
        <v>100000</v>
      </c>
      <c r="K23">
        <v>102200</v>
      </c>
      <c r="L23">
        <v>104800</v>
      </c>
      <c r="M23">
        <v>108300</v>
      </c>
      <c r="N23">
        <v>111500</v>
      </c>
      <c r="O23">
        <v>109900</v>
      </c>
      <c r="P23">
        <v>107400</v>
      </c>
      <c r="Q23">
        <v>114799</v>
      </c>
      <c r="R23">
        <v>113599</v>
      </c>
      <c r="S23">
        <v>118000</v>
      </c>
    </row>
    <row r="24" spans="1:19">
      <c r="A24" t="s">
        <v>23</v>
      </c>
      <c r="B24" t="s">
        <v>179</v>
      </c>
      <c r="C24" t="s">
        <v>637</v>
      </c>
      <c r="D24" t="s">
        <v>484</v>
      </c>
      <c r="G24">
        <f t="shared" si="0"/>
        <v>3815694</v>
      </c>
      <c r="H24">
        <f t="shared" ref="H24:S24" si="5">H25+H26+H27</f>
        <v>257400</v>
      </c>
      <c r="I24">
        <f t="shared" si="5"/>
        <v>286800</v>
      </c>
      <c r="J24">
        <f t="shared" si="5"/>
        <v>300000</v>
      </c>
      <c r="K24">
        <f t="shared" si="5"/>
        <v>306600</v>
      </c>
      <c r="L24">
        <f t="shared" si="5"/>
        <v>314400</v>
      </c>
      <c r="M24">
        <f t="shared" si="5"/>
        <v>324900</v>
      </c>
      <c r="N24">
        <f t="shared" si="5"/>
        <v>334500</v>
      </c>
      <c r="O24">
        <f t="shared" si="5"/>
        <v>329700</v>
      </c>
      <c r="P24">
        <f t="shared" si="5"/>
        <v>322200</v>
      </c>
      <c r="Q24">
        <f t="shared" si="5"/>
        <v>344397</v>
      </c>
      <c r="R24">
        <f t="shared" si="5"/>
        <v>340797</v>
      </c>
      <c r="S24">
        <f t="shared" si="5"/>
        <v>354000</v>
      </c>
    </row>
    <row r="25" spans="1:19">
      <c r="A25" t="s">
        <v>26</v>
      </c>
      <c r="B25" t="s">
        <v>179</v>
      </c>
      <c r="C25" t="s">
        <v>638</v>
      </c>
      <c r="D25" t="s">
        <v>486</v>
      </c>
      <c r="G25">
        <f t="shared" si="0"/>
        <v>1271898</v>
      </c>
      <c r="H25">
        <v>85800</v>
      </c>
      <c r="I25">
        <v>95600</v>
      </c>
      <c r="J25">
        <v>100000</v>
      </c>
      <c r="K25">
        <v>102200</v>
      </c>
      <c r="L25">
        <v>104800</v>
      </c>
      <c r="M25">
        <v>108300</v>
      </c>
      <c r="N25">
        <v>111500</v>
      </c>
      <c r="O25">
        <v>109900</v>
      </c>
      <c r="P25">
        <v>107400</v>
      </c>
      <c r="Q25">
        <v>114799</v>
      </c>
      <c r="R25">
        <v>113599</v>
      </c>
      <c r="S25">
        <v>118000</v>
      </c>
    </row>
    <row r="26" spans="1:19">
      <c r="A26" t="s">
        <v>26</v>
      </c>
      <c r="B26" t="s">
        <v>179</v>
      </c>
      <c r="C26" t="s">
        <v>639</v>
      </c>
      <c r="D26" t="s">
        <v>488</v>
      </c>
      <c r="G26">
        <f t="shared" si="0"/>
        <v>1271898</v>
      </c>
      <c r="H26">
        <v>85800</v>
      </c>
      <c r="I26">
        <v>95600</v>
      </c>
      <c r="J26">
        <v>100000</v>
      </c>
      <c r="K26">
        <v>102200</v>
      </c>
      <c r="L26">
        <v>104800</v>
      </c>
      <c r="M26">
        <v>108300</v>
      </c>
      <c r="N26">
        <v>111500</v>
      </c>
      <c r="O26">
        <v>109900</v>
      </c>
      <c r="P26">
        <v>107400</v>
      </c>
      <c r="Q26">
        <v>114799</v>
      </c>
      <c r="R26">
        <v>113599</v>
      </c>
      <c r="S26">
        <v>118000</v>
      </c>
    </row>
    <row r="27" spans="1:19">
      <c r="A27" t="s">
        <v>26</v>
      </c>
      <c r="B27" t="s">
        <v>179</v>
      </c>
      <c r="C27" t="s">
        <v>640</v>
      </c>
      <c r="D27" t="s">
        <v>490</v>
      </c>
      <c r="G27">
        <f t="shared" si="0"/>
        <v>1271898</v>
      </c>
      <c r="H27">
        <v>85800</v>
      </c>
      <c r="I27">
        <v>95600</v>
      </c>
      <c r="J27">
        <v>100000</v>
      </c>
      <c r="K27">
        <v>102200</v>
      </c>
      <c r="L27">
        <v>104800</v>
      </c>
      <c r="M27">
        <v>108300</v>
      </c>
      <c r="N27">
        <v>111500</v>
      </c>
      <c r="O27">
        <v>109900</v>
      </c>
      <c r="P27">
        <v>107400</v>
      </c>
      <c r="Q27">
        <v>114799</v>
      </c>
      <c r="R27">
        <v>113599</v>
      </c>
      <c r="S27">
        <v>118000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A1" sqref="A1"/>
    </sheetView>
  </sheetViews>
  <sheetFormatPr defaultColWidth="9" defaultRowHeight="16.8" outlineLevelRow="5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549</v>
      </c>
      <c r="D2" t="s">
        <v>22</v>
      </c>
      <c r="G2">
        <f>H2+I2+J2+K2+L2+M2+N2+O2+P2+Q2+R2+S2</f>
        <v>3.51</v>
      </c>
      <c r="H2">
        <v>0.25</v>
      </c>
      <c r="I2">
        <v>0.23</v>
      </c>
      <c r="J2">
        <v>0.27</v>
      </c>
      <c r="K2">
        <v>0.28</v>
      </c>
      <c r="L2">
        <v>0.29</v>
      </c>
      <c r="M2">
        <v>0.3</v>
      </c>
      <c r="N2">
        <v>0.31</v>
      </c>
      <c r="O2">
        <v>0.3</v>
      </c>
      <c r="P2">
        <v>0.3</v>
      </c>
      <c r="Q2">
        <v>0.33</v>
      </c>
      <c r="R2">
        <v>0.32</v>
      </c>
      <c r="S2">
        <v>0.33</v>
      </c>
    </row>
    <row r="3" spans="1:19">
      <c r="A3" t="s">
        <v>491</v>
      </c>
      <c r="B3" t="s">
        <v>84</v>
      </c>
      <c r="C3" t="s">
        <v>551</v>
      </c>
      <c r="D3" t="s">
        <v>502</v>
      </c>
      <c r="G3">
        <f>H3+I3+J3+K3+L3+M3+N3+O3+P3+Q3+R3+S3</f>
        <v>2450000000</v>
      </c>
      <c r="H3">
        <f t="shared" ref="H3:S3" si="0">H4+H6</f>
        <v>171500000</v>
      </c>
      <c r="I3">
        <f t="shared" si="0"/>
        <v>159250000</v>
      </c>
      <c r="J3">
        <f t="shared" si="0"/>
        <v>191100000</v>
      </c>
      <c r="K3">
        <f t="shared" si="0"/>
        <v>196000000</v>
      </c>
      <c r="L3">
        <f t="shared" si="0"/>
        <v>200900000</v>
      </c>
      <c r="M3">
        <f t="shared" si="0"/>
        <v>208250000</v>
      </c>
      <c r="N3">
        <f t="shared" si="0"/>
        <v>215600000</v>
      </c>
      <c r="O3">
        <f t="shared" si="0"/>
        <v>213150000</v>
      </c>
      <c r="P3">
        <f t="shared" si="0"/>
        <v>208250000</v>
      </c>
      <c r="Q3">
        <f t="shared" si="0"/>
        <v>227850000</v>
      </c>
      <c r="R3">
        <f t="shared" si="0"/>
        <v>225400000</v>
      </c>
      <c r="S3">
        <f t="shared" si="0"/>
        <v>232750000</v>
      </c>
    </row>
    <row r="4" spans="1:19">
      <c r="A4" t="s">
        <v>19</v>
      </c>
      <c r="B4" t="s">
        <v>84</v>
      </c>
      <c r="C4" t="s">
        <v>553</v>
      </c>
      <c r="D4" t="s">
        <v>504</v>
      </c>
      <c r="G4">
        <f>H4+I4+J4+K4+L4+M4+N4+O4+P4+Q4+R4+S4</f>
        <v>1750000000</v>
      </c>
      <c r="H4">
        <f t="shared" ref="H4:S4" si="1">H5</f>
        <v>122500000</v>
      </c>
      <c r="I4">
        <f t="shared" si="1"/>
        <v>113750000</v>
      </c>
      <c r="J4">
        <f t="shared" si="1"/>
        <v>136500000</v>
      </c>
      <c r="K4">
        <f t="shared" si="1"/>
        <v>140000000</v>
      </c>
      <c r="L4">
        <f t="shared" si="1"/>
        <v>143500000</v>
      </c>
      <c r="M4">
        <f t="shared" si="1"/>
        <v>148750000</v>
      </c>
      <c r="N4">
        <f t="shared" si="1"/>
        <v>154000000</v>
      </c>
      <c r="O4">
        <f t="shared" si="1"/>
        <v>152250000</v>
      </c>
      <c r="P4">
        <f t="shared" si="1"/>
        <v>148750000</v>
      </c>
      <c r="Q4">
        <f t="shared" si="1"/>
        <v>162750000</v>
      </c>
      <c r="R4">
        <f t="shared" si="1"/>
        <v>161000000</v>
      </c>
      <c r="S4">
        <f t="shared" si="1"/>
        <v>166250000</v>
      </c>
    </row>
    <row r="5" spans="1:19">
      <c r="A5" t="s">
        <v>23</v>
      </c>
      <c r="B5" t="s">
        <v>84</v>
      </c>
      <c r="C5" t="s">
        <v>555</v>
      </c>
      <c r="D5" t="s">
        <v>506</v>
      </c>
      <c r="G5">
        <f>H5+I5+J5+K5+L5+M5+N5+O5+P5+Q5+R5+S5</f>
        <v>1750000000</v>
      </c>
      <c r="H5">
        <v>122500000</v>
      </c>
      <c r="I5">
        <v>113750000</v>
      </c>
      <c r="J5">
        <v>136500000</v>
      </c>
      <c r="K5">
        <v>140000000</v>
      </c>
      <c r="L5">
        <v>143500000</v>
      </c>
      <c r="M5">
        <v>148750000</v>
      </c>
      <c r="N5">
        <v>154000000</v>
      </c>
      <c r="O5">
        <v>152250000</v>
      </c>
      <c r="P5">
        <v>148750000</v>
      </c>
      <c r="Q5">
        <v>162750000</v>
      </c>
      <c r="R5">
        <v>161000000</v>
      </c>
      <c r="S5">
        <v>166250000</v>
      </c>
    </row>
    <row r="6" spans="1:19">
      <c r="A6" t="s">
        <v>19</v>
      </c>
      <c r="B6" t="s">
        <v>84</v>
      </c>
      <c r="C6" t="s">
        <v>556</v>
      </c>
      <c r="D6" t="s">
        <v>510</v>
      </c>
      <c r="G6">
        <f>H6+I6+J6+K6+L6+M6+N6+O6+P6+Q6+R6+S6</f>
        <v>700000000</v>
      </c>
      <c r="H6">
        <v>49000000</v>
      </c>
      <c r="I6">
        <v>45500000</v>
      </c>
      <c r="J6">
        <v>54600000</v>
      </c>
      <c r="K6">
        <v>56000000</v>
      </c>
      <c r="L6">
        <v>57400000</v>
      </c>
      <c r="M6">
        <v>59500000</v>
      </c>
      <c r="N6">
        <v>61600000</v>
      </c>
      <c r="O6">
        <v>60900000</v>
      </c>
      <c r="P6">
        <v>59500000</v>
      </c>
      <c r="Q6">
        <v>65100000</v>
      </c>
      <c r="R6">
        <v>64400000</v>
      </c>
      <c r="S6">
        <v>66500000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179</v>
      </c>
      <c r="C2" t="s">
        <v>566</v>
      </c>
      <c r="D2" t="s">
        <v>641</v>
      </c>
      <c r="G2">
        <f t="shared" ref="G2:G64" si="0">H2+I2+J2+K2+L2+M2+N2+O2+P2+Q2+R2+S2</f>
        <v>39565565196</v>
      </c>
      <c r="H2">
        <f t="shared" ref="H2:S2" si="1">H3+H6+H7+H8+H9</f>
        <v>2967417390</v>
      </c>
      <c r="I2">
        <f t="shared" si="1"/>
        <v>3097408692</v>
      </c>
      <c r="J2">
        <f t="shared" si="1"/>
        <v>3247200000</v>
      </c>
      <c r="K2">
        <f t="shared" si="1"/>
        <v>3267000000</v>
      </c>
      <c r="L2">
        <f t="shared" si="1"/>
        <v>3377191302</v>
      </c>
      <c r="M2">
        <f t="shared" si="1"/>
        <v>3416791302</v>
      </c>
      <c r="N2">
        <f t="shared" si="1"/>
        <v>3507182604</v>
      </c>
      <c r="O2">
        <f t="shared" si="1"/>
        <v>3396991302</v>
      </c>
      <c r="P2">
        <f t="shared" si="1"/>
        <v>3357391302</v>
      </c>
      <c r="Q2">
        <f t="shared" si="1"/>
        <v>3267000000</v>
      </c>
      <c r="R2">
        <f t="shared" si="1"/>
        <v>3247200000</v>
      </c>
      <c r="S2">
        <f t="shared" si="1"/>
        <v>3416791302</v>
      </c>
    </row>
    <row r="3" spans="1:19">
      <c r="A3" t="s">
        <v>23</v>
      </c>
      <c r="B3" t="s">
        <v>179</v>
      </c>
      <c r="C3" t="s">
        <v>642</v>
      </c>
      <c r="D3" t="s">
        <v>643</v>
      </c>
      <c r="G3">
        <f t="shared" si="0"/>
        <v>2397913036</v>
      </c>
      <c r="H3">
        <f t="shared" ref="H3:S3" si="2">H4+H5</f>
        <v>179843478</v>
      </c>
      <c r="I3">
        <f t="shared" si="2"/>
        <v>187721738</v>
      </c>
      <c r="J3">
        <f t="shared" si="2"/>
        <v>196800000</v>
      </c>
      <c r="K3">
        <f t="shared" si="2"/>
        <v>198000000</v>
      </c>
      <c r="L3">
        <f t="shared" si="2"/>
        <v>204678260</v>
      </c>
      <c r="M3">
        <f t="shared" si="2"/>
        <v>207078260</v>
      </c>
      <c r="N3">
        <f t="shared" si="2"/>
        <v>212556520</v>
      </c>
      <c r="O3">
        <f t="shared" si="2"/>
        <v>205878260</v>
      </c>
      <c r="P3">
        <f t="shared" si="2"/>
        <v>203478260</v>
      </c>
      <c r="Q3">
        <f t="shared" si="2"/>
        <v>198000000</v>
      </c>
      <c r="R3">
        <f t="shared" si="2"/>
        <v>196800000</v>
      </c>
      <c r="S3">
        <f t="shared" si="2"/>
        <v>207078260</v>
      </c>
    </row>
    <row r="4" spans="1:19">
      <c r="A4" t="s">
        <v>26</v>
      </c>
      <c r="B4" t="s">
        <v>179</v>
      </c>
      <c r="C4" t="s">
        <v>644</v>
      </c>
      <c r="D4" t="s">
        <v>645</v>
      </c>
      <c r="G4">
        <f t="shared" si="0"/>
        <v>1198956518</v>
      </c>
      <c r="H4">
        <v>89921739</v>
      </c>
      <c r="I4">
        <v>93860869</v>
      </c>
      <c r="J4">
        <v>98400000</v>
      </c>
      <c r="K4">
        <v>99000000</v>
      </c>
      <c r="L4">
        <v>102339130</v>
      </c>
      <c r="M4">
        <v>103539130</v>
      </c>
      <c r="N4">
        <v>106278260</v>
      </c>
      <c r="O4">
        <v>102939130</v>
      </c>
      <c r="P4">
        <v>101739130</v>
      </c>
      <c r="Q4">
        <v>99000000</v>
      </c>
      <c r="R4">
        <v>98400000</v>
      </c>
      <c r="S4">
        <v>103539130</v>
      </c>
    </row>
    <row r="5" spans="1:19">
      <c r="A5" t="s">
        <v>26</v>
      </c>
      <c r="B5" t="s">
        <v>179</v>
      </c>
      <c r="C5" t="s">
        <v>646</v>
      </c>
      <c r="D5" t="s">
        <v>647</v>
      </c>
      <c r="G5">
        <f t="shared" si="0"/>
        <v>1198956518</v>
      </c>
      <c r="H5">
        <v>89921739</v>
      </c>
      <c r="I5">
        <v>93860869</v>
      </c>
      <c r="J5">
        <v>98400000</v>
      </c>
      <c r="K5">
        <v>99000000</v>
      </c>
      <c r="L5">
        <v>102339130</v>
      </c>
      <c r="M5">
        <v>103539130</v>
      </c>
      <c r="N5">
        <v>106278260</v>
      </c>
      <c r="O5">
        <v>102939130</v>
      </c>
      <c r="P5">
        <v>101739130</v>
      </c>
      <c r="Q5">
        <v>99000000</v>
      </c>
      <c r="R5">
        <v>98400000</v>
      </c>
      <c r="S5">
        <v>103539130</v>
      </c>
    </row>
    <row r="6" spans="1:19">
      <c r="A6" t="s">
        <v>23</v>
      </c>
      <c r="B6" t="s">
        <v>179</v>
      </c>
      <c r="C6" t="s">
        <v>648</v>
      </c>
      <c r="D6" t="s">
        <v>649</v>
      </c>
      <c r="G6">
        <f t="shared" si="0"/>
        <v>11989565214</v>
      </c>
      <c r="H6">
        <v>899217391</v>
      </c>
      <c r="I6">
        <v>938608695</v>
      </c>
      <c r="J6">
        <v>984000000</v>
      </c>
      <c r="K6">
        <v>990000000</v>
      </c>
      <c r="L6">
        <v>1023391304</v>
      </c>
      <c r="M6">
        <v>1035391304</v>
      </c>
      <c r="N6">
        <v>1062782608</v>
      </c>
      <c r="O6">
        <v>1029391304</v>
      </c>
      <c r="P6">
        <v>1017391304</v>
      </c>
      <c r="Q6">
        <v>990000000</v>
      </c>
      <c r="R6">
        <v>984000000</v>
      </c>
      <c r="S6">
        <v>1035391304</v>
      </c>
    </row>
    <row r="7" spans="1:19">
      <c r="A7" t="s">
        <v>23</v>
      </c>
      <c r="B7" t="s">
        <v>179</v>
      </c>
      <c r="C7" t="s">
        <v>650</v>
      </c>
      <c r="D7" t="s">
        <v>651</v>
      </c>
      <c r="G7">
        <f t="shared" si="0"/>
        <v>11989565214</v>
      </c>
      <c r="H7">
        <v>899217391</v>
      </c>
      <c r="I7">
        <v>938608695</v>
      </c>
      <c r="J7">
        <v>984000000</v>
      </c>
      <c r="K7">
        <v>990000000</v>
      </c>
      <c r="L7">
        <v>1023391304</v>
      </c>
      <c r="M7">
        <v>1035391304</v>
      </c>
      <c r="N7">
        <v>1062782608</v>
      </c>
      <c r="O7">
        <v>1029391304</v>
      </c>
      <c r="P7">
        <v>1017391304</v>
      </c>
      <c r="Q7">
        <v>990000000</v>
      </c>
      <c r="R7">
        <v>984000000</v>
      </c>
      <c r="S7">
        <v>1035391304</v>
      </c>
    </row>
    <row r="8" spans="1:19">
      <c r="A8" t="s">
        <v>23</v>
      </c>
      <c r="B8" t="s">
        <v>179</v>
      </c>
      <c r="C8" t="s">
        <v>652</v>
      </c>
      <c r="D8" t="s">
        <v>653</v>
      </c>
      <c r="G8">
        <f t="shared" si="0"/>
        <v>11989565214</v>
      </c>
      <c r="H8">
        <v>899217391</v>
      </c>
      <c r="I8">
        <v>938608695</v>
      </c>
      <c r="J8">
        <v>984000000</v>
      </c>
      <c r="K8">
        <v>990000000</v>
      </c>
      <c r="L8">
        <v>1023391304</v>
      </c>
      <c r="M8">
        <v>1035391304</v>
      </c>
      <c r="N8">
        <v>1062782608</v>
      </c>
      <c r="O8">
        <v>1029391304</v>
      </c>
      <c r="P8">
        <v>1017391304</v>
      </c>
      <c r="Q8">
        <v>990000000</v>
      </c>
      <c r="R8">
        <v>984000000</v>
      </c>
      <c r="S8">
        <v>1035391304</v>
      </c>
    </row>
    <row r="9" spans="1:19">
      <c r="A9" t="s">
        <v>23</v>
      </c>
      <c r="B9" t="s">
        <v>179</v>
      </c>
      <c r="C9" t="s">
        <v>654</v>
      </c>
      <c r="D9" t="s">
        <v>655</v>
      </c>
      <c r="G9">
        <f t="shared" si="0"/>
        <v>1198956518</v>
      </c>
      <c r="H9">
        <f t="shared" ref="H9:S9" si="3">H10</f>
        <v>89921739</v>
      </c>
      <c r="I9">
        <f t="shared" si="3"/>
        <v>93860869</v>
      </c>
      <c r="J9">
        <f t="shared" si="3"/>
        <v>98400000</v>
      </c>
      <c r="K9">
        <f t="shared" si="3"/>
        <v>99000000</v>
      </c>
      <c r="L9">
        <f t="shared" si="3"/>
        <v>102339130</v>
      </c>
      <c r="M9">
        <f t="shared" si="3"/>
        <v>103539130</v>
      </c>
      <c r="N9">
        <f t="shared" si="3"/>
        <v>106278260</v>
      </c>
      <c r="O9">
        <f t="shared" si="3"/>
        <v>102939130</v>
      </c>
      <c r="P9">
        <f t="shared" si="3"/>
        <v>101739130</v>
      </c>
      <c r="Q9">
        <f t="shared" si="3"/>
        <v>99000000</v>
      </c>
      <c r="R9">
        <f t="shared" si="3"/>
        <v>98400000</v>
      </c>
      <c r="S9">
        <f t="shared" si="3"/>
        <v>103539130</v>
      </c>
    </row>
    <row r="10" spans="1:19">
      <c r="A10" t="s">
        <v>26</v>
      </c>
      <c r="B10" t="s">
        <v>179</v>
      </c>
      <c r="C10" t="s">
        <v>656</v>
      </c>
      <c r="D10" t="s">
        <v>90</v>
      </c>
      <c r="G10">
        <f t="shared" si="0"/>
        <v>1198956518</v>
      </c>
      <c r="H10">
        <v>89921739</v>
      </c>
      <c r="I10">
        <v>93860869</v>
      </c>
      <c r="J10">
        <v>98400000</v>
      </c>
      <c r="K10">
        <v>99000000</v>
      </c>
      <c r="L10">
        <v>102339130</v>
      </c>
      <c r="M10">
        <v>103539130</v>
      </c>
      <c r="N10">
        <v>106278260</v>
      </c>
      <c r="O10">
        <v>102939130</v>
      </c>
      <c r="P10">
        <v>101739130</v>
      </c>
      <c r="Q10">
        <v>99000000</v>
      </c>
      <c r="R10">
        <v>98400000</v>
      </c>
      <c r="S10">
        <v>103539130</v>
      </c>
    </row>
    <row r="11" spans="1:19">
      <c r="A11" t="s">
        <v>19</v>
      </c>
      <c r="B11" t="s">
        <v>35</v>
      </c>
      <c r="C11" t="s">
        <v>501</v>
      </c>
      <c r="D11" t="s">
        <v>657</v>
      </c>
      <c r="G11">
        <f t="shared" si="0"/>
        <v>12000000000</v>
      </c>
      <c r="H11">
        <v>900000000</v>
      </c>
      <c r="I11">
        <v>936000000</v>
      </c>
      <c r="J11">
        <v>984000000</v>
      </c>
      <c r="K11">
        <v>996000000</v>
      </c>
      <c r="L11">
        <v>1020000000</v>
      </c>
      <c r="M11">
        <v>1044000000</v>
      </c>
      <c r="N11">
        <v>1056000000</v>
      </c>
      <c r="O11">
        <v>1032000000</v>
      </c>
      <c r="P11">
        <v>1008000000</v>
      </c>
      <c r="Q11">
        <v>996000000</v>
      </c>
      <c r="R11">
        <v>984000000</v>
      </c>
      <c r="S11">
        <v>1044000000</v>
      </c>
    </row>
    <row r="12" spans="1:19">
      <c r="A12" t="s">
        <v>19</v>
      </c>
      <c r="B12" t="s">
        <v>179</v>
      </c>
      <c r="C12" t="s">
        <v>658</v>
      </c>
      <c r="D12" t="s">
        <v>659</v>
      </c>
      <c r="G12">
        <f t="shared" si="0"/>
        <v>39565565196</v>
      </c>
      <c r="H12">
        <f t="shared" ref="H12:S12" si="4">H13+H16+H17+H18+H19</f>
        <v>2967417390</v>
      </c>
      <c r="I12">
        <f t="shared" si="4"/>
        <v>3097408692</v>
      </c>
      <c r="J12">
        <f t="shared" si="4"/>
        <v>3247200000</v>
      </c>
      <c r="K12">
        <f t="shared" si="4"/>
        <v>3267000000</v>
      </c>
      <c r="L12">
        <f t="shared" si="4"/>
        <v>3377191302</v>
      </c>
      <c r="M12">
        <f t="shared" si="4"/>
        <v>3416791302</v>
      </c>
      <c r="N12">
        <f t="shared" si="4"/>
        <v>3507182604</v>
      </c>
      <c r="O12">
        <f t="shared" si="4"/>
        <v>3396991302</v>
      </c>
      <c r="P12">
        <f t="shared" si="4"/>
        <v>3357391302</v>
      </c>
      <c r="Q12">
        <f t="shared" si="4"/>
        <v>3267000000</v>
      </c>
      <c r="R12">
        <f t="shared" si="4"/>
        <v>3247200000</v>
      </c>
      <c r="S12">
        <f t="shared" si="4"/>
        <v>3416791302</v>
      </c>
    </row>
    <row r="13" spans="1:19">
      <c r="A13" t="s">
        <v>23</v>
      </c>
      <c r="B13" t="s">
        <v>179</v>
      </c>
      <c r="C13" t="s">
        <v>660</v>
      </c>
      <c r="D13" t="s">
        <v>643</v>
      </c>
      <c r="G13">
        <f t="shared" si="0"/>
        <v>2397913036</v>
      </c>
      <c r="H13">
        <f t="shared" ref="H13:S13" si="5">H14+H15</f>
        <v>179843478</v>
      </c>
      <c r="I13">
        <f t="shared" si="5"/>
        <v>187721738</v>
      </c>
      <c r="J13">
        <f t="shared" si="5"/>
        <v>196800000</v>
      </c>
      <c r="K13">
        <f t="shared" si="5"/>
        <v>198000000</v>
      </c>
      <c r="L13">
        <f t="shared" si="5"/>
        <v>204678260</v>
      </c>
      <c r="M13">
        <f t="shared" si="5"/>
        <v>207078260</v>
      </c>
      <c r="N13">
        <f t="shared" si="5"/>
        <v>212556520</v>
      </c>
      <c r="O13">
        <f t="shared" si="5"/>
        <v>205878260</v>
      </c>
      <c r="P13">
        <f t="shared" si="5"/>
        <v>203478260</v>
      </c>
      <c r="Q13">
        <f t="shared" si="5"/>
        <v>198000000</v>
      </c>
      <c r="R13">
        <f t="shared" si="5"/>
        <v>196800000</v>
      </c>
      <c r="S13">
        <f t="shared" si="5"/>
        <v>207078260</v>
      </c>
    </row>
    <row r="14" spans="1:19">
      <c r="A14" t="s">
        <v>26</v>
      </c>
      <c r="B14" t="s">
        <v>179</v>
      </c>
      <c r="C14" t="s">
        <v>661</v>
      </c>
      <c r="D14" t="s">
        <v>645</v>
      </c>
      <c r="G14">
        <f t="shared" si="0"/>
        <v>1198956518</v>
      </c>
      <c r="H14">
        <v>89921739</v>
      </c>
      <c r="I14">
        <v>93860869</v>
      </c>
      <c r="J14">
        <v>98400000</v>
      </c>
      <c r="K14">
        <v>99000000</v>
      </c>
      <c r="L14">
        <v>102339130</v>
      </c>
      <c r="M14">
        <v>103539130</v>
      </c>
      <c r="N14">
        <v>106278260</v>
      </c>
      <c r="O14">
        <v>102939130</v>
      </c>
      <c r="P14">
        <v>101739130</v>
      </c>
      <c r="Q14">
        <v>99000000</v>
      </c>
      <c r="R14">
        <v>98400000</v>
      </c>
      <c r="S14">
        <v>103539130</v>
      </c>
    </row>
    <row r="15" spans="1:19">
      <c r="A15" t="s">
        <v>26</v>
      </c>
      <c r="B15" t="s">
        <v>179</v>
      </c>
      <c r="C15" t="s">
        <v>662</v>
      </c>
      <c r="D15" t="s">
        <v>647</v>
      </c>
      <c r="G15">
        <f t="shared" si="0"/>
        <v>1198956518</v>
      </c>
      <c r="H15">
        <v>89921739</v>
      </c>
      <c r="I15">
        <v>93860869</v>
      </c>
      <c r="J15">
        <v>98400000</v>
      </c>
      <c r="K15">
        <v>99000000</v>
      </c>
      <c r="L15">
        <v>102339130</v>
      </c>
      <c r="M15">
        <v>103539130</v>
      </c>
      <c r="N15">
        <v>106278260</v>
      </c>
      <c r="O15">
        <v>102939130</v>
      </c>
      <c r="P15">
        <v>101739130</v>
      </c>
      <c r="Q15">
        <v>99000000</v>
      </c>
      <c r="R15">
        <v>98400000</v>
      </c>
      <c r="S15">
        <v>103539130</v>
      </c>
    </row>
    <row r="16" spans="1:19">
      <c r="A16" t="s">
        <v>23</v>
      </c>
      <c r="B16" t="s">
        <v>179</v>
      </c>
      <c r="C16" t="s">
        <v>663</v>
      </c>
      <c r="D16" t="s">
        <v>649</v>
      </c>
      <c r="G16">
        <f t="shared" si="0"/>
        <v>11989565214</v>
      </c>
      <c r="H16">
        <v>899217391</v>
      </c>
      <c r="I16">
        <v>938608695</v>
      </c>
      <c r="J16">
        <v>984000000</v>
      </c>
      <c r="K16">
        <v>990000000</v>
      </c>
      <c r="L16">
        <v>1023391304</v>
      </c>
      <c r="M16">
        <v>1035391304</v>
      </c>
      <c r="N16">
        <v>1062782608</v>
      </c>
      <c r="O16">
        <v>1029391304</v>
      </c>
      <c r="P16">
        <v>1017391304</v>
      </c>
      <c r="Q16">
        <v>990000000</v>
      </c>
      <c r="R16">
        <v>984000000</v>
      </c>
      <c r="S16">
        <v>1035391304</v>
      </c>
    </row>
    <row r="17" spans="1:19">
      <c r="A17" t="s">
        <v>23</v>
      </c>
      <c r="B17" t="s">
        <v>179</v>
      </c>
      <c r="C17" t="s">
        <v>664</v>
      </c>
      <c r="D17" t="s">
        <v>651</v>
      </c>
      <c r="G17">
        <f t="shared" si="0"/>
        <v>11989565214</v>
      </c>
      <c r="H17">
        <v>899217391</v>
      </c>
      <c r="I17">
        <v>938608695</v>
      </c>
      <c r="J17">
        <v>984000000</v>
      </c>
      <c r="K17">
        <v>990000000</v>
      </c>
      <c r="L17">
        <v>1023391304</v>
      </c>
      <c r="M17">
        <v>1035391304</v>
      </c>
      <c r="N17">
        <v>1062782608</v>
      </c>
      <c r="O17">
        <v>1029391304</v>
      </c>
      <c r="P17">
        <v>1017391304</v>
      </c>
      <c r="Q17">
        <v>990000000</v>
      </c>
      <c r="R17">
        <v>984000000</v>
      </c>
      <c r="S17">
        <v>1035391304</v>
      </c>
    </row>
    <row r="18" spans="1:19">
      <c r="A18" t="s">
        <v>23</v>
      </c>
      <c r="B18" t="s">
        <v>179</v>
      </c>
      <c r="C18" t="s">
        <v>665</v>
      </c>
      <c r="D18" t="s">
        <v>653</v>
      </c>
      <c r="G18">
        <f t="shared" si="0"/>
        <v>11989565214</v>
      </c>
      <c r="H18">
        <v>899217391</v>
      </c>
      <c r="I18">
        <v>938608695</v>
      </c>
      <c r="J18">
        <v>984000000</v>
      </c>
      <c r="K18">
        <v>990000000</v>
      </c>
      <c r="L18">
        <v>1023391304</v>
      </c>
      <c r="M18">
        <v>1035391304</v>
      </c>
      <c r="N18">
        <v>1062782608</v>
      </c>
      <c r="O18">
        <v>1029391304</v>
      </c>
      <c r="P18">
        <v>1017391304</v>
      </c>
      <c r="Q18">
        <v>990000000</v>
      </c>
      <c r="R18">
        <v>984000000</v>
      </c>
      <c r="S18">
        <v>1035391304</v>
      </c>
    </row>
    <row r="19" spans="1:19">
      <c r="A19" t="s">
        <v>23</v>
      </c>
      <c r="B19" t="s">
        <v>179</v>
      </c>
      <c r="C19" t="s">
        <v>666</v>
      </c>
      <c r="D19" t="s">
        <v>655</v>
      </c>
      <c r="G19">
        <f t="shared" si="0"/>
        <v>1198956518</v>
      </c>
      <c r="H19">
        <f t="shared" ref="H19:S19" si="6">H20</f>
        <v>89921739</v>
      </c>
      <c r="I19">
        <f t="shared" si="6"/>
        <v>93860869</v>
      </c>
      <c r="J19">
        <f t="shared" si="6"/>
        <v>98400000</v>
      </c>
      <c r="K19">
        <f t="shared" si="6"/>
        <v>99000000</v>
      </c>
      <c r="L19">
        <f t="shared" si="6"/>
        <v>102339130</v>
      </c>
      <c r="M19">
        <f t="shared" si="6"/>
        <v>103539130</v>
      </c>
      <c r="N19">
        <f t="shared" si="6"/>
        <v>106278260</v>
      </c>
      <c r="O19">
        <f t="shared" si="6"/>
        <v>102939130</v>
      </c>
      <c r="P19">
        <f t="shared" si="6"/>
        <v>101739130</v>
      </c>
      <c r="Q19">
        <f t="shared" si="6"/>
        <v>99000000</v>
      </c>
      <c r="R19">
        <f t="shared" si="6"/>
        <v>98400000</v>
      </c>
      <c r="S19">
        <f t="shared" si="6"/>
        <v>103539130</v>
      </c>
    </row>
    <row r="20" spans="1:19">
      <c r="A20" t="s">
        <v>26</v>
      </c>
      <c r="B20" t="s">
        <v>179</v>
      </c>
      <c r="C20" t="s">
        <v>667</v>
      </c>
      <c r="D20" t="s">
        <v>90</v>
      </c>
      <c r="G20">
        <f t="shared" si="0"/>
        <v>1198956518</v>
      </c>
      <c r="H20">
        <v>89921739</v>
      </c>
      <c r="I20">
        <v>93860869</v>
      </c>
      <c r="J20">
        <v>98400000</v>
      </c>
      <c r="K20">
        <v>99000000</v>
      </c>
      <c r="L20">
        <v>102339130</v>
      </c>
      <c r="M20">
        <v>103539130</v>
      </c>
      <c r="N20">
        <v>106278260</v>
      </c>
      <c r="O20">
        <v>102939130</v>
      </c>
      <c r="P20">
        <v>101739130</v>
      </c>
      <c r="Q20">
        <v>99000000</v>
      </c>
      <c r="R20">
        <v>98400000</v>
      </c>
      <c r="S20">
        <v>103539130</v>
      </c>
    </row>
    <row r="21" spans="1:19">
      <c r="A21" t="s">
        <v>19</v>
      </c>
      <c r="B21" t="s">
        <v>84</v>
      </c>
      <c r="C21" t="s">
        <v>668</v>
      </c>
      <c r="D21" t="s">
        <v>669</v>
      </c>
      <c r="G21">
        <f t="shared" si="0"/>
        <v>39565565196</v>
      </c>
      <c r="H21">
        <f t="shared" ref="H21:S21" si="7">H22+H25+H26+H27+H28</f>
        <v>2967417390</v>
      </c>
      <c r="I21">
        <f t="shared" si="7"/>
        <v>3097408692</v>
      </c>
      <c r="J21">
        <f t="shared" si="7"/>
        <v>3247200000</v>
      </c>
      <c r="K21">
        <f t="shared" si="7"/>
        <v>3267000000</v>
      </c>
      <c r="L21">
        <f t="shared" si="7"/>
        <v>3377191302</v>
      </c>
      <c r="M21">
        <f t="shared" si="7"/>
        <v>3416791302</v>
      </c>
      <c r="N21">
        <f t="shared" si="7"/>
        <v>3507182604</v>
      </c>
      <c r="O21">
        <f t="shared" si="7"/>
        <v>3396991302</v>
      </c>
      <c r="P21">
        <f t="shared" si="7"/>
        <v>3357391302</v>
      </c>
      <c r="Q21">
        <f t="shared" si="7"/>
        <v>3267000000</v>
      </c>
      <c r="R21">
        <f t="shared" si="7"/>
        <v>3247200000</v>
      </c>
      <c r="S21">
        <f t="shared" si="7"/>
        <v>3416791302</v>
      </c>
    </row>
    <row r="22" spans="1:19">
      <c r="A22" t="s">
        <v>23</v>
      </c>
      <c r="B22" t="s">
        <v>84</v>
      </c>
      <c r="C22" t="s">
        <v>670</v>
      </c>
      <c r="D22" t="s">
        <v>643</v>
      </c>
      <c r="G22">
        <f t="shared" si="0"/>
        <v>2397913036</v>
      </c>
      <c r="H22">
        <f t="shared" ref="H22:S22" si="8">H23+H24</f>
        <v>179843478</v>
      </c>
      <c r="I22">
        <f t="shared" si="8"/>
        <v>187721738</v>
      </c>
      <c r="J22">
        <f t="shared" si="8"/>
        <v>196800000</v>
      </c>
      <c r="K22">
        <f t="shared" si="8"/>
        <v>198000000</v>
      </c>
      <c r="L22">
        <f t="shared" si="8"/>
        <v>204678260</v>
      </c>
      <c r="M22">
        <f t="shared" si="8"/>
        <v>207078260</v>
      </c>
      <c r="N22">
        <f t="shared" si="8"/>
        <v>212556520</v>
      </c>
      <c r="O22">
        <f t="shared" si="8"/>
        <v>205878260</v>
      </c>
      <c r="P22">
        <f t="shared" si="8"/>
        <v>203478260</v>
      </c>
      <c r="Q22">
        <f t="shared" si="8"/>
        <v>198000000</v>
      </c>
      <c r="R22">
        <f t="shared" si="8"/>
        <v>196800000</v>
      </c>
      <c r="S22">
        <f t="shared" si="8"/>
        <v>207078260</v>
      </c>
    </row>
    <row r="23" spans="1:19">
      <c r="A23" t="s">
        <v>26</v>
      </c>
      <c r="B23" t="s">
        <v>84</v>
      </c>
      <c r="C23" t="s">
        <v>671</v>
      </c>
      <c r="D23" t="s">
        <v>645</v>
      </c>
      <c r="G23">
        <f t="shared" si="0"/>
        <v>1198956518</v>
      </c>
      <c r="H23">
        <v>89921739</v>
      </c>
      <c r="I23">
        <v>93860869</v>
      </c>
      <c r="J23">
        <v>98400000</v>
      </c>
      <c r="K23">
        <v>99000000</v>
      </c>
      <c r="L23">
        <v>102339130</v>
      </c>
      <c r="M23">
        <v>103539130</v>
      </c>
      <c r="N23">
        <v>106278260</v>
      </c>
      <c r="O23">
        <v>102939130</v>
      </c>
      <c r="P23">
        <v>101739130</v>
      </c>
      <c r="Q23">
        <v>99000000</v>
      </c>
      <c r="R23">
        <v>98400000</v>
      </c>
      <c r="S23">
        <v>103539130</v>
      </c>
    </row>
    <row r="24" spans="1:19">
      <c r="A24" t="s">
        <v>26</v>
      </c>
      <c r="B24" t="s">
        <v>84</v>
      </c>
      <c r="C24" t="s">
        <v>672</v>
      </c>
      <c r="D24" t="s">
        <v>647</v>
      </c>
      <c r="G24">
        <f t="shared" si="0"/>
        <v>1198956518</v>
      </c>
      <c r="H24">
        <v>89921739</v>
      </c>
      <c r="I24">
        <v>93860869</v>
      </c>
      <c r="J24">
        <v>98400000</v>
      </c>
      <c r="K24">
        <v>99000000</v>
      </c>
      <c r="L24">
        <v>102339130</v>
      </c>
      <c r="M24">
        <v>103539130</v>
      </c>
      <c r="N24">
        <v>106278260</v>
      </c>
      <c r="O24">
        <v>102939130</v>
      </c>
      <c r="P24">
        <v>101739130</v>
      </c>
      <c r="Q24">
        <v>99000000</v>
      </c>
      <c r="R24">
        <v>98400000</v>
      </c>
      <c r="S24">
        <v>103539130</v>
      </c>
    </row>
    <row r="25" spans="1:19">
      <c r="A25" t="s">
        <v>23</v>
      </c>
      <c r="B25" t="s">
        <v>84</v>
      </c>
      <c r="C25" t="s">
        <v>673</v>
      </c>
      <c r="D25" t="s">
        <v>649</v>
      </c>
      <c r="G25">
        <f t="shared" si="0"/>
        <v>11989565214</v>
      </c>
      <c r="H25">
        <v>899217391</v>
      </c>
      <c r="I25">
        <v>938608695</v>
      </c>
      <c r="J25">
        <v>984000000</v>
      </c>
      <c r="K25">
        <v>990000000</v>
      </c>
      <c r="L25">
        <v>1023391304</v>
      </c>
      <c r="M25">
        <v>1035391304</v>
      </c>
      <c r="N25">
        <v>1062782608</v>
      </c>
      <c r="O25">
        <v>1029391304</v>
      </c>
      <c r="P25">
        <v>1017391304</v>
      </c>
      <c r="Q25">
        <v>990000000</v>
      </c>
      <c r="R25">
        <v>984000000</v>
      </c>
      <c r="S25">
        <v>1035391304</v>
      </c>
    </row>
    <row r="26" spans="1:19">
      <c r="A26" t="s">
        <v>23</v>
      </c>
      <c r="B26" t="s">
        <v>84</v>
      </c>
      <c r="C26" t="s">
        <v>674</v>
      </c>
      <c r="D26" t="s">
        <v>651</v>
      </c>
      <c r="G26">
        <f t="shared" si="0"/>
        <v>11989565214</v>
      </c>
      <c r="H26">
        <v>899217391</v>
      </c>
      <c r="I26">
        <v>938608695</v>
      </c>
      <c r="J26">
        <v>984000000</v>
      </c>
      <c r="K26">
        <v>990000000</v>
      </c>
      <c r="L26">
        <v>1023391304</v>
      </c>
      <c r="M26">
        <v>1035391304</v>
      </c>
      <c r="N26">
        <v>1062782608</v>
      </c>
      <c r="O26">
        <v>1029391304</v>
      </c>
      <c r="P26">
        <v>1017391304</v>
      </c>
      <c r="Q26">
        <v>990000000</v>
      </c>
      <c r="R26">
        <v>984000000</v>
      </c>
      <c r="S26">
        <v>1035391304</v>
      </c>
    </row>
    <row r="27" spans="1:19">
      <c r="A27" t="s">
        <v>23</v>
      </c>
      <c r="B27" t="s">
        <v>84</v>
      </c>
      <c r="C27" t="s">
        <v>675</v>
      </c>
      <c r="D27" t="s">
        <v>653</v>
      </c>
      <c r="G27">
        <f t="shared" si="0"/>
        <v>11989565214</v>
      </c>
      <c r="H27">
        <v>899217391</v>
      </c>
      <c r="I27">
        <v>938608695</v>
      </c>
      <c r="J27">
        <v>984000000</v>
      </c>
      <c r="K27">
        <v>990000000</v>
      </c>
      <c r="L27">
        <v>1023391304</v>
      </c>
      <c r="M27">
        <v>1035391304</v>
      </c>
      <c r="N27">
        <v>1062782608</v>
      </c>
      <c r="O27">
        <v>1029391304</v>
      </c>
      <c r="P27">
        <v>1017391304</v>
      </c>
      <c r="Q27">
        <v>990000000</v>
      </c>
      <c r="R27">
        <v>984000000</v>
      </c>
      <c r="S27">
        <v>1035391304</v>
      </c>
    </row>
    <row r="28" spans="1:19">
      <c r="A28" t="s">
        <v>23</v>
      </c>
      <c r="B28" t="s">
        <v>84</v>
      </c>
      <c r="C28" t="s">
        <v>676</v>
      </c>
      <c r="D28" t="s">
        <v>655</v>
      </c>
      <c r="G28">
        <f t="shared" si="0"/>
        <v>1198956518</v>
      </c>
      <c r="H28">
        <f t="shared" ref="H28:S28" si="9">H29</f>
        <v>89921739</v>
      </c>
      <c r="I28">
        <f t="shared" si="9"/>
        <v>93860869</v>
      </c>
      <c r="J28">
        <f t="shared" si="9"/>
        <v>98400000</v>
      </c>
      <c r="K28">
        <f t="shared" si="9"/>
        <v>99000000</v>
      </c>
      <c r="L28">
        <f t="shared" si="9"/>
        <v>102339130</v>
      </c>
      <c r="M28">
        <f t="shared" si="9"/>
        <v>103539130</v>
      </c>
      <c r="N28">
        <f t="shared" si="9"/>
        <v>106278260</v>
      </c>
      <c r="O28">
        <f t="shared" si="9"/>
        <v>102939130</v>
      </c>
      <c r="P28">
        <f t="shared" si="9"/>
        <v>101739130</v>
      </c>
      <c r="Q28">
        <f t="shared" si="9"/>
        <v>99000000</v>
      </c>
      <c r="R28">
        <f t="shared" si="9"/>
        <v>98400000</v>
      </c>
      <c r="S28">
        <f t="shared" si="9"/>
        <v>103539130</v>
      </c>
    </row>
    <row r="29" spans="1:19">
      <c r="A29" t="s">
        <v>26</v>
      </c>
      <c r="B29" t="s">
        <v>84</v>
      </c>
      <c r="C29" t="s">
        <v>677</v>
      </c>
      <c r="D29" t="s">
        <v>90</v>
      </c>
      <c r="G29">
        <f t="shared" si="0"/>
        <v>1198956518</v>
      </c>
      <c r="H29">
        <v>89921739</v>
      </c>
      <c r="I29">
        <v>93860869</v>
      </c>
      <c r="J29">
        <v>98400000</v>
      </c>
      <c r="K29">
        <v>99000000</v>
      </c>
      <c r="L29">
        <v>102339130</v>
      </c>
      <c r="M29">
        <v>103539130</v>
      </c>
      <c r="N29">
        <v>106278260</v>
      </c>
      <c r="O29">
        <v>102939130</v>
      </c>
      <c r="P29">
        <v>101739130</v>
      </c>
      <c r="Q29">
        <v>99000000</v>
      </c>
      <c r="R29">
        <v>98400000</v>
      </c>
      <c r="S29">
        <v>103539130</v>
      </c>
    </row>
    <row r="30" spans="1:19">
      <c r="A30" t="s">
        <v>19</v>
      </c>
      <c r="B30" t="s">
        <v>84</v>
      </c>
      <c r="C30" t="s">
        <v>678</v>
      </c>
      <c r="D30" t="s">
        <v>679</v>
      </c>
      <c r="G30">
        <f t="shared" si="0"/>
        <v>39565565196</v>
      </c>
      <c r="H30">
        <f t="shared" ref="H30:S30" si="10">H31+H34+H35+H36+H37</f>
        <v>2967417390</v>
      </c>
      <c r="I30">
        <f t="shared" si="10"/>
        <v>3097408692</v>
      </c>
      <c r="J30">
        <f t="shared" si="10"/>
        <v>3247200000</v>
      </c>
      <c r="K30">
        <f t="shared" si="10"/>
        <v>3267000000</v>
      </c>
      <c r="L30">
        <f t="shared" si="10"/>
        <v>3377191302</v>
      </c>
      <c r="M30">
        <f t="shared" si="10"/>
        <v>3416791302</v>
      </c>
      <c r="N30">
        <f t="shared" si="10"/>
        <v>3507182604</v>
      </c>
      <c r="O30">
        <f t="shared" si="10"/>
        <v>3396991302</v>
      </c>
      <c r="P30">
        <f t="shared" si="10"/>
        <v>3357391302</v>
      </c>
      <c r="Q30">
        <f t="shared" si="10"/>
        <v>3267000000</v>
      </c>
      <c r="R30">
        <f t="shared" si="10"/>
        <v>3247200000</v>
      </c>
      <c r="S30">
        <f t="shared" si="10"/>
        <v>3416791302</v>
      </c>
    </row>
    <row r="31" spans="1:19">
      <c r="A31" t="s">
        <v>23</v>
      </c>
      <c r="B31" t="s">
        <v>84</v>
      </c>
      <c r="C31" t="s">
        <v>680</v>
      </c>
      <c r="D31" t="s">
        <v>643</v>
      </c>
      <c r="G31">
        <f t="shared" si="0"/>
        <v>2397913036</v>
      </c>
      <c r="H31">
        <f t="shared" ref="H31:S31" si="11">H32+H33</f>
        <v>179843478</v>
      </c>
      <c r="I31">
        <f t="shared" si="11"/>
        <v>187721738</v>
      </c>
      <c r="J31">
        <f t="shared" si="11"/>
        <v>196800000</v>
      </c>
      <c r="K31">
        <f t="shared" si="11"/>
        <v>198000000</v>
      </c>
      <c r="L31">
        <f t="shared" si="11"/>
        <v>204678260</v>
      </c>
      <c r="M31">
        <f t="shared" si="11"/>
        <v>207078260</v>
      </c>
      <c r="N31">
        <f t="shared" si="11"/>
        <v>212556520</v>
      </c>
      <c r="O31">
        <f t="shared" si="11"/>
        <v>205878260</v>
      </c>
      <c r="P31">
        <f t="shared" si="11"/>
        <v>203478260</v>
      </c>
      <c r="Q31">
        <f t="shared" si="11"/>
        <v>198000000</v>
      </c>
      <c r="R31">
        <f t="shared" si="11"/>
        <v>196800000</v>
      </c>
      <c r="S31">
        <f t="shared" si="11"/>
        <v>207078260</v>
      </c>
    </row>
    <row r="32" spans="1:19">
      <c r="A32" t="s">
        <v>26</v>
      </c>
      <c r="B32" t="s">
        <v>84</v>
      </c>
      <c r="C32" t="s">
        <v>681</v>
      </c>
      <c r="D32" t="s">
        <v>645</v>
      </c>
      <c r="G32">
        <f t="shared" si="0"/>
        <v>1198956518</v>
      </c>
      <c r="H32">
        <v>89921739</v>
      </c>
      <c r="I32">
        <v>93860869</v>
      </c>
      <c r="J32">
        <v>98400000</v>
      </c>
      <c r="K32">
        <v>99000000</v>
      </c>
      <c r="L32">
        <v>102339130</v>
      </c>
      <c r="M32">
        <v>103539130</v>
      </c>
      <c r="N32">
        <v>106278260</v>
      </c>
      <c r="O32">
        <v>102939130</v>
      </c>
      <c r="P32">
        <v>101739130</v>
      </c>
      <c r="Q32">
        <v>99000000</v>
      </c>
      <c r="R32">
        <v>98400000</v>
      </c>
      <c r="S32">
        <v>103539130</v>
      </c>
    </row>
    <row r="33" spans="1:19">
      <c r="A33" t="s">
        <v>26</v>
      </c>
      <c r="B33" t="s">
        <v>84</v>
      </c>
      <c r="C33" t="s">
        <v>682</v>
      </c>
      <c r="D33" t="s">
        <v>647</v>
      </c>
      <c r="G33">
        <f t="shared" si="0"/>
        <v>1198956518</v>
      </c>
      <c r="H33">
        <v>89921739</v>
      </c>
      <c r="I33">
        <v>93860869</v>
      </c>
      <c r="J33">
        <v>98400000</v>
      </c>
      <c r="K33">
        <v>99000000</v>
      </c>
      <c r="L33">
        <v>102339130</v>
      </c>
      <c r="M33">
        <v>103539130</v>
      </c>
      <c r="N33">
        <v>106278260</v>
      </c>
      <c r="O33">
        <v>102939130</v>
      </c>
      <c r="P33">
        <v>101739130</v>
      </c>
      <c r="Q33">
        <v>99000000</v>
      </c>
      <c r="R33">
        <v>98400000</v>
      </c>
      <c r="S33">
        <v>103539130</v>
      </c>
    </row>
    <row r="34" spans="1:19">
      <c r="A34" t="s">
        <v>23</v>
      </c>
      <c r="B34" t="s">
        <v>84</v>
      </c>
      <c r="C34" t="s">
        <v>683</v>
      </c>
      <c r="D34" t="s">
        <v>649</v>
      </c>
      <c r="G34">
        <f t="shared" si="0"/>
        <v>11989565214</v>
      </c>
      <c r="H34">
        <v>899217391</v>
      </c>
      <c r="I34">
        <v>938608695</v>
      </c>
      <c r="J34">
        <v>984000000</v>
      </c>
      <c r="K34">
        <v>990000000</v>
      </c>
      <c r="L34">
        <v>1023391304</v>
      </c>
      <c r="M34">
        <v>1035391304</v>
      </c>
      <c r="N34">
        <v>1062782608</v>
      </c>
      <c r="O34">
        <v>1029391304</v>
      </c>
      <c r="P34">
        <v>1017391304</v>
      </c>
      <c r="Q34">
        <v>990000000</v>
      </c>
      <c r="R34">
        <v>984000000</v>
      </c>
      <c r="S34">
        <v>1035391304</v>
      </c>
    </row>
    <row r="35" spans="1:19">
      <c r="A35" t="s">
        <v>23</v>
      </c>
      <c r="B35" t="s">
        <v>84</v>
      </c>
      <c r="C35" t="s">
        <v>684</v>
      </c>
      <c r="D35" t="s">
        <v>651</v>
      </c>
      <c r="G35">
        <f t="shared" si="0"/>
        <v>11989565214</v>
      </c>
      <c r="H35">
        <v>899217391</v>
      </c>
      <c r="I35">
        <v>938608695</v>
      </c>
      <c r="J35">
        <v>984000000</v>
      </c>
      <c r="K35">
        <v>990000000</v>
      </c>
      <c r="L35">
        <v>1023391304</v>
      </c>
      <c r="M35">
        <v>1035391304</v>
      </c>
      <c r="N35">
        <v>1062782608</v>
      </c>
      <c r="O35">
        <v>1029391304</v>
      </c>
      <c r="P35">
        <v>1017391304</v>
      </c>
      <c r="Q35">
        <v>990000000</v>
      </c>
      <c r="R35">
        <v>984000000</v>
      </c>
      <c r="S35">
        <v>1035391304</v>
      </c>
    </row>
    <row r="36" spans="1:19">
      <c r="A36" t="s">
        <v>23</v>
      </c>
      <c r="B36" t="s">
        <v>84</v>
      </c>
      <c r="C36" t="s">
        <v>685</v>
      </c>
      <c r="D36" t="s">
        <v>653</v>
      </c>
      <c r="G36">
        <f t="shared" si="0"/>
        <v>11989565214</v>
      </c>
      <c r="H36">
        <v>899217391</v>
      </c>
      <c r="I36">
        <v>938608695</v>
      </c>
      <c r="J36">
        <v>984000000</v>
      </c>
      <c r="K36">
        <v>990000000</v>
      </c>
      <c r="L36">
        <v>1023391304</v>
      </c>
      <c r="M36">
        <v>1035391304</v>
      </c>
      <c r="N36">
        <v>1062782608</v>
      </c>
      <c r="O36">
        <v>1029391304</v>
      </c>
      <c r="P36">
        <v>1017391304</v>
      </c>
      <c r="Q36">
        <v>990000000</v>
      </c>
      <c r="R36">
        <v>984000000</v>
      </c>
      <c r="S36">
        <v>1035391304</v>
      </c>
    </row>
    <row r="37" spans="1:19">
      <c r="A37" t="s">
        <v>23</v>
      </c>
      <c r="B37" t="s">
        <v>84</v>
      </c>
      <c r="C37" t="s">
        <v>686</v>
      </c>
      <c r="D37" t="s">
        <v>655</v>
      </c>
      <c r="G37">
        <f t="shared" si="0"/>
        <v>1198956518</v>
      </c>
      <c r="H37">
        <f t="shared" ref="H37:S37" si="12">H38</f>
        <v>89921739</v>
      </c>
      <c r="I37">
        <f t="shared" si="12"/>
        <v>93860869</v>
      </c>
      <c r="J37">
        <f t="shared" si="12"/>
        <v>98400000</v>
      </c>
      <c r="K37">
        <f t="shared" si="12"/>
        <v>99000000</v>
      </c>
      <c r="L37">
        <f t="shared" si="12"/>
        <v>102339130</v>
      </c>
      <c r="M37">
        <f t="shared" si="12"/>
        <v>103539130</v>
      </c>
      <c r="N37">
        <f t="shared" si="12"/>
        <v>106278260</v>
      </c>
      <c r="O37">
        <f t="shared" si="12"/>
        <v>102939130</v>
      </c>
      <c r="P37">
        <f t="shared" si="12"/>
        <v>101739130</v>
      </c>
      <c r="Q37">
        <f t="shared" si="12"/>
        <v>99000000</v>
      </c>
      <c r="R37">
        <f t="shared" si="12"/>
        <v>98400000</v>
      </c>
      <c r="S37">
        <f t="shared" si="12"/>
        <v>103539130</v>
      </c>
    </row>
    <row r="38" spans="1:19">
      <c r="A38" t="s">
        <v>26</v>
      </c>
      <c r="B38" t="s">
        <v>84</v>
      </c>
      <c r="C38" t="s">
        <v>687</v>
      </c>
      <c r="D38" t="s">
        <v>90</v>
      </c>
      <c r="G38">
        <f t="shared" si="0"/>
        <v>1198956518</v>
      </c>
      <c r="H38">
        <v>89921739</v>
      </c>
      <c r="I38">
        <v>93860869</v>
      </c>
      <c r="J38">
        <v>98400000</v>
      </c>
      <c r="K38">
        <v>99000000</v>
      </c>
      <c r="L38">
        <v>102339130</v>
      </c>
      <c r="M38">
        <v>103539130</v>
      </c>
      <c r="N38">
        <v>106278260</v>
      </c>
      <c r="O38">
        <v>102939130</v>
      </c>
      <c r="P38">
        <v>101739130</v>
      </c>
      <c r="Q38">
        <v>99000000</v>
      </c>
      <c r="R38">
        <v>98400000</v>
      </c>
      <c r="S38">
        <v>103539130</v>
      </c>
    </row>
    <row r="39" spans="1:19">
      <c r="A39" t="s">
        <v>19</v>
      </c>
      <c r="B39" t="s">
        <v>84</v>
      </c>
      <c r="C39" t="s">
        <v>688</v>
      </c>
      <c r="D39" t="s">
        <v>689</v>
      </c>
      <c r="G39">
        <f t="shared" si="0"/>
        <v>39565565196</v>
      </c>
      <c r="H39">
        <f t="shared" ref="H39:S39" si="13">H40+H43+H44+H45+H46</f>
        <v>2967417390</v>
      </c>
      <c r="I39">
        <f t="shared" si="13"/>
        <v>3097408692</v>
      </c>
      <c r="J39">
        <f t="shared" si="13"/>
        <v>3247200000</v>
      </c>
      <c r="K39">
        <f t="shared" si="13"/>
        <v>3267000000</v>
      </c>
      <c r="L39">
        <f t="shared" si="13"/>
        <v>3377191302</v>
      </c>
      <c r="M39">
        <f t="shared" si="13"/>
        <v>3416791302</v>
      </c>
      <c r="N39">
        <f t="shared" si="13"/>
        <v>3507182604</v>
      </c>
      <c r="O39">
        <f t="shared" si="13"/>
        <v>3396991302</v>
      </c>
      <c r="P39">
        <f t="shared" si="13"/>
        <v>3357391302</v>
      </c>
      <c r="Q39">
        <f t="shared" si="13"/>
        <v>3267000000</v>
      </c>
      <c r="R39">
        <f t="shared" si="13"/>
        <v>3247200000</v>
      </c>
      <c r="S39">
        <f t="shared" si="13"/>
        <v>3416791302</v>
      </c>
    </row>
    <row r="40" spans="1:19">
      <c r="A40" t="s">
        <v>23</v>
      </c>
      <c r="B40" t="s">
        <v>84</v>
      </c>
      <c r="C40" t="s">
        <v>690</v>
      </c>
      <c r="D40" t="s">
        <v>643</v>
      </c>
      <c r="G40">
        <f t="shared" si="0"/>
        <v>2397913036</v>
      </c>
      <c r="H40">
        <f t="shared" ref="H40:S40" si="14">H41+H42</f>
        <v>179843478</v>
      </c>
      <c r="I40">
        <f t="shared" si="14"/>
        <v>187721738</v>
      </c>
      <c r="J40">
        <f t="shared" si="14"/>
        <v>196800000</v>
      </c>
      <c r="K40">
        <f t="shared" si="14"/>
        <v>198000000</v>
      </c>
      <c r="L40">
        <f t="shared" si="14"/>
        <v>204678260</v>
      </c>
      <c r="M40">
        <f t="shared" si="14"/>
        <v>207078260</v>
      </c>
      <c r="N40">
        <f t="shared" si="14"/>
        <v>212556520</v>
      </c>
      <c r="O40">
        <f t="shared" si="14"/>
        <v>205878260</v>
      </c>
      <c r="P40">
        <f t="shared" si="14"/>
        <v>203478260</v>
      </c>
      <c r="Q40">
        <f t="shared" si="14"/>
        <v>198000000</v>
      </c>
      <c r="R40">
        <f t="shared" si="14"/>
        <v>196800000</v>
      </c>
      <c r="S40">
        <f t="shared" si="14"/>
        <v>207078260</v>
      </c>
    </row>
    <row r="41" spans="1:19">
      <c r="A41" t="s">
        <v>26</v>
      </c>
      <c r="B41" t="s">
        <v>84</v>
      </c>
      <c r="C41" t="s">
        <v>691</v>
      </c>
      <c r="D41" t="s">
        <v>645</v>
      </c>
      <c r="G41">
        <f t="shared" si="0"/>
        <v>1198956518</v>
      </c>
      <c r="H41">
        <v>89921739</v>
      </c>
      <c r="I41">
        <v>93860869</v>
      </c>
      <c r="J41">
        <v>98400000</v>
      </c>
      <c r="K41">
        <v>99000000</v>
      </c>
      <c r="L41">
        <v>102339130</v>
      </c>
      <c r="M41">
        <v>103539130</v>
      </c>
      <c r="N41">
        <v>106278260</v>
      </c>
      <c r="O41">
        <v>102939130</v>
      </c>
      <c r="P41">
        <v>101739130</v>
      </c>
      <c r="Q41">
        <v>99000000</v>
      </c>
      <c r="R41">
        <v>98400000</v>
      </c>
      <c r="S41">
        <v>103539130</v>
      </c>
    </row>
    <row r="42" spans="1:19">
      <c r="A42" t="s">
        <v>26</v>
      </c>
      <c r="B42" t="s">
        <v>84</v>
      </c>
      <c r="C42" t="s">
        <v>692</v>
      </c>
      <c r="D42" t="s">
        <v>647</v>
      </c>
      <c r="G42">
        <f t="shared" si="0"/>
        <v>1198956518</v>
      </c>
      <c r="H42">
        <v>89921739</v>
      </c>
      <c r="I42">
        <v>93860869</v>
      </c>
      <c r="J42">
        <v>98400000</v>
      </c>
      <c r="K42">
        <v>99000000</v>
      </c>
      <c r="L42">
        <v>102339130</v>
      </c>
      <c r="M42">
        <v>103539130</v>
      </c>
      <c r="N42">
        <v>106278260</v>
      </c>
      <c r="O42">
        <v>102939130</v>
      </c>
      <c r="P42">
        <v>101739130</v>
      </c>
      <c r="Q42">
        <v>99000000</v>
      </c>
      <c r="R42">
        <v>98400000</v>
      </c>
      <c r="S42">
        <v>103539130</v>
      </c>
    </row>
    <row r="43" spans="1:19">
      <c r="A43" t="s">
        <v>23</v>
      </c>
      <c r="B43" t="s">
        <v>84</v>
      </c>
      <c r="C43" t="s">
        <v>693</v>
      </c>
      <c r="D43" t="s">
        <v>649</v>
      </c>
      <c r="G43">
        <f t="shared" si="0"/>
        <v>11989565214</v>
      </c>
      <c r="H43">
        <v>899217391</v>
      </c>
      <c r="I43">
        <v>938608695</v>
      </c>
      <c r="J43">
        <v>984000000</v>
      </c>
      <c r="K43">
        <v>990000000</v>
      </c>
      <c r="L43">
        <v>1023391304</v>
      </c>
      <c r="M43">
        <v>1035391304</v>
      </c>
      <c r="N43">
        <v>1062782608</v>
      </c>
      <c r="O43">
        <v>1029391304</v>
      </c>
      <c r="P43">
        <v>1017391304</v>
      </c>
      <c r="Q43">
        <v>990000000</v>
      </c>
      <c r="R43">
        <v>984000000</v>
      </c>
      <c r="S43">
        <v>1035391304</v>
      </c>
    </row>
    <row r="44" spans="1:19">
      <c r="A44" t="s">
        <v>23</v>
      </c>
      <c r="B44" t="s">
        <v>84</v>
      </c>
      <c r="C44" t="s">
        <v>694</v>
      </c>
      <c r="D44" t="s">
        <v>651</v>
      </c>
      <c r="G44">
        <f t="shared" si="0"/>
        <v>11989565214</v>
      </c>
      <c r="H44">
        <v>899217391</v>
      </c>
      <c r="I44">
        <v>938608695</v>
      </c>
      <c r="J44">
        <v>984000000</v>
      </c>
      <c r="K44">
        <v>990000000</v>
      </c>
      <c r="L44">
        <v>1023391304</v>
      </c>
      <c r="M44">
        <v>1035391304</v>
      </c>
      <c r="N44">
        <v>1062782608</v>
      </c>
      <c r="O44">
        <v>1029391304</v>
      </c>
      <c r="P44">
        <v>1017391304</v>
      </c>
      <c r="Q44">
        <v>990000000</v>
      </c>
      <c r="R44">
        <v>984000000</v>
      </c>
      <c r="S44">
        <v>1035391304</v>
      </c>
    </row>
    <row r="45" spans="1:19">
      <c r="A45" t="s">
        <v>23</v>
      </c>
      <c r="B45" t="s">
        <v>84</v>
      </c>
      <c r="C45" t="s">
        <v>695</v>
      </c>
      <c r="D45" t="s">
        <v>653</v>
      </c>
      <c r="G45">
        <f t="shared" si="0"/>
        <v>11989565214</v>
      </c>
      <c r="H45">
        <v>899217391</v>
      </c>
      <c r="I45">
        <v>938608695</v>
      </c>
      <c r="J45">
        <v>984000000</v>
      </c>
      <c r="K45">
        <v>990000000</v>
      </c>
      <c r="L45">
        <v>1023391304</v>
      </c>
      <c r="M45">
        <v>1035391304</v>
      </c>
      <c r="N45">
        <v>1062782608</v>
      </c>
      <c r="O45">
        <v>1029391304</v>
      </c>
      <c r="P45">
        <v>1017391304</v>
      </c>
      <c r="Q45">
        <v>990000000</v>
      </c>
      <c r="R45">
        <v>984000000</v>
      </c>
      <c r="S45">
        <v>1035391304</v>
      </c>
    </row>
    <row r="46" spans="1:19">
      <c r="A46" t="s">
        <v>23</v>
      </c>
      <c r="B46" t="s">
        <v>84</v>
      </c>
      <c r="C46" t="s">
        <v>696</v>
      </c>
      <c r="D46" t="s">
        <v>655</v>
      </c>
      <c r="G46">
        <f t="shared" si="0"/>
        <v>1198956518</v>
      </c>
      <c r="H46">
        <f t="shared" ref="H46:S46" si="15">H47</f>
        <v>89921739</v>
      </c>
      <c r="I46">
        <f t="shared" si="15"/>
        <v>93860869</v>
      </c>
      <c r="J46">
        <f t="shared" si="15"/>
        <v>98400000</v>
      </c>
      <c r="K46">
        <f t="shared" si="15"/>
        <v>99000000</v>
      </c>
      <c r="L46">
        <f t="shared" si="15"/>
        <v>102339130</v>
      </c>
      <c r="M46">
        <f t="shared" si="15"/>
        <v>103539130</v>
      </c>
      <c r="N46">
        <f t="shared" si="15"/>
        <v>106278260</v>
      </c>
      <c r="O46">
        <f t="shared" si="15"/>
        <v>102939130</v>
      </c>
      <c r="P46">
        <f t="shared" si="15"/>
        <v>101739130</v>
      </c>
      <c r="Q46">
        <f t="shared" si="15"/>
        <v>99000000</v>
      </c>
      <c r="R46">
        <f t="shared" si="15"/>
        <v>98400000</v>
      </c>
      <c r="S46">
        <f t="shared" si="15"/>
        <v>103539130</v>
      </c>
    </row>
    <row r="47" spans="1:19">
      <c r="A47" t="s">
        <v>26</v>
      </c>
      <c r="B47" t="s">
        <v>84</v>
      </c>
      <c r="C47" t="s">
        <v>697</v>
      </c>
      <c r="D47" t="s">
        <v>90</v>
      </c>
      <c r="G47">
        <f t="shared" si="0"/>
        <v>1198956518</v>
      </c>
      <c r="H47">
        <v>89921739</v>
      </c>
      <c r="I47">
        <v>93860869</v>
      </c>
      <c r="J47">
        <v>98400000</v>
      </c>
      <c r="K47">
        <v>99000000</v>
      </c>
      <c r="L47">
        <v>102339130</v>
      </c>
      <c r="M47">
        <v>103539130</v>
      </c>
      <c r="N47">
        <v>106278260</v>
      </c>
      <c r="O47">
        <v>102939130</v>
      </c>
      <c r="P47">
        <v>101739130</v>
      </c>
      <c r="Q47">
        <v>99000000</v>
      </c>
      <c r="R47">
        <v>98400000</v>
      </c>
      <c r="S47">
        <v>103539130</v>
      </c>
    </row>
    <row r="48" spans="1:19">
      <c r="A48" t="s">
        <v>19</v>
      </c>
      <c r="B48" t="s">
        <v>35</v>
      </c>
      <c r="C48" t="s">
        <v>698</v>
      </c>
      <c r="D48" t="s">
        <v>699</v>
      </c>
      <c r="G48">
        <f t="shared" si="0"/>
        <v>39565565196</v>
      </c>
      <c r="H48">
        <f t="shared" ref="H48:S48" si="16">H49+H52+H53+H54+H55</f>
        <v>2967417390</v>
      </c>
      <c r="I48">
        <f t="shared" si="16"/>
        <v>3097408692</v>
      </c>
      <c r="J48">
        <f t="shared" si="16"/>
        <v>3247200000</v>
      </c>
      <c r="K48">
        <f t="shared" si="16"/>
        <v>3267000000</v>
      </c>
      <c r="L48">
        <f t="shared" si="16"/>
        <v>3377191302</v>
      </c>
      <c r="M48">
        <f t="shared" si="16"/>
        <v>3416791302</v>
      </c>
      <c r="N48">
        <f t="shared" si="16"/>
        <v>3507182604</v>
      </c>
      <c r="O48">
        <f t="shared" si="16"/>
        <v>3396991302</v>
      </c>
      <c r="P48">
        <f t="shared" si="16"/>
        <v>3357391302</v>
      </c>
      <c r="Q48">
        <f t="shared" si="16"/>
        <v>3267000000</v>
      </c>
      <c r="R48">
        <f t="shared" si="16"/>
        <v>3247200000</v>
      </c>
      <c r="S48">
        <f t="shared" si="16"/>
        <v>3416791302</v>
      </c>
    </row>
    <row r="49" spans="1:19">
      <c r="A49" t="s">
        <v>23</v>
      </c>
      <c r="B49" t="s">
        <v>35</v>
      </c>
      <c r="C49" t="s">
        <v>700</v>
      </c>
      <c r="D49" t="s">
        <v>643</v>
      </c>
      <c r="G49">
        <f t="shared" si="0"/>
        <v>2397913036</v>
      </c>
      <c r="H49">
        <f t="shared" ref="H49:S49" si="17">H50+H51</f>
        <v>179843478</v>
      </c>
      <c r="I49">
        <f t="shared" si="17"/>
        <v>187721738</v>
      </c>
      <c r="J49">
        <f t="shared" si="17"/>
        <v>196800000</v>
      </c>
      <c r="K49">
        <f t="shared" si="17"/>
        <v>198000000</v>
      </c>
      <c r="L49">
        <f t="shared" si="17"/>
        <v>204678260</v>
      </c>
      <c r="M49">
        <f t="shared" si="17"/>
        <v>207078260</v>
      </c>
      <c r="N49">
        <f t="shared" si="17"/>
        <v>212556520</v>
      </c>
      <c r="O49">
        <f t="shared" si="17"/>
        <v>205878260</v>
      </c>
      <c r="P49">
        <f t="shared" si="17"/>
        <v>203478260</v>
      </c>
      <c r="Q49">
        <f t="shared" si="17"/>
        <v>198000000</v>
      </c>
      <c r="R49">
        <f t="shared" si="17"/>
        <v>196800000</v>
      </c>
      <c r="S49">
        <f t="shared" si="17"/>
        <v>207078260</v>
      </c>
    </row>
    <row r="50" spans="1:19">
      <c r="A50" t="s">
        <v>26</v>
      </c>
      <c r="B50" t="s">
        <v>35</v>
      </c>
      <c r="C50" t="s">
        <v>701</v>
      </c>
      <c r="D50" t="s">
        <v>645</v>
      </c>
      <c r="G50">
        <f t="shared" si="0"/>
        <v>1198956518</v>
      </c>
      <c r="H50">
        <v>89921739</v>
      </c>
      <c r="I50">
        <v>93860869</v>
      </c>
      <c r="J50">
        <v>98400000</v>
      </c>
      <c r="K50">
        <v>99000000</v>
      </c>
      <c r="L50">
        <v>102339130</v>
      </c>
      <c r="M50">
        <v>103539130</v>
      </c>
      <c r="N50">
        <v>106278260</v>
      </c>
      <c r="O50">
        <v>102939130</v>
      </c>
      <c r="P50">
        <v>101739130</v>
      </c>
      <c r="Q50">
        <v>99000000</v>
      </c>
      <c r="R50">
        <v>98400000</v>
      </c>
      <c r="S50">
        <v>103539130</v>
      </c>
    </row>
    <row r="51" spans="1:19">
      <c r="A51" t="s">
        <v>26</v>
      </c>
      <c r="B51" t="s">
        <v>35</v>
      </c>
      <c r="C51" t="s">
        <v>702</v>
      </c>
      <c r="D51" t="s">
        <v>647</v>
      </c>
      <c r="G51">
        <f t="shared" si="0"/>
        <v>1198956518</v>
      </c>
      <c r="H51">
        <v>89921739</v>
      </c>
      <c r="I51">
        <v>93860869</v>
      </c>
      <c r="J51">
        <v>98400000</v>
      </c>
      <c r="K51">
        <v>99000000</v>
      </c>
      <c r="L51">
        <v>102339130</v>
      </c>
      <c r="M51">
        <v>103539130</v>
      </c>
      <c r="N51">
        <v>106278260</v>
      </c>
      <c r="O51">
        <v>102939130</v>
      </c>
      <c r="P51">
        <v>101739130</v>
      </c>
      <c r="Q51">
        <v>99000000</v>
      </c>
      <c r="R51">
        <v>98400000</v>
      </c>
      <c r="S51">
        <v>103539130</v>
      </c>
    </row>
    <row r="52" spans="1:19">
      <c r="A52" t="s">
        <v>23</v>
      </c>
      <c r="B52" t="s">
        <v>35</v>
      </c>
      <c r="C52" t="s">
        <v>703</v>
      </c>
      <c r="D52" t="s">
        <v>649</v>
      </c>
      <c r="G52">
        <f t="shared" si="0"/>
        <v>11989565214</v>
      </c>
      <c r="H52">
        <v>899217391</v>
      </c>
      <c r="I52">
        <v>938608695</v>
      </c>
      <c r="J52">
        <v>984000000</v>
      </c>
      <c r="K52">
        <v>990000000</v>
      </c>
      <c r="L52">
        <v>1023391304</v>
      </c>
      <c r="M52">
        <v>1035391304</v>
      </c>
      <c r="N52">
        <v>1062782608</v>
      </c>
      <c r="O52">
        <v>1029391304</v>
      </c>
      <c r="P52">
        <v>1017391304</v>
      </c>
      <c r="Q52">
        <v>990000000</v>
      </c>
      <c r="R52">
        <v>984000000</v>
      </c>
      <c r="S52">
        <v>1035391304</v>
      </c>
    </row>
    <row r="53" spans="1:19">
      <c r="A53" t="s">
        <v>23</v>
      </c>
      <c r="B53" t="s">
        <v>35</v>
      </c>
      <c r="C53" t="s">
        <v>704</v>
      </c>
      <c r="D53" t="s">
        <v>651</v>
      </c>
      <c r="G53">
        <f t="shared" si="0"/>
        <v>11989565214</v>
      </c>
      <c r="H53">
        <v>899217391</v>
      </c>
      <c r="I53">
        <v>938608695</v>
      </c>
      <c r="J53">
        <v>984000000</v>
      </c>
      <c r="K53">
        <v>990000000</v>
      </c>
      <c r="L53">
        <v>1023391304</v>
      </c>
      <c r="M53">
        <v>1035391304</v>
      </c>
      <c r="N53">
        <v>1062782608</v>
      </c>
      <c r="O53">
        <v>1029391304</v>
      </c>
      <c r="P53">
        <v>1017391304</v>
      </c>
      <c r="Q53">
        <v>990000000</v>
      </c>
      <c r="R53">
        <v>984000000</v>
      </c>
      <c r="S53">
        <v>1035391304</v>
      </c>
    </row>
    <row r="54" spans="1:19">
      <c r="A54" t="s">
        <v>23</v>
      </c>
      <c r="B54" t="s">
        <v>35</v>
      </c>
      <c r="C54" t="s">
        <v>705</v>
      </c>
      <c r="D54" t="s">
        <v>653</v>
      </c>
      <c r="G54">
        <f t="shared" si="0"/>
        <v>11989565214</v>
      </c>
      <c r="H54">
        <v>899217391</v>
      </c>
      <c r="I54">
        <v>938608695</v>
      </c>
      <c r="J54">
        <v>984000000</v>
      </c>
      <c r="K54">
        <v>990000000</v>
      </c>
      <c r="L54">
        <v>1023391304</v>
      </c>
      <c r="M54">
        <v>1035391304</v>
      </c>
      <c r="N54">
        <v>1062782608</v>
      </c>
      <c r="O54">
        <v>1029391304</v>
      </c>
      <c r="P54">
        <v>1017391304</v>
      </c>
      <c r="Q54">
        <v>990000000</v>
      </c>
      <c r="R54">
        <v>984000000</v>
      </c>
      <c r="S54">
        <v>1035391304</v>
      </c>
    </row>
    <row r="55" spans="1:19">
      <c r="A55" t="s">
        <v>23</v>
      </c>
      <c r="B55" t="s">
        <v>35</v>
      </c>
      <c r="C55" t="s">
        <v>706</v>
      </c>
      <c r="D55" t="s">
        <v>655</v>
      </c>
      <c r="G55">
        <f t="shared" si="0"/>
        <v>1198956518</v>
      </c>
      <c r="H55">
        <f t="shared" ref="H55:S55" si="18">H56</f>
        <v>89921739</v>
      </c>
      <c r="I55">
        <f t="shared" si="18"/>
        <v>93860869</v>
      </c>
      <c r="J55">
        <f t="shared" si="18"/>
        <v>98400000</v>
      </c>
      <c r="K55">
        <f t="shared" si="18"/>
        <v>99000000</v>
      </c>
      <c r="L55">
        <f t="shared" si="18"/>
        <v>102339130</v>
      </c>
      <c r="M55">
        <f t="shared" si="18"/>
        <v>103539130</v>
      </c>
      <c r="N55">
        <f t="shared" si="18"/>
        <v>106278260</v>
      </c>
      <c r="O55">
        <f t="shared" si="18"/>
        <v>102939130</v>
      </c>
      <c r="P55">
        <f t="shared" si="18"/>
        <v>101739130</v>
      </c>
      <c r="Q55">
        <f t="shared" si="18"/>
        <v>99000000</v>
      </c>
      <c r="R55">
        <f t="shared" si="18"/>
        <v>98400000</v>
      </c>
      <c r="S55">
        <f t="shared" si="18"/>
        <v>103539130</v>
      </c>
    </row>
    <row r="56" spans="1:19">
      <c r="A56" t="s">
        <v>26</v>
      </c>
      <c r="B56" t="s">
        <v>35</v>
      </c>
      <c r="C56" t="s">
        <v>707</v>
      </c>
      <c r="D56" t="s">
        <v>90</v>
      </c>
      <c r="G56">
        <f t="shared" si="0"/>
        <v>1198956518</v>
      </c>
      <c r="H56">
        <v>89921739</v>
      </c>
      <c r="I56">
        <v>93860869</v>
      </c>
      <c r="J56">
        <v>98400000</v>
      </c>
      <c r="K56">
        <v>99000000</v>
      </c>
      <c r="L56">
        <v>102339130</v>
      </c>
      <c r="M56">
        <v>103539130</v>
      </c>
      <c r="N56">
        <v>106278260</v>
      </c>
      <c r="O56">
        <v>102939130</v>
      </c>
      <c r="P56">
        <v>101739130</v>
      </c>
      <c r="Q56">
        <v>99000000</v>
      </c>
      <c r="R56">
        <v>98400000</v>
      </c>
      <c r="S56">
        <v>103539130</v>
      </c>
    </row>
    <row r="57" spans="1:19">
      <c r="A57" t="s">
        <v>19</v>
      </c>
      <c r="B57" t="s">
        <v>35</v>
      </c>
      <c r="C57" t="s">
        <v>708</v>
      </c>
      <c r="D57" t="s">
        <v>709</v>
      </c>
      <c r="G57">
        <f t="shared" si="0"/>
        <v>38366608678</v>
      </c>
      <c r="H57">
        <f t="shared" ref="H57:S57" si="19">H58+H60+H61+H62+H63</f>
        <v>2877495651</v>
      </c>
      <c r="I57">
        <f t="shared" si="19"/>
        <v>3003547823</v>
      </c>
      <c r="J57">
        <f t="shared" si="19"/>
        <v>3148800000</v>
      </c>
      <c r="K57">
        <f t="shared" si="19"/>
        <v>3168000000</v>
      </c>
      <c r="L57">
        <f t="shared" si="19"/>
        <v>3274852172</v>
      </c>
      <c r="M57">
        <f t="shared" si="19"/>
        <v>3313252172</v>
      </c>
      <c r="N57">
        <f t="shared" si="19"/>
        <v>3400904344</v>
      </c>
      <c r="O57">
        <f t="shared" si="19"/>
        <v>3294052172</v>
      </c>
      <c r="P57">
        <f t="shared" si="19"/>
        <v>3255652172</v>
      </c>
      <c r="Q57">
        <f t="shared" si="19"/>
        <v>3168000000</v>
      </c>
      <c r="R57">
        <f t="shared" si="19"/>
        <v>3148800000</v>
      </c>
      <c r="S57">
        <f t="shared" si="19"/>
        <v>3313252172</v>
      </c>
    </row>
    <row r="58" spans="1:19">
      <c r="A58" t="s">
        <v>23</v>
      </c>
      <c r="B58" t="s">
        <v>35</v>
      </c>
      <c r="C58" t="s">
        <v>710</v>
      </c>
      <c r="D58" t="s">
        <v>711</v>
      </c>
      <c r="G58">
        <f t="shared" si="0"/>
        <v>1198956518</v>
      </c>
      <c r="H58">
        <f t="shared" ref="H58:S58" si="20">H59</f>
        <v>89921739</v>
      </c>
      <c r="I58">
        <f t="shared" si="20"/>
        <v>93860869</v>
      </c>
      <c r="J58">
        <f t="shared" si="20"/>
        <v>98400000</v>
      </c>
      <c r="K58">
        <f t="shared" si="20"/>
        <v>99000000</v>
      </c>
      <c r="L58">
        <f t="shared" si="20"/>
        <v>102339130</v>
      </c>
      <c r="M58">
        <f t="shared" si="20"/>
        <v>103539130</v>
      </c>
      <c r="N58">
        <f t="shared" si="20"/>
        <v>106278260</v>
      </c>
      <c r="O58">
        <f t="shared" si="20"/>
        <v>102939130</v>
      </c>
      <c r="P58">
        <f t="shared" si="20"/>
        <v>101739130</v>
      </c>
      <c r="Q58">
        <f t="shared" si="20"/>
        <v>99000000</v>
      </c>
      <c r="R58">
        <f t="shared" si="20"/>
        <v>98400000</v>
      </c>
      <c r="S58">
        <f t="shared" si="20"/>
        <v>103539130</v>
      </c>
    </row>
    <row r="59" spans="1:19">
      <c r="A59" t="s">
        <v>26</v>
      </c>
      <c r="B59" t="s">
        <v>35</v>
      </c>
      <c r="C59" t="s">
        <v>712</v>
      </c>
      <c r="D59" t="s">
        <v>713</v>
      </c>
      <c r="G59">
        <f t="shared" si="0"/>
        <v>1198956518</v>
      </c>
      <c r="H59">
        <v>89921739</v>
      </c>
      <c r="I59">
        <v>93860869</v>
      </c>
      <c r="J59">
        <v>98400000</v>
      </c>
      <c r="K59">
        <v>99000000</v>
      </c>
      <c r="L59">
        <v>102339130</v>
      </c>
      <c r="M59">
        <v>103539130</v>
      </c>
      <c r="N59">
        <v>106278260</v>
      </c>
      <c r="O59">
        <v>102939130</v>
      </c>
      <c r="P59">
        <v>101739130</v>
      </c>
      <c r="Q59">
        <v>99000000</v>
      </c>
      <c r="R59">
        <v>98400000</v>
      </c>
      <c r="S59">
        <v>103539130</v>
      </c>
    </row>
    <row r="60" spans="1:19">
      <c r="A60" t="s">
        <v>23</v>
      </c>
      <c r="B60" t="s">
        <v>35</v>
      </c>
      <c r="C60" t="s">
        <v>714</v>
      </c>
      <c r="D60" t="s">
        <v>715</v>
      </c>
      <c r="G60">
        <f t="shared" si="0"/>
        <v>11989565214</v>
      </c>
      <c r="H60">
        <v>899217391</v>
      </c>
      <c r="I60">
        <v>938608695</v>
      </c>
      <c r="J60">
        <v>984000000</v>
      </c>
      <c r="K60">
        <v>990000000</v>
      </c>
      <c r="L60">
        <v>1023391304</v>
      </c>
      <c r="M60">
        <v>1035391304</v>
      </c>
      <c r="N60">
        <v>1062782608</v>
      </c>
      <c r="O60">
        <v>1029391304</v>
      </c>
      <c r="P60">
        <v>1017391304</v>
      </c>
      <c r="Q60">
        <v>990000000</v>
      </c>
      <c r="R60">
        <v>984000000</v>
      </c>
      <c r="S60">
        <v>1035391304</v>
      </c>
    </row>
    <row r="61" spans="1:19">
      <c r="A61" t="s">
        <v>23</v>
      </c>
      <c r="B61" t="s">
        <v>35</v>
      </c>
      <c r="C61" t="s">
        <v>716</v>
      </c>
      <c r="D61" t="s">
        <v>717</v>
      </c>
      <c r="G61">
        <f t="shared" si="0"/>
        <v>11989565214</v>
      </c>
      <c r="H61">
        <v>899217391</v>
      </c>
      <c r="I61">
        <v>938608695</v>
      </c>
      <c r="J61">
        <v>984000000</v>
      </c>
      <c r="K61">
        <v>990000000</v>
      </c>
      <c r="L61">
        <v>1023391304</v>
      </c>
      <c r="M61">
        <v>1035391304</v>
      </c>
      <c r="N61">
        <v>1062782608</v>
      </c>
      <c r="O61">
        <v>1029391304</v>
      </c>
      <c r="P61">
        <v>1017391304</v>
      </c>
      <c r="Q61">
        <v>990000000</v>
      </c>
      <c r="R61">
        <v>984000000</v>
      </c>
      <c r="S61">
        <v>1035391304</v>
      </c>
    </row>
    <row r="62" spans="1:19">
      <c r="A62" t="s">
        <v>23</v>
      </c>
      <c r="B62" t="s">
        <v>35</v>
      </c>
      <c r="C62" t="s">
        <v>718</v>
      </c>
      <c r="D62" t="s">
        <v>719</v>
      </c>
      <c r="G62">
        <f t="shared" si="0"/>
        <v>11989565214</v>
      </c>
      <c r="H62">
        <v>899217391</v>
      </c>
      <c r="I62">
        <v>938608695</v>
      </c>
      <c r="J62">
        <v>984000000</v>
      </c>
      <c r="K62">
        <v>990000000</v>
      </c>
      <c r="L62">
        <v>1023391304</v>
      </c>
      <c r="M62">
        <v>1035391304</v>
      </c>
      <c r="N62">
        <v>1062782608</v>
      </c>
      <c r="O62">
        <v>1029391304</v>
      </c>
      <c r="P62">
        <v>1017391304</v>
      </c>
      <c r="Q62">
        <v>990000000</v>
      </c>
      <c r="R62">
        <v>984000000</v>
      </c>
      <c r="S62">
        <v>1035391304</v>
      </c>
    </row>
    <row r="63" spans="1:19">
      <c r="A63" t="s">
        <v>23</v>
      </c>
      <c r="B63" t="s">
        <v>35</v>
      </c>
      <c r="C63" t="s">
        <v>720</v>
      </c>
      <c r="D63" t="s">
        <v>721</v>
      </c>
      <c r="G63">
        <f t="shared" si="0"/>
        <v>1198956518</v>
      </c>
      <c r="H63">
        <f t="shared" ref="H63:S63" si="21">H64</f>
        <v>89921739</v>
      </c>
      <c r="I63">
        <f t="shared" si="21"/>
        <v>93860869</v>
      </c>
      <c r="J63">
        <f t="shared" si="21"/>
        <v>98400000</v>
      </c>
      <c r="K63">
        <f t="shared" si="21"/>
        <v>99000000</v>
      </c>
      <c r="L63">
        <f t="shared" si="21"/>
        <v>102339130</v>
      </c>
      <c r="M63">
        <f t="shared" si="21"/>
        <v>103539130</v>
      </c>
      <c r="N63">
        <f t="shared" si="21"/>
        <v>106278260</v>
      </c>
      <c r="O63">
        <f t="shared" si="21"/>
        <v>102939130</v>
      </c>
      <c r="P63">
        <f t="shared" si="21"/>
        <v>101739130</v>
      </c>
      <c r="Q63">
        <f t="shared" si="21"/>
        <v>99000000</v>
      </c>
      <c r="R63">
        <f t="shared" si="21"/>
        <v>98400000</v>
      </c>
      <c r="S63">
        <f t="shared" si="21"/>
        <v>103539130</v>
      </c>
    </row>
    <row r="64" spans="1:19">
      <c r="A64" t="s">
        <v>26</v>
      </c>
      <c r="B64" t="s">
        <v>35</v>
      </c>
      <c r="C64" t="s">
        <v>722</v>
      </c>
      <c r="D64" t="s">
        <v>723</v>
      </c>
      <c r="G64">
        <f t="shared" si="0"/>
        <v>1198956518</v>
      </c>
      <c r="H64">
        <v>89921739</v>
      </c>
      <c r="I64">
        <v>93860869</v>
      </c>
      <c r="J64">
        <v>98400000</v>
      </c>
      <c r="K64">
        <v>99000000</v>
      </c>
      <c r="L64">
        <v>102339130</v>
      </c>
      <c r="M64">
        <v>103539130</v>
      </c>
      <c r="N64">
        <v>106278260</v>
      </c>
      <c r="O64">
        <v>102939130</v>
      </c>
      <c r="P64">
        <v>101739130</v>
      </c>
      <c r="Q64">
        <v>99000000</v>
      </c>
      <c r="R64">
        <v>98400000</v>
      </c>
      <c r="S64">
        <v>103539130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113</v>
      </c>
      <c r="C2" t="s">
        <v>724</v>
      </c>
      <c r="D2" t="s">
        <v>725</v>
      </c>
      <c r="G2">
        <f t="shared" ref="G2:G55" si="0">H2+I2+J2+K2+L2+M2+N2+O2+P2+Q2+R2+S2</f>
        <v>160855714276</v>
      </c>
      <c r="H2">
        <v>12064178571</v>
      </c>
      <c r="I2">
        <v>12546745713</v>
      </c>
      <c r="J2">
        <v>13190168571</v>
      </c>
      <c r="K2">
        <v>13351024285</v>
      </c>
      <c r="L2">
        <v>13672735713</v>
      </c>
      <c r="M2">
        <v>13994447142</v>
      </c>
      <c r="N2">
        <v>14155302856</v>
      </c>
      <c r="O2">
        <v>13833591428</v>
      </c>
      <c r="P2">
        <v>13511879999</v>
      </c>
      <c r="Q2">
        <v>13351024285</v>
      </c>
      <c r="R2">
        <v>13190168571</v>
      </c>
      <c r="S2">
        <v>13994447142</v>
      </c>
    </row>
    <row r="3" spans="1:19">
      <c r="A3" t="s">
        <v>23</v>
      </c>
      <c r="B3" t="s">
        <v>113</v>
      </c>
      <c r="C3" t="s">
        <v>726</v>
      </c>
      <c r="D3" t="s">
        <v>727</v>
      </c>
      <c r="G3">
        <f t="shared" si="0"/>
        <v>350000000000</v>
      </c>
      <c r="H3">
        <v>26250000000</v>
      </c>
      <c r="I3">
        <v>27300000000</v>
      </c>
      <c r="J3">
        <v>28700000000</v>
      </c>
      <c r="K3">
        <v>29050000000</v>
      </c>
      <c r="L3">
        <v>29750000000</v>
      </c>
      <c r="M3">
        <v>30450000000</v>
      </c>
      <c r="N3">
        <v>30800000000</v>
      </c>
      <c r="O3">
        <v>30100000000</v>
      </c>
      <c r="P3">
        <v>29400000000</v>
      </c>
      <c r="Q3">
        <v>29050000000</v>
      </c>
      <c r="R3">
        <v>28700000000</v>
      </c>
      <c r="S3">
        <v>30450000000</v>
      </c>
    </row>
    <row r="4" spans="1:19">
      <c r="A4" t="s">
        <v>19</v>
      </c>
      <c r="B4" t="s">
        <v>113</v>
      </c>
      <c r="C4" t="s">
        <v>728</v>
      </c>
      <c r="D4" t="s">
        <v>729</v>
      </c>
      <c r="G4">
        <f t="shared" si="0"/>
        <v>160855714276</v>
      </c>
      <c r="H4">
        <v>12064178571</v>
      </c>
      <c r="I4">
        <v>12546745713</v>
      </c>
      <c r="J4">
        <v>13190168571</v>
      </c>
      <c r="K4">
        <v>13351024285</v>
      </c>
      <c r="L4">
        <v>13672735713</v>
      </c>
      <c r="M4">
        <v>13994447142</v>
      </c>
      <c r="N4">
        <v>14155302856</v>
      </c>
      <c r="O4">
        <v>13833591428</v>
      </c>
      <c r="P4">
        <v>13511879999</v>
      </c>
      <c r="Q4">
        <v>13351024285</v>
      </c>
      <c r="R4">
        <v>13190168571</v>
      </c>
      <c r="S4">
        <v>13994447142</v>
      </c>
    </row>
    <row r="5" spans="1:19">
      <c r="A5" t="s">
        <v>19</v>
      </c>
      <c r="B5" t="s">
        <v>113</v>
      </c>
      <c r="C5" t="s">
        <v>730</v>
      </c>
      <c r="D5" t="s">
        <v>731</v>
      </c>
      <c r="G5">
        <f t="shared" si="0"/>
        <v>783422857104</v>
      </c>
      <c r="H5">
        <f t="shared" ref="H5:S5" si="1">H6+H7+H8+H9+H10</f>
        <v>58756714284</v>
      </c>
      <c r="I5">
        <f t="shared" si="1"/>
        <v>61106982852</v>
      </c>
      <c r="J5">
        <f t="shared" si="1"/>
        <v>64240674284</v>
      </c>
      <c r="K5">
        <f t="shared" si="1"/>
        <v>65024097140</v>
      </c>
      <c r="L5">
        <f t="shared" si="1"/>
        <v>66590942852</v>
      </c>
      <c r="M5">
        <f t="shared" si="1"/>
        <v>68157788568</v>
      </c>
      <c r="N5">
        <f t="shared" si="1"/>
        <v>68941211424</v>
      </c>
      <c r="O5">
        <f t="shared" si="1"/>
        <v>67374365712</v>
      </c>
      <c r="P5">
        <f t="shared" si="1"/>
        <v>65807519996</v>
      </c>
      <c r="Q5">
        <f t="shared" si="1"/>
        <v>65024097140</v>
      </c>
      <c r="R5">
        <f t="shared" si="1"/>
        <v>64240674284</v>
      </c>
      <c r="S5">
        <f t="shared" si="1"/>
        <v>68157788568</v>
      </c>
    </row>
    <row r="6" spans="1:19">
      <c r="A6" t="s">
        <v>23</v>
      </c>
      <c r="B6" t="s">
        <v>113</v>
      </c>
      <c r="C6" t="s">
        <v>732</v>
      </c>
      <c r="D6" t="s">
        <v>153</v>
      </c>
      <c r="G6">
        <f t="shared" si="0"/>
        <v>140000000000</v>
      </c>
      <c r="H6">
        <v>10500000000</v>
      </c>
      <c r="I6">
        <v>10920000000</v>
      </c>
      <c r="J6">
        <v>11480000000</v>
      </c>
      <c r="K6">
        <v>11620000000</v>
      </c>
      <c r="L6">
        <v>11900000000</v>
      </c>
      <c r="M6">
        <v>12180000000</v>
      </c>
      <c r="N6">
        <v>12320000000</v>
      </c>
      <c r="O6">
        <v>12040000000</v>
      </c>
      <c r="P6">
        <v>11760000000</v>
      </c>
      <c r="Q6">
        <v>11620000000</v>
      </c>
      <c r="R6">
        <v>11480000000</v>
      </c>
      <c r="S6">
        <v>12180000000</v>
      </c>
    </row>
    <row r="7" spans="1:19">
      <c r="A7" t="s">
        <v>23</v>
      </c>
      <c r="B7" t="s">
        <v>113</v>
      </c>
      <c r="C7" t="s">
        <v>733</v>
      </c>
      <c r="D7" t="s">
        <v>734</v>
      </c>
      <c r="G7">
        <f t="shared" si="0"/>
        <v>160855714276</v>
      </c>
      <c r="H7">
        <v>12064178571</v>
      </c>
      <c r="I7">
        <v>12546745713</v>
      </c>
      <c r="J7">
        <v>13190168571</v>
      </c>
      <c r="K7">
        <v>13351024285</v>
      </c>
      <c r="L7">
        <v>13672735713</v>
      </c>
      <c r="M7">
        <v>13994447142</v>
      </c>
      <c r="N7">
        <v>14155302856</v>
      </c>
      <c r="O7">
        <v>13833591428</v>
      </c>
      <c r="P7">
        <v>13511879999</v>
      </c>
      <c r="Q7">
        <v>13351024285</v>
      </c>
      <c r="R7">
        <v>13190168571</v>
      </c>
      <c r="S7">
        <v>13994447142</v>
      </c>
    </row>
    <row r="8" spans="1:19">
      <c r="A8" t="s">
        <v>23</v>
      </c>
      <c r="B8" t="s">
        <v>113</v>
      </c>
      <c r="C8" t="s">
        <v>735</v>
      </c>
      <c r="D8" t="s">
        <v>155</v>
      </c>
      <c r="G8">
        <f t="shared" si="0"/>
        <v>160855714276</v>
      </c>
      <c r="H8">
        <v>12064178571</v>
      </c>
      <c r="I8">
        <v>12546745713</v>
      </c>
      <c r="J8">
        <v>13190168571</v>
      </c>
      <c r="K8">
        <v>13351024285</v>
      </c>
      <c r="L8">
        <v>13672735713</v>
      </c>
      <c r="M8">
        <v>13994447142</v>
      </c>
      <c r="N8">
        <v>14155302856</v>
      </c>
      <c r="O8">
        <v>13833591428</v>
      </c>
      <c r="P8">
        <v>13511879999</v>
      </c>
      <c r="Q8">
        <v>13351024285</v>
      </c>
      <c r="R8">
        <v>13190168571</v>
      </c>
      <c r="S8">
        <v>13994447142</v>
      </c>
    </row>
    <row r="9" spans="1:19">
      <c r="A9" t="s">
        <v>23</v>
      </c>
      <c r="B9" t="s">
        <v>113</v>
      </c>
      <c r="C9" t="s">
        <v>736</v>
      </c>
      <c r="D9" t="s">
        <v>157</v>
      </c>
      <c r="G9">
        <f t="shared" si="0"/>
        <v>160855714276</v>
      </c>
      <c r="H9">
        <v>12064178571</v>
      </c>
      <c r="I9">
        <v>12546745713</v>
      </c>
      <c r="J9">
        <v>13190168571</v>
      </c>
      <c r="K9">
        <v>13351024285</v>
      </c>
      <c r="L9">
        <v>13672735713</v>
      </c>
      <c r="M9">
        <v>13994447142</v>
      </c>
      <c r="N9">
        <v>14155302856</v>
      </c>
      <c r="O9">
        <v>13833591428</v>
      </c>
      <c r="P9">
        <v>13511879999</v>
      </c>
      <c r="Q9">
        <v>13351024285</v>
      </c>
      <c r="R9">
        <v>13190168571</v>
      </c>
      <c r="S9">
        <v>13994447142</v>
      </c>
    </row>
    <row r="10" spans="1:19">
      <c r="A10" t="s">
        <v>23</v>
      </c>
      <c r="B10" t="s">
        <v>113</v>
      </c>
      <c r="C10" t="s">
        <v>737</v>
      </c>
      <c r="D10" t="s">
        <v>738</v>
      </c>
      <c r="G10">
        <f t="shared" si="0"/>
        <v>160855714276</v>
      </c>
      <c r="H10">
        <v>12064178571</v>
      </c>
      <c r="I10">
        <v>12546745713</v>
      </c>
      <c r="J10">
        <v>13190168571</v>
      </c>
      <c r="K10">
        <v>13351024285</v>
      </c>
      <c r="L10">
        <v>13672735713</v>
      </c>
      <c r="M10">
        <v>13994447142</v>
      </c>
      <c r="N10">
        <v>14155302856</v>
      </c>
      <c r="O10">
        <v>13833591428</v>
      </c>
      <c r="P10">
        <v>13511879999</v>
      </c>
      <c r="Q10">
        <v>13351024285</v>
      </c>
      <c r="R10">
        <v>13190168571</v>
      </c>
      <c r="S10">
        <v>13994447142</v>
      </c>
    </row>
    <row r="11" spans="1:19">
      <c r="A11" t="s">
        <v>19</v>
      </c>
      <c r="B11" t="s">
        <v>143</v>
      </c>
      <c r="C11" t="s">
        <v>739</v>
      </c>
      <c r="D11" t="s">
        <v>740</v>
      </c>
      <c r="G11">
        <f t="shared" si="0"/>
        <v>160855714276</v>
      </c>
      <c r="H11">
        <v>12064178571</v>
      </c>
      <c r="I11">
        <v>12546745713</v>
      </c>
      <c r="J11">
        <v>13190168571</v>
      </c>
      <c r="K11">
        <v>13351024285</v>
      </c>
      <c r="L11">
        <v>13672735713</v>
      </c>
      <c r="M11">
        <v>13994447142</v>
      </c>
      <c r="N11">
        <v>14155302856</v>
      </c>
      <c r="O11">
        <v>13833591428</v>
      </c>
      <c r="P11">
        <v>13511879999</v>
      </c>
      <c r="Q11">
        <v>13351024285</v>
      </c>
      <c r="R11">
        <v>13190168571</v>
      </c>
      <c r="S11">
        <v>13994447142</v>
      </c>
    </row>
    <row r="12" spans="1:19">
      <c r="A12" t="s">
        <v>23</v>
      </c>
      <c r="B12" t="s">
        <v>143</v>
      </c>
      <c r="C12" t="s">
        <v>741</v>
      </c>
      <c r="D12" t="s">
        <v>541</v>
      </c>
      <c r="G12">
        <f t="shared" si="0"/>
        <v>450000000000</v>
      </c>
      <c r="H12">
        <v>33750000000</v>
      </c>
      <c r="I12">
        <v>35100000000</v>
      </c>
      <c r="J12">
        <v>36900000000</v>
      </c>
      <c r="K12">
        <v>37350000000</v>
      </c>
      <c r="L12">
        <v>38250000000</v>
      </c>
      <c r="M12">
        <v>39150000000</v>
      </c>
      <c r="N12">
        <v>39600000000</v>
      </c>
      <c r="O12">
        <v>38700000000</v>
      </c>
      <c r="P12">
        <v>37800000000</v>
      </c>
      <c r="Q12">
        <v>37350000000</v>
      </c>
      <c r="R12">
        <v>36900000000</v>
      </c>
      <c r="S12">
        <v>39150000000</v>
      </c>
    </row>
    <row r="13" spans="1:19">
      <c r="A13" t="s">
        <v>19</v>
      </c>
      <c r="B13" t="s">
        <v>143</v>
      </c>
      <c r="C13" t="s">
        <v>742</v>
      </c>
      <c r="D13" t="s">
        <v>743</v>
      </c>
      <c r="G13">
        <f t="shared" si="0"/>
        <v>944278571380</v>
      </c>
      <c r="H13">
        <f t="shared" ref="H13:S13" si="2">H14+H15+H16+H17+H18+H19</f>
        <v>70820892855</v>
      </c>
      <c r="I13">
        <f t="shared" si="2"/>
        <v>73653728565</v>
      </c>
      <c r="J13">
        <f t="shared" si="2"/>
        <v>77430842855</v>
      </c>
      <c r="K13">
        <f t="shared" si="2"/>
        <v>78375121425</v>
      </c>
      <c r="L13">
        <f t="shared" si="2"/>
        <v>80263678565</v>
      </c>
      <c r="M13">
        <f t="shared" si="2"/>
        <v>82152235710</v>
      </c>
      <c r="N13">
        <f t="shared" si="2"/>
        <v>83096514280</v>
      </c>
      <c r="O13">
        <f t="shared" si="2"/>
        <v>81207957140</v>
      </c>
      <c r="P13">
        <f t="shared" si="2"/>
        <v>79319399995</v>
      </c>
      <c r="Q13">
        <f t="shared" si="2"/>
        <v>78375121425</v>
      </c>
      <c r="R13">
        <f t="shared" si="2"/>
        <v>77430842855</v>
      </c>
      <c r="S13">
        <f t="shared" si="2"/>
        <v>82152235710</v>
      </c>
    </row>
    <row r="14" spans="1:19">
      <c r="A14" t="s">
        <v>23</v>
      </c>
      <c r="B14" t="s">
        <v>143</v>
      </c>
      <c r="C14" t="s">
        <v>744</v>
      </c>
      <c r="D14" t="s">
        <v>745</v>
      </c>
      <c r="G14">
        <f t="shared" si="0"/>
        <v>160855714276</v>
      </c>
      <c r="H14">
        <v>12064178571</v>
      </c>
      <c r="I14">
        <v>12546745713</v>
      </c>
      <c r="J14">
        <v>13190168571</v>
      </c>
      <c r="K14">
        <v>13351024285</v>
      </c>
      <c r="L14">
        <v>13672735713</v>
      </c>
      <c r="M14">
        <v>13994447142</v>
      </c>
      <c r="N14">
        <v>14155302856</v>
      </c>
      <c r="O14">
        <v>13833591428</v>
      </c>
      <c r="P14">
        <v>13511879999</v>
      </c>
      <c r="Q14">
        <v>13351024285</v>
      </c>
      <c r="R14">
        <v>13190168571</v>
      </c>
      <c r="S14">
        <v>13994447142</v>
      </c>
    </row>
    <row r="15" spans="1:19">
      <c r="A15" t="s">
        <v>23</v>
      </c>
      <c r="B15" t="s">
        <v>143</v>
      </c>
      <c r="C15" t="s">
        <v>746</v>
      </c>
      <c r="D15" t="s">
        <v>168</v>
      </c>
      <c r="G15">
        <f t="shared" si="0"/>
        <v>140000000000</v>
      </c>
      <c r="H15">
        <v>10500000000</v>
      </c>
      <c r="I15">
        <v>10920000000</v>
      </c>
      <c r="J15">
        <v>11480000000</v>
      </c>
      <c r="K15">
        <v>11620000000</v>
      </c>
      <c r="L15">
        <v>11900000000</v>
      </c>
      <c r="M15">
        <v>12180000000</v>
      </c>
      <c r="N15">
        <v>12320000000</v>
      </c>
      <c r="O15">
        <v>12040000000</v>
      </c>
      <c r="P15">
        <v>11760000000</v>
      </c>
      <c r="Q15">
        <v>11620000000</v>
      </c>
      <c r="R15">
        <v>11480000000</v>
      </c>
      <c r="S15">
        <v>12180000000</v>
      </c>
    </row>
    <row r="16" spans="1:19">
      <c r="A16" t="s">
        <v>23</v>
      </c>
      <c r="B16" t="s">
        <v>143</v>
      </c>
      <c r="C16" t="s">
        <v>747</v>
      </c>
      <c r="D16" t="s">
        <v>748</v>
      </c>
      <c r="G16">
        <f t="shared" si="0"/>
        <v>160855714276</v>
      </c>
      <c r="H16">
        <v>12064178571</v>
      </c>
      <c r="I16">
        <v>12546745713</v>
      </c>
      <c r="J16">
        <v>13190168571</v>
      </c>
      <c r="K16">
        <v>13351024285</v>
      </c>
      <c r="L16">
        <v>13672735713</v>
      </c>
      <c r="M16">
        <v>13994447142</v>
      </c>
      <c r="N16">
        <v>14155302856</v>
      </c>
      <c r="O16">
        <v>13833591428</v>
      </c>
      <c r="P16">
        <v>13511879999</v>
      </c>
      <c r="Q16">
        <v>13351024285</v>
      </c>
      <c r="R16">
        <v>13190168571</v>
      </c>
      <c r="S16">
        <v>13994447142</v>
      </c>
    </row>
    <row r="17" spans="1:19">
      <c r="A17" t="s">
        <v>23</v>
      </c>
      <c r="B17" t="s">
        <v>143</v>
      </c>
      <c r="C17" t="s">
        <v>749</v>
      </c>
      <c r="D17" t="s">
        <v>750</v>
      </c>
      <c r="G17">
        <f t="shared" si="0"/>
        <v>160855714276</v>
      </c>
      <c r="H17">
        <v>12064178571</v>
      </c>
      <c r="I17">
        <v>12546745713</v>
      </c>
      <c r="J17">
        <v>13190168571</v>
      </c>
      <c r="K17">
        <v>13351024285</v>
      </c>
      <c r="L17">
        <v>13672735713</v>
      </c>
      <c r="M17">
        <v>13994447142</v>
      </c>
      <c r="N17">
        <v>14155302856</v>
      </c>
      <c r="O17">
        <v>13833591428</v>
      </c>
      <c r="P17">
        <v>13511879999</v>
      </c>
      <c r="Q17">
        <v>13351024285</v>
      </c>
      <c r="R17">
        <v>13190168571</v>
      </c>
      <c r="S17">
        <v>13994447142</v>
      </c>
    </row>
    <row r="18" spans="1:19">
      <c r="A18" t="s">
        <v>23</v>
      </c>
      <c r="B18" t="s">
        <v>143</v>
      </c>
      <c r="C18" t="s">
        <v>751</v>
      </c>
      <c r="D18" t="s">
        <v>170</v>
      </c>
      <c r="G18">
        <f t="shared" si="0"/>
        <v>160855714276</v>
      </c>
      <c r="H18">
        <v>12064178571</v>
      </c>
      <c r="I18">
        <v>12546745713</v>
      </c>
      <c r="J18">
        <v>13190168571</v>
      </c>
      <c r="K18">
        <v>13351024285</v>
      </c>
      <c r="L18">
        <v>13672735713</v>
      </c>
      <c r="M18">
        <v>13994447142</v>
      </c>
      <c r="N18">
        <v>14155302856</v>
      </c>
      <c r="O18">
        <v>13833591428</v>
      </c>
      <c r="P18">
        <v>13511879999</v>
      </c>
      <c r="Q18">
        <v>13351024285</v>
      </c>
      <c r="R18">
        <v>13190168571</v>
      </c>
      <c r="S18">
        <v>13994447142</v>
      </c>
    </row>
    <row r="19" spans="1:19">
      <c r="A19" t="s">
        <v>23</v>
      </c>
      <c r="B19" t="s">
        <v>143</v>
      </c>
      <c r="C19" t="s">
        <v>752</v>
      </c>
      <c r="D19" t="s">
        <v>753</v>
      </c>
      <c r="G19">
        <f t="shared" si="0"/>
        <v>160855714276</v>
      </c>
      <c r="H19">
        <v>12064178571</v>
      </c>
      <c r="I19">
        <v>12546745713</v>
      </c>
      <c r="J19">
        <v>13190168571</v>
      </c>
      <c r="K19">
        <v>13351024285</v>
      </c>
      <c r="L19">
        <v>13672735713</v>
      </c>
      <c r="M19">
        <v>13994447142</v>
      </c>
      <c r="N19">
        <v>14155302856</v>
      </c>
      <c r="O19">
        <v>13833591428</v>
      </c>
      <c r="P19">
        <v>13511879999</v>
      </c>
      <c r="Q19">
        <v>13351024285</v>
      </c>
      <c r="R19">
        <v>13190168571</v>
      </c>
      <c r="S19">
        <v>13994447142</v>
      </c>
    </row>
    <row r="20" spans="1:19">
      <c r="A20" t="s">
        <v>19</v>
      </c>
      <c r="B20" t="s">
        <v>20</v>
      </c>
      <c r="C20" t="s">
        <v>494</v>
      </c>
      <c r="D20" t="s">
        <v>754</v>
      </c>
      <c r="G20">
        <f t="shared" si="0"/>
        <v>116337857115</v>
      </c>
      <c r="H20">
        <f t="shared" ref="H20:S20" si="3">H21+H22+H23</f>
        <v>8725339285</v>
      </c>
      <c r="I20">
        <f t="shared" si="3"/>
        <v>9074352855</v>
      </c>
      <c r="J20">
        <f t="shared" si="3"/>
        <v>9539704285</v>
      </c>
      <c r="K20">
        <f t="shared" si="3"/>
        <v>9656042140</v>
      </c>
      <c r="L20">
        <f t="shared" si="3"/>
        <v>9888717855</v>
      </c>
      <c r="M20">
        <f t="shared" si="3"/>
        <v>10121393570</v>
      </c>
      <c r="N20">
        <f t="shared" si="3"/>
        <v>10237731425</v>
      </c>
      <c r="O20">
        <f t="shared" si="3"/>
        <v>10005055710</v>
      </c>
      <c r="P20">
        <f t="shared" si="3"/>
        <v>9772379995</v>
      </c>
      <c r="Q20">
        <f t="shared" si="3"/>
        <v>9656042140</v>
      </c>
      <c r="R20">
        <f t="shared" si="3"/>
        <v>9539704285</v>
      </c>
      <c r="S20">
        <f t="shared" si="3"/>
        <v>10121393570</v>
      </c>
    </row>
    <row r="21" spans="1:19">
      <c r="A21" t="s">
        <v>23</v>
      </c>
      <c r="B21" t="s">
        <v>20</v>
      </c>
      <c r="C21" t="s">
        <v>755</v>
      </c>
      <c r="D21" t="s">
        <v>727</v>
      </c>
      <c r="G21">
        <f t="shared" si="0"/>
        <v>32130000000</v>
      </c>
      <c r="H21">
        <v>2409750000</v>
      </c>
      <c r="I21">
        <v>2506140000</v>
      </c>
      <c r="J21">
        <v>2634660000</v>
      </c>
      <c r="K21">
        <v>2666790000</v>
      </c>
      <c r="L21">
        <v>2731050000</v>
      </c>
      <c r="M21">
        <v>2795310000</v>
      </c>
      <c r="N21">
        <v>2827440000</v>
      </c>
      <c r="O21">
        <v>2763180000</v>
      </c>
      <c r="P21">
        <v>2698920000</v>
      </c>
      <c r="Q21">
        <v>2666790000</v>
      </c>
      <c r="R21">
        <v>2634660000</v>
      </c>
      <c r="S21">
        <v>2795310000</v>
      </c>
    </row>
    <row r="22" spans="1:19">
      <c r="A22" t="s">
        <v>23</v>
      </c>
      <c r="B22" t="s">
        <v>20</v>
      </c>
      <c r="C22" t="s">
        <v>756</v>
      </c>
      <c r="D22" t="s">
        <v>729</v>
      </c>
      <c r="G22">
        <f t="shared" si="0"/>
        <v>3780000000</v>
      </c>
      <c r="H22">
        <v>283500000</v>
      </c>
      <c r="I22">
        <v>294840000</v>
      </c>
      <c r="J22">
        <v>309960000</v>
      </c>
      <c r="K22">
        <v>313740000</v>
      </c>
      <c r="L22">
        <v>321300000</v>
      </c>
      <c r="M22">
        <v>328860000</v>
      </c>
      <c r="N22">
        <v>332640000</v>
      </c>
      <c r="O22">
        <v>325080000</v>
      </c>
      <c r="P22">
        <v>317520000</v>
      </c>
      <c r="Q22">
        <v>313740000</v>
      </c>
      <c r="R22">
        <v>309960000</v>
      </c>
      <c r="S22">
        <v>328860000</v>
      </c>
    </row>
    <row r="23" spans="1:19">
      <c r="A23" t="s">
        <v>23</v>
      </c>
      <c r="B23" t="s">
        <v>20</v>
      </c>
      <c r="C23" t="s">
        <v>757</v>
      </c>
      <c r="D23" t="s">
        <v>731</v>
      </c>
      <c r="G23">
        <f t="shared" si="0"/>
        <v>80427857115</v>
      </c>
      <c r="H23">
        <f t="shared" ref="H23:S23" si="4">H24+H25+H26+H27+H28</f>
        <v>6032089285</v>
      </c>
      <c r="I23">
        <f t="shared" si="4"/>
        <v>6273372855</v>
      </c>
      <c r="J23">
        <f t="shared" si="4"/>
        <v>6595084285</v>
      </c>
      <c r="K23">
        <f t="shared" si="4"/>
        <v>6675512140</v>
      </c>
      <c r="L23">
        <f t="shared" si="4"/>
        <v>6836367855</v>
      </c>
      <c r="M23">
        <f t="shared" si="4"/>
        <v>6997223570</v>
      </c>
      <c r="N23">
        <f t="shared" si="4"/>
        <v>7077651425</v>
      </c>
      <c r="O23">
        <f t="shared" si="4"/>
        <v>6916795710</v>
      </c>
      <c r="P23">
        <f t="shared" si="4"/>
        <v>6755939995</v>
      </c>
      <c r="Q23">
        <f t="shared" si="4"/>
        <v>6675512140</v>
      </c>
      <c r="R23">
        <f t="shared" si="4"/>
        <v>6595084285</v>
      </c>
      <c r="S23">
        <f t="shared" si="4"/>
        <v>6997223570</v>
      </c>
    </row>
    <row r="24" spans="1:19">
      <c r="A24" t="s">
        <v>26</v>
      </c>
      <c r="B24" t="s">
        <v>20</v>
      </c>
      <c r="C24" t="s">
        <v>758</v>
      </c>
      <c r="D24" t="s">
        <v>153</v>
      </c>
      <c r="G24">
        <f t="shared" si="0"/>
        <v>16085571423</v>
      </c>
      <c r="H24">
        <v>1206417857</v>
      </c>
      <c r="I24">
        <v>1254674571</v>
      </c>
      <c r="J24">
        <v>1319016857</v>
      </c>
      <c r="K24">
        <v>1335102428</v>
      </c>
      <c r="L24">
        <v>1367273571</v>
      </c>
      <c r="M24">
        <v>1399444714</v>
      </c>
      <c r="N24">
        <v>1415530285</v>
      </c>
      <c r="O24">
        <v>1383359142</v>
      </c>
      <c r="P24">
        <v>1351187999</v>
      </c>
      <c r="Q24">
        <v>1335102428</v>
      </c>
      <c r="R24">
        <v>1319016857</v>
      </c>
      <c r="S24">
        <v>1399444714</v>
      </c>
    </row>
    <row r="25" spans="1:19">
      <c r="A25" t="s">
        <v>26</v>
      </c>
      <c r="B25" t="s">
        <v>20</v>
      </c>
      <c r="C25" t="s">
        <v>759</v>
      </c>
      <c r="D25" t="s">
        <v>734</v>
      </c>
      <c r="G25">
        <f t="shared" si="0"/>
        <v>16085571423</v>
      </c>
      <c r="H25">
        <v>1206417857</v>
      </c>
      <c r="I25">
        <v>1254674571</v>
      </c>
      <c r="J25">
        <v>1319016857</v>
      </c>
      <c r="K25">
        <v>1335102428</v>
      </c>
      <c r="L25">
        <v>1367273571</v>
      </c>
      <c r="M25">
        <v>1399444714</v>
      </c>
      <c r="N25">
        <v>1415530285</v>
      </c>
      <c r="O25">
        <v>1383359142</v>
      </c>
      <c r="P25">
        <v>1351187999</v>
      </c>
      <c r="Q25">
        <v>1335102428</v>
      </c>
      <c r="R25">
        <v>1319016857</v>
      </c>
      <c r="S25">
        <v>1399444714</v>
      </c>
    </row>
    <row r="26" spans="1:19">
      <c r="A26" t="s">
        <v>26</v>
      </c>
      <c r="B26" t="s">
        <v>20</v>
      </c>
      <c r="C26" t="s">
        <v>760</v>
      </c>
      <c r="D26" t="s">
        <v>155</v>
      </c>
      <c r="G26">
        <f t="shared" si="0"/>
        <v>16085571423</v>
      </c>
      <c r="H26">
        <v>1206417857</v>
      </c>
      <c r="I26">
        <v>1254674571</v>
      </c>
      <c r="J26">
        <v>1319016857</v>
      </c>
      <c r="K26">
        <v>1335102428</v>
      </c>
      <c r="L26">
        <v>1367273571</v>
      </c>
      <c r="M26">
        <v>1399444714</v>
      </c>
      <c r="N26">
        <v>1415530285</v>
      </c>
      <c r="O26">
        <v>1383359142</v>
      </c>
      <c r="P26">
        <v>1351187999</v>
      </c>
      <c r="Q26">
        <v>1335102428</v>
      </c>
      <c r="R26">
        <v>1319016857</v>
      </c>
      <c r="S26">
        <v>1399444714</v>
      </c>
    </row>
    <row r="27" spans="1:19">
      <c r="A27" t="s">
        <v>26</v>
      </c>
      <c r="B27" t="s">
        <v>20</v>
      </c>
      <c r="C27" t="s">
        <v>761</v>
      </c>
      <c r="D27" t="s">
        <v>157</v>
      </c>
      <c r="G27">
        <f t="shared" si="0"/>
        <v>16085571423</v>
      </c>
      <c r="H27">
        <v>1206417857</v>
      </c>
      <c r="I27">
        <v>1254674571</v>
      </c>
      <c r="J27">
        <v>1319016857</v>
      </c>
      <c r="K27">
        <v>1335102428</v>
      </c>
      <c r="L27">
        <v>1367273571</v>
      </c>
      <c r="M27">
        <v>1399444714</v>
      </c>
      <c r="N27">
        <v>1415530285</v>
      </c>
      <c r="O27">
        <v>1383359142</v>
      </c>
      <c r="P27">
        <v>1351187999</v>
      </c>
      <c r="Q27">
        <v>1335102428</v>
      </c>
      <c r="R27">
        <v>1319016857</v>
      </c>
      <c r="S27">
        <v>1399444714</v>
      </c>
    </row>
    <row r="28" spans="1:19">
      <c r="A28" t="s">
        <v>26</v>
      </c>
      <c r="B28" t="s">
        <v>20</v>
      </c>
      <c r="C28" t="s">
        <v>762</v>
      </c>
      <c r="D28" t="s">
        <v>738</v>
      </c>
      <c r="G28">
        <f t="shared" si="0"/>
        <v>16085571423</v>
      </c>
      <c r="H28">
        <v>1206417857</v>
      </c>
      <c r="I28">
        <v>1254674571</v>
      </c>
      <c r="J28">
        <v>1319016857</v>
      </c>
      <c r="K28">
        <v>1335102428</v>
      </c>
      <c r="L28">
        <v>1367273571</v>
      </c>
      <c r="M28">
        <v>1399444714</v>
      </c>
      <c r="N28">
        <v>1415530285</v>
      </c>
      <c r="O28">
        <v>1383359142</v>
      </c>
      <c r="P28">
        <v>1351187999</v>
      </c>
      <c r="Q28">
        <v>1335102428</v>
      </c>
      <c r="R28">
        <v>1319016857</v>
      </c>
      <c r="S28">
        <v>1399444714</v>
      </c>
    </row>
    <row r="29" spans="1:19">
      <c r="A29" t="s">
        <v>19</v>
      </c>
      <c r="B29" t="s">
        <v>35</v>
      </c>
      <c r="C29" t="s">
        <v>495</v>
      </c>
      <c r="D29" t="s">
        <v>763</v>
      </c>
      <c r="G29">
        <f t="shared" si="0"/>
        <v>106593428538</v>
      </c>
      <c r="H29">
        <f t="shared" ref="H29:S29" si="5">H30+H31</f>
        <v>7994507142</v>
      </c>
      <c r="I29">
        <f t="shared" si="5"/>
        <v>8314287426</v>
      </c>
      <c r="J29">
        <f t="shared" si="5"/>
        <v>8740661142</v>
      </c>
      <c r="K29">
        <f t="shared" si="5"/>
        <v>8847254568</v>
      </c>
      <c r="L29">
        <f t="shared" si="5"/>
        <v>9060441426</v>
      </c>
      <c r="M29">
        <f t="shared" si="5"/>
        <v>9273628284</v>
      </c>
      <c r="N29">
        <f t="shared" si="5"/>
        <v>9380221710</v>
      </c>
      <c r="O29">
        <f t="shared" si="5"/>
        <v>9167034852</v>
      </c>
      <c r="P29">
        <f t="shared" si="5"/>
        <v>8953847994</v>
      </c>
      <c r="Q29">
        <f t="shared" si="5"/>
        <v>8847254568</v>
      </c>
      <c r="R29">
        <f t="shared" si="5"/>
        <v>8740661142</v>
      </c>
      <c r="S29">
        <f t="shared" si="5"/>
        <v>9273628284</v>
      </c>
    </row>
    <row r="30" spans="1:19">
      <c r="A30" t="s">
        <v>23</v>
      </c>
      <c r="B30" t="s">
        <v>35</v>
      </c>
      <c r="C30" t="s">
        <v>764</v>
      </c>
      <c r="D30" t="s">
        <v>541</v>
      </c>
      <c r="G30">
        <f t="shared" si="0"/>
        <v>10080000000</v>
      </c>
      <c r="H30">
        <v>756000000</v>
      </c>
      <c r="I30">
        <v>786240000</v>
      </c>
      <c r="J30">
        <v>826560000</v>
      </c>
      <c r="K30">
        <v>836640000</v>
      </c>
      <c r="L30">
        <v>856800000</v>
      </c>
      <c r="M30">
        <v>876960000</v>
      </c>
      <c r="N30">
        <v>887040000</v>
      </c>
      <c r="O30">
        <v>866880000</v>
      </c>
      <c r="P30">
        <v>846720000</v>
      </c>
      <c r="Q30">
        <v>836640000</v>
      </c>
      <c r="R30">
        <v>826560000</v>
      </c>
      <c r="S30">
        <v>876960000</v>
      </c>
    </row>
    <row r="31" spans="1:19">
      <c r="A31" t="s">
        <v>23</v>
      </c>
      <c r="B31" t="s">
        <v>35</v>
      </c>
      <c r="C31" t="s">
        <v>765</v>
      </c>
      <c r="D31" t="s">
        <v>743</v>
      </c>
      <c r="G31">
        <f t="shared" si="0"/>
        <v>96513428538</v>
      </c>
      <c r="H31">
        <f t="shared" ref="H31:S31" si="6">H32+H33+H34+H35+H36+H37</f>
        <v>7238507142</v>
      </c>
      <c r="I31">
        <f t="shared" si="6"/>
        <v>7528047426</v>
      </c>
      <c r="J31">
        <f t="shared" si="6"/>
        <v>7914101142</v>
      </c>
      <c r="K31">
        <f t="shared" si="6"/>
        <v>8010614568</v>
      </c>
      <c r="L31">
        <f t="shared" si="6"/>
        <v>8203641426</v>
      </c>
      <c r="M31">
        <f t="shared" si="6"/>
        <v>8396668284</v>
      </c>
      <c r="N31">
        <f t="shared" si="6"/>
        <v>8493181710</v>
      </c>
      <c r="O31">
        <f t="shared" si="6"/>
        <v>8300154852</v>
      </c>
      <c r="P31">
        <f t="shared" si="6"/>
        <v>8107127994</v>
      </c>
      <c r="Q31">
        <f t="shared" si="6"/>
        <v>8010614568</v>
      </c>
      <c r="R31">
        <f t="shared" si="6"/>
        <v>7914101142</v>
      </c>
      <c r="S31">
        <f t="shared" si="6"/>
        <v>8396668284</v>
      </c>
    </row>
    <row r="32" spans="1:19">
      <c r="A32" t="s">
        <v>26</v>
      </c>
      <c r="B32" t="s">
        <v>35</v>
      </c>
      <c r="C32" t="s">
        <v>766</v>
      </c>
      <c r="D32" t="s">
        <v>745</v>
      </c>
      <c r="G32">
        <f t="shared" si="0"/>
        <v>16085571423</v>
      </c>
      <c r="H32">
        <v>1206417857</v>
      </c>
      <c r="I32">
        <v>1254674571</v>
      </c>
      <c r="J32">
        <v>1319016857</v>
      </c>
      <c r="K32">
        <v>1335102428</v>
      </c>
      <c r="L32">
        <v>1367273571</v>
      </c>
      <c r="M32">
        <v>1399444714</v>
      </c>
      <c r="N32">
        <v>1415530285</v>
      </c>
      <c r="O32">
        <v>1383359142</v>
      </c>
      <c r="P32">
        <v>1351187999</v>
      </c>
      <c r="Q32">
        <v>1335102428</v>
      </c>
      <c r="R32">
        <v>1319016857</v>
      </c>
      <c r="S32">
        <v>1399444714</v>
      </c>
    </row>
    <row r="33" spans="1:19">
      <c r="A33" t="s">
        <v>26</v>
      </c>
      <c r="B33" t="s">
        <v>35</v>
      </c>
      <c r="C33" t="s">
        <v>767</v>
      </c>
      <c r="D33" t="s">
        <v>168</v>
      </c>
      <c r="G33">
        <f t="shared" si="0"/>
        <v>16085571423</v>
      </c>
      <c r="H33">
        <v>1206417857</v>
      </c>
      <c r="I33">
        <v>1254674571</v>
      </c>
      <c r="J33">
        <v>1319016857</v>
      </c>
      <c r="K33">
        <v>1335102428</v>
      </c>
      <c r="L33">
        <v>1367273571</v>
      </c>
      <c r="M33">
        <v>1399444714</v>
      </c>
      <c r="N33">
        <v>1415530285</v>
      </c>
      <c r="O33">
        <v>1383359142</v>
      </c>
      <c r="P33">
        <v>1351187999</v>
      </c>
      <c r="Q33">
        <v>1335102428</v>
      </c>
      <c r="R33">
        <v>1319016857</v>
      </c>
      <c r="S33">
        <v>1399444714</v>
      </c>
    </row>
    <row r="34" spans="1:19">
      <c r="A34" t="s">
        <v>26</v>
      </c>
      <c r="B34" t="s">
        <v>35</v>
      </c>
      <c r="C34" t="s">
        <v>768</v>
      </c>
      <c r="D34" t="s">
        <v>748</v>
      </c>
      <c r="G34">
        <f t="shared" si="0"/>
        <v>16085571423</v>
      </c>
      <c r="H34">
        <v>1206417857</v>
      </c>
      <c r="I34">
        <v>1254674571</v>
      </c>
      <c r="J34">
        <v>1319016857</v>
      </c>
      <c r="K34">
        <v>1335102428</v>
      </c>
      <c r="L34">
        <v>1367273571</v>
      </c>
      <c r="M34">
        <v>1399444714</v>
      </c>
      <c r="N34">
        <v>1415530285</v>
      </c>
      <c r="O34">
        <v>1383359142</v>
      </c>
      <c r="P34">
        <v>1351187999</v>
      </c>
      <c r="Q34">
        <v>1335102428</v>
      </c>
      <c r="R34">
        <v>1319016857</v>
      </c>
      <c r="S34">
        <v>1399444714</v>
      </c>
    </row>
    <row r="35" spans="1:19">
      <c r="A35" t="s">
        <v>26</v>
      </c>
      <c r="B35" t="s">
        <v>35</v>
      </c>
      <c r="C35" t="s">
        <v>769</v>
      </c>
      <c r="D35" t="s">
        <v>750</v>
      </c>
      <c r="G35">
        <f t="shared" si="0"/>
        <v>16085571423</v>
      </c>
      <c r="H35">
        <v>1206417857</v>
      </c>
      <c r="I35">
        <v>1254674571</v>
      </c>
      <c r="J35">
        <v>1319016857</v>
      </c>
      <c r="K35">
        <v>1335102428</v>
      </c>
      <c r="L35">
        <v>1367273571</v>
      </c>
      <c r="M35">
        <v>1399444714</v>
      </c>
      <c r="N35">
        <v>1415530285</v>
      </c>
      <c r="O35">
        <v>1383359142</v>
      </c>
      <c r="P35">
        <v>1351187999</v>
      </c>
      <c r="Q35">
        <v>1335102428</v>
      </c>
      <c r="R35">
        <v>1319016857</v>
      </c>
      <c r="S35">
        <v>1399444714</v>
      </c>
    </row>
    <row r="36" spans="1:19">
      <c r="A36" t="s">
        <v>26</v>
      </c>
      <c r="B36" t="s">
        <v>35</v>
      </c>
      <c r="C36" t="s">
        <v>770</v>
      </c>
      <c r="D36" t="s">
        <v>170</v>
      </c>
      <c r="G36">
        <f t="shared" si="0"/>
        <v>16085571423</v>
      </c>
      <c r="H36">
        <v>1206417857</v>
      </c>
      <c r="I36">
        <v>1254674571</v>
      </c>
      <c r="J36">
        <v>1319016857</v>
      </c>
      <c r="K36">
        <v>1335102428</v>
      </c>
      <c r="L36">
        <v>1367273571</v>
      </c>
      <c r="M36">
        <v>1399444714</v>
      </c>
      <c r="N36">
        <v>1415530285</v>
      </c>
      <c r="O36">
        <v>1383359142</v>
      </c>
      <c r="P36">
        <v>1351187999</v>
      </c>
      <c r="Q36">
        <v>1335102428</v>
      </c>
      <c r="R36">
        <v>1319016857</v>
      </c>
      <c r="S36">
        <v>1399444714</v>
      </c>
    </row>
    <row r="37" spans="1:19">
      <c r="A37" t="s">
        <v>26</v>
      </c>
      <c r="B37" t="s">
        <v>35</v>
      </c>
      <c r="C37" t="s">
        <v>771</v>
      </c>
      <c r="D37" t="s">
        <v>753</v>
      </c>
      <c r="G37">
        <f t="shared" si="0"/>
        <v>16085571423</v>
      </c>
      <c r="H37">
        <v>1206417857</v>
      </c>
      <c r="I37">
        <v>1254674571</v>
      </c>
      <c r="J37">
        <v>1319016857</v>
      </c>
      <c r="K37">
        <v>1335102428</v>
      </c>
      <c r="L37">
        <v>1367273571</v>
      </c>
      <c r="M37">
        <v>1399444714</v>
      </c>
      <c r="N37">
        <v>1415530285</v>
      </c>
      <c r="O37">
        <v>1383359142</v>
      </c>
      <c r="P37">
        <v>1351187999</v>
      </c>
      <c r="Q37">
        <v>1335102428</v>
      </c>
      <c r="R37">
        <v>1319016857</v>
      </c>
      <c r="S37">
        <v>1399444714</v>
      </c>
    </row>
    <row r="38" spans="1:19">
      <c r="A38" t="s">
        <v>19</v>
      </c>
      <c r="B38" t="s">
        <v>179</v>
      </c>
      <c r="C38" t="s">
        <v>772</v>
      </c>
      <c r="D38" t="s">
        <v>773</v>
      </c>
      <c r="G38">
        <f t="shared" si="0"/>
        <v>1286845714208</v>
      </c>
      <c r="H38">
        <f t="shared" ref="H38:S38" si="7">H39+H40+H41+H42+H43+H44+H45+H46</f>
        <v>96513428568</v>
      </c>
      <c r="I38">
        <f t="shared" si="7"/>
        <v>100373965704</v>
      </c>
      <c r="J38">
        <f t="shared" si="7"/>
        <v>105521348568</v>
      </c>
      <c r="K38">
        <f t="shared" si="7"/>
        <v>106808194280</v>
      </c>
      <c r="L38">
        <f t="shared" si="7"/>
        <v>109381885704</v>
      </c>
      <c r="M38">
        <f t="shared" si="7"/>
        <v>111955577136</v>
      </c>
      <c r="N38">
        <f t="shared" si="7"/>
        <v>113242422848</v>
      </c>
      <c r="O38">
        <f t="shared" si="7"/>
        <v>110668731424</v>
      </c>
      <c r="P38">
        <f t="shared" si="7"/>
        <v>108095039992</v>
      </c>
      <c r="Q38">
        <f t="shared" si="7"/>
        <v>106808194280</v>
      </c>
      <c r="R38">
        <f t="shared" si="7"/>
        <v>105521348568</v>
      </c>
      <c r="S38">
        <f t="shared" si="7"/>
        <v>111955577136</v>
      </c>
    </row>
    <row r="39" spans="1:19">
      <c r="A39" t="s">
        <v>23</v>
      </c>
      <c r="B39" t="s">
        <v>179</v>
      </c>
      <c r="C39" t="s">
        <v>774</v>
      </c>
      <c r="D39" t="s">
        <v>727</v>
      </c>
      <c r="G39">
        <f t="shared" si="0"/>
        <v>160855714276</v>
      </c>
      <c r="H39">
        <v>12064178571</v>
      </c>
      <c r="I39">
        <v>12546745713</v>
      </c>
      <c r="J39">
        <v>13190168571</v>
      </c>
      <c r="K39">
        <v>13351024285</v>
      </c>
      <c r="L39">
        <v>13672735713</v>
      </c>
      <c r="M39">
        <v>13994447142</v>
      </c>
      <c r="N39">
        <v>14155302856</v>
      </c>
      <c r="O39">
        <v>13833591428</v>
      </c>
      <c r="P39">
        <v>13511879999</v>
      </c>
      <c r="Q39">
        <v>13351024285</v>
      </c>
      <c r="R39">
        <v>13190168571</v>
      </c>
      <c r="S39">
        <v>13994447142</v>
      </c>
    </row>
    <row r="40" spans="1:19">
      <c r="A40" t="s">
        <v>23</v>
      </c>
      <c r="B40" t="s">
        <v>179</v>
      </c>
      <c r="C40" t="s">
        <v>775</v>
      </c>
      <c r="D40" t="s">
        <v>729</v>
      </c>
      <c r="G40">
        <f t="shared" si="0"/>
        <v>160855714276</v>
      </c>
      <c r="H40">
        <v>12064178571</v>
      </c>
      <c r="I40">
        <v>12546745713</v>
      </c>
      <c r="J40">
        <v>13190168571</v>
      </c>
      <c r="K40">
        <v>13351024285</v>
      </c>
      <c r="L40">
        <v>13672735713</v>
      </c>
      <c r="M40">
        <v>13994447142</v>
      </c>
      <c r="N40">
        <v>14155302856</v>
      </c>
      <c r="O40">
        <v>13833591428</v>
      </c>
      <c r="P40">
        <v>13511879999</v>
      </c>
      <c r="Q40">
        <v>13351024285</v>
      </c>
      <c r="R40">
        <v>13190168571</v>
      </c>
      <c r="S40">
        <v>13994447142</v>
      </c>
    </row>
    <row r="41" spans="1:19">
      <c r="A41" t="s">
        <v>23</v>
      </c>
      <c r="B41" t="s">
        <v>179</v>
      </c>
      <c r="C41" t="s">
        <v>776</v>
      </c>
      <c r="D41" t="s">
        <v>731</v>
      </c>
      <c r="G41">
        <f t="shared" si="0"/>
        <v>160855714276</v>
      </c>
      <c r="H41">
        <v>12064178571</v>
      </c>
      <c r="I41">
        <v>12546745713</v>
      </c>
      <c r="J41">
        <v>13190168571</v>
      </c>
      <c r="K41">
        <v>13351024285</v>
      </c>
      <c r="L41">
        <v>13672735713</v>
      </c>
      <c r="M41">
        <v>13994447142</v>
      </c>
      <c r="N41">
        <v>14155302856</v>
      </c>
      <c r="O41">
        <v>13833591428</v>
      </c>
      <c r="P41">
        <v>13511879999</v>
      </c>
      <c r="Q41">
        <v>13351024285</v>
      </c>
      <c r="R41">
        <v>13190168571</v>
      </c>
      <c r="S41">
        <v>13994447142</v>
      </c>
    </row>
    <row r="42" spans="1:19">
      <c r="A42" t="s">
        <v>23</v>
      </c>
      <c r="B42" t="s">
        <v>179</v>
      </c>
      <c r="C42" t="s">
        <v>777</v>
      </c>
      <c r="D42" t="s">
        <v>153</v>
      </c>
      <c r="G42">
        <f t="shared" si="0"/>
        <v>160855714276</v>
      </c>
      <c r="H42">
        <v>12064178571</v>
      </c>
      <c r="I42">
        <v>12546745713</v>
      </c>
      <c r="J42">
        <v>13190168571</v>
      </c>
      <c r="K42">
        <v>13351024285</v>
      </c>
      <c r="L42">
        <v>13672735713</v>
      </c>
      <c r="M42">
        <v>13994447142</v>
      </c>
      <c r="N42">
        <v>14155302856</v>
      </c>
      <c r="O42">
        <v>13833591428</v>
      </c>
      <c r="P42">
        <v>13511879999</v>
      </c>
      <c r="Q42">
        <v>13351024285</v>
      </c>
      <c r="R42">
        <v>13190168571</v>
      </c>
      <c r="S42">
        <v>13994447142</v>
      </c>
    </row>
    <row r="43" spans="1:19">
      <c r="A43" t="s">
        <v>23</v>
      </c>
      <c r="B43" t="s">
        <v>179</v>
      </c>
      <c r="C43" t="s">
        <v>778</v>
      </c>
      <c r="D43" t="s">
        <v>734</v>
      </c>
      <c r="G43">
        <f t="shared" si="0"/>
        <v>160855714276</v>
      </c>
      <c r="H43">
        <v>12064178571</v>
      </c>
      <c r="I43">
        <v>12546745713</v>
      </c>
      <c r="J43">
        <v>13190168571</v>
      </c>
      <c r="K43">
        <v>13351024285</v>
      </c>
      <c r="L43">
        <v>13672735713</v>
      </c>
      <c r="M43">
        <v>13994447142</v>
      </c>
      <c r="N43">
        <v>14155302856</v>
      </c>
      <c r="O43">
        <v>13833591428</v>
      </c>
      <c r="P43">
        <v>13511879999</v>
      </c>
      <c r="Q43">
        <v>13351024285</v>
      </c>
      <c r="R43">
        <v>13190168571</v>
      </c>
      <c r="S43">
        <v>13994447142</v>
      </c>
    </row>
    <row r="44" spans="1:19">
      <c r="A44" t="s">
        <v>23</v>
      </c>
      <c r="B44" t="s">
        <v>179</v>
      </c>
      <c r="C44" t="s">
        <v>779</v>
      </c>
      <c r="D44" t="s">
        <v>155</v>
      </c>
      <c r="G44">
        <f t="shared" si="0"/>
        <v>160855714276</v>
      </c>
      <c r="H44">
        <v>12064178571</v>
      </c>
      <c r="I44">
        <v>12546745713</v>
      </c>
      <c r="J44">
        <v>13190168571</v>
      </c>
      <c r="K44">
        <v>13351024285</v>
      </c>
      <c r="L44">
        <v>13672735713</v>
      </c>
      <c r="M44">
        <v>13994447142</v>
      </c>
      <c r="N44">
        <v>14155302856</v>
      </c>
      <c r="O44">
        <v>13833591428</v>
      </c>
      <c r="P44">
        <v>13511879999</v>
      </c>
      <c r="Q44">
        <v>13351024285</v>
      </c>
      <c r="R44">
        <v>13190168571</v>
      </c>
      <c r="S44">
        <v>13994447142</v>
      </c>
    </row>
    <row r="45" spans="1:19">
      <c r="A45" t="s">
        <v>23</v>
      </c>
      <c r="B45" t="s">
        <v>179</v>
      </c>
      <c r="C45" t="s">
        <v>780</v>
      </c>
      <c r="D45" t="s">
        <v>157</v>
      </c>
      <c r="G45">
        <f t="shared" si="0"/>
        <v>160855714276</v>
      </c>
      <c r="H45">
        <v>12064178571</v>
      </c>
      <c r="I45">
        <v>12546745713</v>
      </c>
      <c r="J45">
        <v>13190168571</v>
      </c>
      <c r="K45">
        <v>13351024285</v>
      </c>
      <c r="L45">
        <v>13672735713</v>
      </c>
      <c r="M45">
        <v>13994447142</v>
      </c>
      <c r="N45">
        <v>14155302856</v>
      </c>
      <c r="O45">
        <v>13833591428</v>
      </c>
      <c r="P45">
        <v>13511879999</v>
      </c>
      <c r="Q45">
        <v>13351024285</v>
      </c>
      <c r="R45">
        <v>13190168571</v>
      </c>
      <c r="S45">
        <v>13994447142</v>
      </c>
    </row>
    <row r="46" spans="1:19">
      <c r="A46" t="s">
        <v>23</v>
      </c>
      <c r="B46" t="s">
        <v>179</v>
      </c>
      <c r="C46" t="s">
        <v>781</v>
      </c>
      <c r="D46" t="s">
        <v>738</v>
      </c>
      <c r="G46">
        <f t="shared" si="0"/>
        <v>160855714276</v>
      </c>
      <c r="H46">
        <v>12064178571</v>
      </c>
      <c r="I46">
        <v>12546745713</v>
      </c>
      <c r="J46">
        <v>13190168571</v>
      </c>
      <c r="K46">
        <v>13351024285</v>
      </c>
      <c r="L46">
        <v>13672735713</v>
      </c>
      <c r="M46">
        <v>13994447142</v>
      </c>
      <c r="N46">
        <v>14155302856</v>
      </c>
      <c r="O46">
        <v>13833591428</v>
      </c>
      <c r="P46">
        <v>13511879999</v>
      </c>
      <c r="Q46">
        <v>13351024285</v>
      </c>
      <c r="R46">
        <v>13190168571</v>
      </c>
      <c r="S46">
        <v>13994447142</v>
      </c>
    </row>
    <row r="47" spans="1:19">
      <c r="A47" t="s">
        <v>19</v>
      </c>
      <c r="B47" t="s">
        <v>179</v>
      </c>
      <c r="C47" t="s">
        <v>782</v>
      </c>
      <c r="D47" t="s">
        <v>783</v>
      </c>
      <c r="G47">
        <f t="shared" si="0"/>
        <v>1286845714208</v>
      </c>
      <c r="H47">
        <f t="shared" ref="H47:S47" si="8">H48+H49+H50+H51+H52+H53+H54+H55</f>
        <v>96513428568</v>
      </c>
      <c r="I47">
        <f t="shared" si="8"/>
        <v>100373965704</v>
      </c>
      <c r="J47">
        <f t="shared" si="8"/>
        <v>105521348568</v>
      </c>
      <c r="K47">
        <f t="shared" si="8"/>
        <v>106808194280</v>
      </c>
      <c r="L47">
        <f t="shared" si="8"/>
        <v>109381885704</v>
      </c>
      <c r="M47">
        <f t="shared" si="8"/>
        <v>111955577136</v>
      </c>
      <c r="N47">
        <f t="shared" si="8"/>
        <v>113242422848</v>
      </c>
      <c r="O47">
        <f t="shared" si="8"/>
        <v>110668731424</v>
      </c>
      <c r="P47">
        <f t="shared" si="8"/>
        <v>108095039992</v>
      </c>
      <c r="Q47">
        <f t="shared" si="8"/>
        <v>106808194280</v>
      </c>
      <c r="R47">
        <f t="shared" si="8"/>
        <v>105521348568</v>
      </c>
      <c r="S47">
        <f t="shared" si="8"/>
        <v>111955577136</v>
      </c>
    </row>
    <row r="48" spans="1:19">
      <c r="A48" t="s">
        <v>23</v>
      </c>
      <c r="B48" t="s">
        <v>179</v>
      </c>
      <c r="C48" t="s">
        <v>784</v>
      </c>
      <c r="D48" t="s">
        <v>541</v>
      </c>
      <c r="G48">
        <f t="shared" si="0"/>
        <v>160855714276</v>
      </c>
      <c r="H48">
        <v>12064178571</v>
      </c>
      <c r="I48">
        <v>12546745713</v>
      </c>
      <c r="J48">
        <v>13190168571</v>
      </c>
      <c r="K48">
        <v>13351024285</v>
      </c>
      <c r="L48">
        <v>13672735713</v>
      </c>
      <c r="M48">
        <v>13994447142</v>
      </c>
      <c r="N48">
        <v>14155302856</v>
      </c>
      <c r="O48">
        <v>13833591428</v>
      </c>
      <c r="P48">
        <v>13511879999</v>
      </c>
      <c r="Q48">
        <v>13351024285</v>
      </c>
      <c r="R48">
        <v>13190168571</v>
      </c>
      <c r="S48">
        <v>13994447142</v>
      </c>
    </row>
    <row r="49" spans="1:19">
      <c r="A49" t="s">
        <v>23</v>
      </c>
      <c r="B49" t="s">
        <v>179</v>
      </c>
      <c r="C49" t="s">
        <v>785</v>
      </c>
      <c r="D49" t="s">
        <v>743</v>
      </c>
      <c r="G49">
        <f t="shared" si="0"/>
        <v>160855714276</v>
      </c>
      <c r="H49">
        <v>12064178571</v>
      </c>
      <c r="I49">
        <v>12546745713</v>
      </c>
      <c r="J49">
        <v>13190168571</v>
      </c>
      <c r="K49">
        <v>13351024285</v>
      </c>
      <c r="L49">
        <v>13672735713</v>
      </c>
      <c r="M49">
        <v>13994447142</v>
      </c>
      <c r="N49">
        <v>14155302856</v>
      </c>
      <c r="O49">
        <v>13833591428</v>
      </c>
      <c r="P49">
        <v>13511879999</v>
      </c>
      <c r="Q49">
        <v>13351024285</v>
      </c>
      <c r="R49">
        <v>13190168571</v>
      </c>
      <c r="S49">
        <v>13994447142</v>
      </c>
    </row>
    <row r="50" spans="1:19">
      <c r="A50" t="s">
        <v>23</v>
      </c>
      <c r="B50" t="s">
        <v>179</v>
      </c>
      <c r="C50" t="s">
        <v>786</v>
      </c>
      <c r="D50" t="s">
        <v>745</v>
      </c>
      <c r="G50">
        <f t="shared" si="0"/>
        <v>160855714276</v>
      </c>
      <c r="H50">
        <v>12064178571</v>
      </c>
      <c r="I50">
        <v>12546745713</v>
      </c>
      <c r="J50">
        <v>13190168571</v>
      </c>
      <c r="K50">
        <v>13351024285</v>
      </c>
      <c r="L50">
        <v>13672735713</v>
      </c>
      <c r="M50">
        <v>13994447142</v>
      </c>
      <c r="N50">
        <v>14155302856</v>
      </c>
      <c r="O50">
        <v>13833591428</v>
      </c>
      <c r="P50">
        <v>13511879999</v>
      </c>
      <c r="Q50">
        <v>13351024285</v>
      </c>
      <c r="R50">
        <v>13190168571</v>
      </c>
      <c r="S50">
        <v>13994447142</v>
      </c>
    </row>
    <row r="51" spans="1:19">
      <c r="A51" t="s">
        <v>23</v>
      </c>
      <c r="B51" t="s">
        <v>179</v>
      </c>
      <c r="C51" t="s">
        <v>787</v>
      </c>
      <c r="D51" t="s">
        <v>168</v>
      </c>
      <c r="G51">
        <f t="shared" si="0"/>
        <v>160855714276</v>
      </c>
      <c r="H51">
        <v>12064178571</v>
      </c>
      <c r="I51">
        <v>12546745713</v>
      </c>
      <c r="J51">
        <v>13190168571</v>
      </c>
      <c r="K51">
        <v>13351024285</v>
      </c>
      <c r="L51">
        <v>13672735713</v>
      </c>
      <c r="M51">
        <v>13994447142</v>
      </c>
      <c r="N51">
        <v>14155302856</v>
      </c>
      <c r="O51">
        <v>13833591428</v>
      </c>
      <c r="P51">
        <v>13511879999</v>
      </c>
      <c r="Q51">
        <v>13351024285</v>
      </c>
      <c r="R51">
        <v>13190168571</v>
      </c>
      <c r="S51">
        <v>13994447142</v>
      </c>
    </row>
    <row r="52" spans="1:19">
      <c r="A52" t="s">
        <v>23</v>
      </c>
      <c r="B52" t="s">
        <v>179</v>
      </c>
      <c r="C52" t="s">
        <v>788</v>
      </c>
      <c r="D52" t="s">
        <v>748</v>
      </c>
      <c r="G52">
        <f t="shared" si="0"/>
        <v>160855714276</v>
      </c>
      <c r="H52">
        <v>12064178571</v>
      </c>
      <c r="I52">
        <v>12546745713</v>
      </c>
      <c r="J52">
        <v>13190168571</v>
      </c>
      <c r="K52">
        <v>13351024285</v>
      </c>
      <c r="L52">
        <v>13672735713</v>
      </c>
      <c r="M52">
        <v>13994447142</v>
      </c>
      <c r="N52">
        <v>14155302856</v>
      </c>
      <c r="O52">
        <v>13833591428</v>
      </c>
      <c r="P52">
        <v>13511879999</v>
      </c>
      <c r="Q52">
        <v>13351024285</v>
      </c>
      <c r="R52">
        <v>13190168571</v>
      </c>
      <c r="S52">
        <v>13994447142</v>
      </c>
    </row>
    <row r="53" spans="1:19">
      <c r="A53" t="s">
        <v>23</v>
      </c>
      <c r="B53" t="s">
        <v>179</v>
      </c>
      <c r="C53" t="s">
        <v>789</v>
      </c>
      <c r="D53" t="s">
        <v>750</v>
      </c>
      <c r="G53">
        <f t="shared" si="0"/>
        <v>160855714276</v>
      </c>
      <c r="H53">
        <v>12064178571</v>
      </c>
      <c r="I53">
        <v>12546745713</v>
      </c>
      <c r="J53">
        <v>13190168571</v>
      </c>
      <c r="K53">
        <v>13351024285</v>
      </c>
      <c r="L53">
        <v>13672735713</v>
      </c>
      <c r="M53">
        <v>13994447142</v>
      </c>
      <c r="N53">
        <v>14155302856</v>
      </c>
      <c r="O53">
        <v>13833591428</v>
      </c>
      <c r="P53">
        <v>13511879999</v>
      </c>
      <c r="Q53">
        <v>13351024285</v>
      </c>
      <c r="R53">
        <v>13190168571</v>
      </c>
      <c r="S53">
        <v>13994447142</v>
      </c>
    </row>
    <row r="54" spans="1:19">
      <c r="A54" t="s">
        <v>23</v>
      </c>
      <c r="B54" t="s">
        <v>179</v>
      </c>
      <c r="C54" t="s">
        <v>790</v>
      </c>
      <c r="D54" t="s">
        <v>170</v>
      </c>
      <c r="G54">
        <f t="shared" si="0"/>
        <v>160855714276</v>
      </c>
      <c r="H54">
        <v>12064178571</v>
      </c>
      <c r="I54">
        <v>12546745713</v>
      </c>
      <c r="J54">
        <v>13190168571</v>
      </c>
      <c r="K54">
        <v>13351024285</v>
      </c>
      <c r="L54">
        <v>13672735713</v>
      </c>
      <c r="M54">
        <v>13994447142</v>
      </c>
      <c r="N54">
        <v>14155302856</v>
      </c>
      <c r="O54">
        <v>13833591428</v>
      </c>
      <c r="P54">
        <v>13511879999</v>
      </c>
      <c r="Q54">
        <v>13351024285</v>
      </c>
      <c r="R54">
        <v>13190168571</v>
      </c>
      <c r="S54">
        <v>13994447142</v>
      </c>
    </row>
    <row r="55" spans="1:19">
      <c r="A55" t="s">
        <v>23</v>
      </c>
      <c r="B55" t="s">
        <v>179</v>
      </c>
      <c r="C55" t="s">
        <v>791</v>
      </c>
      <c r="D55" t="s">
        <v>753</v>
      </c>
      <c r="G55">
        <f t="shared" si="0"/>
        <v>160855714276</v>
      </c>
      <c r="H55">
        <v>12064178571</v>
      </c>
      <c r="I55">
        <v>12546745713</v>
      </c>
      <c r="J55">
        <v>13190168571</v>
      </c>
      <c r="K55">
        <v>13351024285</v>
      </c>
      <c r="L55">
        <v>13672735713</v>
      </c>
      <c r="M55">
        <v>13994447142</v>
      </c>
      <c r="N55">
        <v>14155302856</v>
      </c>
      <c r="O55">
        <v>13833591428</v>
      </c>
      <c r="P55">
        <v>13511879999</v>
      </c>
      <c r="Q55">
        <v>13351024285</v>
      </c>
      <c r="R55">
        <v>13190168571</v>
      </c>
      <c r="S55">
        <v>13994447142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792</v>
      </c>
      <c r="D2" t="s">
        <v>22</v>
      </c>
      <c r="G2">
        <f t="shared" ref="G2:G65" si="0">H2+I2+J2+K2+L2+M2+N2+O2+P2+Q2+R2+S2</f>
        <v>166119748756</v>
      </c>
      <c r="H2">
        <f t="shared" ref="H2:S2" si="1">H3+H10+H13</f>
        <v>11932954586</v>
      </c>
      <c r="I2">
        <f t="shared" si="1"/>
        <v>11526855568</v>
      </c>
      <c r="J2">
        <f t="shared" si="1"/>
        <v>13212809660</v>
      </c>
      <c r="K2">
        <f t="shared" si="1"/>
        <v>13483232298</v>
      </c>
      <c r="L2">
        <f t="shared" si="1"/>
        <v>13815662582</v>
      </c>
      <c r="M2">
        <f t="shared" si="1"/>
        <v>14252300082</v>
      </c>
      <c r="N2">
        <f t="shared" si="1"/>
        <v>14626930240</v>
      </c>
      <c r="O2">
        <f t="shared" si="1"/>
        <v>14398707534</v>
      </c>
      <c r="P2">
        <f t="shared" si="1"/>
        <v>14066277480</v>
      </c>
      <c r="Q2">
        <f t="shared" si="1"/>
        <v>14837930036</v>
      </c>
      <c r="R2">
        <f t="shared" si="1"/>
        <v>14671713944</v>
      </c>
      <c r="S2">
        <f t="shared" si="1"/>
        <v>15294374746</v>
      </c>
    </row>
    <row r="3" spans="1:19">
      <c r="A3" t="s">
        <v>23</v>
      </c>
      <c r="B3" t="s">
        <v>20</v>
      </c>
      <c r="C3" t="s">
        <v>793</v>
      </c>
      <c r="D3" t="s">
        <v>25</v>
      </c>
      <c r="G3">
        <f t="shared" si="0"/>
        <v>15101795240</v>
      </c>
      <c r="H3">
        <f t="shared" ref="H3:S3" si="2">H4+H7</f>
        <v>1084814046</v>
      </c>
      <c r="I3">
        <f t="shared" si="2"/>
        <v>1047895952</v>
      </c>
      <c r="J3">
        <f t="shared" si="2"/>
        <v>1201164510</v>
      </c>
      <c r="K3">
        <f t="shared" si="2"/>
        <v>1225748382</v>
      </c>
      <c r="L3">
        <f t="shared" si="2"/>
        <v>1255969316</v>
      </c>
      <c r="M3">
        <f t="shared" si="2"/>
        <v>1295663636</v>
      </c>
      <c r="N3">
        <f t="shared" si="2"/>
        <v>1329720922</v>
      </c>
      <c r="O3">
        <f t="shared" si="2"/>
        <v>1308973404</v>
      </c>
      <c r="P3">
        <f t="shared" si="2"/>
        <v>1278752488</v>
      </c>
      <c r="Q3">
        <f t="shared" si="2"/>
        <v>1348902720</v>
      </c>
      <c r="R3">
        <f t="shared" si="2"/>
        <v>1333792168</v>
      </c>
      <c r="S3">
        <f t="shared" si="2"/>
        <v>1390397696</v>
      </c>
    </row>
    <row r="4" spans="1:19">
      <c r="A4" t="s">
        <v>26</v>
      </c>
      <c r="B4" t="s">
        <v>20</v>
      </c>
      <c r="C4" t="s">
        <v>794</v>
      </c>
      <c r="D4" t="s">
        <v>28</v>
      </c>
      <c r="G4">
        <f t="shared" si="0"/>
        <v>7550897620</v>
      </c>
      <c r="H4">
        <f>A01泛微粒贷业务状况表!H4+A02微账户业务状况表!H4+A03汽车金融业务状况表!H4+A04财富业务状况表!H4+A05小鹅业务状况表!H4</f>
        <v>542407023</v>
      </c>
      <c r="I4">
        <f>A01泛微粒贷业务状况表!I4+A02微账户业务状况表!I4+A03汽车金融业务状况表!I4+A04财富业务状况表!I4+A05小鹅业务状况表!I4</f>
        <v>523947976</v>
      </c>
      <c r="J4">
        <f>A01泛微粒贷业务状况表!J4+A02微账户业务状况表!J4+A03汽车金融业务状况表!J4+A04财富业务状况表!J4+A05小鹅业务状况表!J4</f>
        <v>600582255</v>
      </c>
      <c r="K4">
        <f>A01泛微粒贷业务状况表!K4+A02微账户业务状况表!K4+A03汽车金融业务状况表!K4+A04财富业务状况表!K4+A05小鹅业务状况表!K4</f>
        <v>612874191</v>
      </c>
      <c r="L4">
        <f>A01泛微粒贷业务状况表!L4+A02微账户业务状况表!L4+A03汽车金融业务状况表!L4+A04财富业务状况表!L4+A05小鹅业务状况表!L4</f>
        <v>627984658</v>
      </c>
      <c r="M4">
        <f>A01泛微粒贷业务状况表!M4+A02微账户业务状况表!M4+A03汽车金融业务状况表!M4+A04财富业务状况表!M4+A05小鹅业务状况表!M4</f>
        <v>647831818</v>
      </c>
      <c r="N4">
        <f>A01泛微粒贷业务状况表!N4+A02微账户业务状况表!N4+A03汽车金融业务状况表!N4+A04财富业务状况表!N4+A05小鹅业务状况表!N4</f>
        <v>664860461</v>
      </c>
      <c r="O4">
        <f>A01泛微粒贷业务状况表!O4+A02微账户业务状况表!O4+A03汽车金融业务状况表!O4+A04财富业务状况表!O4+A05小鹅业务状况表!O4</f>
        <v>654486702</v>
      </c>
      <c r="P4">
        <f>A01泛微粒贷业务状况表!P4+A02微账户业务状况表!P4+A03汽车金融业务状况表!P4+A04财富业务状况表!P4+A05小鹅业务状况表!P4</f>
        <v>639376244</v>
      </c>
      <c r="Q4">
        <f>A01泛微粒贷业务状况表!Q4+A02微账户业务状况表!Q4+A03汽车金融业务状况表!Q4+A04财富业务状况表!Q4+A05小鹅业务状况表!Q4</f>
        <v>674451360</v>
      </c>
      <c r="R4">
        <f>A01泛微粒贷业务状况表!R4+A02微账户业务状况表!R4+A03汽车金融业务状况表!R4+A04财富业务状况表!R4+A05小鹅业务状况表!R4</f>
        <v>666896084</v>
      </c>
      <c r="S4">
        <f>A01泛微粒贷业务状况表!S4+A02微账户业务状况表!S4+A03汽车金融业务状况表!S4+A04财富业务状况表!S4+A05小鹅业务状况表!S4</f>
        <v>695198848</v>
      </c>
    </row>
    <row r="5" spans="1:19">
      <c r="A5" t="s">
        <v>19</v>
      </c>
      <c r="B5" t="s">
        <v>20</v>
      </c>
      <c r="C5" t="s">
        <v>795</v>
      </c>
      <c r="D5" t="s">
        <v>176</v>
      </c>
      <c r="G5">
        <f t="shared" si="0"/>
        <v>510182342.3</v>
      </c>
      <c r="H5">
        <f>A01泛微粒贷业务状况表!H59+A02微账户业务状况表!H53+A03汽车金融业务状况表!H49+A04财富业务状况表!H59+A05小鹅业务状况表!H45</f>
        <v>36208643.4945</v>
      </c>
      <c r="I5">
        <f>A01泛微粒贷业务状况表!I59+A02微账户业务状况表!I53+A03汽车金融业务状况表!I49+A04财富业务状况表!I59+A05小鹅业务状况表!I45</f>
        <v>34330223.500046</v>
      </c>
      <c r="J5">
        <f>A01泛微粒贷业务状况表!J59+A02微账户业务状况表!J53+A03汽车金融业务状况表!J49+A04财富业务状况表!J59+A05小鹅业务状况表!J45</f>
        <v>40213665.505593</v>
      </c>
      <c r="K5">
        <f>A01泛微粒贷业务状况表!K59+A02微账户业务状况表!K53+A03汽车金融业务状况表!K49+A04财富业务状况表!K59+A05小鹅业务状况表!K45</f>
        <v>41133114.511141</v>
      </c>
      <c r="L5">
        <f>A01泛微粒贷业务状况表!L59+A02微账户业务状况表!L53+A03汽车金融业务状况表!L49+A04财富业务状况表!L59+A05小鹅业务状况表!L45</f>
        <v>42153848.516679</v>
      </c>
      <c r="M5">
        <f>A01泛微粒贷业务状况表!M59+A02微账户业务状况表!M53+A03汽车金融业务状况表!M49+A04财富业务状况表!M59+A05小鹅业务状况表!M45</f>
        <v>43583663.522225</v>
      </c>
      <c r="N5">
        <f>A01泛微粒贷业务状况表!N59+A02微账户业务状况表!N53+A03汽车金融业务状况表!N49+A04财富业务状况表!N59+A05小鹅业务状况表!N45</f>
        <v>44912198.527775</v>
      </c>
      <c r="O5">
        <f>A01泛微粒贷业务状况表!O59+A02微账户业务状况表!O53+A03汽车金融业务状况表!O49+A04财富业务状况表!O59+A05小鹅业务状况表!O45</f>
        <v>44300552.533321</v>
      </c>
      <c r="P5">
        <f>A01泛微粒贷业务状况表!P59+A02微账户业务状况表!P53+A03汽车金融业务状况表!P49+A04财富业务状况表!P59+A05小鹅业务状况表!P45</f>
        <v>43279824.538859</v>
      </c>
      <c r="Q5">
        <f>A01泛微粒贷业务状况表!Q59+A02微账户业务状况表!Q53+A03汽车金融业务状况表!Q49+A04财富业务状况表!Q59+A05小鹅业务状况表!Q45</f>
        <v>46451229.544407</v>
      </c>
      <c r="R5">
        <f>A01泛微粒贷业务状况表!R59+A02微账户业务状况表!R53+A03汽车金融业务状况表!R49+A04财富业务状况表!R59+A05小鹅业务状况表!R45</f>
        <v>45940860.549954</v>
      </c>
      <c r="S5">
        <f>A01泛微粒贷业务状况表!S59+A02微账户业务状况表!S53+A03汽车金融业务状况表!S49+A04财富业务状况表!S59+A05小鹅业务状况表!S45</f>
        <v>47674517.5555</v>
      </c>
    </row>
    <row r="6" spans="1:19">
      <c r="A6" t="s">
        <v>19</v>
      </c>
      <c r="B6" t="s">
        <v>35</v>
      </c>
      <c r="C6" t="s">
        <v>796</v>
      </c>
      <c r="D6" t="s">
        <v>241</v>
      </c>
      <c r="G6">
        <f t="shared" si="0"/>
        <v>1576845197.6</v>
      </c>
      <c r="H6">
        <f>A01泛微粒贷业务状况表!H90+A02微账户业务状况表!H57+A03汽车金融业务状况表!H52+A04财富业务状况表!H65+A05小鹅业务状况表!H48</f>
        <v>113697086.294</v>
      </c>
      <c r="I6">
        <f>A01泛微粒贷业务状况表!I90+A02微账户业务状况表!I57+A03汽车金融业务状况表!I52+A04财富业务状况表!I65+A05小鹅业务状况表!I48</f>
        <v>110297171.295092</v>
      </c>
      <c r="J6">
        <f>A01泛微粒贷业务状况表!J90+A02微账户业务状况表!J57+A03汽车金融业务状况表!J52+A04财富业务状况表!J65+A05小鹅业务状况表!J48</f>
        <v>125803272.296184</v>
      </c>
      <c r="K6">
        <f>A01泛微粒贷业务状况表!K90+A02微账户业务状况表!K57+A03汽车金融业务状况表!K52+A04财富业务状况表!K65+A05小鹅业务状况表!K48</f>
        <v>128281537.297276</v>
      </c>
      <c r="L6">
        <f>A01泛微粒贷业务状况表!L90+A02微账户业务状况表!L57+A03汽车金融业务状况表!L52+A04财富业务状况表!L65+A05小鹅业务状况表!L48</f>
        <v>131437730.298368</v>
      </c>
      <c r="M6">
        <f>A01泛微粒贷业务状况表!M90+A02微账户业务状况表!M57+A03汽车金融业务状况表!M52+A04财富业务状况表!M65+A05小鹅业务状况表!M48</f>
        <v>135494092.29946</v>
      </c>
      <c r="N6">
        <f>A01泛微粒贷业务状况表!N90+A02微账户业务状况表!N57+A03汽车金融业务状况表!N52+A04财富业务状况表!N65+A05小鹅业务状况表!N48</f>
        <v>138872510.30054</v>
      </c>
      <c r="O6">
        <f>A01泛微粒贷业务状况表!O90+A02微账户业务状况表!O57+A03汽车金融业务状况表!O52+A04财富业务状况表!O65+A05小鹅业务状况表!O48</f>
        <v>136616486.301632</v>
      </c>
      <c r="P6">
        <f>A01泛微粒贷业务状况表!P90+A02微账户业务状况表!P57+A03汽车金融业务状况表!P52+A04财富业务状况表!P65+A05小鹅业务状况表!P48</f>
        <v>133460293.302724</v>
      </c>
      <c r="Q6">
        <f>A01泛微粒贷业务状况表!Q90+A02微账户业务状况表!Q57+A03汽车金融业务状况表!Q52+A04财富业务状况表!Q65+A05小鹅业务状况表!Q48</f>
        <v>139983683.303816</v>
      </c>
      <c r="R6">
        <f>A01泛微粒贷业务状况表!R90+A02微账户业务状况表!R57+A03汽车金融业务状况表!R52+A04财富业务状况表!R65+A05小鹅业务状况表!R48</f>
        <v>138405586.304908</v>
      </c>
      <c r="S6">
        <f>A01泛微粒贷业务状况表!S90+A02微账户业务状况表!S57+A03汽车金融业务状况表!S52+A04财富业务状况表!S65+A05小鹅业务状况表!S48</f>
        <v>144495748.306</v>
      </c>
    </row>
    <row r="7" spans="1:19">
      <c r="A7" t="s">
        <v>26</v>
      </c>
      <c r="B7" t="s">
        <v>20</v>
      </c>
      <c r="C7" t="s">
        <v>797</v>
      </c>
      <c r="D7" t="s">
        <v>30</v>
      </c>
      <c r="G7">
        <f t="shared" si="0"/>
        <v>7550897620</v>
      </c>
      <c r="H7">
        <f>A01泛微粒贷业务状况表!H5+A02微账户业务状况表!H5+A03汽车金融业务状况表!H5+A04财富业务状况表!H5+A05小鹅业务状况表!H5</f>
        <v>542407023</v>
      </c>
      <c r="I7">
        <f>A01泛微粒贷业务状况表!I5+A02微账户业务状况表!I5+A03汽车金融业务状况表!I5+A04财富业务状况表!I5+A05小鹅业务状况表!I5</f>
        <v>523947976</v>
      </c>
      <c r="J7">
        <f>A01泛微粒贷业务状况表!J5+A02微账户业务状况表!J5+A03汽车金融业务状况表!J5+A04财富业务状况表!J5+A05小鹅业务状况表!J5</f>
        <v>600582255</v>
      </c>
      <c r="K7">
        <f>A01泛微粒贷业务状况表!K5+A02微账户业务状况表!K5+A03汽车金融业务状况表!K5+A04财富业务状况表!K5+A05小鹅业务状况表!K5</f>
        <v>612874191</v>
      </c>
      <c r="L7">
        <f>A01泛微粒贷业务状况表!L5+A02微账户业务状况表!L5+A03汽车金融业务状况表!L5+A04财富业务状况表!L5+A05小鹅业务状况表!L5</f>
        <v>627984658</v>
      </c>
      <c r="M7">
        <f>A01泛微粒贷业务状况表!M5+A02微账户业务状况表!M5+A03汽车金融业务状况表!M5+A04财富业务状况表!M5+A05小鹅业务状况表!M5</f>
        <v>647831818</v>
      </c>
      <c r="N7">
        <f>A01泛微粒贷业务状况表!N5+A02微账户业务状况表!N5+A03汽车金融业务状况表!N5+A04财富业务状况表!N5+A05小鹅业务状况表!N5</f>
        <v>664860461</v>
      </c>
      <c r="O7">
        <f>A01泛微粒贷业务状况表!O5+A02微账户业务状况表!O5+A03汽车金融业务状况表!O5+A04财富业务状况表!O5+A05小鹅业务状况表!O5</f>
        <v>654486702</v>
      </c>
      <c r="P7">
        <f>A01泛微粒贷业务状况表!P5+A02微账户业务状况表!P5+A03汽车金融业务状况表!P5+A04财富业务状况表!P5+A05小鹅业务状况表!P5</f>
        <v>639376244</v>
      </c>
      <c r="Q7">
        <f>A01泛微粒贷业务状况表!Q5+A02微账户业务状况表!Q5+A03汽车金融业务状况表!Q5+A04财富业务状况表!Q5+A05小鹅业务状况表!Q5</f>
        <v>674451360</v>
      </c>
      <c r="R7">
        <f>A01泛微粒贷业务状况表!R5+A02微账户业务状况表!R5+A03汽车金融业务状况表!R5+A04财富业务状况表!R5+A05小鹅业务状况表!R5</f>
        <v>666896084</v>
      </c>
      <c r="S7">
        <f>A01泛微粒贷业务状况表!S5+A02微账户业务状况表!S5+A03汽车金融业务状况表!S5+A04财富业务状况表!S5+A05小鹅业务状况表!S5</f>
        <v>695198848</v>
      </c>
    </row>
    <row r="8" spans="1:19">
      <c r="A8" t="s">
        <v>19</v>
      </c>
      <c r="B8" t="s">
        <v>35</v>
      </c>
      <c r="C8" t="s">
        <v>798</v>
      </c>
      <c r="D8" t="s">
        <v>285</v>
      </c>
      <c r="G8">
        <f t="shared" si="0"/>
        <v>1292368168.428</v>
      </c>
      <c r="H8">
        <f>A01泛微粒贷业务状况表!H101+A02微账户业务状况表!H64+A03汽车金融业务状况表!H57+A04财富业务状况表!H73+A05小鹅业务状况表!H53</f>
        <v>93250484.36162</v>
      </c>
      <c r="I8">
        <f>A01泛微粒贷业务状况表!I101+A02微账户业务状况表!I64+A03汽车金融业务状况表!I57+A04财富业务状况表!I73+A05小鹅业务状况表!I53</f>
        <v>90858644.362955</v>
      </c>
      <c r="J8">
        <f>A01泛微粒贷业务状况表!J101+A02微账户业务状况表!J64+A03汽车金融业务状况表!J57+A04财富业务状况表!J73+A05小鹅业务状况表!J53</f>
        <v>103104984.364305</v>
      </c>
      <c r="K8">
        <f>A01泛微粒贷业务状况表!K101+A02微账户业务状况表!K64+A03汽车金融业务状况表!K57+A04财富业务状况表!K73+A05小鹅业务状况表!K53</f>
        <v>105127240.36564</v>
      </c>
      <c r="L8">
        <f>A01泛微粒贷业务状况表!L101+A02微账户业务状况表!L64+A03汽车金融业务状况表!L57+A04财富业务状况表!L73+A05小鹅业务状况表!L53</f>
        <v>107713140.36699</v>
      </c>
      <c r="M8">
        <f>A01泛微粒贷业务状况表!M101+A02微账户业务状况表!M64+A03汽车金融业务状况表!M57+A04财富业务状况表!M73+A05小鹅业务状况表!M53</f>
        <v>111028352.368325</v>
      </c>
      <c r="N8">
        <f>A01泛微粒贷业务状况表!N101+A02微账户业务状况表!N64+A03汽车金融业务状况表!N57+A04财富业务状况表!N73+A05小鹅业务状况表!N53</f>
        <v>113779912.369675</v>
      </c>
      <c r="O8">
        <f>A01泛微粒贷业务状况表!O101+A02微账户业务状况表!O64+A03汽车金融业务状况表!O57+A04财富业务状况表!O73+A05小鹅业务状况表!O53</f>
        <v>111923304.37101</v>
      </c>
      <c r="P8">
        <f>A01泛微粒贷业务状况表!P101+A02微账户业务状况表!P64+A03汽车金融业务状况表!P57+A04财富业务状况表!P73+A05小鹅业务状况表!P53</f>
        <v>109337392.37236</v>
      </c>
      <c r="Q8">
        <f>A01泛微粒贷业务状况表!Q101+A02微账户业务状况表!Q64+A03汽车金融业务状况表!Q57+A04财富业务状况表!Q73+A05小鹅业务状况表!Q53</f>
        <v>114608156.373695</v>
      </c>
      <c r="R8">
        <f>A01泛微粒贷业务状况表!R101+A02微账户业务状况表!R64+A03汽车金融业务状况表!R57+A04财富业务状况表!R73+A05小鹅业务状况表!R53</f>
        <v>113315196.375045</v>
      </c>
      <c r="S8">
        <f>A01泛微粒贷业务状况表!S101+A02微账户业务状况表!S64+A03汽车金融业务状况表!S57+A04财富业务状况表!S73+A05小鹅业务状况表!S53</f>
        <v>118321360.37638</v>
      </c>
    </row>
    <row r="9" spans="1:19">
      <c r="A9" t="s">
        <v>19</v>
      </c>
      <c r="B9" t="s">
        <v>35</v>
      </c>
      <c r="C9" t="s">
        <v>799</v>
      </c>
      <c r="D9" t="s">
        <v>309</v>
      </c>
      <c r="G9">
        <f t="shared" si="0"/>
        <v>141089832.6</v>
      </c>
      <c r="H9">
        <f>A01泛微粒贷业务状况表!H107+A02微账户业务状况表!H95+A03汽车金融业务状况表!H63+A04财富业务状况表!H83+A05小鹅业务状况表!H56</f>
        <v>10165640.539</v>
      </c>
      <c r="I9">
        <f>A01泛微粒贷业务状况表!I107+A02微账户业务状况表!I95+A03汽车金融业务状况表!I63+A04财富业务状况表!I83+A05小鹅业务状况表!I56</f>
        <v>9831162.541002</v>
      </c>
      <c r="J9">
        <f>A01泛微粒贷业务状况表!J107+A02微账户业务状况表!J95+A03汽车金融业务状况表!J63+A04财富业务状况表!J83+A05小鹅业务状况表!J56</f>
        <v>11253786.543004</v>
      </c>
      <c r="K9">
        <f>A01泛微粒贷业务状况表!K107+A02微账户业务状况表!K95+A03汽车金融业务状况表!K63+A04财富业务状况表!K83+A05小鹅业务状况表!K56</f>
        <v>11476772.545006</v>
      </c>
      <c r="L9">
        <f>A01泛微粒贷业务状况表!L107+A02微账户业务状况表!L95+A03汽车金融业务状况表!L63+A04财富业务状况表!L83+A05小鹅业务状况表!L56</f>
        <v>11759230.547008</v>
      </c>
      <c r="M9">
        <f>A01泛微粒贷业务状况表!M107+A02微账户业务状况表!M95+A03汽车金融业务状况表!M63+A04财富业务状况表!M83+A05小鹅业务状况表!M56</f>
        <v>12123448.54901</v>
      </c>
      <c r="N9">
        <f>A01泛微粒贷业务状况表!N107+A02微账户业务状况表!N95+A03汽车金融业务状况表!N63+A04财富业务状况表!N83+A05小鹅业务状况表!N56</f>
        <v>12428196.55099</v>
      </c>
      <c r="O9">
        <f>A01泛微粒贷业务状况表!O107+A02微账户业务状况表!O95+A03汽车金融业务状况表!O63+A04财富业务状况表!O83+A05小鹅业务状况表!O56</f>
        <v>12227494.552992</v>
      </c>
      <c r="P9">
        <f>A01泛微粒贷业务状况表!P107+A02微账户业务状况表!P95+A03汽车金融业务状况表!P63+A04财富业务状况表!P83+A05小鹅业务状况表!P56</f>
        <v>11945036.554994</v>
      </c>
      <c r="Q9">
        <f>A01泛微粒贷业务状况表!Q107+A02微账户业务状况表!Q95+A03汽车金融业务状况表!Q63+A04财富业务状况表!Q83+A05小鹅业务状况表!Q56</f>
        <v>12539630.556996</v>
      </c>
      <c r="R9">
        <f>A01泛微粒贷业务状况表!R107+A02微账户业务状况表!R95+A03汽车金融业务状况表!R63+A04财富业务状况表!R83+A05小鹅业务状况表!R56</f>
        <v>12398400.558998</v>
      </c>
      <c r="S9">
        <f>A01泛微粒贷业务状况表!S107+A02微账户业务状况表!S95+A03汽车金融业务状况表!S63+A04财富业务状况表!S83+A05小鹅业务状况表!S56</f>
        <v>12941032.561</v>
      </c>
    </row>
    <row r="10" spans="1:19">
      <c r="A10" t="s">
        <v>23</v>
      </c>
      <c r="B10" t="s">
        <v>20</v>
      </c>
      <c r="C10" t="s">
        <v>800</v>
      </c>
      <c r="D10" t="s">
        <v>497</v>
      </c>
      <c r="G10">
        <f t="shared" si="0"/>
        <v>75508976758</v>
      </c>
      <c r="H10">
        <f>A01泛微粒贷业务状况表!H6+A02微账户业务状况表!H6+A03汽车金融业务状况表!H6+A04财富业务状况表!H6+A05小鹅业务状况表!H6</f>
        <v>5424070270</v>
      </c>
      <c r="I10">
        <f>A01泛微粒贷业务状况表!I6+A02微账户业务状况表!I6+A03汽车金融业务状况表!I6+A04财富业务状况表!I6+A05小鹅业务状况表!I6</f>
        <v>5239479808</v>
      </c>
      <c r="J10">
        <f>A01泛微粒贷业务状况表!J6+A02微账户业务状况表!J6+A03汽车金融业务状况表!J6+A04财富业务状况表!J6+A05小鹅业务状况表!J6</f>
        <v>6005822575</v>
      </c>
      <c r="K10">
        <f>A01泛微粒贷业务状况表!K6+A02微账户业务状况表!K6+A03汽车金融业务状况表!K6+A04财富业务状况表!K6+A05小鹅业务状况表!K6</f>
        <v>6128741958</v>
      </c>
      <c r="L10">
        <f>A01泛微粒贷业务状况表!L6+A02微账户业务状况表!L6+A03汽车金融业务状况表!L6+A04财富业务状况表!L6+A05小鹅业务状况表!L6</f>
        <v>6279846633</v>
      </c>
      <c r="M10">
        <f>A01泛微粒贷业务状况表!M6+A02微账户业务状况表!M6+A03汽车金融业务状况表!M6+A04财富业务状况表!M6+A05小鹅业务状况表!M6</f>
        <v>6478318223</v>
      </c>
      <c r="N10">
        <f>A01泛微粒贷业务状况表!N6+A02微账户业务状况表!N6+A03汽车金融业务状况表!N6+A04财富业务状况表!N6+A05小鹅业务状况表!N6</f>
        <v>6648604659</v>
      </c>
      <c r="O10">
        <f>A01泛微粒贷业务状况表!O6+A02微账户业务状况表!O6+A03汽车金融业务状况表!O6+A04财富业务状况表!O6+A05小鹅业务状况表!O6</f>
        <v>6544867065</v>
      </c>
      <c r="P10">
        <f>A01泛微粒贷业务状况表!P6+A02微账户业务状况表!P6+A03汽车金融业务状况表!P6+A04财富业务状况表!P6+A05小鹅业务状况表!P6</f>
        <v>6393762496</v>
      </c>
      <c r="Q10">
        <f>A01泛微粒贷业务状况表!Q6+A02微账户业务状况表!Q6+A03汽车金融业务状况表!Q6+A04财富业务状况表!Q6+A05小鹅业务状况表!Q6</f>
        <v>6744513658</v>
      </c>
      <c r="R10">
        <f>A01泛微粒贷业务状况表!R6+A02微账户业务状况表!R6+A03汽车金融业务状况表!R6+A04财富业务状况表!R6+A05小鹅业务状况表!R6</f>
        <v>6668960888</v>
      </c>
      <c r="S10">
        <f>A01泛微粒贷业务状况表!S6+A02微账户业务状况表!S6+A03汽车金融业务状况表!S6+A04财富业务状况表!S6+A05小鹅业务状况表!S6</f>
        <v>6951988525</v>
      </c>
    </row>
    <row r="11" spans="1:19">
      <c r="A11" t="s">
        <v>19</v>
      </c>
      <c r="B11" t="s">
        <v>20</v>
      </c>
      <c r="C11" t="s">
        <v>801</v>
      </c>
      <c r="D11" t="s">
        <v>337</v>
      </c>
      <c r="G11">
        <f t="shared" si="0"/>
        <v>8299029820.42</v>
      </c>
      <c r="H11">
        <f>A01泛微粒贷业务状况表!H113+A02微账户业务状况表!H116+A03汽车金融业务状况表!H74+A04财富业务状况表!H95+A05小鹅业务状况表!H59</f>
        <v>386622124.7493</v>
      </c>
      <c r="I11">
        <f>A01泛微粒贷业务状况表!I113+A02微账户业务状况表!I116+A03汽车金融业务状况表!I74+A04财富业务状况表!I95+A05小鹅业务状况表!I59</f>
        <v>362377262.755789</v>
      </c>
      <c r="J11">
        <f>A01泛微粒贷业务状况表!J113+A02微账户业务状况表!J116+A03汽车金融业务状况表!J74+A04财富业务状况表!J95+A05小鹅业务状况表!J59</f>
        <v>430173646.762284</v>
      </c>
      <c r="K11">
        <f>A01泛微粒贷业务状况表!K113+A02微账户业务状况表!K116+A03汽车金融业务状况表!K74+A04财富业务状况表!K95+A05小鹅业务状况表!K59</f>
        <v>726271981.768774</v>
      </c>
      <c r="L11">
        <f>A01泛微粒贷业务状况表!L113+A02微账户业务状况表!L116+A03汽车金融业务状况表!L74+A04财富业务状况表!L95+A05小鹅业务状况表!L59</f>
        <v>744392618.775262</v>
      </c>
      <c r="M11">
        <f>A01泛微粒贷业务状况表!M113+A02微账户业务状况表!M116+A03汽车金融业务状况表!M74+A04财富业务状况表!M95+A05小鹅业务状况表!M59</f>
        <v>771091256.781752</v>
      </c>
      <c r="N11">
        <f>A01泛微粒贷业务状况表!N113+A02微账户业务状况表!N116+A03汽车金融业务状况表!N74+A04财富业务状况表!N95+A05小鹅业务状况表!N59</f>
        <v>797307624.788248</v>
      </c>
      <c r="O11">
        <f>A01泛微粒贷业务状况表!O113+A02微账户业务状况表!O116+A03汽车金融业务状况表!O74+A04财富业务状况表!O95+A05小鹅业务状况表!O59</f>
        <v>787765019.794738</v>
      </c>
      <c r="P11">
        <f>A01泛微粒贷业务状况表!P113+A02微账户业务状况表!P116+A03汽车金融业务状况表!P74+A04财富业务状况表!P95+A05小鹅业务状况表!P59</f>
        <v>769644414.801226</v>
      </c>
      <c r="Q11">
        <f>A01泛微粒贷业务状况表!Q113+A02微账户业务状况表!Q116+A03汽车金融业务状况表!Q74+A04财富业务状况表!Q95+A05小鹅业务状况表!Q59</f>
        <v>837786341.807716</v>
      </c>
      <c r="R11">
        <f>A01泛微粒贷业务状况表!R113+A02微账户业务状况表!R116+A03汽车金融业务状况表!R74+A04财富业务状况表!R95+A05小鹅业务状况表!R59</f>
        <v>828726007.814211</v>
      </c>
      <c r="S11">
        <f>A01泛微粒贷业务状况表!S113+A02微账户业务状况表!S116+A03汽车金融业务状况表!S74+A04财富业务状况表!S95+A05小鹅业务状况表!S59</f>
        <v>856871519.8207</v>
      </c>
    </row>
    <row r="12" spans="1:19">
      <c r="A12" t="s">
        <v>19</v>
      </c>
      <c r="B12" t="s">
        <v>35</v>
      </c>
      <c r="C12" t="s">
        <v>802</v>
      </c>
      <c r="D12" t="s">
        <v>365</v>
      </c>
      <c r="G12">
        <f t="shared" si="0"/>
        <v>86909771845.88</v>
      </c>
      <c r="H12">
        <f>A01泛微粒贷业务状况表!H129+A02微账户业务状况表!H120+A03汽车金融业务状况表!H79+A04财富业务状况表!H99+A05小鹅业务状况表!H61</f>
        <v>5757693913.7052</v>
      </c>
      <c r="I12">
        <f>A01泛微粒贷业务状况表!I129+A02微账户业务状况表!I120+A03汽车金融业务状况表!I79+A04财富业务状况表!I99+A05小鹅业务状况表!I61</f>
        <v>5514241833.71153</v>
      </c>
      <c r="J12">
        <f>A01泛微粒贷业务状况表!J129+A02微账户业务状况表!J120+A03汽车金融业务状况表!J79+A04财富业务状况表!J99+A05小鹅业务状况表!J61</f>
        <v>6384161728.71785</v>
      </c>
      <c r="K12">
        <f>A01泛微粒贷业务状况表!K129+A02微账户业务状况表!K120+A03汽车金融业务状况表!K79+A04财富业务状况表!K99+A05小鹅业务状况表!K61</f>
        <v>7201767218.72419</v>
      </c>
      <c r="L12">
        <f>A01泛微粒贷业务状况表!L129+A02微账户业务状况表!L120+A03汽车金融业务状况表!L79+A04财富业务状况表!L99+A05小鹅业务状况表!L61</f>
        <v>7379491131.73051</v>
      </c>
      <c r="M12">
        <f>A01泛微粒贷业务状况表!M129+A02微账户业务状况表!M120+A03汽车金融业务状况表!M79+A04财富业务状况表!M99+A05小鹅业务状况表!M61</f>
        <v>7615138253.73684</v>
      </c>
      <c r="N12">
        <f>A01泛微粒贷业务状况表!N129+A02微账户业务状况表!N120+A03汽车金融业务状况表!N79+A04财富业务状况表!N99+A05小鹅业务状况表!N61</f>
        <v>7819847353.74316</v>
      </c>
      <c r="O12">
        <f>A01泛微粒贷业务状况表!O129+A02微账户业务状况表!O120+A03汽车金融业务状况表!O79+A04财富业务状况表!O99+A05小鹅业务状况表!O61</f>
        <v>7700047055.74949</v>
      </c>
      <c r="P12">
        <f>A01泛微粒贷业务状况表!P129+A02微账户业务状况表!P120+A03汽车金融业务状况表!P79+A04财富业务状况表!P99+A05小鹅业务状况表!P61</f>
        <v>7522323597.75581</v>
      </c>
      <c r="Q12">
        <f>A01泛微粒贷业务状况表!Q129+A02微账户业务状况表!Q120+A03汽车金融业务状况表!Q79+A04财富业务状况表!Q99+A05小鹅业务状况表!Q61</f>
        <v>7954774186.76215</v>
      </c>
      <c r="R12">
        <f>A01泛微粒贷业务状况表!R129+A02微账户业务状况表!R120+A03汽车金融业务状况表!R79+A04财富业务状况表!R99+A05小鹅业务状况表!R61</f>
        <v>7865911670.76847</v>
      </c>
      <c r="S12">
        <f>A01泛微粒贷业务状况表!S129+A02微账户业务状况表!S120+A03汽车金融业务状况表!S79+A04财富业务状况表!S99+A05小鹅业务状况表!S61</f>
        <v>8194373900.7748</v>
      </c>
    </row>
    <row r="13" spans="1:19">
      <c r="A13" t="s">
        <v>23</v>
      </c>
      <c r="B13" t="s">
        <v>20</v>
      </c>
      <c r="C13" t="s">
        <v>803</v>
      </c>
      <c r="D13" t="s">
        <v>34</v>
      </c>
      <c r="G13">
        <f t="shared" si="0"/>
        <v>75508976758</v>
      </c>
      <c r="H13">
        <f>A01泛微粒贷业务状况表!H7+A02微账户业务状况表!H7+A03汽车金融业务状况表!H7+A04财富业务状况表!H7+A05小鹅业务状况表!H7</f>
        <v>5424070270</v>
      </c>
      <c r="I13">
        <f>A01泛微粒贷业务状况表!I7+A02微账户业务状况表!I7+A03汽车金融业务状况表!I7+A04财富业务状况表!I7+A05小鹅业务状况表!I7</f>
        <v>5239479808</v>
      </c>
      <c r="J13">
        <f>A01泛微粒贷业务状况表!J7+A02微账户业务状况表!J7+A03汽车金融业务状况表!J7+A04财富业务状况表!J7+A05小鹅业务状况表!J7</f>
        <v>6005822575</v>
      </c>
      <c r="K13">
        <f>A01泛微粒贷业务状况表!K7+A02微账户业务状况表!K7+A03汽车金融业务状况表!K7+A04财富业务状况表!K7+A05小鹅业务状况表!K7</f>
        <v>6128741958</v>
      </c>
      <c r="L13">
        <f>A01泛微粒贷业务状况表!L7+A02微账户业务状况表!L7+A03汽车金融业务状况表!L7+A04财富业务状况表!L7+A05小鹅业务状况表!L7</f>
        <v>6279846633</v>
      </c>
      <c r="M13">
        <f>A01泛微粒贷业务状况表!M7+A02微账户业务状况表!M7+A03汽车金融业务状况表!M7+A04财富业务状况表!M7+A05小鹅业务状况表!M7</f>
        <v>6478318223</v>
      </c>
      <c r="N13">
        <f>A01泛微粒贷业务状况表!N7+A02微账户业务状况表!N7+A03汽车金融业务状况表!N7+A04财富业务状况表!N7+A05小鹅业务状况表!N7</f>
        <v>6648604659</v>
      </c>
      <c r="O13">
        <f>A01泛微粒贷业务状况表!O7+A02微账户业务状况表!O7+A03汽车金融业务状况表!O7+A04财富业务状况表!O7+A05小鹅业务状况表!O7</f>
        <v>6544867065</v>
      </c>
      <c r="P13">
        <f>A01泛微粒贷业务状况表!P7+A02微账户业务状况表!P7+A03汽车金融业务状况表!P7+A04财富业务状况表!P7+A05小鹅业务状况表!P7</f>
        <v>6393762496</v>
      </c>
      <c r="Q13">
        <f>A01泛微粒贷业务状况表!Q7+A02微账户业务状况表!Q7+A03汽车金融业务状况表!Q7+A04财富业务状况表!Q7+A05小鹅业务状况表!Q7</f>
        <v>6744513658</v>
      </c>
      <c r="R13">
        <f>A01泛微粒贷业务状况表!R7+A02微账户业务状况表!R7+A03汽车金融业务状况表!R7+A04财富业务状况表!R7+A05小鹅业务状况表!R7</f>
        <v>6668960888</v>
      </c>
      <c r="S13">
        <f>A01泛微粒贷业务状况表!S7+A02微账户业务状况表!S7+A03汽车金融业务状况表!S7+A04财富业务状况表!S7+A05小鹅业务状况表!S7</f>
        <v>6951988525</v>
      </c>
    </row>
    <row r="14" spans="1:19">
      <c r="A14" t="s">
        <v>19</v>
      </c>
      <c r="B14" t="s">
        <v>35</v>
      </c>
      <c r="C14" t="s">
        <v>804</v>
      </c>
      <c r="D14" t="s">
        <v>37</v>
      </c>
      <c r="G14">
        <f t="shared" si="0"/>
        <v>10230000000</v>
      </c>
      <c r="H14">
        <f>A01泛微粒贷业务状况表!H8+A02微账户业务状况表!H8+A03汽车金融业务状况表!H8+A04财富业务状况表!H8+A05小鹅业务状况表!H8</f>
        <v>716100000</v>
      </c>
      <c r="I14">
        <f>A01泛微粒贷业务状况表!I8+A02微账户业务状况表!I8+A03汽车金融业务状况表!I8+A04财富业务状况表!I8+A05小鹅业务状况表!I8</f>
        <v>664950000</v>
      </c>
      <c r="J14">
        <f>A01泛微粒贷业务状况表!J8+A02微账户业务状况表!J8+A03汽车金融业务状况表!J8+A04财富业务状况表!J8+A05小鹅业务状况表!J8</f>
        <v>797940000</v>
      </c>
      <c r="K14">
        <f>A01泛微粒贷业务状况表!K8+A02微账户业务状况表!K8+A03汽车金融业务状况表!K8+A04财富业务状况表!K8+A05小鹅业务状况表!K8</f>
        <v>818400000</v>
      </c>
      <c r="L14">
        <f>A01泛微粒贷业务状况表!L8+A02微账户业务状况表!L8+A03汽车金融业务状况表!L8+A04财富业务状况表!L8+A05小鹅业务状况表!L8</f>
        <v>838860000</v>
      </c>
      <c r="M14">
        <f>A01泛微粒贷业务状况表!M8+A02微账户业务状况表!M8+A03汽车金融业务状况表!M8+A04财富业务状况表!M8+A05小鹅业务状况表!M8</f>
        <v>869550000</v>
      </c>
      <c r="N14">
        <f>A01泛微粒贷业务状况表!N8+A02微账户业务状况表!N8+A03汽车金融业务状况表!N8+A04财富业务状况表!N8+A05小鹅业务状况表!N8</f>
        <v>900240000</v>
      </c>
      <c r="O14">
        <f>A01泛微粒贷业务状况表!O8+A02微账户业务状况表!O8+A03汽车金融业务状况表!O8+A04财富业务状况表!O8+A05小鹅业务状况表!O8</f>
        <v>890010000</v>
      </c>
      <c r="P14">
        <f>A01泛微粒贷业务状况表!P8+A02微账户业务状况表!P8+A03汽车金融业务状况表!P8+A04财富业务状况表!P8+A05小鹅业务状况表!P8</f>
        <v>869550000</v>
      </c>
      <c r="Q14">
        <f>A01泛微粒贷业务状况表!Q8+A02微账户业务状况表!Q8+A03汽车金融业务状况表!Q8+A04财富业务状况表!Q8+A05小鹅业务状况表!Q8</f>
        <v>951390000</v>
      </c>
      <c r="R14">
        <f>A01泛微粒贷业务状况表!R8+A02微账户业务状况表!R8+A03汽车金融业务状况表!R8+A04财富业务状况表!R8+A05小鹅业务状况表!R8</f>
        <v>941160000</v>
      </c>
      <c r="S14">
        <f>A01泛微粒贷业务状况表!S8+A02微账户业务状况表!S8+A03汽车金融业务状况表!S8+A04财富业务状况表!S8+A05小鹅业务状况表!S8</f>
        <v>971850000</v>
      </c>
    </row>
    <row r="15" spans="1:19">
      <c r="A15" t="s">
        <v>19</v>
      </c>
      <c r="B15" t="s">
        <v>20</v>
      </c>
      <c r="C15" t="s">
        <v>805</v>
      </c>
      <c r="D15" t="s">
        <v>39</v>
      </c>
      <c r="G15">
        <f t="shared" si="0"/>
        <v>75508976758</v>
      </c>
      <c r="H15">
        <f>A01泛微粒贷业务状况表!H9+A02微账户业务状况表!H9+A03汽车金融业务状况表!H9+A04财富业务状况表!H9+A05小鹅业务状况表!H9</f>
        <v>5424070270</v>
      </c>
      <c r="I15">
        <f>A01泛微粒贷业务状况表!I9+A02微账户业务状况表!I9+A03汽车金融业务状况表!I9+A04财富业务状况表!I9+A05小鹅业务状况表!I9</f>
        <v>5239479808</v>
      </c>
      <c r="J15">
        <f>A01泛微粒贷业务状况表!J9+A02微账户业务状况表!J9+A03汽车金融业务状况表!J9+A04财富业务状况表!J9+A05小鹅业务状况表!J9</f>
        <v>6005822575</v>
      </c>
      <c r="K15">
        <f>A01泛微粒贷业务状况表!K9+A02微账户业务状况表!K9+A03汽车金融业务状况表!K9+A04财富业务状况表!K9+A05小鹅业务状况表!K9</f>
        <v>6128741958</v>
      </c>
      <c r="L15">
        <f>A01泛微粒贷业务状况表!L9+A02微账户业务状况表!L9+A03汽车金融业务状况表!L9+A04财富业务状况表!L9+A05小鹅业务状况表!L9</f>
        <v>6279846633</v>
      </c>
      <c r="M15">
        <f>A01泛微粒贷业务状况表!M9+A02微账户业务状况表!M9+A03汽车金融业务状况表!M9+A04财富业务状况表!M9+A05小鹅业务状况表!M9</f>
        <v>6478318223</v>
      </c>
      <c r="N15">
        <f>A01泛微粒贷业务状况表!N9+A02微账户业务状况表!N9+A03汽车金融业务状况表!N9+A04财富业务状况表!N9+A05小鹅业务状况表!N9</f>
        <v>6648604659</v>
      </c>
      <c r="O15">
        <f>A01泛微粒贷业务状况表!O9+A02微账户业务状况表!O9+A03汽车金融业务状况表!O9+A04财富业务状况表!O9+A05小鹅业务状况表!O9</f>
        <v>6544867065</v>
      </c>
      <c r="P15">
        <f>A01泛微粒贷业务状况表!P9+A02微账户业务状况表!P9+A03汽车金融业务状况表!P9+A04财富业务状况表!P9+A05小鹅业务状况表!P9</f>
        <v>6393762496</v>
      </c>
      <c r="Q15">
        <f>A01泛微粒贷业务状况表!Q9+A02微账户业务状况表!Q9+A03汽车金融业务状况表!Q9+A04财富业务状况表!Q9+A05小鹅业务状况表!Q9</f>
        <v>6744513658</v>
      </c>
      <c r="R15">
        <f>A01泛微粒贷业务状况表!R9+A02微账户业务状况表!R9+A03汽车金融业务状况表!R9+A04财富业务状况表!R9+A05小鹅业务状况表!R9</f>
        <v>6668960888</v>
      </c>
      <c r="S15">
        <f>A01泛微粒贷业务状况表!S9+A02微账户业务状况表!S9+A03汽车金融业务状况表!S9+A04财富业务状况表!S9+A05小鹅业务状况表!S9</f>
        <v>6951988525</v>
      </c>
    </row>
    <row r="16" spans="1:19">
      <c r="A16" t="s">
        <v>19</v>
      </c>
      <c r="B16" t="s">
        <v>35</v>
      </c>
      <c r="C16" t="s">
        <v>806</v>
      </c>
      <c r="D16" t="s">
        <v>41</v>
      </c>
      <c r="G16">
        <f t="shared" si="0"/>
        <v>51564578649</v>
      </c>
      <c r="H16">
        <f>A01泛微粒贷业务状况表!H10+A02微账户业务状况表!H10+A03汽车金融业务状况表!H10+A04财富业务状况表!H10+A05小鹅业务状况表!H10</f>
        <v>3724349032</v>
      </c>
      <c r="I16">
        <f>A01泛微粒贷业务状况表!I10+A02微账户业务状况表!I10+A03汽车金融业务状况表!I10+A04财富业务状况表!I10+A05小鹅业务状况表!I10</f>
        <v>3627457190</v>
      </c>
      <c r="J16">
        <f>A01泛微粒贷业务状况表!J10+A02微账户业务状况表!J10+A03汽车金融业务状况表!J10+A04财富业务状况表!J10+A05小鹅业务状况表!J10</f>
        <v>4118186120</v>
      </c>
      <c r="K16">
        <f>A01泛微粒贷业务状况表!K10+A02微账户业务状况表!K10+A03汽车金融业务状况表!K10+A04财富业务状况表!K10+A05小鹅业务状况表!K10</f>
        <v>4198022150</v>
      </c>
      <c r="L16">
        <f>A01泛微粒贷业务状况表!L10+A02微账户业务状况表!L10+A03汽车金融业务状况表!L10+A04财富业务状况表!L10+A05小鹅业务状况表!L10</f>
        <v>4301220452</v>
      </c>
      <c r="M16">
        <f>A01泛微粒贷业务状况表!M10+A02微账户业务状况表!M10+A03汽车金融业务状况表!M10+A04财富业务状况表!M10+A05小鹅业务状况表!M10</f>
        <v>4432655660</v>
      </c>
      <c r="N16">
        <f>A01泛微粒贷业务状况表!N10+A02微账户业务状况表!N10+A03汽车金融业务状况表!N10+A04财富业务状况表!N10+A05小鹅业务状况表!N10</f>
        <v>4540728419</v>
      </c>
      <c r="O16">
        <f>A01泛微粒贷业务状况表!O10+A02微账户业务状况表!O10+A03汽车金融业务状况表!O10+A04财富业务状况表!O10+A05小鹅业务状况表!O10</f>
        <v>4465766870</v>
      </c>
      <c r="P16">
        <f>A01泛微粒贷业务状况表!P10+A02微账户业务状况表!P10+A03汽车金融业务状况表!P10+A04财富业务状况表!P10+A05小鹅业务状况表!P10</f>
        <v>4362568355</v>
      </c>
      <c r="Q16">
        <f>A01泛微粒贷业务状况表!Q10+A02微账户业务状况表!Q10+A03汽车金融业务状况表!Q10+A04财富业务状况表!Q10+A05小鹅业务状况表!Q10</f>
        <v>4565100245</v>
      </c>
      <c r="R16">
        <f>A01泛微粒贷业务状况表!R10+A02微账户业务状况表!R10+A03汽车金融业务状况表!R10+A04财富业务状况表!R10+A05小鹅业务状况表!R10</f>
        <v>4513500820</v>
      </c>
      <c r="S16">
        <f>A01泛微粒贷业务状况表!S10+A02微账户业务状况表!S10+A03汽车金融业务状况表!S10+A04财富业务状况表!S10+A05小鹅业务状况表!S10</f>
        <v>4715023336</v>
      </c>
    </row>
    <row r="17" spans="1:19">
      <c r="A17" t="s">
        <v>19</v>
      </c>
      <c r="B17" t="s">
        <v>35</v>
      </c>
      <c r="C17" t="s">
        <v>807</v>
      </c>
      <c r="D17" t="s">
        <v>43</v>
      </c>
      <c r="G17">
        <f t="shared" si="0"/>
        <v>144133653519</v>
      </c>
      <c r="H17">
        <f t="shared" ref="H17:S17" si="3">H18+H21+H24+H31+H32</f>
        <v>10401689338</v>
      </c>
      <c r="I17">
        <f t="shared" si="3"/>
        <v>10118753519</v>
      </c>
      <c r="J17">
        <f t="shared" si="3"/>
        <v>11503950228</v>
      </c>
      <c r="K17">
        <f t="shared" si="3"/>
        <v>11728860213</v>
      </c>
      <c r="L17">
        <f t="shared" si="3"/>
        <v>12017315589</v>
      </c>
      <c r="M17">
        <f t="shared" si="3"/>
        <v>12386453365</v>
      </c>
      <c r="N17">
        <f t="shared" si="3"/>
        <v>12692045264</v>
      </c>
      <c r="O17">
        <f t="shared" si="3"/>
        <v>12484271856</v>
      </c>
      <c r="P17">
        <f t="shared" si="3"/>
        <v>12195815887</v>
      </c>
      <c r="Q17">
        <f t="shared" si="3"/>
        <v>12777726626</v>
      </c>
      <c r="R17">
        <f t="shared" si="3"/>
        <v>12633498194</v>
      </c>
      <c r="S17">
        <f t="shared" si="3"/>
        <v>13193273440</v>
      </c>
    </row>
    <row r="18" spans="1:19">
      <c r="A18" t="s">
        <v>23</v>
      </c>
      <c r="B18" t="s">
        <v>35</v>
      </c>
      <c r="C18" t="s">
        <v>808</v>
      </c>
      <c r="D18" t="s">
        <v>45</v>
      </c>
      <c r="G18">
        <f t="shared" si="0"/>
        <v>12132915642</v>
      </c>
      <c r="H18">
        <f t="shared" ref="H18:S18" si="4">H19+H20</f>
        <v>872269800</v>
      </c>
      <c r="I18">
        <f t="shared" si="4"/>
        <v>843791430</v>
      </c>
      <c r="J18">
        <f t="shared" si="4"/>
        <v>965597220</v>
      </c>
      <c r="K18">
        <f t="shared" si="4"/>
        <v>985204422</v>
      </c>
      <c r="L18">
        <f t="shared" si="4"/>
        <v>1009484082</v>
      </c>
      <c r="M18">
        <f t="shared" si="4"/>
        <v>1041231126</v>
      </c>
      <c r="N18">
        <f t="shared" si="4"/>
        <v>1068305676</v>
      </c>
      <c r="O18">
        <f t="shared" si="4"/>
        <v>1051493368</v>
      </c>
      <c r="P18">
        <f t="shared" si="4"/>
        <v>1027213662</v>
      </c>
      <c r="Q18">
        <f t="shared" si="4"/>
        <v>1082280040</v>
      </c>
      <c r="R18">
        <f t="shared" si="4"/>
        <v>1070140156</v>
      </c>
      <c r="S18">
        <f t="shared" si="4"/>
        <v>1115904660</v>
      </c>
    </row>
    <row r="19" spans="1:19">
      <c r="A19" t="s">
        <v>26</v>
      </c>
      <c r="B19" t="s">
        <v>35</v>
      </c>
      <c r="C19" t="s">
        <v>809</v>
      </c>
      <c r="D19" t="s">
        <v>47</v>
      </c>
      <c r="G19">
        <f t="shared" si="0"/>
        <v>6381457821</v>
      </c>
      <c r="H19">
        <f>A01泛微粒贷业务状况表!H13+A02微账户业务状况表!H13+A03汽车金融业务状况表!H13+A04财富业务状况表!H13+A05小鹅业务状况表!H13</f>
        <v>458184900</v>
      </c>
      <c r="I19">
        <f>A01泛微粒贷业务状况表!I13+A02微账户业务状况表!I13+A03汽车金融业务状况表!I13+A04财富业务状况表!I13+A05小鹅业务状况表!I13</f>
        <v>442370715</v>
      </c>
      <c r="J19">
        <f>A01泛微粒贷业务状况表!J13+A02微账户业务状况表!J13+A03汽车金融业务状况表!J13+A04财富业务状况表!J13+A05小鹅业务状况表!J13</f>
        <v>507368610</v>
      </c>
      <c r="K19">
        <f>A01泛微粒贷业务状况表!K13+A02微账户业务状况表!K13+A03汽车金融业务状况表!K13+A04财富业务状况表!K13+A05小鹅业务状况表!K13</f>
        <v>517802211</v>
      </c>
      <c r="L19">
        <f>A01泛微粒贷业务状况表!L13+A02微账户业务状况表!L13+A03汽车金融业务状况表!L13+A04财富业务状况表!L13+A05小鹅业务状况表!L13</f>
        <v>530572041</v>
      </c>
      <c r="M19">
        <f>A01泛微粒贷业务状况表!M13+A02微账户业务状况表!M13+A03汽车金融业务状况表!M13+A04财富业务状况表!M13+A05小鹅业务状况表!M13</f>
        <v>547390563</v>
      </c>
      <c r="N19">
        <f>A01泛微粒贷业务状况表!N13+A02微账户业务状况表!N13+A03汽车金融业务状况表!N13+A04财富业务状况表!N13+A05小鹅业务状况表!N13</f>
        <v>561872838</v>
      </c>
      <c r="O19">
        <f>A01泛微粒贷业务状况表!O13+A02微账户业务状况表!O13+A03汽车金融业务状况表!O13+A04财富业务状况表!O13+A05小鹅业务状况表!O13</f>
        <v>553151684</v>
      </c>
      <c r="P19">
        <f>A01泛微粒贷业务状况表!P13+A02微账户业务状况表!P13+A03汽车金融业务状况表!P13+A04财富业务状况表!P13+A05小鹅业务状况表!P13</f>
        <v>540381831</v>
      </c>
      <c r="Q19">
        <f>A01泛微粒贷业务状况表!Q13+A02微账户业务状况表!Q13+A03汽车金融业务状况表!Q13+A04财富业务状况表!Q13+A05小鹅业务状况表!Q13</f>
        <v>570435020</v>
      </c>
      <c r="R19">
        <f>A01泛微粒贷业务状况表!R13+A02微账户业务状况表!R13+A03汽车金融业务状况表!R13+A04财富业务状况表!R13+A05小鹅业务状况表!R13</f>
        <v>564050078</v>
      </c>
      <c r="S19">
        <f>A01泛微粒贷业务状况表!S13+A02微账户业务状况表!S13+A03汽车金融业务状况表!S13+A04财富业务状况表!S13+A05小鹅业务状况表!S13</f>
        <v>587877330</v>
      </c>
    </row>
    <row r="20" spans="1:19">
      <c r="A20" t="s">
        <v>26</v>
      </c>
      <c r="B20" t="s">
        <v>35</v>
      </c>
      <c r="C20" t="s">
        <v>810</v>
      </c>
      <c r="D20" t="s">
        <v>49</v>
      </c>
      <c r="G20">
        <f t="shared" si="0"/>
        <v>5751457821</v>
      </c>
      <c r="H20">
        <f>A01泛微粒贷业务状况表!H14+A02微账户业务状况表!H14+A03汽车金融业务状况表!H14+A04财富业务状况表!H14+A05小鹅业务状况表!H14</f>
        <v>414084900</v>
      </c>
      <c r="I20">
        <f>A01泛微粒贷业务状况表!I14+A02微账户业务状况表!I14+A03汽车金融业务状况表!I14+A04财富业务状况表!I14+A05小鹅业务状况表!I14</f>
        <v>401420715</v>
      </c>
      <c r="J20">
        <f>A01泛微粒贷业务状况表!J14+A02微账户业务状况表!J14+A03汽车金融业务状况表!J14+A04财富业务状况表!J14+A05小鹅业务状况表!J14</f>
        <v>458228610</v>
      </c>
      <c r="K20">
        <f>A01泛微粒贷业务状况表!K14+A02微账户业务状况表!K14+A03汽车金融业务状况表!K14+A04财富业务状况表!K14+A05小鹅业务状况表!K14</f>
        <v>467402211</v>
      </c>
      <c r="L20">
        <f>A01泛微粒贷业务状况表!L14+A02微账户业务状况表!L14+A03汽车金融业务状况表!L14+A04财富业务状况表!L14+A05小鹅业务状况表!L14</f>
        <v>478912041</v>
      </c>
      <c r="M20">
        <f>A01泛微粒贷业务状况表!M14+A02微账户业务状况表!M14+A03汽车金融业务状况表!M14+A04财富业务状况表!M14+A05小鹅业务状况表!M14</f>
        <v>493840563</v>
      </c>
      <c r="N20">
        <f>A01泛微粒贷业务状况表!N14+A02微账户业务状况表!N14+A03汽车金融业务状况表!N14+A04财富业务状况表!N14+A05小鹅业务状况表!N14</f>
        <v>506432838</v>
      </c>
      <c r="O20">
        <f>A01泛微粒贷业务状况表!O14+A02微账户业务状况表!O14+A03汽车金融业务状况表!O14+A04财富业务状况表!O14+A05小鹅业务状况表!O14</f>
        <v>498341684</v>
      </c>
      <c r="P20">
        <f>A01泛微粒贷业务状况表!P14+A02微账户业务状况表!P14+A03汽车金融业务状况表!P14+A04财富业务状况表!P14+A05小鹅业务状况表!P14</f>
        <v>486831831</v>
      </c>
      <c r="Q20">
        <f>A01泛微粒贷业务状况表!Q14+A02微账户业务状况表!Q14+A03汽车金融业务状况表!Q14+A04财富业务状况表!Q14+A05小鹅业务状况表!Q14</f>
        <v>511845020</v>
      </c>
      <c r="R20">
        <f>A01泛微粒贷业务状况表!R14+A02微账户业务状况表!R14+A03汽车金融业务状况表!R14+A04财富业务状况表!R14+A05小鹅业务状况表!R14</f>
        <v>506090078</v>
      </c>
      <c r="S20">
        <f>A01泛微粒贷业务状况表!S14+A02微账户业务状况表!S14+A03汽车金融业务状况表!S14+A04财富业务状况表!S14+A05小鹅业务状况表!S14</f>
        <v>528027330</v>
      </c>
    </row>
    <row r="21" spans="1:19">
      <c r="A21" t="s">
        <v>23</v>
      </c>
      <c r="B21" t="s">
        <v>35</v>
      </c>
      <c r="C21" t="s">
        <v>811</v>
      </c>
      <c r="D21" t="s">
        <v>51</v>
      </c>
      <c r="G21">
        <f t="shared" si="0"/>
        <v>11502915642</v>
      </c>
      <c r="H21">
        <f t="shared" ref="H21:S21" si="5">H22+H23</f>
        <v>828169800</v>
      </c>
      <c r="I21">
        <f t="shared" si="5"/>
        <v>802841430</v>
      </c>
      <c r="J21">
        <f t="shared" si="5"/>
        <v>916457220</v>
      </c>
      <c r="K21">
        <f t="shared" si="5"/>
        <v>934804422</v>
      </c>
      <c r="L21">
        <f t="shared" si="5"/>
        <v>957824082</v>
      </c>
      <c r="M21">
        <f t="shared" si="5"/>
        <v>987681126</v>
      </c>
      <c r="N21">
        <f t="shared" si="5"/>
        <v>1012865676</v>
      </c>
      <c r="O21">
        <f t="shared" si="5"/>
        <v>996683368</v>
      </c>
      <c r="P21">
        <f t="shared" si="5"/>
        <v>973663662</v>
      </c>
      <c r="Q21">
        <f t="shared" si="5"/>
        <v>1023690040</v>
      </c>
      <c r="R21">
        <f t="shared" si="5"/>
        <v>1012180156</v>
      </c>
      <c r="S21">
        <f t="shared" si="5"/>
        <v>1056054660</v>
      </c>
    </row>
    <row r="22" spans="1:19">
      <c r="A22" t="s">
        <v>26</v>
      </c>
      <c r="B22" t="s">
        <v>35</v>
      </c>
      <c r="C22" t="s">
        <v>812</v>
      </c>
      <c r="D22" t="s">
        <v>53</v>
      </c>
      <c r="G22">
        <f t="shared" si="0"/>
        <v>5881457821</v>
      </c>
      <c r="H22">
        <f>A01泛微粒贷业务状况表!H16+A02微账户业务状况表!H16+A03汽车金融业务状况表!H16+A04财富业务状况表!H16+A05小鹅业务状况表!H16</f>
        <v>423184900</v>
      </c>
      <c r="I22">
        <f>A01泛微粒贷业务状况表!I16+A02微账户业务状况表!I16+A03汽车金融业务状况表!I16+A04财富业务状况表!I16+A05小鹅业务状况表!I16</f>
        <v>409870715</v>
      </c>
      <c r="J22">
        <f>A01泛微粒贷业务状况表!J16+A02微账户业务状况表!J16+A03汽车金融业务状况表!J16+A04财富业务状况表!J16+A05小鹅业务状况表!J16</f>
        <v>468368610</v>
      </c>
      <c r="K22">
        <f>A01泛微粒贷业务状况表!K16+A02微账户业务状况表!K16+A03汽车金融业务状况表!K16+A04财富业务状况表!K16+A05小鹅业务状况表!K16</f>
        <v>477802211</v>
      </c>
      <c r="L22">
        <f>A01泛微粒贷业务状况表!L16+A02微账户业务状况表!L16+A03汽车金融业务状况表!L16+A04财富业务状况表!L16+A05小鹅业务状况表!L16</f>
        <v>489572041</v>
      </c>
      <c r="M22">
        <f>A01泛微粒贷业务状况表!M16+A02微账户业务状况表!M16+A03汽车金融业务状况表!M16+A04财富业务状况表!M16+A05小鹅业务状况表!M16</f>
        <v>504890563</v>
      </c>
      <c r="N22">
        <f>A01泛微粒贷业务状况表!N16+A02微账户业务状况表!N16+A03汽车金融业务状况表!N16+A04财富业务状况表!N16+A05小鹅业务状况表!N16</f>
        <v>517872838</v>
      </c>
      <c r="O22">
        <f>A01泛微粒贷业务状况表!O16+A02微账户业务状况表!O16+A03汽车金融业务状况表!O16+A04财富业务状况表!O16+A05小鹅业务状况表!O16</f>
        <v>509651684</v>
      </c>
      <c r="P22">
        <f>A01泛微粒贷业务状况表!P16+A02微账户业务状况表!P16+A03汽车金融业务状况表!P16+A04财富业务状况表!P16+A05小鹅业务状况表!P16</f>
        <v>497881831</v>
      </c>
      <c r="Q22">
        <f>A01泛微粒贷业务状况表!Q16+A02微账户业务状况表!Q16+A03汽车金融业务状况表!Q16+A04财富业务状况表!Q16+A05小鹅业务状况表!Q16</f>
        <v>523935020</v>
      </c>
      <c r="R22">
        <f>A01泛微粒贷业务状况表!R16+A02微账户业务状况表!R16+A03汽车金融业务状况表!R16+A04财富业务状况表!R16+A05小鹅业务状况表!R16</f>
        <v>518050078</v>
      </c>
      <c r="S22">
        <f>A01泛微粒贷业务状况表!S16+A02微账户业务状况表!S16+A03汽车金融业务状况表!S16+A04财富业务状况表!S16+A05小鹅业务状况表!S16</f>
        <v>540377330</v>
      </c>
    </row>
    <row r="23" spans="1:19">
      <c r="A23" t="s">
        <v>26</v>
      </c>
      <c r="B23" t="s">
        <v>35</v>
      </c>
      <c r="C23" t="s">
        <v>813</v>
      </c>
      <c r="D23" t="s">
        <v>55</v>
      </c>
      <c r="G23">
        <f t="shared" si="0"/>
        <v>5621457821</v>
      </c>
      <c r="H23">
        <f>A01泛微粒贷业务状况表!H17+A02微账户业务状况表!H17+A03汽车金融业务状况表!H17+A04财富业务状况表!H17+A05小鹅业务状况表!H17</f>
        <v>404984900</v>
      </c>
      <c r="I23">
        <f>A01泛微粒贷业务状况表!I17+A02微账户业务状况表!I17+A03汽车金融业务状况表!I17+A04财富业务状况表!I17+A05小鹅业务状况表!I17</f>
        <v>392970715</v>
      </c>
      <c r="J23">
        <f>A01泛微粒贷业务状况表!J17+A02微账户业务状况表!J17+A03汽车金融业务状况表!J17+A04财富业务状况表!J17+A05小鹅业务状况表!J17</f>
        <v>448088610</v>
      </c>
      <c r="K23">
        <f>A01泛微粒贷业务状况表!K17+A02微账户业务状况表!K17+A03汽车金融业务状况表!K17+A04财富业务状况表!K17+A05小鹅业务状况表!K17</f>
        <v>457002211</v>
      </c>
      <c r="L23">
        <f>A01泛微粒贷业务状况表!L17+A02微账户业务状况表!L17+A03汽车金融业务状况表!L17+A04财富业务状况表!L17+A05小鹅业务状况表!L17</f>
        <v>468252041</v>
      </c>
      <c r="M23">
        <f>A01泛微粒贷业务状况表!M17+A02微账户业务状况表!M17+A03汽车金融业务状况表!M17+A04财富业务状况表!M17+A05小鹅业务状况表!M17</f>
        <v>482790563</v>
      </c>
      <c r="N23">
        <f>A01泛微粒贷业务状况表!N17+A02微账户业务状况表!N17+A03汽车金融业务状况表!N17+A04财富业务状况表!N17+A05小鹅业务状况表!N17</f>
        <v>494992838</v>
      </c>
      <c r="O23">
        <f>A01泛微粒贷业务状况表!O17+A02微账户业务状况表!O17+A03汽车金融业务状况表!O17+A04财富业务状况表!O17+A05小鹅业务状况表!O17</f>
        <v>487031684</v>
      </c>
      <c r="P23">
        <f>A01泛微粒贷业务状况表!P17+A02微账户业务状况表!P17+A03汽车金融业务状况表!P17+A04财富业务状况表!P17+A05小鹅业务状况表!P17</f>
        <v>475781831</v>
      </c>
      <c r="Q23">
        <f>A01泛微粒贷业务状况表!Q17+A02微账户业务状况表!Q17+A03汽车金融业务状况表!Q17+A04财富业务状况表!Q17+A05小鹅业务状况表!Q17</f>
        <v>499755020</v>
      </c>
      <c r="R23">
        <f>A01泛微粒贷业务状况表!R17+A02微账户业务状况表!R17+A03汽车金融业务状况表!R17+A04财富业务状况表!R17+A05小鹅业务状况表!R17</f>
        <v>494130078</v>
      </c>
      <c r="S23">
        <f>A01泛微粒贷业务状况表!S17+A02微账户业务状况表!S17+A03汽车金融业务状况表!S17+A04财富业务状况表!S17+A05小鹅业务状况表!S17</f>
        <v>515677330</v>
      </c>
    </row>
    <row r="24" spans="1:19">
      <c r="A24" t="s">
        <v>23</v>
      </c>
      <c r="B24" t="s">
        <v>35</v>
      </c>
      <c r="C24" t="s">
        <v>814</v>
      </c>
      <c r="D24" t="s">
        <v>57</v>
      </c>
      <c r="G24">
        <f t="shared" si="0"/>
        <v>17438664937</v>
      </c>
      <c r="H24">
        <f t="shared" ref="H24:S24" si="6">H25+H28+H29+H30</f>
        <v>1257451674</v>
      </c>
      <c r="I24">
        <f t="shared" si="6"/>
        <v>1221756279</v>
      </c>
      <c r="J24">
        <f t="shared" si="6"/>
        <v>1390983548</v>
      </c>
      <c r="K24">
        <f t="shared" si="6"/>
        <v>1418407069</v>
      </c>
      <c r="L24">
        <f t="shared" si="6"/>
        <v>1453306521</v>
      </c>
      <c r="M24">
        <f t="shared" si="6"/>
        <v>1498179793</v>
      </c>
      <c r="N24">
        <f t="shared" si="6"/>
        <v>1535577074</v>
      </c>
      <c r="O24">
        <f t="shared" si="6"/>
        <v>1510651380</v>
      </c>
      <c r="P24">
        <f t="shared" si="6"/>
        <v>1475751853</v>
      </c>
      <c r="Q24">
        <f t="shared" si="6"/>
        <v>1548066056</v>
      </c>
      <c r="R24">
        <f t="shared" si="6"/>
        <v>1530616242</v>
      </c>
      <c r="S24">
        <f t="shared" si="6"/>
        <v>1597917448</v>
      </c>
    </row>
    <row r="25" spans="1:19">
      <c r="A25" t="s">
        <v>26</v>
      </c>
      <c r="B25" t="s">
        <v>35</v>
      </c>
      <c r="C25" t="s">
        <v>815</v>
      </c>
      <c r="D25" t="s">
        <v>59</v>
      </c>
      <c r="G25">
        <f t="shared" si="0"/>
        <v>1524291474</v>
      </c>
      <c r="H25">
        <f t="shared" ref="H25:S25" si="7">H26+H27</f>
        <v>108996974</v>
      </c>
      <c r="I25">
        <f t="shared" si="7"/>
        <v>104594134</v>
      </c>
      <c r="J25">
        <f t="shared" si="7"/>
        <v>120817718</v>
      </c>
      <c r="K25">
        <f t="shared" si="7"/>
        <v>123400436</v>
      </c>
      <c r="L25">
        <f t="shared" si="7"/>
        <v>126450398</v>
      </c>
      <c r="M25">
        <f t="shared" si="7"/>
        <v>130558104</v>
      </c>
      <c r="N25">
        <f t="shared" si="7"/>
        <v>134198560</v>
      </c>
      <c r="O25">
        <f t="shared" si="7"/>
        <v>132206328</v>
      </c>
      <c r="P25">
        <f t="shared" si="7"/>
        <v>129156360</v>
      </c>
      <c r="Q25">
        <f t="shared" si="7"/>
        <v>137150996</v>
      </c>
      <c r="R25">
        <f t="shared" si="7"/>
        <v>135626008</v>
      </c>
      <c r="S25">
        <f t="shared" si="7"/>
        <v>141135458</v>
      </c>
    </row>
    <row r="26" spans="1:19">
      <c r="A26" t="s">
        <v>60</v>
      </c>
      <c r="B26" t="s">
        <v>35</v>
      </c>
      <c r="C26" t="s">
        <v>816</v>
      </c>
      <c r="D26" t="s">
        <v>62</v>
      </c>
      <c r="G26">
        <f t="shared" si="0"/>
        <v>802145737</v>
      </c>
      <c r="H26">
        <f>A01泛微粒贷业务状况表!H20+A02微账户业务状况表!H20+A03汽车金融业务状况表!H20+A04财富业务状况表!H20+A05小鹅业务状况表!H20</f>
        <v>57298487</v>
      </c>
      <c r="I26">
        <f>A01泛微粒贷业务状况表!I20+A02微账户业务状况表!I20+A03汽车金融业务状况表!I20+A04财富业务状况表!I20+A05小鹅业务状况表!I20</f>
        <v>54897067</v>
      </c>
      <c r="J26">
        <f>A01泛微粒贷业务状况表!J20+A02微账户业务状况表!J20+A03汽车金融业务状况表!J20+A04财富业务状况表!J20+A05小鹅业务状况表!J20</f>
        <v>63528859</v>
      </c>
      <c r="K26">
        <f>A01泛微粒贷业务状况表!K20+A02微账户业务状况表!K20+A03汽车金融业务状况表!K20+A04财富业务状况表!K20+A05小鹅业务状况表!K20</f>
        <v>64900218</v>
      </c>
      <c r="L26">
        <f>A01泛微粒贷业务状况表!L20+A02微账户业务状况表!L20+A03汽车金融业务状况表!L20+A04财富业务状况表!L20+A05小鹅业务状况表!L20</f>
        <v>66505199</v>
      </c>
      <c r="M26">
        <f>A01泛微粒贷业务状况表!M20+A02微账户业务状况表!M20+A03汽车金融业务状况表!M20+A04财富业务状况表!M20+A05小鹅业务状况表!M20</f>
        <v>68679052</v>
      </c>
      <c r="N26">
        <f>A01泛微粒贷业务状况表!N20+A02微账户业务状况表!N20+A03汽车金融业务状况表!N20+A04财富业务状况表!N20+A05小鹅业务状况表!N20</f>
        <v>70619280</v>
      </c>
      <c r="O26">
        <f>A01泛微粒贷业务状况表!O20+A02微账户业务状况表!O20+A03汽车金融业务状况表!O20+A04财富业务状况表!O20+A05小鹅业务状况表!O20</f>
        <v>69583164</v>
      </c>
      <c r="P26">
        <f>A01泛微粒贷业务状况表!P20+A02微账户业务状况表!P20+A03汽车金融业务状况表!P20+A04财富业务状况表!P20+A05小鹅业务状况表!P20</f>
        <v>67978180</v>
      </c>
      <c r="Q26">
        <f>A01泛微粒贷业务状况表!Q20+A02微账户业务状况表!Q20+A03汽车金融业务状况表!Q20+A04财富业务状况表!Q20+A05小鹅业务状况表!Q20</f>
        <v>72295498</v>
      </c>
      <c r="R26">
        <f>A01泛微粒贷业务状况表!R20+A02微账户业务状况表!R20+A03汽车金融业务状况表!R20+A04财富业务状况表!R20+A05小鹅业务状况表!R20</f>
        <v>71493004</v>
      </c>
      <c r="S26">
        <f>A01泛微粒贷业务状况表!S20+A02微账户业务状况表!S20+A03汽车金融业务状况表!S20+A04财富业务状况表!S20+A05小鹅业务状况表!S20</f>
        <v>74367729</v>
      </c>
    </row>
    <row r="27" spans="1:19">
      <c r="A27" t="s">
        <v>60</v>
      </c>
      <c r="B27" t="s">
        <v>35</v>
      </c>
      <c r="C27" t="s">
        <v>817</v>
      </c>
      <c r="D27" t="s">
        <v>64</v>
      </c>
      <c r="G27">
        <f t="shared" si="0"/>
        <v>722145737</v>
      </c>
      <c r="H27">
        <f>A01泛微粒贷业务状况表!H21+A02微账户业务状况表!H21+A03汽车金融业务状况表!H21+A04财富业务状况表!H21+A05小鹅业务状况表!H21</f>
        <v>51698487</v>
      </c>
      <c r="I27">
        <f>A01泛微粒贷业务状况表!I21+A02微账户业务状况表!I21+A03汽车金融业务状况表!I21+A04财富业务状况表!I21+A05小鹅业务状况表!I21</f>
        <v>49697067</v>
      </c>
      <c r="J27">
        <f>A01泛微粒贷业务状况表!J21+A02微账户业务状况表!J21+A03汽车金融业务状况表!J21+A04财富业务状况表!J21+A05小鹅业务状况表!J21</f>
        <v>57288859</v>
      </c>
      <c r="K27">
        <f>A01泛微粒贷业务状况表!K21+A02微账户业务状况表!K21+A03汽车金融业务状况表!K21+A04财富业务状况表!K21+A05小鹅业务状况表!K21</f>
        <v>58500218</v>
      </c>
      <c r="L27">
        <f>A01泛微粒贷业务状况表!L21+A02微账户业务状况表!L21+A03汽车金融业务状况表!L21+A04财富业务状况表!L21+A05小鹅业务状况表!L21</f>
        <v>59945199</v>
      </c>
      <c r="M27">
        <f>A01泛微粒贷业务状况表!M21+A02微账户业务状况表!M21+A03汽车金融业务状况表!M21+A04财富业务状况表!M21+A05小鹅业务状况表!M21</f>
        <v>61879052</v>
      </c>
      <c r="N27">
        <f>A01泛微粒贷业务状况表!N21+A02微账户业务状况表!N21+A03汽车金融业务状况表!N21+A04财富业务状况表!N21+A05小鹅业务状况表!N21</f>
        <v>63579280</v>
      </c>
      <c r="O27">
        <f>A01泛微粒贷业务状况表!O21+A02微账户业务状况表!O21+A03汽车金融业务状况表!O21+A04财富业务状况表!O21+A05小鹅业务状况表!O21</f>
        <v>62623164</v>
      </c>
      <c r="P27">
        <f>A01泛微粒贷业务状况表!P21+A02微账户业务状况表!P21+A03汽车金融业务状况表!P21+A04财富业务状况表!P21+A05小鹅业务状况表!P21</f>
        <v>61178180</v>
      </c>
      <c r="Q27">
        <f>A01泛微粒贷业务状况表!Q21+A02微账户业务状况表!Q21+A03汽车金融业务状况表!Q21+A04财富业务状况表!Q21+A05小鹅业务状况表!Q21</f>
        <v>64855498</v>
      </c>
      <c r="R27">
        <f>A01泛微粒贷业务状况表!R21+A02微账户业务状况表!R21+A03汽车金融业务状况表!R21+A04财富业务状况表!R21+A05小鹅业务状况表!R21</f>
        <v>64133004</v>
      </c>
      <c r="S27">
        <f>A01泛微粒贷业务状况表!S21+A02微账户业务状况表!S21+A03汽车金融业务状况表!S21+A04财富业务状况表!S21+A05小鹅业务状况表!S21</f>
        <v>66767729</v>
      </c>
    </row>
    <row r="28" spans="1:19">
      <c r="A28" t="s">
        <v>26</v>
      </c>
      <c r="B28" t="s">
        <v>35</v>
      </c>
      <c r="C28" t="s">
        <v>818</v>
      </c>
      <c r="D28" t="s">
        <v>66</v>
      </c>
      <c r="G28">
        <f t="shared" si="0"/>
        <v>5331457821</v>
      </c>
      <c r="H28">
        <f>A01泛微粒贷业务状况表!H22+A02微账户业务状况表!H22+A03汽车金融业务状况表!H22+A04财富业务状况表!H22+A05小鹅业务状况表!H22</f>
        <v>384684900</v>
      </c>
      <c r="I28">
        <f>A01泛微粒贷业务状况表!I22+A02微账户业务状况表!I22+A03汽车金融业务状况表!I22+A04财富业务状况表!I22+A05小鹅业务状况表!I22</f>
        <v>374120715</v>
      </c>
      <c r="J28">
        <f>A01泛微粒贷业务状况表!J22+A02微账户业务状况表!J22+A03汽车金融业务状况表!J22+A04财富业务状况表!J22+A05小鹅业务状况表!J22</f>
        <v>425468610</v>
      </c>
      <c r="K28">
        <f>A01泛微粒贷业务状况表!K22+A02微账户业务状况表!K22+A03汽车金融业务状况表!K22+A04财富业务状况表!K22+A05小鹅业务状况表!K22</f>
        <v>433802211</v>
      </c>
      <c r="L28">
        <f>A01泛微粒贷业务状况表!L22+A02微账户业务状况表!L22+A03汽车金融业务状况表!L22+A04财富业务状况表!L22+A05小鹅业务状况表!L22</f>
        <v>444472041</v>
      </c>
      <c r="M28">
        <f>A01泛微粒贷业务状况表!M22+A02微账户业务状况表!M22+A03汽车金融业务状况表!M22+A04财富业务状况表!M22+A05小鹅业务状况表!M22</f>
        <v>458140563</v>
      </c>
      <c r="N28">
        <f>A01泛微粒贷业务状况表!N22+A02微账户业务状况表!N22+A03汽车金融业务状况表!N22+A04财富业务状况表!N22+A05小鹅业务状况表!N22</f>
        <v>469472838</v>
      </c>
      <c r="O28">
        <f>A01泛微粒贷业务状况表!O22+A02微账户业务状况表!O22+A03汽车金融业务状况表!O22+A04财富业务状况表!O22+A05小鹅业务状况表!O22</f>
        <v>461801684</v>
      </c>
      <c r="P28">
        <f>A01泛微粒贷业务状况表!P22+A02微账户业务状况表!P22+A03汽车金融业务状况表!P22+A04财富业务状况表!P22+A05小鹅业务状况表!P22</f>
        <v>451131831</v>
      </c>
      <c r="Q28">
        <f>A01泛微粒贷业务状况表!Q22+A02微账户业务状况表!Q22+A03汽车金融业务状况表!Q22+A04财富业务状况表!Q22+A05小鹅业务状况表!Q22</f>
        <v>472785020</v>
      </c>
      <c r="R28">
        <f>A01泛微粒贷业务状况表!R22+A02微账户业务状况表!R22+A03汽车金融业务状况表!R22+A04财富业务状况表!R22+A05小鹅业务状况表!R22</f>
        <v>467450078</v>
      </c>
      <c r="S28">
        <f>A01泛微粒贷业务状况表!S22+A02微账户业务状况表!S22+A03汽车金融业务状况表!S22+A04财富业务状况表!S22+A05小鹅业务状况表!S22</f>
        <v>488127330</v>
      </c>
    </row>
    <row r="29" spans="1:19">
      <c r="A29" t="s">
        <v>26</v>
      </c>
      <c r="B29" t="s">
        <v>35</v>
      </c>
      <c r="C29" t="s">
        <v>819</v>
      </c>
      <c r="D29" t="s">
        <v>68</v>
      </c>
      <c r="G29">
        <f t="shared" si="0"/>
        <v>5291457821</v>
      </c>
      <c r="H29">
        <f>A01泛微粒贷业务状况表!H23+A02微账户业务状况表!H23+A03汽车金融业务状况表!H23+A04财富业务状况表!H23+A05小鹅业务状况表!H23</f>
        <v>381884900</v>
      </c>
      <c r="I29">
        <f>A01泛微粒贷业务状况表!I23+A02微账户业务状况表!I23+A03汽车金融业务状况表!I23+A04财富业务状况表!I23+A05小鹅业务状况表!I23</f>
        <v>371520715</v>
      </c>
      <c r="J29">
        <f>A01泛微粒贷业务状况表!J23+A02微账户业务状况表!J23+A03汽车金融业务状况表!J23+A04财富业务状况表!J23+A05小鹅业务状况表!J23</f>
        <v>422348610</v>
      </c>
      <c r="K29">
        <f>A01泛微粒贷业务状况表!K23+A02微账户业务状况表!K23+A03汽车金融业务状况表!K23+A04财富业务状况表!K23+A05小鹅业务状况表!K23</f>
        <v>430602211</v>
      </c>
      <c r="L29">
        <f>A01泛微粒贷业务状况表!L23+A02微账户业务状况表!L23+A03汽车金融业务状况表!L23+A04财富业务状况表!L23+A05小鹅业务状况表!L23</f>
        <v>441192041</v>
      </c>
      <c r="M29">
        <f>A01泛微粒贷业务状况表!M23+A02微账户业务状况表!M23+A03汽车金融业务状况表!M23+A04财富业务状况表!M23+A05小鹅业务状况表!M23</f>
        <v>454740563</v>
      </c>
      <c r="N29">
        <f>A01泛微粒贷业务状况表!N23+A02微账户业务状况表!N23+A03汽车金融业务状况表!N23+A04财富业务状况表!N23+A05小鹅业务状况表!N23</f>
        <v>465952838</v>
      </c>
      <c r="O29">
        <f>A01泛微粒贷业务状况表!O23+A02微账户业务状况表!O23+A03汽车金融业务状况表!O23+A04财富业务状况表!O23+A05小鹅业务状况表!O23</f>
        <v>458321684</v>
      </c>
      <c r="P29">
        <f>A01泛微粒贷业务状况表!P23+A02微账户业务状况表!P23+A03汽车金融业务状况表!P23+A04财富业务状况表!P23+A05小鹅业务状况表!P23</f>
        <v>447731831</v>
      </c>
      <c r="Q29">
        <f>A01泛微粒贷业务状况表!Q23+A02微账户业务状况表!Q23+A03汽车金融业务状况表!Q23+A04财富业务状况表!Q23+A05小鹅业务状况表!Q23</f>
        <v>469065020</v>
      </c>
      <c r="R29">
        <f>A01泛微粒贷业务状况表!R23+A02微账户业务状况表!R23+A03汽车金融业务状况表!R23+A04财富业务状况表!R23+A05小鹅业务状况表!R23</f>
        <v>463770078</v>
      </c>
      <c r="S29">
        <f>A01泛微粒贷业务状况表!S23+A02微账户业务状况表!S23+A03汽车金融业务状况表!S23+A04财富业务状况表!S23+A05小鹅业务状况表!S23</f>
        <v>484327330</v>
      </c>
    </row>
    <row r="30" spans="1:19">
      <c r="A30" t="s">
        <v>26</v>
      </c>
      <c r="B30" t="s">
        <v>35</v>
      </c>
      <c r="C30" t="s">
        <v>820</v>
      </c>
      <c r="D30" t="s">
        <v>70</v>
      </c>
      <c r="G30">
        <f t="shared" si="0"/>
        <v>5291457821</v>
      </c>
      <c r="H30">
        <f>A01泛微粒贷业务状况表!H24+A02微账户业务状况表!H24+A03汽车金融业务状况表!H24+A04财富业务状况表!H24+A05小鹅业务状况表!H24</f>
        <v>381884900</v>
      </c>
      <c r="I30">
        <f>A01泛微粒贷业务状况表!I24+A02微账户业务状况表!I24+A03汽车金融业务状况表!I24+A04财富业务状况表!I24+A05小鹅业务状况表!I24</f>
        <v>371520715</v>
      </c>
      <c r="J30">
        <f>A01泛微粒贷业务状况表!J24+A02微账户业务状况表!J24+A03汽车金融业务状况表!J24+A04财富业务状况表!J24+A05小鹅业务状况表!J24</f>
        <v>422348610</v>
      </c>
      <c r="K30">
        <f>A01泛微粒贷业务状况表!K24+A02微账户业务状况表!K24+A03汽车金融业务状况表!K24+A04财富业务状况表!K24+A05小鹅业务状况表!K24</f>
        <v>430602211</v>
      </c>
      <c r="L30">
        <f>A01泛微粒贷业务状况表!L24+A02微账户业务状况表!L24+A03汽车金融业务状况表!L24+A04财富业务状况表!L24+A05小鹅业务状况表!L24</f>
        <v>441192041</v>
      </c>
      <c r="M30">
        <f>A01泛微粒贷业务状况表!M24+A02微账户业务状况表!M24+A03汽车金融业务状况表!M24+A04财富业务状况表!M24+A05小鹅业务状况表!M24</f>
        <v>454740563</v>
      </c>
      <c r="N30">
        <f>A01泛微粒贷业务状况表!N24+A02微账户业务状况表!N24+A03汽车金融业务状况表!N24+A04财富业务状况表!N24+A05小鹅业务状况表!N24</f>
        <v>465952838</v>
      </c>
      <c r="O30">
        <f>A01泛微粒贷业务状况表!O24+A02微账户业务状况表!O24+A03汽车金融业务状况表!O24+A04财富业务状况表!O24+A05小鹅业务状况表!O24</f>
        <v>458321684</v>
      </c>
      <c r="P30">
        <f>A01泛微粒贷业务状况表!P24+A02微账户业务状况表!P24+A03汽车金融业务状况表!P24+A04财富业务状况表!P24+A05小鹅业务状况表!P24</f>
        <v>447731831</v>
      </c>
      <c r="Q30">
        <f>A01泛微粒贷业务状况表!Q24+A02微账户业务状况表!Q24+A03汽车金融业务状况表!Q24+A04财富业务状况表!Q24+A05小鹅业务状况表!Q24</f>
        <v>469065020</v>
      </c>
      <c r="R30">
        <f>A01泛微粒贷业务状况表!R24+A02微账户业务状况表!R24+A03汽车金融业务状况表!R24+A04财富业务状况表!R24+A05小鹅业务状况表!R24</f>
        <v>463770078</v>
      </c>
      <c r="S30">
        <f>A01泛微粒贷业务状况表!S24+A02微账户业务状况表!S24+A03汽车金融业务状况表!S24+A04财富业务状况表!S24+A05小鹅业务状况表!S24</f>
        <v>484327330</v>
      </c>
    </row>
    <row r="31" spans="1:19">
      <c r="A31" t="s">
        <v>23</v>
      </c>
      <c r="B31" t="s">
        <v>35</v>
      </c>
      <c r="C31" t="s">
        <v>821</v>
      </c>
      <c r="D31" t="s">
        <v>72</v>
      </c>
      <c r="G31">
        <f t="shared" si="0"/>
        <v>51554578649</v>
      </c>
      <c r="H31">
        <f>A01泛微粒贷业务状况表!H25+A02微账户业务状况表!H25+A03汽车金融业务状况表!H25+A04财富业务状况表!H25+A05小鹅业务状况表!H25</f>
        <v>3723649032</v>
      </c>
      <c r="I31">
        <f>A01泛微粒贷业务状况表!I25+A02微账户业务状况表!I25+A03汽车金融业务状况表!I25+A04财富业务状况表!I25+A05小鹅业务状况表!I25</f>
        <v>3626807190</v>
      </c>
      <c r="J31">
        <f>A01泛微粒贷业务状况表!J25+A02微账户业务状况表!J25+A03汽车金融业务状况表!J25+A04财富业务状况表!J25+A05小鹅业务状况表!J25</f>
        <v>4117406120</v>
      </c>
      <c r="K31">
        <f>A01泛微粒贷业务状况表!K25+A02微账户业务状况表!K25+A03汽车金融业务状况表!K25+A04财富业务状况表!K25+A05小鹅业务状况表!K25</f>
        <v>4197222150</v>
      </c>
      <c r="L31">
        <f>A01泛微粒贷业务状况表!L25+A02微账户业务状况表!L25+A03汽车金融业务状况表!L25+A04财富业务状况表!L25+A05小鹅业务状况表!L25</f>
        <v>4300400452</v>
      </c>
      <c r="M31">
        <f>A01泛微粒贷业务状况表!M25+A02微账户业务状况表!M25+A03汽车金融业务状况表!M25+A04财富业务状况表!M25+A05小鹅业务状况表!M25</f>
        <v>4431805660</v>
      </c>
      <c r="N31">
        <f>A01泛微粒贷业务状况表!N25+A02微账户业务状况表!N25+A03汽车金融业务状况表!N25+A04财富业务状况表!N25+A05小鹅业务状况表!N25</f>
        <v>4539848419</v>
      </c>
      <c r="O31">
        <f>A01泛微粒贷业务状况表!O25+A02微账户业务状况表!O25+A03汽车金融业务状况表!O25+A04财富业务状况表!O25+A05小鹅业务状况表!O25</f>
        <v>4464896870</v>
      </c>
      <c r="P31">
        <f>A01泛微粒贷业务状况表!P25+A02微账户业务状况表!P25+A03汽车金融业务状况表!P25+A04财富业务状况表!P25+A05小鹅业务状况表!P25</f>
        <v>4361718355</v>
      </c>
      <c r="Q31">
        <f>A01泛微粒贷业务状况表!Q25+A02微账户业务状况表!Q25+A03汽车金融业务状况表!Q25+A04财富业务状况表!Q25+A05小鹅业务状况表!Q25</f>
        <v>4564170245</v>
      </c>
      <c r="R31">
        <f>A01泛微粒贷业务状况表!R25+A02微账户业务状况表!R25+A03汽车金融业务状况表!R25+A04财富业务状况表!R25+A05小鹅业务状况表!R25</f>
        <v>4512580820</v>
      </c>
      <c r="S31">
        <f>A01泛微粒贷业务状况表!S25+A02微账户业务状况表!S25+A03汽车金融业务状况表!S25+A04财富业务状况表!S25+A05小鹅业务状况表!S25</f>
        <v>4714073336</v>
      </c>
    </row>
    <row r="32" spans="1:19">
      <c r="A32" t="s">
        <v>23</v>
      </c>
      <c r="B32" t="s">
        <v>35</v>
      </c>
      <c r="C32" t="s">
        <v>822</v>
      </c>
      <c r="D32" t="s">
        <v>74</v>
      </c>
      <c r="G32">
        <f t="shared" si="0"/>
        <v>51504578649</v>
      </c>
      <c r="H32">
        <f>A01泛微粒贷业务状况表!H26+A02微账户业务状况表!H26+A03汽车金融业务状况表!H26+A04财富业务状况表!H26+A05小鹅业务状况表!H26</f>
        <v>3720149032</v>
      </c>
      <c r="I32">
        <f>A01泛微粒贷业务状况表!I26+A02微账户业务状况表!I26+A03汽车金融业务状况表!I26+A04财富业务状况表!I26+A05小鹅业务状况表!I26</f>
        <v>3623557190</v>
      </c>
      <c r="J32">
        <f>A01泛微粒贷业务状况表!J26+A02微账户业务状况表!J26+A03汽车金融业务状况表!J26+A04财富业务状况表!J26+A05小鹅业务状况表!J26</f>
        <v>4113506120</v>
      </c>
      <c r="K32">
        <f>A01泛微粒贷业务状况表!K26+A02微账户业务状况表!K26+A03汽车金融业务状况表!K26+A04财富业务状况表!K26+A05小鹅业务状况表!K26</f>
        <v>4193222150</v>
      </c>
      <c r="L32">
        <f>A01泛微粒贷业务状况表!L26+A02微账户业务状况表!L26+A03汽车金融业务状况表!L26+A04财富业务状况表!L26+A05小鹅业务状况表!L26</f>
        <v>4296300452</v>
      </c>
      <c r="M32">
        <f>A01泛微粒贷业务状况表!M26+A02微账户业务状况表!M26+A03汽车金融业务状况表!M26+A04财富业务状况表!M26+A05小鹅业务状况表!M26</f>
        <v>4427555660</v>
      </c>
      <c r="N32">
        <f>A01泛微粒贷业务状况表!N26+A02微账户业务状况表!N26+A03汽车金融业务状况表!N26+A04财富业务状况表!N26+A05小鹅业务状况表!N26</f>
        <v>4535448419</v>
      </c>
      <c r="O32">
        <f>A01泛微粒贷业务状况表!O26+A02微账户业务状况表!O26+A03汽车金融业务状况表!O26+A04财富业务状况表!O26+A05小鹅业务状况表!O26</f>
        <v>4460546870</v>
      </c>
      <c r="P32">
        <f>A01泛微粒贷业务状况表!P26+A02微账户业务状况表!P26+A03汽车金融业务状况表!P26+A04财富业务状况表!P26+A05小鹅业务状况表!P26</f>
        <v>4357468355</v>
      </c>
      <c r="Q32">
        <f>A01泛微粒贷业务状况表!Q26+A02微账户业务状况表!Q26+A03汽车金融业务状况表!Q26+A04财富业务状况表!Q26+A05小鹅业务状况表!Q26</f>
        <v>4559520245</v>
      </c>
      <c r="R32">
        <f>A01泛微粒贷业务状况表!R26+A02微账户业务状况表!R26+A03汽车金融业务状况表!R26+A04财富业务状况表!R26+A05小鹅业务状况表!R26</f>
        <v>4507980820</v>
      </c>
      <c r="S32">
        <f>A01泛微粒贷业务状况表!S26+A02微账户业务状况表!S26+A03汽车金融业务状况表!S26+A04财富业务状况表!S26+A05小鹅业务状况表!S26</f>
        <v>4709323336</v>
      </c>
    </row>
    <row r="33" spans="1:19">
      <c r="A33" t="s">
        <v>19</v>
      </c>
      <c r="B33" t="s">
        <v>20</v>
      </c>
      <c r="C33" t="s">
        <v>823</v>
      </c>
      <c r="D33" t="s">
        <v>76</v>
      </c>
      <c r="G33">
        <f t="shared" si="0"/>
        <v>200000000</v>
      </c>
      <c r="H33">
        <f>A01泛微粒贷业务状况表!H27+A02微账户业务状况表!H27+A03汽车金融业务状况表!H27+A04财富业务状况表!H27+A05小鹅业务状况表!H27</f>
        <v>14000000</v>
      </c>
      <c r="I33">
        <f>A01泛微粒贷业务状况表!I27+A02微账户业务状况表!I27+A03汽车金融业务状况表!I27+A04财富业务状况表!I27+A05小鹅业务状况表!I27</f>
        <v>13000000</v>
      </c>
      <c r="J33">
        <f>A01泛微粒贷业务状况表!J27+A02微账户业务状况表!J27+A03汽车金融业务状况表!J27+A04财富业务状况表!J27+A05小鹅业务状况表!J27</f>
        <v>15600000</v>
      </c>
      <c r="K33">
        <f>A01泛微粒贷业务状况表!K27+A02微账户业务状况表!K27+A03汽车金融业务状况表!K27+A04财富业务状况表!K27+A05小鹅业务状况表!K27</f>
        <v>16000000</v>
      </c>
      <c r="L33">
        <f>A01泛微粒贷业务状况表!L27+A02微账户业务状况表!L27+A03汽车金融业务状况表!L27+A04财富业务状况表!L27+A05小鹅业务状况表!L27</f>
        <v>16400000</v>
      </c>
      <c r="M33">
        <f>A01泛微粒贷业务状况表!M27+A02微账户业务状况表!M27+A03汽车金融业务状况表!M27+A04财富业务状况表!M27+A05小鹅业务状况表!M27</f>
        <v>17000000</v>
      </c>
      <c r="N33">
        <f>A01泛微粒贷业务状况表!N27+A02微账户业务状况表!N27+A03汽车金融业务状况表!N27+A04财富业务状况表!N27+A05小鹅业务状况表!N27</f>
        <v>17600000</v>
      </c>
      <c r="O33">
        <f>A01泛微粒贷业务状况表!O27+A02微账户业务状况表!O27+A03汽车金融业务状况表!O27+A04财富业务状况表!O27+A05小鹅业务状况表!O27</f>
        <v>17400000</v>
      </c>
      <c r="P33">
        <f>A01泛微粒贷业务状况表!P27+A02微账户业务状况表!P27+A03汽车金融业务状况表!P27+A04财富业务状况表!P27+A05小鹅业务状况表!P27</f>
        <v>17000000</v>
      </c>
      <c r="Q33">
        <f>A01泛微粒贷业务状况表!Q27+A02微账户业务状况表!Q27+A03汽车金融业务状况表!Q27+A04财富业务状况表!Q27+A05小鹅业务状况表!Q27</f>
        <v>18600000</v>
      </c>
      <c r="R33">
        <f>A01泛微粒贷业务状况表!R27+A02微账户业务状况表!R27+A03汽车金融业务状况表!R27+A04财富业务状况表!R27+A05小鹅业务状况表!R27</f>
        <v>18400000</v>
      </c>
      <c r="S33">
        <f>A01泛微粒贷业务状况表!S27+A02微账户业务状况表!S27+A03汽车金融业务状况表!S27+A04财富业务状况表!S27+A05小鹅业务状况表!S27</f>
        <v>19000000</v>
      </c>
    </row>
    <row r="34" spans="1:19">
      <c r="A34" t="s">
        <v>19</v>
      </c>
      <c r="B34" t="s">
        <v>77</v>
      </c>
      <c r="C34" t="s">
        <v>824</v>
      </c>
      <c r="D34" t="s">
        <v>79</v>
      </c>
      <c r="G34">
        <f t="shared" si="0"/>
        <v>75508976758</v>
      </c>
      <c r="H34">
        <f>A01泛微粒贷业务状况表!H28+A02微账户业务状况表!H28+A03汽车金融业务状况表!H28+A04财富业务状况表!H28+A05小鹅业务状况表!H28</f>
        <v>5424070270</v>
      </c>
      <c r="I34">
        <f>A01泛微粒贷业务状况表!I28+A02微账户业务状况表!I28+A03汽车金融业务状况表!I28+A04财富业务状况表!I28+A05小鹅业务状况表!I28</f>
        <v>5239479808</v>
      </c>
      <c r="J34">
        <f>A01泛微粒贷业务状况表!J28+A02微账户业务状况表!J28+A03汽车金融业务状况表!J28+A04财富业务状况表!J28+A05小鹅业务状况表!J28</f>
        <v>6005822575</v>
      </c>
      <c r="K34">
        <f>A01泛微粒贷业务状况表!K28+A02微账户业务状况表!K28+A03汽车金融业务状况表!K28+A04财富业务状况表!K28+A05小鹅业务状况表!K28</f>
        <v>6128741958</v>
      </c>
      <c r="L34">
        <f>A01泛微粒贷业务状况表!L28+A02微账户业务状况表!L28+A03汽车金融业务状况表!L28+A04财富业务状况表!L28+A05小鹅业务状况表!L28</f>
        <v>6279846633</v>
      </c>
      <c r="M34">
        <f>A01泛微粒贷业务状况表!M28+A02微账户业务状况表!M28+A03汽车金融业务状况表!M28+A04财富业务状况表!M28+A05小鹅业务状况表!M28</f>
        <v>6478318223</v>
      </c>
      <c r="N34">
        <f>A01泛微粒贷业务状况表!N28+A02微账户业务状况表!N28+A03汽车金融业务状况表!N28+A04财富业务状况表!N28+A05小鹅业务状况表!N28</f>
        <v>6648604659</v>
      </c>
      <c r="O34">
        <f>A01泛微粒贷业务状况表!O28+A02微账户业务状况表!O28+A03汽车金融业务状况表!O28+A04财富业务状况表!O28+A05小鹅业务状况表!O28</f>
        <v>6544867065</v>
      </c>
      <c r="P34">
        <f>A01泛微粒贷业务状况表!P28+A02微账户业务状况表!P28+A03汽车金融业务状况表!P28+A04财富业务状况表!P28+A05小鹅业务状况表!P28</f>
        <v>6393762496</v>
      </c>
      <c r="Q34">
        <f>A01泛微粒贷业务状况表!Q28+A02微账户业务状况表!Q28+A03汽车金融业务状况表!Q28+A04财富业务状况表!Q28+A05小鹅业务状况表!Q28</f>
        <v>6744513658</v>
      </c>
      <c r="R34">
        <f>A01泛微粒贷业务状况表!R28+A02微账户业务状况表!R28+A03汽车金融业务状况表!R28+A04财富业务状况表!R28+A05小鹅业务状况表!R28</f>
        <v>6668960888</v>
      </c>
      <c r="S34">
        <f>A01泛微粒贷业务状况表!S28+A02微账户业务状况表!S28+A03汽车金融业务状况表!S28+A04财富业务状况表!S28+A05小鹅业务状况表!S28</f>
        <v>6951988525</v>
      </c>
    </row>
    <row r="35" spans="1:19">
      <c r="A35" t="s">
        <v>19</v>
      </c>
      <c r="B35" t="s">
        <v>35</v>
      </c>
      <c r="C35" t="s">
        <v>825</v>
      </c>
      <c r="D35" t="s">
        <v>81</v>
      </c>
      <c r="G35">
        <f t="shared" si="0"/>
        <v>640000000</v>
      </c>
      <c r="H35">
        <f>A01泛微粒贷业务状况表!H29+A02微账户业务状况表!H29+A03汽车金融业务状况表!H29+A04财富业务状况表!H29+A05小鹅业务状况表!H29</f>
        <v>44800000</v>
      </c>
      <c r="I35">
        <f>A01泛微粒贷业务状况表!I29+A02微账户业务状况表!I29+A03汽车金融业务状况表!I29+A04财富业务状况表!I29+A05小鹅业务状况表!I29</f>
        <v>41600000</v>
      </c>
      <c r="J35">
        <f>A01泛微粒贷业务状况表!J29+A02微账户业务状况表!J29+A03汽车金融业务状况表!J29+A04财富业务状况表!J29+A05小鹅业务状况表!J29</f>
        <v>49920000</v>
      </c>
      <c r="K35">
        <f>A01泛微粒贷业务状况表!K29+A02微账户业务状况表!K29+A03汽车金融业务状况表!K29+A04财富业务状况表!K29+A05小鹅业务状况表!K29</f>
        <v>51200000</v>
      </c>
      <c r="L35">
        <f>A01泛微粒贷业务状况表!L29+A02微账户业务状况表!L29+A03汽车金融业务状况表!L29+A04财富业务状况表!L29+A05小鹅业务状况表!L29</f>
        <v>52480000</v>
      </c>
      <c r="M35">
        <f>A01泛微粒贷业务状况表!M29+A02微账户业务状况表!M29+A03汽车金融业务状况表!M29+A04财富业务状况表!M29+A05小鹅业务状况表!M29</f>
        <v>54400000</v>
      </c>
      <c r="N35">
        <f>A01泛微粒贷业务状况表!N29+A02微账户业务状况表!N29+A03汽车金融业务状况表!N29+A04财富业务状况表!N29+A05小鹅业务状况表!N29</f>
        <v>56320000</v>
      </c>
      <c r="O35">
        <f>A01泛微粒贷业务状况表!O29+A02微账户业务状况表!O29+A03汽车金融业务状况表!O29+A04财富业务状况表!O29+A05小鹅业务状况表!O29</f>
        <v>55680000</v>
      </c>
      <c r="P35">
        <f>A01泛微粒贷业务状况表!P29+A02微账户业务状况表!P29+A03汽车金融业务状况表!P29+A04财富业务状况表!P29+A05小鹅业务状况表!P29</f>
        <v>54400000</v>
      </c>
      <c r="Q35">
        <f>A01泛微粒贷业务状况表!Q29+A02微账户业务状况表!Q29+A03汽车金融业务状况表!Q29+A04财富业务状况表!Q29+A05小鹅业务状况表!Q29</f>
        <v>59520000</v>
      </c>
      <c r="R35">
        <f>A01泛微粒贷业务状况表!R29+A02微账户业务状况表!R29+A03汽车金融业务状况表!R29+A04财富业务状况表!R29+A05小鹅业务状况表!R29</f>
        <v>58880000</v>
      </c>
      <c r="S35">
        <f>A01泛微粒贷业务状况表!S29+A02微账户业务状况表!S29+A03汽车金融业务状况表!S29+A04财富业务状况表!S29+A05小鹅业务状况表!S29</f>
        <v>60800000</v>
      </c>
    </row>
    <row r="36" spans="1:19">
      <c r="A36" t="s">
        <v>19</v>
      </c>
      <c r="B36" t="s">
        <v>77</v>
      </c>
      <c r="C36" t="s">
        <v>826</v>
      </c>
      <c r="D36" t="s">
        <v>83</v>
      </c>
      <c r="G36">
        <f t="shared" si="0"/>
        <v>75508976758</v>
      </c>
      <c r="H36">
        <f>A01泛微粒贷业务状况表!H30+A02微账户业务状况表!H30+A03汽车金融业务状况表!H30+A04财富业务状况表!H30+A05小鹅业务状况表!H30</f>
        <v>5424070270</v>
      </c>
      <c r="I36">
        <f>A01泛微粒贷业务状况表!I30+A02微账户业务状况表!I30+A03汽车金融业务状况表!I30+A04财富业务状况表!I30+A05小鹅业务状况表!I30</f>
        <v>5239479808</v>
      </c>
      <c r="J36">
        <f>A01泛微粒贷业务状况表!J30+A02微账户业务状况表!J30+A03汽车金融业务状况表!J30+A04财富业务状况表!J30+A05小鹅业务状况表!J30</f>
        <v>6005822575</v>
      </c>
      <c r="K36">
        <f>A01泛微粒贷业务状况表!K30+A02微账户业务状况表!K30+A03汽车金融业务状况表!K30+A04财富业务状况表!K30+A05小鹅业务状况表!K30</f>
        <v>6128741958</v>
      </c>
      <c r="L36">
        <f>A01泛微粒贷业务状况表!L30+A02微账户业务状况表!L30+A03汽车金融业务状况表!L30+A04财富业务状况表!L30+A05小鹅业务状况表!L30</f>
        <v>6279846633</v>
      </c>
      <c r="M36">
        <f>A01泛微粒贷业务状况表!M30+A02微账户业务状况表!M30+A03汽车金融业务状况表!M30+A04财富业务状况表!M30+A05小鹅业务状况表!M30</f>
        <v>6478318223</v>
      </c>
      <c r="N36">
        <f>A01泛微粒贷业务状况表!N30+A02微账户业务状况表!N30+A03汽车金融业务状况表!N30+A04财富业务状况表!N30+A05小鹅业务状况表!N30</f>
        <v>6648604659</v>
      </c>
      <c r="O36">
        <f>A01泛微粒贷业务状况表!O30+A02微账户业务状况表!O30+A03汽车金融业务状况表!O30+A04财富业务状况表!O30+A05小鹅业务状况表!O30</f>
        <v>6544867065</v>
      </c>
      <c r="P36">
        <f>A01泛微粒贷业务状况表!P30+A02微账户业务状况表!P30+A03汽车金融业务状况表!P30+A04财富业务状况表!P30+A05小鹅业务状况表!P30</f>
        <v>6393762496</v>
      </c>
      <c r="Q36">
        <f>A01泛微粒贷业务状况表!Q30+A02微账户业务状况表!Q30+A03汽车金融业务状况表!Q30+A04财富业务状况表!Q30+A05小鹅业务状况表!Q30</f>
        <v>6744513658</v>
      </c>
      <c r="R36">
        <f>A01泛微粒贷业务状况表!R30+A02微账户业务状况表!R30+A03汽车金融业务状况表!R30+A04财富业务状况表!R30+A05小鹅业务状况表!R30</f>
        <v>6668960888</v>
      </c>
      <c r="S36">
        <f>A01泛微粒贷业务状况表!S30+A02微账户业务状况表!S30+A03汽车金融业务状况表!S30+A04财富业务状况表!S30+A05小鹅业务状况表!S30</f>
        <v>6951988525</v>
      </c>
    </row>
    <row r="37" spans="1:19">
      <c r="A37" t="s">
        <v>19</v>
      </c>
      <c r="B37" t="s">
        <v>84</v>
      </c>
      <c r="C37" t="s">
        <v>827</v>
      </c>
      <c r="D37" t="s">
        <v>86</v>
      </c>
      <c r="G37">
        <f t="shared" si="0"/>
        <v>267098998</v>
      </c>
      <c r="H37">
        <f t="shared" ref="H37:S37" si="8">H38+H40+H41</f>
        <v>18018000</v>
      </c>
      <c r="I37">
        <f t="shared" si="8"/>
        <v>20076000</v>
      </c>
      <c r="J37">
        <f t="shared" si="8"/>
        <v>21000000</v>
      </c>
      <c r="K37">
        <f t="shared" si="8"/>
        <v>21462000</v>
      </c>
      <c r="L37">
        <f t="shared" si="8"/>
        <v>22008000</v>
      </c>
      <c r="M37">
        <f t="shared" si="8"/>
        <v>22743000</v>
      </c>
      <c r="N37">
        <f t="shared" si="8"/>
        <v>23415000</v>
      </c>
      <c r="O37">
        <f t="shared" si="8"/>
        <v>23079000</v>
      </c>
      <c r="P37">
        <f t="shared" si="8"/>
        <v>22554000</v>
      </c>
      <c r="Q37">
        <f t="shared" si="8"/>
        <v>24108000</v>
      </c>
      <c r="R37">
        <f t="shared" si="8"/>
        <v>23855998</v>
      </c>
      <c r="S37">
        <f t="shared" si="8"/>
        <v>24780000</v>
      </c>
    </row>
    <row r="38" spans="1:19">
      <c r="A38" t="s">
        <v>23</v>
      </c>
      <c r="B38" t="s">
        <v>84</v>
      </c>
      <c r="C38" t="s">
        <v>828</v>
      </c>
      <c r="D38" t="s">
        <v>88</v>
      </c>
      <c r="G38">
        <f t="shared" si="0"/>
        <v>12719000</v>
      </c>
      <c r="H38">
        <f t="shared" ref="H38:S38" si="9">H39</f>
        <v>858000</v>
      </c>
      <c r="I38">
        <f t="shared" si="9"/>
        <v>956000</v>
      </c>
      <c r="J38">
        <f t="shared" si="9"/>
        <v>1000000</v>
      </c>
      <c r="K38">
        <f t="shared" si="9"/>
        <v>1022000</v>
      </c>
      <c r="L38">
        <f t="shared" si="9"/>
        <v>1048000</v>
      </c>
      <c r="M38">
        <f t="shared" si="9"/>
        <v>1083000</v>
      </c>
      <c r="N38">
        <f t="shared" si="9"/>
        <v>1115000</v>
      </c>
      <c r="O38">
        <f t="shared" si="9"/>
        <v>1099000</v>
      </c>
      <c r="P38">
        <f t="shared" si="9"/>
        <v>1074000</v>
      </c>
      <c r="Q38">
        <f t="shared" si="9"/>
        <v>1148000</v>
      </c>
      <c r="R38">
        <f t="shared" si="9"/>
        <v>1136000</v>
      </c>
      <c r="S38">
        <f t="shared" si="9"/>
        <v>1180000</v>
      </c>
    </row>
    <row r="39" spans="1:19">
      <c r="A39" t="s">
        <v>26</v>
      </c>
      <c r="B39" t="s">
        <v>84</v>
      </c>
      <c r="C39" t="s">
        <v>829</v>
      </c>
      <c r="D39" t="s">
        <v>90</v>
      </c>
      <c r="G39">
        <f t="shared" si="0"/>
        <v>12719000</v>
      </c>
      <c r="H39">
        <v>858000</v>
      </c>
      <c r="I39">
        <v>956000</v>
      </c>
      <c r="J39">
        <v>1000000</v>
      </c>
      <c r="K39">
        <v>1022000</v>
      </c>
      <c r="L39">
        <v>1048000</v>
      </c>
      <c r="M39">
        <v>1083000</v>
      </c>
      <c r="N39">
        <v>1115000</v>
      </c>
      <c r="O39">
        <v>1099000</v>
      </c>
      <c r="P39">
        <v>1074000</v>
      </c>
      <c r="Q39">
        <v>1148000</v>
      </c>
      <c r="R39">
        <v>1136000</v>
      </c>
      <c r="S39">
        <v>1180000</v>
      </c>
    </row>
    <row r="40" spans="1:19">
      <c r="A40" t="s">
        <v>23</v>
      </c>
      <c r="B40" t="s">
        <v>84</v>
      </c>
      <c r="C40" t="s">
        <v>830</v>
      </c>
      <c r="D40" t="s">
        <v>102</v>
      </c>
      <c r="G40">
        <f t="shared" si="0"/>
        <v>127189999</v>
      </c>
      <c r="H40">
        <v>8580000</v>
      </c>
      <c r="I40">
        <v>9560000</v>
      </c>
      <c r="J40">
        <v>10000000</v>
      </c>
      <c r="K40">
        <v>10220000</v>
      </c>
      <c r="L40">
        <v>10480000</v>
      </c>
      <c r="M40">
        <v>10830000</v>
      </c>
      <c r="N40">
        <v>11150000</v>
      </c>
      <c r="O40">
        <v>10990000</v>
      </c>
      <c r="P40">
        <v>10740000</v>
      </c>
      <c r="Q40">
        <v>11480000</v>
      </c>
      <c r="R40">
        <v>11359999</v>
      </c>
      <c r="S40">
        <v>11800000</v>
      </c>
    </row>
    <row r="41" spans="1:19">
      <c r="A41" t="s">
        <v>23</v>
      </c>
      <c r="B41" t="s">
        <v>84</v>
      </c>
      <c r="C41" t="s">
        <v>831</v>
      </c>
      <c r="D41" t="s">
        <v>104</v>
      </c>
      <c r="G41">
        <f t="shared" si="0"/>
        <v>127189999</v>
      </c>
      <c r="H41">
        <v>8580000</v>
      </c>
      <c r="I41">
        <v>9560000</v>
      </c>
      <c r="J41">
        <v>10000000</v>
      </c>
      <c r="K41">
        <v>10220000</v>
      </c>
      <c r="L41">
        <v>10480000</v>
      </c>
      <c r="M41">
        <v>10830000</v>
      </c>
      <c r="N41">
        <v>11150000</v>
      </c>
      <c r="O41">
        <v>10990000</v>
      </c>
      <c r="P41">
        <v>10740000</v>
      </c>
      <c r="Q41">
        <v>11480000</v>
      </c>
      <c r="R41">
        <v>11359999</v>
      </c>
      <c r="S41">
        <v>11800000</v>
      </c>
    </row>
    <row r="42" spans="1:19">
      <c r="A42" t="s">
        <v>19</v>
      </c>
      <c r="B42" t="s">
        <v>113</v>
      </c>
      <c r="C42" t="s">
        <v>832</v>
      </c>
      <c r="D42" t="s">
        <v>115</v>
      </c>
      <c r="G42">
        <f t="shared" si="0"/>
        <v>267098998</v>
      </c>
      <c r="H42">
        <f t="shared" ref="H42:S42" si="10">H43+H45+H46</f>
        <v>18018000</v>
      </c>
      <c r="I42">
        <f t="shared" si="10"/>
        <v>20076000</v>
      </c>
      <c r="J42">
        <f t="shared" si="10"/>
        <v>21000000</v>
      </c>
      <c r="K42">
        <f t="shared" si="10"/>
        <v>21462000</v>
      </c>
      <c r="L42">
        <f t="shared" si="10"/>
        <v>22008000</v>
      </c>
      <c r="M42">
        <f t="shared" si="10"/>
        <v>22743000</v>
      </c>
      <c r="N42">
        <f t="shared" si="10"/>
        <v>23415000</v>
      </c>
      <c r="O42">
        <f t="shared" si="10"/>
        <v>23079000</v>
      </c>
      <c r="P42">
        <f t="shared" si="10"/>
        <v>22554000</v>
      </c>
      <c r="Q42">
        <f t="shared" si="10"/>
        <v>24108000</v>
      </c>
      <c r="R42">
        <f t="shared" si="10"/>
        <v>23855998</v>
      </c>
      <c r="S42">
        <f t="shared" si="10"/>
        <v>24780000</v>
      </c>
    </row>
    <row r="43" spans="1:19">
      <c r="A43" t="s">
        <v>23</v>
      </c>
      <c r="B43" t="s">
        <v>113</v>
      </c>
      <c r="C43" t="s">
        <v>833</v>
      </c>
      <c r="D43" t="s">
        <v>117</v>
      </c>
      <c r="G43">
        <f t="shared" si="0"/>
        <v>12719000</v>
      </c>
      <c r="H43">
        <f t="shared" ref="H43:S43" si="11">H44</f>
        <v>858000</v>
      </c>
      <c r="I43">
        <f t="shared" si="11"/>
        <v>956000</v>
      </c>
      <c r="J43">
        <f t="shared" si="11"/>
        <v>1000000</v>
      </c>
      <c r="K43">
        <f t="shared" si="11"/>
        <v>1022000</v>
      </c>
      <c r="L43">
        <f t="shared" si="11"/>
        <v>1048000</v>
      </c>
      <c r="M43">
        <f t="shared" si="11"/>
        <v>1083000</v>
      </c>
      <c r="N43">
        <f t="shared" si="11"/>
        <v>1115000</v>
      </c>
      <c r="O43">
        <f t="shared" si="11"/>
        <v>1099000</v>
      </c>
      <c r="P43">
        <f t="shared" si="11"/>
        <v>1074000</v>
      </c>
      <c r="Q43">
        <f t="shared" si="11"/>
        <v>1148000</v>
      </c>
      <c r="R43">
        <f t="shared" si="11"/>
        <v>1136000</v>
      </c>
      <c r="S43">
        <f t="shared" si="11"/>
        <v>1180000</v>
      </c>
    </row>
    <row r="44" spans="1:19">
      <c r="A44" t="s">
        <v>26</v>
      </c>
      <c r="B44" t="s">
        <v>113</v>
      </c>
      <c r="C44" t="s">
        <v>834</v>
      </c>
      <c r="D44" t="s">
        <v>90</v>
      </c>
      <c r="G44">
        <f t="shared" si="0"/>
        <v>12719000</v>
      </c>
      <c r="H44">
        <v>858000</v>
      </c>
      <c r="I44">
        <v>956000</v>
      </c>
      <c r="J44">
        <v>1000000</v>
      </c>
      <c r="K44">
        <v>1022000</v>
      </c>
      <c r="L44">
        <v>1048000</v>
      </c>
      <c r="M44">
        <v>1083000</v>
      </c>
      <c r="N44">
        <v>1115000</v>
      </c>
      <c r="O44">
        <v>1099000</v>
      </c>
      <c r="P44">
        <v>1074000</v>
      </c>
      <c r="Q44">
        <v>1148000</v>
      </c>
      <c r="R44">
        <v>1136000</v>
      </c>
      <c r="S44">
        <v>1180000</v>
      </c>
    </row>
    <row r="45" spans="1:19">
      <c r="A45" t="s">
        <v>23</v>
      </c>
      <c r="B45" t="s">
        <v>113</v>
      </c>
      <c r="C45" t="s">
        <v>835</v>
      </c>
      <c r="D45" t="s">
        <v>102</v>
      </c>
      <c r="G45">
        <f t="shared" si="0"/>
        <v>127189999</v>
      </c>
      <c r="H45">
        <v>8580000</v>
      </c>
      <c r="I45">
        <v>9560000</v>
      </c>
      <c r="J45">
        <v>10000000</v>
      </c>
      <c r="K45">
        <v>10220000</v>
      </c>
      <c r="L45">
        <v>10480000</v>
      </c>
      <c r="M45">
        <v>10830000</v>
      </c>
      <c r="N45">
        <v>11150000</v>
      </c>
      <c r="O45">
        <v>10990000</v>
      </c>
      <c r="P45">
        <v>10740000</v>
      </c>
      <c r="Q45">
        <v>11480000</v>
      </c>
      <c r="R45">
        <v>11359999</v>
      </c>
      <c r="S45">
        <v>11800000</v>
      </c>
    </row>
    <row r="46" spans="1:19">
      <c r="A46" t="s">
        <v>23</v>
      </c>
      <c r="B46" t="s">
        <v>113</v>
      </c>
      <c r="C46" t="s">
        <v>836</v>
      </c>
      <c r="D46" t="s">
        <v>104</v>
      </c>
      <c r="G46">
        <f t="shared" si="0"/>
        <v>127189999</v>
      </c>
      <c r="H46">
        <v>8580000</v>
      </c>
      <c r="I46">
        <v>9560000</v>
      </c>
      <c r="J46">
        <v>10000000</v>
      </c>
      <c r="K46">
        <v>10220000</v>
      </c>
      <c r="L46">
        <v>10480000</v>
      </c>
      <c r="M46">
        <v>10830000</v>
      </c>
      <c r="N46">
        <v>11150000</v>
      </c>
      <c r="O46">
        <v>10990000</v>
      </c>
      <c r="P46">
        <v>10740000</v>
      </c>
      <c r="Q46">
        <v>11480000</v>
      </c>
      <c r="R46">
        <v>11359999</v>
      </c>
      <c r="S46">
        <v>11800000</v>
      </c>
    </row>
    <row r="47" spans="1:19">
      <c r="A47" t="s">
        <v>19</v>
      </c>
      <c r="B47" t="s">
        <v>130</v>
      </c>
      <c r="C47" t="s">
        <v>837</v>
      </c>
      <c r="D47" t="s">
        <v>132</v>
      </c>
      <c r="G47">
        <f t="shared" si="0"/>
        <v>223158415191</v>
      </c>
      <c r="H47">
        <f t="shared" ref="H47:S47" si="12">H48+H49+H50+H51</f>
        <v>16730937086</v>
      </c>
      <c r="I47">
        <f t="shared" si="12"/>
        <v>17396477171</v>
      </c>
      <c r="J47">
        <f t="shared" si="12"/>
        <v>18295403272</v>
      </c>
      <c r="K47">
        <f t="shared" si="12"/>
        <v>18519441537</v>
      </c>
      <c r="L47">
        <f t="shared" si="12"/>
        <v>18965777730</v>
      </c>
      <c r="M47">
        <f t="shared" si="12"/>
        <v>19412984092</v>
      </c>
      <c r="N47">
        <f t="shared" si="12"/>
        <v>19637922510</v>
      </c>
      <c r="O47">
        <f t="shared" si="12"/>
        <v>19192486486</v>
      </c>
      <c r="P47">
        <f t="shared" si="12"/>
        <v>18746180293</v>
      </c>
      <c r="Q47">
        <f t="shared" si="12"/>
        <v>18531023683</v>
      </c>
      <c r="R47">
        <f t="shared" si="12"/>
        <v>18307885583</v>
      </c>
      <c r="S47">
        <f t="shared" si="12"/>
        <v>19421895748</v>
      </c>
    </row>
    <row r="48" spans="1:19">
      <c r="A48" t="s">
        <v>23</v>
      </c>
      <c r="B48" t="s">
        <v>130</v>
      </c>
      <c r="C48" t="s">
        <v>838</v>
      </c>
      <c r="D48" t="s">
        <v>541</v>
      </c>
      <c r="G48">
        <f t="shared" si="0"/>
        <v>222776845194</v>
      </c>
      <c r="H48">
        <f>A01泛微粒贷业务状况表!H48+A02微账户业务状况表!H32+A03汽车金融业务状况表!H42+A04财富业务状况表!H42+A05小鹅业务状况表!H42</f>
        <v>16705197086</v>
      </c>
      <c r="I48">
        <f>A01泛微粒贷业务状况表!I48+A02微账户业务状况表!I32+A03汽车金融业务状况表!I42+A04财富业务状况表!I42+A05小鹅业务状况表!I42</f>
        <v>17367797171</v>
      </c>
      <c r="J48">
        <f>A01泛微粒贷业务状况表!J48+A02微账户业务状况表!J32+A03汽车金融业务状况表!J42+A04财富业务状况表!J42+A05小鹅业务状况表!J42</f>
        <v>18265403272</v>
      </c>
      <c r="K48">
        <f>A01泛微粒贷业务状况表!K48+A02微账户业务状况表!K32+A03汽车金融业务状况表!K42+A04财富业务状况表!K42+A05小鹅业务状况表!K42</f>
        <v>18488781537</v>
      </c>
      <c r="L48">
        <f>A01泛微粒贷业务状况表!L48+A02微账户业务状况表!L32+A03汽车金融业务状况表!L42+A04财富业务状况表!L42+A05小鹅业务状况表!L42</f>
        <v>18934337730</v>
      </c>
      <c r="M48">
        <f>A01泛微粒贷业务状况表!M48+A02微账户业务状况表!M32+A03汽车金融业务状况表!M42+A04财富业务状况表!M42+A05小鹅业务状况表!M42</f>
        <v>19380494092</v>
      </c>
      <c r="N48">
        <f>A01泛微粒贷业务状况表!N48+A02微账户业务状况表!N32+A03汽车金融业务状况表!N42+A04财富业务状况表!N42+A05小鹅业务状况表!N42</f>
        <v>19604472510</v>
      </c>
      <c r="O48">
        <f>A01泛微粒贷业务状况表!O48+A02微账户业务状况表!O32+A03汽车金融业务状况表!O42+A04财富业务状况表!O42+A05小鹅业务状况表!O42</f>
        <v>19159516486</v>
      </c>
      <c r="P48">
        <f>A01泛微粒贷业务状况表!P48+A02微账户业务状况表!P32+A03汽车金融业务状况表!P42+A04财富业务状况表!P42+A05小鹅业务状况表!P42</f>
        <v>18713960293</v>
      </c>
      <c r="Q48">
        <f>A01泛微粒贷业务状况表!Q48+A02微账户业务状况表!Q32+A03汽车金融业务状况表!Q42+A04财富业务状况表!Q42+A05小鹅业务状况表!Q42</f>
        <v>18496583683</v>
      </c>
      <c r="R48">
        <f>A01泛微粒贷业务状况表!R48+A02微账户业务状况表!R32+A03汽车金融业务状况表!R42+A04财富业务状况表!R42+A05小鹅业务状况表!R42</f>
        <v>18273805586</v>
      </c>
      <c r="S48">
        <f>A01泛微粒贷业务状况表!S48+A02微账户业务状况表!S32+A03汽车金融业务状况表!S42+A04财富业务状况表!S42+A05小鹅业务状况表!S42</f>
        <v>19386495748</v>
      </c>
    </row>
    <row r="49" spans="1:19">
      <c r="A49" t="s">
        <v>23</v>
      </c>
      <c r="B49" t="s">
        <v>130</v>
      </c>
      <c r="C49" t="s">
        <v>839</v>
      </c>
      <c r="D49" t="s">
        <v>140</v>
      </c>
      <c r="G49">
        <f t="shared" si="0"/>
        <v>127189999</v>
      </c>
      <c r="H49">
        <v>8580000</v>
      </c>
      <c r="I49">
        <v>9560000</v>
      </c>
      <c r="J49">
        <v>10000000</v>
      </c>
      <c r="K49">
        <v>10220000</v>
      </c>
      <c r="L49">
        <v>10480000</v>
      </c>
      <c r="M49">
        <v>10830000</v>
      </c>
      <c r="N49">
        <v>11150000</v>
      </c>
      <c r="O49">
        <v>10990000</v>
      </c>
      <c r="P49">
        <v>10740000</v>
      </c>
      <c r="Q49">
        <v>11480000</v>
      </c>
      <c r="R49">
        <v>11359999</v>
      </c>
      <c r="S49">
        <v>11800000</v>
      </c>
    </row>
    <row r="50" spans="1:19">
      <c r="A50" t="s">
        <v>23</v>
      </c>
      <c r="B50" t="s">
        <v>130</v>
      </c>
      <c r="C50" t="s">
        <v>840</v>
      </c>
      <c r="D50" t="s">
        <v>544</v>
      </c>
      <c r="G50">
        <f t="shared" si="0"/>
        <v>127189999</v>
      </c>
      <c r="H50">
        <v>8580000</v>
      </c>
      <c r="I50">
        <v>9560000</v>
      </c>
      <c r="J50">
        <v>10000000</v>
      </c>
      <c r="K50">
        <v>10220000</v>
      </c>
      <c r="L50">
        <v>10480000</v>
      </c>
      <c r="M50">
        <v>10830000</v>
      </c>
      <c r="N50">
        <v>11150000</v>
      </c>
      <c r="O50">
        <v>10990000</v>
      </c>
      <c r="P50">
        <v>10740000</v>
      </c>
      <c r="Q50">
        <v>11480000</v>
      </c>
      <c r="R50">
        <v>11359999</v>
      </c>
      <c r="S50">
        <v>11800000</v>
      </c>
    </row>
    <row r="51" spans="1:19">
      <c r="A51" t="s">
        <v>23</v>
      </c>
      <c r="B51" t="s">
        <v>130</v>
      </c>
      <c r="C51" t="s">
        <v>841</v>
      </c>
      <c r="D51" t="s">
        <v>546</v>
      </c>
      <c r="G51">
        <f t="shared" si="0"/>
        <v>127189999</v>
      </c>
      <c r="H51">
        <v>8580000</v>
      </c>
      <c r="I51">
        <v>9560000</v>
      </c>
      <c r="J51">
        <v>10000000</v>
      </c>
      <c r="K51">
        <v>10220000</v>
      </c>
      <c r="L51">
        <v>10480000</v>
      </c>
      <c r="M51">
        <v>10830000</v>
      </c>
      <c r="N51">
        <v>11150000</v>
      </c>
      <c r="O51">
        <v>10990000</v>
      </c>
      <c r="P51">
        <v>10740000</v>
      </c>
      <c r="Q51">
        <v>11480000</v>
      </c>
      <c r="R51">
        <v>11359999</v>
      </c>
      <c r="S51">
        <v>11800000</v>
      </c>
    </row>
    <row r="52" spans="1:19">
      <c r="A52" t="s">
        <v>19</v>
      </c>
      <c r="B52" t="s">
        <v>143</v>
      </c>
      <c r="C52" t="s">
        <v>842</v>
      </c>
      <c r="D52" t="s">
        <v>142</v>
      </c>
      <c r="G52">
        <f t="shared" si="0"/>
        <v>303158415191</v>
      </c>
      <c r="H52">
        <f t="shared" ref="H52:S52" si="13">H53+H54+H55+H56</f>
        <v>22730937086</v>
      </c>
      <c r="I52">
        <f t="shared" si="13"/>
        <v>23636477171</v>
      </c>
      <c r="J52">
        <f t="shared" si="13"/>
        <v>24855403272</v>
      </c>
      <c r="K52">
        <f t="shared" si="13"/>
        <v>25159441537</v>
      </c>
      <c r="L52">
        <f t="shared" si="13"/>
        <v>25765777730</v>
      </c>
      <c r="M52">
        <f t="shared" si="13"/>
        <v>26372984092</v>
      </c>
      <c r="N52">
        <f t="shared" si="13"/>
        <v>26677922510</v>
      </c>
      <c r="O52">
        <f t="shared" si="13"/>
        <v>26072486486</v>
      </c>
      <c r="P52">
        <f t="shared" si="13"/>
        <v>25466180293</v>
      </c>
      <c r="Q52">
        <f t="shared" si="13"/>
        <v>25171023683</v>
      </c>
      <c r="R52">
        <f t="shared" si="13"/>
        <v>24867885583</v>
      </c>
      <c r="S52">
        <f t="shared" si="13"/>
        <v>26381895748</v>
      </c>
    </row>
    <row r="53" spans="1:19">
      <c r="A53" t="s">
        <v>23</v>
      </c>
      <c r="B53" t="s">
        <v>143</v>
      </c>
      <c r="C53" t="s">
        <v>843</v>
      </c>
      <c r="D53" t="s">
        <v>541</v>
      </c>
      <c r="G53">
        <f t="shared" si="0"/>
        <v>302776845194</v>
      </c>
      <c r="H53">
        <f>A01泛微粒贷业务状况表!H50+A02微账户业务状况表!H39+A03汽车金融业务状况表!H44+A04财富业务状况表!H47+A05小鹅业务状况表!H44</f>
        <v>22705197086</v>
      </c>
      <c r="I53">
        <f>A01泛微粒贷业务状况表!I50+A02微账户业务状况表!I39+A03汽车金融业务状况表!I44+A04财富业务状况表!I47+A05小鹅业务状况表!I44</f>
        <v>23607797171</v>
      </c>
      <c r="J53">
        <f>A01泛微粒贷业务状况表!J50+A02微账户业务状况表!J39+A03汽车金融业务状况表!J44+A04财富业务状况表!J47+A05小鹅业务状况表!J44</f>
        <v>24825403272</v>
      </c>
      <c r="K53">
        <f>A01泛微粒贷业务状况表!K50+A02微账户业务状况表!K39+A03汽车金融业务状况表!K44+A04财富业务状况表!K47+A05小鹅业务状况表!K44</f>
        <v>25128781537</v>
      </c>
      <c r="L53">
        <f>A01泛微粒贷业务状况表!L50+A02微账户业务状况表!L39+A03汽车金融业务状况表!L44+A04财富业务状况表!L47+A05小鹅业务状况表!L44</f>
        <v>25734337730</v>
      </c>
      <c r="M53">
        <f>A01泛微粒贷业务状况表!M50+A02微账户业务状况表!M39+A03汽车金融业务状况表!M44+A04财富业务状况表!M47+A05小鹅业务状况表!M44</f>
        <v>26340494092</v>
      </c>
      <c r="N53">
        <f>A01泛微粒贷业务状况表!N50+A02微账户业务状况表!N39+A03汽车金融业务状况表!N44+A04财富业务状况表!N47+A05小鹅业务状况表!N44</f>
        <v>26644472510</v>
      </c>
      <c r="O53">
        <f>A01泛微粒贷业务状况表!O50+A02微账户业务状况表!O39+A03汽车金融业务状况表!O44+A04财富业务状况表!O47+A05小鹅业务状况表!O44</f>
        <v>26039516486</v>
      </c>
      <c r="P53">
        <f>A01泛微粒贷业务状况表!P50+A02微账户业务状况表!P39+A03汽车金融业务状况表!P44+A04财富业务状况表!P47+A05小鹅业务状况表!P44</f>
        <v>25433960293</v>
      </c>
      <c r="Q53">
        <f>A01泛微粒贷业务状况表!Q50+A02微账户业务状况表!Q39+A03汽车金融业务状况表!Q44+A04财富业务状况表!Q47+A05小鹅业务状况表!Q44</f>
        <v>25136583683</v>
      </c>
      <c r="R53">
        <f>A01泛微粒贷业务状况表!R50+A02微账户业务状况表!R39+A03汽车金融业务状况表!R44+A04财富业务状况表!R47+A05小鹅业务状况表!R44</f>
        <v>24833805586</v>
      </c>
      <c r="S53">
        <f>A01泛微粒贷业务状况表!S50+A02微账户业务状况表!S39+A03汽车金融业务状况表!S44+A04财富业务状况表!S47+A05小鹅业务状况表!S44</f>
        <v>26346495748</v>
      </c>
    </row>
    <row r="54" spans="1:19">
      <c r="A54" t="s">
        <v>23</v>
      </c>
      <c r="B54" t="s">
        <v>143</v>
      </c>
      <c r="C54" t="s">
        <v>844</v>
      </c>
      <c r="D54" t="s">
        <v>140</v>
      </c>
      <c r="G54">
        <f t="shared" si="0"/>
        <v>127189999</v>
      </c>
      <c r="H54">
        <v>8580000</v>
      </c>
      <c r="I54">
        <v>9560000</v>
      </c>
      <c r="J54">
        <v>10000000</v>
      </c>
      <c r="K54">
        <v>10220000</v>
      </c>
      <c r="L54">
        <v>10480000</v>
      </c>
      <c r="M54">
        <v>10830000</v>
      </c>
      <c r="N54">
        <v>11150000</v>
      </c>
      <c r="O54">
        <v>10990000</v>
      </c>
      <c r="P54">
        <v>10740000</v>
      </c>
      <c r="Q54">
        <v>11480000</v>
      </c>
      <c r="R54">
        <v>11359999</v>
      </c>
      <c r="S54">
        <v>11800000</v>
      </c>
    </row>
    <row r="55" spans="1:19">
      <c r="A55" t="s">
        <v>23</v>
      </c>
      <c r="B55" t="s">
        <v>143</v>
      </c>
      <c r="C55" t="s">
        <v>845</v>
      </c>
      <c r="D55" t="s">
        <v>544</v>
      </c>
      <c r="G55">
        <f t="shared" si="0"/>
        <v>127189999</v>
      </c>
      <c r="H55">
        <v>8580000</v>
      </c>
      <c r="I55">
        <v>9560000</v>
      </c>
      <c r="J55">
        <v>10000000</v>
      </c>
      <c r="K55">
        <v>10220000</v>
      </c>
      <c r="L55">
        <v>10480000</v>
      </c>
      <c r="M55">
        <v>10830000</v>
      </c>
      <c r="N55">
        <v>11150000</v>
      </c>
      <c r="O55">
        <v>10990000</v>
      </c>
      <c r="P55">
        <v>10740000</v>
      </c>
      <c r="Q55">
        <v>11480000</v>
      </c>
      <c r="R55">
        <v>11359999</v>
      </c>
      <c r="S55">
        <v>11800000</v>
      </c>
    </row>
    <row r="56" spans="1:19">
      <c r="A56" t="s">
        <v>23</v>
      </c>
      <c r="B56" t="s">
        <v>143</v>
      </c>
      <c r="C56" t="s">
        <v>846</v>
      </c>
      <c r="D56" t="s">
        <v>546</v>
      </c>
      <c r="G56">
        <f t="shared" si="0"/>
        <v>127189999</v>
      </c>
      <c r="H56">
        <v>8580000</v>
      </c>
      <c r="I56">
        <v>9560000</v>
      </c>
      <c r="J56">
        <v>10000000</v>
      </c>
      <c r="K56">
        <v>10220000</v>
      </c>
      <c r="L56">
        <v>10480000</v>
      </c>
      <c r="M56">
        <v>10830000</v>
      </c>
      <c r="N56">
        <v>11150000</v>
      </c>
      <c r="O56">
        <v>10990000</v>
      </c>
      <c r="P56">
        <v>10740000</v>
      </c>
      <c r="Q56">
        <v>11480000</v>
      </c>
      <c r="R56">
        <v>11359999</v>
      </c>
      <c r="S56">
        <v>11800000</v>
      </c>
    </row>
    <row r="57" spans="1:19">
      <c r="A57" t="s">
        <v>19</v>
      </c>
      <c r="B57" t="s">
        <v>393</v>
      </c>
      <c r="C57" t="s">
        <v>847</v>
      </c>
      <c r="D57" t="s">
        <v>395</v>
      </c>
      <c r="G57">
        <f t="shared" si="0"/>
        <v>32290729738</v>
      </c>
      <c r="H57">
        <f t="shared" ref="H57:S57" si="14">H58+H74</f>
        <v>2322817802</v>
      </c>
      <c r="I57">
        <f t="shared" si="14"/>
        <v>2248910614</v>
      </c>
      <c r="J57">
        <f t="shared" si="14"/>
        <v>2570982002</v>
      </c>
      <c r="K57">
        <f t="shared" si="14"/>
        <v>2622891968</v>
      </c>
      <c r="L57">
        <f t="shared" si="14"/>
        <v>2687511014</v>
      </c>
      <c r="M57">
        <f t="shared" si="14"/>
        <v>2771730588</v>
      </c>
      <c r="N57">
        <f t="shared" si="14"/>
        <v>2843240972</v>
      </c>
      <c r="O57">
        <f t="shared" si="14"/>
        <v>2798222284</v>
      </c>
      <c r="P57">
        <f t="shared" si="14"/>
        <v>2733603100</v>
      </c>
      <c r="Q57">
        <f t="shared" si="14"/>
        <v>2877697236</v>
      </c>
      <c r="R57">
        <f t="shared" si="14"/>
        <v>2845387556</v>
      </c>
      <c r="S57">
        <f t="shared" si="14"/>
        <v>2967734602</v>
      </c>
    </row>
    <row r="58" spans="1:19">
      <c r="A58" t="s">
        <v>23</v>
      </c>
      <c r="B58" t="s">
        <v>393</v>
      </c>
      <c r="C58" t="s">
        <v>848</v>
      </c>
      <c r="D58" t="s">
        <v>397</v>
      </c>
      <c r="G58">
        <f t="shared" si="0"/>
        <v>16870364869</v>
      </c>
      <c r="H58">
        <f t="shared" ref="H58:S58" si="15">H59+H62+H65+H72+H73</f>
        <v>1212158901</v>
      </c>
      <c r="I58">
        <f t="shared" si="15"/>
        <v>1171580307</v>
      </c>
      <c r="J58">
        <f t="shared" si="15"/>
        <v>1342041001</v>
      </c>
      <c r="K58">
        <f t="shared" si="15"/>
        <v>1369445984</v>
      </c>
      <c r="L58">
        <f t="shared" si="15"/>
        <v>1403205507</v>
      </c>
      <c r="M58">
        <f t="shared" si="15"/>
        <v>1447490294</v>
      </c>
      <c r="N58">
        <f t="shared" si="15"/>
        <v>1485420486</v>
      </c>
      <c r="O58">
        <f t="shared" si="15"/>
        <v>1462186142</v>
      </c>
      <c r="P58">
        <f t="shared" si="15"/>
        <v>1428426550</v>
      </c>
      <c r="Q58">
        <f t="shared" si="15"/>
        <v>1506273618</v>
      </c>
      <c r="R58">
        <f t="shared" si="15"/>
        <v>1489393778</v>
      </c>
      <c r="S58">
        <f t="shared" si="15"/>
        <v>1552742301</v>
      </c>
    </row>
    <row r="59" spans="1:19">
      <c r="A59" t="s">
        <v>26</v>
      </c>
      <c r="B59" t="s">
        <v>393</v>
      </c>
      <c r="C59" t="s">
        <v>849</v>
      </c>
      <c r="D59" t="s">
        <v>399</v>
      </c>
      <c r="G59">
        <f t="shared" si="0"/>
        <v>2074291474</v>
      </c>
      <c r="H59">
        <f t="shared" ref="H59:S59" si="16">H60+H61</f>
        <v>147496974</v>
      </c>
      <c r="I59">
        <f t="shared" si="16"/>
        <v>140344134</v>
      </c>
      <c r="J59">
        <f t="shared" si="16"/>
        <v>163717718</v>
      </c>
      <c r="K59">
        <f t="shared" si="16"/>
        <v>167400436</v>
      </c>
      <c r="L59">
        <f t="shared" si="16"/>
        <v>171550398</v>
      </c>
      <c r="M59">
        <f t="shared" si="16"/>
        <v>177308104</v>
      </c>
      <c r="N59">
        <f t="shared" si="16"/>
        <v>182598560</v>
      </c>
      <c r="O59">
        <f t="shared" si="16"/>
        <v>180056328</v>
      </c>
      <c r="P59">
        <f t="shared" si="16"/>
        <v>175906360</v>
      </c>
      <c r="Q59">
        <f t="shared" si="16"/>
        <v>188300996</v>
      </c>
      <c r="R59">
        <f t="shared" si="16"/>
        <v>186226008</v>
      </c>
      <c r="S59">
        <f t="shared" si="16"/>
        <v>193385458</v>
      </c>
    </row>
    <row r="60" spans="1:19">
      <c r="A60" t="s">
        <v>60</v>
      </c>
      <c r="B60" t="s">
        <v>393</v>
      </c>
      <c r="C60" t="s">
        <v>850</v>
      </c>
      <c r="D60" t="s">
        <v>401</v>
      </c>
      <c r="G60">
        <f t="shared" si="0"/>
        <v>1272145737</v>
      </c>
      <c r="H60">
        <f>A01泛微粒贷业务状况表!H155+A02微账户业务状况表!H142+A03汽车金融业务状况表!H95+A04财富业务状况表!H110+A05小鹅业务状况表!H76</f>
        <v>90198487</v>
      </c>
      <c r="I60">
        <f>A01泛微粒贷业务状况表!I155+A02微账户业务状况表!I142+A03汽车金融业务状况表!I95+A04财富业务状况表!I110+A05小鹅业务状况表!I76</f>
        <v>85447067</v>
      </c>
      <c r="J60">
        <f>A01泛微粒贷业务状况表!J155+A02微账户业务状况表!J142+A03汽车金融业务状况表!J95+A04财富业务状况表!J110+A05小鹅业务状况表!J76</f>
        <v>100188859</v>
      </c>
      <c r="K60">
        <f>A01泛微粒贷业务状况表!K155+A02微账户业务状况表!K142+A03汽车金融业务状况表!K95+A04财富业务状况表!K110+A05小鹅业务状况表!K76</f>
        <v>102500218</v>
      </c>
      <c r="L60">
        <f>A01泛微粒贷业务状况表!L155+A02微账户业务状况表!L142+A03汽车金融业务状况表!L95+A04财富业务状况表!L110+A05小鹅业务状况表!L76</f>
        <v>105045199</v>
      </c>
      <c r="M60">
        <f>A01泛微粒贷业务状况表!M155+A02微账户业务状况表!M142+A03汽车金融业务状况表!M95+A04财富业务状况表!M110+A05小鹅业务状况表!M76</f>
        <v>108629052</v>
      </c>
      <c r="N60">
        <f>A01泛微粒贷业务状况表!N155+A02微账户业务状况表!N142+A03汽车金融业务状况表!N95+A04财富业务状况表!N110+A05小鹅业务状况表!N76</f>
        <v>111979280</v>
      </c>
      <c r="O60">
        <f>A01泛微粒贷业务状况表!O155+A02微账户业务状况表!O142+A03汽车金融业务状况表!O95+A04财富业务状况表!O110+A05小鹅业务状况表!O76</f>
        <v>110473164</v>
      </c>
      <c r="P60">
        <f>A01泛微粒贷业务状况表!P155+A02微账户业务状况表!P142+A03汽车金融业务状况表!P95+A04财富业务状况表!P110+A05小鹅业务状况表!P76</f>
        <v>107928180</v>
      </c>
      <c r="Q60">
        <f>A01泛微粒贷业务状况表!Q155+A02微账户业务状况表!Q142+A03汽车金融业务状况表!Q95+A04财富业务状况表!Q110+A05小鹅业务状况表!Q76</f>
        <v>116005498</v>
      </c>
      <c r="R60">
        <f>A01泛微粒贷业务状况表!R155+A02微账户业务状况表!R142+A03汽车金融业务状况表!R95+A04财富业务状况表!R110+A05小鹅业务状况表!R76</f>
        <v>114733004</v>
      </c>
      <c r="S60">
        <f>A01泛微粒贷业务状况表!S155+A02微账户业务状况表!S142+A03汽车金融业务状况表!S95+A04财富业务状况表!S110+A05小鹅业务状况表!S76</f>
        <v>119017729</v>
      </c>
    </row>
    <row r="61" spans="1:19">
      <c r="A61" t="s">
        <v>60</v>
      </c>
      <c r="B61" t="s">
        <v>393</v>
      </c>
      <c r="C61" t="s">
        <v>851</v>
      </c>
      <c r="D61" t="s">
        <v>49</v>
      </c>
      <c r="G61">
        <f t="shared" si="0"/>
        <v>802145737</v>
      </c>
      <c r="H61">
        <f>A01泛微粒贷业务状况表!H156+A02微账户业务状况表!H143+A03汽车金融业务状况表!H96+A04财富业务状况表!H111+A05小鹅业务状况表!H77</f>
        <v>57298487</v>
      </c>
      <c r="I61">
        <f>A01泛微粒贷业务状况表!I156+A02微账户业务状况表!I143+A03汽车金融业务状况表!I96+A04财富业务状况表!I111+A05小鹅业务状况表!I77</f>
        <v>54897067</v>
      </c>
      <c r="J61">
        <f>A01泛微粒贷业务状况表!J156+A02微账户业务状况表!J143+A03汽车金融业务状况表!J96+A04财富业务状况表!J111+A05小鹅业务状况表!J77</f>
        <v>63528859</v>
      </c>
      <c r="K61">
        <f>A01泛微粒贷业务状况表!K156+A02微账户业务状况表!K143+A03汽车金融业务状况表!K96+A04财富业务状况表!K111+A05小鹅业务状况表!K77</f>
        <v>64900218</v>
      </c>
      <c r="L61">
        <f>A01泛微粒贷业务状况表!L156+A02微账户业务状况表!L143+A03汽车金融业务状况表!L96+A04财富业务状况表!L111+A05小鹅业务状况表!L77</f>
        <v>66505199</v>
      </c>
      <c r="M61">
        <f>A01泛微粒贷业务状况表!M156+A02微账户业务状况表!M143+A03汽车金融业务状况表!M96+A04财富业务状况表!M111+A05小鹅业务状况表!M77</f>
        <v>68679052</v>
      </c>
      <c r="N61">
        <f>A01泛微粒贷业务状况表!N156+A02微账户业务状况表!N143+A03汽车金融业务状况表!N96+A04财富业务状况表!N111+A05小鹅业务状况表!N77</f>
        <v>70619280</v>
      </c>
      <c r="O61">
        <f>A01泛微粒贷业务状况表!O156+A02微账户业务状况表!O143+A03汽车金融业务状况表!O96+A04财富业务状况表!O111+A05小鹅业务状况表!O77</f>
        <v>69583164</v>
      </c>
      <c r="P61">
        <f>A01泛微粒贷业务状况表!P156+A02微账户业务状况表!P143+A03汽车金融业务状况表!P96+A04财富业务状况表!P111+A05小鹅业务状况表!P77</f>
        <v>67978180</v>
      </c>
      <c r="Q61">
        <f>A01泛微粒贷业务状况表!Q156+A02微账户业务状况表!Q143+A03汽车金融业务状况表!Q96+A04财富业务状况表!Q111+A05小鹅业务状况表!Q77</f>
        <v>72295498</v>
      </c>
      <c r="R61">
        <f>A01泛微粒贷业务状况表!R156+A02微账户业务状况表!R143+A03汽车金融业务状况表!R96+A04财富业务状况表!R111+A05小鹅业务状况表!R77</f>
        <v>71493004</v>
      </c>
      <c r="S61">
        <f>A01泛微粒贷业务状况表!S156+A02微账户业务状况表!S143+A03汽车金融业务状况表!S96+A04财富业务状况表!S111+A05小鹅业务状况表!S77</f>
        <v>74367729</v>
      </c>
    </row>
    <row r="62" spans="1:19">
      <c r="A62" t="s">
        <v>26</v>
      </c>
      <c r="B62" t="s">
        <v>393</v>
      </c>
      <c r="C62" t="s">
        <v>852</v>
      </c>
      <c r="D62" t="s">
        <v>51</v>
      </c>
      <c r="G62">
        <f t="shared" si="0"/>
        <v>1864291474</v>
      </c>
      <c r="H62">
        <f t="shared" ref="H62:S62" si="17">H63+H64</f>
        <v>132796974</v>
      </c>
      <c r="I62">
        <f t="shared" si="17"/>
        <v>126694134</v>
      </c>
      <c r="J62">
        <f t="shared" si="17"/>
        <v>147337718</v>
      </c>
      <c r="K62">
        <f t="shared" si="17"/>
        <v>150600436</v>
      </c>
      <c r="L62">
        <f t="shared" si="17"/>
        <v>154330398</v>
      </c>
      <c r="M62">
        <f t="shared" si="17"/>
        <v>159458104</v>
      </c>
      <c r="N62">
        <f t="shared" si="17"/>
        <v>164118560</v>
      </c>
      <c r="O62">
        <f t="shared" si="17"/>
        <v>161786328</v>
      </c>
      <c r="P62">
        <f t="shared" si="17"/>
        <v>158056360</v>
      </c>
      <c r="Q62">
        <f t="shared" si="17"/>
        <v>168770996</v>
      </c>
      <c r="R62">
        <f t="shared" si="17"/>
        <v>166906008</v>
      </c>
      <c r="S62">
        <f t="shared" si="17"/>
        <v>173435458</v>
      </c>
    </row>
    <row r="63" spans="1:19">
      <c r="A63" t="s">
        <v>60</v>
      </c>
      <c r="B63" t="s">
        <v>393</v>
      </c>
      <c r="C63" t="s">
        <v>853</v>
      </c>
      <c r="D63" t="s">
        <v>405</v>
      </c>
      <c r="G63">
        <f t="shared" si="0"/>
        <v>1012145737</v>
      </c>
      <c r="H63">
        <f>A01泛微粒贷业务状况表!H158+A02微账户业务状况表!H145+A03汽车金融业务状况表!H98+A04财富业务状况表!H113+A05小鹅业务状况表!H79</f>
        <v>71998487</v>
      </c>
      <c r="I63">
        <f>A01泛微粒贷业务状况表!I158+A02微账户业务状况表!I145+A03汽车金融业务状况表!I98+A04财富业务状况表!I113+A05小鹅业务状况表!I79</f>
        <v>68547067</v>
      </c>
      <c r="J63">
        <f>A01泛微粒贷业务状况表!J158+A02微账户业务状况表!J145+A03汽车金融业务状况表!J98+A04财富业务状况表!J113+A05小鹅业务状况表!J79</f>
        <v>79908859</v>
      </c>
      <c r="K63">
        <f>A01泛微粒贷业务状况表!K158+A02微账户业务状况表!K145+A03汽车金融业务状况表!K98+A04财富业务状况表!K113+A05小鹅业务状况表!K79</f>
        <v>81700218</v>
      </c>
      <c r="L63">
        <f>A01泛微粒贷业务状况表!L158+A02微账户业务状况表!L145+A03汽车金融业务状况表!L98+A04财富业务状况表!L113+A05小鹅业务状况表!L79</f>
        <v>83725199</v>
      </c>
      <c r="M63">
        <f>A01泛微粒贷业务状况表!M158+A02微账户业务状况表!M145+A03汽车金融业务状况表!M98+A04财富业务状况表!M113+A05小鹅业务状况表!M79</f>
        <v>86529052</v>
      </c>
      <c r="N63">
        <f>A01泛微粒贷业务状况表!N158+A02微账户业务状况表!N145+A03汽车金融业务状况表!N98+A04财富业务状况表!N113+A05小鹅业务状况表!N79</f>
        <v>89099280</v>
      </c>
      <c r="O63">
        <f>A01泛微粒贷业务状况表!O158+A02微账户业务状况表!O145+A03汽车金融业务状况表!O98+A04财富业务状况表!O113+A05小鹅业务状况表!O79</f>
        <v>87853164</v>
      </c>
      <c r="P63">
        <f>A01泛微粒贷业务状况表!P158+A02微账户业务状况表!P145+A03汽车金融业务状况表!P98+A04财富业务状况表!P113+A05小鹅业务状况表!P79</f>
        <v>85828180</v>
      </c>
      <c r="Q63">
        <f>A01泛微粒贷业务状况表!Q158+A02微账户业务状况表!Q145+A03汽车金融业务状况表!Q98+A04财富业务状况表!Q113+A05小鹅业务状况表!Q79</f>
        <v>91825498</v>
      </c>
      <c r="R63">
        <f>A01泛微粒贷业务状况表!R158+A02微账户业务状况表!R145+A03汽车金融业务状况表!R98+A04财富业务状况表!R113+A05小鹅业务状况表!R79</f>
        <v>90813004</v>
      </c>
      <c r="S63">
        <f>A01泛微粒贷业务状况表!S158+A02微账户业务状况表!S145+A03汽车金融业务状况表!S98+A04财富业务状况表!S113+A05小鹅业务状况表!S79</f>
        <v>94317729</v>
      </c>
    </row>
    <row r="64" spans="1:19">
      <c r="A64" t="s">
        <v>60</v>
      </c>
      <c r="B64" t="s">
        <v>393</v>
      </c>
      <c r="C64" t="s">
        <v>854</v>
      </c>
      <c r="D64" t="s">
        <v>407</v>
      </c>
      <c r="G64">
        <f t="shared" si="0"/>
        <v>852145737</v>
      </c>
      <c r="H64">
        <f>A01泛微粒贷业务状况表!H159+A02微账户业务状况表!H146+A03汽车金融业务状况表!H99+A04财富业务状况表!H114+A05小鹅业务状况表!H80</f>
        <v>60798487</v>
      </c>
      <c r="I64">
        <f>A01泛微粒贷业务状况表!I159+A02微账户业务状况表!I146+A03汽车金融业务状况表!I99+A04财富业务状况表!I114+A05小鹅业务状况表!I80</f>
        <v>58147067</v>
      </c>
      <c r="J64">
        <f>A01泛微粒贷业务状况表!J159+A02微账户业务状况表!J146+A03汽车金融业务状况表!J99+A04财富业务状况表!J114+A05小鹅业务状况表!J80</f>
        <v>67428859</v>
      </c>
      <c r="K64">
        <f>A01泛微粒贷业务状况表!K159+A02微账户业务状况表!K146+A03汽车金融业务状况表!K99+A04财富业务状况表!K114+A05小鹅业务状况表!K80</f>
        <v>68900218</v>
      </c>
      <c r="L64">
        <f>A01泛微粒贷业务状况表!L159+A02微账户业务状况表!L146+A03汽车金融业务状况表!L99+A04财富业务状况表!L114+A05小鹅业务状况表!L80</f>
        <v>70605199</v>
      </c>
      <c r="M64">
        <f>A01泛微粒贷业务状况表!M159+A02微账户业务状况表!M146+A03汽车金融业务状况表!M99+A04财富业务状况表!M114+A05小鹅业务状况表!M80</f>
        <v>72929052</v>
      </c>
      <c r="N64">
        <f>A01泛微粒贷业务状况表!N159+A02微账户业务状况表!N146+A03汽车金融业务状况表!N99+A04财富业务状况表!N114+A05小鹅业务状况表!N80</f>
        <v>75019280</v>
      </c>
      <c r="O64">
        <f>A01泛微粒贷业务状况表!O159+A02微账户业务状况表!O146+A03汽车金融业务状况表!O99+A04财富业务状况表!O114+A05小鹅业务状况表!O80</f>
        <v>73933164</v>
      </c>
      <c r="P64">
        <f>A01泛微粒贷业务状况表!P159+A02微账户业务状况表!P146+A03汽车金融业务状况表!P99+A04财富业务状况表!P114+A05小鹅业务状况表!P80</f>
        <v>72228180</v>
      </c>
      <c r="Q64">
        <f>A01泛微粒贷业务状况表!Q159+A02微账户业务状况表!Q146+A03汽车金融业务状况表!Q99+A04财富业务状况表!Q114+A05小鹅业务状况表!Q80</f>
        <v>76945498</v>
      </c>
      <c r="R64">
        <f>A01泛微粒贷业务状况表!R159+A02微账户业务状况表!R146+A03汽车金融业务状况表!R99+A04财富业务状况表!R114+A05小鹅业务状况表!R80</f>
        <v>76093004</v>
      </c>
      <c r="S64">
        <f>A01泛微粒贷业务状况表!S159+A02微账户业务状况表!S146+A03汽车金融业务状况表!S99+A04财富业务状况表!S114+A05小鹅业务状况表!S80</f>
        <v>79117729</v>
      </c>
    </row>
    <row r="65" spans="1:19">
      <c r="A65" t="s">
        <v>26</v>
      </c>
      <c r="B65" t="s">
        <v>393</v>
      </c>
      <c r="C65" t="s">
        <v>855</v>
      </c>
      <c r="D65" t="s">
        <v>409</v>
      </c>
      <c r="G65">
        <f t="shared" si="0"/>
        <v>2268866279</v>
      </c>
      <c r="H65">
        <f t="shared" ref="H65:S65" si="18">H66+H69+H70+H71</f>
        <v>162495153</v>
      </c>
      <c r="I65">
        <f t="shared" si="18"/>
        <v>156300609</v>
      </c>
      <c r="J65">
        <f t="shared" si="18"/>
        <v>180048345</v>
      </c>
      <c r="K65">
        <f t="shared" si="18"/>
        <v>183840690</v>
      </c>
      <c r="L65">
        <f t="shared" si="18"/>
        <v>188380629</v>
      </c>
      <c r="M65">
        <f t="shared" si="18"/>
        <v>194442960</v>
      </c>
      <c r="N65">
        <f t="shared" si="18"/>
        <v>199757690</v>
      </c>
      <c r="O65">
        <f t="shared" si="18"/>
        <v>196740118</v>
      </c>
      <c r="P65">
        <f t="shared" si="18"/>
        <v>192200168</v>
      </c>
      <c r="Q65">
        <f t="shared" si="18"/>
        <v>203631586</v>
      </c>
      <c r="R65">
        <f t="shared" si="18"/>
        <v>201361606</v>
      </c>
      <c r="S65">
        <f t="shared" si="18"/>
        <v>209666725</v>
      </c>
    </row>
    <row r="66" spans="1:19">
      <c r="A66" t="s">
        <v>60</v>
      </c>
      <c r="B66" t="s">
        <v>393</v>
      </c>
      <c r="C66" t="s">
        <v>856</v>
      </c>
      <c r="D66" t="s">
        <v>59</v>
      </c>
      <c r="G66">
        <f t="shared" ref="G66:G115" si="19">H66+I66+J66+K66+L66+M66+N66+O66+P66+Q66+R66+S66</f>
        <v>442429068</v>
      </c>
      <c r="H66">
        <f t="shared" ref="H66:S66" si="20">H67+H68</f>
        <v>31199692</v>
      </c>
      <c r="I66">
        <f t="shared" si="20"/>
        <v>29309408</v>
      </c>
      <c r="J66">
        <f t="shared" si="20"/>
        <v>34701768</v>
      </c>
      <c r="K66">
        <f t="shared" si="20"/>
        <v>35540036</v>
      </c>
      <c r="L66">
        <f t="shared" si="20"/>
        <v>36425032</v>
      </c>
      <c r="M66">
        <f t="shared" si="20"/>
        <v>37705804</v>
      </c>
      <c r="N66">
        <f t="shared" si="20"/>
        <v>38939850</v>
      </c>
      <c r="O66">
        <f t="shared" si="20"/>
        <v>38450626</v>
      </c>
      <c r="P66">
        <f t="shared" si="20"/>
        <v>37565628</v>
      </c>
      <c r="Q66">
        <f t="shared" si="20"/>
        <v>40685092</v>
      </c>
      <c r="R66">
        <f t="shared" si="20"/>
        <v>40242594</v>
      </c>
      <c r="S66">
        <f t="shared" si="20"/>
        <v>41663538</v>
      </c>
    </row>
    <row r="67" spans="1:19">
      <c r="A67" t="s">
        <v>192</v>
      </c>
      <c r="B67" t="s">
        <v>393</v>
      </c>
      <c r="C67" t="s">
        <v>857</v>
      </c>
      <c r="D67" t="s">
        <v>62</v>
      </c>
      <c r="G67">
        <f t="shared" si="19"/>
        <v>261214534</v>
      </c>
      <c r="H67">
        <f>A01泛微粒贷业务状况表!H162+A02微账户业务状况表!H149+A03汽车金融业务状况表!H102+A04财富业务状况表!H117+A05小鹅业务状况表!H83</f>
        <v>18399846</v>
      </c>
      <c r="I67">
        <f>A01泛微粒贷业务状况表!I162+A02微账户业务状况表!I149+A03汽车金融业务状况表!I102+A04财富业务状况表!I117+A05小鹅业务状况表!I83</f>
        <v>17254704</v>
      </c>
      <c r="J67">
        <f>A01泛微粒贷业务状况表!J162+A02微账户业务状况表!J149+A03汽车金融业务状况表!J102+A04财富业务状况表!J117+A05小鹅业务状况表!J83</f>
        <v>20470884</v>
      </c>
      <c r="K67">
        <f>A01泛微粒贷业务状况表!K162+A02微账户业务状况表!K149+A03汽车金融业务状况表!K102+A04财富业务状况表!K117+A05小鹅业务状况表!K83</f>
        <v>20970018</v>
      </c>
      <c r="L67">
        <f>A01泛微粒贷业务状况表!L162+A02微账户业务状况表!L149+A03汽车金融业务状况表!L102+A04财富业务状况表!L117+A05小鹅业务状况表!L83</f>
        <v>21492516</v>
      </c>
      <c r="M67">
        <f>A01泛微粒贷业务状况表!M162+A02微账户业务状况表!M149+A03汽车金融业务状况表!M102+A04财富业务状况表!M117+A05小鹅业务状况表!M83</f>
        <v>22252902</v>
      </c>
      <c r="N67">
        <f>A01泛微粒贷业务状况表!N162+A02微账户业务状况表!N149+A03汽车金融业务状况表!N102+A04财富业务状况表!N117+A05小鹅业务状况表!N83</f>
        <v>22989925</v>
      </c>
      <c r="O67">
        <f>A01泛微粒贷业务状况表!O162+A02微账户业务状况表!O149+A03汽车金融业务状况表!O102+A04财富业务状况表!O117+A05小鹅业务状况表!O83</f>
        <v>22705313</v>
      </c>
      <c r="P67">
        <f>A01泛微粒贷业务状况表!P162+A02微账户业务状况表!P149+A03汽车金融业务状况表!P102+A04财富业务状况表!P117+A05小鹅业务状况表!P83</f>
        <v>22182814</v>
      </c>
      <c r="Q67">
        <f>A01泛微粒贷业务状况表!Q162+A02微账户业务状况表!Q149+A03汽车金融业务状况表!Q102+A04财富业务状况表!Q117+A05小鹅业务状况表!Q83</f>
        <v>24062546</v>
      </c>
      <c r="R67">
        <f>A01泛微粒贷业务状况表!R162+A02微账户业务状况表!R149+A03汽车金融业务状况表!R102+A04财富业务状况表!R117+A05小鹅业务状况表!R83</f>
        <v>23801297</v>
      </c>
      <c r="S67">
        <f>A01泛微粒贷业务状况表!S162+A02微账户业务状况表!S149+A03汽车金融业务状况表!S102+A04财富业务状况表!S117+A05小鹅业务状况表!S83</f>
        <v>24631769</v>
      </c>
    </row>
    <row r="68" spans="1:19">
      <c r="A68" t="s">
        <v>192</v>
      </c>
      <c r="B68" t="s">
        <v>393</v>
      </c>
      <c r="C68" t="s">
        <v>858</v>
      </c>
      <c r="D68" t="s">
        <v>64</v>
      </c>
      <c r="G68">
        <f t="shared" si="19"/>
        <v>181214534</v>
      </c>
      <c r="H68">
        <f>A01泛微粒贷业务状况表!H163+A02微账户业务状况表!H150+A03汽车金融业务状况表!H103+A04财富业务状况表!H118+A05小鹅业务状况表!H84</f>
        <v>12799846</v>
      </c>
      <c r="I68">
        <f>A01泛微粒贷业务状况表!I163+A02微账户业务状况表!I150+A03汽车金融业务状况表!I103+A04财富业务状况表!I118+A05小鹅业务状况表!I84</f>
        <v>12054704</v>
      </c>
      <c r="J68">
        <f>A01泛微粒贷业务状况表!J163+A02微账户业务状况表!J150+A03汽车金融业务状况表!J103+A04财富业务状况表!J118+A05小鹅业务状况表!J84</f>
        <v>14230884</v>
      </c>
      <c r="K68">
        <f>A01泛微粒贷业务状况表!K163+A02微账户业务状况表!K150+A03汽车金融业务状况表!K103+A04财富业务状况表!K118+A05小鹅业务状况表!K84</f>
        <v>14570018</v>
      </c>
      <c r="L68">
        <f>A01泛微粒贷业务状况表!L163+A02微账户业务状况表!L150+A03汽车金融业务状况表!L103+A04财富业务状况表!L118+A05小鹅业务状况表!L84</f>
        <v>14932516</v>
      </c>
      <c r="M68">
        <f>A01泛微粒贷业务状况表!M163+A02微账户业务状况表!M150+A03汽车金融业务状况表!M103+A04财富业务状况表!M118+A05小鹅业务状况表!M84</f>
        <v>15452902</v>
      </c>
      <c r="N68">
        <f>A01泛微粒贷业务状况表!N163+A02微账户业务状况表!N150+A03汽车金融业务状况表!N103+A04财富业务状况表!N118+A05小鹅业务状况表!N84</f>
        <v>15949925</v>
      </c>
      <c r="O68">
        <f>A01泛微粒贷业务状况表!O163+A02微账户业务状况表!O150+A03汽车金融业务状况表!O103+A04财富业务状况表!O118+A05小鹅业务状况表!O84</f>
        <v>15745313</v>
      </c>
      <c r="P68">
        <f>A01泛微粒贷业务状况表!P163+A02微账户业务状况表!P150+A03汽车金融业务状况表!P103+A04财富业务状况表!P118+A05小鹅业务状况表!P84</f>
        <v>15382814</v>
      </c>
      <c r="Q68">
        <f>A01泛微粒贷业务状况表!Q163+A02微账户业务状况表!Q150+A03汽车金融业务状况表!Q103+A04财富业务状况表!Q118+A05小鹅业务状况表!Q84</f>
        <v>16622546</v>
      </c>
      <c r="R68">
        <f>A01泛微粒贷业务状况表!R163+A02微账户业务状况表!R150+A03汽车金融业务状况表!R103+A04财富业务状况表!R118+A05小鹅业务状况表!R84</f>
        <v>16441297</v>
      </c>
      <c r="S68">
        <f>A01泛微粒贷业务状况表!S163+A02微账户业务状况表!S150+A03汽车金融业务状况表!S103+A04财富业务状况表!S118+A05小鹅业务状况表!S84</f>
        <v>17031769</v>
      </c>
    </row>
    <row r="69" spans="1:19">
      <c r="A69" t="s">
        <v>60</v>
      </c>
      <c r="B69" t="s">
        <v>393</v>
      </c>
      <c r="C69" t="s">
        <v>859</v>
      </c>
      <c r="D69" t="s">
        <v>414</v>
      </c>
      <c r="G69">
        <f t="shared" si="19"/>
        <v>642145737</v>
      </c>
      <c r="H69">
        <f>A01泛微粒贷业务状况表!H164+A02微账户业务状况表!H151+A03汽车金融业务状况表!H104+A04财富业务状况表!H119+A05小鹅业务状况表!H85</f>
        <v>46098487</v>
      </c>
      <c r="I69">
        <f>A01泛微粒贷业务状况表!I164+A02微账户业务状况表!I151+A03汽车金融业务状况表!I104+A04财富业务状况表!I119+A05小鹅业务状况表!I85</f>
        <v>44497067</v>
      </c>
      <c r="J69">
        <f>A01泛微粒贷业务状况表!J164+A02微账户业务状况表!J151+A03汽车金融业务状况表!J104+A04财富业务状况表!J119+A05小鹅业务状况表!J85</f>
        <v>51048859</v>
      </c>
      <c r="K69">
        <f>A01泛微粒贷业务状况表!K164+A02微账户业务状况表!K151+A03汽车金融业务状况表!K104+A04财富业务状况表!K119+A05小鹅业务状况表!K85</f>
        <v>52100218</v>
      </c>
      <c r="L69">
        <f>A01泛微粒贷业务状况表!L164+A02微账户业务状况表!L151+A03汽车金融业务状况表!L104+A04财富业务状况表!L119+A05小鹅业务状况表!L85</f>
        <v>53385199</v>
      </c>
      <c r="M69">
        <f>A01泛微粒贷业务状况表!M164+A02微账户业务状况表!M151+A03汽车金融业务状况表!M104+A04财富业务状况表!M119+A05小鹅业务状况表!M85</f>
        <v>55079052</v>
      </c>
      <c r="N69">
        <f>A01泛微粒贷业务状况表!N164+A02微账户业务状况表!N151+A03汽车金融业务状况表!N104+A04财富业务状况表!N119+A05小鹅业务状况表!N85</f>
        <v>56539280</v>
      </c>
      <c r="O69">
        <f>A01泛微粒贷业务状况表!O164+A02微账户业务状况表!O151+A03汽车金融业务状况表!O104+A04财富业务状况表!O119+A05小鹅业务状况表!O85</f>
        <v>55663164</v>
      </c>
      <c r="P69">
        <f>A01泛微粒贷业务状况表!P164+A02微账户业务状况表!P151+A03汽车金融业务状况表!P104+A04财富业务状况表!P119+A05小鹅业务状况表!P85</f>
        <v>54378180</v>
      </c>
      <c r="Q69">
        <f>A01泛微粒贷业务状况表!Q164+A02微账户业务状况表!Q151+A03汽车金融业务状况表!Q104+A04财富业务状况表!Q119+A05小鹅业务状况表!Q85</f>
        <v>57415498</v>
      </c>
      <c r="R69">
        <f>A01泛微粒贷业务状况表!R164+A02微账户业务状况表!R151+A03汽车金融业务状况表!R104+A04财富业务状况表!R119+A05小鹅业务状况表!R85</f>
        <v>56773004</v>
      </c>
      <c r="S69">
        <f>A01泛微粒贷业务状况表!S164+A02微账户业务状况表!S151+A03汽车金融业务状况表!S104+A04财富业务状况表!S119+A05小鹅业务状况表!S85</f>
        <v>59167729</v>
      </c>
    </row>
    <row r="70" spans="1:19">
      <c r="A70" t="s">
        <v>60</v>
      </c>
      <c r="B70" t="s">
        <v>393</v>
      </c>
      <c r="C70" t="s">
        <v>860</v>
      </c>
      <c r="D70" t="s">
        <v>68</v>
      </c>
      <c r="G70">
        <f t="shared" si="19"/>
        <v>592145737</v>
      </c>
      <c r="H70">
        <f>A01泛微粒贷业务状况表!H165+A02微账户业务状况表!H152+A03汽车金融业务状况表!H105+A04财富业务状况表!H120+A05小鹅业务状况表!H86</f>
        <v>42598487</v>
      </c>
      <c r="I70">
        <f>A01泛微粒贷业务状况表!I165+A02微账户业务状况表!I152+A03汽车金融业务状况表!I105+A04财富业务状况表!I120+A05小鹅业务状况表!I86</f>
        <v>41247067</v>
      </c>
      <c r="J70">
        <f>A01泛微粒贷业务状况表!J165+A02微账户业务状况表!J152+A03汽车金融业务状况表!J105+A04财富业务状况表!J120+A05小鹅业务状况表!J86</f>
        <v>47148859</v>
      </c>
      <c r="K70">
        <f>A01泛微粒贷业务状况表!K165+A02微账户业务状况表!K152+A03汽车金融业务状况表!K105+A04财富业务状况表!K120+A05小鹅业务状况表!K86</f>
        <v>48100218</v>
      </c>
      <c r="L70">
        <f>A01泛微粒贷业务状况表!L165+A02微账户业务状况表!L152+A03汽车金融业务状况表!L105+A04财富业务状况表!L120+A05小鹅业务状况表!L86</f>
        <v>49285199</v>
      </c>
      <c r="M70">
        <f>A01泛微粒贷业务状况表!M165+A02微账户业务状况表!M152+A03汽车金融业务状况表!M105+A04财富业务状况表!M120+A05小鹅业务状况表!M86</f>
        <v>50829052</v>
      </c>
      <c r="N70">
        <f>A01泛微粒贷业务状况表!N165+A02微账户业务状况表!N152+A03汽车金融业务状况表!N105+A04财富业务状况表!N120+A05小鹅业务状况表!N86</f>
        <v>52139280</v>
      </c>
      <c r="O70">
        <f>A01泛微粒贷业务状况表!O165+A02微账户业务状况表!O152+A03汽车金融业务状况表!O105+A04财富业务状况表!O120+A05小鹅业务状况表!O86</f>
        <v>51313164</v>
      </c>
      <c r="P70">
        <f>A01泛微粒贷业务状况表!P165+A02微账户业务状况表!P152+A03汽车金融业务状况表!P105+A04财富业务状况表!P120+A05小鹅业务状况表!P86</f>
        <v>50128180</v>
      </c>
      <c r="Q70">
        <f>A01泛微粒贷业务状况表!Q165+A02微账户业务状况表!Q152+A03汽车金融业务状况表!Q105+A04财富业务状况表!Q120+A05小鹅业务状况表!Q86</f>
        <v>52765498</v>
      </c>
      <c r="R70">
        <f>A01泛微粒贷业务状况表!R165+A02微账户业务状况表!R152+A03汽车金融业务状况表!R105+A04财富业务状况表!R120+A05小鹅业务状况表!R86</f>
        <v>52173004</v>
      </c>
      <c r="S70">
        <f>A01泛微粒贷业务状况表!S165+A02微账户业务状况表!S152+A03汽车金融业务状况表!S105+A04财富业务状况表!S120+A05小鹅业务状况表!S86</f>
        <v>54417729</v>
      </c>
    </row>
    <row r="71" spans="1:19">
      <c r="A71" t="s">
        <v>60</v>
      </c>
      <c r="B71" t="s">
        <v>393</v>
      </c>
      <c r="C71" t="s">
        <v>861</v>
      </c>
      <c r="D71" t="s">
        <v>70</v>
      </c>
      <c r="G71">
        <f t="shared" si="19"/>
        <v>592145737</v>
      </c>
      <c r="H71">
        <f>A01泛微粒贷业务状况表!H166+A02微账户业务状况表!H153+A03汽车金融业务状况表!H106+A04财富业务状况表!H121+A05小鹅业务状况表!H87</f>
        <v>42598487</v>
      </c>
      <c r="I71">
        <f>A01泛微粒贷业务状况表!I166+A02微账户业务状况表!I153+A03汽车金融业务状况表!I106+A04财富业务状况表!I121+A05小鹅业务状况表!I87</f>
        <v>41247067</v>
      </c>
      <c r="J71">
        <f>A01泛微粒贷业务状况表!J166+A02微账户业务状况表!J153+A03汽车金融业务状况表!J106+A04财富业务状况表!J121+A05小鹅业务状况表!J87</f>
        <v>47148859</v>
      </c>
      <c r="K71">
        <f>A01泛微粒贷业务状况表!K166+A02微账户业务状况表!K153+A03汽车金融业务状况表!K106+A04财富业务状况表!K121+A05小鹅业务状况表!K87</f>
        <v>48100218</v>
      </c>
      <c r="L71">
        <f>A01泛微粒贷业务状况表!L166+A02微账户业务状况表!L153+A03汽车金融业务状况表!L106+A04财富业务状况表!L121+A05小鹅业务状况表!L87</f>
        <v>49285199</v>
      </c>
      <c r="M71">
        <f>A01泛微粒贷业务状况表!M166+A02微账户业务状况表!M153+A03汽车金融业务状况表!M106+A04财富业务状况表!M121+A05小鹅业务状况表!M87</f>
        <v>50829052</v>
      </c>
      <c r="N71">
        <f>A01泛微粒贷业务状况表!N166+A02微账户业务状况表!N153+A03汽车金融业务状况表!N106+A04财富业务状况表!N121+A05小鹅业务状况表!N87</f>
        <v>52139280</v>
      </c>
      <c r="O71">
        <f>A01泛微粒贷业务状况表!O166+A02微账户业务状况表!O153+A03汽车金融业务状况表!O106+A04财富业务状况表!O121+A05小鹅业务状况表!O87</f>
        <v>51313164</v>
      </c>
      <c r="P71">
        <f>A01泛微粒贷业务状况表!P166+A02微账户业务状况表!P153+A03汽车金融业务状况表!P106+A04财富业务状况表!P121+A05小鹅业务状况表!P87</f>
        <v>50128180</v>
      </c>
      <c r="Q71">
        <f>A01泛微粒贷业务状况表!Q166+A02微账户业务状况表!Q153+A03汽车金融业务状况表!Q106+A04财富业务状况表!Q121+A05小鹅业务状况表!Q87</f>
        <v>52765498</v>
      </c>
      <c r="R71">
        <f>A01泛微粒贷业务状况表!R166+A02微账户业务状况表!R153+A03汽车金融业务状况表!R106+A04财富业务状况表!R121+A05小鹅业务状况表!R87</f>
        <v>52173004</v>
      </c>
      <c r="S71">
        <f>A01泛微粒贷业务状况表!S166+A02微账户业务状况表!S153+A03汽车金融业务状况表!S106+A04财富业务状况表!S121+A05小鹅业务状况表!S87</f>
        <v>54417729</v>
      </c>
    </row>
    <row r="72" spans="1:19">
      <c r="A72" t="s">
        <v>26</v>
      </c>
      <c r="B72" t="s">
        <v>393</v>
      </c>
      <c r="C72" t="s">
        <v>862</v>
      </c>
      <c r="D72" t="s">
        <v>418</v>
      </c>
      <c r="G72">
        <f t="shared" si="19"/>
        <v>5331457821</v>
      </c>
      <c r="H72">
        <f>A01泛微粒贷业务状况表!H167+A02微账户业务状况表!H154+A03汽车金融业务状况表!H107+A04财富业务状况表!H122+A05小鹅业务状况表!H88</f>
        <v>384684900</v>
      </c>
      <c r="I72">
        <f>A01泛微粒贷业务状况表!I167+A02微账户业务状况表!I154+A03汽车金融业务状况表!I107+A04财富业务状况表!I122+A05小鹅业务状况表!I88</f>
        <v>374120715</v>
      </c>
      <c r="J72">
        <f>A01泛微粒贷业务状况表!J167+A02微账户业务状况表!J154+A03汽车金融业务状况表!J107+A04财富业务状况表!J122+A05小鹅业务状况表!J88</f>
        <v>425468610</v>
      </c>
      <c r="K72">
        <f>A01泛微粒贷业务状况表!K167+A02微账户业务状况表!K154+A03汽车金融业务状况表!K107+A04财富业务状况表!K122+A05小鹅业务状况表!K88</f>
        <v>433802211</v>
      </c>
      <c r="L72">
        <f>A01泛微粒贷业务状况表!L167+A02微账户业务状况表!L154+A03汽车金融业务状况表!L107+A04财富业务状况表!L122+A05小鹅业务状况表!L88</f>
        <v>444472041</v>
      </c>
      <c r="M72">
        <f>A01泛微粒贷业务状况表!M167+A02微账户业务状况表!M154+A03汽车金融业务状况表!M107+A04财富业务状况表!M122+A05小鹅业务状况表!M88</f>
        <v>458140563</v>
      </c>
      <c r="N72">
        <f>A01泛微粒贷业务状况表!N167+A02微账户业务状况表!N154+A03汽车金融业务状况表!N107+A04财富业务状况表!N122+A05小鹅业务状况表!N88</f>
        <v>469472838</v>
      </c>
      <c r="O72">
        <f>A01泛微粒贷业务状况表!O167+A02微账户业务状况表!O154+A03汽车金融业务状况表!O107+A04财富业务状况表!O122+A05小鹅业务状况表!O88</f>
        <v>461801684</v>
      </c>
      <c r="P72">
        <f>A01泛微粒贷业务状况表!P167+A02微账户业务状况表!P154+A03汽车金融业务状况表!P107+A04财富业务状况表!P122+A05小鹅业务状况表!P88</f>
        <v>451131831</v>
      </c>
      <c r="Q72">
        <f>A01泛微粒贷业务状况表!Q167+A02微账户业务状况表!Q154+A03汽车金融业务状况表!Q107+A04财富业务状况表!Q122+A05小鹅业务状况表!Q88</f>
        <v>472785020</v>
      </c>
      <c r="R72">
        <f>A01泛微粒贷业务状况表!R167+A02微账户业务状况表!R154+A03汽车金融业务状况表!R107+A04财富业务状况表!R122+A05小鹅业务状况表!R88</f>
        <v>467450078</v>
      </c>
      <c r="S72">
        <f>A01泛微粒贷业务状况表!S167+A02微账户业务状况表!S154+A03汽车金融业务状况表!S107+A04财富业务状况表!S122+A05小鹅业务状况表!S88</f>
        <v>488127330</v>
      </c>
    </row>
    <row r="73" spans="1:19">
      <c r="A73" t="s">
        <v>26</v>
      </c>
      <c r="B73" t="s">
        <v>393</v>
      </c>
      <c r="C73" t="s">
        <v>863</v>
      </c>
      <c r="D73" t="s">
        <v>420</v>
      </c>
      <c r="G73">
        <f t="shared" si="19"/>
        <v>5331457821</v>
      </c>
      <c r="H73">
        <f>A01泛微粒贷业务状况表!H168+A02微账户业务状况表!H155+A03汽车金融业务状况表!H108+A04财富业务状况表!H123+A05小鹅业务状况表!H89</f>
        <v>384684900</v>
      </c>
      <c r="I73">
        <f>A01泛微粒贷业务状况表!I168+A02微账户业务状况表!I155+A03汽车金融业务状况表!I108+A04财富业务状况表!I123+A05小鹅业务状况表!I89</f>
        <v>374120715</v>
      </c>
      <c r="J73">
        <f>A01泛微粒贷业务状况表!J168+A02微账户业务状况表!J155+A03汽车金融业务状况表!J108+A04财富业务状况表!J123+A05小鹅业务状况表!J89</f>
        <v>425468610</v>
      </c>
      <c r="K73">
        <f>A01泛微粒贷业务状况表!K168+A02微账户业务状况表!K155+A03汽车金融业务状况表!K108+A04财富业务状况表!K123+A05小鹅业务状况表!K89</f>
        <v>433802211</v>
      </c>
      <c r="L73">
        <f>A01泛微粒贷业务状况表!L168+A02微账户业务状况表!L155+A03汽车金融业务状况表!L108+A04财富业务状况表!L123+A05小鹅业务状况表!L89</f>
        <v>444472041</v>
      </c>
      <c r="M73">
        <f>A01泛微粒贷业务状况表!M168+A02微账户业务状况表!M155+A03汽车金融业务状况表!M108+A04财富业务状况表!M123+A05小鹅业务状况表!M89</f>
        <v>458140563</v>
      </c>
      <c r="N73">
        <f>A01泛微粒贷业务状况表!N168+A02微账户业务状况表!N155+A03汽车金融业务状况表!N108+A04财富业务状况表!N123+A05小鹅业务状况表!N89</f>
        <v>469472838</v>
      </c>
      <c r="O73">
        <f>A01泛微粒贷业务状况表!O168+A02微账户业务状况表!O155+A03汽车金融业务状况表!O108+A04财富业务状况表!O123+A05小鹅业务状况表!O89</f>
        <v>461801684</v>
      </c>
      <c r="P73">
        <f>A01泛微粒贷业务状况表!P168+A02微账户业务状况表!P155+A03汽车金融业务状况表!P108+A04财富业务状况表!P123+A05小鹅业务状况表!P89</f>
        <v>451131831</v>
      </c>
      <c r="Q73">
        <f>A01泛微粒贷业务状况表!Q168+A02微账户业务状况表!Q155+A03汽车金融业务状况表!Q108+A04财富业务状况表!Q123+A05小鹅业务状况表!Q89</f>
        <v>472785020</v>
      </c>
      <c r="R73">
        <f>A01泛微粒贷业务状况表!R168+A02微账户业务状况表!R155+A03汽车金融业务状况表!R108+A04财富业务状况表!R123+A05小鹅业务状况表!R89</f>
        <v>467450078</v>
      </c>
      <c r="S73">
        <f>A01泛微粒贷业务状况表!S168+A02微账户业务状况表!S155+A03汽车金融业务状况表!S108+A04财富业务状况表!S123+A05小鹅业务状况表!S89</f>
        <v>488127330</v>
      </c>
    </row>
    <row r="74" spans="1:19">
      <c r="A74" t="s">
        <v>23</v>
      </c>
      <c r="B74" t="s">
        <v>393</v>
      </c>
      <c r="C74" t="s">
        <v>864</v>
      </c>
      <c r="D74" t="s">
        <v>422</v>
      </c>
      <c r="G74">
        <f t="shared" si="19"/>
        <v>15420364869</v>
      </c>
      <c r="H74">
        <f t="shared" ref="H74:S74" si="21">H75+H78+H81+H88+H89</f>
        <v>1110658901</v>
      </c>
      <c r="I74">
        <f t="shared" si="21"/>
        <v>1077330307</v>
      </c>
      <c r="J74">
        <f t="shared" si="21"/>
        <v>1228941001</v>
      </c>
      <c r="K74">
        <f t="shared" si="21"/>
        <v>1253445984</v>
      </c>
      <c r="L74">
        <f t="shared" si="21"/>
        <v>1284305507</v>
      </c>
      <c r="M74">
        <f t="shared" si="21"/>
        <v>1324240294</v>
      </c>
      <c r="N74">
        <f t="shared" si="21"/>
        <v>1357820486</v>
      </c>
      <c r="O74">
        <f t="shared" si="21"/>
        <v>1336036142</v>
      </c>
      <c r="P74">
        <f t="shared" si="21"/>
        <v>1305176550</v>
      </c>
      <c r="Q74">
        <f t="shared" si="21"/>
        <v>1371423618</v>
      </c>
      <c r="R74">
        <f t="shared" si="21"/>
        <v>1355993778</v>
      </c>
      <c r="S74">
        <f t="shared" si="21"/>
        <v>1414992301</v>
      </c>
    </row>
    <row r="75" spans="1:19">
      <c r="A75" t="s">
        <v>26</v>
      </c>
      <c r="B75" t="s">
        <v>393</v>
      </c>
      <c r="C75" t="s">
        <v>865</v>
      </c>
      <c r="D75" t="s">
        <v>399</v>
      </c>
      <c r="G75">
        <f t="shared" si="19"/>
        <v>1444291474</v>
      </c>
      <c r="H75">
        <f t="shared" ref="H75:S75" si="22">H76+H77</f>
        <v>103396974</v>
      </c>
      <c r="I75">
        <f t="shared" si="22"/>
        <v>99394134</v>
      </c>
      <c r="J75">
        <f t="shared" si="22"/>
        <v>114577718</v>
      </c>
      <c r="K75">
        <f t="shared" si="22"/>
        <v>117000436</v>
      </c>
      <c r="L75">
        <f t="shared" si="22"/>
        <v>119890398</v>
      </c>
      <c r="M75">
        <f t="shared" si="22"/>
        <v>123758104</v>
      </c>
      <c r="N75">
        <f t="shared" si="22"/>
        <v>127158560</v>
      </c>
      <c r="O75">
        <f t="shared" si="22"/>
        <v>125246328</v>
      </c>
      <c r="P75">
        <f t="shared" si="22"/>
        <v>122356360</v>
      </c>
      <c r="Q75">
        <f t="shared" si="22"/>
        <v>129710996</v>
      </c>
      <c r="R75">
        <f t="shared" si="22"/>
        <v>128266008</v>
      </c>
      <c r="S75">
        <f t="shared" si="22"/>
        <v>133535458</v>
      </c>
    </row>
    <row r="76" spans="1:19">
      <c r="A76" t="s">
        <v>60</v>
      </c>
      <c r="B76" t="s">
        <v>393</v>
      </c>
      <c r="C76" t="s">
        <v>866</v>
      </c>
      <c r="D76" t="s">
        <v>401</v>
      </c>
      <c r="G76">
        <f t="shared" si="19"/>
        <v>802145737</v>
      </c>
      <c r="H76">
        <f>A01泛微粒贷业务状况表!H171+A02微账户业务状况表!H158+A03汽车金融业务状况表!H111+A04财富业务状况表!H126+A05小鹅业务状况表!H92</f>
        <v>57298487</v>
      </c>
      <c r="I76">
        <f>A01泛微粒贷业务状况表!I171+A02微账户业务状况表!I158+A03汽车金融业务状况表!I111+A04财富业务状况表!I126+A05小鹅业务状况表!I92</f>
        <v>54897067</v>
      </c>
      <c r="J76">
        <f>A01泛微粒贷业务状况表!J171+A02微账户业务状况表!J158+A03汽车金融业务状况表!J111+A04财富业务状况表!J126+A05小鹅业务状况表!J92</f>
        <v>63528859</v>
      </c>
      <c r="K76">
        <f>A01泛微粒贷业务状况表!K171+A02微账户业务状况表!K158+A03汽车金融业务状况表!K111+A04财富业务状况表!K126+A05小鹅业务状况表!K92</f>
        <v>64900218</v>
      </c>
      <c r="L76">
        <f>A01泛微粒贷业务状况表!L171+A02微账户业务状况表!L158+A03汽车金融业务状况表!L111+A04财富业务状况表!L126+A05小鹅业务状况表!L92</f>
        <v>66505199</v>
      </c>
      <c r="M76">
        <f>A01泛微粒贷业务状况表!M171+A02微账户业务状况表!M158+A03汽车金融业务状况表!M111+A04财富业务状况表!M126+A05小鹅业务状况表!M92</f>
        <v>68679052</v>
      </c>
      <c r="N76">
        <f>A01泛微粒贷业务状况表!N171+A02微账户业务状况表!N158+A03汽车金融业务状况表!N111+A04财富业务状况表!N126+A05小鹅业务状况表!N92</f>
        <v>70619280</v>
      </c>
      <c r="O76">
        <f>A01泛微粒贷业务状况表!O171+A02微账户业务状况表!O158+A03汽车金融业务状况表!O111+A04财富业务状况表!O126+A05小鹅业务状况表!O92</f>
        <v>69583164</v>
      </c>
      <c r="P76">
        <f>A01泛微粒贷业务状况表!P171+A02微账户业务状况表!P158+A03汽车金融业务状况表!P111+A04财富业务状况表!P126+A05小鹅业务状况表!P92</f>
        <v>67978180</v>
      </c>
      <c r="Q76">
        <f>A01泛微粒贷业务状况表!Q171+A02微账户业务状况表!Q158+A03汽车金融业务状况表!Q111+A04财富业务状况表!Q126+A05小鹅业务状况表!Q92</f>
        <v>72295498</v>
      </c>
      <c r="R76">
        <f>A01泛微粒贷业务状况表!R171+A02微账户业务状况表!R158+A03汽车金融业务状况表!R111+A04财富业务状况表!R126+A05小鹅业务状况表!R92</f>
        <v>71493004</v>
      </c>
      <c r="S76">
        <f>A01泛微粒贷业务状况表!S171+A02微账户业务状况表!S158+A03汽车金融业务状况表!S111+A04财富业务状况表!S126+A05小鹅业务状况表!S92</f>
        <v>74367729</v>
      </c>
    </row>
    <row r="77" spans="1:19">
      <c r="A77" t="s">
        <v>60</v>
      </c>
      <c r="B77" t="s">
        <v>393</v>
      </c>
      <c r="C77" t="s">
        <v>867</v>
      </c>
      <c r="D77" t="s">
        <v>49</v>
      </c>
      <c r="G77">
        <f t="shared" si="19"/>
        <v>642145737</v>
      </c>
      <c r="H77">
        <f>A01泛微粒贷业务状况表!H172+A02微账户业务状况表!H159+A03汽车金融业务状况表!H112+A04财富业务状况表!H127+A05小鹅业务状况表!H93</f>
        <v>46098487</v>
      </c>
      <c r="I77">
        <f>A01泛微粒贷业务状况表!I172+A02微账户业务状况表!I159+A03汽车金融业务状况表!I112+A04财富业务状况表!I127+A05小鹅业务状况表!I93</f>
        <v>44497067</v>
      </c>
      <c r="J77">
        <f>A01泛微粒贷业务状况表!J172+A02微账户业务状况表!J159+A03汽车金融业务状况表!J112+A04财富业务状况表!J127+A05小鹅业务状况表!J93</f>
        <v>51048859</v>
      </c>
      <c r="K77">
        <f>A01泛微粒贷业务状况表!K172+A02微账户业务状况表!K159+A03汽车金融业务状况表!K112+A04财富业务状况表!K127+A05小鹅业务状况表!K93</f>
        <v>52100218</v>
      </c>
      <c r="L77">
        <f>A01泛微粒贷业务状况表!L172+A02微账户业务状况表!L159+A03汽车金融业务状况表!L112+A04财富业务状况表!L127+A05小鹅业务状况表!L93</f>
        <v>53385199</v>
      </c>
      <c r="M77">
        <f>A01泛微粒贷业务状况表!M172+A02微账户业务状况表!M159+A03汽车金融业务状况表!M112+A04财富业务状况表!M127+A05小鹅业务状况表!M93</f>
        <v>55079052</v>
      </c>
      <c r="N77">
        <f>A01泛微粒贷业务状况表!N172+A02微账户业务状况表!N159+A03汽车金融业务状况表!N112+A04财富业务状况表!N127+A05小鹅业务状况表!N93</f>
        <v>56539280</v>
      </c>
      <c r="O77">
        <f>A01泛微粒贷业务状况表!O172+A02微账户业务状况表!O159+A03汽车金融业务状况表!O112+A04财富业务状况表!O127+A05小鹅业务状况表!O93</f>
        <v>55663164</v>
      </c>
      <c r="P77">
        <f>A01泛微粒贷业务状况表!P172+A02微账户业务状况表!P159+A03汽车金融业务状况表!P112+A04财富业务状况表!P127+A05小鹅业务状况表!P93</f>
        <v>54378180</v>
      </c>
      <c r="Q77">
        <f>A01泛微粒贷业务状况表!Q172+A02微账户业务状况表!Q159+A03汽车金融业务状况表!Q112+A04财富业务状况表!Q127+A05小鹅业务状况表!Q93</f>
        <v>57415498</v>
      </c>
      <c r="R77">
        <f>A01泛微粒贷业务状况表!R172+A02微账户业务状况表!R159+A03汽车金融业务状况表!R112+A04财富业务状况表!R127+A05小鹅业务状况表!R93</f>
        <v>56773004</v>
      </c>
      <c r="S77">
        <f>A01泛微粒贷业务状况表!S172+A02微账户业务状况表!S159+A03汽车金融业务状况表!S112+A04财富业务状况表!S127+A05小鹅业务状况表!S93</f>
        <v>59167729</v>
      </c>
    </row>
    <row r="78" spans="1:19">
      <c r="A78" t="s">
        <v>26</v>
      </c>
      <c r="B78" t="s">
        <v>393</v>
      </c>
      <c r="C78" t="s">
        <v>868</v>
      </c>
      <c r="D78" t="s">
        <v>51</v>
      </c>
      <c r="G78">
        <f t="shared" si="19"/>
        <v>1364291474</v>
      </c>
      <c r="H78">
        <f t="shared" ref="H78:S78" si="23">H79+H80</f>
        <v>97796974</v>
      </c>
      <c r="I78">
        <f t="shared" si="23"/>
        <v>94194134</v>
      </c>
      <c r="J78">
        <f t="shared" si="23"/>
        <v>108337718</v>
      </c>
      <c r="K78">
        <f t="shared" si="23"/>
        <v>110600436</v>
      </c>
      <c r="L78">
        <f t="shared" si="23"/>
        <v>113330398</v>
      </c>
      <c r="M78">
        <f t="shared" si="23"/>
        <v>116958104</v>
      </c>
      <c r="N78">
        <f t="shared" si="23"/>
        <v>120118560</v>
      </c>
      <c r="O78">
        <f t="shared" si="23"/>
        <v>118286328</v>
      </c>
      <c r="P78">
        <f t="shared" si="23"/>
        <v>115556360</v>
      </c>
      <c r="Q78">
        <f t="shared" si="23"/>
        <v>122270996</v>
      </c>
      <c r="R78">
        <f t="shared" si="23"/>
        <v>120906008</v>
      </c>
      <c r="S78">
        <f t="shared" si="23"/>
        <v>125935458</v>
      </c>
    </row>
    <row r="79" spans="1:19">
      <c r="A79" t="s">
        <v>60</v>
      </c>
      <c r="B79" t="s">
        <v>393</v>
      </c>
      <c r="C79" t="s">
        <v>869</v>
      </c>
      <c r="D79" t="s">
        <v>405</v>
      </c>
      <c r="G79">
        <f t="shared" si="19"/>
        <v>722145737</v>
      </c>
      <c r="H79">
        <f>A01泛微粒贷业务状况表!H174+A02微账户业务状况表!H161+A03汽车金融业务状况表!H114+A04财富业务状况表!H129+A05小鹅业务状况表!H95</f>
        <v>51698487</v>
      </c>
      <c r="I79">
        <f>A01泛微粒贷业务状况表!I174+A02微账户业务状况表!I161+A03汽车金融业务状况表!I114+A04财富业务状况表!I129+A05小鹅业务状况表!I95</f>
        <v>49697067</v>
      </c>
      <c r="J79">
        <f>A01泛微粒贷业务状况表!J174+A02微账户业务状况表!J161+A03汽车金融业务状况表!J114+A04财富业务状况表!J129+A05小鹅业务状况表!J95</f>
        <v>57288859</v>
      </c>
      <c r="K79">
        <f>A01泛微粒贷业务状况表!K174+A02微账户业务状况表!K161+A03汽车金融业务状况表!K114+A04财富业务状况表!K129+A05小鹅业务状况表!K95</f>
        <v>58500218</v>
      </c>
      <c r="L79">
        <f>A01泛微粒贷业务状况表!L174+A02微账户业务状况表!L161+A03汽车金融业务状况表!L114+A04财富业务状况表!L129+A05小鹅业务状况表!L95</f>
        <v>59945199</v>
      </c>
      <c r="M79">
        <f>A01泛微粒贷业务状况表!M174+A02微账户业务状况表!M161+A03汽车金融业务状况表!M114+A04财富业务状况表!M129+A05小鹅业务状况表!M95</f>
        <v>61879052</v>
      </c>
      <c r="N79">
        <f>A01泛微粒贷业务状况表!N174+A02微账户业务状况表!N161+A03汽车金融业务状况表!N114+A04财富业务状况表!N129+A05小鹅业务状况表!N95</f>
        <v>63579280</v>
      </c>
      <c r="O79">
        <f>A01泛微粒贷业务状况表!O174+A02微账户业务状况表!O161+A03汽车金融业务状况表!O114+A04财富业务状况表!O129+A05小鹅业务状况表!O95</f>
        <v>62623164</v>
      </c>
      <c r="P79">
        <f>A01泛微粒贷业务状况表!P174+A02微账户业务状况表!P161+A03汽车金融业务状况表!P114+A04财富业务状况表!P129+A05小鹅业务状况表!P95</f>
        <v>61178180</v>
      </c>
      <c r="Q79">
        <f>A01泛微粒贷业务状况表!Q174+A02微账户业务状况表!Q161+A03汽车金融业务状况表!Q114+A04财富业务状况表!Q129+A05小鹅业务状况表!Q95</f>
        <v>64855498</v>
      </c>
      <c r="R79">
        <f>A01泛微粒贷业务状况表!R174+A02微账户业务状况表!R161+A03汽车金融业务状况表!R114+A04财富业务状况表!R129+A05小鹅业务状况表!R95</f>
        <v>64133004</v>
      </c>
      <c r="S79">
        <f>A01泛微粒贷业务状况表!S174+A02微账户业务状况表!S161+A03汽车金融业务状况表!S114+A04财富业务状况表!S129+A05小鹅业务状况表!S95</f>
        <v>66767729</v>
      </c>
    </row>
    <row r="80" spans="1:19">
      <c r="A80" t="s">
        <v>60</v>
      </c>
      <c r="B80" t="s">
        <v>393</v>
      </c>
      <c r="C80" t="s">
        <v>870</v>
      </c>
      <c r="D80" t="s">
        <v>407</v>
      </c>
      <c r="G80">
        <f t="shared" si="19"/>
        <v>642145737</v>
      </c>
      <c r="H80">
        <f>A01泛微粒贷业务状况表!H175+A02微账户业务状况表!H162+A03汽车金融业务状况表!H115+A04财富业务状况表!H130+A05小鹅业务状况表!H96</f>
        <v>46098487</v>
      </c>
      <c r="I80">
        <f>A01泛微粒贷业务状况表!I175+A02微账户业务状况表!I162+A03汽车金融业务状况表!I115+A04财富业务状况表!I130+A05小鹅业务状况表!I96</f>
        <v>44497067</v>
      </c>
      <c r="J80">
        <f>A01泛微粒贷业务状况表!J175+A02微账户业务状况表!J162+A03汽车金融业务状况表!J115+A04财富业务状况表!J130+A05小鹅业务状况表!J96</f>
        <v>51048859</v>
      </c>
      <c r="K80">
        <f>A01泛微粒贷业务状况表!K175+A02微账户业务状况表!K162+A03汽车金融业务状况表!K115+A04财富业务状况表!K130+A05小鹅业务状况表!K96</f>
        <v>52100218</v>
      </c>
      <c r="L80">
        <f>A01泛微粒贷业务状况表!L175+A02微账户业务状况表!L162+A03汽车金融业务状况表!L115+A04财富业务状况表!L130+A05小鹅业务状况表!L96</f>
        <v>53385199</v>
      </c>
      <c r="M80">
        <f>A01泛微粒贷业务状况表!M175+A02微账户业务状况表!M162+A03汽车金融业务状况表!M115+A04财富业务状况表!M130+A05小鹅业务状况表!M96</f>
        <v>55079052</v>
      </c>
      <c r="N80">
        <f>A01泛微粒贷业务状况表!N175+A02微账户业务状况表!N162+A03汽车金融业务状况表!N115+A04财富业务状况表!N130+A05小鹅业务状况表!N96</f>
        <v>56539280</v>
      </c>
      <c r="O80">
        <f>A01泛微粒贷业务状况表!O175+A02微账户业务状况表!O162+A03汽车金融业务状况表!O115+A04财富业务状况表!O130+A05小鹅业务状况表!O96</f>
        <v>55663164</v>
      </c>
      <c r="P80">
        <f>A01泛微粒贷业务状况表!P175+A02微账户业务状况表!P162+A03汽车金融业务状况表!P115+A04财富业务状况表!P130+A05小鹅业务状况表!P96</f>
        <v>54378180</v>
      </c>
      <c r="Q80">
        <f>A01泛微粒贷业务状况表!Q175+A02微账户业务状况表!Q162+A03汽车金融业务状况表!Q115+A04财富业务状况表!Q130+A05小鹅业务状况表!Q96</f>
        <v>57415498</v>
      </c>
      <c r="R80">
        <f>A01泛微粒贷业务状况表!R175+A02微账户业务状况表!R162+A03汽车金融业务状况表!R115+A04财富业务状况表!R130+A05小鹅业务状况表!R96</f>
        <v>56773004</v>
      </c>
      <c r="S80">
        <f>A01泛微粒贷业务状况表!S175+A02微账户业务状况表!S162+A03汽车金融业务状况表!S115+A04财富业务状况表!S130+A05小鹅业务状况表!S96</f>
        <v>59167729</v>
      </c>
    </row>
    <row r="81" spans="1:19">
      <c r="A81" t="s">
        <v>26</v>
      </c>
      <c r="B81" t="s">
        <v>393</v>
      </c>
      <c r="C81" t="s">
        <v>871</v>
      </c>
      <c r="D81" t="s">
        <v>409</v>
      </c>
      <c r="G81">
        <f t="shared" si="19"/>
        <v>1948866279</v>
      </c>
      <c r="H81">
        <f t="shared" ref="H81:S81" si="24">H82+H85+H86+H87</f>
        <v>140095153</v>
      </c>
      <c r="I81">
        <f t="shared" si="24"/>
        <v>135500609</v>
      </c>
      <c r="J81">
        <f t="shared" si="24"/>
        <v>155088345</v>
      </c>
      <c r="K81">
        <f t="shared" si="24"/>
        <v>158240690</v>
      </c>
      <c r="L81">
        <f t="shared" si="24"/>
        <v>162140629</v>
      </c>
      <c r="M81">
        <f t="shared" si="24"/>
        <v>167242960</v>
      </c>
      <c r="N81">
        <f t="shared" si="24"/>
        <v>171597690</v>
      </c>
      <c r="O81">
        <f t="shared" si="24"/>
        <v>168900118</v>
      </c>
      <c r="P81">
        <f t="shared" si="24"/>
        <v>165000168</v>
      </c>
      <c r="Q81">
        <f t="shared" si="24"/>
        <v>173871586</v>
      </c>
      <c r="R81">
        <f t="shared" si="24"/>
        <v>171921606</v>
      </c>
      <c r="S81">
        <f t="shared" si="24"/>
        <v>179266725</v>
      </c>
    </row>
    <row r="82" spans="1:19">
      <c r="A82" t="s">
        <v>60</v>
      </c>
      <c r="B82" t="s">
        <v>393</v>
      </c>
      <c r="C82" t="s">
        <v>872</v>
      </c>
      <c r="D82" t="s">
        <v>59</v>
      </c>
      <c r="G82">
        <f t="shared" si="19"/>
        <v>272429068</v>
      </c>
      <c r="H82">
        <f t="shared" ref="H82:S82" si="25">H83+H84</f>
        <v>19299692</v>
      </c>
      <c r="I82">
        <f t="shared" si="25"/>
        <v>18259408</v>
      </c>
      <c r="J82">
        <f t="shared" si="25"/>
        <v>21441768</v>
      </c>
      <c r="K82">
        <f t="shared" si="25"/>
        <v>21940036</v>
      </c>
      <c r="L82">
        <f t="shared" si="25"/>
        <v>22485032</v>
      </c>
      <c r="M82">
        <f t="shared" si="25"/>
        <v>23255804</v>
      </c>
      <c r="N82">
        <f t="shared" si="25"/>
        <v>23979850</v>
      </c>
      <c r="O82">
        <f t="shared" si="25"/>
        <v>23660626</v>
      </c>
      <c r="P82">
        <f t="shared" si="25"/>
        <v>23115628</v>
      </c>
      <c r="Q82">
        <f t="shared" si="25"/>
        <v>24875092</v>
      </c>
      <c r="R82">
        <f t="shared" si="25"/>
        <v>24602594</v>
      </c>
      <c r="S82">
        <f t="shared" si="25"/>
        <v>25513538</v>
      </c>
    </row>
    <row r="83" spans="1:19">
      <c r="A83" t="s">
        <v>192</v>
      </c>
      <c r="B83" t="s">
        <v>393</v>
      </c>
      <c r="C83" t="s">
        <v>873</v>
      </c>
      <c r="D83" t="s">
        <v>62</v>
      </c>
      <c r="G83">
        <f t="shared" si="19"/>
        <v>161214534</v>
      </c>
      <c r="H83">
        <f>A01泛微粒贷业务状况表!H178+A02微账户业务状况表!H165+A03汽车金融业务状况表!H118+A04财富业务状况表!H133+A05小鹅业务状况表!H99</f>
        <v>11399846</v>
      </c>
      <c r="I83">
        <f>A01泛微粒贷业务状况表!I178+A02微账户业务状况表!I165+A03汽车金融业务状况表!I118+A04财富业务状况表!I133+A05小鹅业务状况表!I99</f>
        <v>10754704</v>
      </c>
      <c r="J83">
        <f>A01泛微粒贷业务状况表!J178+A02微账户业务状况表!J165+A03汽车金融业务状况表!J118+A04财富业务状况表!J133+A05小鹅业务状况表!J99</f>
        <v>12670884</v>
      </c>
      <c r="K83">
        <f>A01泛微粒贷业务状况表!K178+A02微账户业务状况表!K165+A03汽车金融业务状况表!K118+A04财富业务状况表!K133+A05小鹅业务状况表!K99</f>
        <v>12970018</v>
      </c>
      <c r="L83">
        <f>A01泛微粒贷业务状况表!L178+A02微账户业务状况表!L165+A03汽车金融业务状况表!L118+A04财富业务状况表!L133+A05小鹅业务状况表!L99</f>
        <v>13292516</v>
      </c>
      <c r="M83">
        <f>A01泛微粒贷业务状况表!M178+A02微账户业务状况表!M165+A03汽车金融业务状况表!M118+A04财富业务状况表!M133+A05小鹅业务状况表!M99</f>
        <v>13752902</v>
      </c>
      <c r="N83">
        <f>A01泛微粒贷业务状况表!N178+A02微账户业务状况表!N165+A03汽车金融业务状况表!N118+A04财富业务状况表!N133+A05小鹅业务状况表!N99</f>
        <v>14189925</v>
      </c>
      <c r="O83">
        <f>A01泛微粒贷业务状况表!O178+A02微账户业务状况表!O165+A03汽车金融业务状况表!O118+A04财富业务状况表!O133+A05小鹅业务状况表!O99</f>
        <v>14005313</v>
      </c>
      <c r="P83">
        <f>A01泛微粒贷业务状况表!P178+A02微账户业务状况表!P165+A03汽车金融业务状况表!P118+A04财富业务状况表!P133+A05小鹅业务状况表!P99</f>
        <v>13682814</v>
      </c>
      <c r="Q83">
        <f>A01泛微粒贷业务状况表!Q178+A02微账户业务状况表!Q165+A03汽车金融业务状况表!Q118+A04财富业务状况表!Q133+A05小鹅业务状况表!Q99</f>
        <v>14762546</v>
      </c>
      <c r="R83">
        <f>A01泛微粒贷业务状况表!R178+A02微账户业务状况表!R165+A03汽车金融业务状况表!R118+A04财富业务状况表!R133+A05小鹅业务状况表!R99</f>
        <v>14601297</v>
      </c>
      <c r="S83">
        <f>A01泛微粒贷业务状况表!S178+A02微账户业务状况表!S165+A03汽车金融业务状况表!S118+A04财富业务状况表!S133+A05小鹅业务状况表!S99</f>
        <v>15131769</v>
      </c>
    </row>
    <row r="84" spans="1:19">
      <c r="A84" t="s">
        <v>192</v>
      </c>
      <c r="B84" t="s">
        <v>393</v>
      </c>
      <c r="C84" t="s">
        <v>874</v>
      </c>
      <c r="D84" t="s">
        <v>64</v>
      </c>
      <c r="G84">
        <f t="shared" si="19"/>
        <v>111214534</v>
      </c>
      <c r="H84">
        <f>A01泛微粒贷业务状况表!H179+A02微账户业务状况表!H166+A03汽车金融业务状况表!H119+A04财富业务状况表!H134+A05小鹅业务状况表!H100</f>
        <v>7899846</v>
      </c>
      <c r="I84">
        <f>A01泛微粒贷业务状况表!I179+A02微账户业务状况表!I166+A03汽车金融业务状况表!I119+A04财富业务状况表!I134+A05小鹅业务状况表!I100</f>
        <v>7504704</v>
      </c>
      <c r="J84">
        <f>A01泛微粒贷业务状况表!J179+A02微账户业务状况表!J166+A03汽车金融业务状况表!J119+A04财富业务状况表!J134+A05小鹅业务状况表!J100</f>
        <v>8770884</v>
      </c>
      <c r="K84">
        <f>A01泛微粒贷业务状况表!K179+A02微账户业务状况表!K166+A03汽车金融业务状况表!K119+A04财富业务状况表!K134+A05小鹅业务状况表!K100</f>
        <v>8970018</v>
      </c>
      <c r="L84">
        <f>A01泛微粒贷业务状况表!L179+A02微账户业务状况表!L166+A03汽车金融业务状况表!L119+A04财富业务状况表!L134+A05小鹅业务状况表!L100</f>
        <v>9192516</v>
      </c>
      <c r="M84">
        <f>A01泛微粒贷业务状况表!M179+A02微账户业务状况表!M166+A03汽车金融业务状况表!M119+A04财富业务状况表!M134+A05小鹅业务状况表!M100</f>
        <v>9502902</v>
      </c>
      <c r="N84">
        <f>A01泛微粒贷业务状况表!N179+A02微账户业务状况表!N166+A03汽车金融业务状况表!N119+A04财富业务状况表!N134+A05小鹅业务状况表!N100</f>
        <v>9789925</v>
      </c>
      <c r="O84">
        <f>A01泛微粒贷业务状况表!O179+A02微账户业务状况表!O166+A03汽车金融业务状况表!O119+A04财富业务状况表!O134+A05小鹅业务状况表!O100</f>
        <v>9655313</v>
      </c>
      <c r="P84">
        <f>A01泛微粒贷业务状况表!P179+A02微账户业务状况表!P166+A03汽车金融业务状况表!P119+A04财富业务状况表!P134+A05小鹅业务状况表!P100</f>
        <v>9432814</v>
      </c>
      <c r="Q84">
        <f>A01泛微粒贷业务状况表!Q179+A02微账户业务状况表!Q166+A03汽车金融业务状况表!Q119+A04财富业务状况表!Q134+A05小鹅业务状况表!Q100</f>
        <v>10112546</v>
      </c>
      <c r="R84">
        <f>A01泛微粒贷业务状况表!R179+A02微账户业务状况表!R166+A03汽车金融业务状况表!R119+A04财富业务状况表!R134+A05小鹅业务状况表!R100</f>
        <v>10001297</v>
      </c>
      <c r="S84">
        <f>A01泛微粒贷业务状况表!S179+A02微账户业务状况表!S166+A03汽车金融业务状况表!S119+A04财富业务状况表!S134+A05小鹅业务状况表!S100</f>
        <v>10381769</v>
      </c>
    </row>
    <row r="85" spans="1:19">
      <c r="A85" t="s">
        <v>60</v>
      </c>
      <c r="B85" t="s">
        <v>393</v>
      </c>
      <c r="C85" t="s">
        <v>875</v>
      </c>
      <c r="D85" t="s">
        <v>414</v>
      </c>
      <c r="G85">
        <f t="shared" si="19"/>
        <v>572145737</v>
      </c>
      <c r="H85">
        <f>A01泛微粒贷业务状况表!H180+A02微账户业务状况表!H167+A03汽车金融业务状况表!H120+A04财富业务状况表!H135+A05小鹅业务状况表!H101</f>
        <v>41198487</v>
      </c>
      <c r="I85">
        <f>A01泛微粒贷业务状况表!I180+A02微账户业务状况表!I167+A03汽车金融业务状况表!I120+A04财富业务状况表!I135+A05小鹅业务状况表!I101</f>
        <v>39947067</v>
      </c>
      <c r="J85">
        <f>A01泛微粒贷业务状况表!J180+A02微账户业务状况表!J167+A03汽车金融业务状况表!J120+A04财富业务状况表!J135+A05小鹅业务状况表!J101</f>
        <v>45588859</v>
      </c>
      <c r="K85">
        <f>A01泛微粒贷业务状况表!K180+A02微账户业务状况表!K167+A03汽车金融业务状况表!K120+A04财富业务状况表!K135+A05小鹅业务状况表!K101</f>
        <v>46500218</v>
      </c>
      <c r="L85">
        <f>A01泛微粒贷业务状况表!L180+A02微账户业务状况表!L167+A03汽车金融业务状况表!L120+A04财富业务状况表!L135+A05小鹅业务状况表!L101</f>
        <v>47645199</v>
      </c>
      <c r="M85">
        <f>A01泛微粒贷业务状况表!M180+A02微账户业务状况表!M167+A03汽车金融业务状况表!M120+A04财富业务状况表!M135+A05小鹅业务状况表!M101</f>
        <v>49129052</v>
      </c>
      <c r="N85">
        <f>A01泛微粒贷业务状况表!N180+A02微账户业务状况表!N167+A03汽车金融业务状况表!N120+A04财富业务状况表!N135+A05小鹅业务状况表!N101</f>
        <v>50379280</v>
      </c>
      <c r="O85">
        <f>A01泛微粒贷业务状况表!O180+A02微账户业务状况表!O167+A03汽车金融业务状况表!O120+A04财富业务状况表!O135+A05小鹅业务状况表!O101</f>
        <v>49573164</v>
      </c>
      <c r="P85">
        <f>A01泛微粒贷业务状况表!P180+A02微账户业务状况表!P167+A03汽车金融业务状况表!P120+A04财富业务状况表!P135+A05小鹅业务状况表!P101</f>
        <v>48428180</v>
      </c>
      <c r="Q85">
        <f>A01泛微粒贷业务状况表!Q180+A02微账户业务状况表!Q167+A03汽车金融业务状况表!Q120+A04财富业务状况表!Q135+A05小鹅业务状况表!Q101</f>
        <v>50905498</v>
      </c>
      <c r="R85">
        <f>A01泛微粒贷业务状况表!R180+A02微账户业务状况表!R167+A03汽车金融业务状况表!R120+A04财富业务状况表!R135+A05小鹅业务状况表!R101</f>
        <v>50333004</v>
      </c>
      <c r="S85">
        <f>A01泛微粒贷业务状况表!S180+A02微账户业务状况表!S167+A03汽车金融业务状况表!S120+A04财富业务状况表!S135+A05小鹅业务状况表!S101</f>
        <v>52517729</v>
      </c>
    </row>
    <row r="86" spans="1:19">
      <c r="A86" t="s">
        <v>60</v>
      </c>
      <c r="B86" t="s">
        <v>393</v>
      </c>
      <c r="C86" t="s">
        <v>876</v>
      </c>
      <c r="D86" t="s">
        <v>68</v>
      </c>
      <c r="G86">
        <f t="shared" si="19"/>
        <v>552145737</v>
      </c>
      <c r="H86">
        <f>A01泛微粒贷业务状况表!H181+A02微账户业务状况表!H168+A03汽车金融业务状况表!H121+A04财富业务状况表!H136+A05小鹅业务状况表!H102</f>
        <v>39798487</v>
      </c>
      <c r="I86">
        <f>A01泛微粒贷业务状况表!I181+A02微账户业务状况表!I168+A03汽车金融业务状况表!I121+A04财富业务状况表!I136+A05小鹅业务状况表!I102</f>
        <v>38647067</v>
      </c>
      <c r="J86">
        <f>A01泛微粒贷业务状况表!J181+A02微账户业务状况表!J168+A03汽车金融业务状况表!J121+A04财富业务状况表!J136+A05小鹅业务状况表!J102</f>
        <v>44028859</v>
      </c>
      <c r="K86">
        <f>A01泛微粒贷业务状况表!K181+A02微账户业务状况表!K168+A03汽车金融业务状况表!K121+A04财富业务状况表!K136+A05小鹅业务状况表!K102</f>
        <v>44900218</v>
      </c>
      <c r="L86">
        <f>A01泛微粒贷业务状况表!L181+A02微账户业务状况表!L168+A03汽车金融业务状况表!L121+A04财富业务状况表!L136+A05小鹅业务状况表!L102</f>
        <v>46005199</v>
      </c>
      <c r="M86">
        <f>A01泛微粒贷业务状况表!M181+A02微账户业务状况表!M168+A03汽车金融业务状况表!M121+A04财富业务状况表!M136+A05小鹅业务状况表!M102</f>
        <v>47429052</v>
      </c>
      <c r="N86">
        <f>A01泛微粒贷业务状况表!N181+A02微账户业务状况表!N168+A03汽车金融业务状况表!N121+A04财富业务状况表!N136+A05小鹅业务状况表!N102</f>
        <v>48619280</v>
      </c>
      <c r="O86">
        <f>A01泛微粒贷业务状况表!O181+A02微账户业务状况表!O168+A03汽车金融业务状况表!O121+A04财富业务状况表!O136+A05小鹅业务状况表!O102</f>
        <v>47833164</v>
      </c>
      <c r="P86">
        <f>A01泛微粒贷业务状况表!P181+A02微账户业务状况表!P168+A03汽车金融业务状况表!P121+A04财富业务状况表!P136+A05小鹅业务状况表!P102</f>
        <v>46728180</v>
      </c>
      <c r="Q86">
        <f>A01泛微粒贷业务状况表!Q181+A02微账户业务状况表!Q168+A03汽车金融业务状况表!Q121+A04财富业务状况表!Q136+A05小鹅业务状况表!Q102</f>
        <v>49045498</v>
      </c>
      <c r="R86">
        <f>A01泛微粒贷业务状况表!R181+A02微账户业务状况表!R168+A03汽车金融业务状况表!R121+A04财富业务状况表!R136+A05小鹅业务状况表!R102</f>
        <v>48493004</v>
      </c>
      <c r="S86">
        <f>A01泛微粒贷业务状况表!S181+A02微账户业务状况表!S168+A03汽车金融业务状况表!S121+A04财富业务状况表!S136+A05小鹅业务状况表!S102</f>
        <v>50617729</v>
      </c>
    </row>
    <row r="87" spans="1:19">
      <c r="A87" t="s">
        <v>60</v>
      </c>
      <c r="B87" t="s">
        <v>393</v>
      </c>
      <c r="C87" t="s">
        <v>877</v>
      </c>
      <c r="D87" t="s">
        <v>70</v>
      </c>
      <c r="G87">
        <f t="shared" si="19"/>
        <v>552145737</v>
      </c>
      <c r="H87">
        <f>A01泛微粒贷业务状况表!H182+A02微账户业务状况表!H169+A03汽车金融业务状况表!H122+A04财富业务状况表!H137+A05小鹅业务状况表!H103</f>
        <v>39798487</v>
      </c>
      <c r="I87">
        <f>A01泛微粒贷业务状况表!I182+A02微账户业务状况表!I169+A03汽车金融业务状况表!I122+A04财富业务状况表!I137+A05小鹅业务状况表!I103</f>
        <v>38647067</v>
      </c>
      <c r="J87">
        <f>A01泛微粒贷业务状况表!J182+A02微账户业务状况表!J169+A03汽车金融业务状况表!J122+A04财富业务状况表!J137+A05小鹅业务状况表!J103</f>
        <v>44028859</v>
      </c>
      <c r="K87">
        <f>A01泛微粒贷业务状况表!K182+A02微账户业务状况表!K169+A03汽车金融业务状况表!K122+A04财富业务状况表!K137+A05小鹅业务状况表!K103</f>
        <v>44900218</v>
      </c>
      <c r="L87">
        <f>A01泛微粒贷业务状况表!L182+A02微账户业务状况表!L169+A03汽车金融业务状况表!L122+A04财富业务状况表!L137+A05小鹅业务状况表!L103</f>
        <v>46005199</v>
      </c>
      <c r="M87">
        <f>A01泛微粒贷业务状况表!M182+A02微账户业务状况表!M169+A03汽车金融业务状况表!M122+A04财富业务状况表!M137+A05小鹅业务状况表!M103</f>
        <v>47429052</v>
      </c>
      <c r="N87">
        <f>A01泛微粒贷业务状况表!N182+A02微账户业务状况表!N169+A03汽车金融业务状况表!N122+A04财富业务状况表!N137+A05小鹅业务状况表!N103</f>
        <v>48619280</v>
      </c>
      <c r="O87">
        <f>A01泛微粒贷业务状况表!O182+A02微账户业务状况表!O169+A03汽车金融业务状况表!O122+A04财富业务状况表!O137+A05小鹅业务状况表!O103</f>
        <v>47833164</v>
      </c>
      <c r="P87">
        <f>A01泛微粒贷业务状况表!P182+A02微账户业务状况表!P169+A03汽车金融业务状况表!P122+A04财富业务状况表!P137+A05小鹅业务状况表!P103</f>
        <v>46728180</v>
      </c>
      <c r="Q87">
        <f>A01泛微粒贷业务状况表!Q182+A02微账户业务状况表!Q169+A03汽车金融业务状况表!Q122+A04财富业务状况表!Q137+A05小鹅业务状况表!Q103</f>
        <v>49045498</v>
      </c>
      <c r="R87">
        <f>A01泛微粒贷业务状况表!R182+A02微账户业务状况表!R169+A03汽车金融业务状况表!R122+A04财富业务状况表!R137+A05小鹅业务状况表!R103</f>
        <v>48493004</v>
      </c>
      <c r="S87">
        <f>A01泛微粒贷业务状况表!S182+A02微账户业务状况表!S169+A03汽车金融业务状况表!S122+A04财富业务状况表!S137+A05小鹅业务状况表!S103</f>
        <v>50617729</v>
      </c>
    </row>
    <row r="88" spans="1:19">
      <c r="A88" t="s">
        <v>26</v>
      </c>
      <c r="B88" t="s">
        <v>393</v>
      </c>
      <c r="C88" t="s">
        <v>878</v>
      </c>
      <c r="D88" t="s">
        <v>418</v>
      </c>
      <c r="G88">
        <f t="shared" si="19"/>
        <v>5331457821</v>
      </c>
      <c r="H88">
        <f>A01泛微粒贷业务状况表!H183+A02微账户业务状况表!H170+A03汽车金融业务状况表!H123+A04财富业务状况表!H138+A05小鹅业务状况表!H104</f>
        <v>384684900</v>
      </c>
      <c r="I88">
        <f>A01泛微粒贷业务状况表!I183+A02微账户业务状况表!I170+A03汽车金融业务状况表!I123+A04财富业务状况表!I138+A05小鹅业务状况表!I104</f>
        <v>374120715</v>
      </c>
      <c r="J88">
        <f>A01泛微粒贷业务状况表!J183+A02微账户业务状况表!J170+A03汽车金融业务状况表!J123+A04财富业务状况表!J138+A05小鹅业务状况表!J104</f>
        <v>425468610</v>
      </c>
      <c r="K88">
        <f>A01泛微粒贷业务状况表!K183+A02微账户业务状况表!K170+A03汽车金融业务状况表!K123+A04财富业务状况表!K138+A05小鹅业务状况表!K104</f>
        <v>433802211</v>
      </c>
      <c r="L88">
        <f>A01泛微粒贷业务状况表!L183+A02微账户业务状况表!L170+A03汽车金融业务状况表!L123+A04财富业务状况表!L138+A05小鹅业务状况表!L104</f>
        <v>444472041</v>
      </c>
      <c r="M88">
        <f>A01泛微粒贷业务状况表!M183+A02微账户业务状况表!M170+A03汽车金融业务状况表!M123+A04财富业务状况表!M138+A05小鹅业务状况表!M104</f>
        <v>458140563</v>
      </c>
      <c r="N88">
        <f>A01泛微粒贷业务状况表!N183+A02微账户业务状况表!N170+A03汽车金融业务状况表!N123+A04财富业务状况表!N138+A05小鹅业务状况表!N104</f>
        <v>469472838</v>
      </c>
      <c r="O88">
        <f>A01泛微粒贷业务状况表!O183+A02微账户业务状况表!O170+A03汽车金融业务状况表!O123+A04财富业务状况表!O138+A05小鹅业务状况表!O104</f>
        <v>461801684</v>
      </c>
      <c r="P88">
        <f>A01泛微粒贷业务状况表!P183+A02微账户业务状况表!P170+A03汽车金融业务状况表!P123+A04财富业务状况表!P138+A05小鹅业务状况表!P104</f>
        <v>451131831</v>
      </c>
      <c r="Q88">
        <f>A01泛微粒贷业务状况表!Q183+A02微账户业务状况表!Q170+A03汽车金融业务状况表!Q123+A04财富业务状况表!Q138+A05小鹅业务状况表!Q104</f>
        <v>472785020</v>
      </c>
      <c r="R88">
        <f>A01泛微粒贷业务状况表!R183+A02微账户业务状况表!R170+A03汽车金融业务状况表!R123+A04财富业务状况表!R138+A05小鹅业务状况表!R104</f>
        <v>467450078</v>
      </c>
      <c r="S88">
        <f>A01泛微粒贷业务状况表!S183+A02微账户业务状况表!S170+A03汽车金融业务状况表!S123+A04财富业务状况表!S138+A05小鹅业务状况表!S104</f>
        <v>488127330</v>
      </c>
    </row>
    <row r="89" spans="1:19">
      <c r="A89" t="s">
        <v>26</v>
      </c>
      <c r="B89" t="s">
        <v>393</v>
      </c>
      <c r="C89" t="s">
        <v>879</v>
      </c>
      <c r="D89" t="s">
        <v>420</v>
      </c>
      <c r="G89">
        <f t="shared" si="19"/>
        <v>5331457821</v>
      </c>
      <c r="H89">
        <f>A01泛微粒贷业务状况表!H184+A02微账户业务状况表!H171+A03汽车金融业务状况表!H124+A04财富业务状况表!H139+A05小鹅业务状况表!H105</f>
        <v>384684900</v>
      </c>
      <c r="I89">
        <f>A01泛微粒贷业务状况表!I184+A02微账户业务状况表!I171+A03汽车金融业务状况表!I124+A04财富业务状况表!I139+A05小鹅业务状况表!I105</f>
        <v>374120715</v>
      </c>
      <c r="J89">
        <f>A01泛微粒贷业务状况表!J184+A02微账户业务状况表!J171+A03汽车金融业务状况表!J124+A04财富业务状况表!J139+A05小鹅业务状况表!J105</f>
        <v>425468610</v>
      </c>
      <c r="K89">
        <f>A01泛微粒贷业务状况表!K184+A02微账户业务状况表!K171+A03汽车金融业务状况表!K124+A04财富业务状况表!K139+A05小鹅业务状况表!K105</f>
        <v>433802211</v>
      </c>
      <c r="L89">
        <f>A01泛微粒贷业务状况表!L184+A02微账户业务状况表!L171+A03汽车金融业务状况表!L124+A04财富业务状况表!L139+A05小鹅业务状况表!L105</f>
        <v>444472041</v>
      </c>
      <c r="M89">
        <f>A01泛微粒贷业务状况表!M184+A02微账户业务状况表!M171+A03汽车金融业务状况表!M124+A04财富业务状况表!M139+A05小鹅业务状况表!M105</f>
        <v>458140563</v>
      </c>
      <c r="N89">
        <f>A01泛微粒贷业务状况表!N184+A02微账户业务状况表!N171+A03汽车金融业务状况表!N124+A04财富业务状况表!N139+A05小鹅业务状况表!N105</f>
        <v>469472838</v>
      </c>
      <c r="O89">
        <f>A01泛微粒贷业务状况表!O184+A02微账户业务状况表!O171+A03汽车金融业务状况表!O124+A04财富业务状况表!O139+A05小鹅业务状况表!O105</f>
        <v>461801684</v>
      </c>
      <c r="P89">
        <f>A01泛微粒贷业务状况表!P184+A02微账户业务状况表!P171+A03汽车金融业务状况表!P124+A04财富业务状况表!P139+A05小鹅业务状况表!P105</f>
        <v>451131831</v>
      </c>
      <c r="Q89">
        <f>A01泛微粒贷业务状况表!Q184+A02微账户业务状况表!Q171+A03汽车金融业务状况表!Q124+A04财富业务状况表!Q139+A05小鹅业务状况表!Q105</f>
        <v>472785020</v>
      </c>
      <c r="R89">
        <f>A01泛微粒贷业务状况表!R184+A02微账户业务状况表!R171+A03汽车金融业务状况表!R124+A04财富业务状况表!R139+A05小鹅业务状况表!R105</f>
        <v>467450078</v>
      </c>
      <c r="S89">
        <f>A01泛微粒贷业务状况表!S184+A02微账户业务状况表!S171+A03汽车金融业务状况表!S124+A04财富业务状况表!S139+A05小鹅业务状况表!S105</f>
        <v>488127330</v>
      </c>
    </row>
    <row r="90" spans="1:19">
      <c r="A90" t="s">
        <v>19</v>
      </c>
      <c r="B90" t="s">
        <v>438</v>
      </c>
      <c r="C90" t="s">
        <v>880</v>
      </c>
      <c r="D90" t="s">
        <v>440</v>
      </c>
      <c r="G90">
        <f t="shared" si="19"/>
        <v>1493241888814</v>
      </c>
      <c r="H90">
        <f t="shared" ref="H90:S90" si="26">H91</f>
        <v>107309572311</v>
      </c>
      <c r="I90">
        <f t="shared" si="26"/>
        <v>104294184411</v>
      </c>
      <c r="J90">
        <f t="shared" si="26"/>
        <v>118699243148</v>
      </c>
      <c r="K90">
        <f t="shared" si="26"/>
        <v>121129178755</v>
      </c>
      <c r="L90">
        <f t="shared" si="26"/>
        <v>124115666775</v>
      </c>
      <c r="M90">
        <f t="shared" si="26"/>
        <v>128038846411</v>
      </c>
      <c r="N90">
        <f t="shared" si="26"/>
        <v>131405473613</v>
      </c>
      <c r="O90">
        <f t="shared" si="26"/>
        <v>129355677165</v>
      </c>
      <c r="P90">
        <f t="shared" si="26"/>
        <v>126369189124</v>
      </c>
      <c r="Q90">
        <f t="shared" si="26"/>
        <v>133306169417</v>
      </c>
      <c r="R90">
        <f t="shared" si="26"/>
        <v>131812925382</v>
      </c>
      <c r="S90">
        <f t="shared" si="26"/>
        <v>137405762302</v>
      </c>
    </row>
    <row r="91" spans="1:19">
      <c r="A91" t="s">
        <v>23</v>
      </c>
      <c r="B91" t="s">
        <v>438</v>
      </c>
      <c r="C91" t="s">
        <v>881</v>
      </c>
      <c r="D91" t="s">
        <v>442</v>
      </c>
      <c r="G91">
        <f t="shared" si="19"/>
        <v>1493241888814</v>
      </c>
      <c r="H91">
        <f t="shared" ref="H91:S91" si="27">H92+H97+H112</f>
        <v>107309572311</v>
      </c>
      <c r="I91">
        <f t="shared" si="27"/>
        <v>104294184411</v>
      </c>
      <c r="J91">
        <f t="shared" si="27"/>
        <v>118699243148</v>
      </c>
      <c r="K91">
        <f t="shared" si="27"/>
        <v>121129178755</v>
      </c>
      <c r="L91">
        <f t="shared" si="27"/>
        <v>124115666775</v>
      </c>
      <c r="M91">
        <f t="shared" si="27"/>
        <v>128038846411</v>
      </c>
      <c r="N91">
        <f t="shared" si="27"/>
        <v>131405473613</v>
      </c>
      <c r="O91">
        <f t="shared" si="27"/>
        <v>129355677165</v>
      </c>
      <c r="P91">
        <f t="shared" si="27"/>
        <v>126369189124</v>
      </c>
      <c r="Q91">
        <f t="shared" si="27"/>
        <v>133306169417</v>
      </c>
      <c r="R91">
        <f t="shared" si="27"/>
        <v>131812925382</v>
      </c>
      <c r="S91">
        <f t="shared" si="27"/>
        <v>137405762302</v>
      </c>
    </row>
    <row r="92" spans="1:19">
      <c r="A92" t="s">
        <v>26</v>
      </c>
      <c r="B92" t="s">
        <v>438</v>
      </c>
      <c r="C92" t="s">
        <v>882</v>
      </c>
      <c r="D92" t="s">
        <v>444</v>
      </c>
      <c r="G92">
        <f t="shared" si="19"/>
        <v>1550000000</v>
      </c>
      <c r="H92">
        <f t="shared" ref="H92:S92" si="28">H93+H94+H95+H96</f>
        <v>108500000</v>
      </c>
      <c r="I92">
        <f t="shared" si="28"/>
        <v>100750000</v>
      </c>
      <c r="J92">
        <f t="shared" si="28"/>
        <v>120900000</v>
      </c>
      <c r="K92">
        <f t="shared" si="28"/>
        <v>124000000</v>
      </c>
      <c r="L92">
        <f t="shared" si="28"/>
        <v>127100000</v>
      </c>
      <c r="M92">
        <f t="shared" si="28"/>
        <v>131750000</v>
      </c>
      <c r="N92">
        <f t="shared" si="28"/>
        <v>136400000</v>
      </c>
      <c r="O92">
        <f t="shared" si="28"/>
        <v>134850000</v>
      </c>
      <c r="P92">
        <f t="shared" si="28"/>
        <v>131750000</v>
      </c>
      <c r="Q92">
        <f t="shared" si="28"/>
        <v>144150000</v>
      </c>
      <c r="R92">
        <f t="shared" si="28"/>
        <v>142600000</v>
      </c>
      <c r="S92">
        <f t="shared" si="28"/>
        <v>147250000</v>
      </c>
    </row>
    <row r="93" spans="1:19">
      <c r="A93" t="s">
        <v>60</v>
      </c>
      <c r="B93" t="s">
        <v>438</v>
      </c>
      <c r="C93" t="s">
        <v>883</v>
      </c>
      <c r="D93" t="s">
        <v>446</v>
      </c>
      <c r="G93">
        <f t="shared" si="19"/>
        <v>640000000</v>
      </c>
      <c r="H93">
        <f>A01泛微粒贷业务状况表!H188+A02微账户业务状况表!H175+A03汽车金融业务状况表!H128+A04财富业务状况表!H143+A05小鹅业务状况表!H109</f>
        <v>44800000</v>
      </c>
      <c r="I93">
        <f>A01泛微粒贷业务状况表!I188+A02微账户业务状况表!I175+A03汽车金融业务状况表!I128+A04财富业务状况表!I143+A05小鹅业务状况表!I109</f>
        <v>41600000</v>
      </c>
      <c r="J93">
        <f>A01泛微粒贷业务状况表!J188+A02微账户业务状况表!J175+A03汽车金融业务状况表!J128+A04财富业务状况表!J143+A05小鹅业务状况表!J109</f>
        <v>49920000</v>
      </c>
      <c r="K93">
        <f>A01泛微粒贷业务状况表!K188+A02微账户业务状况表!K175+A03汽车金融业务状况表!K128+A04财富业务状况表!K143+A05小鹅业务状况表!K109</f>
        <v>51200000</v>
      </c>
      <c r="L93">
        <f>A01泛微粒贷业务状况表!L188+A02微账户业务状况表!L175+A03汽车金融业务状况表!L128+A04财富业务状况表!L143+A05小鹅业务状况表!L109</f>
        <v>52480000</v>
      </c>
      <c r="M93">
        <f>A01泛微粒贷业务状况表!M188+A02微账户业务状况表!M175+A03汽车金融业务状况表!M128+A04财富业务状况表!M143+A05小鹅业务状况表!M109</f>
        <v>54400000</v>
      </c>
      <c r="N93">
        <f>A01泛微粒贷业务状况表!N188+A02微账户业务状况表!N175+A03汽车金融业务状况表!N128+A04财富业务状况表!N143+A05小鹅业务状况表!N109</f>
        <v>56320000</v>
      </c>
      <c r="O93">
        <f>A01泛微粒贷业务状况表!O188+A02微账户业务状况表!O175+A03汽车金融业务状况表!O128+A04财富业务状况表!O143+A05小鹅业务状况表!O109</f>
        <v>55680000</v>
      </c>
      <c r="P93">
        <f>A01泛微粒贷业务状况表!P188+A02微账户业务状况表!P175+A03汽车金融业务状况表!P128+A04财富业务状况表!P143+A05小鹅业务状况表!P109</f>
        <v>54400000</v>
      </c>
      <c r="Q93">
        <f>A01泛微粒贷业务状况表!Q188+A02微账户业务状况表!Q175+A03汽车金融业务状况表!Q128+A04财富业务状况表!Q143+A05小鹅业务状况表!Q109</f>
        <v>59520000</v>
      </c>
      <c r="R93">
        <f>A01泛微粒贷业务状况表!R188+A02微账户业务状况表!R175+A03汽车金融业务状况表!R128+A04财富业务状况表!R143+A05小鹅业务状况表!R109</f>
        <v>58880000</v>
      </c>
      <c r="S93">
        <f>A01泛微粒贷业务状况表!S188+A02微账户业务状况表!S175+A03汽车金融业务状况表!S128+A04财富业务状况表!S143+A05小鹅业务状况表!S109</f>
        <v>60800000</v>
      </c>
    </row>
    <row r="94" spans="1:19">
      <c r="A94" t="s">
        <v>60</v>
      </c>
      <c r="B94" t="s">
        <v>438</v>
      </c>
      <c r="C94" t="s">
        <v>884</v>
      </c>
      <c r="D94" t="s">
        <v>448</v>
      </c>
      <c r="G94">
        <f t="shared" si="19"/>
        <v>450000000</v>
      </c>
      <c r="H94">
        <f>A01泛微粒贷业务状况表!H189+A02微账户业务状况表!H176+A03汽车金融业务状况表!H129+A04财富业务状况表!H144+A05小鹅业务状况表!H110</f>
        <v>31500000</v>
      </c>
      <c r="I94">
        <f>A01泛微粒贷业务状况表!I189+A02微账户业务状况表!I176+A03汽车金融业务状况表!I129+A04财富业务状况表!I144+A05小鹅业务状况表!I110</f>
        <v>29250000</v>
      </c>
      <c r="J94">
        <f>A01泛微粒贷业务状况表!J189+A02微账户业务状况表!J176+A03汽车金融业务状况表!J129+A04财富业务状况表!J144+A05小鹅业务状况表!J110</f>
        <v>35100000</v>
      </c>
      <c r="K94">
        <f>A01泛微粒贷业务状况表!K189+A02微账户业务状况表!K176+A03汽车金融业务状况表!K129+A04财富业务状况表!K144+A05小鹅业务状况表!K110</f>
        <v>36000000</v>
      </c>
      <c r="L94">
        <f>A01泛微粒贷业务状况表!L189+A02微账户业务状况表!L176+A03汽车金融业务状况表!L129+A04财富业务状况表!L144+A05小鹅业务状况表!L110</f>
        <v>36900000</v>
      </c>
      <c r="M94">
        <f>A01泛微粒贷业务状况表!M189+A02微账户业务状况表!M176+A03汽车金融业务状况表!M129+A04财富业务状况表!M144+A05小鹅业务状况表!M110</f>
        <v>38250000</v>
      </c>
      <c r="N94">
        <f>A01泛微粒贷业务状况表!N189+A02微账户业务状况表!N176+A03汽车金融业务状况表!N129+A04财富业务状况表!N144+A05小鹅业务状况表!N110</f>
        <v>39600000</v>
      </c>
      <c r="O94">
        <f>A01泛微粒贷业务状况表!O189+A02微账户业务状况表!O176+A03汽车金融业务状况表!O129+A04财富业务状况表!O144+A05小鹅业务状况表!O110</f>
        <v>39150000</v>
      </c>
      <c r="P94">
        <f>A01泛微粒贷业务状况表!P189+A02微账户业务状况表!P176+A03汽车金融业务状况表!P129+A04财富业务状况表!P144+A05小鹅业务状况表!P110</f>
        <v>38250000</v>
      </c>
      <c r="Q94">
        <f>A01泛微粒贷业务状况表!Q189+A02微账户业务状况表!Q176+A03汽车金融业务状况表!Q129+A04财富业务状况表!Q144+A05小鹅业务状况表!Q110</f>
        <v>41850000</v>
      </c>
      <c r="R94">
        <f>A01泛微粒贷业务状况表!R189+A02微账户业务状况表!R176+A03汽车金融业务状况表!R129+A04财富业务状况表!R144+A05小鹅业务状况表!R110</f>
        <v>41400000</v>
      </c>
      <c r="S94">
        <f>A01泛微粒贷业务状况表!S189+A02微账户业务状况表!S176+A03汽车金融业务状况表!S129+A04财富业务状况表!S144+A05小鹅业务状况表!S110</f>
        <v>42750000</v>
      </c>
    </row>
    <row r="95" spans="1:19">
      <c r="A95" t="s">
        <v>60</v>
      </c>
      <c r="B95" t="s">
        <v>438</v>
      </c>
      <c r="C95" t="s">
        <v>885</v>
      </c>
      <c r="D95" t="s">
        <v>450</v>
      </c>
      <c r="G95">
        <f t="shared" si="19"/>
        <v>260000000</v>
      </c>
      <c r="H95">
        <f>A01泛微粒贷业务状况表!H190+A02微账户业务状况表!H177+A03汽车金融业务状况表!H130+A04财富业务状况表!H145+A05小鹅业务状况表!H111</f>
        <v>18200000</v>
      </c>
      <c r="I95">
        <f>A01泛微粒贷业务状况表!I190+A02微账户业务状况表!I177+A03汽车金融业务状况表!I130+A04财富业务状况表!I145+A05小鹅业务状况表!I111</f>
        <v>16900000</v>
      </c>
      <c r="J95">
        <f>A01泛微粒贷业务状况表!J190+A02微账户业务状况表!J177+A03汽车金融业务状况表!J130+A04财富业务状况表!J145+A05小鹅业务状况表!J111</f>
        <v>20280000</v>
      </c>
      <c r="K95">
        <f>A01泛微粒贷业务状况表!K190+A02微账户业务状况表!K177+A03汽车金融业务状况表!K130+A04财富业务状况表!K145+A05小鹅业务状况表!K111</f>
        <v>20800000</v>
      </c>
      <c r="L95">
        <f>A01泛微粒贷业务状况表!L190+A02微账户业务状况表!L177+A03汽车金融业务状况表!L130+A04财富业务状况表!L145+A05小鹅业务状况表!L111</f>
        <v>21320000</v>
      </c>
      <c r="M95">
        <f>A01泛微粒贷业务状况表!M190+A02微账户业务状况表!M177+A03汽车金融业务状况表!M130+A04财富业务状况表!M145+A05小鹅业务状况表!M111</f>
        <v>22100000</v>
      </c>
      <c r="N95">
        <f>A01泛微粒贷业务状况表!N190+A02微账户业务状况表!N177+A03汽车金融业务状况表!N130+A04财富业务状况表!N145+A05小鹅业务状况表!N111</f>
        <v>22880000</v>
      </c>
      <c r="O95">
        <f>A01泛微粒贷业务状况表!O190+A02微账户业务状况表!O177+A03汽车金融业务状况表!O130+A04财富业务状况表!O145+A05小鹅业务状况表!O111</f>
        <v>22620000</v>
      </c>
      <c r="P95">
        <f>A01泛微粒贷业务状况表!P190+A02微账户业务状况表!P177+A03汽车金融业务状况表!P130+A04财富业务状况表!P145+A05小鹅业务状况表!P111</f>
        <v>22100000</v>
      </c>
      <c r="Q95">
        <f>A01泛微粒贷业务状况表!Q190+A02微账户业务状况表!Q177+A03汽车金融业务状况表!Q130+A04财富业务状况表!Q145+A05小鹅业务状况表!Q111</f>
        <v>24180000</v>
      </c>
      <c r="R95">
        <f>A01泛微粒贷业务状况表!R190+A02微账户业务状况表!R177+A03汽车金融业务状况表!R130+A04财富业务状况表!R145+A05小鹅业务状况表!R111</f>
        <v>23920000</v>
      </c>
      <c r="S95">
        <f>A01泛微粒贷业务状况表!S190+A02微账户业务状况表!S177+A03汽车金融业务状况表!S130+A04财富业务状况表!S145+A05小鹅业务状况表!S111</f>
        <v>24700000</v>
      </c>
    </row>
    <row r="96" spans="1:19">
      <c r="A96" t="s">
        <v>60</v>
      </c>
      <c r="B96" t="s">
        <v>438</v>
      </c>
      <c r="C96" t="s">
        <v>886</v>
      </c>
      <c r="D96" t="s">
        <v>452</v>
      </c>
      <c r="G96">
        <f t="shared" si="19"/>
        <v>200000000</v>
      </c>
      <c r="H96">
        <f>A01泛微粒贷业务状况表!H191+A02微账户业务状况表!H178+A03汽车金融业务状况表!H131+A04财富业务状况表!H146+A05小鹅业务状况表!H112</f>
        <v>14000000</v>
      </c>
      <c r="I96">
        <f>A01泛微粒贷业务状况表!I191+A02微账户业务状况表!I178+A03汽车金融业务状况表!I131+A04财富业务状况表!I146+A05小鹅业务状况表!I112</f>
        <v>13000000</v>
      </c>
      <c r="J96">
        <f>A01泛微粒贷业务状况表!J191+A02微账户业务状况表!J178+A03汽车金融业务状况表!J131+A04财富业务状况表!J146+A05小鹅业务状况表!J112</f>
        <v>15600000</v>
      </c>
      <c r="K96">
        <f>A01泛微粒贷业务状况表!K191+A02微账户业务状况表!K178+A03汽车金融业务状况表!K131+A04财富业务状况表!K146+A05小鹅业务状况表!K112</f>
        <v>16000000</v>
      </c>
      <c r="L96">
        <f>A01泛微粒贷业务状况表!L191+A02微账户业务状况表!L178+A03汽车金融业务状况表!L131+A04财富业务状况表!L146+A05小鹅业务状况表!L112</f>
        <v>16400000</v>
      </c>
      <c r="M96">
        <f>A01泛微粒贷业务状况表!M191+A02微账户业务状况表!M178+A03汽车金融业务状况表!M131+A04财富业务状况表!M146+A05小鹅业务状况表!M112</f>
        <v>17000000</v>
      </c>
      <c r="N96">
        <f>A01泛微粒贷业务状况表!N191+A02微账户业务状况表!N178+A03汽车金融业务状况表!N131+A04财富业务状况表!N146+A05小鹅业务状况表!N112</f>
        <v>17600000</v>
      </c>
      <c r="O96">
        <f>A01泛微粒贷业务状况表!O191+A02微账户业务状况表!O178+A03汽车金融业务状况表!O131+A04财富业务状况表!O146+A05小鹅业务状况表!O112</f>
        <v>17400000</v>
      </c>
      <c r="P96">
        <f>A01泛微粒贷业务状况表!P191+A02微账户业务状况表!P178+A03汽车金融业务状况表!P131+A04财富业务状况表!P146+A05小鹅业务状况表!P112</f>
        <v>17000000</v>
      </c>
      <c r="Q96">
        <f>A01泛微粒贷业务状况表!Q191+A02微账户业务状况表!Q178+A03汽车金融业务状况表!Q131+A04财富业务状况表!Q146+A05小鹅业务状况表!Q112</f>
        <v>18600000</v>
      </c>
      <c r="R96">
        <f>A01泛微粒贷业务状况表!R191+A02微账户业务状况表!R178+A03汽车金融业务状况表!R131+A04财富业务状况表!R146+A05小鹅业务状况表!R112</f>
        <v>18400000</v>
      </c>
      <c r="S96">
        <f>A01泛微粒贷业务状况表!S191+A02微账户业务状况表!S178+A03汽车金融业务状况表!S131+A04财富业务状况表!S146+A05小鹅业务状况表!S112</f>
        <v>19000000</v>
      </c>
    </row>
    <row r="97" spans="1:19">
      <c r="A97" t="s">
        <v>26</v>
      </c>
      <c r="B97" t="s">
        <v>438</v>
      </c>
      <c r="C97" t="s">
        <v>887</v>
      </c>
      <c r="D97" t="s">
        <v>454</v>
      </c>
      <c r="G97">
        <f t="shared" si="19"/>
        <v>1489591888814</v>
      </c>
      <c r="H97">
        <f t="shared" ref="H97:S97" si="29">H98+H99+H100+H101+H102+H103+H104+H105+H106+H107+H108+H109+H110+H111</f>
        <v>107054072311</v>
      </c>
      <c r="I97">
        <f t="shared" si="29"/>
        <v>104056934411</v>
      </c>
      <c r="J97">
        <f t="shared" si="29"/>
        <v>118414543148</v>
      </c>
      <c r="K97">
        <f t="shared" si="29"/>
        <v>120837178755</v>
      </c>
      <c r="L97">
        <f t="shared" si="29"/>
        <v>123816366775</v>
      </c>
      <c r="M97">
        <f t="shared" si="29"/>
        <v>127728596411</v>
      </c>
      <c r="N97">
        <f t="shared" si="29"/>
        <v>131084273613</v>
      </c>
      <c r="O97">
        <f t="shared" si="29"/>
        <v>129038127165</v>
      </c>
      <c r="P97">
        <f t="shared" si="29"/>
        <v>126058939124</v>
      </c>
      <c r="Q97">
        <f t="shared" si="29"/>
        <v>132966719417</v>
      </c>
      <c r="R97">
        <f t="shared" si="29"/>
        <v>131477125382</v>
      </c>
      <c r="S97">
        <f t="shared" si="29"/>
        <v>137059012302</v>
      </c>
    </row>
    <row r="98" spans="1:19">
      <c r="A98" t="s">
        <v>60</v>
      </c>
      <c r="B98" t="s">
        <v>438</v>
      </c>
      <c r="C98" t="s">
        <v>888</v>
      </c>
      <c r="D98" t="s">
        <v>456</v>
      </c>
      <c r="G98">
        <f t="shared" si="19"/>
        <v>235293720043</v>
      </c>
      <c r="H98">
        <f>A01泛微粒贷业务状况表!H193+A02微账户业务状况表!H180+A03汽车金融业务状况表!H133+A04财富业务状况表!H148+A05小鹅业务状况表!H114</f>
        <v>17646193292</v>
      </c>
      <c r="I98">
        <f>A01泛微粒贷业务状况表!I193+A02微账户业务状况表!I180+A03汽车金融业务状况表!I133+A04财富业务状况表!I148+A05小鹅业务状况表!I114</f>
        <v>18350649692</v>
      </c>
      <c r="J98">
        <f>A01泛微粒贷业务状况表!J193+A02微账户业务状况表!J180+A03汽车金融业务状况表!J133+A04财富业务状况表!J148+A05小鹅业务状况表!J114</f>
        <v>19293432951</v>
      </c>
      <c r="K98">
        <f>A01泛微粒贷业务状况表!K193+A02微账户业务状况表!K180+A03汽车金融业务状况表!K133+A04财富业务状况表!K148+A05小鹅业务状况表!K114</f>
        <v>19528892555</v>
      </c>
      <c r="L98">
        <f>A01泛微粒贷业务状况表!L193+A02微账户业务状况表!L180+A03汽车金融业务状况表!L133+A04财富业务状况表!L148+A05小鹅业务状况表!L114</f>
        <v>19999480260</v>
      </c>
      <c r="M98">
        <f>A01泛微粒贷业务状况表!M193+A02微账户业务状况表!M180+A03汽车金融业务状况表!M133+A04财富业务状况表!M148+A05小鹅业务状况表!M114</f>
        <v>20470233717</v>
      </c>
      <c r="N98">
        <f>A01泛微粒贷业务状况表!N193+A02微账户业务状况表!N180+A03汽车金融业务状况表!N133+A04财富业务状况表!N148+A05小鹅业务状况表!N114</f>
        <v>20705859071</v>
      </c>
      <c r="O98">
        <f>A01泛微粒贷业务状况表!O193+A02微账户业务状况表!O180+A03汽车金融业务状况表!O133+A04财富业务状况表!O148+A05小鹅业务状况表!O114</f>
        <v>20235437115</v>
      </c>
      <c r="P98">
        <f>A01泛微粒贷业务状况表!P193+A02微账户业务状况表!P180+A03汽车金融业务状况表!P133+A04财富业务状况表!P148+A05小鹅业务状况表!P114</f>
        <v>19764849408</v>
      </c>
      <c r="Q98">
        <f>A01泛微粒贷业务状况表!Q193+A02微账户业务状况表!Q180+A03汽车金融业务状况表!Q133+A04财富业务状况表!Q148+A05小鹅业务状况表!Q114</f>
        <v>19531047309</v>
      </c>
      <c r="R98">
        <f>A01泛微粒贷业务状况表!R193+A02微账户业务状况表!R180+A03汽车金融业务状况表!R133+A04财富业务状况表!R148+A05小鹅业务状况表!R114</f>
        <v>19295753454</v>
      </c>
      <c r="S98">
        <f>A01泛微粒贷业务状况表!S193+A02微账户业务状况表!S180+A03汽车金融业务状况表!S133+A04财富业务状况表!S148+A05小鹅业务状况表!S114</f>
        <v>20471891219</v>
      </c>
    </row>
    <row r="99" spans="1:19">
      <c r="A99" t="s">
        <v>60</v>
      </c>
      <c r="B99" t="s">
        <v>438</v>
      </c>
      <c r="C99" t="s">
        <v>889</v>
      </c>
      <c r="D99" t="s">
        <v>458</v>
      </c>
      <c r="G99">
        <f t="shared" si="19"/>
        <v>80140000000</v>
      </c>
      <c r="H99">
        <f>A01泛微粒贷业务状况表!H194+A02微账户业务状况表!H181+A03汽车金融业务状况表!H134+A04财富业务状况表!H149+A05小鹅业务状况表!H115</f>
        <v>5609800000</v>
      </c>
      <c r="I99">
        <f>A01泛微粒贷业务状况表!I194+A02微账户业务状况表!I181+A03汽车金融业务状况表!I134+A04财富业务状况表!I149+A05小鹅业务状况表!I115</f>
        <v>5209100000</v>
      </c>
      <c r="J99">
        <f>A01泛微粒贷业务状况表!J194+A02微账户业务状况表!J181+A03汽车金融业务状况表!J134+A04财富业务状况表!J149+A05小鹅业务状况表!J115</f>
        <v>6250920000</v>
      </c>
      <c r="K99">
        <f>A01泛微粒贷业务状况表!K194+A02微账户业务状况表!K181+A03汽车金融业务状况表!K134+A04财富业务状况表!K149+A05小鹅业务状况表!K115</f>
        <v>6411200000</v>
      </c>
      <c r="L99">
        <f>A01泛微粒贷业务状况表!L194+A02微账户业务状况表!L181+A03汽车金融业务状况表!L134+A04财富业务状况表!L149+A05小鹅业务状况表!L115</f>
        <v>6571480000</v>
      </c>
      <c r="M99">
        <f>A01泛微粒贷业务状况表!M194+A02微账户业务状况表!M181+A03汽车金融业务状况表!M134+A04财富业务状况表!M149+A05小鹅业务状况表!M115</f>
        <v>6811900000</v>
      </c>
      <c r="N99">
        <f>A01泛微粒贷业务状况表!N194+A02微账户业务状况表!N181+A03汽车金融业务状况表!N134+A04财富业务状况表!N149+A05小鹅业务状况表!N115</f>
        <v>7052320000</v>
      </c>
      <c r="O99">
        <f>A01泛微粒贷业务状况表!O194+A02微账户业务状况表!O181+A03汽车金融业务状况表!O134+A04财富业务状况表!O149+A05小鹅业务状况表!O115</f>
        <v>6972180000</v>
      </c>
      <c r="P99">
        <f>A01泛微粒贷业务状况表!P194+A02微账户业务状况表!P181+A03汽车金融业务状况表!P134+A04财富业务状况表!P149+A05小鹅业务状况表!P115</f>
        <v>6811900000</v>
      </c>
      <c r="Q99">
        <f>A01泛微粒贷业务状况表!Q194+A02微账户业务状况表!Q181+A03汽车金融业务状况表!Q134+A04财富业务状况表!Q149+A05小鹅业务状况表!Q115</f>
        <v>7453020000</v>
      </c>
      <c r="R99">
        <f>A01泛微粒贷业务状况表!R194+A02微账户业务状况表!R181+A03汽车金融业务状况表!R134+A04财富业务状况表!R149+A05小鹅业务状况表!R115</f>
        <v>7372880000</v>
      </c>
      <c r="S99">
        <f>A01泛微粒贷业务状况表!S194+A02微账户业务状况表!S181+A03汽车金融业务状况表!S134+A04财富业务状况表!S149+A05小鹅业务状况表!S115</f>
        <v>7613300000</v>
      </c>
    </row>
    <row r="100" spans="1:19">
      <c r="A100" t="s">
        <v>60</v>
      </c>
      <c r="B100" t="s">
        <v>438</v>
      </c>
      <c r="C100" t="s">
        <v>890</v>
      </c>
      <c r="D100" t="s">
        <v>460</v>
      </c>
      <c r="G100">
        <f t="shared" si="19"/>
        <v>120100000000</v>
      </c>
      <c r="H100">
        <f>A01泛微粒贷业务状况表!H195+A02微账户业务状况表!H182+A03汽车金融业务状况表!H135+A04财富业务状况表!H150+A05小鹅业务状况表!H116</f>
        <v>8407000000</v>
      </c>
      <c r="I100">
        <f>A01泛微粒贷业务状况表!I195+A02微账户业务状况表!I182+A03汽车金融业务状况表!I135+A04财富业务状况表!I150+A05小鹅业务状况表!I116</f>
        <v>7806500000</v>
      </c>
      <c r="J100">
        <f>A01泛微粒贷业务状况表!J195+A02微账户业务状况表!J182+A03汽车金融业务状况表!J135+A04财富业务状况表!J150+A05小鹅业务状况表!J116</f>
        <v>9367800000</v>
      </c>
      <c r="K100">
        <f>A01泛微粒贷业务状况表!K195+A02微账户业务状况表!K182+A03汽车金融业务状况表!K135+A04财富业务状况表!K150+A05小鹅业务状况表!K116</f>
        <v>9608000000</v>
      </c>
      <c r="L100">
        <f>A01泛微粒贷业务状况表!L195+A02微账户业务状况表!L182+A03汽车金融业务状况表!L135+A04财富业务状况表!L150+A05小鹅业务状况表!L116</f>
        <v>9848200000</v>
      </c>
      <c r="M100">
        <f>A01泛微粒贷业务状况表!M195+A02微账户业务状况表!M182+A03汽车金融业务状况表!M135+A04财富业务状况表!M150+A05小鹅业务状况表!M116</f>
        <v>10208500000</v>
      </c>
      <c r="N100">
        <f>A01泛微粒贷业务状况表!N195+A02微账户业务状况表!N182+A03汽车金融业务状况表!N135+A04财富业务状况表!N150+A05小鹅业务状况表!N116</f>
        <v>10568800000</v>
      </c>
      <c r="O100">
        <f>A01泛微粒贷业务状况表!O195+A02微账户业务状况表!O182+A03汽车金融业务状况表!O135+A04财富业务状况表!O150+A05小鹅业务状况表!O116</f>
        <v>10448700000</v>
      </c>
      <c r="P100">
        <f>A01泛微粒贷业务状况表!P195+A02微账户业务状况表!P182+A03汽车金融业务状况表!P135+A04财富业务状况表!P150+A05小鹅业务状况表!P116</f>
        <v>10208500000</v>
      </c>
      <c r="Q100">
        <f>A01泛微粒贷业务状况表!Q195+A02微账户业务状况表!Q182+A03汽车金融业务状况表!Q135+A04财富业务状况表!Q150+A05小鹅业务状况表!Q116</f>
        <v>11169300000</v>
      </c>
      <c r="R100">
        <f>A01泛微粒贷业务状况表!R195+A02微账户业务状况表!R182+A03汽车金融业务状况表!R135+A04财富业务状况表!R150+A05小鹅业务状况表!R116</f>
        <v>11049200000</v>
      </c>
      <c r="S100">
        <f>A01泛微粒贷业务状况表!S195+A02微账户业务状况表!S182+A03汽车金融业务状况表!S135+A04财富业务状况表!S150+A05小鹅业务状况表!S116</f>
        <v>11409500000</v>
      </c>
    </row>
    <row r="101" spans="1:19">
      <c r="A101" t="s">
        <v>60</v>
      </c>
      <c r="B101" t="s">
        <v>438</v>
      </c>
      <c r="C101" t="s">
        <v>891</v>
      </c>
      <c r="D101" t="s">
        <v>462</v>
      </c>
      <c r="G101">
        <f t="shared" si="19"/>
        <v>36800000000</v>
      </c>
      <c r="H101">
        <f>A01泛微粒贷业务状况表!H196+A02微账户业务状况表!H183+A03汽车金融业务状况表!H136+A04财富业务状况表!H151+A05小鹅业务状况表!H117</f>
        <v>2576000000</v>
      </c>
      <c r="I101">
        <f>A01泛微粒贷业务状况表!I196+A02微账户业务状况表!I183+A03汽车金融业务状况表!I136+A04财富业务状况表!I151+A05小鹅业务状况表!I117</f>
        <v>2392000000</v>
      </c>
      <c r="J101">
        <f>A01泛微粒贷业务状况表!J196+A02微账户业务状况表!J183+A03汽车金融业务状况表!J136+A04财富业务状况表!J151+A05小鹅业务状况表!J117</f>
        <v>2870400000</v>
      </c>
      <c r="K101">
        <f>A01泛微粒贷业务状况表!K196+A02微账户业务状况表!K183+A03汽车金融业务状况表!K136+A04财富业务状况表!K151+A05小鹅业务状况表!K117</f>
        <v>2944000000</v>
      </c>
      <c r="L101">
        <f>A01泛微粒贷业务状况表!L196+A02微账户业务状况表!L183+A03汽车金融业务状况表!L136+A04财富业务状况表!L151+A05小鹅业务状况表!L117</f>
        <v>3017600000</v>
      </c>
      <c r="M101">
        <f>A01泛微粒贷业务状况表!M196+A02微账户业务状况表!M183+A03汽车金融业务状况表!M136+A04财富业务状况表!M151+A05小鹅业务状况表!M117</f>
        <v>3128000000</v>
      </c>
      <c r="N101">
        <f>A01泛微粒贷业务状况表!N196+A02微账户业务状况表!N183+A03汽车金融业务状况表!N136+A04财富业务状况表!N151+A05小鹅业务状况表!N117</f>
        <v>3238400000</v>
      </c>
      <c r="O101">
        <f>A01泛微粒贷业务状况表!O196+A02微账户业务状况表!O183+A03汽车金融业务状况表!O136+A04财富业务状况表!O151+A05小鹅业务状况表!O117</f>
        <v>3201600000</v>
      </c>
      <c r="P101">
        <f>A01泛微粒贷业务状况表!P196+A02微账户业务状况表!P183+A03汽车金融业务状况表!P136+A04财富业务状况表!P151+A05小鹅业务状况表!P117</f>
        <v>3128000000</v>
      </c>
      <c r="Q101">
        <f>A01泛微粒贷业务状况表!Q196+A02微账户业务状况表!Q183+A03汽车金融业务状况表!Q136+A04财富业务状况表!Q151+A05小鹅业务状况表!Q117</f>
        <v>3422400000</v>
      </c>
      <c r="R101">
        <f>A01泛微粒贷业务状况表!R196+A02微账户业务状况表!R183+A03汽车金融业务状况表!R136+A04财富业务状况表!R151+A05小鹅业务状况表!R117</f>
        <v>3385600000</v>
      </c>
      <c r="S101">
        <f>A01泛微粒贷业务状况表!S196+A02微账户业务状况表!S183+A03汽车金融业务状况表!S136+A04财富业务状况表!S151+A05小鹅业务状况表!S117</f>
        <v>3496000000</v>
      </c>
    </row>
    <row r="102" spans="1:19">
      <c r="A102" t="s">
        <v>60</v>
      </c>
      <c r="B102" t="s">
        <v>438</v>
      </c>
      <c r="C102" t="s">
        <v>892</v>
      </c>
      <c r="D102" t="s">
        <v>464</v>
      </c>
      <c r="G102">
        <f t="shared" si="19"/>
        <v>10512145737</v>
      </c>
      <c r="H102">
        <f>A01泛微粒贷业务状况表!H197+A02微账户业务状况表!H184+A03汽车金融业务状况表!H137+A04财富业务状况表!H152+A05小鹅业务状况表!H118</f>
        <v>736998487</v>
      </c>
      <c r="I102">
        <f>A01泛微粒贷业务状况表!I197+A02微账户业务状况表!I184+A03汽车金融业务状况表!I137+A04财富业务状况表!I152+A05小鹅业务状况表!I118</f>
        <v>686047067</v>
      </c>
      <c r="J102">
        <f>A01泛微粒贷业务状况表!J197+A02微账户业务状况表!J184+A03汽车金融业务状况表!J137+A04财富业务状况表!J152+A05小鹅业务状况表!J118</f>
        <v>820908859</v>
      </c>
      <c r="K102">
        <f>A01泛微粒贷业务状况表!K197+A02微账户业务状况表!K184+A03汽车金融业务状况表!K137+A04财富业务状况表!K152+A05小鹅业务状况表!K118</f>
        <v>841700218</v>
      </c>
      <c r="L102">
        <f>A01泛微粒贷业务状况表!L197+A02微账户业务状况表!L184+A03汽车金融业务状况表!L137+A04财富业务状况表!L152+A05小鹅业务状况表!L118</f>
        <v>862725199</v>
      </c>
      <c r="M102">
        <f>A01泛微粒贷业务状况表!M197+A02微账户业务状况表!M184+A03汽车金融业务状况表!M137+A04财富业务状况表!M152+A05小鹅业务状况表!M118</f>
        <v>894029052</v>
      </c>
      <c r="N102">
        <f>A01泛微粒贷业务状况表!N197+A02微账户业务状况表!N184+A03汽车金融业务状况表!N137+A04财富业务状况表!N152+A05小鹅业务状况表!N118</f>
        <v>925099280</v>
      </c>
      <c r="O102">
        <f>A01泛微粒贷业务状况表!O197+A02微账户业务状况表!O184+A03汽车金融业务状况表!O137+A04财富业务状况表!O152+A05小鹅业务状况表!O118</f>
        <v>914353164</v>
      </c>
      <c r="P102">
        <f>A01泛微粒贷业务状况表!P197+A02微账户业务状况表!P184+A03汽车金融业务状况表!P137+A04财富业务状况表!P152+A05小鹅业务状况表!P118</f>
        <v>893328180</v>
      </c>
      <c r="Q102">
        <f>A01泛微粒贷业务状况表!Q197+A02微账户业务状况表!Q184+A03汽车金融业务状况表!Q137+A04财富业务状况表!Q152+A05小鹅业务状况表!Q118</f>
        <v>975325498</v>
      </c>
      <c r="R102">
        <f>A01泛微粒贷业务状况表!R197+A02微账户业务状况表!R184+A03汽车金融业务状况表!R137+A04财富业务状况表!R152+A05小鹅业务状况表!R118</f>
        <v>964813004</v>
      </c>
      <c r="S102">
        <f>A01泛微粒贷业务状况表!S197+A02微账户业务状况表!S184+A03汽车金融业务状况表!S137+A04财富业务状况表!S152+A05小鹅业务状况表!S118</f>
        <v>996817729</v>
      </c>
    </row>
    <row r="103" spans="1:19">
      <c r="A103" t="s">
        <v>60</v>
      </c>
      <c r="B103" t="s">
        <v>438</v>
      </c>
      <c r="C103" t="s">
        <v>893</v>
      </c>
      <c r="D103" t="s">
        <v>466</v>
      </c>
      <c r="G103">
        <f t="shared" si="19"/>
        <v>274000000000</v>
      </c>
      <c r="H103">
        <f>A01泛微粒贷业务状况表!H198+A02微账户业务状况表!H185+A03汽车金融业务状况表!H138+A04财富业务状况表!H153+A05小鹅业务状况表!H119</f>
        <v>19180000000</v>
      </c>
      <c r="I103">
        <f>A01泛微粒贷业务状况表!I198+A02微账户业务状况表!I185+A03汽车金融业务状况表!I138+A04财富业务状况表!I153+A05小鹅业务状况表!I119</f>
        <v>17810000000</v>
      </c>
      <c r="J103">
        <f>A01泛微粒贷业务状况表!J198+A02微账户业务状况表!J185+A03汽车金融业务状况表!J138+A04财富业务状况表!J153+A05小鹅业务状况表!J119</f>
        <v>21372000000</v>
      </c>
      <c r="K103">
        <f>A01泛微粒贷业务状况表!K198+A02微账户业务状况表!K185+A03汽车金融业务状况表!K138+A04财富业务状况表!K153+A05小鹅业务状况表!K119</f>
        <v>21920000000</v>
      </c>
      <c r="L103">
        <f>A01泛微粒贷业务状况表!L198+A02微账户业务状况表!L185+A03汽车金融业务状况表!L138+A04财富业务状况表!L153+A05小鹅业务状况表!L119</f>
        <v>22468000000</v>
      </c>
      <c r="M103">
        <f>A01泛微粒贷业务状况表!M198+A02微账户业务状况表!M185+A03汽车金融业务状况表!M138+A04财富业务状况表!M153+A05小鹅业务状况表!M119</f>
        <v>23290000000</v>
      </c>
      <c r="N103">
        <f>A01泛微粒贷业务状况表!N198+A02微账户业务状况表!N185+A03汽车金融业务状况表!N138+A04财富业务状况表!N153+A05小鹅业务状况表!N119</f>
        <v>24112000000</v>
      </c>
      <c r="O103">
        <f>A01泛微粒贷业务状况表!O198+A02微账户业务状况表!O185+A03汽车金融业务状况表!O138+A04财富业务状况表!O153+A05小鹅业务状况表!O119</f>
        <v>23838000000</v>
      </c>
      <c r="P103">
        <f>A01泛微粒贷业务状况表!P198+A02微账户业务状况表!P185+A03汽车金融业务状况表!P138+A04财富业务状况表!P153+A05小鹅业务状况表!P119</f>
        <v>23290000000</v>
      </c>
      <c r="Q103">
        <f>A01泛微粒贷业务状况表!Q198+A02微账户业务状况表!Q185+A03汽车金融业务状况表!Q138+A04财富业务状况表!Q153+A05小鹅业务状况表!Q119</f>
        <v>25482000000</v>
      </c>
      <c r="R103">
        <f>A01泛微粒贷业务状况表!R198+A02微账户业务状况表!R185+A03汽车金融业务状况表!R138+A04财富业务状况表!R153+A05小鹅业务状况表!R119</f>
        <v>25208000000</v>
      </c>
      <c r="S103">
        <f>A01泛微粒贷业务状况表!S198+A02微账户业务状况表!S185+A03汽车金融业务状况表!S138+A04财富业务状况表!S153+A05小鹅业务状况表!S119</f>
        <v>26030000000</v>
      </c>
    </row>
    <row r="104" spans="1:19">
      <c r="A104" t="s">
        <v>60</v>
      </c>
      <c r="B104" t="s">
        <v>438</v>
      </c>
      <c r="C104" t="s">
        <v>894</v>
      </c>
      <c r="D104" t="s">
        <v>468</v>
      </c>
      <c r="G104">
        <f t="shared" si="19"/>
        <v>85293720043</v>
      </c>
      <c r="H104">
        <f>A01泛微粒贷业务状况表!H199+A02微账户业务状况表!H186+A03汽车金融业务状况表!H139+A04财富业务状况表!H154+A05小鹅业务状况表!H120</f>
        <v>6396193292</v>
      </c>
      <c r="I104">
        <f>A01泛微粒贷业务状况表!I199+A02微账户业务状况表!I186+A03汽车金融业务状况表!I139+A04财富业务状况表!I154+A05小鹅业务状况表!I120</f>
        <v>6650649692</v>
      </c>
      <c r="J104">
        <f>A01泛微粒贷业务状况表!J199+A02微账户业务状况表!J186+A03汽车金融业务状况表!J139+A04财富业务状况表!J154+A05小鹅业务状况表!J120</f>
        <v>6993432951</v>
      </c>
      <c r="K104">
        <f>A01泛微粒贷业务状况表!K199+A02微账户业务状况表!K186+A03汽车金融业务状况表!K139+A04财富业务状况表!K154+A05小鹅业务状况表!K120</f>
        <v>7078892555</v>
      </c>
      <c r="L104">
        <f>A01泛微粒贷业务状况表!L199+A02微账户业务状况表!L186+A03汽车金融业务状况表!L139+A04财富业务状况表!L154+A05小鹅业务状况表!L120</f>
        <v>7249480260</v>
      </c>
      <c r="M104">
        <f>A01泛微粒贷业务状况表!M199+A02微账户业务状况表!M186+A03汽车金融业务状况表!M139+A04财富业务状况表!M154+A05小鹅业务状况表!M120</f>
        <v>7420233717</v>
      </c>
      <c r="N104">
        <f>A01泛微粒贷业务状况表!N199+A02微账户业务状况表!N186+A03汽车金融业务状况表!N139+A04财富业务状况表!N154+A05小鹅业务状况表!N120</f>
        <v>7505859071</v>
      </c>
      <c r="O104">
        <f>A01泛微粒贷业务状况表!O199+A02微账户业务状况表!O186+A03汽车金融业务状况表!O139+A04财富业务状况表!O154+A05小鹅业务状况表!O120</f>
        <v>7335437115</v>
      </c>
      <c r="P104">
        <f>A01泛微粒贷业务状况表!P199+A02微账户业务状况表!P186+A03汽车金融业务状况表!P139+A04财富业务状况表!P154+A05小鹅业务状况表!P120</f>
        <v>7164849408</v>
      </c>
      <c r="Q104">
        <f>A01泛微粒贷业务状况表!Q199+A02微账户业务状况表!Q186+A03汽车金融业务状况表!Q139+A04财富业务状况表!Q154+A05小鹅业务状况表!Q120</f>
        <v>7081047309</v>
      </c>
      <c r="R104">
        <f>A01泛微粒贷业务状况表!R199+A02微账户业务状况表!R186+A03汽车金融业务状况表!R139+A04财富业务状况表!R154+A05小鹅业务状况表!R120</f>
        <v>6995753454</v>
      </c>
      <c r="S104">
        <f>A01泛微粒贷业务状况表!S199+A02微账户业务状况表!S186+A03汽车金融业务状况表!S139+A04财富业务状况表!S154+A05小鹅业务状况表!S120</f>
        <v>7421891219</v>
      </c>
    </row>
    <row r="105" spans="1:19">
      <c r="A105" t="s">
        <v>60</v>
      </c>
      <c r="B105" t="s">
        <v>438</v>
      </c>
      <c r="C105" t="s">
        <v>895</v>
      </c>
      <c r="D105" t="s">
        <v>470</v>
      </c>
      <c r="G105">
        <f t="shared" si="19"/>
        <v>25512145737</v>
      </c>
      <c r="H105">
        <f>A01泛微粒贷业务状况表!H200+A02微账户业务状况表!H187+A03汽车金融业务状况表!H140+A04财富业务状况表!H155+A05小鹅业务状况表!H121</f>
        <v>1786998487</v>
      </c>
      <c r="I105">
        <f>A01泛微粒贷业务状况表!I200+A02微账户业务状况表!I187+A03汽车金融业务状况表!I140+A04财富业务状况表!I155+A05小鹅业务状况表!I121</f>
        <v>1661047067</v>
      </c>
      <c r="J105">
        <f>A01泛微粒贷业务状况表!J200+A02微账户业务状况表!J187+A03汽车金融业务状况表!J140+A04财富业务状况表!J155+A05小鹅业务状况表!J121</f>
        <v>1990908859</v>
      </c>
      <c r="K105">
        <f>A01泛微粒贷业务状况表!K200+A02微账户业务状况表!K187+A03汽车金融业务状况表!K140+A04财富业务状况表!K155+A05小鹅业务状况表!K121</f>
        <v>2041700218</v>
      </c>
      <c r="L105">
        <f>A01泛微粒贷业务状况表!L200+A02微账户业务状况表!L187+A03汽车金融业务状况表!L140+A04财富业务状况表!L155+A05小鹅业务状况表!L121</f>
        <v>2092725199</v>
      </c>
      <c r="M105">
        <f>A01泛微粒贷业务状况表!M200+A02微账户业务状况表!M187+A03汽车金融业务状况表!M140+A04财富业务状况表!M155+A05小鹅业务状况表!M121</f>
        <v>2169029052</v>
      </c>
      <c r="N105">
        <f>A01泛微粒贷业务状况表!N200+A02微账户业务状况表!N187+A03汽车金融业务状况表!N140+A04财富业务状况表!N155+A05小鹅业务状况表!N121</f>
        <v>2245099280</v>
      </c>
      <c r="O105">
        <f>A01泛微粒贷业务状况表!O200+A02微账户业务状况表!O187+A03汽车金融业务状况表!O140+A04财富业务状况表!O155+A05小鹅业务状况表!O121</f>
        <v>2219353164</v>
      </c>
      <c r="P105">
        <f>A01泛微粒贷业务状况表!P200+A02微账户业务状况表!P187+A03汽车金融业务状况表!P140+A04财富业务状况表!P155+A05小鹅业务状况表!P121</f>
        <v>2168328180</v>
      </c>
      <c r="Q105">
        <f>A01泛微粒贷业务状况表!Q200+A02微账户业务状况表!Q187+A03汽车金融业务状况表!Q140+A04财富业务状况表!Q155+A05小鹅业务状况表!Q121</f>
        <v>2370325498</v>
      </c>
      <c r="R105">
        <f>A01泛微粒贷业务状况表!R200+A02微账户业务状况表!R187+A03汽车金融业务状况表!R140+A04财富业务状况表!R155+A05小鹅业务状况表!R121</f>
        <v>2344813004</v>
      </c>
      <c r="S105">
        <f>A01泛微粒贷业务状况表!S200+A02微账户业务状况表!S187+A03汽车金融业务状况表!S140+A04财富业务状况表!S155+A05小鹅业务状况表!S121</f>
        <v>2421817729</v>
      </c>
    </row>
    <row r="106" spans="1:19">
      <c r="A106" t="s">
        <v>60</v>
      </c>
      <c r="B106" t="s">
        <v>438</v>
      </c>
      <c r="C106" t="s">
        <v>896</v>
      </c>
      <c r="D106" t="s">
        <v>472</v>
      </c>
      <c r="G106">
        <f t="shared" si="19"/>
        <v>15512145737</v>
      </c>
      <c r="H106">
        <f>A01泛微粒贷业务状况表!H201+A02微账户业务状况表!H188+A03汽车金融业务状况表!H141+A04财富业务状况表!H156+A05小鹅业务状况表!H122</f>
        <v>1086998487</v>
      </c>
      <c r="I106">
        <f>A01泛微粒贷业务状况表!I201+A02微账户业务状况表!I188+A03汽车金融业务状况表!I141+A04财富业务状况表!I156+A05小鹅业务状况表!I122</f>
        <v>1011047067</v>
      </c>
      <c r="J106">
        <f>A01泛微粒贷业务状况表!J201+A02微账户业务状况表!J188+A03汽车金融业务状况表!J141+A04财富业务状况表!J156+A05小鹅业务状况表!J122</f>
        <v>1210908859</v>
      </c>
      <c r="K106">
        <f>A01泛微粒贷业务状况表!K201+A02微账户业务状况表!K188+A03汽车金融业务状况表!K141+A04财富业务状况表!K156+A05小鹅业务状况表!K122</f>
        <v>1241700218</v>
      </c>
      <c r="L106">
        <f>A01泛微粒贷业务状况表!L201+A02微账户业务状况表!L188+A03汽车金融业务状况表!L141+A04财富业务状况表!L156+A05小鹅业务状况表!L122</f>
        <v>1272725199</v>
      </c>
      <c r="M106">
        <f>A01泛微粒贷业务状况表!M201+A02微账户业务状况表!M188+A03汽车金融业务状况表!M141+A04财富业务状况表!M156+A05小鹅业务状况表!M122</f>
        <v>1319029052</v>
      </c>
      <c r="N106">
        <f>A01泛微粒贷业务状况表!N201+A02微账户业务状况表!N188+A03汽车金融业务状况表!N141+A04财富业务状况表!N156+A05小鹅业务状况表!N122</f>
        <v>1365099280</v>
      </c>
      <c r="O106">
        <f>A01泛微粒贷业务状况表!O201+A02微账户业务状况表!O188+A03汽车金融业务状况表!O141+A04财富业务状况表!O156+A05小鹅业务状况表!O122</f>
        <v>1349353164</v>
      </c>
      <c r="P106">
        <f>A01泛微粒贷业务状况表!P201+A02微账户业务状况表!P188+A03汽车金融业务状况表!P141+A04财富业务状况表!P156+A05小鹅业务状况表!P122</f>
        <v>1318328180</v>
      </c>
      <c r="Q106">
        <f>A01泛微粒贷业务状况表!Q201+A02微账户业务状况表!Q188+A03汽车金融业务状况表!Q141+A04财富业务状况表!Q156+A05小鹅业务状况表!Q122</f>
        <v>1440325498</v>
      </c>
      <c r="R106">
        <f>A01泛微粒贷业务状况表!R201+A02微账户业务状况表!R188+A03汽车金融业务状况表!R141+A04财富业务状况表!R156+A05小鹅业务状况表!R122</f>
        <v>1424813004</v>
      </c>
      <c r="S106">
        <f>A01泛微粒贷业务状况表!S201+A02微账户业务状况表!S188+A03汽车金融业务状况表!S141+A04财富业务状况表!S156+A05小鹅业务状况表!S122</f>
        <v>1471817729</v>
      </c>
    </row>
    <row r="107" spans="1:19">
      <c r="A107" t="s">
        <v>60</v>
      </c>
      <c r="B107" t="s">
        <v>438</v>
      </c>
      <c r="C107" t="s">
        <v>897</v>
      </c>
      <c r="D107" t="s">
        <v>474</v>
      </c>
      <c r="G107">
        <f t="shared" si="19"/>
        <v>50512145737</v>
      </c>
      <c r="H107">
        <f>A01泛微粒贷业务状况表!H202+A02微账户业务状况表!H189+A03汽车金融业务状况表!H142+A04财富业务状况表!H157+A05小鹅业务状况表!H123</f>
        <v>3536998487</v>
      </c>
      <c r="I107">
        <f>A01泛微粒贷业务状况表!I202+A02微账户业务状况表!I189+A03汽车金融业务状况表!I142+A04财富业务状况表!I157+A05小鹅业务状况表!I123</f>
        <v>3286047067</v>
      </c>
      <c r="J107">
        <f>A01泛微粒贷业务状况表!J202+A02微账户业务状况表!J189+A03汽车金融业务状况表!J142+A04财富业务状况表!J157+A05小鹅业务状况表!J123</f>
        <v>3940908859</v>
      </c>
      <c r="K107">
        <f>A01泛微粒贷业务状况表!K202+A02微账户业务状况表!K189+A03汽车金融业务状况表!K142+A04财富业务状况表!K157+A05小鹅业务状况表!K123</f>
        <v>4041700218</v>
      </c>
      <c r="L107">
        <f>A01泛微粒贷业务状况表!L202+A02微账户业务状况表!L189+A03汽车金融业务状况表!L142+A04财富业务状况表!L157+A05小鹅业务状况表!L123</f>
        <v>4142725199</v>
      </c>
      <c r="M107">
        <f>A01泛微粒贷业务状况表!M202+A02微账户业务状况表!M189+A03汽车金融业务状况表!M142+A04财富业务状况表!M157+A05小鹅业务状况表!M123</f>
        <v>4294029052</v>
      </c>
      <c r="N107">
        <f>A01泛微粒贷业务状况表!N202+A02微账户业务状况表!N189+A03汽车金融业务状况表!N142+A04财富业务状况表!N157+A05小鹅业务状况表!N123</f>
        <v>4445099280</v>
      </c>
      <c r="O107">
        <f>A01泛微粒贷业务状况表!O202+A02微账户业务状况表!O189+A03汽车金融业务状况表!O142+A04财富业务状况表!O157+A05小鹅业务状况表!O123</f>
        <v>4394353164</v>
      </c>
      <c r="P107">
        <f>A01泛微粒贷业务状况表!P202+A02微账户业务状况表!P189+A03汽车金融业务状况表!P142+A04财富业务状况表!P157+A05小鹅业务状况表!P123</f>
        <v>4293328180</v>
      </c>
      <c r="Q107">
        <f>A01泛微粒贷业务状况表!Q202+A02微账户业务状况表!Q189+A03汽车金融业务状况表!Q142+A04财富业务状况表!Q157+A05小鹅业务状况表!Q123</f>
        <v>4695325498</v>
      </c>
      <c r="R107">
        <f>A01泛微粒贷业务状况表!R202+A02微账户业务状况表!R189+A03汽车金融业务状况表!R142+A04财富业务状况表!R157+A05小鹅业务状况表!R123</f>
        <v>4644813004</v>
      </c>
      <c r="S107">
        <f>A01泛微粒贷业务状况表!S202+A02微账户业务状况表!S189+A03汽车金融业务状况表!S142+A04财富业务状况表!S157+A05小鹅业务状况表!S123</f>
        <v>4796817729</v>
      </c>
    </row>
    <row r="108" spans="1:19">
      <c r="A108" t="s">
        <v>60</v>
      </c>
      <c r="B108" t="s">
        <v>438</v>
      </c>
      <c r="C108" t="s">
        <v>898</v>
      </c>
      <c r="D108" t="s">
        <v>476</v>
      </c>
      <c r="G108">
        <f t="shared" si="19"/>
        <v>235293720043</v>
      </c>
      <c r="H108">
        <f>A01泛微粒贷业务状况表!H203+A02微账户业务状况表!H190+A03汽车金融业务状况表!H143+A04财富业务状况表!H158+A05小鹅业务状况表!H124</f>
        <v>17646193292</v>
      </c>
      <c r="I108">
        <f>A01泛微粒贷业务状况表!I203+A02微账户业务状况表!I190+A03汽车金融业务状况表!I143+A04财富业务状况表!I158+A05小鹅业务状况表!I124</f>
        <v>18350649692</v>
      </c>
      <c r="J108">
        <f>A01泛微粒贷业务状况表!J203+A02微账户业务状况表!J190+A03汽车金融业务状况表!J143+A04财富业务状况表!J158+A05小鹅业务状况表!J124</f>
        <v>19293432951</v>
      </c>
      <c r="K108">
        <f>A01泛微粒贷业务状况表!K203+A02微账户业务状况表!K190+A03汽车金融业务状况表!K143+A04财富业务状况表!K158+A05小鹅业务状况表!K124</f>
        <v>19528892555</v>
      </c>
      <c r="L108">
        <f>A01泛微粒贷业务状况表!L203+A02微账户业务状况表!L190+A03汽车金融业务状况表!L143+A04财富业务状况表!L158+A05小鹅业务状况表!L124</f>
        <v>19999480260</v>
      </c>
      <c r="M108">
        <f>A01泛微粒贷业务状况表!M203+A02微账户业务状况表!M190+A03汽车金融业务状况表!M143+A04财富业务状况表!M158+A05小鹅业务状况表!M124</f>
        <v>20470233717</v>
      </c>
      <c r="N108">
        <f>A01泛微粒贷业务状况表!N203+A02微账户业务状况表!N190+A03汽车金融业务状况表!N143+A04财富业务状况表!N158+A05小鹅业务状况表!N124</f>
        <v>20705859071</v>
      </c>
      <c r="O108">
        <f>A01泛微粒贷业务状况表!O203+A02微账户业务状况表!O190+A03汽车金融业务状况表!O143+A04财富业务状况表!O158+A05小鹅业务状况表!O124</f>
        <v>20235437115</v>
      </c>
      <c r="P108">
        <f>A01泛微粒贷业务状况表!P203+A02微账户业务状况表!P190+A03汽车金融业务状况表!P143+A04财富业务状况表!P158+A05小鹅业务状况表!P124</f>
        <v>19764849408</v>
      </c>
      <c r="Q108">
        <f>A01泛微粒贷业务状况表!Q203+A02微账户业务状况表!Q190+A03汽车金融业务状况表!Q143+A04财富业务状况表!Q158+A05小鹅业务状况表!Q124</f>
        <v>19531047309</v>
      </c>
      <c r="R108">
        <f>A01泛微粒贷业务状况表!R203+A02微账户业务状况表!R190+A03汽车金融业务状况表!R143+A04财富业务状况表!R158+A05小鹅业务状况表!R124</f>
        <v>19295753454</v>
      </c>
      <c r="S108">
        <f>A01泛微粒贷业务状况表!S203+A02微账户业务状况表!S190+A03汽车金融业务状况表!S143+A04财富业务状况表!S158+A05小鹅业务状况表!S124</f>
        <v>20471891219</v>
      </c>
    </row>
    <row r="109" spans="1:19">
      <c r="A109" t="s">
        <v>60</v>
      </c>
      <c r="B109" t="s">
        <v>438</v>
      </c>
      <c r="C109" t="s">
        <v>899</v>
      </c>
      <c r="D109" t="s">
        <v>478</v>
      </c>
      <c r="G109">
        <f t="shared" si="19"/>
        <v>50060000000</v>
      </c>
      <c r="H109">
        <f>A01泛微粒贷业务状况表!H204+A02微账户业务状况表!H191+A03汽车金融业务状况表!H144+A04财富业务状况表!H159+A05小鹅业务状况表!H125</f>
        <v>3504200000</v>
      </c>
      <c r="I109">
        <f>A01泛微粒贷业务状况表!I204+A02微账户业务状况表!I191+A03汽车金融业务状况表!I144+A04财富业务状况表!I159+A05小鹅业务状况表!I125</f>
        <v>3253900000</v>
      </c>
      <c r="J109">
        <f>A01泛微粒贷业务状况表!J204+A02微账户业务状况表!J191+A03汽车金融业务状况表!J144+A04财富业务状况表!J159+A05小鹅业务状况表!J125</f>
        <v>3904680000</v>
      </c>
      <c r="K109">
        <f>A01泛微粒贷业务状况表!K204+A02微账户业务状况表!K191+A03汽车金融业务状况表!K144+A04财富业务状况表!K159+A05小鹅业务状况表!K125</f>
        <v>4004800000</v>
      </c>
      <c r="L109">
        <f>A01泛微粒贷业务状况表!L204+A02微账户业务状况表!L191+A03汽车金融业务状况表!L144+A04财富业务状况表!L159+A05小鹅业务状况表!L125</f>
        <v>4104920000</v>
      </c>
      <c r="M109">
        <f>A01泛微粒贷业务状况表!M204+A02微账户业务状况表!M191+A03汽车金融业务状况表!M144+A04财富业务状况表!M159+A05小鹅业务状况表!M125</f>
        <v>4255100000</v>
      </c>
      <c r="N109">
        <f>A01泛微粒贷业务状况表!N204+A02微账户业务状况表!N191+A03汽车金融业务状况表!N144+A04财富业务状况表!N159+A05小鹅业务状况表!N125</f>
        <v>4405280000</v>
      </c>
      <c r="O109">
        <f>A01泛微粒贷业务状况表!O204+A02微账户业务状况表!O191+A03汽车金融业务状况表!O144+A04财富业务状况表!O159+A05小鹅业务状况表!O125</f>
        <v>4355220000</v>
      </c>
      <c r="P109">
        <f>A01泛微粒贷业务状况表!P204+A02微账户业务状况表!P191+A03汽车金融业务状况表!P144+A04财富业务状况表!P159+A05小鹅业务状况表!P125</f>
        <v>4255100000</v>
      </c>
      <c r="Q109">
        <f>A01泛微粒贷业务状况表!Q204+A02微账户业务状况表!Q191+A03汽车金融业务状况表!Q144+A04财富业务状况表!Q159+A05小鹅业务状况表!Q125</f>
        <v>4655580000</v>
      </c>
      <c r="R109">
        <f>A01泛微粒贷业务状况表!R204+A02微账户业务状况表!R191+A03汽车金融业务状况表!R144+A04财富业务状况表!R159+A05小鹅业务状况表!R125</f>
        <v>4605520000</v>
      </c>
      <c r="S109">
        <f>A01泛微粒贷业务状况表!S204+A02微账户业务状况表!S191+A03汽车金融业务状况表!S144+A04财富业务状况表!S159+A05小鹅业务状况表!S125</f>
        <v>4755700000</v>
      </c>
    </row>
    <row r="110" spans="1:19">
      <c r="A110" t="s">
        <v>60</v>
      </c>
      <c r="B110" t="s">
        <v>438</v>
      </c>
      <c r="C110" t="s">
        <v>900</v>
      </c>
      <c r="D110" t="s">
        <v>480</v>
      </c>
      <c r="G110">
        <f t="shared" si="19"/>
        <v>150050000000</v>
      </c>
      <c r="H110">
        <f>A01泛微粒贷业务状况表!H205+A02微账户业务状况表!H192+A03汽车金融业务状况表!H145+A04财富业务状况表!H160+A05小鹅业务状况表!H126</f>
        <v>10503500000</v>
      </c>
      <c r="I110">
        <f>A01泛微粒贷业务状况表!I205+A02微账户业务状况表!I192+A03汽车金融业务状况表!I145+A04财富业务状况表!I160+A05小鹅业务状况表!I126</f>
        <v>9753250000</v>
      </c>
      <c r="J110">
        <f>A01泛微粒贷业务状况表!J205+A02微账户业务状况表!J192+A03汽车金融业务状况表!J145+A04财富业务状况表!J160+A05小鹅业务状况表!J126</f>
        <v>11703900000</v>
      </c>
      <c r="K110">
        <f>A01泛微粒贷业务状况表!K205+A02微账户业务状况表!K192+A03汽车金融业务状况表!K145+A04财富业务状况表!K160+A05小鹅业务状况表!K126</f>
        <v>12004000000</v>
      </c>
      <c r="L110">
        <f>A01泛微粒贷业务状况表!L205+A02微账户业务状况表!L192+A03汽车金融业务状况表!L145+A04财富业务状况表!L160+A05小鹅业务状况表!L126</f>
        <v>12304100000</v>
      </c>
      <c r="M110">
        <f>A01泛微粒贷业务状况表!M205+A02微账户业务状况表!M192+A03汽车金融业务状况表!M145+A04财富业务状况表!M160+A05小鹅业务状况表!M126</f>
        <v>12754250000</v>
      </c>
      <c r="N110">
        <f>A01泛微粒贷业务状况表!N205+A02微账户业务状况表!N192+A03汽车金融业务状况表!N145+A04财富业务状况表!N160+A05小鹅业务状况表!N126</f>
        <v>13204400000</v>
      </c>
      <c r="O110">
        <f>A01泛微粒贷业务状况表!O205+A02微账户业务状况表!O192+A03汽车金融业务状况表!O145+A04财富业务状况表!O160+A05小鹅业务状况表!O126</f>
        <v>13054350000</v>
      </c>
      <c r="P110">
        <f>A01泛微粒贷业务状况表!P205+A02微账户业务状况表!P192+A03汽车金融业务状况表!P145+A04财富业务状况表!P160+A05小鹅业务状况表!P126</f>
        <v>12754250000</v>
      </c>
      <c r="Q110">
        <f>A01泛微粒贷业务状况表!Q205+A02微账户业务状况表!Q192+A03汽车金融业务状况表!Q145+A04财富业务状况表!Q160+A05小鹅业务状况表!Q126</f>
        <v>13954650000</v>
      </c>
      <c r="R110">
        <f>A01泛微粒贷业务状况表!R205+A02微账户业务状况表!R192+A03汽车金融业务状况表!R145+A04财富业务状况表!R160+A05小鹅业务状况表!R126</f>
        <v>13804600000</v>
      </c>
      <c r="S110">
        <f>A01泛微粒贷业务状况表!S205+A02微账户业务状况表!S192+A03汽车金融业务状况表!S145+A04财富业务状况表!S160+A05小鹅业务状况表!S126</f>
        <v>14254750000</v>
      </c>
    </row>
    <row r="111" spans="1:19">
      <c r="A111" t="s">
        <v>60</v>
      </c>
      <c r="B111" t="s">
        <v>438</v>
      </c>
      <c r="C111" t="s">
        <v>901</v>
      </c>
      <c r="D111" t="s">
        <v>482</v>
      </c>
      <c r="G111">
        <f t="shared" si="19"/>
        <v>120512145737</v>
      </c>
      <c r="H111">
        <f>A01泛微粒贷业务状况表!H206+A02微账户业务状况表!H193+A03汽车金融业务状况表!H146+A04财富业务状况表!H161+A05小鹅业务状况表!H127</f>
        <v>8436998487</v>
      </c>
      <c r="I111">
        <f>A01泛微粒贷业务状况表!I206+A02微账户业务状况表!I193+A03汽车金融业务状况表!I146+A04财富业务状况表!I161+A05小鹅业务状况表!I127</f>
        <v>7836047067</v>
      </c>
      <c r="J111">
        <f>A01泛微粒贷业务状况表!J206+A02微账户业务状况表!J193+A03汽车金融业务状况表!J146+A04财富业务状况表!J161+A05小鹅业务状况表!J127</f>
        <v>9400908859</v>
      </c>
      <c r="K111">
        <f>A01泛微粒贷业务状况表!K206+A02微账户业务状况表!K193+A03汽车金融业务状况表!K146+A04财富业务状况表!K161+A05小鹅业务状况表!K127</f>
        <v>9641700218</v>
      </c>
      <c r="L111">
        <f>A01泛微粒贷业务状况表!L206+A02微账户业务状况表!L193+A03汽车金融业务状况表!L146+A04财富业务状况表!L161+A05小鹅业务状况表!L127</f>
        <v>9882725199</v>
      </c>
      <c r="M111">
        <f>A01泛微粒贷业务状况表!M206+A02微账户业务状况表!M193+A03汽车金融业务状况表!M146+A04财富业务状况表!M161+A05小鹅业务状况表!M127</f>
        <v>10244029052</v>
      </c>
      <c r="N111">
        <f>A01泛微粒贷业务状况表!N206+A02微账户业务状况表!N193+A03汽车金融业务状况表!N146+A04财富业务状况表!N161+A05小鹅业务状况表!N127</f>
        <v>10605099280</v>
      </c>
      <c r="O111">
        <f>A01泛微粒贷业务状况表!O206+A02微账户业务状况表!O193+A03汽车金融业务状况表!O146+A04财富业务状况表!O161+A05小鹅业务状况表!O127</f>
        <v>10484353164</v>
      </c>
      <c r="P111">
        <f>A01泛微粒贷业务状况表!P206+A02微账户业务状况表!P193+A03汽车金融业务状况表!P146+A04财富业务状况表!P161+A05小鹅业务状况表!P127</f>
        <v>10243328180</v>
      </c>
      <c r="Q111">
        <f>A01泛微粒贷业务状况表!Q206+A02微账户业务状况表!Q193+A03汽车金融业务状况表!Q146+A04财富业务状况表!Q161+A05小鹅业务状况表!Q127</f>
        <v>11205325498</v>
      </c>
      <c r="R111">
        <f>A01泛微粒贷业务状况表!R206+A02微账户业务状况表!R193+A03汽车金融业务状况表!R146+A04财富业务状况表!R161+A05小鹅业务状况表!R127</f>
        <v>11084813004</v>
      </c>
      <c r="S111">
        <f>A01泛微粒贷业务状况表!S206+A02微账户业务状况表!S193+A03汽车金融业务状况表!S146+A04财富业务状况表!S161+A05小鹅业务状况表!S127</f>
        <v>11446817729</v>
      </c>
    </row>
    <row r="112" spans="1:19">
      <c r="A112" t="s">
        <v>26</v>
      </c>
      <c r="B112" t="s">
        <v>438</v>
      </c>
      <c r="C112" t="s">
        <v>902</v>
      </c>
      <c r="D112" t="s">
        <v>484</v>
      </c>
      <c r="G112">
        <f t="shared" si="19"/>
        <v>2100000000</v>
      </c>
      <c r="H112">
        <f t="shared" ref="H112:S112" si="30">H113+H114+H115</f>
        <v>147000000</v>
      </c>
      <c r="I112">
        <f t="shared" si="30"/>
        <v>136500000</v>
      </c>
      <c r="J112">
        <f t="shared" si="30"/>
        <v>163800000</v>
      </c>
      <c r="K112">
        <f t="shared" si="30"/>
        <v>168000000</v>
      </c>
      <c r="L112">
        <f t="shared" si="30"/>
        <v>172200000</v>
      </c>
      <c r="M112">
        <f t="shared" si="30"/>
        <v>178500000</v>
      </c>
      <c r="N112">
        <f t="shared" si="30"/>
        <v>184800000</v>
      </c>
      <c r="O112">
        <f t="shared" si="30"/>
        <v>182700000</v>
      </c>
      <c r="P112">
        <f t="shared" si="30"/>
        <v>178500000</v>
      </c>
      <c r="Q112">
        <f t="shared" si="30"/>
        <v>195300000</v>
      </c>
      <c r="R112">
        <f t="shared" si="30"/>
        <v>193200000</v>
      </c>
      <c r="S112">
        <f t="shared" si="30"/>
        <v>199500000</v>
      </c>
    </row>
    <row r="113" spans="1:19">
      <c r="A113" t="s">
        <v>60</v>
      </c>
      <c r="B113" t="s">
        <v>438</v>
      </c>
      <c r="C113" t="s">
        <v>903</v>
      </c>
      <c r="D113" t="s">
        <v>486</v>
      </c>
      <c r="G113">
        <f t="shared" si="19"/>
        <v>1140000000</v>
      </c>
      <c r="H113">
        <f>A01泛微粒贷业务状况表!H208+A02微账户业务状况表!H195+A03汽车金融业务状况表!H148+A04财富业务状况表!H163+A05小鹅业务状况表!H129</f>
        <v>79800000</v>
      </c>
      <c r="I113">
        <f>A01泛微粒贷业务状况表!I208+A02微账户业务状况表!I195+A03汽车金融业务状况表!I148+A04财富业务状况表!I163+A05小鹅业务状况表!I129</f>
        <v>74100000</v>
      </c>
      <c r="J113">
        <f>A01泛微粒贷业务状况表!J208+A02微账户业务状况表!J195+A03汽车金融业务状况表!J148+A04财富业务状况表!J163+A05小鹅业务状况表!J129</f>
        <v>88920000</v>
      </c>
      <c r="K113">
        <f>A01泛微粒贷业务状况表!K208+A02微账户业务状况表!K195+A03汽车金融业务状况表!K148+A04财富业务状况表!K163+A05小鹅业务状况表!K129</f>
        <v>91200000</v>
      </c>
      <c r="L113">
        <f>A01泛微粒贷业务状况表!L208+A02微账户业务状况表!L195+A03汽车金融业务状况表!L148+A04财富业务状况表!L163+A05小鹅业务状况表!L129</f>
        <v>93480000</v>
      </c>
      <c r="M113">
        <f>A01泛微粒贷业务状况表!M208+A02微账户业务状况表!M195+A03汽车金融业务状况表!M148+A04财富业务状况表!M163+A05小鹅业务状况表!M129</f>
        <v>96900000</v>
      </c>
      <c r="N113">
        <f>A01泛微粒贷业务状况表!N208+A02微账户业务状况表!N195+A03汽车金融业务状况表!N148+A04财富业务状况表!N163+A05小鹅业务状况表!N129</f>
        <v>100320000</v>
      </c>
      <c r="O113">
        <f>A01泛微粒贷业务状况表!O208+A02微账户业务状况表!O195+A03汽车金融业务状况表!O148+A04财富业务状况表!O163+A05小鹅业务状况表!O129</f>
        <v>99180000</v>
      </c>
      <c r="P113">
        <f>A01泛微粒贷业务状况表!P208+A02微账户业务状况表!P195+A03汽车金融业务状况表!P148+A04财富业务状况表!P163+A05小鹅业务状况表!P129</f>
        <v>96900000</v>
      </c>
      <c r="Q113">
        <f>A01泛微粒贷业务状况表!Q208+A02微账户业务状况表!Q195+A03汽车金融业务状况表!Q148+A04财富业务状况表!Q163+A05小鹅业务状况表!Q129</f>
        <v>106020000</v>
      </c>
      <c r="R113">
        <f>A01泛微粒贷业务状况表!R208+A02微账户业务状况表!R195+A03汽车金融业务状况表!R148+A04财富业务状况表!R163+A05小鹅业务状况表!R129</f>
        <v>104880000</v>
      </c>
      <c r="S113">
        <f>A01泛微粒贷业务状况表!S208+A02微账户业务状况表!S195+A03汽车金融业务状况表!S148+A04财富业务状况表!S163+A05小鹅业务状况表!S129</f>
        <v>108300000</v>
      </c>
    </row>
    <row r="114" spans="1:19">
      <c r="A114" t="s">
        <v>60</v>
      </c>
      <c r="B114" t="s">
        <v>438</v>
      </c>
      <c r="C114" t="s">
        <v>904</v>
      </c>
      <c r="D114" t="s">
        <v>488</v>
      </c>
      <c r="G114">
        <f t="shared" si="19"/>
        <v>600000000</v>
      </c>
      <c r="H114">
        <f>A01泛微粒贷业务状况表!H209+A02微账户业务状况表!H196+A03汽车金融业务状况表!H149+A04财富业务状况表!H164+A05小鹅业务状况表!H130</f>
        <v>42000000</v>
      </c>
      <c r="I114">
        <f>A01泛微粒贷业务状况表!I209+A02微账户业务状况表!I196+A03汽车金融业务状况表!I149+A04财富业务状况表!I164+A05小鹅业务状况表!I130</f>
        <v>39000000</v>
      </c>
      <c r="J114">
        <f>A01泛微粒贷业务状况表!J209+A02微账户业务状况表!J196+A03汽车金融业务状况表!J149+A04财富业务状况表!J164+A05小鹅业务状况表!J130</f>
        <v>46800000</v>
      </c>
      <c r="K114">
        <f>A01泛微粒贷业务状况表!K209+A02微账户业务状况表!K196+A03汽车金融业务状况表!K149+A04财富业务状况表!K164+A05小鹅业务状况表!K130</f>
        <v>48000000</v>
      </c>
      <c r="L114">
        <f>A01泛微粒贷业务状况表!L209+A02微账户业务状况表!L196+A03汽车金融业务状况表!L149+A04财富业务状况表!L164+A05小鹅业务状况表!L130</f>
        <v>49200000</v>
      </c>
      <c r="M114">
        <f>A01泛微粒贷业务状况表!M209+A02微账户业务状况表!M196+A03汽车金融业务状况表!M149+A04财富业务状况表!M164+A05小鹅业务状况表!M130</f>
        <v>51000000</v>
      </c>
      <c r="N114">
        <f>A01泛微粒贷业务状况表!N209+A02微账户业务状况表!N196+A03汽车金融业务状况表!N149+A04财富业务状况表!N164+A05小鹅业务状况表!N130</f>
        <v>52800000</v>
      </c>
      <c r="O114">
        <f>A01泛微粒贷业务状况表!O209+A02微账户业务状况表!O196+A03汽车金融业务状况表!O149+A04财富业务状况表!O164+A05小鹅业务状况表!O130</f>
        <v>52200000</v>
      </c>
      <c r="P114">
        <f>A01泛微粒贷业务状况表!P209+A02微账户业务状况表!P196+A03汽车金融业务状况表!P149+A04财富业务状况表!P164+A05小鹅业务状况表!P130</f>
        <v>51000000</v>
      </c>
      <c r="Q114">
        <f>A01泛微粒贷业务状况表!Q209+A02微账户业务状况表!Q196+A03汽车金融业务状况表!Q149+A04财富业务状况表!Q164+A05小鹅业务状况表!Q130</f>
        <v>55800000</v>
      </c>
      <c r="R114">
        <f>A01泛微粒贷业务状况表!R209+A02微账户业务状况表!R196+A03汽车金融业务状况表!R149+A04财富业务状况表!R164+A05小鹅业务状况表!R130</f>
        <v>55200000</v>
      </c>
      <c r="S114">
        <f>A01泛微粒贷业务状况表!S209+A02微账户业务状况表!S196+A03汽车金融业务状况表!S149+A04财富业务状况表!S164+A05小鹅业务状况表!S130</f>
        <v>57000000</v>
      </c>
    </row>
    <row r="115" spans="1:19">
      <c r="A115" t="s">
        <v>60</v>
      </c>
      <c r="B115" t="s">
        <v>438</v>
      </c>
      <c r="C115" t="s">
        <v>905</v>
      </c>
      <c r="D115" t="s">
        <v>490</v>
      </c>
      <c r="G115">
        <f t="shared" si="19"/>
        <v>360000000</v>
      </c>
      <c r="H115">
        <f>A01泛微粒贷业务状况表!H210+A02微账户业务状况表!H197+A03汽车金融业务状况表!H150+A04财富业务状况表!H165+A05小鹅业务状况表!H131</f>
        <v>25200000</v>
      </c>
      <c r="I115">
        <f>A01泛微粒贷业务状况表!I210+A02微账户业务状况表!I197+A03汽车金融业务状况表!I150+A04财富业务状况表!I165+A05小鹅业务状况表!I131</f>
        <v>23400000</v>
      </c>
      <c r="J115">
        <f>A01泛微粒贷业务状况表!J210+A02微账户业务状况表!J197+A03汽车金融业务状况表!J150+A04财富业务状况表!J165+A05小鹅业务状况表!J131</f>
        <v>28080000</v>
      </c>
      <c r="K115">
        <f>A01泛微粒贷业务状况表!K210+A02微账户业务状况表!K197+A03汽车金融业务状况表!K150+A04财富业务状况表!K165+A05小鹅业务状况表!K131</f>
        <v>28800000</v>
      </c>
      <c r="L115">
        <f>A01泛微粒贷业务状况表!L210+A02微账户业务状况表!L197+A03汽车金融业务状况表!L150+A04财富业务状况表!L165+A05小鹅业务状况表!L131</f>
        <v>29520000</v>
      </c>
      <c r="M115">
        <f>A01泛微粒贷业务状况表!M210+A02微账户业务状况表!M197+A03汽车金融业务状况表!M150+A04财富业务状况表!M165+A05小鹅业务状况表!M131</f>
        <v>30600000</v>
      </c>
      <c r="N115">
        <f>A01泛微粒贷业务状况表!N210+A02微账户业务状况表!N197+A03汽车金融业务状况表!N150+A04财富业务状况表!N165+A05小鹅业务状况表!N131</f>
        <v>31680000</v>
      </c>
      <c r="O115">
        <f>A01泛微粒贷业务状况表!O210+A02微账户业务状况表!O197+A03汽车金融业务状况表!O150+A04财富业务状况表!O165+A05小鹅业务状况表!O131</f>
        <v>31320000</v>
      </c>
      <c r="P115">
        <f>A01泛微粒贷业务状况表!P210+A02微账户业务状况表!P197+A03汽车金融业务状况表!P150+A04财富业务状况表!P165+A05小鹅业务状况表!P131</f>
        <v>30600000</v>
      </c>
      <c r="Q115">
        <f>A01泛微粒贷业务状况表!Q210+A02微账户业务状况表!Q197+A03汽车金融业务状况表!Q150+A04财富业务状况表!Q165+A05小鹅业务状况表!Q131</f>
        <v>33480000</v>
      </c>
      <c r="R115">
        <f>A01泛微粒贷业务状况表!R210+A02微账户业务状况表!R197+A03汽车金融业务状况表!R150+A04财富业务状况表!R165+A05小鹅业务状况表!R131</f>
        <v>33120000</v>
      </c>
      <c r="S115">
        <f>A01泛微粒贷业务状况表!S210+A02微账户业务状况表!S197+A03汽车金融业务状况表!S150+A04财富业务状况表!S165+A05小鹅业务状况表!S131</f>
        <v>34200000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880</v>
      </c>
      <c r="D2" t="s">
        <v>440</v>
      </c>
      <c r="G2">
        <f t="shared" ref="G2:G27" si="0">H2+I2+J2+K2+L2+M2+N2+O2+P2+Q2+R2+S2</f>
        <v>1490553041910</v>
      </c>
      <c r="H2">
        <f t="shared" ref="H2:S2" si="1">H3</f>
        <v>107114132575</v>
      </c>
      <c r="I2">
        <f t="shared" si="1"/>
        <v>104102038800</v>
      </c>
      <c r="J2">
        <f t="shared" si="1"/>
        <v>118483472995</v>
      </c>
      <c r="K2">
        <f t="shared" si="1"/>
        <v>120909495141</v>
      </c>
      <c r="L2">
        <f t="shared" si="1"/>
        <v>123890601222</v>
      </c>
      <c r="M2">
        <f t="shared" si="1"/>
        <v>127807176419</v>
      </c>
      <c r="N2">
        <f t="shared" si="1"/>
        <v>131168667688</v>
      </c>
      <c r="O2">
        <f t="shared" si="1"/>
        <v>129123030715</v>
      </c>
      <c r="P2">
        <f t="shared" si="1"/>
        <v>126141924634</v>
      </c>
      <c r="Q2">
        <f t="shared" si="1"/>
        <v>133070593606</v>
      </c>
      <c r="R2">
        <f t="shared" si="1"/>
        <v>131580040568</v>
      </c>
      <c r="S2">
        <f t="shared" si="1"/>
        <v>137161867547</v>
      </c>
    </row>
    <row r="3" spans="1:19">
      <c r="A3" t="s">
        <v>19</v>
      </c>
      <c r="B3" t="s">
        <v>179</v>
      </c>
      <c r="C3" t="s">
        <v>881</v>
      </c>
      <c r="D3" t="s">
        <v>442</v>
      </c>
      <c r="G3">
        <f t="shared" si="0"/>
        <v>1490553041910</v>
      </c>
      <c r="H3">
        <f t="shared" ref="H3:S3" si="2">H4+H9+H24</f>
        <v>107114132575</v>
      </c>
      <c r="I3">
        <f t="shared" si="2"/>
        <v>104102038800</v>
      </c>
      <c r="J3">
        <f t="shared" si="2"/>
        <v>118483472995</v>
      </c>
      <c r="K3">
        <f t="shared" si="2"/>
        <v>120909495141</v>
      </c>
      <c r="L3">
        <f t="shared" si="2"/>
        <v>123890601222</v>
      </c>
      <c r="M3">
        <f t="shared" si="2"/>
        <v>127807176419</v>
      </c>
      <c r="N3">
        <f t="shared" si="2"/>
        <v>131168667688</v>
      </c>
      <c r="O3">
        <f t="shared" si="2"/>
        <v>129123030715</v>
      </c>
      <c r="P3">
        <f t="shared" si="2"/>
        <v>126141924634</v>
      </c>
      <c r="Q3">
        <f t="shared" si="2"/>
        <v>133070593606</v>
      </c>
      <c r="R3">
        <f t="shared" si="2"/>
        <v>131580040568</v>
      </c>
      <c r="S3">
        <f t="shared" si="2"/>
        <v>137161867547</v>
      </c>
    </row>
    <row r="4" spans="1:19">
      <c r="A4" t="s">
        <v>23</v>
      </c>
      <c r="B4" t="s">
        <v>179</v>
      </c>
      <c r="C4" t="s">
        <v>882</v>
      </c>
      <c r="D4" t="s">
        <v>444</v>
      </c>
      <c r="G4">
        <f t="shared" si="0"/>
        <v>1550000000</v>
      </c>
      <c r="H4">
        <f t="shared" ref="H4:S4" si="3">H5+H6+H7+H8</f>
        <v>108500000</v>
      </c>
      <c r="I4">
        <f t="shared" si="3"/>
        <v>100750000</v>
      </c>
      <c r="J4">
        <f t="shared" si="3"/>
        <v>120900000</v>
      </c>
      <c r="K4">
        <f t="shared" si="3"/>
        <v>124000000</v>
      </c>
      <c r="L4">
        <f t="shared" si="3"/>
        <v>127100000</v>
      </c>
      <c r="M4">
        <f t="shared" si="3"/>
        <v>131750000</v>
      </c>
      <c r="N4">
        <f t="shared" si="3"/>
        <v>136400000</v>
      </c>
      <c r="O4">
        <f t="shared" si="3"/>
        <v>134850000</v>
      </c>
      <c r="P4">
        <f t="shared" si="3"/>
        <v>131750000</v>
      </c>
      <c r="Q4">
        <f t="shared" si="3"/>
        <v>144150000</v>
      </c>
      <c r="R4">
        <f t="shared" si="3"/>
        <v>142600000</v>
      </c>
      <c r="S4">
        <f t="shared" si="3"/>
        <v>147250000</v>
      </c>
    </row>
    <row r="5" spans="1:19">
      <c r="A5" t="s">
        <v>26</v>
      </c>
      <c r="B5" t="s">
        <v>179</v>
      </c>
      <c r="C5" t="s">
        <v>883</v>
      </c>
      <c r="D5" t="s">
        <v>446</v>
      </c>
      <c r="G5">
        <f t="shared" si="0"/>
        <v>640000000</v>
      </c>
      <c r="H5">
        <f>A01泛微粒贷业务支出评估!H5+A02微账户业务支出评估!H5+A03汽车金融业务支出评估!H5+A04财富业务支出评估!H5+A05小鹅业务支出评估!H5</f>
        <v>44800000</v>
      </c>
      <c r="I5">
        <f>A01泛微粒贷业务支出评估!I5+A02微账户业务支出评估!I5+A03汽车金融业务支出评估!I5+A04财富业务支出评估!I5+A05小鹅业务支出评估!I5</f>
        <v>41600000</v>
      </c>
      <c r="J5">
        <f>A01泛微粒贷业务支出评估!J5+A02微账户业务支出评估!J5+A03汽车金融业务支出评估!J5+A04财富业务支出评估!J5+A05小鹅业务支出评估!J5</f>
        <v>49920000</v>
      </c>
      <c r="K5">
        <f>A01泛微粒贷业务支出评估!K5+A02微账户业务支出评估!K5+A03汽车金融业务支出评估!K5+A04财富业务支出评估!K5+A05小鹅业务支出评估!K5</f>
        <v>51200000</v>
      </c>
      <c r="L5">
        <f>A01泛微粒贷业务支出评估!L5+A02微账户业务支出评估!L5+A03汽车金融业务支出评估!L5+A04财富业务支出评估!L5+A05小鹅业务支出评估!L5</f>
        <v>52480000</v>
      </c>
      <c r="M5">
        <f>A01泛微粒贷业务支出评估!M5+A02微账户业务支出评估!M5+A03汽车金融业务支出评估!M5+A04财富业务支出评估!M5+A05小鹅业务支出评估!M5</f>
        <v>54400000</v>
      </c>
      <c r="N5">
        <f>A01泛微粒贷业务支出评估!N5+A02微账户业务支出评估!N5+A03汽车金融业务支出评估!N5+A04财富业务支出评估!N5+A05小鹅业务支出评估!N5</f>
        <v>56320000</v>
      </c>
      <c r="O5">
        <f>A01泛微粒贷业务支出评估!O5+A02微账户业务支出评估!O5+A03汽车金融业务支出评估!O5+A04财富业务支出评估!O5+A05小鹅业务支出评估!O5</f>
        <v>55680000</v>
      </c>
      <c r="P5">
        <f>A01泛微粒贷业务支出评估!P5+A02微账户业务支出评估!P5+A03汽车金融业务支出评估!P5+A04财富业务支出评估!P5+A05小鹅业务支出评估!P5</f>
        <v>54400000</v>
      </c>
      <c r="Q5">
        <f>A01泛微粒贷业务支出评估!Q5+A02微账户业务支出评估!Q5+A03汽车金融业务支出评估!Q5+A04财富业务支出评估!Q5+A05小鹅业务支出评估!Q5</f>
        <v>59520000</v>
      </c>
      <c r="R5">
        <f>A01泛微粒贷业务支出评估!R5+A02微账户业务支出评估!R5+A03汽车金融业务支出评估!R5+A04财富业务支出评估!R5+A05小鹅业务支出评估!R5</f>
        <v>58880000</v>
      </c>
      <c r="S5">
        <f>A01泛微粒贷业务支出评估!S5+A02微账户业务支出评估!S5+A03汽车金融业务支出评估!S5+A04财富业务支出评估!S5+A05小鹅业务支出评估!S5</f>
        <v>60800000</v>
      </c>
    </row>
    <row r="6" spans="1:19">
      <c r="A6" t="s">
        <v>26</v>
      </c>
      <c r="B6" t="s">
        <v>179</v>
      </c>
      <c r="C6" t="s">
        <v>884</v>
      </c>
      <c r="D6" t="s">
        <v>448</v>
      </c>
      <c r="G6">
        <f t="shared" si="0"/>
        <v>450000000</v>
      </c>
      <c r="H6">
        <f>A01泛微粒贷业务支出评估!H6+A02微账户业务支出评估!H6+A03汽车金融业务支出评估!H6+A04财富业务支出评估!H6+A05小鹅业务支出评估!H6</f>
        <v>31500000</v>
      </c>
      <c r="I6">
        <f>A01泛微粒贷业务支出评估!I6+A02微账户业务支出评估!I6+A03汽车金融业务支出评估!I6+A04财富业务支出评估!I6+A05小鹅业务支出评估!I6</f>
        <v>29250000</v>
      </c>
      <c r="J6">
        <f>A01泛微粒贷业务支出评估!J6+A02微账户业务支出评估!J6+A03汽车金融业务支出评估!J6+A04财富业务支出评估!J6+A05小鹅业务支出评估!J6</f>
        <v>35100000</v>
      </c>
      <c r="K6">
        <f>A01泛微粒贷业务支出评估!K6+A02微账户业务支出评估!K6+A03汽车金融业务支出评估!K6+A04财富业务支出评估!K6+A05小鹅业务支出评估!K6</f>
        <v>36000000</v>
      </c>
      <c r="L6">
        <f>A01泛微粒贷业务支出评估!L6+A02微账户业务支出评估!L6+A03汽车金融业务支出评估!L6+A04财富业务支出评估!L6+A05小鹅业务支出评估!L6</f>
        <v>36900000</v>
      </c>
      <c r="M6">
        <f>A01泛微粒贷业务支出评估!M6+A02微账户业务支出评估!M6+A03汽车金融业务支出评估!M6+A04财富业务支出评估!M6+A05小鹅业务支出评估!M6</f>
        <v>38250000</v>
      </c>
      <c r="N6">
        <f>A01泛微粒贷业务支出评估!N6+A02微账户业务支出评估!N6+A03汽车金融业务支出评估!N6+A04财富业务支出评估!N6+A05小鹅业务支出评估!N6</f>
        <v>39600000</v>
      </c>
      <c r="O6">
        <f>A01泛微粒贷业务支出评估!O6+A02微账户业务支出评估!O6+A03汽车金融业务支出评估!O6+A04财富业务支出评估!O6+A05小鹅业务支出评估!O6</f>
        <v>39150000</v>
      </c>
      <c r="P6">
        <f>A01泛微粒贷业务支出评估!P6+A02微账户业务支出评估!P6+A03汽车金融业务支出评估!P6+A04财富业务支出评估!P6+A05小鹅业务支出评估!P6</f>
        <v>38250000</v>
      </c>
      <c r="Q6">
        <f>A01泛微粒贷业务支出评估!Q6+A02微账户业务支出评估!Q6+A03汽车金融业务支出评估!Q6+A04财富业务支出评估!Q6+A05小鹅业务支出评估!Q6</f>
        <v>41850000</v>
      </c>
      <c r="R6">
        <f>A01泛微粒贷业务支出评估!R6+A02微账户业务支出评估!R6+A03汽车金融业务支出评估!R6+A04财富业务支出评估!R6+A05小鹅业务支出评估!R6</f>
        <v>41400000</v>
      </c>
      <c r="S6">
        <f>A01泛微粒贷业务支出评估!S6+A02微账户业务支出评估!S6+A03汽车金融业务支出评估!S6+A04财富业务支出评估!S6+A05小鹅业务支出评估!S6</f>
        <v>42750000</v>
      </c>
    </row>
    <row r="7" spans="1:19">
      <c r="A7" t="s">
        <v>26</v>
      </c>
      <c r="B7" t="s">
        <v>179</v>
      </c>
      <c r="C7" t="s">
        <v>885</v>
      </c>
      <c r="D7" t="s">
        <v>450</v>
      </c>
      <c r="G7">
        <f t="shared" si="0"/>
        <v>260000000</v>
      </c>
      <c r="H7">
        <f>A01泛微粒贷业务支出评估!H7+A02微账户业务支出评估!H7+A03汽车金融业务支出评估!H7+A04财富业务支出评估!H7+A05小鹅业务支出评估!H7</f>
        <v>18200000</v>
      </c>
      <c r="I7">
        <f>A01泛微粒贷业务支出评估!I7+A02微账户业务支出评估!I7+A03汽车金融业务支出评估!I7+A04财富业务支出评估!I7+A05小鹅业务支出评估!I7</f>
        <v>16900000</v>
      </c>
      <c r="J7">
        <f>A01泛微粒贷业务支出评估!J7+A02微账户业务支出评估!J7+A03汽车金融业务支出评估!J7+A04财富业务支出评估!J7+A05小鹅业务支出评估!J7</f>
        <v>20280000</v>
      </c>
      <c r="K7">
        <f>A01泛微粒贷业务支出评估!K7+A02微账户业务支出评估!K7+A03汽车金融业务支出评估!K7+A04财富业务支出评估!K7+A05小鹅业务支出评估!K7</f>
        <v>20800000</v>
      </c>
      <c r="L7">
        <f>A01泛微粒贷业务支出评估!L7+A02微账户业务支出评估!L7+A03汽车金融业务支出评估!L7+A04财富业务支出评估!L7+A05小鹅业务支出评估!L7</f>
        <v>21320000</v>
      </c>
      <c r="M7">
        <f>A01泛微粒贷业务支出评估!M7+A02微账户业务支出评估!M7+A03汽车金融业务支出评估!M7+A04财富业务支出评估!M7+A05小鹅业务支出评估!M7</f>
        <v>22100000</v>
      </c>
      <c r="N7">
        <f>A01泛微粒贷业务支出评估!N7+A02微账户业务支出评估!N7+A03汽车金融业务支出评估!N7+A04财富业务支出评估!N7+A05小鹅业务支出评估!N7</f>
        <v>22880000</v>
      </c>
      <c r="O7">
        <f>A01泛微粒贷业务支出评估!O7+A02微账户业务支出评估!O7+A03汽车金融业务支出评估!O7+A04财富业务支出评估!O7+A05小鹅业务支出评估!O7</f>
        <v>22620000</v>
      </c>
      <c r="P7">
        <f>A01泛微粒贷业务支出评估!P7+A02微账户业务支出评估!P7+A03汽车金融业务支出评估!P7+A04财富业务支出评估!P7+A05小鹅业务支出评估!P7</f>
        <v>22100000</v>
      </c>
      <c r="Q7">
        <f>A01泛微粒贷业务支出评估!Q7+A02微账户业务支出评估!Q7+A03汽车金融业务支出评估!Q7+A04财富业务支出评估!Q7+A05小鹅业务支出评估!Q7</f>
        <v>24180000</v>
      </c>
      <c r="R7">
        <f>A01泛微粒贷业务支出评估!R7+A02微账户业务支出评估!R7+A03汽车金融业务支出评估!R7+A04财富业务支出评估!R7+A05小鹅业务支出评估!R7</f>
        <v>23920000</v>
      </c>
      <c r="S7">
        <f>A01泛微粒贷业务支出评估!S7+A02微账户业务支出评估!S7+A03汽车金融业务支出评估!S7+A04财富业务支出评估!S7+A05小鹅业务支出评估!S7</f>
        <v>24700000</v>
      </c>
    </row>
    <row r="8" spans="1:19">
      <c r="A8" t="s">
        <v>26</v>
      </c>
      <c r="B8" t="s">
        <v>179</v>
      </c>
      <c r="C8" t="s">
        <v>886</v>
      </c>
      <c r="D8" t="s">
        <v>452</v>
      </c>
      <c r="G8">
        <f t="shared" si="0"/>
        <v>200000000</v>
      </c>
      <c r="H8">
        <f>A01泛微粒贷业务支出评估!H8+A02微账户业务支出评估!H8+A03汽车金融业务支出评估!H8+A04财富业务支出评估!H8+A05小鹅业务支出评估!H8</f>
        <v>14000000</v>
      </c>
      <c r="I8">
        <f>A01泛微粒贷业务支出评估!I8+A02微账户业务支出评估!I8+A03汽车金融业务支出评估!I8+A04财富业务支出评估!I8+A05小鹅业务支出评估!I8</f>
        <v>13000000</v>
      </c>
      <c r="J8">
        <f>A01泛微粒贷业务支出评估!J8+A02微账户业务支出评估!J8+A03汽车金融业务支出评估!J8+A04财富业务支出评估!J8+A05小鹅业务支出评估!J8</f>
        <v>15600000</v>
      </c>
      <c r="K8">
        <f>A01泛微粒贷业务支出评估!K8+A02微账户业务支出评估!K8+A03汽车金融业务支出评估!K8+A04财富业务支出评估!K8+A05小鹅业务支出评估!K8</f>
        <v>16000000</v>
      </c>
      <c r="L8">
        <f>A01泛微粒贷业务支出评估!L8+A02微账户业务支出评估!L8+A03汽车金融业务支出评估!L8+A04财富业务支出评估!L8+A05小鹅业务支出评估!L8</f>
        <v>16400000</v>
      </c>
      <c r="M8">
        <f>A01泛微粒贷业务支出评估!M8+A02微账户业务支出评估!M8+A03汽车金融业务支出评估!M8+A04财富业务支出评估!M8+A05小鹅业务支出评估!M8</f>
        <v>17000000</v>
      </c>
      <c r="N8">
        <f>A01泛微粒贷业务支出评估!N8+A02微账户业务支出评估!N8+A03汽车金融业务支出评估!N8+A04财富业务支出评估!N8+A05小鹅业务支出评估!N8</f>
        <v>17600000</v>
      </c>
      <c r="O8">
        <f>A01泛微粒贷业务支出评估!O8+A02微账户业务支出评估!O8+A03汽车金融业务支出评估!O8+A04财富业务支出评估!O8+A05小鹅业务支出评估!O8</f>
        <v>17400000</v>
      </c>
      <c r="P8">
        <f>A01泛微粒贷业务支出评估!P8+A02微账户业务支出评估!P8+A03汽车金融业务支出评估!P8+A04财富业务支出评估!P8+A05小鹅业务支出评估!P8</f>
        <v>17000000</v>
      </c>
      <c r="Q8">
        <f>A01泛微粒贷业务支出评估!Q8+A02微账户业务支出评估!Q8+A03汽车金融业务支出评估!Q8+A04财富业务支出评估!Q8+A05小鹅业务支出评估!Q8</f>
        <v>18600000</v>
      </c>
      <c r="R8">
        <f>A01泛微粒贷业务支出评估!R8+A02微账户业务支出评估!R8+A03汽车金融业务支出评估!R8+A04财富业务支出评估!R8+A05小鹅业务支出评估!R8</f>
        <v>18400000</v>
      </c>
      <c r="S8">
        <f>A01泛微粒贷业务支出评估!S8+A02微账户业务支出评估!S8+A03汽车金融业务支出评估!S8+A04财富业务支出评估!S8+A05小鹅业务支出评估!S8</f>
        <v>19000000</v>
      </c>
    </row>
    <row r="9" spans="1:19">
      <c r="A9" t="s">
        <v>23</v>
      </c>
      <c r="B9" t="s">
        <v>179</v>
      </c>
      <c r="C9" t="s">
        <v>887</v>
      </c>
      <c r="D9" t="s">
        <v>454</v>
      </c>
      <c r="G9">
        <f t="shared" si="0"/>
        <v>1486903041910</v>
      </c>
      <c r="H9">
        <f t="shared" ref="H9:S9" si="4">H10+H11+H12+H13+H14+H15+H16+H17+H18+H19+H20+H21+H22+H23</f>
        <v>106858632575</v>
      </c>
      <c r="I9">
        <f t="shared" si="4"/>
        <v>103864788800</v>
      </c>
      <c r="J9">
        <f t="shared" si="4"/>
        <v>118198772995</v>
      </c>
      <c r="K9">
        <f t="shared" si="4"/>
        <v>120617495141</v>
      </c>
      <c r="L9">
        <f t="shared" si="4"/>
        <v>123591301222</v>
      </c>
      <c r="M9">
        <f t="shared" si="4"/>
        <v>127496926419</v>
      </c>
      <c r="N9">
        <f t="shared" si="4"/>
        <v>130847467688</v>
      </c>
      <c r="O9">
        <f t="shared" si="4"/>
        <v>128805480715</v>
      </c>
      <c r="P9">
        <f t="shared" si="4"/>
        <v>125831674634</v>
      </c>
      <c r="Q9">
        <f t="shared" si="4"/>
        <v>132731143606</v>
      </c>
      <c r="R9">
        <f t="shared" si="4"/>
        <v>131244240568</v>
      </c>
      <c r="S9">
        <f t="shared" si="4"/>
        <v>136815117547</v>
      </c>
    </row>
    <row r="10" spans="1:19">
      <c r="A10" t="s">
        <v>26</v>
      </c>
      <c r="B10" t="s">
        <v>179</v>
      </c>
      <c r="C10" t="s">
        <v>888</v>
      </c>
      <c r="D10" t="s">
        <v>456</v>
      </c>
      <c r="G10">
        <f t="shared" si="0"/>
        <v>235035846150</v>
      </c>
      <c r="H10">
        <f>A01泛微粒贷业务支出评估!H10+A02微账户业务支出评估!H10+A03汽车金融业务支出评估!H10+A04财富业务支出评估!H10+A05小鹅业务支出评估!H10</f>
        <v>17627509230</v>
      </c>
      <c r="I10">
        <f>A01泛微粒贷业务支出评估!I10+A02微账户业务支出评估!I10+A03汽车金融业务支出评估!I10+A04财富业务支出评估!I10+A05小鹅业务支出评估!I10</f>
        <v>18332330000</v>
      </c>
      <c r="J10">
        <f>A01泛微粒贷业务支出评估!J10+A02微账户业务支出评估!J10+A03汽车金融业务支出评估!J10+A04财富业务支出评估!J10+A05小鹅业务支出评估!J10</f>
        <v>19272796000</v>
      </c>
      <c r="K10">
        <f>A01泛微粒贷业务支出评估!K10+A02微账户业务支出评估!K10+A03汽车金融业务支出评估!K10+A04财富业务支出评估!K10+A05小鹅业务支出评估!K10</f>
        <v>19507867692</v>
      </c>
      <c r="L10">
        <f>A01泛微粒贷业务支出评估!L10+A02微账户业务支出评估!L10+A03汽车金融业务支出评估!L10+A04财富业务支出评估!L10+A05小鹅业务支出评估!L10</f>
        <v>19977939384</v>
      </c>
      <c r="M10">
        <f>A01泛微粒贷业务支出评估!M10+A02微账户业务支出评估!M10+A03汽车金融业务支出评估!M10+A04财富业务支出评估!M10+A05小鹅业务支出评估!M10</f>
        <v>20448046923</v>
      </c>
      <c r="N10">
        <f>A01泛微粒贷业务支出评估!N10+A02微账户业务支出评估!N10+A03汽车金融业务支出评估!N10+A04财富业务支出评估!N10+A05小鹅业务支出评估!N10</f>
        <v>20683154461</v>
      </c>
      <c r="O10">
        <f>A01泛微粒贷业务支出评估!O10+A02微账户业务支出评估!O10+A03汽车金融业务支出评估!O10+A04财富业务支出评估!O10+A05小鹅业务支出评估!O10</f>
        <v>20213118615</v>
      </c>
      <c r="P10">
        <f>A01泛微粒贷业务支出评估!P10+A02微账户业务支出评估!P10+A03汽车金融业务支出评估!P10+A04财富业务支出评估!P10+A05小鹅业务支出评估!P10</f>
        <v>19743046923</v>
      </c>
      <c r="Q10">
        <f>A01泛微粒贷业务支出评估!Q10+A02微账户业务支出评估!Q10+A03汽车金融业务支出评估!Q10+A04财富业务支出评估!Q10+A05小鹅业务支出评估!Q10</f>
        <v>19508333692</v>
      </c>
      <c r="R10">
        <f>A01泛微粒贷业务支出评估!R10+A02微账户业务支出评估!R10+A03汽车金融业务支出评估!R10+A04财富业务支出评估!R10+A05小鹅业务支出评估!R10</f>
        <v>19273297846</v>
      </c>
      <c r="S10">
        <f>A01泛微粒贷业务支出评估!S10+A02微账户业务支出评估!S10+A03汽车金融业务支出评估!S10+A04财富业务支出评估!S10+A05小鹅业务支出评估!S10</f>
        <v>20448405384</v>
      </c>
    </row>
    <row r="11" spans="1:19">
      <c r="A11" t="s">
        <v>26</v>
      </c>
      <c r="B11" t="s">
        <v>179</v>
      </c>
      <c r="C11" t="s">
        <v>889</v>
      </c>
      <c r="D11" t="s">
        <v>458</v>
      </c>
      <c r="G11">
        <f t="shared" si="0"/>
        <v>80140000000</v>
      </c>
      <c r="H11">
        <f>A01泛微粒贷业务支出评估!H11+A02微账户业务支出评估!H11+A03汽车金融业务支出评估!H11+A04财富业务支出评估!H11+A05小鹅业务支出评估!H11</f>
        <v>5609800000</v>
      </c>
      <c r="I11">
        <f>A01泛微粒贷业务支出评估!I11+A02微账户业务支出评估!I11+A03汽车金融业务支出评估!I11+A04财富业务支出评估!I11+A05小鹅业务支出评估!I11</f>
        <v>5209100000</v>
      </c>
      <c r="J11">
        <f>A01泛微粒贷业务支出评估!J11+A02微账户业务支出评估!J11+A03汽车金融业务支出评估!J11+A04财富业务支出评估!J11+A05小鹅业务支出评估!J11</f>
        <v>6250920000</v>
      </c>
      <c r="K11">
        <f>A01泛微粒贷业务支出评估!K11+A02微账户业务支出评估!K11+A03汽车金融业务支出评估!K11+A04财富业务支出评估!K11+A05小鹅业务支出评估!K11</f>
        <v>6411200000</v>
      </c>
      <c r="L11">
        <f>A01泛微粒贷业务支出评估!L11+A02微账户业务支出评估!L11+A03汽车金融业务支出评估!L11+A04财富业务支出评估!L11+A05小鹅业务支出评估!L11</f>
        <v>6571480000</v>
      </c>
      <c r="M11">
        <f>A01泛微粒贷业务支出评估!M11+A02微账户业务支出评估!M11+A03汽车金融业务支出评估!M11+A04财富业务支出评估!M11+A05小鹅业务支出评估!M11</f>
        <v>6811900000</v>
      </c>
      <c r="N11">
        <f>A01泛微粒贷业务支出评估!N11+A02微账户业务支出评估!N11+A03汽车金融业务支出评估!N11+A04财富业务支出评估!N11+A05小鹅业务支出评估!N11</f>
        <v>7052320000</v>
      </c>
      <c r="O11">
        <f>A01泛微粒贷业务支出评估!O11+A02微账户业务支出评估!O11+A03汽车金融业务支出评估!O11+A04财富业务支出评估!O11+A05小鹅业务支出评估!O11</f>
        <v>6972180000</v>
      </c>
      <c r="P11">
        <f>A01泛微粒贷业务支出评估!P11+A02微账户业务支出评估!P11+A03汽车金融业务支出评估!P11+A04财富业务支出评估!P11+A05小鹅业务支出评估!P11</f>
        <v>6811900000</v>
      </c>
      <c r="Q11">
        <f>A01泛微粒贷业务支出评估!Q11+A02微账户业务支出评估!Q11+A03汽车金融业务支出评估!Q11+A04财富业务支出评估!Q11+A05小鹅业务支出评估!Q11</f>
        <v>7453020000</v>
      </c>
      <c r="R11">
        <f>A01泛微粒贷业务支出评估!R11+A02微账户业务支出评估!R11+A03汽车金融业务支出评估!R11+A04财富业务支出评估!R11+A05小鹅业务支出评估!R11</f>
        <v>7372880000</v>
      </c>
      <c r="S11">
        <f>A01泛微粒贷业务支出评估!S11+A02微账户业务支出评估!S11+A03汽车金融业务支出评估!S11+A04财富业务支出评估!S11+A05小鹅业务支出评估!S11</f>
        <v>7613300000</v>
      </c>
    </row>
    <row r="12" spans="1:19">
      <c r="A12" t="s">
        <v>26</v>
      </c>
      <c r="B12" t="s">
        <v>179</v>
      </c>
      <c r="C12" t="s">
        <v>890</v>
      </c>
      <c r="D12" t="s">
        <v>460</v>
      </c>
      <c r="G12">
        <f t="shared" si="0"/>
        <v>120100000000</v>
      </c>
      <c r="H12">
        <f>A01泛微粒贷业务支出评估!H12+A02微账户业务支出评估!H12+A03汽车金融业务支出评估!H12+A04财富业务支出评估!H12+A05小鹅业务支出评估!H12</f>
        <v>8407000000</v>
      </c>
      <c r="I12">
        <f>A01泛微粒贷业务支出评估!I12+A02微账户业务支出评估!I12+A03汽车金融业务支出评估!I12+A04财富业务支出评估!I12+A05小鹅业务支出评估!I12</f>
        <v>7806500000</v>
      </c>
      <c r="J12">
        <f>A01泛微粒贷业务支出评估!J12+A02微账户业务支出评估!J12+A03汽车金融业务支出评估!J12+A04财富业务支出评估!J12+A05小鹅业务支出评估!J12</f>
        <v>9367800000</v>
      </c>
      <c r="K12">
        <f>A01泛微粒贷业务支出评估!K12+A02微账户业务支出评估!K12+A03汽车金融业务支出评估!K12+A04财富业务支出评估!K12+A05小鹅业务支出评估!K12</f>
        <v>9608000000</v>
      </c>
      <c r="L12">
        <f>A01泛微粒贷业务支出评估!L12+A02微账户业务支出评估!L12+A03汽车金融业务支出评估!L12+A04财富业务支出评估!L12+A05小鹅业务支出评估!L12</f>
        <v>9848200000</v>
      </c>
      <c r="M12">
        <f>A01泛微粒贷业务支出评估!M12+A02微账户业务支出评估!M12+A03汽车金融业务支出评估!M12+A04财富业务支出评估!M12+A05小鹅业务支出评估!M12</f>
        <v>10208500000</v>
      </c>
      <c r="N12">
        <f>A01泛微粒贷业务支出评估!N12+A02微账户业务支出评估!N12+A03汽车金融业务支出评估!N12+A04财富业务支出评估!N12+A05小鹅业务支出评估!N12</f>
        <v>10568800000</v>
      </c>
      <c r="O12">
        <f>A01泛微粒贷业务支出评估!O12+A02微账户业务支出评估!O12+A03汽车金融业务支出评估!O12+A04财富业务支出评估!O12+A05小鹅业务支出评估!O12</f>
        <v>10448700000</v>
      </c>
      <c r="P12">
        <f>A01泛微粒贷业务支出评估!P12+A02微账户业务支出评估!P12+A03汽车金融业务支出评估!P12+A04财富业务支出评估!P12+A05小鹅业务支出评估!P12</f>
        <v>10208500000</v>
      </c>
      <c r="Q12">
        <f>A01泛微粒贷业务支出评估!Q12+A02微账户业务支出评估!Q12+A03汽车金融业务支出评估!Q12+A04财富业务支出评估!Q12+A05小鹅业务支出评估!Q12</f>
        <v>11169300000</v>
      </c>
      <c r="R12">
        <f>A01泛微粒贷业务支出评估!R12+A02微账户业务支出评估!R12+A03汽车金融业务支出评估!R12+A04财富业务支出评估!R12+A05小鹅业务支出评估!R12</f>
        <v>11049200000</v>
      </c>
      <c r="S12">
        <f>A01泛微粒贷业务支出评估!S12+A02微账户业务支出评估!S12+A03汽车金融业务支出评估!S12+A04财富业务支出评估!S12+A05小鹅业务支出评估!S12</f>
        <v>11409500000</v>
      </c>
    </row>
    <row r="13" spans="1:19">
      <c r="A13" t="s">
        <v>26</v>
      </c>
      <c r="B13" t="s">
        <v>179</v>
      </c>
      <c r="C13" t="s">
        <v>891</v>
      </c>
      <c r="D13" t="s">
        <v>462</v>
      </c>
      <c r="G13">
        <f t="shared" si="0"/>
        <v>36800000000</v>
      </c>
      <c r="H13">
        <f>A01泛微粒贷业务支出评估!H13+A02微账户业务支出评估!H13+A03汽车金融业务支出评估!H13+A04财富业务支出评估!H13+A05小鹅业务支出评估!H13</f>
        <v>2576000000</v>
      </c>
      <c r="I13">
        <f>A01泛微粒贷业务支出评估!I13+A02微账户业务支出评估!I13+A03汽车金融业务支出评估!I13+A04财富业务支出评估!I13+A05小鹅业务支出评估!I13</f>
        <v>2392000000</v>
      </c>
      <c r="J13">
        <f>A01泛微粒贷业务支出评估!J13+A02微账户业务支出评估!J13+A03汽车金融业务支出评估!J13+A04财富业务支出评估!J13+A05小鹅业务支出评估!J13</f>
        <v>2870400000</v>
      </c>
      <c r="K13">
        <f>A01泛微粒贷业务支出评估!K13+A02微账户业务支出评估!K13+A03汽车金融业务支出评估!K13+A04财富业务支出评估!K13+A05小鹅业务支出评估!K13</f>
        <v>2944000000</v>
      </c>
      <c r="L13">
        <f>A01泛微粒贷业务支出评估!L13+A02微账户业务支出评估!L13+A03汽车金融业务支出评估!L13+A04财富业务支出评估!L13+A05小鹅业务支出评估!L13</f>
        <v>3017600000</v>
      </c>
      <c r="M13">
        <f>A01泛微粒贷业务支出评估!M13+A02微账户业务支出评估!M13+A03汽车金融业务支出评估!M13+A04财富业务支出评估!M13+A05小鹅业务支出评估!M13</f>
        <v>3128000000</v>
      </c>
      <c r="N13">
        <f>A01泛微粒贷业务支出评估!N13+A02微账户业务支出评估!N13+A03汽车金融业务支出评估!N13+A04财富业务支出评估!N13+A05小鹅业务支出评估!N13</f>
        <v>3238400000</v>
      </c>
      <c r="O13">
        <f>A01泛微粒贷业务支出评估!O13+A02微账户业务支出评估!O13+A03汽车金融业务支出评估!O13+A04财富业务支出评估!O13+A05小鹅业务支出评估!O13</f>
        <v>3201600000</v>
      </c>
      <c r="P13">
        <f>A01泛微粒贷业务支出评估!P13+A02微账户业务支出评估!P13+A03汽车金融业务支出评估!P13+A04财富业务支出评估!P13+A05小鹅业务支出评估!P13</f>
        <v>3128000000</v>
      </c>
      <c r="Q13">
        <f>A01泛微粒贷业务支出评估!Q13+A02微账户业务支出评估!Q13+A03汽车金融业务支出评估!Q13+A04财富业务支出评估!Q13+A05小鹅业务支出评估!Q13</f>
        <v>3422400000</v>
      </c>
      <c r="R13">
        <f>A01泛微粒贷业务支出评估!R13+A02微账户业务支出评估!R13+A03汽车金融业务支出评估!R13+A04财富业务支出评估!R13+A05小鹅业务支出评估!R13</f>
        <v>3385600000</v>
      </c>
      <c r="S13">
        <f>A01泛微粒贷业务支出评估!S13+A02微账户业务支出评估!S13+A03汽车金融业务支出评估!S13+A04财富业务支出评估!S13+A05小鹅业务支出评估!S13</f>
        <v>3496000000</v>
      </c>
    </row>
    <row r="14" spans="1:19">
      <c r="A14" t="s">
        <v>26</v>
      </c>
      <c r="B14" t="s">
        <v>179</v>
      </c>
      <c r="C14" t="s">
        <v>892</v>
      </c>
      <c r="D14" t="s">
        <v>464</v>
      </c>
      <c r="G14">
        <f t="shared" si="0"/>
        <v>10129100692</v>
      </c>
      <c r="H14">
        <f>A01泛微粒贷业务支出评估!H14+A02微账户业务支出评估!H14+A03汽车金融业务支出评估!H14+A04财富业务支出评估!H14+A05小鹅业务支出评估!H14</f>
        <v>709120977</v>
      </c>
      <c r="I14">
        <f>A01泛微粒贷业务支出评估!I14+A02微账户业务支出评估!I14+A03汽车金融业务支出评估!I14+A04财富业务支出评估!I14+A05小鹅业务支出评估!I14</f>
        <v>658609760</v>
      </c>
      <c r="J14">
        <f>A01泛微粒贷业务支出评估!J14+A02微账户业务支出评估!J14+A03汽车金融业务支出评估!J14+A04财富业务支出评估!J14+A05小鹅业务支出评估!J14</f>
        <v>790136999</v>
      </c>
      <c r="K14">
        <f>A01泛微粒贷业务支出评估!K14+A02微账户业务支出评估!K14+A03汽车金融业务支出评估!K14+A04财富业务支出评估!K14+A05小鹅业务支出评估!K14</f>
        <v>810378413</v>
      </c>
      <c r="L14">
        <f>A01泛微粒贷业务支出评估!L14+A02微账户业务支出评估!L14+A03汽车金融业务支出评估!L14+A04财富业务支出评估!L14+A05小鹅业务支出评估!L14</f>
        <v>830636614</v>
      </c>
      <c r="M14">
        <f>A01泛微粒贷业务支出评估!M14+A02微账户业务支出评估!M14+A03汽车金融业务支出评估!M14+A04财富业务支出评估!M14+A05小鹅业务支出评估!M14</f>
        <v>861007130</v>
      </c>
      <c r="N14">
        <f>A01泛微粒贷业务支出评估!N14+A02微账户业务支出评估!N14+A03汽车金融业务支出评估!N14+A04财富业务支出评估!N14+A05小鹅业务支出评估!N14</f>
        <v>891360861</v>
      </c>
      <c r="O14">
        <f>A01泛微粒贷业务支出评估!O14+A02微账户业务支出评估!O14+A03汽车金融业务支出评估!O14+A04财富业务支出评估!O14+A05小鹅业务支出评估!O14</f>
        <v>881214974</v>
      </c>
      <c r="P14">
        <f>A01泛微粒贷业务支出评估!P14+A02微账户业务支出评估!P14+A03汽车金融业务支出评估!P14+A04财富业务支出评估!P14+A05小鹅业务支出评估!P14</f>
        <v>860956773</v>
      </c>
      <c r="Q14">
        <f>A01泛微粒贷业务支出评估!Q14+A02微账户业务支出评估!Q14+A03汽车金融业务支出评估!Q14+A04财富业务支出评估!Q14+A05小鹅业务支出评估!Q14</f>
        <v>941838506</v>
      </c>
      <c r="R14">
        <f>A01泛微粒贷业务支出评估!R14+A02微账户业务支出评估!R14+A03汽车金融业务支出评估!R14+A04财富业务支出评估!R14+A05小鹅业务支出评估!R14</f>
        <v>931709406</v>
      </c>
      <c r="S14">
        <f>A01泛微粒贷业务支出评估!S14+A02微账户业务支出评估!S14+A03汽车金融业务支出评估!S14+A04财富业务支出评估!S14+A05小鹅业务支出评估!S14</f>
        <v>962130279</v>
      </c>
    </row>
    <row r="15" spans="1:19">
      <c r="A15" t="s">
        <v>26</v>
      </c>
      <c r="B15" t="s">
        <v>179</v>
      </c>
      <c r="C15" t="s">
        <v>893</v>
      </c>
      <c r="D15" t="s">
        <v>466</v>
      </c>
      <c r="G15">
        <f t="shared" si="0"/>
        <v>274000000000</v>
      </c>
      <c r="H15">
        <f>A01泛微粒贷业务支出评估!H15+A02微账户业务支出评估!H15+A03汽车金融业务支出评估!H15+A04财富业务支出评估!H15+A05小鹅业务支出评估!H15</f>
        <v>19180000000</v>
      </c>
      <c r="I15">
        <f>A01泛微粒贷业务支出评估!I15+A02微账户业务支出评估!I15+A03汽车金融业务支出评估!I15+A04财富业务支出评估!I15+A05小鹅业务支出评估!I15</f>
        <v>17810000000</v>
      </c>
      <c r="J15">
        <f>A01泛微粒贷业务支出评估!J15+A02微账户业务支出评估!J15+A03汽车金融业务支出评估!J15+A04财富业务支出评估!J15+A05小鹅业务支出评估!J15</f>
        <v>21372000000</v>
      </c>
      <c r="K15">
        <f>A01泛微粒贷业务支出评估!K15+A02微账户业务支出评估!K15+A03汽车金融业务支出评估!K15+A04财富业务支出评估!K15+A05小鹅业务支出评估!K15</f>
        <v>21920000000</v>
      </c>
      <c r="L15">
        <f>A01泛微粒贷业务支出评估!L15+A02微账户业务支出评估!L15+A03汽车金融业务支出评估!L15+A04财富业务支出评估!L15+A05小鹅业务支出评估!L15</f>
        <v>22468000000</v>
      </c>
      <c r="M15">
        <f>A01泛微粒贷业务支出评估!M15+A02微账户业务支出评估!M15+A03汽车金融业务支出评估!M15+A04财富业务支出评估!M15+A05小鹅业务支出评估!M15</f>
        <v>23290000000</v>
      </c>
      <c r="N15">
        <f>A01泛微粒贷业务支出评估!N15+A02微账户业务支出评估!N15+A03汽车金融业务支出评估!N15+A04财富业务支出评估!N15+A05小鹅业务支出评估!N15</f>
        <v>24112000000</v>
      </c>
      <c r="O15">
        <f>A01泛微粒贷业务支出评估!O15+A02微账户业务支出评估!O15+A03汽车金融业务支出评估!O15+A04财富业务支出评估!O15+A05小鹅业务支出评估!O15</f>
        <v>23838000000</v>
      </c>
      <c r="P15">
        <f>A01泛微粒贷业务支出评估!P15+A02微账户业务支出评估!P15+A03汽车金融业务支出评估!P15+A04财富业务支出评估!P15+A05小鹅业务支出评估!P15</f>
        <v>23290000000</v>
      </c>
      <c r="Q15">
        <f>A01泛微粒贷业务支出评估!Q15+A02微账户业务支出评估!Q15+A03汽车金融业务支出评估!Q15+A04财富业务支出评估!Q15+A05小鹅业务支出评估!Q15</f>
        <v>25482000000</v>
      </c>
      <c r="R15">
        <f>A01泛微粒贷业务支出评估!R15+A02微账户业务支出评估!R15+A03汽车金融业务支出评估!R15+A04财富业务支出评估!R15+A05小鹅业务支出评估!R15</f>
        <v>25208000000</v>
      </c>
      <c r="S15">
        <f>A01泛微粒贷业务支出评估!S15+A02微账户业务支出评估!S15+A03汽车金融业务支出评估!S15+A04财富业务支出评估!S15+A05小鹅业务支出评估!S15</f>
        <v>26030000000</v>
      </c>
    </row>
    <row r="16" spans="1:19">
      <c r="A16" t="s">
        <v>26</v>
      </c>
      <c r="B16" t="s">
        <v>179</v>
      </c>
      <c r="C16" t="s">
        <v>894</v>
      </c>
      <c r="D16" t="s">
        <v>468</v>
      </c>
      <c r="G16">
        <f t="shared" si="0"/>
        <v>85035846150</v>
      </c>
      <c r="H16">
        <f>A01泛微粒贷业务支出评估!H16+A02微账户业务支出评估!H16+A03汽车金融业务支出评估!H16+A04财富业务支出评估!H16+A05小鹅业务支出评估!H16</f>
        <v>6377509230</v>
      </c>
      <c r="I16">
        <f>A01泛微粒贷业务支出评估!I16+A02微账户业务支出评估!I16+A03汽车金融业务支出评估!I16+A04财富业务支出评估!I16+A05小鹅业务支出评估!I16</f>
        <v>6632330000</v>
      </c>
      <c r="J16">
        <f>A01泛微粒贷业务支出评估!J16+A02微账户业务支出评估!J16+A03汽车金融业务支出评估!J16+A04财富业务支出评估!J16+A05小鹅业务支出评估!J16</f>
        <v>6972796000</v>
      </c>
      <c r="K16">
        <f>A01泛微粒贷业务支出评估!K16+A02微账户业务支出评估!K16+A03汽车金融业务支出评估!K16+A04财富业务支出评估!K16+A05小鹅业务支出评估!K16</f>
        <v>7057867692</v>
      </c>
      <c r="L16">
        <f>A01泛微粒贷业务支出评估!L16+A02微账户业务支出评估!L16+A03汽车金融业务支出评估!L16+A04财富业务支出评估!L16+A05小鹅业务支出评估!L16</f>
        <v>7227939384</v>
      </c>
      <c r="M16">
        <f>A01泛微粒贷业务支出评估!M16+A02微账户业务支出评估!M16+A03汽车金融业务支出评估!M16+A04财富业务支出评估!M16+A05小鹅业务支出评估!M16</f>
        <v>7398046923</v>
      </c>
      <c r="N16">
        <f>A01泛微粒贷业务支出评估!N16+A02微账户业务支出评估!N16+A03汽车金融业务支出评估!N16+A04财富业务支出评估!N16+A05小鹅业务支出评估!N16</f>
        <v>7483154461</v>
      </c>
      <c r="O16">
        <f>A01泛微粒贷业务支出评估!O16+A02微账户业务支出评估!O16+A03汽车金融业务支出评估!O16+A04财富业务支出评估!O16+A05小鹅业务支出评估!O16</f>
        <v>7313118615</v>
      </c>
      <c r="P16">
        <f>A01泛微粒贷业务支出评估!P16+A02微账户业务支出评估!P16+A03汽车金融业务支出评估!P16+A04财富业务支出评估!P16+A05小鹅业务支出评估!P16</f>
        <v>7143046923</v>
      </c>
      <c r="Q16">
        <f>A01泛微粒贷业务支出评估!Q16+A02微账户业务支出评估!Q16+A03汽车金融业务支出评估!Q16+A04财富业务支出评估!Q16+A05小鹅业务支出评估!Q16</f>
        <v>7058333692</v>
      </c>
      <c r="R16">
        <f>A01泛微粒贷业务支出评估!R16+A02微账户业务支出评估!R16+A03汽车金融业务支出评估!R16+A04财富业务支出评估!R16+A05小鹅业务支出评估!R16</f>
        <v>6973297846</v>
      </c>
      <c r="S16">
        <f>A01泛微粒贷业务支出评估!S16+A02微账户业务支出评估!S16+A03汽车金融业务支出评估!S16+A04财富业务支出评估!S16+A05小鹅业务支出评估!S16</f>
        <v>7398405384</v>
      </c>
    </row>
    <row r="17" spans="1:19">
      <c r="A17" t="s">
        <v>26</v>
      </c>
      <c r="B17" t="s">
        <v>179</v>
      </c>
      <c r="C17" t="s">
        <v>895</v>
      </c>
      <c r="D17" t="s">
        <v>470</v>
      </c>
      <c r="G17">
        <f t="shared" si="0"/>
        <v>25129100692</v>
      </c>
      <c r="H17">
        <f>A01泛微粒贷业务支出评估!H17+A02微账户业务支出评估!H17+A03汽车金融业务支出评估!H17+A04财富业务支出评估!H17+A05小鹅业务支出评估!H17</f>
        <v>1759120977</v>
      </c>
      <c r="I17">
        <f>A01泛微粒贷业务支出评估!I17+A02微账户业务支出评估!I17+A03汽车金融业务支出评估!I17+A04财富业务支出评估!I17+A05小鹅业务支出评估!I17</f>
        <v>1633609760</v>
      </c>
      <c r="J17">
        <f>A01泛微粒贷业务支出评估!J17+A02微账户业务支出评估!J17+A03汽车金融业务支出评估!J17+A04财富业务支出评估!J17+A05小鹅业务支出评估!J17</f>
        <v>1960136999</v>
      </c>
      <c r="K17">
        <f>A01泛微粒贷业务支出评估!K17+A02微账户业务支出评估!K17+A03汽车金融业务支出评估!K17+A04财富业务支出评估!K17+A05小鹅业务支出评估!K17</f>
        <v>2010378413</v>
      </c>
      <c r="L17">
        <f>A01泛微粒贷业务支出评估!L17+A02微账户业务支出评估!L17+A03汽车金融业务支出评估!L17+A04财富业务支出评估!L17+A05小鹅业务支出评估!L17</f>
        <v>2060636614</v>
      </c>
      <c r="M17">
        <f>A01泛微粒贷业务支出评估!M17+A02微账户业务支出评估!M17+A03汽车金融业务支出评估!M17+A04财富业务支出评估!M17+A05小鹅业务支出评估!M17</f>
        <v>2136007130</v>
      </c>
      <c r="N17">
        <f>A01泛微粒贷业务支出评估!N17+A02微账户业务支出评估!N17+A03汽车金融业务支出评估!N17+A04财富业务支出评估!N17+A05小鹅业务支出评估!N17</f>
        <v>2211360861</v>
      </c>
      <c r="O17">
        <f>A01泛微粒贷业务支出评估!O17+A02微账户业务支出评估!O17+A03汽车金融业务支出评估!O17+A04财富业务支出评估!O17+A05小鹅业务支出评估!O17</f>
        <v>2186214974</v>
      </c>
      <c r="P17">
        <f>A01泛微粒贷业务支出评估!P17+A02微账户业务支出评估!P17+A03汽车金融业务支出评估!P17+A04财富业务支出评估!P17+A05小鹅业务支出评估!P17</f>
        <v>2135956773</v>
      </c>
      <c r="Q17">
        <f>A01泛微粒贷业务支出评估!Q17+A02微账户业务支出评估!Q17+A03汽车金融业务支出评估!Q17+A04财富业务支出评估!Q17+A05小鹅业务支出评估!Q17</f>
        <v>2336838506</v>
      </c>
      <c r="R17">
        <f>A01泛微粒贷业务支出评估!R17+A02微账户业务支出评估!R17+A03汽车金融业务支出评估!R17+A04财富业务支出评估!R17+A05小鹅业务支出评估!R17</f>
        <v>2311709406</v>
      </c>
      <c r="S17">
        <f>A01泛微粒贷业务支出评估!S17+A02微账户业务支出评估!S17+A03汽车金融业务支出评估!S17+A04财富业务支出评估!S17+A05小鹅业务支出评估!S17</f>
        <v>2387130279</v>
      </c>
    </row>
    <row r="18" spans="1:19">
      <c r="A18" t="s">
        <v>26</v>
      </c>
      <c r="B18" t="s">
        <v>179</v>
      </c>
      <c r="C18" t="s">
        <v>896</v>
      </c>
      <c r="D18" t="s">
        <v>472</v>
      </c>
      <c r="G18">
        <f t="shared" si="0"/>
        <v>15129100692</v>
      </c>
      <c r="H18">
        <f>A01泛微粒贷业务支出评估!H18+A02微账户业务支出评估!H18+A03汽车金融业务支出评估!H18+A04财富业务支出评估!H18+A05小鹅业务支出评估!H18</f>
        <v>1059120977</v>
      </c>
      <c r="I18">
        <f>A01泛微粒贷业务支出评估!I18+A02微账户业务支出评估!I18+A03汽车金融业务支出评估!I18+A04财富业务支出评估!I18+A05小鹅业务支出评估!I18</f>
        <v>983609760</v>
      </c>
      <c r="J18">
        <f>A01泛微粒贷业务支出评估!J18+A02微账户业务支出评估!J18+A03汽车金融业务支出评估!J18+A04财富业务支出评估!J18+A05小鹅业务支出评估!J18</f>
        <v>1180136999</v>
      </c>
      <c r="K18">
        <f>A01泛微粒贷业务支出评估!K18+A02微账户业务支出评估!K18+A03汽车金融业务支出评估!K18+A04财富业务支出评估!K18+A05小鹅业务支出评估!K18</f>
        <v>1210378413</v>
      </c>
      <c r="L18">
        <f>A01泛微粒贷业务支出评估!L18+A02微账户业务支出评估!L18+A03汽车金融业务支出评估!L18+A04财富业务支出评估!L18+A05小鹅业务支出评估!L18</f>
        <v>1240636614</v>
      </c>
      <c r="M18">
        <f>A01泛微粒贷业务支出评估!M18+A02微账户业务支出评估!M18+A03汽车金融业务支出评估!M18+A04财富业务支出评估!M18+A05小鹅业务支出评估!M18</f>
        <v>1286007130</v>
      </c>
      <c r="N18">
        <f>A01泛微粒贷业务支出评估!N18+A02微账户业务支出评估!N18+A03汽车金融业务支出评估!N18+A04财富业务支出评估!N18+A05小鹅业务支出评估!N18</f>
        <v>1331360861</v>
      </c>
      <c r="O18">
        <f>A01泛微粒贷业务支出评估!O18+A02微账户业务支出评估!O18+A03汽车金融业务支出评估!O18+A04财富业务支出评估!O18+A05小鹅业务支出评估!O18</f>
        <v>1316214974</v>
      </c>
      <c r="P18">
        <f>A01泛微粒贷业务支出评估!P18+A02微账户业务支出评估!P18+A03汽车金融业务支出评估!P18+A04财富业务支出评估!P18+A05小鹅业务支出评估!P18</f>
        <v>1285956773</v>
      </c>
      <c r="Q18">
        <f>A01泛微粒贷业务支出评估!Q18+A02微账户业务支出评估!Q18+A03汽车金融业务支出评估!Q18+A04财富业务支出评估!Q18+A05小鹅业务支出评估!Q18</f>
        <v>1406838506</v>
      </c>
      <c r="R18">
        <f>A01泛微粒贷业务支出评估!R18+A02微账户业务支出评估!R18+A03汽车金融业务支出评估!R18+A04财富业务支出评估!R18+A05小鹅业务支出评估!R18</f>
        <v>1391709406</v>
      </c>
      <c r="S18">
        <f>A01泛微粒贷业务支出评估!S18+A02微账户业务支出评估!S18+A03汽车金融业务支出评估!S18+A04财富业务支出评估!S18+A05小鹅业务支出评估!S18</f>
        <v>1437130279</v>
      </c>
    </row>
    <row r="19" spans="1:19">
      <c r="A19" t="s">
        <v>26</v>
      </c>
      <c r="B19" t="s">
        <v>179</v>
      </c>
      <c r="C19" t="s">
        <v>897</v>
      </c>
      <c r="D19" t="s">
        <v>474</v>
      </c>
      <c r="G19">
        <f t="shared" si="0"/>
        <v>50129100692</v>
      </c>
      <c r="H19">
        <f>A01泛微粒贷业务支出评估!H19+A02微账户业务支出评估!H19+A03汽车金融业务支出评估!H19+A04财富业务支出评估!H19+A05小鹅业务支出评估!H19</f>
        <v>3509120977</v>
      </c>
      <c r="I19">
        <f>A01泛微粒贷业务支出评估!I19+A02微账户业务支出评估!I19+A03汽车金融业务支出评估!I19+A04财富业务支出评估!I19+A05小鹅业务支出评估!I19</f>
        <v>3258609760</v>
      </c>
      <c r="J19">
        <f>A01泛微粒贷业务支出评估!J19+A02微账户业务支出评估!J19+A03汽车金融业务支出评估!J19+A04财富业务支出评估!J19+A05小鹅业务支出评估!J19</f>
        <v>3910136999</v>
      </c>
      <c r="K19">
        <f>A01泛微粒贷业务支出评估!K19+A02微账户业务支出评估!K19+A03汽车金融业务支出评估!K19+A04财富业务支出评估!K19+A05小鹅业务支出评估!K19</f>
        <v>4010378413</v>
      </c>
      <c r="L19">
        <f>A01泛微粒贷业务支出评估!L19+A02微账户业务支出评估!L19+A03汽车金融业务支出评估!L19+A04财富业务支出评估!L19+A05小鹅业务支出评估!L19</f>
        <v>4110636614</v>
      </c>
      <c r="M19">
        <f>A01泛微粒贷业务支出评估!M19+A02微账户业务支出评估!M19+A03汽车金融业务支出评估!M19+A04财富业务支出评估!M19+A05小鹅业务支出评估!M19</f>
        <v>4261007130</v>
      </c>
      <c r="N19">
        <f>A01泛微粒贷业务支出评估!N19+A02微账户业务支出评估!N19+A03汽车金融业务支出评估!N19+A04财富业务支出评估!N19+A05小鹅业务支出评估!N19</f>
        <v>4411360861</v>
      </c>
      <c r="O19">
        <f>A01泛微粒贷业务支出评估!O19+A02微账户业务支出评估!O19+A03汽车金融业务支出评估!O19+A04财富业务支出评估!O19+A05小鹅业务支出评估!O19</f>
        <v>4361214974</v>
      </c>
      <c r="P19">
        <f>A01泛微粒贷业务支出评估!P19+A02微账户业务支出评估!P19+A03汽车金融业务支出评估!P19+A04财富业务支出评估!P19+A05小鹅业务支出评估!P19</f>
        <v>4260956773</v>
      </c>
      <c r="Q19">
        <f>A01泛微粒贷业务支出评估!Q19+A02微账户业务支出评估!Q19+A03汽车金融业务支出评估!Q19+A04财富业务支出评估!Q19+A05小鹅业务支出评估!Q19</f>
        <v>4661838506</v>
      </c>
      <c r="R19">
        <f>A01泛微粒贷业务支出评估!R19+A02微账户业务支出评估!R19+A03汽车金融业务支出评估!R19+A04财富业务支出评估!R19+A05小鹅业务支出评估!R19</f>
        <v>4611709406</v>
      </c>
      <c r="S19">
        <f>A01泛微粒贷业务支出评估!S19+A02微账户业务支出评估!S19+A03汽车金融业务支出评估!S19+A04财富业务支出评估!S19+A05小鹅业务支出评估!S19</f>
        <v>4762130279</v>
      </c>
    </row>
    <row r="20" spans="1:19">
      <c r="A20" t="s">
        <v>26</v>
      </c>
      <c r="B20" t="s">
        <v>179</v>
      </c>
      <c r="C20" t="s">
        <v>898</v>
      </c>
      <c r="D20" t="s">
        <v>476</v>
      </c>
      <c r="G20">
        <f t="shared" si="0"/>
        <v>235035846150</v>
      </c>
      <c r="H20">
        <f>A01泛微粒贷业务支出评估!H20+A02微账户业务支出评估!H20+A03汽车金融业务支出评估!H20+A04财富业务支出评估!H20+A05小鹅业务支出评估!H20</f>
        <v>17627509230</v>
      </c>
      <c r="I20">
        <f>A01泛微粒贷业务支出评估!I20+A02微账户业务支出评估!I20+A03汽车金融业务支出评估!I20+A04财富业务支出评估!I20+A05小鹅业务支出评估!I20</f>
        <v>18332330000</v>
      </c>
      <c r="J20">
        <f>A01泛微粒贷业务支出评估!J20+A02微账户业务支出评估!J20+A03汽车金融业务支出评估!J20+A04财富业务支出评估!J20+A05小鹅业务支出评估!J20</f>
        <v>19272796000</v>
      </c>
      <c r="K20">
        <f>A01泛微粒贷业务支出评估!K20+A02微账户业务支出评估!K20+A03汽车金融业务支出评估!K20+A04财富业务支出评估!K20+A05小鹅业务支出评估!K20</f>
        <v>19507867692</v>
      </c>
      <c r="L20">
        <f>A01泛微粒贷业务支出评估!L20+A02微账户业务支出评估!L20+A03汽车金融业务支出评估!L20+A04财富业务支出评估!L20+A05小鹅业务支出评估!L20</f>
        <v>19977939384</v>
      </c>
      <c r="M20">
        <f>A01泛微粒贷业务支出评估!M20+A02微账户业务支出评估!M20+A03汽车金融业务支出评估!M20+A04财富业务支出评估!M20+A05小鹅业务支出评估!M20</f>
        <v>20448046923</v>
      </c>
      <c r="N20">
        <f>A01泛微粒贷业务支出评估!N20+A02微账户业务支出评估!N20+A03汽车金融业务支出评估!N20+A04财富业务支出评估!N20+A05小鹅业务支出评估!N20</f>
        <v>20683154461</v>
      </c>
      <c r="O20">
        <f>A01泛微粒贷业务支出评估!O20+A02微账户业务支出评估!O20+A03汽车金融业务支出评估!O20+A04财富业务支出评估!O20+A05小鹅业务支出评估!O20</f>
        <v>20213118615</v>
      </c>
      <c r="P20">
        <f>A01泛微粒贷业务支出评估!P20+A02微账户业务支出评估!P20+A03汽车金融业务支出评估!P20+A04财富业务支出评估!P20+A05小鹅业务支出评估!P20</f>
        <v>19743046923</v>
      </c>
      <c r="Q20">
        <f>A01泛微粒贷业务支出评估!Q20+A02微账户业务支出评估!Q20+A03汽车金融业务支出评估!Q20+A04财富业务支出评估!Q20+A05小鹅业务支出评估!Q20</f>
        <v>19508333692</v>
      </c>
      <c r="R20">
        <f>A01泛微粒贷业务支出评估!R20+A02微账户业务支出评估!R20+A03汽车金融业务支出评估!R20+A04财富业务支出评估!R20+A05小鹅业务支出评估!R20</f>
        <v>19273297846</v>
      </c>
      <c r="S20">
        <f>A01泛微粒贷业务支出评估!S20+A02微账户业务支出评估!S20+A03汽车金融业务支出评估!S20+A04财富业务支出评估!S20+A05小鹅业务支出评估!S20</f>
        <v>20448405384</v>
      </c>
    </row>
    <row r="21" spans="1:19">
      <c r="A21" t="s">
        <v>26</v>
      </c>
      <c r="B21" t="s">
        <v>179</v>
      </c>
      <c r="C21" t="s">
        <v>899</v>
      </c>
      <c r="D21" t="s">
        <v>478</v>
      </c>
      <c r="G21">
        <f t="shared" si="0"/>
        <v>50060000000</v>
      </c>
      <c r="H21">
        <f>A01泛微粒贷业务支出评估!H21+A02微账户业务支出评估!H21+A03汽车金融业务支出评估!H21+A04财富业务支出评估!H21+A05小鹅业务支出评估!H21</f>
        <v>3504200000</v>
      </c>
      <c r="I21">
        <f>A01泛微粒贷业务支出评估!I21+A02微账户业务支出评估!I21+A03汽车金融业务支出评估!I21+A04财富业务支出评估!I21+A05小鹅业务支出评估!I21</f>
        <v>3253900000</v>
      </c>
      <c r="J21">
        <f>A01泛微粒贷业务支出评估!J21+A02微账户业务支出评估!J21+A03汽车金融业务支出评估!J21+A04财富业务支出评估!J21+A05小鹅业务支出评估!J21</f>
        <v>3904680000</v>
      </c>
      <c r="K21">
        <f>A01泛微粒贷业务支出评估!K21+A02微账户业务支出评估!K21+A03汽车金融业务支出评估!K21+A04财富业务支出评估!K21+A05小鹅业务支出评估!K21</f>
        <v>4004800000</v>
      </c>
      <c r="L21">
        <f>A01泛微粒贷业务支出评估!L21+A02微账户业务支出评估!L21+A03汽车金融业务支出评估!L21+A04财富业务支出评估!L21+A05小鹅业务支出评估!L21</f>
        <v>4104920000</v>
      </c>
      <c r="M21">
        <f>A01泛微粒贷业务支出评估!M21+A02微账户业务支出评估!M21+A03汽车金融业务支出评估!M21+A04财富业务支出评估!M21+A05小鹅业务支出评估!M21</f>
        <v>4255100000</v>
      </c>
      <c r="N21">
        <f>A01泛微粒贷业务支出评估!N21+A02微账户业务支出评估!N21+A03汽车金融业务支出评估!N21+A04财富业务支出评估!N21+A05小鹅业务支出评估!N21</f>
        <v>4405280000</v>
      </c>
      <c r="O21">
        <f>A01泛微粒贷业务支出评估!O21+A02微账户业务支出评估!O21+A03汽车金融业务支出评估!O21+A04财富业务支出评估!O21+A05小鹅业务支出评估!O21</f>
        <v>4355220000</v>
      </c>
      <c r="P21">
        <f>A01泛微粒贷业务支出评估!P21+A02微账户业务支出评估!P21+A03汽车金融业务支出评估!P21+A04财富业务支出评估!P21+A05小鹅业务支出评估!P21</f>
        <v>4255100000</v>
      </c>
      <c r="Q21">
        <f>A01泛微粒贷业务支出评估!Q21+A02微账户业务支出评估!Q21+A03汽车金融业务支出评估!Q21+A04财富业务支出评估!Q21+A05小鹅业务支出评估!Q21</f>
        <v>4655580000</v>
      </c>
      <c r="R21">
        <f>A01泛微粒贷业务支出评估!R21+A02微账户业务支出评估!R21+A03汽车金融业务支出评估!R21+A04财富业务支出评估!R21+A05小鹅业务支出评估!R21</f>
        <v>4605520000</v>
      </c>
      <c r="S21">
        <f>A01泛微粒贷业务支出评估!S21+A02微账户业务支出评估!S21+A03汽车金融业务支出评估!S21+A04财富业务支出评估!S21+A05小鹅业务支出评估!S21</f>
        <v>4755700000</v>
      </c>
    </row>
    <row r="22" spans="1:19">
      <c r="A22" t="s">
        <v>26</v>
      </c>
      <c r="B22" t="s">
        <v>179</v>
      </c>
      <c r="C22" t="s">
        <v>900</v>
      </c>
      <c r="D22" t="s">
        <v>480</v>
      </c>
      <c r="G22">
        <f t="shared" si="0"/>
        <v>150050000000</v>
      </c>
      <c r="H22">
        <f>A01泛微粒贷业务支出评估!H22+A02微账户业务支出评估!H22+A03汽车金融业务支出评估!H22+A04财富业务支出评估!H22+A05小鹅业务支出评估!H22</f>
        <v>10503500000</v>
      </c>
      <c r="I22">
        <f>A01泛微粒贷业务支出评估!I22+A02微账户业务支出评估!I22+A03汽车金融业务支出评估!I22+A04财富业务支出评估!I22+A05小鹅业务支出评估!I22</f>
        <v>9753250000</v>
      </c>
      <c r="J22">
        <f>A01泛微粒贷业务支出评估!J22+A02微账户业务支出评估!J22+A03汽车金融业务支出评估!J22+A04财富业务支出评估!J22+A05小鹅业务支出评估!J22</f>
        <v>11703900000</v>
      </c>
      <c r="K22">
        <f>A01泛微粒贷业务支出评估!K22+A02微账户业务支出评估!K22+A03汽车金融业务支出评估!K22+A04财富业务支出评估!K22+A05小鹅业务支出评估!K22</f>
        <v>12004000000</v>
      </c>
      <c r="L22">
        <f>A01泛微粒贷业务支出评估!L22+A02微账户业务支出评估!L22+A03汽车金融业务支出评估!L22+A04财富业务支出评估!L22+A05小鹅业务支出评估!L22</f>
        <v>12304100000</v>
      </c>
      <c r="M22">
        <f>A01泛微粒贷业务支出评估!M22+A02微账户业务支出评估!M22+A03汽车金融业务支出评估!M22+A04财富业务支出评估!M22+A05小鹅业务支出评估!M22</f>
        <v>12754250000</v>
      </c>
      <c r="N22">
        <f>A01泛微粒贷业务支出评估!N22+A02微账户业务支出评估!N22+A03汽车金融业务支出评估!N22+A04财富业务支出评估!N22+A05小鹅业务支出评估!N22</f>
        <v>13204400000</v>
      </c>
      <c r="O22">
        <f>A01泛微粒贷业务支出评估!O22+A02微账户业务支出评估!O22+A03汽车金融业务支出评估!O22+A04财富业务支出评估!O22+A05小鹅业务支出评估!O22</f>
        <v>13054350000</v>
      </c>
      <c r="P22">
        <f>A01泛微粒贷业务支出评估!P22+A02微账户业务支出评估!P22+A03汽车金融业务支出评估!P22+A04财富业务支出评估!P22+A05小鹅业务支出评估!P22</f>
        <v>12754250000</v>
      </c>
      <c r="Q22">
        <f>A01泛微粒贷业务支出评估!Q22+A02微账户业务支出评估!Q22+A03汽车金融业务支出评估!Q22+A04财富业务支出评估!Q22+A05小鹅业务支出评估!Q22</f>
        <v>13954650000</v>
      </c>
      <c r="R22">
        <f>A01泛微粒贷业务支出评估!R22+A02微账户业务支出评估!R22+A03汽车金融业务支出评估!R22+A04财富业务支出评估!R22+A05小鹅业务支出评估!R22</f>
        <v>13804600000</v>
      </c>
      <c r="S22">
        <f>A01泛微粒贷业务支出评估!S22+A02微账户业务支出评估!S22+A03汽车金融业务支出评估!S22+A04财富业务支出评估!S22+A05小鹅业务支出评估!S22</f>
        <v>14254750000</v>
      </c>
    </row>
    <row r="23" spans="1:19">
      <c r="A23" t="s">
        <v>26</v>
      </c>
      <c r="B23" t="s">
        <v>179</v>
      </c>
      <c r="C23" t="s">
        <v>901</v>
      </c>
      <c r="D23" t="s">
        <v>482</v>
      </c>
      <c r="G23">
        <f t="shared" si="0"/>
        <v>120129100692</v>
      </c>
      <c r="H23">
        <f>A01泛微粒贷业务支出评估!H23+A02微账户业务支出评估!H23+A03汽车金融业务支出评估!H23+A04财富业务支出评估!H23+A05小鹅业务支出评估!H23</f>
        <v>8409120977</v>
      </c>
      <c r="I23">
        <f>A01泛微粒贷业务支出评估!I23+A02微账户业务支出评估!I23+A03汽车金融业务支出评估!I23+A04财富业务支出评估!I23+A05小鹅业务支出评估!I23</f>
        <v>7808609760</v>
      </c>
      <c r="J23">
        <f>A01泛微粒贷业务支出评估!J23+A02微账户业务支出评估!J23+A03汽车金融业务支出评估!J23+A04财富业务支出评估!J23+A05小鹅业务支出评估!J23</f>
        <v>9370136999</v>
      </c>
      <c r="K23">
        <f>A01泛微粒贷业务支出评估!K23+A02微账户业务支出评估!K23+A03汽车金融业务支出评估!K23+A04财富业务支出评估!K23+A05小鹅业务支出评估!K23</f>
        <v>9610378413</v>
      </c>
      <c r="L23">
        <f>A01泛微粒贷业务支出评估!L23+A02微账户业务支出评估!L23+A03汽车金融业务支出评估!L23+A04财富业务支出评估!L23+A05小鹅业务支出评估!L23</f>
        <v>9850636614</v>
      </c>
      <c r="M23">
        <f>A01泛微粒贷业务支出评估!M23+A02微账户业务支出评估!M23+A03汽车金融业务支出评估!M23+A04财富业务支出评估!M23+A05小鹅业务支出评估!M23</f>
        <v>10211007130</v>
      </c>
      <c r="N23">
        <f>A01泛微粒贷业务支出评估!N23+A02微账户业务支出评估!N23+A03汽车金融业务支出评估!N23+A04财富业务支出评估!N23+A05小鹅业务支出评估!N23</f>
        <v>10571360861</v>
      </c>
      <c r="O23">
        <f>A01泛微粒贷业务支出评估!O23+A02微账户业务支出评估!O23+A03汽车金融业务支出评估!O23+A04财富业务支出评估!O23+A05小鹅业务支出评估!O23</f>
        <v>10451214974</v>
      </c>
      <c r="P23">
        <f>A01泛微粒贷业务支出评估!P23+A02微账户业务支出评估!P23+A03汽车金融业务支出评估!P23+A04财富业务支出评估!P23+A05小鹅业务支出评估!P23</f>
        <v>10210956773</v>
      </c>
      <c r="Q23">
        <f>A01泛微粒贷业务支出评估!Q23+A02微账户业务支出评估!Q23+A03汽车金融业务支出评估!Q23+A04财富业务支出评估!Q23+A05小鹅业务支出评估!Q23</f>
        <v>11171838506</v>
      </c>
      <c r="R23">
        <f>A01泛微粒贷业务支出评估!R23+A02微账户业务支出评估!R23+A03汽车金融业务支出评估!R23+A04财富业务支出评估!R23+A05小鹅业务支出评估!R23</f>
        <v>11051709406</v>
      </c>
      <c r="S23">
        <f>A01泛微粒贷业务支出评估!S23+A02微账户业务支出评估!S23+A03汽车金融业务支出评估!S23+A04财富业务支出评估!S23+A05小鹅业务支出评估!S23</f>
        <v>11412130279</v>
      </c>
    </row>
    <row r="24" spans="1:19">
      <c r="A24" t="s">
        <v>23</v>
      </c>
      <c r="B24" t="s">
        <v>179</v>
      </c>
      <c r="C24" t="s">
        <v>902</v>
      </c>
      <c r="D24" t="s">
        <v>484</v>
      </c>
      <c r="G24">
        <f t="shared" si="0"/>
        <v>2100000000</v>
      </c>
      <c r="H24">
        <f t="shared" ref="H24:S24" si="5">H25+H26+H27</f>
        <v>147000000</v>
      </c>
      <c r="I24">
        <f t="shared" si="5"/>
        <v>136500000</v>
      </c>
      <c r="J24">
        <f t="shared" si="5"/>
        <v>163800000</v>
      </c>
      <c r="K24">
        <f t="shared" si="5"/>
        <v>168000000</v>
      </c>
      <c r="L24">
        <f t="shared" si="5"/>
        <v>172200000</v>
      </c>
      <c r="M24">
        <f t="shared" si="5"/>
        <v>178500000</v>
      </c>
      <c r="N24">
        <f t="shared" si="5"/>
        <v>184800000</v>
      </c>
      <c r="O24">
        <f t="shared" si="5"/>
        <v>182700000</v>
      </c>
      <c r="P24">
        <f t="shared" si="5"/>
        <v>178500000</v>
      </c>
      <c r="Q24">
        <f t="shared" si="5"/>
        <v>195300000</v>
      </c>
      <c r="R24">
        <f t="shared" si="5"/>
        <v>193200000</v>
      </c>
      <c r="S24">
        <f t="shared" si="5"/>
        <v>199500000</v>
      </c>
    </row>
    <row r="25" spans="1:19">
      <c r="A25" t="s">
        <v>26</v>
      </c>
      <c r="B25" t="s">
        <v>179</v>
      </c>
      <c r="C25" t="s">
        <v>903</v>
      </c>
      <c r="D25" t="s">
        <v>486</v>
      </c>
      <c r="G25">
        <f t="shared" si="0"/>
        <v>1140000000</v>
      </c>
      <c r="H25">
        <f>A01泛微粒贷业务支出评估!H25+A02微账户业务支出评估!H25+A03汽车金融业务支出评估!H25+A04财富业务支出评估!H25+A05小鹅业务支出评估!H25</f>
        <v>79800000</v>
      </c>
      <c r="I25">
        <f>A01泛微粒贷业务支出评估!I25+A02微账户业务支出评估!I25+A03汽车金融业务支出评估!I25+A04财富业务支出评估!I25+A05小鹅业务支出评估!I25</f>
        <v>74100000</v>
      </c>
      <c r="J25">
        <f>A01泛微粒贷业务支出评估!J25+A02微账户业务支出评估!J25+A03汽车金融业务支出评估!J25+A04财富业务支出评估!J25+A05小鹅业务支出评估!J25</f>
        <v>88920000</v>
      </c>
      <c r="K25">
        <f>A01泛微粒贷业务支出评估!K25+A02微账户业务支出评估!K25+A03汽车金融业务支出评估!K25+A04财富业务支出评估!K25+A05小鹅业务支出评估!K25</f>
        <v>91200000</v>
      </c>
      <c r="L25">
        <f>A01泛微粒贷业务支出评估!L25+A02微账户业务支出评估!L25+A03汽车金融业务支出评估!L25+A04财富业务支出评估!L25+A05小鹅业务支出评估!L25</f>
        <v>93480000</v>
      </c>
      <c r="M25">
        <f>A01泛微粒贷业务支出评估!M25+A02微账户业务支出评估!M25+A03汽车金融业务支出评估!M25+A04财富业务支出评估!M25+A05小鹅业务支出评估!M25</f>
        <v>96900000</v>
      </c>
      <c r="N25">
        <f>A01泛微粒贷业务支出评估!N25+A02微账户业务支出评估!N25+A03汽车金融业务支出评估!N25+A04财富业务支出评估!N25+A05小鹅业务支出评估!N25</f>
        <v>100320000</v>
      </c>
      <c r="O25">
        <f>A01泛微粒贷业务支出评估!O25+A02微账户业务支出评估!O25+A03汽车金融业务支出评估!O25+A04财富业务支出评估!O25+A05小鹅业务支出评估!O25</f>
        <v>99180000</v>
      </c>
      <c r="P25">
        <f>A01泛微粒贷业务支出评估!P25+A02微账户业务支出评估!P25+A03汽车金融业务支出评估!P25+A04财富业务支出评估!P25+A05小鹅业务支出评估!P25</f>
        <v>96900000</v>
      </c>
      <c r="Q25">
        <f>A01泛微粒贷业务支出评估!Q25+A02微账户业务支出评估!Q25+A03汽车金融业务支出评估!Q25+A04财富业务支出评估!Q25+A05小鹅业务支出评估!Q25</f>
        <v>106020000</v>
      </c>
      <c r="R25">
        <f>A01泛微粒贷业务支出评估!R25+A02微账户业务支出评估!R25+A03汽车金融业务支出评估!R25+A04财富业务支出评估!R25+A05小鹅业务支出评估!R25</f>
        <v>104880000</v>
      </c>
      <c r="S25">
        <f>A01泛微粒贷业务支出评估!S25+A02微账户业务支出评估!S25+A03汽车金融业务支出评估!S25+A04财富业务支出评估!S25+A05小鹅业务支出评估!S25</f>
        <v>108300000</v>
      </c>
    </row>
    <row r="26" spans="1:19">
      <c r="A26" t="s">
        <v>26</v>
      </c>
      <c r="B26" t="s">
        <v>179</v>
      </c>
      <c r="C26" t="s">
        <v>904</v>
      </c>
      <c r="D26" t="s">
        <v>488</v>
      </c>
      <c r="G26">
        <f t="shared" si="0"/>
        <v>600000000</v>
      </c>
      <c r="H26">
        <f>A01泛微粒贷业务支出评估!H26+A02微账户业务支出评估!H26+A03汽车金融业务支出评估!H26+A04财富业务支出评估!H26+A05小鹅业务支出评估!H26</f>
        <v>42000000</v>
      </c>
      <c r="I26">
        <f>A01泛微粒贷业务支出评估!I26+A02微账户业务支出评估!I26+A03汽车金融业务支出评估!I26+A04财富业务支出评估!I26+A05小鹅业务支出评估!I26</f>
        <v>39000000</v>
      </c>
      <c r="J26">
        <f>A01泛微粒贷业务支出评估!J26+A02微账户业务支出评估!J26+A03汽车金融业务支出评估!J26+A04财富业务支出评估!J26+A05小鹅业务支出评估!J26</f>
        <v>46800000</v>
      </c>
      <c r="K26">
        <f>A01泛微粒贷业务支出评估!K26+A02微账户业务支出评估!K26+A03汽车金融业务支出评估!K26+A04财富业务支出评估!K26+A05小鹅业务支出评估!K26</f>
        <v>48000000</v>
      </c>
      <c r="L26">
        <f>A01泛微粒贷业务支出评估!L26+A02微账户业务支出评估!L26+A03汽车金融业务支出评估!L26+A04财富业务支出评估!L26+A05小鹅业务支出评估!L26</f>
        <v>49200000</v>
      </c>
      <c r="M26">
        <f>A01泛微粒贷业务支出评估!M26+A02微账户业务支出评估!M26+A03汽车金融业务支出评估!M26+A04财富业务支出评估!M26+A05小鹅业务支出评估!M26</f>
        <v>51000000</v>
      </c>
      <c r="N26">
        <f>A01泛微粒贷业务支出评估!N26+A02微账户业务支出评估!N26+A03汽车金融业务支出评估!N26+A04财富业务支出评估!N26+A05小鹅业务支出评估!N26</f>
        <v>52800000</v>
      </c>
      <c r="O26">
        <f>A01泛微粒贷业务支出评估!O26+A02微账户业务支出评估!O26+A03汽车金融业务支出评估!O26+A04财富业务支出评估!O26+A05小鹅业务支出评估!O26</f>
        <v>52200000</v>
      </c>
      <c r="P26">
        <f>A01泛微粒贷业务支出评估!P26+A02微账户业务支出评估!P26+A03汽车金融业务支出评估!P26+A04财富业务支出评估!P26+A05小鹅业务支出评估!P26</f>
        <v>51000000</v>
      </c>
      <c r="Q26">
        <f>A01泛微粒贷业务支出评估!Q26+A02微账户业务支出评估!Q26+A03汽车金融业务支出评估!Q26+A04财富业务支出评估!Q26+A05小鹅业务支出评估!Q26</f>
        <v>55800000</v>
      </c>
      <c r="R26">
        <f>A01泛微粒贷业务支出评估!R26+A02微账户业务支出评估!R26+A03汽车金融业务支出评估!R26+A04财富业务支出评估!R26+A05小鹅业务支出评估!R26</f>
        <v>55200000</v>
      </c>
      <c r="S26">
        <f>A01泛微粒贷业务支出评估!S26+A02微账户业务支出评估!S26+A03汽车金融业务支出评估!S26+A04财富业务支出评估!S26+A05小鹅业务支出评估!S26</f>
        <v>57000000</v>
      </c>
    </row>
    <row r="27" spans="1:19">
      <c r="A27" t="s">
        <v>26</v>
      </c>
      <c r="B27" t="s">
        <v>179</v>
      </c>
      <c r="C27" t="s">
        <v>905</v>
      </c>
      <c r="D27" t="s">
        <v>490</v>
      </c>
      <c r="G27">
        <f t="shared" si="0"/>
        <v>360000000</v>
      </c>
      <c r="H27">
        <f>A01泛微粒贷业务支出评估!H27+A02微账户业务支出评估!H27+A03汽车金融业务支出评估!H27+A04财富业务支出评估!H27+A05小鹅业务支出评估!H27</f>
        <v>25200000</v>
      </c>
      <c r="I27">
        <f>A01泛微粒贷业务支出评估!I27+A02微账户业务支出评估!I27+A03汽车金融业务支出评估!I27+A04财富业务支出评估!I27+A05小鹅业务支出评估!I27</f>
        <v>23400000</v>
      </c>
      <c r="J27">
        <f>A01泛微粒贷业务支出评估!J27+A02微账户业务支出评估!J27+A03汽车金融业务支出评估!J27+A04财富业务支出评估!J27+A05小鹅业务支出评估!J27</f>
        <v>28080000</v>
      </c>
      <c r="K27">
        <f>A01泛微粒贷业务支出评估!K27+A02微账户业务支出评估!K27+A03汽车金融业务支出评估!K27+A04财富业务支出评估!K27+A05小鹅业务支出评估!K27</f>
        <v>28800000</v>
      </c>
      <c r="L27">
        <f>A01泛微粒贷业务支出评估!L27+A02微账户业务支出评估!L27+A03汽车金融业务支出评估!L27+A04财富业务支出评估!L27+A05小鹅业务支出评估!L27</f>
        <v>29520000</v>
      </c>
      <c r="M27">
        <f>A01泛微粒贷业务支出评估!M27+A02微账户业务支出评估!M27+A03汽车金融业务支出评估!M27+A04财富业务支出评估!M27+A05小鹅业务支出评估!M27</f>
        <v>30600000</v>
      </c>
      <c r="N27">
        <f>A01泛微粒贷业务支出评估!N27+A02微账户业务支出评估!N27+A03汽车金融业务支出评估!N27+A04财富业务支出评估!N27+A05小鹅业务支出评估!N27</f>
        <v>31680000</v>
      </c>
      <c r="O27">
        <f>A01泛微粒贷业务支出评估!O27+A02微账户业务支出评估!O27+A03汽车金融业务支出评估!O27+A04财富业务支出评估!O27+A05小鹅业务支出评估!O27</f>
        <v>31320000</v>
      </c>
      <c r="P27">
        <f>A01泛微粒贷业务支出评估!P27+A02微账户业务支出评估!P27+A03汽车金融业务支出评估!P27+A04财富业务支出评估!P27+A05小鹅业务支出评估!P27</f>
        <v>30600000</v>
      </c>
      <c r="Q27">
        <f>A01泛微粒贷业务支出评估!Q27+A02微账户业务支出评估!Q27+A03汽车金融业务支出评估!Q27+A04财富业务支出评估!Q27+A05小鹅业务支出评估!Q27</f>
        <v>33480000</v>
      </c>
      <c r="R27">
        <f>A01泛微粒贷业务支出评估!R27+A02微账户业务支出评估!R27+A03汽车金融业务支出评估!R27+A04财富业务支出评估!R27+A05小鹅业务支出评估!R27</f>
        <v>33120000</v>
      </c>
      <c r="S27">
        <f>A01泛微粒贷业务支出评估!S27+A02微账户业务支出评估!S27+A03汽车金融业务支出评估!S27+A04财富业务支出评估!S27+A05小鹅业务支出评估!S27</f>
        <v>34200000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906</v>
      </c>
      <c r="D2" t="s">
        <v>22</v>
      </c>
      <c r="G2">
        <f t="shared" ref="G2:G65" si="0">H2+I2+J2+K2+L2+M2+N2+O2+P2+Q2+R2+S2</f>
        <v>53447675816</v>
      </c>
      <c r="H2">
        <f t="shared" ref="H2:S2" si="1">H3+H6+H7</f>
        <v>3793286722</v>
      </c>
      <c r="I2">
        <f t="shared" si="1"/>
        <v>3596499758</v>
      </c>
      <c r="J2">
        <f t="shared" si="1"/>
        <v>4212860200</v>
      </c>
      <c r="K2">
        <f t="shared" si="1"/>
        <v>4309183576</v>
      </c>
      <c r="L2">
        <f t="shared" si="1"/>
        <v>4416117596</v>
      </c>
      <c r="M2">
        <f t="shared" si="1"/>
        <v>4565907636</v>
      </c>
      <c r="N2">
        <f t="shared" si="1"/>
        <v>4705087726</v>
      </c>
      <c r="O2">
        <f t="shared" si="1"/>
        <v>4641010426</v>
      </c>
      <c r="P2">
        <f t="shared" si="1"/>
        <v>4534077108</v>
      </c>
      <c r="Q2">
        <f t="shared" si="1"/>
        <v>4866319506</v>
      </c>
      <c r="R2">
        <f t="shared" si="1"/>
        <v>4812852148</v>
      </c>
      <c r="S2">
        <f t="shared" si="1"/>
        <v>4994473414</v>
      </c>
    </row>
    <row r="3" spans="1:19">
      <c r="A3" t="s">
        <v>23</v>
      </c>
      <c r="B3" t="s">
        <v>20</v>
      </c>
      <c r="C3" t="s">
        <v>907</v>
      </c>
      <c r="D3" t="s">
        <v>25</v>
      </c>
      <c r="G3">
        <f t="shared" si="0"/>
        <v>4858879598</v>
      </c>
      <c r="H3">
        <f t="shared" ref="H3:S3" si="2">H4+H5</f>
        <v>344844246</v>
      </c>
      <c r="I3">
        <f t="shared" si="2"/>
        <v>326954522</v>
      </c>
      <c r="J3">
        <f t="shared" si="2"/>
        <v>382987290</v>
      </c>
      <c r="K3">
        <f t="shared" si="2"/>
        <v>391743960</v>
      </c>
      <c r="L3">
        <f t="shared" si="2"/>
        <v>401465234</v>
      </c>
      <c r="M3">
        <f t="shared" si="2"/>
        <v>415082510</v>
      </c>
      <c r="N3">
        <f t="shared" si="2"/>
        <v>427735246</v>
      </c>
      <c r="O3">
        <f t="shared" si="2"/>
        <v>421910036</v>
      </c>
      <c r="P3">
        <f t="shared" si="2"/>
        <v>412188826</v>
      </c>
      <c r="Q3">
        <f t="shared" si="2"/>
        <v>442392680</v>
      </c>
      <c r="R3">
        <f t="shared" si="2"/>
        <v>437532012</v>
      </c>
      <c r="S3">
        <f t="shared" si="2"/>
        <v>454043036</v>
      </c>
    </row>
    <row r="4" spans="1:19">
      <c r="A4" t="s">
        <v>26</v>
      </c>
      <c r="B4" t="s">
        <v>20</v>
      </c>
      <c r="C4" t="s">
        <v>908</v>
      </c>
      <c r="D4" t="s">
        <v>28</v>
      </c>
      <c r="G4">
        <f t="shared" si="0"/>
        <v>2429439799</v>
      </c>
      <c r="H4">
        <v>172422123</v>
      </c>
      <c r="I4">
        <v>163477261</v>
      </c>
      <c r="J4">
        <v>191493645</v>
      </c>
      <c r="K4">
        <v>195871980</v>
      </c>
      <c r="L4">
        <v>200732617</v>
      </c>
      <c r="M4">
        <v>207541255</v>
      </c>
      <c r="N4">
        <v>213867623</v>
      </c>
      <c r="O4">
        <v>210955018</v>
      </c>
      <c r="P4">
        <v>206094413</v>
      </c>
      <c r="Q4">
        <v>221196340</v>
      </c>
      <c r="R4">
        <v>218766006</v>
      </c>
      <c r="S4">
        <v>227021518</v>
      </c>
    </row>
    <row r="5" spans="1:19">
      <c r="A5" t="s">
        <v>26</v>
      </c>
      <c r="B5" t="s">
        <v>20</v>
      </c>
      <c r="C5" t="s">
        <v>909</v>
      </c>
      <c r="D5" t="s">
        <v>30</v>
      </c>
      <c r="G5">
        <f t="shared" si="0"/>
        <v>2429439799</v>
      </c>
      <c r="H5">
        <v>172422123</v>
      </c>
      <c r="I5">
        <v>163477261</v>
      </c>
      <c r="J5">
        <v>191493645</v>
      </c>
      <c r="K5">
        <v>195871980</v>
      </c>
      <c r="L5">
        <v>200732617</v>
      </c>
      <c r="M5">
        <v>207541255</v>
      </c>
      <c r="N5">
        <v>213867623</v>
      </c>
      <c r="O5">
        <v>210955018</v>
      </c>
      <c r="P5">
        <v>206094413</v>
      </c>
      <c r="Q5">
        <v>221196340</v>
      </c>
      <c r="R5">
        <v>218766006</v>
      </c>
      <c r="S5">
        <v>227021518</v>
      </c>
    </row>
    <row r="6" spans="1:19">
      <c r="A6" t="s">
        <v>23</v>
      </c>
      <c r="B6" t="s">
        <v>20</v>
      </c>
      <c r="C6" t="s">
        <v>910</v>
      </c>
      <c r="D6" t="s">
        <v>32</v>
      </c>
      <c r="G6">
        <f t="shared" si="0"/>
        <v>24294398109</v>
      </c>
      <c r="H6">
        <v>1724221238</v>
      </c>
      <c r="I6">
        <v>1634772618</v>
      </c>
      <c r="J6">
        <v>1914936455</v>
      </c>
      <c r="K6">
        <v>1958719808</v>
      </c>
      <c r="L6">
        <v>2007326181</v>
      </c>
      <c r="M6">
        <v>2075412563</v>
      </c>
      <c r="N6">
        <v>2138676240</v>
      </c>
      <c r="O6">
        <v>2109550195</v>
      </c>
      <c r="P6">
        <v>2060944141</v>
      </c>
      <c r="Q6">
        <v>2211963413</v>
      </c>
      <c r="R6">
        <v>2187660068</v>
      </c>
      <c r="S6">
        <v>2270215189</v>
      </c>
    </row>
    <row r="7" spans="1:19">
      <c r="A7" t="s">
        <v>23</v>
      </c>
      <c r="B7" t="s">
        <v>20</v>
      </c>
      <c r="C7" t="s">
        <v>911</v>
      </c>
      <c r="D7" t="s">
        <v>34</v>
      </c>
      <c r="G7">
        <f t="shared" si="0"/>
        <v>24294398109</v>
      </c>
      <c r="H7">
        <v>1724221238</v>
      </c>
      <c r="I7">
        <v>1634772618</v>
      </c>
      <c r="J7">
        <v>1914936455</v>
      </c>
      <c r="K7">
        <v>1958719808</v>
      </c>
      <c r="L7">
        <v>2007326181</v>
      </c>
      <c r="M7">
        <v>2075412563</v>
      </c>
      <c r="N7">
        <v>2138676240</v>
      </c>
      <c r="O7">
        <v>2109550195</v>
      </c>
      <c r="P7">
        <v>2060944141</v>
      </c>
      <c r="Q7">
        <v>2211963413</v>
      </c>
      <c r="R7">
        <v>2187660068</v>
      </c>
      <c r="S7">
        <v>2270215189</v>
      </c>
    </row>
    <row r="8" spans="1:19">
      <c r="A8" t="s">
        <v>19</v>
      </c>
      <c r="B8" t="s">
        <v>35</v>
      </c>
      <c r="C8" t="s">
        <v>912</v>
      </c>
      <c r="D8" t="s">
        <v>37</v>
      </c>
      <c r="G8">
        <f t="shared" si="0"/>
        <v>8580000000</v>
      </c>
      <c r="H8">
        <v>600600000</v>
      </c>
      <c r="I8">
        <v>557700000</v>
      </c>
      <c r="J8">
        <v>669240000</v>
      </c>
      <c r="K8">
        <v>686400000</v>
      </c>
      <c r="L8">
        <v>703560000</v>
      </c>
      <c r="M8">
        <v>729300000</v>
      </c>
      <c r="N8">
        <v>755040000</v>
      </c>
      <c r="O8">
        <v>746460000</v>
      </c>
      <c r="P8">
        <v>729300000</v>
      </c>
      <c r="Q8">
        <v>797940000</v>
      </c>
      <c r="R8">
        <v>789360000</v>
      </c>
      <c r="S8">
        <v>815100000</v>
      </c>
    </row>
    <row r="9" spans="1:19">
      <c r="A9" t="s">
        <v>19</v>
      </c>
      <c r="B9" t="s">
        <v>20</v>
      </c>
      <c r="C9" t="s">
        <v>913</v>
      </c>
      <c r="D9" t="s">
        <v>39</v>
      </c>
      <c r="G9">
        <f t="shared" si="0"/>
        <v>24294398109</v>
      </c>
      <c r="H9">
        <v>1724221238</v>
      </c>
      <c r="I9">
        <v>1634772618</v>
      </c>
      <c r="J9">
        <v>1914936455</v>
      </c>
      <c r="K9">
        <v>1958719808</v>
      </c>
      <c r="L9">
        <v>2007326181</v>
      </c>
      <c r="M9">
        <v>2075412563</v>
      </c>
      <c r="N9">
        <v>2138676240</v>
      </c>
      <c r="O9">
        <v>2109550195</v>
      </c>
      <c r="P9">
        <v>2060944141</v>
      </c>
      <c r="Q9">
        <v>2211963413</v>
      </c>
      <c r="R9">
        <v>2187660068</v>
      </c>
      <c r="S9">
        <v>2270215189</v>
      </c>
    </row>
    <row r="10" spans="1:19">
      <c r="A10" t="s">
        <v>19</v>
      </c>
      <c r="B10" t="s">
        <v>35</v>
      </c>
      <c r="C10" t="s">
        <v>914</v>
      </c>
      <c r="D10" t="s">
        <v>41</v>
      </c>
      <c r="G10">
        <f t="shared" si="0"/>
        <v>350000000</v>
      </c>
      <c r="H10">
        <v>24500000</v>
      </c>
      <c r="I10">
        <v>22750000</v>
      </c>
      <c r="J10">
        <v>27300000</v>
      </c>
      <c r="K10">
        <v>28000000</v>
      </c>
      <c r="L10">
        <v>28700000</v>
      </c>
      <c r="M10">
        <v>29750000</v>
      </c>
      <c r="N10">
        <v>30800000</v>
      </c>
      <c r="O10">
        <v>30450000</v>
      </c>
      <c r="P10">
        <v>29750000</v>
      </c>
      <c r="Q10">
        <v>32550000</v>
      </c>
      <c r="R10">
        <v>32200000</v>
      </c>
      <c r="S10">
        <v>33250000</v>
      </c>
    </row>
    <row r="11" spans="1:19">
      <c r="A11" t="s">
        <v>19</v>
      </c>
      <c r="B11" t="s">
        <v>35</v>
      </c>
      <c r="C11" t="s">
        <v>915</v>
      </c>
      <c r="D11" t="s">
        <v>43</v>
      </c>
      <c r="G11">
        <f t="shared" si="0"/>
        <v>4830000000</v>
      </c>
      <c r="H11">
        <f t="shared" ref="H11:S11" si="3">H12+H15+H18+H25+H26</f>
        <v>338100000</v>
      </c>
      <c r="I11">
        <f t="shared" si="3"/>
        <v>313950000</v>
      </c>
      <c r="J11">
        <f t="shared" si="3"/>
        <v>376740000</v>
      </c>
      <c r="K11">
        <f t="shared" si="3"/>
        <v>386400000</v>
      </c>
      <c r="L11">
        <f t="shared" si="3"/>
        <v>396060000</v>
      </c>
      <c r="M11">
        <f t="shared" si="3"/>
        <v>410550000</v>
      </c>
      <c r="N11">
        <f t="shared" si="3"/>
        <v>425040000</v>
      </c>
      <c r="O11">
        <f t="shared" si="3"/>
        <v>420210000</v>
      </c>
      <c r="P11">
        <f t="shared" si="3"/>
        <v>410550000</v>
      </c>
      <c r="Q11">
        <f t="shared" si="3"/>
        <v>449190000</v>
      </c>
      <c r="R11">
        <f t="shared" si="3"/>
        <v>444360000</v>
      </c>
      <c r="S11">
        <f t="shared" si="3"/>
        <v>458850000</v>
      </c>
    </row>
    <row r="12" spans="1:19">
      <c r="A12" t="s">
        <v>23</v>
      </c>
      <c r="B12" t="s">
        <v>35</v>
      </c>
      <c r="C12" t="s">
        <v>916</v>
      </c>
      <c r="D12" t="s">
        <v>45</v>
      </c>
      <c r="G12">
        <f t="shared" si="0"/>
        <v>1890000000</v>
      </c>
      <c r="H12">
        <f t="shared" ref="H12:S12" si="4">H13+H14</f>
        <v>132300000</v>
      </c>
      <c r="I12">
        <f t="shared" si="4"/>
        <v>122850000</v>
      </c>
      <c r="J12">
        <f t="shared" si="4"/>
        <v>147420000</v>
      </c>
      <c r="K12">
        <f t="shared" si="4"/>
        <v>151200000</v>
      </c>
      <c r="L12">
        <f t="shared" si="4"/>
        <v>154980000</v>
      </c>
      <c r="M12">
        <f t="shared" si="4"/>
        <v>160650000</v>
      </c>
      <c r="N12">
        <f t="shared" si="4"/>
        <v>166320000</v>
      </c>
      <c r="O12">
        <f t="shared" si="4"/>
        <v>164430000</v>
      </c>
      <c r="P12">
        <f t="shared" si="4"/>
        <v>160650000</v>
      </c>
      <c r="Q12">
        <f t="shared" si="4"/>
        <v>175770000</v>
      </c>
      <c r="R12">
        <f t="shared" si="4"/>
        <v>173880000</v>
      </c>
      <c r="S12">
        <f t="shared" si="4"/>
        <v>179550000</v>
      </c>
    </row>
    <row r="13" spans="1:19">
      <c r="A13" t="s">
        <v>26</v>
      </c>
      <c r="B13" t="s">
        <v>35</v>
      </c>
      <c r="C13" t="s">
        <v>917</v>
      </c>
      <c r="D13" t="s">
        <v>47</v>
      </c>
      <c r="G13">
        <f t="shared" si="0"/>
        <v>1260000000</v>
      </c>
      <c r="H13">
        <v>88200000</v>
      </c>
      <c r="I13">
        <v>81900000</v>
      </c>
      <c r="J13">
        <v>98280000</v>
      </c>
      <c r="K13">
        <v>100800000</v>
      </c>
      <c r="L13">
        <v>103320000</v>
      </c>
      <c r="M13">
        <v>107100000</v>
      </c>
      <c r="N13">
        <v>110880000</v>
      </c>
      <c r="O13">
        <v>109620000</v>
      </c>
      <c r="P13">
        <v>107100000</v>
      </c>
      <c r="Q13">
        <v>117180000</v>
      </c>
      <c r="R13">
        <v>115920000</v>
      </c>
      <c r="S13">
        <v>119700000</v>
      </c>
    </row>
    <row r="14" spans="1:19">
      <c r="A14" t="s">
        <v>26</v>
      </c>
      <c r="B14" t="s">
        <v>35</v>
      </c>
      <c r="C14" t="s">
        <v>918</v>
      </c>
      <c r="D14" t="s">
        <v>49</v>
      </c>
      <c r="G14">
        <f t="shared" si="0"/>
        <v>630000000</v>
      </c>
      <c r="H14">
        <v>44100000</v>
      </c>
      <c r="I14">
        <v>40950000</v>
      </c>
      <c r="J14">
        <v>49140000</v>
      </c>
      <c r="K14">
        <v>50400000</v>
      </c>
      <c r="L14">
        <v>51660000</v>
      </c>
      <c r="M14">
        <v>53550000</v>
      </c>
      <c r="N14">
        <v>55440000</v>
      </c>
      <c r="O14">
        <v>54810000</v>
      </c>
      <c r="P14">
        <v>53550000</v>
      </c>
      <c r="Q14">
        <v>58590000</v>
      </c>
      <c r="R14">
        <v>57960000</v>
      </c>
      <c r="S14">
        <v>59850000</v>
      </c>
    </row>
    <row r="15" spans="1:19">
      <c r="A15" t="s">
        <v>23</v>
      </c>
      <c r="B15" t="s">
        <v>35</v>
      </c>
      <c r="C15" t="s">
        <v>919</v>
      </c>
      <c r="D15" t="s">
        <v>51</v>
      </c>
      <c r="G15">
        <f t="shared" si="0"/>
        <v>1260000000</v>
      </c>
      <c r="H15">
        <f t="shared" ref="H15:S15" si="5">H16+H17</f>
        <v>88200000</v>
      </c>
      <c r="I15">
        <f t="shared" si="5"/>
        <v>81900000</v>
      </c>
      <c r="J15">
        <f t="shared" si="5"/>
        <v>98280000</v>
      </c>
      <c r="K15">
        <f t="shared" si="5"/>
        <v>100800000</v>
      </c>
      <c r="L15">
        <f t="shared" si="5"/>
        <v>103320000</v>
      </c>
      <c r="M15">
        <f t="shared" si="5"/>
        <v>107100000</v>
      </c>
      <c r="N15">
        <f t="shared" si="5"/>
        <v>110880000</v>
      </c>
      <c r="O15">
        <f t="shared" si="5"/>
        <v>109620000</v>
      </c>
      <c r="P15">
        <f t="shared" si="5"/>
        <v>107100000</v>
      </c>
      <c r="Q15">
        <f t="shared" si="5"/>
        <v>117180000</v>
      </c>
      <c r="R15">
        <f t="shared" si="5"/>
        <v>115920000</v>
      </c>
      <c r="S15">
        <f t="shared" si="5"/>
        <v>119700000</v>
      </c>
    </row>
    <row r="16" spans="1:19">
      <c r="A16" t="s">
        <v>26</v>
      </c>
      <c r="B16" t="s">
        <v>35</v>
      </c>
      <c r="C16" t="s">
        <v>920</v>
      </c>
      <c r="D16" t="s">
        <v>53</v>
      </c>
      <c r="G16">
        <f t="shared" si="0"/>
        <v>760000000</v>
      </c>
      <c r="H16">
        <v>53200000</v>
      </c>
      <c r="I16">
        <v>49400000</v>
      </c>
      <c r="J16">
        <v>59280000</v>
      </c>
      <c r="K16">
        <v>60800000</v>
      </c>
      <c r="L16">
        <v>62320000</v>
      </c>
      <c r="M16">
        <v>64600000</v>
      </c>
      <c r="N16">
        <v>66880000</v>
      </c>
      <c r="O16">
        <v>66120000</v>
      </c>
      <c r="P16">
        <v>64600000</v>
      </c>
      <c r="Q16">
        <v>70680000</v>
      </c>
      <c r="R16">
        <v>69920000</v>
      </c>
      <c r="S16">
        <v>72200000</v>
      </c>
    </row>
    <row r="17" spans="1:19">
      <c r="A17" t="s">
        <v>26</v>
      </c>
      <c r="B17" t="s">
        <v>35</v>
      </c>
      <c r="C17" t="s">
        <v>921</v>
      </c>
      <c r="D17" t="s">
        <v>55</v>
      </c>
      <c r="G17">
        <f t="shared" si="0"/>
        <v>500000000</v>
      </c>
      <c r="H17">
        <v>35000000</v>
      </c>
      <c r="I17">
        <v>32500000</v>
      </c>
      <c r="J17">
        <v>39000000</v>
      </c>
      <c r="K17">
        <v>40000000</v>
      </c>
      <c r="L17">
        <v>41000000</v>
      </c>
      <c r="M17">
        <v>42500000</v>
      </c>
      <c r="N17">
        <v>44000000</v>
      </c>
      <c r="O17">
        <v>43500000</v>
      </c>
      <c r="P17">
        <v>42500000</v>
      </c>
      <c r="Q17">
        <v>46500000</v>
      </c>
      <c r="R17">
        <v>46000000</v>
      </c>
      <c r="S17">
        <v>47500000</v>
      </c>
    </row>
    <row r="18" spans="1:19">
      <c r="A18" t="s">
        <v>23</v>
      </c>
      <c r="B18" t="s">
        <v>35</v>
      </c>
      <c r="C18" t="s">
        <v>922</v>
      </c>
      <c r="D18" t="s">
        <v>57</v>
      </c>
      <c r="G18">
        <f t="shared" si="0"/>
        <v>1050000000</v>
      </c>
      <c r="H18">
        <f t="shared" ref="H18:S18" si="6">H19+H22+H23+H24</f>
        <v>73500000</v>
      </c>
      <c r="I18">
        <f t="shared" si="6"/>
        <v>68250000</v>
      </c>
      <c r="J18">
        <f t="shared" si="6"/>
        <v>81900000</v>
      </c>
      <c r="K18">
        <f t="shared" si="6"/>
        <v>84000000</v>
      </c>
      <c r="L18">
        <f t="shared" si="6"/>
        <v>86100000</v>
      </c>
      <c r="M18">
        <f t="shared" si="6"/>
        <v>89250000</v>
      </c>
      <c r="N18">
        <f t="shared" si="6"/>
        <v>92400000</v>
      </c>
      <c r="O18">
        <f t="shared" si="6"/>
        <v>91350000</v>
      </c>
      <c r="P18">
        <f t="shared" si="6"/>
        <v>89250000</v>
      </c>
      <c r="Q18">
        <f t="shared" si="6"/>
        <v>97650000</v>
      </c>
      <c r="R18">
        <f t="shared" si="6"/>
        <v>96600000</v>
      </c>
      <c r="S18">
        <f t="shared" si="6"/>
        <v>99750000</v>
      </c>
    </row>
    <row r="19" spans="1:19">
      <c r="A19" t="s">
        <v>26</v>
      </c>
      <c r="B19" t="s">
        <v>35</v>
      </c>
      <c r="C19" t="s">
        <v>923</v>
      </c>
      <c r="D19" t="s">
        <v>59</v>
      </c>
      <c r="G19">
        <f t="shared" si="0"/>
        <v>500000000</v>
      </c>
      <c r="H19">
        <f t="shared" ref="H19:S19" si="7">H20+H21</f>
        <v>35000000</v>
      </c>
      <c r="I19">
        <f t="shared" si="7"/>
        <v>32500000</v>
      </c>
      <c r="J19">
        <f t="shared" si="7"/>
        <v>39000000</v>
      </c>
      <c r="K19">
        <f t="shared" si="7"/>
        <v>40000000</v>
      </c>
      <c r="L19">
        <f t="shared" si="7"/>
        <v>41000000</v>
      </c>
      <c r="M19">
        <f t="shared" si="7"/>
        <v>42500000</v>
      </c>
      <c r="N19">
        <f t="shared" si="7"/>
        <v>44000000</v>
      </c>
      <c r="O19">
        <f t="shared" si="7"/>
        <v>43500000</v>
      </c>
      <c r="P19">
        <f t="shared" si="7"/>
        <v>42500000</v>
      </c>
      <c r="Q19">
        <f t="shared" si="7"/>
        <v>46500000</v>
      </c>
      <c r="R19">
        <f t="shared" si="7"/>
        <v>46000000</v>
      </c>
      <c r="S19">
        <f t="shared" si="7"/>
        <v>47500000</v>
      </c>
    </row>
    <row r="20" spans="1:19">
      <c r="A20" t="s">
        <v>60</v>
      </c>
      <c r="B20" t="s">
        <v>35</v>
      </c>
      <c r="C20" t="s">
        <v>924</v>
      </c>
      <c r="D20" t="s">
        <v>62</v>
      </c>
      <c r="G20">
        <f t="shared" si="0"/>
        <v>290000000</v>
      </c>
      <c r="H20">
        <v>20300000</v>
      </c>
      <c r="I20">
        <v>18850000</v>
      </c>
      <c r="J20">
        <v>22620000</v>
      </c>
      <c r="K20">
        <v>23200000</v>
      </c>
      <c r="L20">
        <v>23780000</v>
      </c>
      <c r="M20">
        <v>24650000</v>
      </c>
      <c r="N20">
        <v>25520000</v>
      </c>
      <c r="O20">
        <v>25230000</v>
      </c>
      <c r="P20">
        <v>24650000</v>
      </c>
      <c r="Q20">
        <v>26970000</v>
      </c>
      <c r="R20">
        <v>26680000</v>
      </c>
      <c r="S20">
        <v>27550000</v>
      </c>
    </row>
    <row r="21" spans="1:19">
      <c r="A21" t="s">
        <v>60</v>
      </c>
      <c r="B21" t="s">
        <v>35</v>
      </c>
      <c r="C21" t="s">
        <v>925</v>
      </c>
      <c r="D21" t="s">
        <v>64</v>
      </c>
      <c r="G21">
        <f t="shared" si="0"/>
        <v>210000000</v>
      </c>
      <c r="H21">
        <v>14700000</v>
      </c>
      <c r="I21">
        <v>13650000</v>
      </c>
      <c r="J21">
        <v>16380000</v>
      </c>
      <c r="K21">
        <v>16800000</v>
      </c>
      <c r="L21">
        <v>17220000</v>
      </c>
      <c r="M21">
        <v>17850000</v>
      </c>
      <c r="N21">
        <v>18480000</v>
      </c>
      <c r="O21">
        <v>18270000</v>
      </c>
      <c r="P21">
        <v>17850000</v>
      </c>
      <c r="Q21">
        <v>19530000</v>
      </c>
      <c r="R21">
        <v>19320000</v>
      </c>
      <c r="S21">
        <v>19950000</v>
      </c>
    </row>
    <row r="22" spans="1:19">
      <c r="A22" t="s">
        <v>26</v>
      </c>
      <c r="B22" t="s">
        <v>35</v>
      </c>
      <c r="C22" t="s">
        <v>926</v>
      </c>
      <c r="D22" t="s">
        <v>66</v>
      </c>
      <c r="G22">
        <f t="shared" si="0"/>
        <v>210000000</v>
      </c>
      <c r="H22">
        <v>14700000</v>
      </c>
      <c r="I22">
        <v>13650000</v>
      </c>
      <c r="J22">
        <v>16380000</v>
      </c>
      <c r="K22">
        <v>16800000</v>
      </c>
      <c r="L22">
        <v>17220000</v>
      </c>
      <c r="M22">
        <v>17850000</v>
      </c>
      <c r="N22">
        <v>18480000</v>
      </c>
      <c r="O22">
        <v>18270000</v>
      </c>
      <c r="P22">
        <v>17850000</v>
      </c>
      <c r="Q22">
        <v>19530000</v>
      </c>
      <c r="R22">
        <v>19320000</v>
      </c>
      <c r="S22">
        <v>19950000</v>
      </c>
    </row>
    <row r="23" spans="1:19">
      <c r="A23" t="s">
        <v>26</v>
      </c>
      <c r="B23" t="s">
        <v>35</v>
      </c>
      <c r="C23" t="s">
        <v>927</v>
      </c>
      <c r="D23" t="s">
        <v>68</v>
      </c>
      <c r="G23">
        <f t="shared" si="0"/>
        <v>170000000</v>
      </c>
      <c r="H23">
        <v>11900000</v>
      </c>
      <c r="I23">
        <v>11050000</v>
      </c>
      <c r="J23">
        <v>13260000</v>
      </c>
      <c r="K23">
        <v>13600000</v>
      </c>
      <c r="L23">
        <v>13940000</v>
      </c>
      <c r="M23">
        <v>14450000</v>
      </c>
      <c r="N23">
        <v>14960000</v>
      </c>
      <c r="O23">
        <v>14790000</v>
      </c>
      <c r="P23">
        <v>14450000</v>
      </c>
      <c r="Q23">
        <v>15810000</v>
      </c>
      <c r="R23">
        <v>15640000</v>
      </c>
      <c r="S23">
        <v>16150000</v>
      </c>
    </row>
    <row r="24" spans="1:19">
      <c r="A24" t="s">
        <v>26</v>
      </c>
      <c r="B24" t="s">
        <v>35</v>
      </c>
      <c r="C24" t="s">
        <v>928</v>
      </c>
      <c r="D24" t="s">
        <v>70</v>
      </c>
      <c r="G24">
        <f t="shared" si="0"/>
        <v>170000000</v>
      </c>
      <c r="H24">
        <v>11900000</v>
      </c>
      <c r="I24">
        <v>11050000</v>
      </c>
      <c r="J24">
        <v>13260000</v>
      </c>
      <c r="K24">
        <v>13600000</v>
      </c>
      <c r="L24">
        <v>13940000</v>
      </c>
      <c r="M24">
        <v>14450000</v>
      </c>
      <c r="N24">
        <v>14960000</v>
      </c>
      <c r="O24">
        <v>14790000</v>
      </c>
      <c r="P24">
        <v>14450000</v>
      </c>
      <c r="Q24">
        <v>15810000</v>
      </c>
      <c r="R24">
        <v>15640000</v>
      </c>
      <c r="S24">
        <v>16150000</v>
      </c>
    </row>
    <row r="25" spans="1:19">
      <c r="A25" t="s">
        <v>23</v>
      </c>
      <c r="B25" t="s">
        <v>35</v>
      </c>
      <c r="C25" t="s">
        <v>929</v>
      </c>
      <c r="D25" t="s">
        <v>72</v>
      </c>
      <c r="G25">
        <f t="shared" si="0"/>
        <v>340000000</v>
      </c>
      <c r="H25">
        <v>23800000</v>
      </c>
      <c r="I25">
        <v>22100000</v>
      </c>
      <c r="J25">
        <v>26520000</v>
      </c>
      <c r="K25">
        <v>27200000</v>
      </c>
      <c r="L25">
        <v>27880000</v>
      </c>
      <c r="M25">
        <v>28900000</v>
      </c>
      <c r="N25">
        <v>29920000</v>
      </c>
      <c r="O25">
        <v>29580000</v>
      </c>
      <c r="P25">
        <v>28900000</v>
      </c>
      <c r="Q25">
        <v>31620000</v>
      </c>
      <c r="R25">
        <v>31280000</v>
      </c>
      <c r="S25">
        <v>32300000</v>
      </c>
    </row>
    <row r="26" spans="1:19">
      <c r="A26" t="s">
        <v>23</v>
      </c>
      <c r="B26" t="s">
        <v>35</v>
      </c>
      <c r="C26" t="s">
        <v>930</v>
      </c>
      <c r="D26" t="s">
        <v>74</v>
      </c>
      <c r="G26">
        <f t="shared" si="0"/>
        <v>290000000</v>
      </c>
      <c r="H26">
        <v>20300000</v>
      </c>
      <c r="I26">
        <v>18850000</v>
      </c>
      <c r="J26">
        <v>22620000</v>
      </c>
      <c r="K26">
        <v>23200000</v>
      </c>
      <c r="L26">
        <v>23780000</v>
      </c>
      <c r="M26">
        <v>24650000</v>
      </c>
      <c r="N26">
        <v>25520000</v>
      </c>
      <c r="O26">
        <v>25230000</v>
      </c>
      <c r="P26">
        <v>24650000</v>
      </c>
      <c r="Q26">
        <v>26970000</v>
      </c>
      <c r="R26">
        <v>26680000</v>
      </c>
      <c r="S26">
        <v>27550000</v>
      </c>
    </row>
    <row r="27" spans="1:19">
      <c r="A27" t="s">
        <v>19</v>
      </c>
      <c r="B27" t="s">
        <v>20</v>
      </c>
      <c r="C27" t="s">
        <v>931</v>
      </c>
      <c r="D27" t="s">
        <v>76</v>
      </c>
      <c r="G27">
        <f t="shared" si="0"/>
        <v>140000000</v>
      </c>
      <c r="H27">
        <v>9800000</v>
      </c>
      <c r="I27">
        <v>9100000</v>
      </c>
      <c r="J27">
        <v>10920000</v>
      </c>
      <c r="K27">
        <v>11200000</v>
      </c>
      <c r="L27">
        <v>11480000</v>
      </c>
      <c r="M27">
        <v>11900000</v>
      </c>
      <c r="N27">
        <v>12320000</v>
      </c>
      <c r="O27">
        <v>12180000</v>
      </c>
      <c r="P27">
        <v>11900000</v>
      </c>
      <c r="Q27">
        <v>13020000</v>
      </c>
      <c r="R27">
        <v>12880000</v>
      </c>
      <c r="S27">
        <v>13300000</v>
      </c>
    </row>
    <row r="28" spans="1:19">
      <c r="A28" t="s">
        <v>19</v>
      </c>
      <c r="B28" t="s">
        <v>77</v>
      </c>
      <c r="C28" t="s">
        <v>932</v>
      </c>
      <c r="D28" t="s">
        <v>79</v>
      </c>
      <c r="G28">
        <f t="shared" si="0"/>
        <v>24294398109</v>
      </c>
      <c r="H28">
        <v>1724221238</v>
      </c>
      <c r="I28">
        <v>1634772618</v>
      </c>
      <c r="J28">
        <v>1914936455</v>
      </c>
      <c r="K28">
        <v>1958719808</v>
      </c>
      <c r="L28">
        <v>2007326181</v>
      </c>
      <c r="M28">
        <v>2075412563</v>
      </c>
      <c r="N28">
        <v>2138676240</v>
      </c>
      <c r="O28">
        <v>2109550195</v>
      </c>
      <c r="P28">
        <v>2060944141</v>
      </c>
      <c r="Q28">
        <v>2211963413</v>
      </c>
      <c r="R28">
        <v>2187660068</v>
      </c>
      <c r="S28">
        <v>2270215189</v>
      </c>
    </row>
    <row r="29" spans="1:19">
      <c r="A29" t="s">
        <v>19</v>
      </c>
      <c r="B29" t="s">
        <v>35</v>
      </c>
      <c r="C29" t="s">
        <v>933</v>
      </c>
      <c r="D29" t="s">
        <v>81</v>
      </c>
      <c r="G29">
        <f t="shared" si="0"/>
        <v>500000000</v>
      </c>
      <c r="H29">
        <v>35000000</v>
      </c>
      <c r="I29">
        <v>32500000</v>
      </c>
      <c r="J29">
        <v>39000000</v>
      </c>
      <c r="K29">
        <v>40000000</v>
      </c>
      <c r="L29">
        <v>41000000</v>
      </c>
      <c r="M29">
        <v>42500000</v>
      </c>
      <c r="N29">
        <v>44000000</v>
      </c>
      <c r="O29">
        <v>43500000</v>
      </c>
      <c r="P29">
        <v>42500000</v>
      </c>
      <c r="Q29">
        <v>46500000</v>
      </c>
      <c r="R29">
        <v>46000000</v>
      </c>
      <c r="S29">
        <v>47500000</v>
      </c>
    </row>
    <row r="30" spans="1:19">
      <c r="A30" t="s">
        <v>19</v>
      </c>
      <c r="B30" t="s">
        <v>77</v>
      </c>
      <c r="C30" t="s">
        <v>934</v>
      </c>
      <c r="D30" t="s">
        <v>83</v>
      </c>
      <c r="G30">
        <f t="shared" si="0"/>
        <v>24294398109</v>
      </c>
      <c r="H30">
        <v>1724221238</v>
      </c>
      <c r="I30">
        <v>1634772618</v>
      </c>
      <c r="J30">
        <v>1914936455</v>
      </c>
      <c r="K30">
        <v>1958719808</v>
      </c>
      <c r="L30">
        <v>2007326181</v>
      </c>
      <c r="M30">
        <v>2075412563</v>
      </c>
      <c r="N30">
        <v>2138676240</v>
      </c>
      <c r="O30">
        <v>2109550195</v>
      </c>
      <c r="P30">
        <v>2060944141</v>
      </c>
      <c r="Q30">
        <v>2211963413</v>
      </c>
      <c r="R30">
        <v>2187660068</v>
      </c>
      <c r="S30">
        <v>2270215189</v>
      </c>
    </row>
    <row r="31" spans="1:19">
      <c r="A31" t="s">
        <v>19</v>
      </c>
      <c r="B31" t="s">
        <v>84</v>
      </c>
      <c r="C31" t="s">
        <v>935</v>
      </c>
      <c r="D31" t="s">
        <v>86</v>
      </c>
      <c r="G31">
        <f t="shared" si="0"/>
        <v>159250000000</v>
      </c>
      <c r="H31">
        <f t="shared" ref="H31:S31" si="8">H32+H37+H38</f>
        <v>11943750000</v>
      </c>
      <c r="I31">
        <f t="shared" si="8"/>
        <v>12421500000</v>
      </c>
      <c r="J31">
        <f t="shared" si="8"/>
        <v>13058500000</v>
      </c>
      <c r="K31">
        <f t="shared" si="8"/>
        <v>13217750000</v>
      </c>
      <c r="L31">
        <f t="shared" si="8"/>
        <v>13536250000</v>
      </c>
      <c r="M31">
        <f t="shared" si="8"/>
        <v>13854750000</v>
      </c>
      <c r="N31">
        <f t="shared" si="8"/>
        <v>14014000000</v>
      </c>
      <c r="O31">
        <f t="shared" si="8"/>
        <v>13695500000</v>
      </c>
      <c r="P31">
        <f t="shared" si="8"/>
        <v>13377000000</v>
      </c>
      <c r="Q31">
        <f t="shared" si="8"/>
        <v>13217750000</v>
      </c>
      <c r="R31">
        <f t="shared" si="8"/>
        <v>13058500000</v>
      </c>
      <c r="S31">
        <f t="shared" si="8"/>
        <v>13854750000</v>
      </c>
    </row>
    <row r="32" spans="1:19">
      <c r="A32" t="s">
        <v>23</v>
      </c>
      <c r="B32" t="s">
        <v>84</v>
      </c>
      <c r="C32" t="s">
        <v>936</v>
      </c>
      <c r="D32" t="s">
        <v>88</v>
      </c>
      <c r="G32">
        <f t="shared" si="0"/>
        <v>110250000000</v>
      </c>
      <c r="H32">
        <f t="shared" ref="H32:S32" si="9">H33</f>
        <v>8268750000</v>
      </c>
      <c r="I32">
        <f t="shared" si="9"/>
        <v>8599500000</v>
      </c>
      <c r="J32">
        <f t="shared" si="9"/>
        <v>9040500000</v>
      </c>
      <c r="K32">
        <f t="shared" si="9"/>
        <v>9150750000</v>
      </c>
      <c r="L32">
        <f t="shared" si="9"/>
        <v>9371250000</v>
      </c>
      <c r="M32">
        <f t="shared" si="9"/>
        <v>9591750000</v>
      </c>
      <c r="N32">
        <f t="shared" si="9"/>
        <v>9702000000</v>
      </c>
      <c r="O32">
        <f t="shared" si="9"/>
        <v>9481500000</v>
      </c>
      <c r="P32">
        <f t="shared" si="9"/>
        <v>9261000000</v>
      </c>
      <c r="Q32">
        <f t="shared" si="9"/>
        <v>9150750000</v>
      </c>
      <c r="R32">
        <f t="shared" si="9"/>
        <v>9040500000</v>
      </c>
      <c r="S32">
        <f t="shared" si="9"/>
        <v>9591750000</v>
      </c>
    </row>
    <row r="33" spans="1:19">
      <c r="A33" t="s">
        <v>26</v>
      </c>
      <c r="B33" t="s">
        <v>84</v>
      </c>
      <c r="C33" t="s">
        <v>937</v>
      </c>
      <c r="D33" t="s">
        <v>90</v>
      </c>
      <c r="G33">
        <f t="shared" si="0"/>
        <v>110250000000</v>
      </c>
      <c r="H33">
        <f t="shared" ref="H33:S33" si="10">H34+H36</f>
        <v>8268750000</v>
      </c>
      <c r="I33">
        <f t="shared" si="10"/>
        <v>8599500000</v>
      </c>
      <c r="J33">
        <f t="shared" si="10"/>
        <v>9040500000</v>
      </c>
      <c r="K33">
        <f t="shared" si="10"/>
        <v>9150750000</v>
      </c>
      <c r="L33">
        <f t="shared" si="10"/>
        <v>9371250000</v>
      </c>
      <c r="M33">
        <f t="shared" si="10"/>
        <v>9591750000</v>
      </c>
      <c r="N33">
        <f t="shared" si="10"/>
        <v>9702000000</v>
      </c>
      <c r="O33">
        <f t="shared" si="10"/>
        <v>9481500000</v>
      </c>
      <c r="P33">
        <f t="shared" si="10"/>
        <v>9261000000</v>
      </c>
      <c r="Q33">
        <f t="shared" si="10"/>
        <v>9150750000</v>
      </c>
      <c r="R33">
        <f t="shared" si="10"/>
        <v>9040500000</v>
      </c>
      <c r="S33">
        <f t="shared" si="10"/>
        <v>9591750000</v>
      </c>
    </row>
    <row r="34" spans="1:19">
      <c r="A34" t="s">
        <v>60</v>
      </c>
      <c r="B34" t="s">
        <v>84</v>
      </c>
      <c r="C34" t="s">
        <v>938</v>
      </c>
      <c r="D34" t="s">
        <v>645</v>
      </c>
      <c r="G34">
        <f t="shared" si="0"/>
        <v>49000000000</v>
      </c>
      <c r="H34">
        <f t="shared" ref="H34:S34" si="11">H35</f>
        <v>3675000000</v>
      </c>
      <c r="I34">
        <f t="shared" si="11"/>
        <v>3822000000</v>
      </c>
      <c r="J34">
        <f t="shared" si="11"/>
        <v>4018000000</v>
      </c>
      <c r="K34">
        <f t="shared" si="11"/>
        <v>4067000000</v>
      </c>
      <c r="L34">
        <f t="shared" si="11"/>
        <v>4165000000</v>
      </c>
      <c r="M34">
        <f t="shared" si="11"/>
        <v>4263000000</v>
      </c>
      <c r="N34">
        <f t="shared" si="11"/>
        <v>4312000000</v>
      </c>
      <c r="O34">
        <f t="shared" si="11"/>
        <v>4214000000</v>
      </c>
      <c r="P34">
        <f t="shared" si="11"/>
        <v>4116000000</v>
      </c>
      <c r="Q34">
        <f t="shared" si="11"/>
        <v>4067000000</v>
      </c>
      <c r="R34">
        <f t="shared" si="11"/>
        <v>4018000000</v>
      </c>
      <c r="S34">
        <f t="shared" si="11"/>
        <v>4263000000</v>
      </c>
    </row>
    <row r="35" spans="1:19">
      <c r="A35" t="s">
        <v>192</v>
      </c>
      <c r="B35" t="s">
        <v>84</v>
      </c>
      <c r="C35" t="s">
        <v>939</v>
      </c>
      <c r="D35" t="s">
        <v>940</v>
      </c>
      <c r="G35">
        <f t="shared" si="0"/>
        <v>49000000000</v>
      </c>
      <c r="H35">
        <v>3675000000</v>
      </c>
      <c r="I35">
        <v>3822000000</v>
      </c>
      <c r="J35">
        <v>4018000000</v>
      </c>
      <c r="K35">
        <v>4067000000</v>
      </c>
      <c r="L35">
        <v>4165000000</v>
      </c>
      <c r="M35">
        <v>4263000000</v>
      </c>
      <c r="N35">
        <v>4312000000</v>
      </c>
      <c r="O35">
        <v>4214000000</v>
      </c>
      <c r="P35">
        <v>4116000000</v>
      </c>
      <c r="Q35">
        <v>4067000000</v>
      </c>
      <c r="R35">
        <v>4018000000</v>
      </c>
      <c r="S35">
        <v>4263000000</v>
      </c>
    </row>
    <row r="36" spans="1:19">
      <c r="A36" t="s">
        <v>60</v>
      </c>
      <c r="B36" t="s">
        <v>84</v>
      </c>
      <c r="C36" t="s">
        <v>941</v>
      </c>
      <c r="D36" t="s">
        <v>647</v>
      </c>
      <c r="G36">
        <f t="shared" si="0"/>
        <v>61250000000</v>
      </c>
      <c r="H36">
        <v>4593750000</v>
      </c>
      <c r="I36">
        <v>4777500000</v>
      </c>
      <c r="J36">
        <v>5022500000</v>
      </c>
      <c r="K36">
        <v>5083750000</v>
      </c>
      <c r="L36">
        <v>5206250000</v>
      </c>
      <c r="M36">
        <v>5328750000</v>
      </c>
      <c r="N36">
        <v>5390000000</v>
      </c>
      <c r="O36">
        <v>5267500000</v>
      </c>
      <c r="P36">
        <v>5145000000</v>
      </c>
      <c r="Q36">
        <v>5083750000</v>
      </c>
      <c r="R36">
        <v>5022500000</v>
      </c>
      <c r="S36">
        <v>5328750000</v>
      </c>
    </row>
    <row r="37" spans="1:19">
      <c r="A37" t="s">
        <v>23</v>
      </c>
      <c r="B37" t="s">
        <v>84</v>
      </c>
      <c r="C37" t="s">
        <v>942</v>
      </c>
      <c r="D37" t="s">
        <v>102</v>
      </c>
      <c r="G37">
        <f t="shared" si="0"/>
        <v>29400000000</v>
      </c>
      <c r="H37">
        <v>2205000000</v>
      </c>
      <c r="I37">
        <v>2293200000</v>
      </c>
      <c r="J37">
        <v>2410800000</v>
      </c>
      <c r="K37">
        <v>2440200000</v>
      </c>
      <c r="L37">
        <v>2499000000</v>
      </c>
      <c r="M37">
        <v>2557800000</v>
      </c>
      <c r="N37">
        <v>2587200000</v>
      </c>
      <c r="O37">
        <v>2528400000</v>
      </c>
      <c r="P37">
        <v>2469600000</v>
      </c>
      <c r="Q37">
        <v>2440200000</v>
      </c>
      <c r="R37">
        <v>2410800000</v>
      </c>
      <c r="S37">
        <v>2557800000</v>
      </c>
    </row>
    <row r="38" spans="1:19">
      <c r="A38" t="s">
        <v>23</v>
      </c>
      <c r="B38" t="s">
        <v>84</v>
      </c>
      <c r="C38" t="s">
        <v>943</v>
      </c>
      <c r="D38" t="s">
        <v>104</v>
      </c>
      <c r="G38">
        <f t="shared" si="0"/>
        <v>19600000000</v>
      </c>
      <c r="H38">
        <v>1470000000</v>
      </c>
      <c r="I38">
        <v>1528800000</v>
      </c>
      <c r="J38">
        <v>1607200000</v>
      </c>
      <c r="K38">
        <v>1626800000</v>
      </c>
      <c r="L38">
        <v>1666000000</v>
      </c>
      <c r="M38">
        <v>1705200000</v>
      </c>
      <c r="N38">
        <v>1724800000</v>
      </c>
      <c r="O38">
        <v>1685600000</v>
      </c>
      <c r="P38">
        <v>1646400000</v>
      </c>
      <c r="Q38">
        <v>1626800000</v>
      </c>
      <c r="R38">
        <v>1607200000</v>
      </c>
      <c r="S38">
        <v>1705200000</v>
      </c>
    </row>
    <row r="39" spans="1:19">
      <c r="A39" t="s">
        <v>19</v>
      </c>
      <c r="B39" t="s">
        <v>113</v>
      </c>
      <c r="C39" t="s">
        <v>944</v>
      </c>
      <c r="D39" t="s">
        <v>115</v>
      </c>
      <c r="G39">
        <f t="shared" si="0"/>
        <v>159250000000</v>
      </c>
      <c r="H39">
        <f t="shared" ref="H39:S39" si="12">H40+H45+H46</f>
        <v>11943750000</v>
      </c>
      <c r="I39">
        <f t="shared" si="12"/>
        <v>12421500000</v>
      </c>
      <c r="J39">
        <f t="shared" si="12"/>
        <v>13058500000</v>
      </c>
      <c r="K39">
        <f t="shared" si="12"/>
        <v>13217750000</v>
      </c>
      <c r="L39">
        <f t="shared" si="12"/>
        <v>13536250000</v>
      </c>
      <c r="M39">
        <f t="shared" si="12"/>
        <v>13854750000</v>
      </c>
      <c r="N39">
        <f t="shared" si="12"/>
        <v>14014000000</v>
      </c>
      <c r="O39">
        <f t="shared" si="12"/>
        <v>13695500000</v>
      </c>
      <c r="P39">
        <f t="shared" si="12"/>
        <v>13377000000</v>
      </c>
      <c r="Q39">
        <f t="shared" si="12"/>
        <v>13217750000</v>
      </c>
      <c r="R39">
        <f t="shared" si="12"/>
        <v>13058500000</v>
      </c>
      <c r="S39">
        <f t="shared" si="12"/>
        <v>13854750000</v>
      </c>
    </row>
    <row r="40" spans="1:19">
      <c r="A40" t="s">
        <v>23</v>
      </c>
      <c r="B40" t="s">
        <v>113</v>
      </c>
      <c r="C40" t="s">
        <v>945</v>
      </c>
      <c r="D40" t="s">
        <v>117</v>
      </c>
      <c r="G40">
        <f t="shared" si="0"/>
        <v>110250000000</v>
      </c>
      <c r="H40">
        <f t="shared" ref="H40:S40" si="13">H41</f>
        <v>8268750000</v>
      </c>
      <c r="I40">
        <f t="shared" si="13"/>
        <v>8599500000</v>
      </c>
      <c r="J40">
        <f t="shared" si="13"/>
        <v>9040500000</v>
      </c>
      <c r="K40">
        <f t="shared" si="13"/>
        <v>9150750000</v>
      </c>
      <c r="L40">
        <f t="shared" si="13"/>
        <v>9371250000</v>
      </c>
      <c r="M40">
        <f t="shared" si="13"/>
        <v>9591750000</v>
      </c>
      <c r="N40">
        <f t="shared" si="13"/>
        <v>9702000000</v>
      </c>
      <c r="O40">
        <f t="shared" si="13"/>
        <v>9481500000</v>
      </c>
      <c r="P40">
        <f t="shared" si="13"/>
        <v>9261000000</v>
      </c>
      <c r="Q40">
        <f t="shared" si="13"/>
        <v>9150750000</v>
      </c>
      <c r="R40">
        <f t="shared" si="13"/>
        <v>9040500000</v>
      </c>
      <c r="S40">
        <f t="shared" si="13"/>
        <v>9591750000</v>
      </c>
    </row>
    <row r="41" spans="1:19">
      <c r="A41" t="s">
        <v>26</v>
      </c>
      <c r="B41" t="s">
        <v>113</v>
      </c>
      <c r="C41" t="s">
        <v>946</v>
      </c>
      <c r="D41" t="s">
        <v>90</v>
      </c>
      <c r="G41">
        <f t="shared" si="0"/>
        <v>110250000000</v>
      </c>
      <c r="H41">
        <f t="shared" ref="H41:S41" si="14">H42+H44</f>
        <v>8268750000</v>
      </c>
      <c r="I41">
        <f t="shared" si="14"/>
        <v>8599500000</v>
      </c>
      <c r="J41">
        <f t="shared" si="14"/>
        <v>9040500000</v>
      </c>
      <c r="K41">
        <f t="shared" si="14"/>
        <v>9150750000</v>
      </c>
      <c r="L41">
        <f t="shared" si="14"/>
        <v>9371250000</v>
      </c>
      <c r="M41">
        <f t="shared" si="14"/>
        <v>9591750000</v>
      </c>
      <c r="N41">
        <f t="shared" si="14"/>
        <v>9702000000</v>
      </c>
      <c r="O41">
        <f t="shared" si="14"/>
        <v>9481500000</v>
      </c>
      <c r="P41">
        <f t="shared" si="14"/>
        <v>9261000000</v>
      </c>
      <c r="Q41">
        <f t="shared" si="14"/>
        <v>9150750000</v>
      </c>
      <c r="R41">
        <f t="shared" si="14"/>
        <v>9040500000</v>
      </c>
      <c r="S41">
        <f t="shared" si="14"/>
        <v>9591750000</v>
      </c>
    </row>
    <row r="42" spans="1:19">
      <c r="A42" t="s">
        <v>60</v>
      </c>
      <c r="B42" t="s">
        <v>113</v>
      </c>
      <c r="C42" t="s">
        <v>947</v>
      </c>
      <c r="D42" t="s">
        <v>645</v>
      </c>
      <c r="G42">
        <f t="shared" si="0"/>
        <v>49000000000</v>
      </c>
      <c r="H42">
        <f t="shared" ref="H42:S42" si="15">H43</f>
        <v>3675000000</v>
      </c>
      <c r="I42">
        <f t="shared" si="15"/>
        <v>3822000000</v>
      </c>
      <c r="J42">
        <f t="shared" si="15"/>
        <v>4018000000</v>
      </c>
      <c r="K42">
        <f t="shared" si="15"/>
        <v>4067000000</v>
      </c>
      <c r="L42">
        <f t="shared" si="15"/>
        <v>4165000000</v>
      </c>
      <c r="M42">
        <f t="shared" si="15"/>
        <v>4263000000</v>
      </c>
      <c r="N42">
        <f t="shared" si="15"/>
        <v>4312000000</v>
      </c>
      <c r="O42">
        <f t="shared" si="15"/>
        <v>4214000000</v>
      </c>
      <c r="P42">
        <f t="shared" si="15"/>
        <v>4116000000</v>
      </c>
      <c r="Q42">
        <f t="shared" si="15"/>
        <v>4067000000</v>
      </c>
      <c r="R42">
        <f t="shared" si="15"/>
        <v>4018000000</v>
      </c>
      <c r="S42">
        <f t="shared" si="15"/>
        <v>4263000000</v>
      </c>
    </row>
    <row r="43" spans="1:19">
      <c r="A43" t="s">
        <v>192</v>
      </c>
      <c r="B43" t="s">
        <v>113</v>
      </c>
      <c r="C43" t="s">
        <v>948</v>
      </c>
      <c r="D43" t="s">
        <v>940</v>
      </c>
      <c r="G43">
        <f t="shared" si="0"/>
        <v>49000000000</v>
      </c>
      <c r="H43">
        <v>3675000000</v>
      </c>
      <c r="I43">
        <v>3822000000</v>
      </c>
      <c r="J43">
        <v>4018000000</v>
      </c>
      <c r="K43">
        <v>4067000000</v>
      </c>
      <c r="L43">
        <v>4165000000</v>
      </c>
      <c r="M43">
        <v>4263000000</v>
      </c>
      <c r="N43">
        <v>4312000000</v>
      </c>
      <c r="O43">
        <v>4214000000</v>
      </c>
      <c r="P43">
        <v>4116000000</v>
      </c>
      <c r="Q43">
        <v>4067000000</v>
      </c>
      <c r="R43">
        <v>4018000000</v>
      </c>
      <c r="S43">
        <v>4263000000</v>
      </c>
    </row>
    <row r="44" spans="1:19">
      <c r="A44" t="s">
        <v>60</v>
      </c>
      <c r="B44" t="s">
        <v>113</v>
      </c>
      <c r="C44" t="s">
        <v>949</v>
      </c>
      <c r="D44" t="s">
        <v>647</v>
      </c>
      <c r="G44">
        <f t="shared" si="0"/>
        <v>61250000000</v>
      </c>
      <c r="H44">
        <v>4593750000</v>
      </c>
      <c r="I44">
        <v>4777500000</v>
      </c>
      <c r="J44">
        <v>5022500000</v>
      </c>
      <c r="K44">
        <v>5083750000</v>
      </c>
      <c r="L44">
        <v>5206250000</v>
      </c>
      <c r="M44">
        <v>5328750000</v>
      </c>
      <c r="N44">
        <v>5390000000</v>
      </c>
      <c r="O44">
        <v>5267500000</v>
      </c>
      <c r="P44">
        <v>5145000000</v>
      </c>
      <c r="Q44">
        <v>5083750000</v>
      </c>
      <c r="R44">
        <v>5022500000</v>
      </c>
      <c r="S44">
        <v>5328750000</v>
      </c>
    </row>
    <row r="45" spans="1:19">
      <c r="A45" t="s">
        <v>23</v>
      </c>
      <c r="B45" t="s">
        <v>113</v>
      </c>
      <c r="C45" t="s">
        <v>950</v>
      </c>
      <c r="D45" t="s">
        <v>102</v>
      </c>
      <c r="G45">
        <f t="shared" si="0"/>
        <v>29400000000</v>
      </c>
      <c r="H45">
        <v>2205000000</v>
      </c>
      <c r="I45">
        <v>2293200000</v>
      </c>
      <c r="J45">
        <v>2410800000</v>
      </c>
      <c r="K45">
        <v>2440200000</v>
      </c>
      <c r="L45">
        <v>2499000000</v>
      </c>
      <c r="M45">
        <v>2557800000</v>
      </c>
      <c r="N45">
        <v>2587200000</v>
      </c>
      <c r="O45">
        <v>2528400000</v>
      </c>
      <c r="P45">
        <v>2469600000</v>
      </c>
      <c r="Q45">
        <v>2440200000</v>
      </c>
      <c r="R45">
        <v>2410800000</v>
      </c>
      <c r="S45">
        <v>2557800000</v>
      </c>
    </row>
    <row r="46" spans="1:19">
      <c r="A46" t="s">
        <v>23</v>
      </c>
      <c r="B46" t="s">
        <v>113</v>
      </c>
      <c r="C46" t="s">
        <v>951</v>
      </c>
      <c r="D46" t="s">
        <v>104</v>
      </c>
      <c r="G46">
        <f t="shared" si="0"/>
        <v>19600000000</v>
      </c>
      <c r="H46">
        <v>1470000000</v>
      </c>
      <c r="I46">
        <v>1528800000</v>
      </c>
      <c r="J46">
        <v>1607200000</v>
      </c>
      <c r="K46">
        <v>1626800000</v>
      </c>
      <c r="L46">
        <v>1666000000</v>
      </c>
      <c r="M46">
        <v>1705200000</v>
      </c>
      <c r="N46">
        <v>1724800000</v>
      </c>
      <c r="O46">
        <v>1685600000</v>
      </c>
      <c r="P46">
        <v>1646400000</v>
      </c>
      <c r="Q46">
        <v>1626800000</v>
      </c>
      <c r="R46">
        <v>1607200000</v>
      </c>
      <c r="S46">
        <v>1705200000</v>
      </c>
    </row>
    <row r="47" spans="1:19">
      <c r="A47" t="s">
        <v>19</v>
      </c>
      <c r="B47" t="s">
        <v>130</v>
      </c>
      <c r="C47" t="s">
        <v>952</v>
      </c>
      <c r="D47" t="s">
        <v>132</v>
      </c>
      <c r="G47">
        <f t="shared" si="0"/>
        <v>73500000000</v>
      </c>
      <c r="H47">
        <f t="shared" ref="H47:S47" si="16">H48</f>
        <v>5512500000</v>
      </c>
      <c r="I47">
        <f t="shared" si="16"/>
        <v>5733000000</v>
      </c>
      <c r="J47">
        <f t="shared" si="16"/>
        <v>6027000000</v>
      </c>
      <c r="K47">
        <f t="shared" si="16"/>
        <v>6100500000</v>
      </c>
      <c r="L47">
        <f t="shared" si="16"/>
        <v>6247500000</v>
      </c>
      <c r="M47">
        <f t="shared" si="16"/>
        <v>6394500000</v>
      </c>
      <c r="N47">
        <f t="shared" si="16"/>
        <v>6468000000</v>
      </c>
      <c r="O47">
        <f t="shared" si="16"/>
        <v>6321000000</v>
      </c>
      <c r="P47">
        <f t="shared" si="16"/>
        <v>6174000000</v>
      </c>
      <c r="Q47">
        <f t="shared" si="16"/>
        <v>6100500000</v>
      </c>
      <c r="R47">
        <f t="shared" si="16"/>
        <v>6027000000</v>
      </c>
      <c r="S47">
        <f t="shared" si="16"/>
        <v>6394500000</v>
      </c>
    </row>
    <row r="48" spans="1:19">
      <c r="A48" t="s">
        <v>23</v>
      </c>
      <c r="B48" t="s">
        <v>130</v>
      </c>
      <c r="C48" t="s">
        <v>953</v>
      </c>
      <c r="D48" t="s">
        <v>954</v>
      </c>
      <c r="G48">
        <f t="shared" si="0"/>
        <v>73500000000</v>
      </c>
      <c r="H48">
        <v>5512500000</v>
      </c>
      <c r="I48">
        <v>5733000000</v>
      </c>
      <c r="J48">
        <v>6027000000</v>
      </c>
      <c r="K48">
        <v>6100500000</v>
      </c>
      <c r="L48">
        <v>6247500000</v>
      </c>
      <c r="M48">
        <v>6394500000</v>
      </c>
      <c r="N48">
        <v>6468000000</v>
      </c>
      <c r="O48">
        <v>6321000000</v>
      </c>
      <c r="P48">
        <v>6174000000</v>
      </c>
      <c r="Q48">
        <v>6100500000</v>
      </c>
      <c r="R48">
        <v>6027000000</v>
      </c>
      <c r="S48">
        <v>6394500000</v>
      </c>
    </row>
    <row r="49" spans="1:19">
      <c r="A49" t="s">
        <v>19</v>
      </c>
      <c r="B49" t="s">
        <v>143</v>
      </c>
      <c r="C49" t="s">
        <v>955</v>
      </c>
      <c r="D49" t="s">
        <v>142</v>
      </c>
      <c r="G49">
        <f t="shared" si="0"/>
        <v>73500000000</v>
      </c>
      <c r="H49">
        <f t="shared" ref="H49:S49" si="17">H50</f>
        <v>5512500000</v>
      </c>
      <c r="I49">
        <f t="shared" si="17"/>
        <v>5733000000</v>
      </c>
      <c r="J49">
        <f t="shared" si="17"/>
        <v>6027000000</v>
      </c>
      <c r="K49">
        <f t="shared" si="17"/>
        <v>6100500000</v>
      </c>
      <c r="L49">
        <f t="shared" si="17"/>
        <v>6247500000</v>
      </c>
      <c r="M49">
        <f t="shared" si="17"/>
        <v>6394500000</v>
      </c>
      <c r="N49">
        <f t="shared" si="17"/>
        <v>6468000000</v>
      </c>
      <c r="O49">
        <f t="shared" si="17"/>
        <v>6321000000</v>
      </c>
      <c r="P49">
        <f t="shared" si="17"/>
        <v>6174000000</v>
      </c>
      <c r="Q49">
        <f t="shared" si="17"/>
        <v>6100500000</v>
      </c>
      <c r="R49">
        <f t="shared" si="17"/>
        <v>6027000000</v>
      </c>
      <c r="S49">
        <f t="shared" si="17"/>
        <v>6394500000</v>
      </c>
    </row>
    <row r="50" spans="1:19">
      <c r="A50" t="s">
        <v>23</v>
      </c>
      <c r="B50" t="s">
        <v>143</v>
      </c>
      <c r="C50" t="s">
        <v>956</v>
      </c>
      <c r="D50" t="s">
        <v>954</v>
      </c>
      <c r="G50">
        <f t="shared" si="0"/>
        <v>73500000000</v>
      </c>
      <c r="H50">
        <v>5512500000</v>
      </c>
      <c r="I50">
        <v>5733000000</v>
      </c>
      <c r="J50">
        <v>6027000000</v>
      </c>
      <c r="K50">
        <v>6100500000</v>
      </c>
      <c r="L50">
        <v>6247500000</v>
      </c>
      <c r="M50">
        <v>6394500000</v>
      </c>
      <c r="N50">
        <v>6468000000</v>
      </c>
      <c r="O50">
        <v>6321000000</v>
      </c>
      <c r="P50">
        <v>6174000000</v>
      </c>
      <c r="Q50">
        <v>6100500000</v>
      </c>
      <c r="R50">
        <v>6027000000</v>
      </c>
      <c r="S50">
        <v>6394500000</v>
      </c>
    </row>
    <row r="51" spans="1:19">
      <c r="A51" t="s">
        <v>19</v>
      </c>
      <c r="B51" t="s">
        <v>84</v>
      </c>
      <c r="C51" t="s">
        <v>957</v>
      </c>
      <c r="D51" t="s">
        <v>151</v>
      </c>
      <c r="G51">
        <f t="shared" si="0"/>
        <v>30000000000</v>
      </c>
      <c r="H51">
        <f t="shared" ref="H51:S51" si="18">H52</f>
        <v>2250000000</v>
      </c>
      <c r="I51">
        <f t="shared" si="18"/>
        <v>2340000000</v>
      </c>
      <c r="J51">
        <f t="shared" si="18"/>
        <v>2460000000</v>
      </c>
      <c r="K51">
        <f t="shared" si="18"/>
        <v>2490000000</v>
      </c>
      <c r="L51">
        <f t="shared" si="18"/>
        <v>2550000000</v>
      </c>
      <c r="M51">
        <f t="shared" si="18"/>
        <v>2610000000</v>
      </c>
      <c r="N51">
        <f t="shared" si="18"/>
        <v>2640000000</v>
      </c>
      <c r="O51">
        <f t="shared" si="18"/>
        <v>2580000000</v>
      </c>
      <c r="P51">
        <f t="shared" si="18"/>
        <v>2520000000</v>
      </c>
      <c r="Q51">
        <f t="shared" si="18"/>
        <v>2490000000</v>
      </c>
      <c r="R51">
        <f t="shared" si="18"/>
        <v>2460000000</v>
      </c>
      <c r="S51">
        <f t="shared" si="18"/>
        <v>2610000000</v>
      </c>
    </row>
    <row r="52" spans="1:19">
      <c r="A52" t="s">
        <v>23</v>
      </c>
      <c r="B52" t="s">
        <v>84</v>
      </c>
      <c r="C52" t="s">
        <v>958</v>
      </c>
      <c r="D52" t="s">
        <v>959</v>
      </c>
      <c r="G52">
        <f t="shared" si="0"/>
        <v>30000000000</v>
      </c>
      <c r="H52">
        <v>2250000000</v>
      </c>
      <c r="I52">
        <v>2340000000</v>
      </c>
      <c r="J52">
        <v>2460000000</v>
      </c>
      <c r="K52">
        <v>2490000000</v>
      </c>
      <c r="L52">
        <v>2550000000</v>
      </c>
      <c r="M52">
        <v>2610000000</v>
      </c>
      <c r="N52">
        <v>2640000000</v>
      </c>
      <c r="O52">
        <v>2580000000</v>
      </c>
      <c r="P52">
        <v>2520000000</v>
      </c>
      <c r="Q52">
        <v>2490000000</v>
      </c>
      <c r="R52">
        <v>2460000000</v>
      </c>
      <c r="S52">
        <v>2610000000</v>
      </c>
    </row>
    <row r="53" spans="1:19">
      <c r="A53" t="s">
        <v>19</v>
      </c>
      <c r="B53" t="s">
        <v>113</v>
      </c>
      <c r="C53" t="s">
        <v>960</v>
      </c>
      <c r="D53" t="s">
        <v>160</v>
      </c>
      <c r="G53">
        <f t="shared" si="0"/>
        <v>30000000000</v>
      </c>
      <c r="H53">
        <f t="shared" ref="H53:S53" si="19">H54</f>
        <v>2250000000</v>
      </c>
      <c r="I53">
        <f t="shared" si="19"/>
        <v>2340000000</v>
      </c>
      <c r="J53">
        <f t="shared" si="19"/>
        <v>2460000000</v>
      </c>
      <c r="K53">
        <f t="shared" si="19"/>
        <v>2490000000</v>
      </c>
      <c r="L53">
        <f t="shared" si="19"/>
        <v>2550000000</v>
      </c>
      <c r="M53">
        <f t="shared" si="19"/>
        <v>2610000000</v>
      </c>
      <c r="N53">
        <f t="shared" si="19"/>
        <v>2640000000</v>
      </c>
      <c r="O53">
        <f t="shared" si="19"/>
        <v>2580000000</v>
      </c>
      <c r="P53">
        <f t="shared" si="19"/>
        <v>2520000000</v>
      </c>
      <c r="Q53">
        <f t="shared" si="19"/>
        <v>2490000000</v>
      </c>
      <c r="R53">
        <f t="shared" si="19"/>
        <v>2460000000</v>
      </c>
      <c r="S53">
        <f t="shared" si="19"/>
        <v>2610000000</v>
      </c>
    </row>
    <row r="54" spans="1:19">
      <c r="A54" t="s">
        <v>23</v>
      </c>
      <c r="B54" t="s">
        <v>113</v>
      </c>
      <c r="C54" t="s">
        <v>961</v>
      </c>
      <c r="D54" t="s">
        <v>962</v>
      </c>
      <c r="G54">
        <f t="shared" si="0"/>
        <v>30000000000</v>
      </c>
      <c r="H54">
        <v>2250000000</v>
      </c>
      <c r="I54">
        <v>2340000000</v>
      </c>
      <c r="J54">
        <v>2460000000</v>
      </c>
      <c r="K54">
        <v>2490000000</v>
      </c>
      <c r="L54">
        <v>2550000000</v>
      </c>
      <c r="M54">
        <v>2610000000</v>
      </c>
      <c r="N54">
        <v>2640000000</v>
      </c>
      <c r="O54">
        <v>2580000000</v>
      </c>
      <c r="P54">
        <v>2520000000</v>
      </c>
      <c r="Q54">
        <v>2490000000</v>
      </c>
      <c r="R54">
        <v>2460000000</v>
      </c>
      <c r="S54">
        <v>2610000000</v>
      </c>
    </row>
    <row r="55" spans="1:19">
      <c r="A55" t="s">
        <v>19</v>
      </c>
      <c r="B55" t="s">
        <v>130</v>
      </c>
      <c r="C55" t="s">
        <v>963</v>
      </c>
      <c r="D55" t="s">
        <v>166</v>
      </c>
      <c r="G55">
        <f t="shared" si="0"/>
        <v>20000000000</v>
      </c>
      <c r="H55">
        <f t="shared" ref="H55:S55" si="20">H56</f>
        <v>1500000000</v>
      </c>
      <c r="I55">
        <f t="shared" si="20"/>
        <v>1560000000</v>
      </c>
      <c r="J55">
        <f t="shared" si="20"/>
        <v>1640000000</v>
      </c>
      <c r="K55">
        <f t="shared" si="20"/>
        <v>1660000000</v>
      </c>
      <c r="L55">
        <f t="shared" si="20"/>
        <v>1700000000</v>
      </c>
      <c r="M55">
        <f t="shared" si="20"/>
        <v>1740000000</v>
      </c>
      <c r="N55">
        <f t="shared" si="20"/>
        <v>1760000000</v>
      </c>
      <c r="O55">
        <f t="shared" si="20"/>
        <v>1720000000</v>
      </c>
      <c r="P55">
        <f t="shared" si="20"/>
        <v>1680000000</v>
      </c>
      <c r="Q55">
        <f t="shared" si="20"/>
        <v>1660000000</v>
      </c>
      <c r="R55">
        <f t="shared" si="20"/>
        <v>1640000000</v>
      </c>
      <c r="S55">
        <f t="shared" si="20"/>
        <v>1740000000</v>
      </c>
    </row>
    <row r="56" spans="1:19">
      <c r="A56" t="s">
        <v>23</v>
      </c>
      <c r="B56" t="s">
        <v>130</v>
      </c>
      <c r="C56" t="s">
        <v>964</v>
      </c>
      <c r="D56" t="s">
        <v>965</v>
      </c>
      <c r="G56">
        <f t="shared" si="0"/>
        <v>20000000000</v>
      </c>
      <c r="H56">
        <v>1500000000</v>
      </c>
      <c r="I56">
        <v>1560000000</v>
      </c>
      <c r="J56">
        <v>1640000000</v>
      </c>
      <c r="K56">
        <v>1660000000</v>
      </c>
      <c r="L56">
        <v>1700000000</v>
      </c>
      <c r="M56">
        <v>1740000000</v>
      </c>
      <c r="N56">
        <v>1760000000</v>
      </c>
      <c r="O56">
        <v>1720000000</v>
      </c>
      <c r="P56">
        <v>1680000000</v>
      </c>
      <c r="Q56">
        <v>1660000000</v>
      </c>
      <c r="R56">
        <v>1640000000</v>
      </c>
      <c r="S56">
        <v>1740000000</v>
      </c>
    </row>
    <row r="57" spans="1:19">
      <c r="A57" t="s">
        <v>19</v>
      </c>
      <c r="B57" t="s">
        <v>143</v>
      </c>
      <c r="C57" t="s">
        <v>966</v>
      </c>
      <c r="D57" t="s">
        <v>172</v>
      </c>
      <c r="G57">
        <f t="shared" si="0"/>
        <v>20000000000</v>
      </c>
      <c r="H57">
        <f t="shared" ref="H57:S57" si="21">H58</f>
        <v>1500000000</v>
      </c>
      <c r="I57">
        <f t="shared" si="21"/>
        <v>1560000000</v>
      </c>
      <c r="J57">
        <f t="shared" si="21"/>
        <v>1640000000</v>
      </c>
      <c r="K57">
        <f t="shared" si="21"/>
        <v>1660000000</v>
      </c>
      <c r="L57">
        <f t="shared" si="21"/>
        <v>1700000000</v>
      </c>
      <c r="M57">
        <f t="shared" si="21"/>
        <v>1740000000</v>
      </c>
      <c r="N57">
        <f t="shared" si="21"/>
        <v>1760000000</v>
      </c>
      <c r="O57">
        <f t="shared" si="21"/>
        <v>1720000000</v>
      </c>
      <c r="P57">
        <f t="shared" si="21"/>
        <v>1680000000</v>
      </c>
      <c r="Q57">
        <f t="shared" si="21"/>
        <v>1660000000</v>
      </c>
      <c r="R57">
        <f t="shared" si="21"/>
        <v>1640000000</v>
      </c>
      <c r="S57">
        <f t="shared" si="21"/>
        <v>1740000000</v>
      </c>
    </row>
    <row r="58" spans="1:19">
      <c r="A58" t="s">
        <v>23</v>
      </c>
      <c r="B58" t="s">
        <v>143</v>
      </c>
      <c r="C58" t="s">
        <v>967</v>
      </c>
      <c r="D58" t="s">
        <v>968</v>
      </c>
      <c r="G58">
        <f t="shared" si="0"/>
        <v>20000000000</v>
      </c>
      <c r="H58">
        <v>1500000000</v>
      </c>
      <c r="I58">
        <v>1560000000</v>
      </c>
      <c r="J58">
        <v>1640000000</v>
      </c>
      <c r="K58">
        <v>1660000000</v>
      </c>
      <c r="L58">
        <v>1700000000</v>
      </c>
      <c r="M58">
        <v>1740000000</v>
      </c>
      <c r="N58">
        <v>1760000000</v>
      </c>
      <c r="O58">
        <v>1720000000</v>
      </c>
      <c r="P58">
        <v>1680000000</v>
      </c>
      <c r="Q58">
        <v>1660000000</v>
      </c>
      <c r="R58">
        <v>1640000000</v>
      </c>
      <c r="S58">
        <v>1740000000</v>
      </c>
    </row>
    <row r="59" spans="1:19">
      <c r="A59" t="s">
        <v>19</v>
      </c>
      <c r="B59" t="s">
        <v>20</v>
      </c>
      <c r="C59" t="s">
        <v>969</v>
      </c>
      <c r="D59" t="s">
        <v>176</v>
      </c>
      <c r="G59">
        <f t="shared" si="0"/>
        <v>510182340.2</v>
      </c>
      <c r="H59">
        <f t="shared" ref="H59:S59" si="22">H60+H87</f>
        <v>36208643.323</v>
      </c>
      <c r="I59">
        <f t="shared" si="22"/>
        <v>34330223.327911</v>
      </c>
      <c r="J59">
        <f t="shared" si="22"/>
        <v>40213665.332818</v>
      </c>
      <c r="K59">
        <f t="shared" si="22"/>
        <v>41133114.337731</v>
      </c>
      <c r="L59">
        <f t="shared" si="22"/>
        <v>42153848.342634</v>
      </c>
      <c r="M59">
        <f t="shared" si="22"/>
        <v>43583663.347545</v>
      </c>
      <c r="N59">
        <f t="shared" si="22"/>
        <v>44912198.352455</v>
      </c>
      <c r="O59">
        <f t="shared" si="22"/>
        <v>44300552.357366</v>
      </c>
      <c r="P59">
        <f t="shared" si="22"/>
        <v>43279824.362269</v>
      </c>
      <c r="Q59">
        <f t="shared" si="22"/>
        <v>46451229.367182</v>
      </c>
      <c r="R59">
        <f t="shared" si="22"/>
        <v>45940860.372089</v>
      </c>
      <c r="S59">
        <f t="shared" si="22"/>
        <v>47674517.377</v>
      </c>
    </row>
    <row r="60" spans="1:19">
      <c r="A60" t="s">
        <v>23</v>
      </c>
      <c r="B60" t="s">
        <v>20</v>
      </c>
      <c r="C60" t="s">
        <v>970</v>
      </c>
      <c r="D60" t="s">
        <v>178</v>
      </c>
      <c r="G60">
        <f t="shared" si="0"/>
        <v>510182339.78</v>
      </c>
      <c r="H60">
        <f t="shared" ref="H60:S60" si="23">H61+H78</f>
        <v>36208643.2887</v>
      </c>
      <c r="I60">
        <f t="shared" si="23"/>
        <v>34330223.293484</v>
      </c>
      <c r="J60">
        <f t="shared" si="23"/>
        <v>40213665.298263</v>
      </c>
      <c r="K60">
        <f t="shared" si="23"/>
        <v>41133114.303049</v>
      </c>
      <c r="L60">
        <f t="shared" si="23"/>
        <v>42153848.307825</v>
      </c>
      <c r="M60">
        <f t="shared" si="23"/>
        <v>43583663.312609</v>
      </c>
      <c r="N60">
        <f t="shared" si="23"/>
        <v>44912198.317391</v>
      </c>
      <c r="O60">
        <f t="shared" si="23"/>
        <v>44300552.322175</v>
      </c>
      <c r="P60">
        <f t="shared" si="23"/>
        <v>43279824.326951</v>
      </c>
      <c r="Q60">
        <f t="shared" si="23"/>
        <v>46451229.331737</v>
      </c>
      <c r="R60">
        <f t="shared" si="23"/>
        <v>45940860.336516</v>
      </c>
      <c r="S60">
        <f t="shared" si="23"/>
        <v>47674517.3413</v>
      </c>
    </row>
    <row r="61" spans="1:19">
      <c r="A61" t="s">
        <v>26</v>
      </c>
      <c r="B61" t="s">
        <v>20</v>
      </c>
      <c r="C61" t="s">
        <v>971</v>
      </c>
      <c r="D61" t="s">
        <v>972</v>
      </c>
      <c r="G61">
        <f t="shared" si="0"/>
        <v>510182332.46</v>
      </c>
      <c r="H61">
        <f t="shared" ref="H61:S61" si="24">H62+H63+H69+H74+H76+H77</f>
        <v>36208642.6909</v>
      </c>
      <c r="I61">
        <f t="shared" si="24"/>
        <v>34330222.693465</v>
      </c>
      <c r="J61">
        <f t="shared" si="24"/>
        <v>40213664.696027</v>
      </c>
      <c r="K61">
        <f t="shared" si="24"/>
        <v>41133113.698593</v>
      </c>
      <c r="L61">
        <f t="shared" si="24"/>
        <v>42153847.701153</v>
      </c>
      <c r="M61">
        <f t="shared" si="24"/>
        <v>43583662.703718</v>
      </c>
      <c r="N61">
        <f t="shared" si="24"/>
        <v>44912197.706282</v>
      </c>
      <c r="O61">
        <f t="shared" si="24"/>
        <v>44300551.708847</v>
      </c>
      <c r="P61">
        <f t="shared" si="24"/>
        <v>43279823.711407</v>
      </c>
      <c r="Q61">
        <f t="shared" si="24"/>
        <v>46451228.713973</v>
      </c>
      <c r="R61">
        <f t="shared" si="24"/>
        <v>45940859.716535</v>
      </c>
      <c r="S61">
        <f t="shared" si="24"/>
        <v>47674516.7191</v>
      </c>
    </row>
    <row r="62" spans="1:19">
      <c r="A62" t="s">
        <v>60</v>
      </c>
      <c r="B62" t="s">
        <v>179</v>
      </c>
      <c r="C62" t="s">
        <v>973</v>
      </c>
      <c r="D62" t="s">
        <v>974</v>
      </c>
      <c r="G62">
        <f t="shared" si="0"/>
        <v>0.42</v>
      </c>
      <c r="H62">
        <v>0.0343</v>
      </c>
      <c r="I62">
        <v>0.034427</v>
      </c>
      <c r="J62">
        <v>0.034555</v>
      </c>
      <c r="K62">
        <v>0.034682</v>
      </c>
      <c r="L62">
        <v>0.034809</v>
      </c>
      <c r="M62">
        <v>0.034936</v>
      </c>
      <c r="N62">
        <v>0.035064</v>
      </c>
      <c r="O62">
        <v>0.035191</v>
      </c>
      <c r="P62">
        <v>0.035318</v>
      </c>
      <c r="Q62">
        <v>0.035445</v>
      </c>
      <c r="R62">
        <v>0.035573</v>
      </c>
      <c r="S62">
        <v>0.0357</v>
      </c>
    </row>
    <row r="63" spans="1:19">
      <c r="A63" t="s">
        <v>60</v>
      </c>
      <c r="B63" t="s">
        <v>20</v>
      </c>
      <c r="C63" t="s">
        <v>975</v>
      </c>
      <c r="D63" t="s">
        <v>976</v>
      </c>
      <c r="G63">
        <f t="shared" si="0"/>
        <v>24294392.9</v>
      </c>
      <c r="H63">
        <f t="shared" ref="H63:S63" si="25">H64+H65+H66+H67+H68</f>
        <v>1724220.5635</v>
      </c>
      <c r="I63">
        <f t="shared" si="25"/>
        <v>1634772.565591</v>
      </c>
      <c r="J63">
        <f t="shared" si="25"/>
        <v>1914936.567681</v>
      </c>
      <c r="K63">
        <f t="shared" si="25"/>
        <v>1958719.569773</v>
      </c>
      <c r="L63">
        <f t="shared" si="25"/>
        <v>2007325.571863</v>
      </c>
      <c r="M63">
        <f t="shared" si="25"/>
        <v>2075412.573954</v>
      </c>
      <c r="N63">
        <f t="shared" si="25"/>
        <v>2138675.576046</v>
      </c>
      <c r="O63">
        <f t="shared" si="25"/>
        <v>2109549.578137</v>
      </c>
      <c r="P63">
        <f t="shared" si="25"/>
        <v>2060943.580227</v>
      </c>
      <c r="Q63">
        <f t="shared" si="25"/>
        <v>2211962.582319</v>
      </c>
      <c r="R63">
        <f t="shared" si="25"/>
        <v>2187659.584409</v>
      </c>
      <c r="S63">
        <f t="shared" si="25"/>
        <v>2270214.5865</v>
      </c>
    </row>
    <row r="64" spans="1:19">
      <c r="A64" t="s">
        <v>192</v>
      </c>
      <c r="B64" t="s">
        <v>179</v>
      </c>
      <c r="C64" t="s">
        <v>977</v>
      </c>
      <c r="D64" t="s">
        <v>978</v>
      </c>
      <c r="G64">
        <f t="shared" si="0"/>
        <v>0.18</v>
      </c>
      <c r="H64">
        <v>0.0147</v>
      </c>
      <c r="I64">
        <v>0.014755</v>
      </c>
      <c r="J64">
        <v>0.014809</v>
      </c>
      <c r="K64">
        <v>0.014864</v>
      </c>
      <c r="L64">
        <v>0.014918</v>
      </c>
      <c r="M64">
        <v>0.014973</v>
      </c>
      <c r="N64">
        <v>0.015027</v>
      </c>
      <c r="O64">
        <v>0.015082</v>
      </c>
      <c r="P64">
        <v>0.015136</v>
      </c>
      <c r="Q64">
        <v>0.015191</v>
      </c>
      <c r="R64">
        <v>0.015245</v>
      </c>
      <c r="S64">
        <v>0.0153</v>
      </c>
    </row>
    <row r="65" spans="1:19">
      <c r="A65" t="s">
        <v>192</v>
      </c>
      <c r="B65" t="s">
        <v>179</v>
      </c>
      <c r="C65" t="s">
        <v>979</v>
      </c>
      <c r="D65" t="s">
        <v>980</v>
      </c>
      <c r="G65">
        <f t="shared" si="0"/>
        <v>0.36</v>
      </c>
      <c r="H65">
        <v>0.0294</v>
      </c>
      <c r="I65">
        <v>0.029509</v>
      </c>
      <c r="J65">
        <v>0.029618</v>
      </c>
      <c r="K65">
        <v>0.029727</v>
      </c>
      <c r="L65">
        <v>0.029836</v>
      </c>
      <c r="M65">
        <v>0.029945</v>
      </c>
      <c r="N65">
        <v>0.030055</v>
      </c>
      <c r="O65">
        <v>0.030164</v>
      </c>
      <c r="P65">
        <v>0.030273</v>
      </c>
      <c r="Q65">
        <v>0.030382</v>
      </c>
      <c r="R65">
        <v>0.030491</v>
      </c>
      <c r="S65">
        <v>0.0306</v>
      </c>
    </row>
    <row r="66" spans="1:19">
      <c r="A66" t="s">
        <v>192</v>
      </c>
      <c r="B66" t="s">
        <v>179</v>
      </c>
      <c r="C66" t="s">
        <v>981</v>
      </c>
      <c r="D66" t="s">
        <v>982</v>
      </c>
      <c r="G66">
        <f t="shared" ref="G66:G129" si="26">H66+I66+J66+K66+L66+M66+N66+O66+P66+Q66+R66+S66</f>
        <v>6</v>
      </c>
      <c r="H66">
        <v>0.49</v>
      </c>
      <c r="I66">
        <v>0.491818</v>
      </c>
      <c r="J66">
        <v>0.493636</v>
      </c>
      <c r="K66">
        <v>0.495455</v>
      </c>
      <c r="L66">
        <v>0.497273</v>
      </c>
      <c r="M66">
        <v>0.499091</v>
      </c>
      <c r="N66">
        <v>0.500909</v>
      </c>
      <c r="O66">
        <v>0.502727</v>
      </c>
      <c r="P66">
        <v>0.504545</v>
      </c>
      <c r="Q66">
        <v>0.506364</v>
      </c>
      <c r="R66">
        <v>0.508182</v>
      </c>
      <c r="S66">
        <v>0.51</v>
      </c>
    </row>
    <row r="67" spans="1:19">
      <c r="A67" t="s">
        <v>192</v>
      </c>
      <c r="B67" t="s">
        <v>179</v>
      </c>
      <c r="C67" t="s">
        <v>983</v>
      </c>
      <c r="D67" t="s">
        <v>984</v>
      </c>
      <c r="G67">
        <f t="shared" si="26"/>
        <v>0.36</v>
      </c>
      <c r="H67">
        <v>0.0294</v>
      </c>
      <c r="I67">
        <v>0.029509</v>
      </c>
      <c r="J67">
        <v>0.029618</v>
      </c>
      <c r="K67">
        <v>0.029727</v>
      </c>
      <c r="L67">
        <v>0.029836</v>
      </c>
      <c r="M67">
        <v>0.029945</v>
      </c>
      <c r="N67">
        <v>0.030055</v>
      </c>
      <c r="O67">
        <v>0.030164</v>
      </c>
      <c r="P67">
        <v>0.030273</v>
      </c>
      <c r="Q67">
        <v>0.030382</v>
      </c>
      <c r="R67">
        <v>0.030491</v>
      </c>
      <c r="S67">
        <v>0.0306</v>
      </c>
    </row>
    <row r="68" spans="1:19">
      <c r="A68" t="s">
        <v>192</v>
      </c>
      <c r="B68" t="s">
        <v>179</v>
      </c>
      <c r="C68" t="s">
        <v>985</v>
      </c>
      <c r="D68" t="s">
        <v>986</v>
      </c>
      <c r="G68">
        <f t="shared" si="26"/>
        <v>24294386</v>
      </c>
      <c r="H68">
        <v>1724220</v>
      </c>
      <c r="I68">
        <v>1634772</v>
      </c>
      <c r="J68">
        <v>1914936</v>
      </c>
      <c r="K68">
        <v>1958719</v>
      </c>
      <c r="L68">
        <v>2007325</v>
      </c>
      <c r="M68">
        <v>2075412</v>
      </c>
      <c r="N68">
        <v>2138675</v>
      </c>
      <c r="O68">
        <v>2109549</v>
      </c>
      <c r="P68">
        <v>2060943</v>
      </c>
      <c r="Q68">
        <v>2211962</v>
      </c>
      <c r="R68">
        <v>2187659</v>
      </c>
      <c r="S68">
        <v>2270214</v>
      </c>
    </row>
    <row r="69" spans="1:19">
      <c r="A69" t="s">
        <v>60</v>
      </c>
      <c r="B69" t="s">
        <v>35</v>
      </c>
      <c r="C69" t="s">
        <v>987</v>
      </c>
      <c r="D69" t="s">
        <v>988</v>
      </c>
      <c r="G69">
        <f t="shared" si="26"/>
        <v>0.96</v>
      </c>
      <c r="H69">
        <f t="shared" ref="H69:S69" si="27">H70+H71+H72+H73</f>
        <v>0.0784</v>
      </c>
      <c r="I69">
        <f t="shared" si="27"/>
        <v>0.078692</v>
      </c>
      <c r="J69">
        <f t="shared" si="27"/>
        <v>0.078982</v>
      </c>
      <c r="K69">
        <f t="shared" si="27"/>
        <v>0.079274</v>
      </c>
      <c r="L69">
        <f t="shared" si="27"/>
        <v>0.079563</v>
      </c>
      <c r="M69">
        <f t="shared" si="27"/>
        <v>0.079855</v>
      </c>
      <c r="N69">
        <f t="shared" si="27"/>
        <v>0.080145</v>
      </c>
      <c r="O69">
        <f t="shared" si="27"/>
        <v>0.080437</v>
      </c>
      <c r="P69">
        <f t="shared" si="27"/>
        <v>0.080726</v>
      </c>
      <c r="Q69">
        <f t="shared" si="27"/>
        <v>0.081018</v>
      </c>
      <c r="R69">
        <f t="shared" si="27"/>
        <v>0.081308</v>
      </c>
      <c r="S69">
        <f t="shared" si="27"/>
        <v>0.0816</v>
      </c>
    </row>
    <row r="70" spans="1:19">
      <c r="A70" t="s">
        <v>192</v>
      </c>
      <c r="B70" t="s">
        <v>179</v>
      </c>
      <c r="C70" t="s">
        <v>989</v>
      </c>
      <c r="D70" t="s">
        <v>990</v>
      </c>
      <c r="G70">
        <f t="shared" si="26"/>
        <v>0.18</v>
      </c>
      <c r="H70">
        <v>0.0147</v>
      </c>
      <c r="I70">
        <v>0.014755</v>
      </c>
      <c r="J70">
        <v>0.014809</v>
      </c>
      <c r="K70">
        <v>0.014864</v>
      </c>
      <c r="L70">
        <v>0.014918</v>
      </c>
      <c r="M70">
        <v>0.014973</v>
      </c>
      <c r="N70">
        <v>0.015027</v>
      </c>
      <c r="O70">
        <v>0.015082</v>
      </c>
      <c r="P70">
        <v>0.015136</v>
      </c>
      <c r="Q70">
        <v>0.015191</v>
      </c>
      <c r="R70">
        <v>0.015245</v>
      </c>
      <c r="S70">
        <v>0.0153</v>
      </c>
    </row>
    <row r="71" spans="1:19">
      <c r="A71" t="s">
        <v>192</v>
      </c>
      <c r="B71" t="s">
        <v>179</v>
      </c>
      <c r="C71" t="s">
        <v>991</v>
      </c>
      <c r="D71" t="s">
        <v>992</v>
      </c>
      <c r="G71">
        <f t="shared" si="26"/>
        <v>0.18</v>
      </c>
      <c r="H71">
        <v>0.0147</v>
      </c>
      <c r="I71">
        <v>0.014755</v>
      </c>
      <c r="J71">
        <v>0.014809</v>
      </c>
      <c r="K71">
        <v>0.014864</v>
      </c>
      <c r="L71">
        <v>0.014918</v>
      </c>
      <c r="M71">
        <v>0.014973</v>
      </c>
      <c r="N71">
        <v>0.015027</v>
      </c>
      <c r="O71">
        <v>0.015082</v>
      </c>
      <c r="P71">
        <v>0.015136</v>
      </c>
      <c r="Q71">
        <v>0.015191</v>
      </c>
      <c r="R71">
        <v>0.015245</v>
      </c>
      <c r="S71">
        <v>0.0153</v>
      </c>
    </row>
    <row r="72" spans="1:19">
      <c r="A72" t="s">
        <v>192</v>
      </c>
      <c r="B72" t="s">
        <v>179</v>
      </c>
      <c r="C72" t="s">
        <v>993</v>
      </c>
      <c r="D72" t="s">
        <v>994</v>
      </c>
      <c r="G72">
        <f t="shared" si="26"/>
        <v>0.18</v>
      </c>
      <c r="H72">
        <v>0.0147</v>
      </c>
      <c r="I72">
        <v>0.014755</v>
      </c>
      <c r="J72">
        <v>0.014809</v>
      </c>
      <c r="K72">
        <v>0.014864</v>
      </c>
      <c r="L72">
        <v>0.014918</v>
      </c>
      <c r="M72">
        <v>0.014973</v>
      </c>
      <c r="N72">
        <v>0.015027</v>
      </c>
      <c r="O72">
        <v>0.015082</v>
      </c>
      <c r="P72">
        <v>0.015136</v>
      </c>
      <c r="Q72">
        <v>0.015191</v>
      </c>
      <c r="R72">
        <v>0.015245</v>
      </c>
      <c r="S72">
        <v>0.0153</v>
      </c>
    </row>
    <row r="73" spans="1:19">
      <c r="A73" t="s">
        <v>192</v>
      </c>
      <c r="B73" t="s">
        <v>179</v>
      </c>
      <c r="C73" t="s">
        <v>995</v>
      </c>
      <c r="D73" t="s">
        <v>996</v>
      </c>
      <c r="G73">
        <f t="shared" si="26"/>
        <v>0.42</v>
      </c>
      <c r="H73">
        <v>0.0343</v>
      </c>
      <c r="I73">
        <v>0.034427</v>
      </c>
      <c r="J73">
        <v>0.034555</v>
      </c>
      <c r="K73">
        <v>0.034682</v>
      </c>
      <c r="L73">
        <v>0.034809</v>
      </c>
      <c r="M73">
        <v>0.034936</v>
      </c>
      <c r="N73">
        <v>0.035064</v>
      </c>
      <c r="O73">
        <v>0.035191</v>
      </c>
      <c r="P73">
        <v>0.035318</v>
      </c>
      <c r="Q73">
        <v>0.035445</v>
      </c>
      <c r="R73">
        <v>0.035573</v>
      </c>
      <c r="S73">
        <v>0.0357</v>
      </c>
    </row>
    <row r="74" spans="1:19">
      <c r="A74" t="s">
        <v>60</v>
      </c>
      <c r="B74" t="s">
        <v>35</v>
      </c>
      <c r="C74" t="s">
        <v>997</v>
      </c>
      <c r="D74" t="s">
        <v>998</v>
      </c>
      <c r="G74">
        <f t="shared" si="26"/>
        <v>0.18</v>
      </c>
      <c r="H74">
        <f t="shared" ref="H74:S74" si="28">H75</f>
        <v>0.0147</v>
      </c>
      <c r="I74">
        <f t="shared" si="28"/>
        <v>0.014755</v>
      </c>
      <c r="J74">
        <f t="shared" si="28"/>
        <v>0.014809</v>
      </c>
      <c r="K74">
        <f t="shared" si="28"/>
        <v>0.014864</v>
      </c>
      <c r="L74">
        <f t="shared" si="28"/>
        <v>0.014918</v>
      </c>
      <c r="M74">
        <f t="shared" si="28"/>
        <v>0.014973</v>
      </c>
      <c r="N74">
        <f t="shared" si="28"/>
        <v>0.015027</v>
      </c>
      <c r="O74">
        <f t="shared" si="28"/>
        <v>0.015082</v>
      </c>
      <c r="P74">
        <f t="shared" si="28"/>
        <v>0.015136</v>
      </c>
      <c r="Q74">
        <f t="shared" si="28"/>
        <v>0.015191</v>
      </c>
      <c r="R74">
        <f t="shared" si="28"/>
        <v>0.015245</v>
      </c>
      <c r="S74">
        <f t="shared" si="28"/>
        <v>0.0153</v>
      </c>
    </row>
    <row r="75" spans="1:19">
      <c r="A75" t="s">
        <v>192</v>
      </c>
      <c r="B75" t="s">
        <v>179</v>
      </c>
      <c r="C75" t="s">
        <v>999</v>
      </c>
      <c r="D75" t="s">
        <v>1000</v>
      </c>
      <c r="G75">
        <f t="shared" si="26"/>
        <v>0.18</v>
      </c>
      <c r="H75">
        <v>0.0147</v>
      </c>
      <c r="I75">
        <v>0.014755</v>
      </c>
      <c r="J75">
        <v>0.014809</v>
      </c>
      <c r="K75">
        <v>0.014864</v>
      </c>
      <c r="L75">
        <v>0.014918</v>
      </c>
      <c r="M75">
        <v>0.014973</v>
      </c>
      <c r="N75">
        <v>0.015027</v>
      </c>
      <c r="O75">
        <v>0.015082</v>
      </c>
      <c r="P75">
        <v>0.015136</v>
      </c>
      <c r="Q75">
        <v>0.015191</v>
      </c>
      <c r="R75">
        <v>0.015245</v>
      </c>
      <c r="S75">
        <v>0.0153</v>
      </c>
    </row>
    <row r="76" spans="1:19">
      <c r="A76" t="s">
        <v>60</v>
      </c>
      <c r="B76" t="s">
        <v>20</v>
      </c>
      <c r="C76" t="s">
        <v>1001</v>
      </c>
      <c r="D76" t="s">
        <v>1002</v>
      </c>
      <c r="G76">
        <f t="shared" si="26"/>
        <v>242943969</v>
      </c>
      <c r="H76">
        <v>17242211</v>
      </c>
      <c r="I76">
        <v>16347725</v>
      </c>
      <c r="J76">
        <v>19149364</v>
      </c>
      <c r="K76">
        <v>19587197</v>
      </c>
      <c r="L76">
        <v>20073261</v>
      </c>
      <c r="M76">
        <v>20754125</v>
      </c>
      <c r="N76">
        <v>21386761</v>
      </c>
      <c r="O76">
        <v>21095501</v>
      </c>
      <c r="P76">
        <v>20609440</v>
      </c>
      <c r="Q76">
        <v>22119633</v>
      </c>
      <c r="R76">
        <v>21876600</v>
      </c>
      <c r="S76">
        <v>22702151</v>
      </c>
    </row>
    <row r="77" spans="1:19">
      <c r="A77" t="s">
        <v>60</v>
      </c>
      <c r="B77" t="s">
        <v>35</v>
      </c>
      <c r="C77" t="s">
        <v>1003</v>
      </c>
      <c r="D77" t="s">
        <v>1004</v>
      </c>
      <c r="G77">
        <f t="shared" si="26"/>
        <v>242943969</v>
      </c>
      <c r="H77">
        <v>17242211</v>
      </c>
      <c r="I77">
        <v>16347725</v>
      </c>
      <c r="J77">
        <v>19149364</v>
      </c>
      <c r="K77">
        <v>19587197</v>
      </c>
      <c r="L77">
        <v>20073261</v>
      </c>
      <c r="M77">
        <v>20754125</v>
      </c>
      <c r="N77">
        <v>21386761</v>
      </c>
      <c r="O77">
        <v>21095501</v>
      </c>
      <c r="P77">
        <v>20609440</v>
      </c>
      <c r="Q77">
        <v>22119633</v>
      </c>
      <c r="R77">
        <v>21876600</v>
      </c>
      <c r="S77">
        <v>22702151</v>
      </c>
    </row>
    <row r="78" spans="1:19">
      <c r="A78" t="s">
        <v>26</v>
      </c>
      <c r="B78" t="s">
        <v>20</v>
      </c>
      <c r="C78" t="s">
        <v>1005</v>
      </c>
      <c r="D78" t="s">
        <v>1006</v>
      </c>
      <c r="G78">
        <f t="shared" si="26"/>
        <v>7.32</v>
      </c>
      <c r="H78">
        <f t="shared" ref="H78:S78" si="29">H79+H80+H83</f>
        <v>0.5978</v>
      </c>
      <c r="I78">
        <f t="shared" si="29"/>
        <v>0.600019</v>
      </c>
      <c r="J78">
        <f t="shared" si="29"/>
        <v>0.602236</v>
      </c>
      <c r="K78">
        <f t="shared" si="29"/>
        <v>0.604456</v>
      </c>
      <c r="L78">
        <f t="shared" si="29"/>
        <v>0.606672</v>
      </c>
      <c r="M78">
        <f t="shared" si="29"/>
        <v>0.608891</v>
      </c>
      <c r="N78">
        <f t="shared" si="29"/>
        <v>0.611109</v>
      </c>
      <c r="O78">
        <f t="shared" si="29"/>
        <v>0.613328</v>
      </c>
      <c r="P78">
        <f t="shared" si="29"/>
        <v>0.615544</v>
      </c>
      <c r="Q78">
        <f t="shared" si="29"/>
        <v>0.617764</v>
      </c>
      <c r="R78">
        <f t="shared" si="29"/>
        <v>0.619981</v>
      </c>
      <c r="S78">
        <f t="shared" si="29"/>
        <v>0.6222</v>
      </c>
    </row>
    <row r="79" spans="1:19">
      <c r="A79" t="s">
        <v>60</v>
      </c>
      <c r="B79" t="s">
        <v>179</v>
      </c>
      <c r="C79" t="s">
        <v>1007</v>
      </c>
      <c r="D79" t="s">
        <v>1008</v>
      </c>
      <c r="G79">
        <f t="shared" si="26"/>
        <v>0.42</v>
      </c>
      <c r="H79">
        <v>0.0343</v>
      </c>
      <c r="I79">
        <v>0.034427</v>
      </c>
      <c r="J79">
        <v>0.034555</v>
      </c>
      <c r="K79">
        <v>0.034682</v>
      </c>
      <c r="L79">
        <v>0.034809</v>
      </c>
      <c r="M79">
        <v>0.034936</v>
      </c>
      <c r="N79">
        <v>0.035064</v>
      </c>
      <c r="O79">
        <v>0.035191</v>
      </c>
      <c r="P79">
        <v>0.035318</v>
      </c>
      <c r="Q79">
        <v>0.035445</v>
      </c>
      <c r="R79">
        <v>0.035573</v>
      </c>
      <c r="S79">
        <v>0.0357</v>
      </c>
    </row>
    <row r="80" spans="1:19">
      <c r="A80" t="s">
        <v>60</v>
      </c>
      <c r="B80" t="s">
        <v>20</v>
      </c>
      <c r="C80" t="s">
        <v>1009</v>
      </c>
      <c r="D80" t="s">
        <v>1010</v>
      </c>
      <c r="G80">
        <f t="shared" si="26"/>
        <v>0.54</v>
      </c>
      <c r="H80">
        <f t="shared" ref="H80:S80" si="30">H81+H82</f>
        <v>0.0441</v>
      </c>
      <c r="I80">
        <f t="shared" si="30"/>
        <v>0.044264</v>
      </c>
      <c r="J80">
        <f t="shared" si="30"/>
        <v>0.044427</v>
      </c>
      <c r="K80">
        <f t="shared" si="30"/>
        <v>0.044591</v>
      </c>
      <c r="L80">
        <f t="shared" si="30"/>
        <v>0.044754</v>
      </c>
      <c r="M80">
        <f t="shared" si="30"/>
        <v>0.044918</v>
      </c>
      <c r="N80">
        <f t="shared" si="30"/>
        <v>0.045082</v>
      </c>
      <c r="O80">
        <f t="shared" si="30"/>
        <v>0.045246</v>
      </c>
      <c r="P80">
        <f t="shared" si="30"/>
        <v>0.045409</v>
      </c>
      <c r="Q80">
        <f t="shared" si="30"/>
        <v>0.045573</v>
      </c>
      <c r="R80">
        <f t="shared" si="30"/>
        <v>0.045736</v>
      </c>
      <c r="S80">
        <f t="shared" si="30"/>
        <v>0.0459</v>
      </c>
    </row>
    <row r="81" spans="1:19">
      <c r="A81" t="s">
        <v>192</v>
      </c>
      <c r="B81" t="s">
        <v>179</v>
      </c>
      <c r="C81" t="s">
        <v>1011</v>
      </c>
      <c r="D81" t="s">
        <v>1012</v>
      </c>
      <c r="G81">
        <f t="shared" si="26"/>
        <v>0.36</v>
      </c>
      <c r="H81">
        <v>0.0294</v>
      </c>
      <c r="I81">
        <v>0.029509</v>
      </c>
      <c r="J81">
        <v>0.029618</v>
      </c>
      <c r="K81">
        <v>0.029727</v>
      </c>
      <c r="L81">
        <v>0.029836</v>
      </c>
      <c r="M81">
        <v>0.029945</v>
      </c>
      <c r="N81">
        <v>0.030055</v>
      </c>
      <c r="O81">
        <v>0.030164</v>
      </c>
      <c r="P81">
        <v>0.030273</v>
      </c>
      <c r="Q81">
        <v>0.030382</v>
      </c>
      <c r="R81">
        <v>0.030491</v>
      </c>
      <c r="S81">
        <v>0.0306</v>
      </c>
    </row>
    <row r="82" spans="1:19">
      <c r="A82" t="s">
        <v>192</v>
      </c>
      <c r="B82" t="s">
        <v>179</v>
      </c>
      <c r="C82" t="s">
        <v>1013</v>
      </c>
      <c r="D82" t="s">
        <v>1014</v>
      </c>
      <c r="G82">
        <f t="shared" si="26"/>
        <v>0.18</v>
      </c>
      <c r="H82">
        <v>0.0147</v>
      </c>
      <c r="I82">
        <v>0.014755</v>
      </c>
      <c r="J82">
        <v>0.014809</v>
      </c>
      <c r="K82">
        <v>0.014864</v>
      </c>
      <c r="L82">
        <v>0.014918</v>
      </c>
      <c r="M82">
        <v>0.014973</v>
      </c>
      <c r="N82">
        <v>0.015027</v>
      </c>
      <c r="O82">
        <v>0.015082</v>
      </c>
      <c r="P82">
        <v>0.015136</v>
      </c>
      <c r="Q82">
        <v>0.015191</v>
      </c>
      <c r="R82">
        <v>0.015245</v>
      </c>
      <c r="S82">
        <v>0.0153</v>
      </c>
    </row>
    <row r="83" spans="1:19">
      <c r="A83" t="s">
        <v>60</v>
      </c>
      <c r="B83" t="s">
        <v>35</v>
      </c>
      <c r="C83" t="s">
        <v>1015</v>
      </c>
      <c r="D83" t="s">
        <v>1016</v>
      </c>
      <c r="G83">
        <f t="shared" si="26"/>
        <v>6.36</v>
      </c>
      <c r="H83">
        <f t="shared" ref="H83:S83" si="31">H84+H85+H86</f>
        <v>0.5194</v>
      </c>
      <c r="I83">
        <f t="shared" si="31"/>
        <v>0.521328</v>
      </c>
      <c r="J83">
        <f t="shared" si="31"/>
        <v>0.523254</v>
      </c>
      <c r="K83">
        <f t="shared" si="31"/>
        <v>0.525183</v>
      </c>
      <c r="L83">
        <f t="shared" si="31"/>
        <v>0.527109</v>
      </c>
      <c r="M83">
        <f t="shared" si="31"/>
        <v>0.529037</v>
      </c>
      <c r="N83">
        <f t="shared" si="31"/>
        <v>0.530963</v>
      </c>
      <c r="O83">
        <f t="shared" si="31"/>
        <v>0.532891</v>
      </c>
      <c r="P83">
        <f t="shared" si="31"/>
        <v>0.534817</v>
      </c>
      <c r="Q83">
        <f t="shared" si="31"/>
        <v>0.536746</v>
      </c>
      <c r="R83">
        <f t="shared" si="31"/>
        <v>0.538672</v>
      </c>
      <c r="S83">
        <f t="shared" si="31"/>
        <v>0.5406</v>
      </c>
    </row>
    <row r="84" spans="1:19">
      <c r="A84" t="s">
        <v>192</v>
      </c>
      <c r="B84" t="s">
        <v>179</v>
      </c>
      <c r="C84" t="s">
        <v>1017</v>
      </c>
      <c r="D84" t="s">
        <v>1018</v>
      </c>
      <c r="G84">
        <f t="shared" si="26"/>
        <v>0.18</v>
      </c>
      <c r="H84">
        <v>0.0147</v>
      </c>
      <c r="I84">
        <v>0.014755</v>
      </c>
      <c r="J84">
        <v>0.014809</v>
      </c>
      <c r="K84">
        <v>0.014864</v>
      </c>
      <c r="L84">
        <v>0.014918</v>
      </c>
      <c r="M84">
        <v>0.014973</v>
      </c>
      <c r="N84">
        <v>0.015027</v>
      </c>
      <c r="O84">
        <v>0.015082</v>
      </c>
      <c r="P84">
        <v>0.015136</v>
      </c>
      <c r="Q84">
        <v>0.015191</v>
      </c>
      <c r="R84">
        <v>0.015245</v>
      </c>
      <c r="S84">
        <v>0.0153</v>
      </c>
    </row>
    <row r="85" spans="1:19">
      <c r="A85" t="s">
        <v>192</v>
      </c>
      <c r="B85" t="s">
        <v>179</v>
      </c>
      <c r="C85" t="s">
        <v>1019</v>
      </c>
      <c r="D85" t="s">
        <v>1020</v>
      </c>
      <c r="G85">
        <f t="shared" si="26"/>
        <v>0.18</v>
      </c>
      <c r="H85">
        <v>0.0147</v>
      </c>
      <c r="I85">
        <v>0.014755</v>
      </c>
      <c r="J85">
        <v>0.014809</v>
      </c>
      <c r="K85">
        <v>0.014864</v>
      </c>
      <c r="L85">
        <v>0.014918</v>
      </c>
      <c r="M85">
        <v>0.014973</v>
      </c>
      <c r="N85">
        <v>0.015027</v>
      </c>
      <c r="O85">
        <v>0.015082</v>
      </c>
      <c r="P85">
        <v>0.015136</v>
      </c>
      <c r="Q85">
        <v>0.015191</v>
      </c>
      <c r="R85">
        <v>0.015245</v>
      </c>
      <c r="S85">
        <v>0.0153</v>
      </c>
    </row>
    <row r="86" spans="1:19">
      <c r="A86" t="s">
        <v>192</v>
      </c>
      <c r="B86" t="s">
        <v>179</v>
      </c>
      <c r="C86" t="s">
        <v>1021</v>
      </c>
      <c r="D86" t="s">
        <v>1022</v>
      </c>
      <c r="G86">
        <f t="shared" si="26"/>
        <v>6</v>
      </c>
      <c r="H86">
        <v>0.49</v>
      </c>
      <c r="I86">
        <v>0.491818</v>
      </c>
      <c r="J86">
        <v>0.493636</v>
      </c>
      <c r="K86">
        <v>0.495455</v>
      </c>
      <c r="L86">
        <v>0.497273</v>
      </c>
      <c r="M86">
        <v>0.499091</v>
      </c>
      <c r="N86">
        <v>0.500909</v>
      </c>
      <c r="O86">
        <v>0.502727</v>
      </c>
      <c r="P86">
        <v>0.504545</v>
      </c>
      <c r="Q86">
        <v>0.506364</v>
      </c>
      <c r="R86">
        <v>0.508182</v>
      </c>
      <c r="S86">
        <v>0.51</v>
      </c>
    </row>
    <row r="87" spans="1:19">
      <c r="A87" t="s">
        <v>23</v>
      </c>
      <c r="B87" t="s">
        <v>20</v>
      </c>
      <c r="C87" t="s">
        <v>1023</v>
      </c>
      <c r="D87" t="s">
        <v>225</v>
      </c>
      <c r="G87">
        <f t="shared" si="26"/>
        <v>0.42</v>
      </c>
      <c r="H87">
        <f t="shared" ref="H87:S87" si="32">H88</f>
        <v>0.0343</v>
      </c>
      <c r="I87">
        <f t="shared" si="32"/>
        <v>0.034427</v>
      </c>
      <c r="J87">
        <f t="shared" si="32"/>
        <v>0.034555</v>
      </c>
      <c r="K87">
        <f t="shared" si="32"/>
        <v>0.034682</v>
      </c>
      <c r="L87">
        <f t="shared" si="32"/>
        <v>0.034809</v>
      </c>
      <c r="M87">
        <f t="shared" si="32"/>
        <v>0.034936</v>
      </c>
      <c r="N87">
        <f t="shared" si="32"/>
        <v>0.035064</v>
      </c>
      <c r="O87">
        <f t="shared" si="32"/>
        <v>0.035191</v>
      </c>
      <c r="P87">
        <f t="shared" si="32"/>
        <v>0.035318</v>
      </c>
      <c r="Q87">
        <f t="shared" si="32"/>
        <v>0.035445</v>
      </c>
      <c r="R87">
        <f t="shared" si="32"/>
        <v>0.035573</v>
      </c>
      <c r="S87">
        <f t="shared" si="32"/>
        <v>0.0357</v>
      </c>
    </row>
    <row r="88" spans="1:19">
      <c r="A88" t="s">
        <v>26</v>
      </c>
      <c r="B88" t="s">
        <v>20</v>
      </c>
      <c r="C88" t="s">
        <v>1024</v>
      </c>
      <c r="D88" t="s">
        <v>227</v>
      </c>
      <c r="G88">
        <f t="shared" si="26"/>
        <v>0.42</v>
      </c>
      <c r="H88">
        <f t="shared" ref="H88:S88" si="33">H89</f>
        <v>0.0343</v>
      </c>
      <c r="I88">
        <f t="shared" si="33"/>
        <v>0.034427</v>
      </c>
      <c r="J88">
        <f t="shared" si="33"/>
        <v>0.034555</v>
      </c>
      <c r="K88">
        <f t="shared" si="33"/>
        <v>0.034682</v>
      </c>
      <c r="L88">
        <f t="shared" si="33"/>
        <v>0.034809</v>
      </c>
      <c r="M88">
        <f t="shared" si="33"/>
        <v>0.034936</v>
      </c>
      <c r="N88">
        <f t="shared" si="33"/>
        <v>0.035064</v>
      </c>
      <c r="O88">
        <f t="shared" si="33"/>
        <v>0.035191</v>
      </c>
      <c r="P88">
        <f t="shared" si="33"/>
        <v>0.035318</v>
      </c>
      <c r="Q88">
        <f t="shared" si="33"/>
        <v>0.035445</v>
      </c>
      <c r="R88">
        <f t="shared" si="33"/>
        <v>0.035573</v>
      </c>
      <c r="S88">
        <f t="shared" si="33"/>
        <v>0.0357</v>
      </c>
    </row>
    <row r="89" spans="1:19">
      <c r="A89" t="s">
        <v>60</v>
      </c>
      <c r="B89" t="s">
        <v>179</v>
      </c>
      <c r="C89" t="s">
        <v>1025</v>
      </c>
      <c r="D89" t="s">
        <v>229</v>
      </c>
      <c r="G89">
        <f t="shared" si="26"/>
        <v>0.42</v>
      </c>
      <c r="H89">
        <v>0.0343</v>
      </c>
      <c r="I89">
        <v>0.034427</v>
      </c>
      <c r="J89">
        <v>0.034555</v>
      </c>
      <c r="K89">
        <v>0.034682</v>
      </c>
      <c r="L89">
        <v>0.034809</v>
      </c>
      <c r="M89">
        <v>0.034936</v>
      </c>
      <c r="N89">
        <v>0.035064</v>
      </c>
      <c r="O89">
        <v>0.035191</v>
      </c>
      <c r="P89">
        <v>0.035318</v>
      </c>
      <c r="Q89">
        <v>0.035445</v>
      </c>
      <c r="R89">
        <v>0.035573</v>
      </c>
      <c r="S89">
        <v>0.0357</v>
      </c>
    </row>
    <row r="90" spans="1:19">
      <c r="A90" t="s">
        <v>19</v>
      </c>
      <c r="B90" t="s">
        <v>35</v>
      </c>
      <c r="C90" t="s">
        <v>1026</v>
      </c>
      <c r="D90" t="s">
        <v>241</v>
      </c>
      <c r="G90">
        <f t="shared" si="26"/>
        <v>300000000.9</v>
      </c>
      <c r="H90">
        <f t="shared" ref="H90:S90" si="34">H91+H96+H99</f>
        <v>21000000.0735</v>
      </c>
      <c r="I90">
        <f t="shared" si="34"/>
        <v>19500000.073773</v>
      </c>
      <c r="J90">
        <f t="shared" si="34"/>
        <v>23400000.074046</v>
      </c>
      <c r="K90">
        <f t="shared" si="34"/>
        <v>24000000.074319</v>
      </c>
      <c r="L90">
        <f t="shared" si="34"/>
        <v>24600000.074592</v>
      </c>
      <c r="M90">
        <f t="shared" si="34"/>
        <v>25500000.074865</v>
      </c>
      <c r="N90">
        <f t="shared" si="34"/>
        <v>26400000.075135</v>
      </c>
      <c r="O90">
        <f t="shared" si="34"/>
        <v>26100000.075408</v>
      </c>
      <c r="P90">
        <f t="shared" si="34"/>
        <v>25500000.075681</v>
      </c>
      <c r="Q90">
        <f t="shared" si="34"/>
        <v>27900000.075954</v>
      </c>
      <c r="R90">
        <f t="shared" si="34"/>
        <v>27600000.076227</v>
      </c>
      <c r="S90">
        <f t="shared" si="34"/>
        <v>28500000.0765</v>
      </c>
    </row>
    <row r="91" spans="1:19">
      <c r="A91" t="s">
        <v>23</v>
      </c>
      <c r="B91" t="s">
        <v>35</v>
      </c>
      <c r="C91" t="s">
        <v>1027</v>
      </c>
      <c r="D91" t="s">
        <v>243</v>
      </c>
      <c r="G91">
        <f t="shared" si="26"/>
        <v>0.6</v>
      </c>
      <c r="H91">
        <f t="shared" ref="H91:S91" si="35">H92+H94</f>
        <v>0.049</v>
      </c>
      <c r="I91">
        <f t="shared" si="35"/>
        <v>0.049182</v>
      </c>
      <c r="J91">
        <f t="shared" si="35"/>
        <v>0.049364</v>
      </c>
      <c r="K91">
        <f t="shared" si="35"/>
        <v>0.049546</v>
      </c>
      <c r="L91">
        <f t="shared" si="35"/>
        <v>0.049728</v>
      </c>
      <c r="M91">
        <f t="shared" si="35"/>
        <v>0.04991</v>
      </c>
      <c r="N91">
        <f t="shared" si="35"/>
        <v>0.05009</v>
      </c>
      <c r="O91">
        <f t="shared" si="35"/>
        <v>0.050272</v>
      </c>
      <c r="P91">
        <f t="shared" si="35"/>
        <v>0.050454</v>
      </c>
      <c r="Q91">
        <f t="shared" si="35"/>
        <v>0.050636</v>
      </c>
      <c r="R91">
        <f t="shared" si="35"/>
        <v>0.050818</v>
      </c>
      <c r="S91">
        <f t="shared" si="35"/>
        <v>0.051</v>
      </c>
    </row>
    <row r="92" spans="1:19">
      <c r="A92" t="s">
        <v>26</v>
      </c>
      <c r="B92" t="s">
        <v>35</v>
      </c>
      <c r="C92" t="s">
        <v>1028</v>
      </c>
      <c r="D92" t="s">
        <v>1029</v>
      </c>
      <c r="G92">
        <f t="shared" si="26"/>
        <v>0.3</v>
      </c>
      <c r="H92">
        <f t="shared" ref="H92:S92" si="36">H93</f>
        <v>0.0245</v>
      </c>
      <c r="I92">
        <f t="shared" si="36"/>
        <v>0.024591</v>
      </c>
      <c r="J92">
        <f t="shared" si="36"/>
        <v>0.024682</v>
      </c>
      <c r="K92">
        <f t="shared" si="36"/>
        <v>0.024773</v>
      </c>
      <c r="L92">
        <f t="shared" si="36"/>
        <v>0.024864</v>
      </c>
      <c r="M92">
        <f t="shared" si="36"/>
        <v>0.024955</v>
      </c>
      <c r="N92">
        <f t="shared" si="36"/>
        <v>0.025045</v>
      </c>
      <c r="O92">
        <f t="shared" si="36"/>
        <v>0.025136</v>
      </c>
      <c r="P92">
        <f t="shared" si="36"/>
        <v>0.025227</v>
      </c>
      <c r="Q92">
        <f t="shared" si="36"/>
        <v>0.025318</v>
      </c>
      <c r="R92">
        <f t="shared" si="36"/>
        <v>0.025409</v>
      </c>
      <c r="S92">
        <f t="shared" si="36"/>
        <v>0.0255</v>
      </c>
    </row>
    <row r="93" spans="1:19">
      <c r="A93" t="s">
        <v>60</v>
      </c>
      <c r="B93" t="s">
        <v>179</v>
      </c>
      <c r="C93" t="s">
        <v>1030</v>
      </c>
      <c r="D93" t="s">
        <v>1031</v>
      </c>
      <c r="G93">
        <f t="shared" si="26"/>
        <v>0.3</v>
      </c>
      <c r="H93">
        <v>0.0245</v>
      </c>
      <c r="I93">
        <v>0.024591</v>
      </c>
      <c r="J93">
        <v>0.024682</v>
      </c>
      <c r="K93">
        <v>0.024773</v>
      </c>
      <c r="L93">
        <v>0.024864</v>
      </c>
      <c r="M93">
        <v>0.024955</v>
      </c>
      <c r="N93">
        <v>0.025045</v>
      </c>
      <c r="O93">
        <v>0.025136</v>
      </c>
      <c r="P93">
        <v>0.025227</v>
      </c>
      <c r="Q93">
        <v>0.025318</v>
      </c>
      <c r="R93">
        <v>0.025409</v>
      </c>
      <c r="S93">
        <v>0.0255</v>
      </c>
    </row>
    <row r="94" spans="1:19">
      <c r="A94" t="s">
        <v>26</v>
      </c>
      <c r="B94" t="s">
        <v>35</v>
      </c>
      <c r="C94" t="s">
        <v>1032</v>
      </c>
      <c r="D94" t="s">
        <v>1033</v>
      </c>
      <c r="G94">
        <f t="shared" si="26"/>
        <v>0.3</v>
      </c>
      <c r="H94">
        <f t="shared" ref="H94:S94" si="37">H95</f>
        <v>0.0245</v>
      </c>
      <c r="I94">
        <f t="shared" si="37"/>
        <v>0.024591</v>
      </c>
      <c r="J94">
        <f t="shared" si="37"/>
        <v>0.024682</v>
      </c>
      <c r="K94">
        <f t="shared" si="37"/>
        <v>0.024773</v>
      </c>
      <c r="L94">
        <f t="shared" si="37"/>
        <v>0.024864</v>
      </c>
      <c r="M94">
        <f t="shared" si="37"/>
        <v>0.024955</v>
      </c>
      <c r="N94">
        <f t="shared" si="37"/>
        <v>0.025045</v>
      </c>
      <c r="O94">
        <f t="shared" si="37"/>
        <v>0.025136</v>
      </c>
      <c r="P94">
        <f t="shared" si="37"/>
        <v>0.025227</v>
      </c>
      <c r="Q94">
        <f t="shared" si="37"/>
        <v>0.025318</v>
      </c>
      <c r="R94">
        <f t="shared" si="37"/>
        <v>0.025409</v>
      </c>
      <c r="S94">
        <f t="shared" si="37"/>
        <v>0.0255</v>
      </c>
    </row>
    <row r="95" spans="1:19">
      <c r="A95" t="s">
        <v>60</v>
      </c>
      <c r="B95" t="s">
        <v>179</v>
      </c>
      <c r="C95" t="s">
        <v>1034</v>
      </c>
      <c r="D95" t="s">
        <v>1035</v>
      </c>
      <c r="G95">
        <f t="shared" si="26"/>
        <v>0.3</v>
      </c>
      <c r="H95">
        <v>0.0245</v>
      </c>
      <c r="I95">
        <v>0.024591</v>
      </c>
      <c r="J95">
        <v>0.024682</v>
      </c>
      <c r="K95">
        <v>0.024773</v>
      </c>
      <c r="L95">
        <v>0.024864</v>
      </c>
      <c r="M95">
        <v>0.024955</v>
      </c>
      <c r="N95">
        <v>0.025045</v>
      </c>
      <c r="O95">
        <v>0.025136</v>
      </c>
      <c r="P95">
        <v>0.025227</v>
      </c>
      <c r="Q95">
        <v>0.025318</v>
      </c>
      <c r="R95">
        <v>0.025409</v>
      </c>
      <c r="S95">
        <v>0.0255</v>
      </c>
    </row>
    <row r="96" spans="1:19">
      <c r="A96" t="s">
        <v>23</v>
      </c>
      <c r="B96" t="s">
        <v>35</v>
      </c>
      <c r="C96" t="s">
        <v>1036</v>
      </c>
      <c r="D96" t="s">
        <v>265</v>
      </c>
      <c r="G96">
        <f t="shared" si="26"/>
        <v>0.3</v>
      </c>
      <c r="H96">
        <f t="shared" ref="H96:S96" si="38">H97</f>
        <v>0.0245</v>
      </c>
      <c r="I96">
        <f t="shared" si="38"/>
        <v>0.024591</v>
      </c>
      <c r="J96">
        <f t="shared" si="38"/>
        <v>0.024682</v>
      </c>
      <c r="K96">
        <f t="shared" si="38"/>
        <v>0.024773</v>
      </c>
      <c r="L96">
        <f t="shared" si="38"/>
        <v>0.024864</v>
      </c>
      <c r="M96">
        <f t="shared" si="38"/>
        <v>0.024955</v>
      </c>
      <c r="N96">
        <f t="shared" si="38"/>
        <v>0.025045</v>
      </c>
      <c r="O96">
        <f t="shared" si="38"/>
        <v>0.025136</v>
      </c>
      <c r="P96">
        <f t="shared" si="38"/>
        <v>0.025227</v>
      </c>
      <c r="Q96">
        <f t="shared" si="38"/>
        <v>0.025318</v>
      </c>
      <c r="R96">
        <f t="shared" si="38"/>
        <v>0.025409</v>
      </c>
      <c r="S96">
        <f t="shared" si="38"/>
        <v>0.0255</v>
      </c>
    </row>
    <row r="97" spans="1:19">
      <c r="A97" t="s">
        <v>26</v>
      </c>
      <c r="B97" t="s">
        <v>35</v>
      </c>
      <c r="C97" t="s">
        <v>1037</v>
      </c>
      <c r="D97" t="s">
        <v>267</v>
      </c>
      <c r="G97">
        <f t="shared" si="26"/>
        <v>0.3</v>
      </c>
      <c r="H97">
        <f t="shared" ref="H97:S97" si="39">H98</f>
        <v>0.0245</v>
      </c>
      <c r="I97">
        <f t="shared" si="39"/>
        <v>0.024591</v>
      </c>
      <c r="J97">
        <f t="shared" si="39"/>
        <v>0.024682</v>
      </c>
      <c r="K97">
        <f t="shared" si="39"/>
        <v>0.024773</v>
      </c>
      <c r="L97">
        <f t="shared" si="39"/>
        <v>0.024864</v>
      </c>
      <c r="M97">
        <f t="shared" si="39"/>
        <v>0.024955</v>
      </c>
      <c r="N97">
        <f t="shared" si="39"/>
        <v>0.025045</v>
      </c>
      <c r="O97">
        <f t="shared" si="39"/>
        <v>0.025136</v>
      </c>
      <c r="P97">
        <f t="shared" si="39"/>
        <v>0.025227</v>
      </c>
      <c r="Q97">
        <f t="shared" si="39"/>
        <v>0.025318</v>
      </c>
      <c r="R97">
        <f t="shared" si="39"/>
        <v>0.025409</v>
      </c>
      <c r="S97">
        <f t="shared" si="39"/>
        <v>0.0255</v>
      </c>
    </row>
    <row r="98" spans="1:19">
      <c r="A98" t="s">
        <v>60</v>
      </c>
      <c r="B98" t="s">
        <v>179</v>
      </c>
      <c r="C98" t="s">
        <v>1038</v>
      </c>
      <c r="D98" t="s">
        <v>269</v>
      </c>
      <c r="G98">
        <f t="shared" si="26"/>
        <v>0.3</v>
      </c>
      <c r="H98">
        <v>0.0245</v>
      </c>
      <c r="I98">
        <v>0.024591</v>
      </c>
      <c r="J98">
        <v>0.024682</v>
      </c>
      <c r="K98">
        <v>0.024773</v>
      </c>
      <c r="L98">
        <v>0.024864</v>
      </c>
      <c r="M98">
        <v>0.024955</v>
      </c>
      <c r="N98">
        <v>0.025045</v>
      </c>
      <c r="O98">
        <v>0.025136</v>
      </c>
      <c r="P98">
        <v>0.025227</v>
      </c>
      <c r="Q98">
        <v>0.025318</v>
      </c>
      <c r="R98">
        <v>0.025409</v>
      </c>
      <c r="S98">
        <v>0.0255</v>
      </c>
    </row>
    <row r="99" spans="1:19">
      <c r="A99" t="s">
        <v>23</v>
      </c>
      <c r="B99" t="s">
        <v>35</v>
      </c>
      <c r="C99" t="s">
        <v>1039</v>
      </c>
      <c r="D99" t="s">
        <v>281</v>
      </c>
      <c r="G99">
        <f t="shared" si="26"/>
        <v>300000000</v>
      </c>
      <c r="H99">
        <f t="shared" ref="H99:S99" si="40">H100</f>
        <v>21000000</v>
      </c>
      <c r="I99">
        <f t="shared" si="40"/>
        <v>19500000</v>
      </c>
      <c r="J99">
        <f t="shared" si="40"/>
        <v>23400000</v>
      </c>
      <c r="K99">
        <f t="shared" si="40"/>
        <v>24000000</v>
      </c>
      <c r="L99">
        <f t="shared" si="40"/>
        <v>24600000</v>
      </c>
      <c r="M99">
        <f t="shared" si="40"/>
        <v>25500000</v>
      </c>
      <c r="N99">
        <f t="shared" si="40"/>
        <v>26400000</v>
      </c>
      <c r="O99">
        <f t="shared" si="40"/>
        <v>26100000</v>
      </c>
      <c r="P99">
        <f t="shared" si="40"/>
        <v>25500000</v>
      </c>
      <c r="Q99">
        <f t="shared" si="40"/>
        <v>27900000</v>
      </c>
      <c r="R99">
        <f t="shared" si="40"/>
        <v>27600000</v>
      </c>
      <c r="S99">
        <f t="shared" si="40"/>
        <v>28500000</v>
      </c>
    </row>
    <row r="100" spans="1:19">
      <c r="A100" t="s">
        <v>26</v>
      </c>
      <c r="B100" t="s">
        <v>35</v>
      </c>
      <c r="C100" t="s">
        <v>1040</v>
      </c>
      <c r="D100" t="s">
        <v>1041</v>
      </c>
      <c r="G100">
        <f t="shared" si="26"/>
        <v>300000000</v>
      </c>
      <c r="H100">
        <v>21000000</v>
      </c>
      <c r="I100">
        <v>19500000</v>
      </c>
      <c r="J100">
        <v>23400000</v>
      </c>
      <c r="K100">
        <v>24000000</v>
      </c>
      <c r="L100">
        <v>24600000</v>
      </c>
      <c r="M100">
        <v>25500000</v>
      </c>
      <c r="N100">
        <v>26400000</v>
      </c>
      <c r="O100">
        <v>26100000</v>
      </c>
      <c r="P100">
        <v>25500000</v>
      </c>
      <c r="Q100">
        <v>27900000</v>
      </c>
      <c r="R100">
        <v>27600000</v>
      </c>
      <c r="S100">
        <v>28500000</v>
      </c>
    </row>
    <row r="101" spans="1:19">
      <c r="A101" t="s">
        <v>19</v>
      </c>
      <c r="B101" t="s">
        <v>35</v>
      </c>
      <c r="C101" t="s">
        <v>1042</v>
      </c>
      <c r="D101" t="s">
        <v>285</v>
      </c>
      <c r="G101">
        <f t="shared" si="26"/>
        <v>0.432</v>
      </c>
      <c r="H101">
        <f t="shared" ref="H101:S101" si="41">H102+H104</f>
        <v>0.03528</v>
      </c>
      <c r="I101">
        <f t="shared" si="41"/>
        <v>0.03541</v>
      </c>
      <c r="J101">
        <f t="shared" si="41"/>
        <v>0.035542</v>
      </c>
      <c r="K101">
        <f t="shared" si="41"/>
        <v>0.035672</v>
      </c>
      <c r="L101">
        <f t="shared" si="41"/>
        <v>0.035804</v>
      </c>
      <c r="M101">
        <f t="shared" si="41"/>
        <v>0.035934</v>
      </c>
      <c r="N101">
        <f t="shared" si="41"/>
        <v>0.036066</v>
      </c>
      <c r="O101">
        <f t="shared" si="41"/>
        <v>0.036196</v>
      </c>
      <c r="P101">
        <f t="shared" si="41"/>
        <v>0.036328</v>
      </c>
      <c r="Q101">
        <f t="shared" si="41"/>
        <v>0.036458</v>
      </c>
      <c r="R101">
        <f t="shared" si="41"/>
        <v>0.03659</v>
      </c>
      <c r="S101">
        <f t="shared" si="41"/>
        <v>0.03672</v>
      </c>
    </row>
    <row r="102" spans="1:19">
      <c r="A102" t="s">
        <v>23</v>
      </c>
      <c r="B102" t="s">
        <v>35</v>
      </c>
      <c r="C102" t="s">
        <v>1043</v>
      </c>
      <c r="D102" t="s">
        <v>287</v>
      </c>
      <c r="G102">
        <f t="shared" si="26"/>
        <v>0.216</v>
      </c>
      <c r="H102">
        <f t="shared" ref="H102:S102" si="42">H103</f>
        <v>0.01764</v>
      </c>
      <c r="I102">
        <f t="shared" si="42"/>
        <v>0.017705</v>
      </c>
      <c r="J102">
        <f t="shared" si="42"/>
        <v>0.017771</v>
      </c>
      <c r="K102">
        <f t="shared" si="42"/>
        <v>0.017836</v>
      </c>
      <c r="L102">
        <f t="shared" si="42"/>
        <v>0.017902</v>
      </c>
      <c r="M102">
        <f t="shared" si="42"/>
        <v>0.017967</v>
      </c>
      <c r="N102">
        <f t="shared" si="42"/>
        <v>0.018033</v>
      </c>
      <c r="O102">
        <f t="shared" si="42"/>
        <v>0.018098</v>
      </c>
      <c r="P102">
        <f t="shared" si="42"/>
        <v>0.018164</v>
      </c>
      <c r="Q102">
        <f t="shared" si="42"/>
        <v>0.018229</v>
      </c>
      <c r="R102">
        <f t="shared" si="42"/>
        <v>0.018295</v>
      </c>
      <c r="S102">
        <f t="shared" si="42"/>
        <v>0.01836</v>
      </c>
    </row>
    <row r="103" spans="1:19">
      <c r="A103" t="s">
        <v>26</v>
      </c>
      <c r="B103" t="s">
        <v>179</v>
      </c>
      <c r="C103" t="s">
        <v>1044</v>
      </c>
      <c r="D103" t="s">
        <v>289</v>
      </c>
      <c r="G103">
        <f t="shared" si="26"/>
        <v>0.216</v>
      </c>
      <c r="H103">
        <v>0.01764</v>
      </c>
      <c r="I103">
        <v>0.017705</v>
      </c>
      <c r="J103">
        <v>0.017771</v>
      </c>
      <c r="K103">
        <v>0.017836</v>
      </c>
      <c r="L103">
        <v>0.017902</v>
      </c>
      <c r="M103">
        <v>0.017967</v>
      </c>
      <c r="N103">
        <v>0.018033</v>
      </c>
      <c r="O103">
        <v>0.018098</v>
      </c>
      <c r="P103">
        <v>0.018164</v>
      </c>
      <c r="Q103">
        <v>0.018229</v>
      </c>
      <c r="R103">
        <v>0.018295</v>
      </c>
      <c r="S103">
        <v>0.01836</v>
      </c>
    </row>
    <row r="104" spans="1:19">
      <c r="A104" t="s">
        <v>23</v>
      </c>
      <c r="B104" t="s">
        <v>35</v>
      </c>
      <c r="C104" t="s">
        <v>1045</v>
      </c>
      <c r="D104" t="s">
        <v>299</v>
      </c>
      <c r="G104">
        <f t="shared" si="26"/>
        <v>0.216</v>
      </c>
      <c r="H104">
        <f t="shared" ref="H104:S104" si="43">H105</f>
        <v>0.01764</v>
      </c>
      <c r="I104">
        <f t="shared" si="43"/>
        <v>0.017705</v>
      </c>
      <c r="J104">
        <f t="shared" si="43"/>
        <v>0.017771</v>
      </c>
      <c r="K104">
        <f t="shared" si="43"/>
        <v>0.017836</v>
      </c>
      <c r="L104">
        <f t="shared" si="43"/>
        <v>0.017902</v>
      </c>
      <c r="M104">
        <f t="shared" si="43"/>
        <v>0.017967</v>
      </c>
      <c r="N104">
        <f t="shared" si="43"/>
        <v>0.018033</v>
      </c>
      <c r="O104">
        <f t="shared" si="43"/>
        <v>0.018098</v>
      </c>
      <c r="P104">
        <f t="shared" si="43"/>
        <v>0.018164</v>
      </c>
      <c r="Q104">
        <f t="shared" si="43"/>
        <v>0.018229</v>
      </c>
      <c r="R104">
        <f t="shared" si="43"/>
        <v>0.018295</v>
      </c>
      <c r="S104">
        <f t="shared" si="43"/>
        <v>0.01836</v>
      </c>
    </row>
    <row r="105" spans="1:19">
      <c r="A105" t="s">
        <v>26</v>
      </c>
      <c r="B105" t="s">
        <v>35</v>
      </c>
      <c r="C105" t="s">
        <v>1046</v>
      </c>
      <c r="D105" t="s">
        <v>301</v>
      </c>
      <c r="G105">
        <f t="shared" si="26"/>
        <v>0.216</v>
      </c>
      <c r="H105">
        <f t="shared" ref="H105:S105" si="44">H106</f>
        <v>0.01764</v>
      </c>
      <c r="I105">
        <f t="shared" si="44"/>
        <v>0.017705</v>
      </c>
      <c r="J105">
        <f t="shared" si="44"/>
        <v>0.017771</v>
      </c>
      <c r="K105">
        <f t="shared" si="44"/>
        <v>0.017836</v>
      </c>
      <c r="L105">
        <f t="shared" si="44"/>
        <v>0.017902</v>
      </c>
      <c r="M105">
        <f t="shared" si="44"/>
        <v>0.017967</v>
      </c>
      <c r="N105">
        <f t="shared" si="44"/>
        <v>0.018033</v>
      </c>
      <c r="O105">
        <f t="shared" si="44"/>
        <v>0.018098</v>
      </c>
      <c r="P105">
        <f t="shared" si="44"/>
        <v>0.018164</v>
      </c>
      <c r="Q105">
        <f t="shared" si="44"/>
        <v>0.018229</v>
      </c>
      <c r="R105">
        <f t="shared" si="44"/>
        <v>0.018295</v>
      </c>
      <c r="S105">
        <f t="shared" si="44"/>
        <v>0.01836</v>
      </c>
    </row>
    <row r="106" spans="1:19">
      <c r="A106" t="s">
        <v>60</v>
      </c>
      <c r="B106" t="s">
        <v>179</v>
      </c>
      <c r="C106" t="s">
        <v>1047</v>
      </c>
      <c r="D106" t="s">
        <v>303</v>
      </c>
      <c r="G106">
        <f t="shared" si="26"/>
        <v>0.216</v>
      </c>
      <c r="H106">
        <v>0.01764</v>
      </c>
      <c r="I106">
        <v>0.017705</v>
      </c>
      <c r="J106">
        <v>0.017771</v>
      </c>
      <c r="K106">
        <v>0.017836</v>
      </c>
      <c r="L106">
        <v>0.017902</v>
      </c>
      <c r="M106">
        <v>0.017967</v>
      </c>
      <c r="N106">
        <v>0.018033</v>
      </c>
      <c r="O106">
        <v>0.018098</v>
      </c>
      <c r="P106">
        <v>0.018164</v>
      </c>
      <c r="Q106">
        <v>0.018229</v>
      </c>
      <c r="R106">
        <v>0.018295</v>
      </c>
      <c r="S106">
        <v>0.01836</v>
      </c>
    </row>
    <row r="107" spans="1:19">
      <c r="A107" t="s">
        <v>19</v>
      </c>
      <c r="B107" t="s">
        <v>20</v>
      </c>
      <c r="C107" t="s">
        <v>1048</v>
      </c>
      <c r="D107" t="s">
        <v>309</v>
      </c>
      <c r="G107">
        <f t="shared" si="26"/>
        <v>0.6</v>
      </c>
      <c r="H107">
        <f t="shared" ref="H107:S107" si="45">H108+H110</f>
        <v>0.049</v>
      </c>
      <c r="I107">
        <f t="shared" si="45"/>
        <v>0.049182</v>
      </c>
      <c r="J107">
        <f t="shared" si="45"/>
        <v>0.049364</v>
      </c>
      <c r="K107">
        <f t="shared" si="45"/>
        <v>0.049546</v>
      </c>
      <c r="L107">
        <f t="shared" si="45"/>
        <v>0.049728</v>
      </c>
      <c r="M107">
        <f t="shared" si="45"/>
        <v>0.04991</v>
      </c>
      <c r="N107">
        <f t="shared" si="45"/>
        <v>0.05009</v>
      </c>
      <c r="O107">
        <f t="shared" si="45"/>
        <v>0.050272</v>
      </c>
      <c r="P107">
        <f t="shared" si="45"/>
        <v>0.050454</v>
      </c>
      <c r="Q107">
        <f t="shared" si="45"/>
        <v>0.050636</v>
      </c>
      <c r="R107">
        <f t="shared" si="45"/>
        <v>0.050818</v>
      </c>
      <c r="S107">
        <f t="shared" si="45"/>
        <v>0.051</v>
      </c>
    </row>
    <row r="108" spans="1:19">
      <c r="A108" t="s">
        <v>23</v>
      </c>
      <c r="B108" t="s">
        <v>20</v>
      </c>
      <c r="C108" t="s">
        <v>1049</v>
      </c>
      <c r="D108" t="s">
        <v>311</v>
      </c>
      <c r="G108">
        <f t="shared" si="26"/>
        <v>0.3</v>
      </c>
      <c r="H108">
        <f t="shared" ref="H108:S108" si="46">H109</f>
        <v>0.0245</v>
      </c>
      <c r="I108">
        <f t="shared" si="46"/>
        <v>0.024591</v>
      </c>
      <c r="J108">
        <f t="shared" si="46"/>
        <v>0.024682</v>
      </c>
      <c r="K108">
        <f t="shared" si="46"/>
        <v>0.024773</v>
      </c>
      <c r="L108">
        <f t="shared" si="46"/>
        <v>0.024864</v>
      </c>
      <c r="M108">
        <f t="shared" si="46"/>
        <v>0.024955</v>
      </c>
      <c r="N108">
        <f t="shared" si="46"/>
        <v>0.025045</v>
      </c>
      <c r="O108">
        <f t="shared" si="46"/>
        <v>0.025136</v>
      </c>
      <c r="P108">
        <f t="shared" si="46"/>
        <v>0.025227</v>
      </c>
      <c r="Q108">
        <f t="shared" si="46"/>
        <v>0.025318</v>
      </c>
      <c r="R108">
        <f t="shared" si="46"/>
        <v>0.025409</v>
      </c>
      <c r="S108">
        <f t="shared" si="46"/>
        <v>0.0255</v>
      </c>
    </row>
    <row r="109" spans="1:19">
      <c r="A109" t="s">
        <v>26</v>
      </c>
      <c r="B109" t="s">
        <v>179</v>
      </c>
      <c r="C109" t="s">
        <v>1050</v>
      </c>
      <c r="D109" t="s">
        <v>313</v>
      </c>
      <c r="G109">
        <f t="shared" si="26"/>
        <v>0.3</v>
      </c>
      <c r="H109">
        <v>0.0245</v>
      </c>
      <c r="I109">
        <v>0.024591</v>
      </c>
      <c r="J109">
        <v>0.024682</v>
      </c>
      <c r="K109">
        <v>0.024773</v>
      </c>
      <c r="L109">
        <v>0.024864</v>
      </c>
      <c r="M109">
        <v>0.024955</v>
      </c>
      <c r="N109">
        <v>0.025045</v>
      </c>
      <c r="O109">
        <v>0.025136</v>
      </c>
      <c r="P109">
        <v>0.025227</v>
      </c>
      <c r="Q109">
        <v>0.025318</v>
      </c>
      <c r="R109">
        <v>0.025409</v>
      </c>
      <c r="S109">
        <v>0.0255</v>
      </c>
    </row>
    <row r="110" spans="1:19">
      <c r="A110" t="s">
        <v>23</v>
      </c>
      <c r="B110" t="s">
        <v>20</v>
      </c>
      <c r="C110" t="s">
        <v>1051</v>
      </c>
      <c r="D110" t="s">
        <v>323</v>
      </c>
      <c r="G110">
        <f t="shared" si="26"/>
        <v>0.3</v>
      </c>
      <c r="H110">
        <f t="shared" ref="H110:S110" si="47">H111</f>
        <v>0.0245</v>
      </c>
      <c r="I110">
        <f t="shared" si="47"/>
        <v>0.024591</v>
      </c>
      <c r="J110">
        <f t="shared" si="47"/>
        <v>0.024682</v>
      </c>
      <c r="K110">
        <f t="shared" si="47"/>
        <v>0.024773</v>
      </c>
      <c r="L110">
        <f t="shared" si="47"/>
        <v>0.024864</v>
      </c>
      <c r="M110">
        <f t="shared" si="47"/>
        <v>0.024955</v>
      </c>
      <c r="N110">
        <f t="shared" si="47"/>
        <v>0.025045</v>
      </c>
      <c r="O110">
        <f t="shared" si="47"/>
        <v>0.025136</v>
      </c>
      <c r="P110">
        <f t="shared" si="47"/>
        <v>0.025227</v>
      </c>
      <c r="Q110">
        <f t="shared" si="47"/>
        <v>0.025318</v>
      </c>
      <c r="R110">
        <f t="shared" si="47"/>
        <v>0.025409</v>
      </c>
      <c r="S110">
        <f t="shared" si="47"/>
        <v>0.0255</v>
      </c>
    </row>
    <row r="111" spans="1:19">
      <c r="A111" t="s">
        <v>26</v>
      </c>
      <c r="B111" t="s">
        <v>20</v>
      </c>
      <c r="C111" t="s">
        <v>1052</v>
      </c>
      <c r="D111" t="s">
        <v>325</v>
      </c>
      <c r="G111">
        <f t="shared" si="26"/>
        <v>0.3</v>
      </c>
      <c r="H111">
        <f t="shared" ref="H111:S111" si="48">H112</f>
        <v>0.0245</v>
      </c>
      <c r="I111">
        <f t="shared" si="48"/>
        <v>0.024591</v>
      </c>
      <c r="J111">
        <f t="shared" si="48"/>
        <v>0.024682</v>
      </c>
      <c r="K111">
        <f t="shared" si="48"/>
        <v>0.024773</v>
      </c>
      <c r="L111">
        <f t="shared" si="48"/>
        <v>0.024864</v>
      </c>
      <c r="M111">
        <f t="shared" si="48"/>
        <v>0.024955</v>
      </c>
      <c r="N111">
        <f t="shared" si="48"/>
        <v>0.025045</v>
      </c>
      <c r="O111">
        <f t="shared" si="48"/>
        <v>0.025136</v>
      </c>
      <c r="P111">
        <f t="shared" si="48"/>
        <v>0.025227</v>
      </c>
      <c r="Q111">
        <f t="shared" si="48"/>
        <v>0.025318</v>
      </c>
      <c r="R111">
        <f t="shared" si="48"/>
        <v>0.025409</v>
      </c>
      <c r="S111">
        <f t="shared" si="48"/>
        <v>0.0255</v>
      </c>
    </row>
    <row r="112" spans="1:19">
      <c r="A112" t="s">
        <v>60</v>
      </c>
      <c r="B112" t="s">
        <v>179</v>
      </c>
      <c r="C112" t="s">
        <v>1053</v>
      </c>
      <c r="D112" t="s">
        <v>327</v>
      </c>
      <c r="G112">
        <f t="shared" si="26"/>
        <v>0.3</v>
      </c>
      <c r="H112">
        <v>0.0245</v>
      </c>
      <c r="I112">
        <v>0.024591</v>
      </c>
      <c r="J112">
        <v>0.024682</v>
      </c>
      <c r="K112">
        <v>0.024773</v>
      </c>
      <c r="L112">
        <v>0.024864</v>
      </c>
      <c r="M112">
        <v>0.024955</v>
      </c>
      <c r="N112">
        <v>0.025045</v>
      </c>
      <c r="O112">
        <v>0.025136</v>
      </c>
      <c r="P112">
        <v>0.025227</v>
      </c>
      <c r="Q112">
        <v>0.025318</v>
      </c>
      <c r="R112">
        <v>0.025409</v>
      </c>
      <c r="S112">
        <v>0.0255</v>
      </c>
    </row>
    <row r="113" spans="1:19">
      <c r="A113" t="s">
        <v>19</v>
      </c>
      <c r="B113" t="s">
        <v>20</v>
      </c>
      <c r="C113" t="s">
        <v>1054</v>
      </c>
      <c r="D113" t="s">
        <v>337</v>
      </c>
      <c r="G113">
        <f t="shared" si="26"/>
        <v>6900189819.16</v>
      </c>
      <c r="H113">
        <f t="shared" ref="H113:S113" si="49">H114+H122+H126+H127+H128</f>
        <v>361422124.6464</v>
      </c>
      <c r="I113">
        <f t="shared" si="49"/>
        <v>338977262.652508</v>
      </c>
      <c r="J113">
        <f t="shared" si="49"/>
        <v>402093646.658619</v>
      </c>
      <c r="K113">
        <f t="shared" si="49"/>
        <v>591871981.664728</v>
      </c>
      <c r="L113">
        <f t="shared" si="49"/>
        <v>606632618.670835</v>
      </c>
      <c r="M113">
        <f t="shared" si="49"/>
        <v>628291256.676944</v>
      </c>
      <c r="N113">
        <f t="shared" si="49"/>
        <v>649467624.683056</v>
      </c>
      <c r="O113">
        <f t="shared" si="49"/>
        <v>641605019.689165</v>
      </c>
      <c r="P113">
        <f t="shared" si="49"/>
        <v>626844414.695272</v>
      </c>
      <c r="Q113">
        <f t="shared" si="49"/>
        <v>681546341.701381</v>
      </c>
      <c r="R113">
        <f t="shared" si="49"/>
        <v>674166007.707492</v>
      </c>
      <c r="S113">
        <f t="shared" si="49"/>
        <v>697271519.7136</v>
      </c>
    </row>
    <row r="114" spans="1:19">
      <c r="A114" t="s">
        <v>23</v>
      </c>
      <c r="B114" t="s">
        <v>20</v>
      </c>
      <c r="C114" t="s">
        <v>1055</v>
      </c>
      <c r="D114" t="s">
        <v>1056</v>
      </c>
      <c r="G114">
        <f t="shared" si="26"/>
        <v>2429439800.74</v>
      </c>
      <c r="H114">
        <f t="shared" ref="H114:S114" si="50">H115+H116+H121</f>
        <v>172422123.1421</v>
      </c>
      <c r="I114">
        <f t="shared" si="50"/>
        <v>163477261.142627</v>
      </c>
      <c r="J114">
        <f t="shared" si="50"/>
        <v>191493645.143155</v>
      </c>
      <c r="K114">
        <f t="shared" si="50"/>
        <v>195871980.143682</v>
      </c>
      <c r="L114">
        <f t="shared" si="50"/>
        <v>200732617.144208</v>
      </c>
      <c r="M114">
        <f t="shared" si="50"/>
        <v>207541255.144735</v>
      </c>
      <c r="N114">
        <f t="shared" si="50"/>
        <v>213867623.145265</v>
      </c>
      <c r="O114">
        <f t="shared" si="50"/>
        <v>210955018.145792</v>
      </c>
      <c r="P114">
        <f t="shared" si="50"/>
        <v>206094413.146318</v>
      </c>
      <c r="Q114">
        <f t="shared" si="50"/>
        <v>221196340.146845</v>
      </c>
      <c r="R114">
        <f t="shared" si="50"/>
        <v>218766006.147373</v>
      </c>
      <c r="S114">
        <f t="shared" si="50"/>
        <v>227021518.1479</v>
      </c>
    </row>
    <row r="115" spans="1:19">
      <c r="A115" t="s">
        <v>26</v>
      </c>
      <c r="B115" t="s">
        <v>179</v>
      </c>
      <c r="C115" t="s">
        <v>1057</v>
      </c>
      <c r="D115" t="s">
        <v>1058</v>
      </c>
      <c r="G115">
        <f t="shared" si="26"/>
        <v>0.42</v>
      </c>
      <c r="H115">
        <v>0.0343</v>
      </c>
      <c r="I115">
        <v>0.034427</v>
      </c>
      <c r="J115">
        <v>0.034555</v>
      </c>
      <c r="K115">
        <v>0.034682</v>
      </c>
      <c r="L115">
        <v>0.034809</v>
      </c>
      <c r="M115">
        <v>0.034936</v>
      </c>
      <c r="N115">
        <v>0.035064</v>
      </c>
      <c r="O115">
        <v>0.035191</v>
      </c>
      <c r="P115">
        <v>0.035318</v>
      </c>
      <c r="Q115">
        <v>0.035445</v>
      </c>
      <c r="R115">
        <v>0.035573</v>
      </c>
      <c r="S115">
        <v>0.0357</v>
      </c>
    </row>
    <row r="116" spans="1:19">
      <c r="A116" t="s">
        <v>26</v>
      </c>
      <c r="B116" t="s">
        <v>20</v>
      </c>
      <c r="C116" t="s">
        <v>1059</v>
      </c>
      <c r="D116" t="s">
        <v>1060</v>
      </c>
      <c r="G116">
        <f t="shared" si="26"/>
        <v>1.32</v>
      </c>
      <c r="H116">
        <f t="shared" ref="H116:S116" si="51">H117+H118+H119+H120</f>
        <v>0.1078</v>
      </c>
      <c r="I116">
        <f t="shared" si="51"/>
        <v>0.1082</v>
      </c>
      <c r="J116">
        <f t="shared" si="51"/>
        <v>0.1086</v>
      </c>
      <c r="K116">
        <f t="shared" si="51"/>
        <v>0.109</v>
      </c>
      <c r="L116">
        <f t="shared" si="51"/>
        <v>0.109399</v>
      </c>
      <c r="M116">
        <f t="shared" si="51"/>
        <v>0.109799</v>
      </c>
      <c r="N116">
        <f t="shared" si="51"/>
        <v>0.110201</v>
      </c>
      <c r="O116">
        <f t="shared" si="51"/>
        <v>0.110601</v>
      </c>
      <c r="P116">
        <f t="shared" si="51"/>
        <v>0.111</v>
      </c>
      <c r="Q116">
        <f t="shared" si="51"/>
        <v>0.1114</v>
      </c>
      <c r="R116">
        <f t="shared" si="51"/>
        <v>0.1118</v>
      </c>
      <c r="S116">
        <f t="shared" si="51"/>
        <v>0.1122</v>
      </c>
    </row>
    <row r="117" spans="1:19">
      <c r="A117" t="s">
        <v>60</v>
      </c>
      <c r="B117" t="s">
        <v>179</v>
      </c>
      <c r="C117" t="s">
        <v>1061</v>
      </c>
      <c r="D117" t="s">
        <v>1062</v>
      </c>
      <c r="G117">
        <f t="shared" si="26"/>
        <v>0.42</v>
      </c>
      <c r="H117">
        <v>0.0343</v>
      </c>
      <c r="I117">
        <v>0.034427</v>
      </c>
      <c r="J117">
        <v>0.034555</v>
      </c>
      <c r="K117">
        <v>0.034682</v>
      </c>
      <c r="L117">
        <v>0.034809</v>
      </c>
      <c r="M117">
        <v>0.034936</v>
      </c>
      <c r="N117">
        <v>0.035064</v>
      </c>
      <c r="O117">
        <v>0.035191</v>
      </c>
      <c r="P117">
        <v>0.035318</v>
      </c>
      <c r="Q117">
        <v>0.035445</v>
      </c>
      <c r="R117">
        <v>0.035573</v>
      </c>
      <c r="S117">
        <v>0.0357</v>
      </c>
    </row>
    <row r="118" spans="1:19">
      <c r="A118" t="s">
        <v>60</v>
      </c>
      <c r="B118" t="s">
        <v>179</v>
      </c>
      <c r="C118" t="s">
        <v>1063</v>
      </c>
      <c r="D118" t="s">
        <v>1064</v>
      </c>
      <c r="G118">
        <f t="shared" si="26"/>
        <v>0.36</v>
      </c>
      <c r="H118">
        <v>0.0294</v>
      </c>
      <c r="I118">
        <v>0.029509</v>
      </c>
      <c r="J118">
        <v>0.029618</v>
      </c>
      <c r="K118">
        <v>0.029727</v>
      </c>
      <c r="L118">
        <v>0.029836</v>
      </c>
      <c r="M118">
        <v>0.029945</v>
      </c>
      <c r="N118">
        <v>0.030055</v>
      </c>
      <c r="O118">
        <v>0.030164</v>
      </c>
      <c r="P118">
        <v>0.030273</v>
      </c>
      <c r="Q118">
        <v>0.030382</v>
      </c>
      <c r="R118">
        <v>0.030491</v>
      </c>
      <c r="S118">
        <v>0.0306</v>
      </c>
    </row>
    <row r="119" spans="1:19">
      <c r="A119" t="s">
        <v>60</v>
      </c>
      <c r="B119" t="s">
        <v>179</v>
      </c>
      <c r="C119" t="s">
        <v>1065</v>
      </c>
      <c r="D119" t="s">
        <v>1066</v>
      </c>
      <c r="G119">
        <f t="shared" si="26"/>
        <v>0.18</v>
      </c>
      <c r="H119">
        <v>0.0147</v>
      </c>
      <c r="I119">
        <v>0.014755</v>
      </c>
      <c r="J119">
        <v>0.014809</v>
      </c>
      <c r="K119">
        <v>0.014864</v>
      </c>
      <c r="L119">
        <v>0.014918</v>
      </c>
      <c r="M119">
        <v>0.014973</v>
      </c>
      <c r="N119">
        <v>0.015027</v>
      </c>
      <c r="O119">
        <v>0.015082</v>
      </c>
      <c r="P119">
        <v>0.015136</v>
      </c>
      <c r="Q119">
        <v>0.015191</v>
      </c>
      <c r="R119">
        <v>0.015245</v>
      </c>
      <c r="S119">
        <v>0.0153</v>
      </c>
    </row>
    <row r="120" spans="1:19">
      <c r="A120" t="s">
        <v>60</v>
      </c>
      <c r="B120" t="s">
        <v>179</v>
      </c>
      <c r="C120" t="s">
        <v>1067</v>
      </c>
      <c r="D120" t="s">
        <v>1068</v>
      </c>
      <c r="G120">
        <f t="shared" si="26"/>
        <v>0.36</v>
      </c>
      <c r="H120">
        <v>0.0294</v>
      </c>
      <c r="I120">
        <v>0.029509</v>
      </c>
      <c r="J120">
        <v>0.029618</v>
      </c>
      <c r="K120">
        <v>0.029727</v>
      </c>
      <c r="L120">
        <v>0.029836</v>
      </c>
      <c r="M120">
        <v>0.029945</v>
      </c>
      <c r="N120">
        <v>0.030055</v>
      </c>
      <c r="O120">
        <v>0.030164</v>
      </c>
      <c r="P120">
        <v>0.030273</v>
      </c>
      <c r="Q120">
        <v>0.030382</v>
      </c>
      <c r="R120">
        <v>0.030491</v>
      </c>
      <c r="S120">
        <v>0.0306</v>
      </c>
    </row>
    <row r="121" spans="1:19">
      <c r="A121" t="s">
        <v>26</v>
      </c>
      <c r="B121" t="s">
        <v>20</v>
      </c>
      <c r="C121" t="s">
        <v>1069</v>
      </c>
      <c r="D121" t="s">
        <v>1070</v>
      </c>
      <c r="G121">
        <f t="shared" si="26"/>
        <v>2429439799</v>
      </c>
      <c r="H121">
        <v>172422123</v>
      </c>
      <c r="I121">
        <v>163477261</v>
      </c>
      <c r="J121">
        <v>191493645</v>
      </c>
      <c r="K121">
        <v>195871980</v>
      </c>
      <c r="L121">
        <v>200732617</v>
      </c>
      <c r="M121">
        <v>207541255</v>
      </c>
      <c r="N121">
        <v>213867623</v>
      </c>
      <c r="O121">
        <v>210955018</v>
      </c>
      <c r="P121">
        <v>206094413</v>
      </c>
      <c r="Q121">
        <v>221196340</v>
      </c>
      <c r="R121">
        <v>218766006</v>
      </c>
      <c r="S121">
        <v>227021518</v>
      </c>
    </row>
    <row r="122" spans="1:19">
      <c r="A122" t="s">
        <v>23</v>
      </c>
      <c r="B122" t="s">
        <v>20</v>
      </c>
      <c r="C122" t="s">
        <v>1071</v>
      </c>
      <c r="D122" t="s">
        <v>1072</v>
      </c>
      <c r="G122">
        <f t="shared" si="26"/>
        <v>18.42</v>
      </c>
      <c r="H122">
        <f t="shared" ref="H122:S122" si="52">H123+H124+H125</f>
        <v>1.5043</v>
      </c>
      <c r="I122">
        <f t="shared" si="52"/>
        <v>1.509881</v>
      </c>
      <c r="J122">
        <f t="shared" si="52"/>
        <v>1.515464</v>
      </c>
      <c r="K122">
        <f t="shared" si="52"/>
        <v>1.521046</v>
      </c>
      <c r="L122">
        <f t="shared" si="52"/>
        <v>1.526627</v>
      </c>
      <c r="M122">
        <f t="shared" si="52"/>
        <v>1.532209</v>
      </c>
      <c r="N122">
        <f t="shared" si="52"/>
        <v>1.537791</v>
      </c>
      <c r="O122">
        <f t="shared" si="52"/>
        <v>1.543373</v>
      </c>
      <c r="P122">
        <f t="shared" si="52"/>
        <v>1.548954</v>
      </c>
      <c r="Q122">
        <f t="shared" si="52"/>
        <v>1.554536</v>
      </c>
      <c r="R122">
        <f t="shared" si="52"/>
        <v>1.560119</v>
      </c>
      <c r="S122">
        <f t="shared" si="52"/>
        <v>1.5657</v>
      </c>
    </row>
    <row r="123" spans="1:19">
      <c r="A123" t="s">
        <v>26</v>
      </c>
      <c r="B123" t="s">
        <v>179</v>
      </c>
      <c r="C123" t="s">
        <v>1073</v>
      </c>
      <c r="D123" t="s">
        <v>1074</v>
      </c>
      <c r="G123">
        <f t="shared" si="26"/>
        <v>0.42</v>
      </c>
      <c r="H123">
        <v>0.0343</v>
      </c>
      <c r="I123">
        <v>0.034427</v>
      </c>
      <c r="J123">
        <v>0.034555</v>
      </c>
      <c r="K123">
        <v>0.034682</v>
      </c>
      <c r="L123">
        <v>0.034809</v>
      </c>
      <c r="M123">
        <v>0.034936</v>
      </c>
      <c r="N123">
        <v>0.035064</v>
      </c>
      <c r="O123">
        <v>0.035191</v>
      </c>
      <c r="P123">
        <v>0.035318</v>
      </c>
      <c r="Q123">
        <v>0.035445</v>
      </c>
      <c r="R123">
        <v>0.035573</v>
      </c>
      <c r="S123">
        <v>0.0357</v>
      </c>
    </row>
    <row r="124" spans="1:19">
      <c r="A124" t="s">
        <v>60</v>
      </c>
      <c r="B124" t="s">
        <v>179</v>
      </c>
      <c r="C124" t="s">
        <v>1075</v>
      </c>
      <c r="D124" t="s">
        <v>1076</v>
      </c>
      <c r="G124">
        <f t="shared" si="26"/>
        <v>6</v>
      </c>
      <c r="H124">
        <v>0.49</v>
      </c>
      <c r="I124">
        <v>0.491818</v>
      </c>
      <c r="J124">
        <v>0.493636</v>
      </c>
      <c r="K124">
        <v>0.495455</v>
      </c>
      <c r="L124">
        <v>0.497273</v>
      </c>
      <c r="M124">
        <v>0.499091</v>
      </c>
      <c r="N124">
        <v>0.500909</v>
      </c>
      <c r="O124">
        <v>0.502727</v>
      </c>
      <c r="P124">
        <v>0.504545</v>
      </c>
      <c r="Q124">
        <v>0.506364</v>
      </c>
      <c r="R124">
        <v>0.508182</v>
      </c>
      <c r="S124">
        <v>0.51</v>
      </c>
    </row>
    <row r="125" spans="1:19">
      <c r="A125" t="s">
        <v>60</v>
      </c>
      <c r="B125" t="s">
        <v>179</v>
      </c>
      <c r="C125" t="s">
        <v>1077</v>
      </c>
      <c r="D125" t="s">
        <v>1078</v>
      </c>
      <c r="G125">
        <f t="shared" si="26"/>
        <v>12</v>
      </c>
      <c r="H125">
        <v>0.98</v>
      </c>
      <c r="I125">
        <v>0.983636</v>
      </c>
      <c r="J125">
        <v>0.987273</v>
      </c>
      <c r="K125">
        <v>0.990909</v>
      </c>
      <c r="L125">
        <v>0.994545</v>
      </c>
      <c r="M125">
        <v>0.998182</v>
      </c>
      <c r="N125">
        <v>1.001818</v>
      </c>
      <c r="O125">
        <v>1.005455</v>
      </c>
      <c r="P125">
        <v>1.009091</v>
      </c>
      <c r="Q125">
        <v>1.012727</v>
      </c>
      <c r="R125">
        <v>1.016364</v>
      </c>
      <c r="S125">
        <v>1.02</v>
      </c>
    </row>
    <row r="126" spans="1:19">
      <c r="A126" t="s">
        <v>23</v>
      </c>
      <c r="B126" t="s">
        <v>20</v>
      </c>
      <c r="C126" t="s">
        <v>1079</v>
      </c>
      <c r="D126" t="s">
        <v>1080</v>
      </c>
      <c r="G126">
        <f t="shared" si="26"/>
        <v>1500000000</v>
      </c>
      <c r="H126">
        <v>105000000</v>
      </c>
      <c r="I126">
        <v>97500000</v>
      </c>
      <c r="J126">
        <v>117000000</v>
      </c>
      <c r="K126">
        <v>120000000</v>
      </c>
      <c r="L126">
        <v>123000000</v>
      </c>
      <c r="M126">
        <v>127500000</v>
      </c>
      <c r="N126">
        <v>132000000</v>
      </c>
      <c r="O126">
        <v>130500000</v>
      </c>
      <c r="P126">
        <v>127500000</v>
      </c>
      <c r="Q126">
        <v>139500000</v>
      </c>
      <c r="R126">
        <v>138000000</v>
      </c>
      <c r="S126">
        <v>142500000</v>
      </c>
    </row>
    <row r="127" spans="1:19">
      <c r="A127" t="s">
        <v>23</v>
      </c>
      <c r="B127" t="s">
        <v>20</v>
      </c>
      <c r="C127" t="s">
        <v>1081</v>
      </c>
      <c r="D127" t="s">
        <v>1082</v>
      </c>
      <c r="G127">
        <f t="shared" si="26"/>
        <v>1200000000</v>
      </c>
      <c r="H127">
        <v>84000000</v>
      </c>
      <c r="I127">
        <v>78000000</v>
      </c>
      <c r="J127">
        <v>93600000</v>
      </c>
      <c r="K127">
        <v>96000000</v>
      </c>
      <c r="L127">
        <v>98400000</v>
      </c>
      <c r="M127">
        <v>102000000</v>
      </c>
      <c r="N127">
        <v>105600000</v>
      </c>
      <c r="O127">
        <v>104400000</v>
      </c>
      <c r="P127">
        <v>102000000</v>
      </c>
      <c r="Q127">
        <v>111600000</v>
      </c>
      <c r="R127">
        <v>110400000</v>
      </c>
      <c r="S127">
        <v>114000000</v>
      </c>
    </row>
    <row r="128" spans="1:19">
      <c r="A128" t="s">
        <v>23</v>
      </c>
      <c r="B128" t="s">
        <v>20</v>
      </c>
      <c r="C128" t="s">
        <v>1083</v>
      </c>
      <c r="D128" t="s">
        <v>1084</v>
      </c>
      <c r="G128">
        <f t="shared" si="26"/>
        <v>1770750000</v>
      </c>
      <c r="K128">
        <v>180000000</v>
      </c>
      <c r="L128">
        <v>184500000</v>
      </c>
      <c r="M128">
        <v>191250000</v>
      </c>
      <c r="N128">
        <v>198000000</v>
      </c>
      <c r="O128">
        <v>195750000</v>
      </c>
      <c r="P128">
        <v>191250000</v>
      </c>
      <c r="Q128">
        <v>209250000</v>
      </c>
      <c r="R128">
        <v>207000000</v>
      </c>
      <c r="S128">
        <v>213750000</v>
      </c>
    </row>
    <row r="129" spans="1:19">
      <c r="A129" t="s">
        <v>19</v>
      </c>
      <c r="B129" t="s">
        <v>35</v>
      </c>
      <c r="C129" t="s">
        <v>1085</v>
      </c>
      <c r="D129" t="s">
        <v>365</v>
      </c>
      <c r="G129">
        <f t="shared" si="26"/>
        <v>51268236036.26</v>
      </c>
      <c r="H129">
        <f t="shared" ref="H129:S129" si="53">H130+H132+H134+H136+H137+H144+H145+H148+H149</f>
        <v>3638364600.5729</v>
      </c>
      <c r="I129">
        <f t="shared" si="53"/>
        <v>3449272498.57874</v>
      </c>
      <c r="J129">
        <f t="shared" si="53"/>
        <v>4040866556.58457</v>
      </c>
      <c r="K129">
        <f t="shared" si="53"/>
        <v>4133311597.59041</v>
      </c>
      <c r="L129">
        <f t="shared" si="53"/>
        <v>4235884980.59624</v>
      </c>
      <c r="M129">
        <f t="shared" si="53"/>
        <v>4379616382.60208</v>
      </c>
      <c r="N129">
        <f t="shared" si="53"/>
        <v>4513220104.60792</v>
      </c>
      <c r="O129">
        <f t="shared" si="53"/>
        <v>4451805409.61376</v>
      </c>
      <c r="P129">
        <f t="shared" si="53"/>
        <v>4349232696.61959</v>
      </c>
      <c r="Q129">
        <f t="shared" si="53"/>
        <v>4668373167.62543</v>
      </c>
      <c r="R129">
        <f t="shared" si="53"/>
        <v>4617086143.63126</v>
      </c>
      <c r="S129">
        <f t="shared" si="53"/>
        <v>4791201897.6371</v>
      </c>
    </row>
    <row r="130" spans="1:19">
      <c r="A130" t="s">
        <v>23</v>
      </c>
      <c r="B130" t="s">
        <v>35</v>
      </c>
      <c r="C130" t="s">
        <v>1086</v>
      </c>
      <c r="D130" t="s">
        <v>367</v>
      </c>
      <c r="G130">
        <f t="shared" ref="G130:G193" si="54">H130+I130+J130+K130+L130+M130+N130+O130+P130+Q130+R130+S130</f>
        <v>0.18</v>
      </c>
      <c r="H130">
        <f t="shared" ref="H130:S130" si="55">H131</f>
        <v>0.0147</v>
      </c>
      <c r="I130">
        <f t="shared" si="55"/>
        <v>0.014755</v>
      </c>
      <c r="J130">
        <f t="shared" si="55"/>
        <v>0.014809</v>
      </c>
      <c r="K130">
        <f t="shared" si="55"/>
        <v>0.014864</v>
      </c>
      <c r="L130">
        <f t="shared" si="55"/>
        <v>0.014918</v>
      </c>
      <c r="M130">
        <f t="shared" si="55"/>
        <v>0.014973</v>
      </c>
      <c r="N130">
        <f t="shared" si="55"/>
        <v>0.015027</v>
      </c>
      <c r="O130">
        <f t="shared" si="55"/>
        <v>0.015082</v>
      </c>
      <c r="P130">
        <f t="shared" si="55"/>
        <v>0.015136</v>
      </c>
      <c r="Q130">
        <f t="shared" si="55"/>
        <v>0.015191</v>
      </c>
      <c r="R130">
        <f t="shared" si="55"/>
        <v>0.015245</v>
      </c>
      <c r="S130">
        <f t="shared" si="55"/>
        <v>0.0153</v>
      </c>
    </row>
    <row r="131" spans="1:19">
      <c r="A131" t="s">
        <v>26</v>
      </c>
      <c r="B131" t="s">
        <v>179</v>
      </c>
      <c r="C131" t="s">
        <v>1087</v>
      </c>
      <c r="D131" t="s">
        <v>369</v>
      </c>
      <c r="G131">
        <f t="shared" si="54"/>
        <v>0.18</v>
      </c>
      <c r="H131">
        <v>0.0147</v>
      </c>
      <c r="I131">
        <v>0.014755</v>
      </c>
      <c r="J131">
        <v>0.014809</v>
      </c>
      <c r="K131">
        <v>0.014864</v>
      </c>
      <c r="L131">
        <v>0.014918</v>
      </c>
      <c r="M131">
        <v>0.014973</v>
      </c>
      <c r="N131">
        <v>0.015027</v>
      </c>
      <c r="O131">
        <v>0.015082</v>
      </c>
      <c r="P131">
        <v>0.015136</v>
      </c>
      <c r="Q131">
        <v>0.015191</v>
      </c>
      <c r="R131">
        <v>0.015245</v>
      </c>
      <c r="S131">
        <v>0.0153</v>
      </c>
    </row>
    <row r="132" spans="1:19">
      <c r="A132" t="s">
        <v>23</v>
      </c>
      <c r="B132" t="s">
        <v>35</v>
      </c>
      <c r="C132" t="s">
        <v>1088</v>
      </c>
      <c r="D132" t="s">
        <v>371</v>
      </c>
      <c r="G132">
        <f t="shared" si="54"/>
        <v>0.18</v>
      </c>
      <c r="H132">
        <f t="shared" ref="H132:S132" si="56">H133</f>
        <v>0.0147</v>
      </c>
      <c r="I132">
        <f t="shared" si="56"/>
        <v>0.014755</v>
      </c>
      <c r="J132">
        <f t="shared" si="56"/>
        <v>0.014809</v>
      </c>
      <c r="K132">
        <f t="shared" si="56"/>
        <v>0.014864</v>
      </c>
      <c r="L132">
        <f t="shared" si="56"/>
        <v>0.014918</v>
      </c>
      <c r="M132">
        <f t="shared" si="56"/>
        <v>0.014973</v>
      </c>
      <c r="N132">
        <f t="shared" si="56"/>
        <v>0.015027</v>
      </c>
      <c r="O132">
        <f t="shared" si="56"/>
        <v>0.015082</v>
      </c>
      <c r="P132">
        <f t="shared" si="56"/>
        <v>0.015136</v>
      </c>
      <c r="Q132">
        <f t="shared" si="56"/>
        <v>0.015191</v>
      </c>
      <c r="R132">
        <f t="shared" si="56"/>
        <v>0.015245</v>
      </c>
      <c r="S132">
        <f t="shared" si="56"/>
        <v>0.0153</v>
      </c>
    </row>
    <row r="133" spans="1:19">
      <c r="A133" t="s">
        <v>26</v>
      </c>
      <c r="B133" t="s">
        <v>179</v>
      </c>
      <c r="C133" t="s">
        <v>1089</v>
      </c>
      <c r="D133" t="s">
        <v>369</v>
      </c>
      <c r="G133">
        <f t="shared" si="54"/>
        <v>0.18</v>
      </c>
      <c r="H133">
        <v>0.0147</v>
      </c>
      <c r="I133">
        <v>0.014755</v>
      </c>
      <c r="J133">
        <v>0.014809</v>
      </c>
      <c r="K133">
        <v>0.014864</v>
      </c>
      <c r="L133">
        <v>0.014918</v>
      </c>
      <c r="M133">
        <v>0.014973</v>
      </c>
      <c r="N133">
        <v>0.015027</v>
      </c>
      <c r="O133">
        <v>0.015082</v>
      </c>
      <c r="P133">
        <v>0.015136</v>
      </c>
      <c r="Q133">
        <v>0.015191</v>
      </c>
      <c r="R133">
        <v>0.015245</v>
      </c>
      <c r="S133">
        <v>0.0153</v>
      </c>
    </row>
    <row r="134" spans="1:19">
      <c r="A134" t="s">
        <v>23</v>
      </c>
      <c r="B134" t="s">
        <v>35</v>
      </c>
      <c r="C134" t="s">
        <v>1090</v>
      </c>
      <c r="D134" t="s">
        <v>374</v>
      </c>
      <c r="G134">
        <f t="shared" si="54"/>
        <v>0.18</v>
      </c>
      <c r="H134">
        <f t="shared" ref="H134:S134" si="57">H135</f>
        <v>0.0147</v>
      </c>
      <c r="I134">
        <f t="shared" si="57"/>
        <v>0.014755</v>
      </c>
      <c r="J134">
        <f t="shared" si="57"/>
        <v>0.014809</v>
      </c>
      <c r="K134">
        <f t="shared" si="57"/>
        <v>0.014864</v>
      </c>
      <c r="L134">
        <f t="shared" si="57"/>
        <v>0.014918</v>
      </c>
      <c r="M134">
        <f t="shared" si="57"/>
        <v>0.014973</v>
      </c>
      <c r="N134">
        <f t="shared" si="57"/>
        <v>0.015027</v>
      </c>
      <c r="O134">
        <f t="shared" si="57"/>
        <v>0.015082</v>
      </c>
      <c r="P134">
        <f t="shared" si="57"/>
        <v>0.015136</v>
      </c>
      <c r="Q134">
        <f t="shared" si="57"/>
        <v>0.015191</v>
      </c>
      <c r="R134">
        <f t="shared" si="57"/>
        <v>0.015245</v>
      </c>
      <c r="S134">
        <f t="shared" si="57"/>
        <v>0.0153</v>
      </c>
    </row>
    <row r="135" spans="1:19">
      <c r="A135" t="s">
        <v>26</v>
      </c>
      <c r="B135" t="s">
        <v>179</v>
      </c>
      <c r="C135" t="s">
        <v>1091</v>
      </c>
      <c r="D135" t="s">
        <v>369</v>
      </c>
      <c r="G135">
        <f t="shared" si="54"/>
        <v>0.18</v>
      </c>
      <c r="H135">
        <v>0.0147</v>
      </c>
      <c r="I135">
        <v>0.014755</v>
      </c>
      <c r="J135">
        <v>0.014809</v>
      </c>
      <c r="K135">
        <v>0.014864</v>
      </c>
      <c r="L135">
        <v>0.014918</v>
      </c>
      <c r="M135">
        <v>0.014973</v>
      </c>
      <c r="N135">
        <v>0.015027</v>
      </c>
      <c r="O135">
        <v>0.015082</v>
      </c>
      <c r="P135">
        <v>0.015136</v>
      </c>
      <c r="Q135">
        <v>0.015191</v>
      </c>
      <c r="R135">
        <v>0.015245</v>
      </c>
      <c r="S135">
        <v>0.0153</v>
      </c>
    </row>
    <row r="136" spans="1:19">
      <c r="A136" t="s">
        <v>23</v>
      </c>
      <c r="B136" t="s">
        <v>35</v>
      </c>
      <c r="C136" t="s">
        <v>1092</v>
      </c>
      <c r="D136" t="s">
        <v>377</v>
      </c>
      <c r="G136">
        <f t="shared" si="54"/>
        <v>150000000</v>
      </c>
      <c r="H136">
        <v>10500000</v>
      </c>
      <c r="I136">
        <v>9750000</v>
      </c>
      <c r="J136">
        <v>11700000</v>
      </c>
      <c r="K136">
        <v>12000000</v>
      </c>
      <c r="L136">
        <v>12300000</v>
      </c>
      <c r="M136">
        <v>12750000</v>
      </c>
      <c r="N136">
        <v>13200000</v>
      </c>
      <c r="O136">
        <v>13050000</v>
      </c>
      <c r="P136">
        <v>12750000</v>
      </c>
      <c r="Q136">
        <v>13950000</v>
      </c>
      <c r="R136">
        <v>13800000</v>
      </c>
      <c r="S136">
        <v>14250000</v>
      </c>
    </row>
    <row r="137" spans="1:19">
      <c r="A137" t="s">
        <v>23</v>
      </c>
      <c r="B137" t="s">
        <v>35</v>
      </c>
      <c r="C137" t="s">
        <v>1093</v>
      </c>
      <c r="D137" t="s">
        <v>1094</v>
      </c>
      <c r="G137">
        <f t="shared" si="54"/>
        <v>2429439805.54</v>
      </c>
      <c r="H137">
        <f t="shared" ref="H137:S137" si="58">H138+H139+H143</f>
        <v>172422123.5341</v>
      </c>
      <c r="I137">
        <f t="shared" si="58"/>
        <v>163477261.536083</v>
      </c>
      <c r="J137">
        <f t="shared" si="58"/>
        <v>191493645.538063</v>
      </c>
      <c r="K137">
        <f t="shared" si="58"/>
        <v>195871980.540047</v>
      </c>
      <c r="L137">
        <f t="shared" si="58"/>
        <v>200732617.542027</v>
      </c>
      <c r="M137">
        <f t="shared" si="58"/>
        <v>207541255.54401</v>
      </c>
      <c r="N137">
        <f t="shared" si="58"/>
        <v>213867623.54599</v>
      </c>
      <c r="O137">
        <f t="shared" si="58"/>
        <v>210955018.547973</v>
      </c>
      <c r="P137">
        <f t="shared" si="58"/>
        <v>206094413.549953</v>
      </c>
      <c r="Q137">
        <f t="shared" si="58"/>
        <v>221196340.551937</v>
      </c>
      <c r="R137">
        <f t="shared" si="58"/>
        <v>218766006.553917</v>
      </c>
      <c r="S137">
        <f t="shared" si="58"/>
        <v>227021518.5559</v>
      </c>
    </row>
    <row r="138" spans="1:19">
      <c r="A138" t="s">
        <v>26</v>
      </c>
      <c r="B138" t="s">
        <v>179</v>
      </c>
      <c r="C138" t="s">
        <v>1095</v>
      </c>
      <c r="D138" t="s">
        <v>1096</v>
      </c>
      <c r="G138">
        <f t="shared" si="54"/>
        <v>0.18</v>
      </c>
      <c r="H138">
        <v>0.0147</v>
      </c>
      <c r="I138">
        <v>0.014755</v>
      </c>
      <c r="J138">
        <v>0.014809</v>
      </c>
      <c r="K138">
        <v>0.014864</v>
      </c>
      <c r="L138">
        <v>0.014918</v>
      </c>
      <c r="M138">
        <v>0.014973</v>
      </c>
      <c r="N138">
        <v>0.015027</v>
      </c>
      <c r="O138">
        <v>0.015082</v>
      </c>
      <c r="P138">
        <v>0.015136</v>
      </c>
      <c r="Q138">
        <v>0.015191</v>
      </c>
      <c r="R138">
        <v>0.015245</v>
      </c>
      <c r="S138">
        <v>0.0153</v>
      </c>
    </row>
    <row r="139" spans="1:19">
      <c r="A139" t="s">
        <v>26</v>
      </c>
      <c r="B139" t="s">
        <v>35</v>
      </c>
      <c r="C139" t="s">
        <v>1097</v>
      </c>
      <c r="D139" t="s">
        <v>1098</v>
      </c>
      <c r="G139">
        <f t="shared" si="54"/>
        <v>6.36</v>
      </c>
      <c r="H139">
        <f t="shared" ref="H139:S139" si="59">H140+H141+H142</f>
        <v>0.5194</v>
      </c>
      <c r="I139">
        <f t="shared" si="59"/>
        <v>0.521328</v>
      </c>
      <c r="J139">
        <f t="shared" si="59"/>
        <v>0.523254</v>
      </c>
      <c r="K139">
        <f t="shared" si="59"/>
        <v>0.525183</v>
      </c>
      <c r="L139">
        <f t="shared" si="59"/>
        <v>0.527109</v>
      </c>
      <c r="M139">
        <f t="shared" si="59"/>
        <v>0.529037</v>
      </c>
      <c r="N139">
        <f t="shared" si="59"/>
        <v>0.530963</v>
      </c>
      <c r="O139">
        <f t="shared" si="59"/>
        <v>0.532891</v>
      </c>
      <c r="P139">
        <f t="shared" si="59"/>
        <v>0.534817</v>
      </c>
      <c r="Q139">
        <f t="shared" si="59"/>
        <v>0.536746</v>
      </c>
      <c r="R139">
        <f t="shared" si="59"/>
        <v>0.538672</v>
      </c>
      <c r="S139">
        <f t="shared" si="59"/>
        <v>0.5406</v>
      </c>
    </row>
    <row r="140" spans="1:19">
      <c r="A140" t="s">
        <v>60</v>
      </c>
      <c r="B140" t="s">
        <v>179</v>
      </c>
      <c r="C140" t="s">
        <v>1099</v>
      </c>
      <c r="D140" t="s">
        <v>1100</v>
      </c>
      <c r="G140">
        <f t="shared" si="54"/>
        <v>0.18</v>
      </c>
      <c r="H140">
        <v>0.0147</v>
      </c>
      <c r="I140">
        <v>0.014755</v>
      </c>
      <c r="J140">
        <v>0.014809</v>
      </c>
      <c r="K140">
        <v>0.014864</v>
      </c>
      <c r="L140">
        <v>0.014918</v>
      </c>
      <c r="M140">
        <v>0.014973</v>
      </c>
      <c r="N140">
        <v>0.015027</v>
      </c>
      <c r="O140">
        <v>0.015082</v>
      </c>
      <c r="P140">
        <v>0.015136</v>
      </c>
      <c r="Q140">
        <v>0.015191</v>
      </c>
      <c r="R140">
        <v>0.015245</v>
      </c>
      <c r="S140">
        <v>0.0153</v>
      </c>
    </row>
    <row r="141" spans="1:19">
      <c r="A141" t="s">
        <v>60</v>
      </c>
      <c r="B141" t="s">
        <v>179</v>
      </c>
      <c r="C141" t="s">
        <v>1101</v>
      </c>
      <c r="D141" t="s">
        <v>1102</v>
      </c>
      <c r="G141">
        <f t="shared" si="54"/>
        <v>6</v>
      </c>
      <c r="H141">
        <v>0.49</v>
      </c>
      <c r="I141">
        <v>0.491818</v>
      </c>
      <c r="J141">
        <v>0.493636</v>
      </c>
      <c r="K141">
        <v>0.495455</v>
      </c>
      <c r="L141">
        <v>0.497273</v>
      </c>
      <c r="M141">
        <v>0.499091</v>
      </c>
      <c r="N141">
        <v>0.500909</v>
      </c>
      <c r="O141">
        <v>0.502727</v>
      </c>
      <c r="P141">
        <v>0.504545</v>
      </c>
      <c r="Q141">
        <v>0.506364</v>
      </c>
      <c r="R141">
        <v>0.508182</v>
      </c>
      <c r="S141">
        <v>0.51</v>
      </c>
    </row>
    <row r="142" spans="1:19">
      <c r="A142" t="s">
        <v>60</v>
      </c>
      <c r="B142" t="s">
        <v>179</v>
      </c>
      <c r="C142" t="s">
        <v>1103</v>
      </c>
      <c r="D142" t="s">
        <v>1104</v>
      </c>
      <c r="G142">
        <f t="shared" si="54"/>
        <v>0.18</v>
      </c>
      <c r="H142">
        <v>0.0147</v>
      </c>
      <c r="I142">
        <v>0.014755</v>
      </c>
      <c r="J142">
        <v>0.014809</v>
      </c>
      <c r="K142">
        <v>0.014864</v>
      </c>
      <c r="L142">
        <v>0.014918</v>
      </c>
      <c r="M142">
        <v>0.014973</v>
      </c>
      <c r="N142">
        <v>0.015027</v>
      </c>
      <c r="O142">
        <v>0.015082</v>
      </c>
      <c r="P142">
        <v>0.015136</v>
      </c>
      <c r="Q142">
        <v>0.015191</v>
      </c>
      <c r="R142">
        <v>0.015245</v>
      </c>
      <c r="S142">
        <v>0.0153</v>
      </c>
    </row>
    <row r="143" spans="1:19">
      <c r="A143" t="s">
        <v>26</v>
      </c>
      <c r="B143" t="s">
        <v>35</v>
      </c>
      <c r="C143" t="s">
        <v>1105</v>
      </c>
      <c r="D143" t="s">
        <v>1106</v>
      </c>
      <c r="G143">
        <f t="shared" si="54"/>
        <v>2429439799</v>
      </c>
      <c r="H143">
        <v>172422123</v>
      </c>
      <c r="I143">
        <v>163477261</v>
      </c>
      <c r="J143">
        <v>191493645</v>
      </c>
      <c r="K143">
        <v>195871980</v>
      </c>
      <c r="L143">
        <v>200732617</v>
      </c>
      <c r="M143">
        <v>207541255</v>
      </c>
      <c r="N143">
        <v>213867623</v>
      </c>
      <c r="O143">
        <v>210955018</v>
      </c>
      <c r="P143">
        <v>206094413</v>
      </c>
      <c r="Q143">
        <v>221196340</v>
      </c>
      <c r="R143">
        <v>218766006</v>
      </c>
      <c r="S143">
        <v>227021518</v>
      </c>
    </row>
    <row r="144" spans="1:19">
      <c r="A144" t="s">
        <v>23</v>
      </c>
      <c r="B144" t="s">
        <v>35</v>
      </c>
      <c r="C144" t="s">
        <v>1107</v>
      </c>
      <c r="D144" t="s">
        <v>1108</v>
      </c>
      <c r="G144">
        <f t="shared" si="54"/>
        <v>24294398109</v>
      </c>
      <c r="H144">
        <v>1724221238</v>
      </c>
      <c r="I144">
        <v>1634772618</v>
      </c>
      <c r="J144">
        <v>1914936455</v>
      </c>
      <c r="K144">
        <v>1958719808</v>
      </c>
      <c r="L144">
        <v>2007326181</v>
      </c>
      <c r="M144">
        <v>2075412563</v>
      </c>
      <c r="N144">
        <v>2138676240</v>
      </c>
      <c r="O144">
        <v>2109550195</v>
      </c>
      <c r="P144">
        <v>2060944141</v>
      </c>
      <c r="Q144">
        <v>2211963413</v>
      </c>
      <c r="R144">
        <v>2187660068</v>
      </c>
      <c r="S144">
        <v>2270215189</v>
      </c>
    </row>
    <row r="145" spans="1:19">
      <c r="A145" t="s">
        <v>23</v>
      </c>
      <c r="B145" t="s">
        <v>35</v>
      </c>
      <c r="C145" t="s">
        <v>1109</v>
      </c>
      <c r="D145" t="s">
        <v>1110</v>
      </c>
      <c r="G145">
        <f t="shared" si="54"/>
        <v>12.18</v>
      </c>
      <c r="H145">
        <f t="shared" ref="H145:S145" si="60">H146+H147</f>
        <v>0.9947</v>
      </c>
      <c r="I145">
        <f t="shared" si="60"/>
        <v>0.998391</v>
      </c>
      <c r="J145">
        <f t="shared" si="60"/>
        <v>1.002082</v>
      </c>
      <c r="K145">
        <f t="shared" si="60"/>
        <v>1.005773</v>
      </c>
      <c r="L145">
        <f t="shared" si="60"/>
        <v>1.009463</v>
      </c>
      <c r="M145">
        <f t="shared" si="60"/>
        <v>1.013155</v>
      </c>
      <c r="N145">
        <f t="shared" si="60"/>
        <v>1.016845</v>
      </c>
      <c r="O145">
        <f t="shared" si="60"/>
        <v>1.020537</v>
      </c>
      <c r="P145">
        <f t="shared" si="60"/>
        <v>1.024227</v>
      </c>
      <c r="Q145">
        <f t="shared" si="60"/>
        <v>1.027918</v>
      </c>
      <c r="R145">
        <f t="shared" si="60"/>
        <v>1.031609</v>
      </c>
      <c r="S145">
        <f t="shared" si="60"/>
        <v>1.0353</v>
      </c>
    </row>
    <row r="146" spans="1:19">
      <c r="A146" t="s">
        <v>26</v>
      </c>
      <c r="B146" t="s">
        <v>179</v>
      </c>
      <c r="C146" t="s">
        <v>1111</v>
      </c>
      <c r="D146" t="s">
        <v>1112</v>
      </c>
      <c r="G146">
        <f t="shared" si="54"/>
        <v>0.18</v>
      </c>
      <c r="H146">
        <v>0.0147</v>
      </c>
      <c r="I146">
        <v>0.014755</v>
      </c>
      <c r="J146">
        <v>0.014809</v>
      </c>
      <c r="K146">
        <v>0.014864</v>
      </c>
      <c r="L146">
        <v>0.014918</v>
      </c>
      <c r="M146">
        <v>0.014973</v>
      </c>
      <c r="N146">
        <v>0.015027</v>
      </c>
      <c r="O146">
        <v>0.015082</v>
      </c>
      <c r="P146">
        <v>0.015136</v>
      </c>
      <c r="Q146">
        <v>0.015191</v>
      </c>
      <c r="R146">
        <v>0.015245</v>
      </c>
      <c r="S146">
        <v>0.0153</v>
      </c>
    </row>
    <row r="147" spans="1:19">
      <c r="A147" t="s">
        <v>26</v>
      </c>
      <c r="B147" t="s">
        <v>179</v>
      </c>
      <c r="C147" t="s">
        <v>1113</v>
      </c>
      <c r="D147" t="s">
        <v>1078</v>
      </c>
      <c r="G147">
        <f t="shared" si="54"/>
        <v>12</v>
      </c>
      <c r="H147">
        <v>0.98</v>
      </c>
      <c r="I147">
        <v>0.983636</v>
      </c>
      <c r="J147">
        <v>0.987273</v>
      </c>
      <c r="K147">
        <v>0.990909</v>
      </c>
      <c r="L147">
        <v>0.994545</v>
      </c>
      <c r="M147">
        <v>0.998182</v>
      </c>
      <c r="N147">
        <v>1.001818</v>
      </c>
      <c r="O147">
        <v>1.005455</v>
      </c>
      <c r="P147">
        <v>1.009091</v>
      </c>
      <c r="Q147">
        <v>1.012727</v>
      </c>
      <c r="R147">
        <v>1.016364</v>
      </c>
      <c r="S147">
        <v>1.02</v>
      </c>
    </row>
    <row r="148" spans="1:19">
      <c r="A148" t="s">
        <v>23</v>
      </c>
      <c r="B148" t="s">
        <v>35</v>
      </c>
      <c r="C148" t="s">
        <v>1114</v>
      </c>
      <c r="D148" t="s">
        <v>998</v>
      </c>
      <c r="G148">
        <f t="shared" si="54"/>
        <v>24294398109</v>
      </c>
      <c r="H148">
        <v>1724221238</v>
      </c>
      <c r="I148">
        <v>1634772618</v>
      </c>
      <c r="J148">
        <v>1914936455</v>
      </c>
      <c r="K148">
        <v>1958719808</v>
      </c>
      <c r="L148">
        <v>2007326181</v>
      </c>
      <c r="M148">
        <v>2075412563</v>
      </c>
      <c r="N148">
        <v>2138676240</v>
      </c>
      <c r="O148">
        <v>2109550195</v>
      </c>
      <c r="P148">
        <v>2060944141</v>
      </c>
      <c r="Q148">
        <v>2211963413</v>
      </c>
      <c r="R148">
        <v>2187660068</v>
      </c>
      <c r="S148">
        <v>2270215189</v>
      </c>
    </row>
    <row r="149" spans="1:19">
      <c r="A149" t="s">
        <v>23</v>
      </c>
      <c r="B149" t="s">
        <v>35</v>
      </c>
      <c r="C149" t="s">
        <v>1115</v>
      </c>
      <c r="D149" t="s">
        <v>179</v>
      </c>
      <c r="G149">
        <f t="shared" si="54"/>
        <v>100000000</v>
      </c>
      <c r="H149">
        <v>7000000</v>
      </c>
      <c r="I149">
        <v>6500000</v>
      </c>
      <c r="J149">
        <v>7800000</v>
      </c>
      <c r="K149">
        <v>8000000</v>
      </c>
      <c r="L149">
        <v>8200000</v>
      </c>
      <c r="M149">
        <v>8500000</v>
      </c>
      <c r="N149">
        <v>8800000</v>
      </c>
      <c r="O149">
        <v>8700000</v>
      </c>
      <c r="P149">
        <v>8500000</v>
      </c>
      <c r="Q149">
        <v>9300000</v>
      </c>
      <c r="R149">
        <v>9200000</v>
      </c>
      <c r="S149">
        <v>9500000</v>
      </c>
    </row>
    <row r="150" spans="1:19">
      <c r="A150" t="s">
        <v>19</v>
      </c>
      <c r="B150" t="s">
        <v>20</v>
      </c>
      <c r="C150" t="s">
        <v>1116</v>
      </c>
      <c r="D150" t="s">
        <v>386</v>
      </c>
      <c r="G150">
        <f t="shared" si="54"/>
        <v>500000000</v>
      </c>
      <c r="H150">
        <v>35000000</v>
      </c>
      <c r="I150">
        <v>32500000</v>
      </c>
      <c r="J150">
        <v>39000000</v>
      </c>
      <c r="K150">
        <v>40000000</v>
      </c>
      <c r="L150">
        <v>41000000</v>
      </c>
      <c r="M150">
        <v>42500000</v>
      </c>
      <c r="N150">
        <v>44000000</v>
      </c>
      <c r="O150">
        <v>43500000</v>
      </c>
      <c r="P150">
        <v>42500000</v>
      </c>
      <c r="Q150">
        <v>46500000</v>
      </c>
      <c r="R150">
        <v>46000000</v>
      </c>
      <c r="S150">
        <v>47500000</v>
      </c>
    </row>
    <row r="151" spans="1:19">
      <c r="A151" t="s">
        <v>19</v>
      </c>
      <c r="B151" t="s">
        <v>20</v>
      </c>
      <c r="C151" t="s">
        <v>1117</v>
      </c>
      <c r="D151" t="s">
        <v>392</v>
      </c>
      <c r="G151">
        <f t="shared" si="54"/>
        <v>1330000000</v>
      </c>
      <c r="H151">
        <v>93100000</v>
      </c>
      <c r="I151">
        <v>86450000</v>
      </c>
      <c r="J151">
        <v>103740000</v>
      </c>
      <c r="K151">
        <v>106400000</v>
      </c>
      <c r="L151">
        <v>109060000</v>
      </c>
      <c r="M151">
        <v>113050000</v>
      </c>
      <c r="N151">
        <v>117040000</v>
      </c>
      <c r="O151">
        <v>115710000</v>
      </c>
      <c r="P151">
        <v>113050000</v>
      </c>
      <c r="Q151">
        <v>123690000</v>
      </c>
      <c r="R151">
        <v>122360000</v>
      </c>
      <c r="S151">
        <v>126350000</v>
      </c>
    </row>
    <row r="152" spans="1:19">
      <c r="A152" t="s">
        <v>19</v>
      </c>
      <c r="B152" t="s">
        <v>393</v>
      </c>
      <c r="C152" t="s">
        <v>1118</v>
      </c>
      <c r="D152" t="s">
        <v>395</v>
      </c>
      <c r="G152">
        <f t="shared" si="54"/>
        <v>4430000000</v>
      </c>
      <c r="H152">
        <f t="shared" ref="H152:S152" si="61">H153+H169</f>
        <v>310100000</v>
      </c>
      <c r="I152">
        <f t="shared" si="61"/>
        <v>287950000</v>
      </c>
      <c r="J152">
        <f t="shared" si="61"/>
        <v>345540000</v>
      </c>
      <c r="K152">
        <f t="shared" si="61"/>
        <v>354400000</v>
      </c>
      <c r="L152">
        <f t="shared" si="61"/>
        <v>363260000</v>
      </c>
      <c r="M152">
        <f t="shared" si="61"/>
        <v>376550000</v>
      </c>
      <c r="N152">
        <f t="shared" si="61"/>
        <v>389840000</v>
      </c>
      <c r="O152">
        <f t="shared" si="61"/>
        <v>385410000</v>
      </c>
      <c r="P152">
        <f t="shared" si="61"/>
        <v>376550000</v>
      </c>
      <c r="Q152">
        <f t="shared" si="61"/>
        <v>411990000</v>
      </c>
      <c r="R152">
        <f t="shared" si="61"/>
        <v>407560000</v>
      </c>
      <c r="S152">
        <f t="shared" si="61"/>
        <v>420850000</v>
      </c>
    </row>
    <row r="153" spans="1:19">
      <c r="A153" t="s">
        <v>23</v>
      </c>
      <c r="B153" t="s">
        <v>393</v>
      </c>
      <c r="C153" t="s">
        <v>1119</v>
      </c>
      <c r="D153" t="s">
        <v>397</v>
      </c>
      <c r="G153">
        <f t="shared" si="54"/>
        <v>2940000000</v>
      </c>
      <c r="H153">
        <f t="shared" ref="H153:S153" si="62">H154+H157+H160+H167+H168</f>
        <v>205800000</v>
      </c>
      <c r="I153">
        <f t="shared" si="62"/>
        <v>191100000</v>
      </c>
      <c r="J153">
        <f t="shared" si="62"/>
        <v>229320000</v>
      </c>
      <c r="K153">
        <f t="shared" si="62"/>
        <v>235200000</v>
      </c>
      <c r="L153">
        <f t="shared" si="62"/>
        <v>241080000</v>
      </c>
      <c r="M153">
        <f t="shared" si="62"/>
        <v>249900000</v>
      </c>
      <c r="N153">
        <f t="shared" si="62"/>
        <v>258720000</v>
      </c>
      <c r="O153">
        <f t="shared" si="62"/>
        <v>255780000</v>
      </c>
      <c r="P153">
        <f t="shared" si="62"/>
        <v>249900000</v>
      </c>
      <c r="Q153">
        <f t="shared" si="62"/>
        <v>273420000</v>
      </c>
      <c r="R153">
        <f t="shared" si="62"/>
        <v>270480000</v>
      </c>
      <c r="S153">
        <f t="shared" si="62"/>
        <v>279300000</v>
      </c>
    </row>
    <row r="154" spans="1:19">
      <c r="A154" t="s">
        <v>26</v>
      </c>
      <c r="B154" t="s">
        <v>393</v>
      </c>
      <c r="C154" t="s">
        <v>1120</v>
      </c>
      <c r="D154" t="s">
        <v>399</v>
      </c>
      <c r="G154">
        <f t="shared" si="54"/>
        <v>1050000000</v>
      </c>
      <c r="H154">
        <f t="shared" ref="H154:S154" si="63">H155+H156</f>
        <v>73500000</v>
      </c>
      <c r="I154">
        <f t="shared" si="63"/>
        <v>68250000</v>
      </c>
      <c r="J154">
        <f t="shared" si="63"/>
        <v>81900000</v>
      </c>
      <c r="K154">
        <f t="shared" si="63"/>
        <v>84000000</v>
      </c>
      <c r="L154">
        <f t="shared" si="63"/>
        <v>86100000</v>
      </c>
      <c r="M154">
        <f t="shared" si="63"/>
        <v>89250000</v>
      </c>
      <c r="N154">
        <f t="shared" si="63"/>
        <v>92400000</v>
      </c>
      <c r="O154">
        <f t="shared" si="63"/>
        <v>91350000</v>
      </c>
      <c r="P154">
        <f t="shared" si="63"/>
        <v>89250000</v>
      </c>
      <c r="Q154">
        <f t="shared" si="63"/>
        <v>97650000</v>
      </c>
      <c r="R154">
        <f t="shared" si="63"/>
        <v>96600000</v>
      </c>
      <c r="S154">
        <f t="shared" si="63"/>
        <v>99750000</v>
      </c>
    </row>
    <row r="155" spans="1:19">
      <c r="A155" t="s">
        <v>60</v>
      </c>
      <c r="B155" t="s">
        <v>393</v>
      </c>
      <c r="C155" t="s">
        <v>1121</v>
      </c>
      <c r="D155" t="s">
        <v>401</v>
      </c>
      <c r="G155">
        <f t="shared" si="54"/>
        <v>760000000</v>
      </c>
      <c r="H155">
        <v>53200000</v>
      </c>
      <c r="I155">
        <v>49400000</v>
      </c>
      <c r="J155">
        <v>59280000</v>
      </c>
      <c r="K155">
        <v>60800000</v>
      </c>
      <c r="L155">
        <v>62320000</v>
      </c>
      <c r="M155">
        <v>64600000</v>
      </c>
      <c r="N155">
        <v>66880000</v>
      </c>
      <c r="O155">
        <v>66120000</v>
      </c>
      <c r="P155">
        <v>64600000</v>
      </c>
      <c r="Q155">
        <v>70680000</v>
      </c>
      <c r="R155">
        <v>69920000</v>
      </c>
      <c r="S155">
        <v>72200000</v>
      </c>
    </row>
    <row r="156" spans="1:19">
      <c r="A156" t="s">
        <v>60</v>
      </c>
      <c r="B156" t="s">
        <v>393</v>
      </c>
      <c r="C156" t="s">
        <v>1122</v>
      </c>
      <c r="D156" t="s">
        <v>49</v>
      </c>
      <c r="G156">
        <f t="shared" si="54"/>
        <v>290000000</v>
      </c>
      <c r="H156">
        <v>20300000</v>
      </c>
      <c r="I156">
        <v>18850000</v>
      </c>
      <c r="J156">
        <v>22620000</v>
      </c>
      <c r="K156">
        <v>23200000</v>
      </c>
      <c r="L156">
        <v>23780000</v>
      </c>
      <c r="M156">
        <v>24650000</v>
      </c>
      <c r="N156">
        <v>25520000</v>
      </c>
      <c r="O156">
        <v>25230000</v>
      </c>
      <c r="P156">
        <v>24650000</v>
      </c>
      <c r="Q156">
        <v>26970000</v>
      </c>
      <c r="R156">
        <v>26680000</v>
      </c>
      <c r="S156">
        <v>27550000</v>
      </c>
    </row>
    <row r="157" spans="1:19">
      <c r="A157" t="s">
        <v>26</v>
      </c>
      <c r="B157" t="s">
        <v>393</v>
      </c>
      <c r="C157" t="s">
        <v>1123</v>
      </c>
      <c r="D157" t="s">
        <v>51</v>
      </c>
      <c r="G157">
        <f t="shared" si="54"/>
        <v>840000000</v>
      </c>
      <c r="H157">
        <f t="shared" ref="H157:S157" si="64">H158+H159</f>
        <v>58800000</v>
      </c>
      <c r="I157">
        <f t="shared" si="64"/>
        <v>54600000</v>
      </c>
      <c r="J157">
        <f t="shared" si="64"/>
        <v>65520000</v>
      </c>
      <c r="K157">
        <f t="shared" si="64"/>
        <v>67200000</v>
      </c>
      <c r="L157">
        <f t="shared" si="64"/>
        <v>68880000</v>
      </c>
      <c r="M157">
        <f t="shared" si="64"/>
        <v>71400000</v>
      </c>
      <c r="N157">
        <f t="shared" si="64"/>
        <v>73920000</v>
      </c>
      <c r="O157">
        <f t="shared" si="64"/>
        <v>73080000</v>
      </c>
      <c r="P157">
        <f t="shared" si="64"/>
        <v>71400000</v>
      </c>
      <c r="Q157">
        <f t="shared" si="64"/>
        <v>78120000</v>
      </c>
      <c r="R157">
        <f t="shared" si="64"/>
        <v>77280000</v>
      </c>
      <c r="S157">
        <f t="shared" si="64"/>
        <v>79800000</v>
      </c>
    </row>
    <row r="158" spans="1:19">
      <c r="A158" t="s">
        <v>60</v>
      </c>
      <c r="B158" t="s">
        <v>393</v>
      </c>
      <c r="C158" t="s">
        <v>1124</v>
      </c>
      <c r="D158" t="s">
        <v>405</v>
      </c>
      <c r="G158">
        <f t="shared" si="54"/>
        <v>500000000</v>
      </c>
      <c r="H158">
        <v>35000000</v>
      </c>
      <c r="I158">
        <v>32500000</v>
      </c>
      <c r="J158">
        <v>39000000</v>
      </c>
      <c r="K158">
        <v>40000000</v>
      </c>
      <c r="L158">
        <v>41000000</v>
      </c>
      <c r="M158">
        <v>42500000</v>
      </c>
      <c r="N158">
        <v>44000000</v>
      </c>
      <c r="O158">
        <v>43500000</v>
      </c>
      <c r="P158">
        <v>42500000</v>
      </c>
      <c r="Q158">
        <v>46500000</v>
      </c>
      <c r="R158">
        <v>46000000</v>
      </c>
      <c r="S158">
        <v>47500000</v>
      </c>
    </row>
    <row r="159" spans="1:19">
      <c r="A159" t="s">
        <v>60</v>
      </c>
      <c r="B159" t="s">
        <v>393</v>
      </c>
      <c r="C159" t="s">
        <v>1125</v>
      </c>
      <c r="D159" t="s">
        <v>407</v>
      </c>
      <c r="G159">
        <f t="shared" si="54"/>
        <v>340000000</v>
      </c>
      <c r="H159">
        <v>23800000</v>
      </c>
      <c r="I159">
        <v>22100000</v>
      </c>
      <c r="J159">
        <v>26520000</v>
      </c>
      <c r="K159">
        <v>27200000</v>
      </c>
      <c r="L159">
        <v>27880000</v>
      </c>
      <c r="M159">
        <v>28900000</v>
      </c>
      <c r="N159">
        <v>29920000</v>
      </c>
      <c r="O159">
        <v>29580000</v>
      </c>
      <c r="P159">
        <v>28900000</v>
      </c>
      <c r="Q159">
        <v>31620000</v>
      </c>
      <c r="R159">
        <v>31280000</v>
      </c>
      <c r="S159">
        <v>32300000</v>
      </c>
    </row>
    <row r="160" spans="1:19">
      <c r="A160" t="s">
        <v>26</v>
      </c>
      <c r="B160" t="s">
        <v>393</v>
      </c>
      <c r="C160" t="s">
        <v>1126</v>
      </c>
      <c r="D160" t="s">
        <v>409</v>
      </c>
      <c r="G160">
        <f t="shared" si="54"/>
        <v>630000000</v>
      </c>
      <c r="H160">
        <f t="shared" ref="H160:S160" si="65">H161+H164+H165+H166</f>
        <v>44100000</v>
      </c>
      <c r="I160">
        <f t="shared" si="65"/>
        <v>40950000</v>
      </c>
      <c r="J160">
        <f t="shared" si="65"/>
        <v>49140000</v>
      </c>
      <c r="K160">
        <f t="shared" si="65"/>
        <v>50400000</v>
      </c>
      <c r="L160">
        <f t="shared" si="65"/>
        <v>51660000</v>
      </c>
      <c r="M160">
        <f t="shared" si="65"/>
        <v>53550000</v>
      </c>
      <c r="N160">
        <f t="shared" si="65"/>
        <v>55440000</v>
      </c>
      <c r="O160">
        <f t="shared" si="65"/>
        <v>54810000</v>
      </c>
      <c r="P160">
        <f t="shared" si="65"/>
        <v>53550000</v>
      </c>
      <c r="Q160">
        <f t="shared" si="65"/>
        <v>58590000</v>
      </c>
      <c r="R160">
        <f t="shared" si="65"/>
        <v>57960000</v>
      </c>
      <c r="S160">
        <f t="shared" si="65"/>
        <v>59850000</v>
      </c>
    </row>
    <row r="161" spans="1:19">
      <c r="A161" t="s">
        <v>60</v>
      </c>
      <c r="B161" t="s">
        <v>393</v>
      </c>
      <c r="C161" t="s">
        <v>1127</v>
      </c>
      <c r="D161" t="s">
        <v>59</v>
      </c>
      <c r="G161">
        <f t="shared" si="54"/>
        <v>340000000</v>
      </c>
      <c r="H161">
        <f t="shared" ref="H161:S161" si="66">H162+H163</f>
        <v>23800000</v>
      </c>
      <c r="I161">
        <f t="shared" si="66"/>
        <v>22100000</v>
      </c>
      <c r="J161">
        <f t="shared" si="66"/>
        <v>26520000</v>
      </c>
      <c r="K161">
        <f t="shared" si="66"/>
        <v>27200000</v>
      </c>
      <c r="L161">
        <f t="shared" si="66"/>
        <v>27880000</v>
      </c>
      <c r="M161">
        <f t="shared" si="66"/>
        <v>28900000</v>
      </c>
      <c r="N161">
        <f t="shared" si="66"/>
        <v>29920000</v>
      </c>
      <c r="O161">
        <f t="shared" si="66"/>
        <v>29580000</v>
      </c>
      <c r="P161">
        <f t="shared" si="66"/>
        <v>28900000</v>
      </c>
      <c r="Q161">
        <f t="shared" si="66"/>
        <v>31620000</v>
      </c>
      <c r="R161">
        <f t="shared" si="66"/>
        <v>31280000</v>
      </c>
      <c r="S161">
        <f t="shared" si="66"/>
        <v>32300000</v>
      </c>
    </row>
    <row r="162" spans="1:19">
      <c r="A162" t="s">
        <v>192</v>
      </c>
      <c r="B162" t="s">
        <v>393</v>
      </c>
      <c r="C162" t="s">
        <v>1128</v>
      </c>
      <c r="D162" t="s">
        <v>62</v>
      </c>
      <c r="G162">
        <f t="shared" si="54"/>
        <v>210000000</v>
      </c>
      <c r="H162">
        <v>14700000</v>
      </c>
      <c r="I162">
        <v>13650000</v>
      </c>
      <c r="J162">
        <v>16380000</v>
      </c>
      <c r="K162">
        <v>16800000</v>
      </c>
      <c r="L162">
        <v>17220000</v>
      </c>
      <c r="M162">
        <v>17850000</v>
      </c>
      <c r="N162">
        <v>18480000</v>
      </c>
      <c r="O162">
        <v>18270000</v>
      </c>
      <c r="P162">
        <v>17850000</v>
      </c>
      <c r="Q162">
        <v>19530000</v>
      </c>
      <c r="R162">
        <v>19320000</v>
      </c>
      <c r="S162">
        <v>19950000</v>
      </c>
    </row>
    <row r="163" spans="1:19">
      <c r="A163" t="s">
        <v>192</v>
      </c>
      <c r="B163" t="s">
        <v>393</v>
      </c>
      <c r="C163" t="s">
        <v>1129</v>
      </c>
      <c r="D163" t="s">
        <v>64</v>
      </c>
      <c r="G163">
        <f t="shared" si="54"/>
        <v>130000000</v>
      </c>
      <c r="H163">
        <v>9100000</v>
      </c>
      <c r="I163">
        <v>8450000</v>
      </c>
      <c r="J163">
        <v>10140000</v>
      </c>
      <c r="K163">
        <v>10400000</v>
      </c>
      <c r="L163">
        <v>10660000</v>
      </c>
      <c r="M163">
        <v>11050000</v>
      </c>
      <c r="N163">
        <v>11440000</v>
      </c>
      <c r="O163">
        <v>11310000</v>
      </c>
      <c r="P163">
        <v>11050000</v>
      </c>
      <c r="Q163">
        <v>12090000</v>
      </c>
      <c r="R163">
        <v>11960000</v>
      </c>
      <c r="S163">
        <v>12350000</v>
      </c>
    </row>
    <row r="164" spans="1:19">
      <c r="A164" t="s">
        <v>60</v>
      </c>
      <c r="B164" t="s">
        <v>393</v>
      </c>
      <c r="C164" t="s">
        <v>1130</v>
      </c>
      <c r="D164" t="s">
        <v>414</v>
      </c>
      <c r="G164">
        <f t="shared" si="54"/>
        <v>130000000</v>
      </c>
      <c r="H164">
        <v>9100000</v>
      </c>
      <c r="I164">
        <v>8450000</v>
      </c>
      <c r="J164">
        <v>10140000</v>
      </c>
      <c r="K164">
        <v>10400000</v>
      </c>
      <c r="L164">
        <v>10660000</v>
      </c>
      <c r="M164">
        <v>11050000</v>
      </c>
      <c r="N164">
        <v>11440000</v>
      </c>
      <c r="O164">
        <v>11310000</v>
      </c>
      <c r="P164">
        <v>11050000</v>
      </c>
      <c r="Q164">
        <v>12090000</v>
      </c>
      <c r="R164">
        <v>11960000</v>
      </c>
      <c r="S164">
        <v>12350000</v>
      </c>
    </row>
    <row r="165" spans="1:19">
      <c r="A165" t="s">
        <v>60</v>
      </c>
      <c r="B165" t="s">
        <v>393</v>
      </c>
      <c r="C165" t="s">
        <v>1131</v>
      </c>
      <c r="D165" t="s">
        <v>68</v>
      </c>
      <c r="G165">
        <f t="shared" si="54"/>
        <v>80000000</v>
      </c>
      <c r="H165">
        <v>5600000</v>
      </c>
      <c r="I165">
        <v>5200000</v>
      </c>
      <c r="J165">
        <v>6240000</v>
      </c>
      <c r="K165">
        <v>6400000</v>
      </c>
      <c r="L165">
        <v>6560000</v>
      </c>
      <c r="M165">
        <v>6800000</v>
      </c>
      <c r="N165">
        <v>7040000</v>
      </c>
      <c r="O165">
        <v>6960000</v>
      </c>
      <c r="P165">
        <v>6800000</v>
      </c>
      <c r="Q165">
        <v>7440000</v>
      </c>
      <c r="R165">
        <v>7360000</v>
      </c>
      <c r="S165">
        <v>7600000</v>
      </c>
    </row>
    <row r="166" spans="1:19">
      <c r="A166" t="s">
        <v>60</v>
      </c>
      <c r="B166" t="s">
        <v>393</v>
      </c>
      <c r="C166" t="s">
        <v>1132</v>
      </c>
      <c r="D166" t="s">
        <v>70</v>
      </c>
      <c r="G166">
        <f t="shared" si="54"/>
        <v>80000000</v>
      </c>
      <c r="H166">
        <v>5600000</v>
      </c>
      <c r="I166">
        <v>5200000</v>
      </c>
      <c r="J166">
        <v>6240000</v>
      </c>
      <c r="K166">
        <v>6400000</v>
      </c>
      <c r="L166">
        <v>6560000</v>
      </c>
      <c r="M166">
        <v>6800000</v>
      </c>
      <c r="N166">
        <v>7040000</v>
      </c>
      <c r="O166">
        <v>6960000</v>
      </c>
      <c r="P166">
        <v>6800000</v>
      </c>
      <c r="Q166">
        <v>7440000</v>
      </c>
      <c r="R166">
        <v>7360000</v>
      </c>
      <c r="S166">
        <v>7600000</v>
      </c>
    </row>
    <row r="167" spans="1:19">
      <c r="A167" t="s">
        <v>26</v>
      </c>
      <c r="B167" t="s">
        <v>393</v>
      </c>
      <c r="C167" t="s">
        <v>1133</v>
      </c>
      <c r="D167" t="s">
        <v>418</v>
      </c>
      <c r="G167">
        <f t="shared" si="54"/>
        <v>210000000</v>
      </c>
      <c r="H167">
        <v>14700000</v>
      </c>
      <c r="I167">
        <v>13650000</v>
      </c>
      <c r="J167">
        <v>16380000</v>
      </c>
      <c r="K167">
        <v>16800000</v>
      </c>
      <c r="L167">
        <v>17220000</v>
      </c>
      <c r="M167">
        <v>17850000</v>
      </c>
      <c r="N167">
        <v>18480000</v>
      </c>
      <c r="O167">
        <v>18270000</v>
      </c>
      <c r="P167">
        <v>17850000</v>
      </c>
      <c r="Q167">
        <v>19530000</v>
      </c>
      <c r="R167">
        <v>19320000</v>
      </c>
      <c r="S167">
        <v>19950000</v>
      </c>
    </row>
    <row r="168" spans="1:19">
      <c r="A168" t="s">
        <v>26</v>
      </c>
      <c r="B168" t="s">
        <v>393</v>
      </c>
      <c r="C168" t="s">
        <v>1134</v>
      </c>
      <c r="D168" t="s">
        <v>420</v>
      </c>
      <c r="G168">
        <f t="shared" si="54"/>
        <v>210000000</v>
      </c>
      <c r="H168">
        <v>14700000</v>
      </c>
      <c r="I168">
        <v>13650000</v>
      </c>
      <c r="J168">
        <v>16380000</v>
      </c>
      <c r="K168">
        <v>16800000</v>
      </c>
      <c r="L168">
        <v>17220000</v>
      </c>
      <c r="M168">
        <v>17850000</v>
      </c>
      <c r="N168">
        <v>18480000</v>
      </c>
      <c r="O168">
        <v>18270000</v>
      </c>
      <c r="P168">
        <v>17850000</v>
      </c>
      <c r="Q168">
        <v>19530000</v>
      </c>
      <c r="R168">
        <v>19320000</v>
      </c>
      <c r="S168">
        <v>19950000</v>
      </c>
    </row>
    <row r="169" spans="1:19">
      <c r="A169" t="s">
        <v>23</v>
      </c>
      <c r="B169" t="s">
        <v>393</v>
      </c>
      <c r="C169" t="s">
        <v>1135</v>
      </c>
      <c r="D169" t="s">
        <v>422</v>
      </c>
      <c r="G169">
        <f t="shared" si="54"/>
        <v>1490000000</v>
      </c>
      <c r="H169">
        <f t="shared" ref="H169:S169" si="67">H170+H173+H176+H183+H184</f>
        <v>104300000</v>
      </c>
      <c r="I169">
        <f t="shared" si="67"/>
        <v>96850000</v>
      </c>
      <c r="J169">
        <f t="shared" si="67"/>
        <v>116220000</v>
      </c>
      <c r="K169">
        <f t="shared" si="67"/>
        <v>119200000</v>
      </c>
      <c r="L169">
        <f t="shared" si="67"/>
        <v>122180000</v>
      </c>
      <c r="M169">
        <f t="shared" si="67"/>
        <v>126650000</v>
      </c>
      <c r="N169">
        <f t="shared" si="67"/>
        <v>131120000</v>
      </c>
      <c r="O169">
        <f t="shared" si="67"/>
        <v>129630000</v>
      </c>
      <c r="P169">
        <f t="shared" si="67"/>
        <v>126650000</v>
      </c>
      <c r="Q169">
        <f t="shared" si="67"/>
        <v>138570000</v>
      </c>
      <c r="R169">
        <f t="shared" si="67"/>
        <v>137080000</v>
      </c>
      <c r="S169">
        <f t="shared" si="67"/>
        <v>141550000</v>
      </c>
    </row>
    <row r="170" spans="1:19">
      <c r="A170" t="s">
        <v>26</v>
      </c>
      <c r="B170" t="s">
        <v>393</v>
      </c>
      <c r="C170" t="s">
        <v>1136</v>
      </c>
      <c r="D170" t="s">
        <v>399</v>
      </c>
      <c r="G170">
        <f t="shared" si="54"/>
        <v>420000000</v>
      </c>
      <c r="H170">
        <f t="shared" ref="H170:S170" si="68">H171+H172</f>
        <v>29400000</v>
      </c>
      <c r="I170">
        <f t="shared" si="68"/>
        <v>27300000</v>
      </c>
      <c r="J170">
        <f t="shared" si="68"/>
        <v>32760000</v>
      </c>
      <c r="K170">
        <f t="shared" si="68"/>
        <v>33600000</v>
      </c>
      <c r="L170">
        <f t="shared" si="68"/>
        <v>34440000</v>
      </c>
      <c r="M170">
        <f t="shared" si="68"/>
        <v>35700000</v>
      </c>
      <c r="N170">
        <f t="shared" si="68"/>
        <v>36960000</v>
      </c>
      <c r="O170">
        <f t="shared" si="68"/>
        <v>36540000</v>
      </c>
      <c r="P170">
        <f t="shared" si="68"/>
        <v>35700000</v>
      </c>
      <c r="Q170">
        <f t="shared" si="68"/>
        <v>39060000</v>
      </c>
      <c r="R170">
        <f t="shared" si="68"/>
        <v>38640000</v>
      </c>
      <c r="S170">
        <f t="shared" si="68"/>
        <v>39900000</v>
      </c>
    </row>
    <row r="171" spans="1:19">
      <c r="A171" t="s">
        <v>60</v>
      </c>
      <c r="B171" t="s">
        <v>393</v>
      </c>
      <c r="C171" t="s">
        <v>1137</v>
      </c>
      <c r="D171" t="s">
        <v>401</v>
      </c>
      <c r="G171">
        <f t="shared" si="54"/>
        <v>290000000</v>
      </c>
      <c r="H171">
        <v>20300000</v>
      </c>
      <c r="I171">
        <v>18850000</v>
      </c>
      <c r="J171">
        <v>22620000</v>
      </c>
      <c r="K171">
        <v>23200000</v>
      </c>
      <c r="L171">
        <v>23780000</v>
      </c>
      <c r="M171">
        <v>24650000</v>
      </c>
      <c r="N171">
        <v>25520000</v>
      </c>
      <c r="O171">
        <v>25230000</v>
      </c>
      <c r="P171">
        <v>24650000</v>
      </c>
      <c r="Q171">
        <v>26970000</v>
      </c>
      <c r="R171">
        <v>26680000</v>
      </c>
      <c r="S171">
        <v>27550000</v>
      </c>
    </row>
    <row r="172" spans="1:19">
      <c r="A172" t="s">
        <v>60</v>
      </c>
      <c r="B172" t="s">
        <v>393</v>
      </c>
      <c r="C172" t="s">
        <v>1138</v>
      </c>
      <c r="D172" t="s">
        <v>49</v>
      </c>
      <c r="G172">
        <f t="shared" si="54"/>
        <v>130000000</v>
      </c>
      <c r="H172">
        <v>9100000</v>
      </c>
      <c r="I172">
        <v>8450000</v>
      </c>
      <c r="J172">
        <v>10140000</v>
      </c>
      <c r="K172">
        <v>10400000</v>
      </c>
      <c r="L172">
        <v>10660000</v>
      </c>
      <c r="M172">
        <v>11050000</v>
      </c>
      <c r="N172">
        <v>11440000</v>
      </c>
      <c r="O172">
        <v>11310000</v>
      </c>
      <c r="P172">
        <v>11050000</v>
      </c>
      <c r="Q172">
        <v>12090000</v>
      </c>
      <c r="R172">
        <v>11960000</v>
      </c>
      <c r="S172">
        <v>12350000</v>
      </c>
    </row>
    <row r="173" spans="1:19">
      <c r="A173" t="s">
        <v>26</v>
      </c>
      <c r="B173" t="s">
        <v>393</v>
      </c>
      <c r="C173" t="s">
        <v>1139</v>
      </c>
      <c r="D173" t="s">
        <v>51</v>
      </c>
      <c r="G173">
        <f t="shared" si="54"/>
        <v>340000000</v>
      </c>
      <c r="H173">
        <f t="shared" ref="H173:S173" si="69">H174+H175</f>
        <v>23800000</v>
      </c>
      <c r="I173">
        <f t="shared" si="69"/>
        <v>22100000</v>
      </c>
      <c r="J173">
        <f t="shared" si="69"/>
        <v>26520000</v>
      </c>
      <c r="K173">
        <f t="shared" si="69"/>
        <v>27200000</v>
      </c>
      <c r="L173">
        <f t="shared" si="69"/>
        <v>27880000</v>
      </c>
      <c r="M173">
        <f t="shared" si="69"/>
        <v>28900000</v>
      </c>
      <c r="N173">
        <f t="shared" si="69"/>
        <v>29920000</v>
      </c>
      <c r="O173">
        <f t="shared" si="69"/>
        <v>29580000</v>
      </c>
      <c r="P173">
        <f t="shared" si="69"/>
        <v>28900000</v>
      </c>
      <c r="Q173">
        <f t="shared" si="69"/>
        <v>31620000</v>
      </c>
      <c r="R173">
        <f t="shared" si="69"/>
        <v>31280000</v>
      </c>
      <c r="S173">
        <f t="shared" si="69"/>
        <v>32300000</v>
      </c>
    </row>
    <row r="174" spans="1:19">
      <c r="A174" t="s">
        <v>60</v>
      </c>
      <c r="B174" t="s">
        <v>393</v>
      </c>
      <c r="C174" t="s">
        <v>1140</v>
      </c>
      <c r="D174" t="s">
        <v>405</v>
      </c>
      <c r="G174">
        <f t="shared" si="54"/>
        <v>210000000</v>
      </c>
      <c r="H174">
        <v>14700000</v>
      </c>
      <c r="I174">
        <v>13650000</v>
      </c>
      <c r="J174">
        <v>16380000</v>
      </c>
      <c r="K174">
        <v>16800000</v>
      </c>
      <c r="L174">
        <v>17220000</v>
      </c>
      <c r="M174">
        <v>17850000</v>
      </c>
      <c r="N174">
        <v>18480000</v>
      </c>
      <c r="O174">
        <v>18270000</v>
      </c>
      <c r="P174">
        <v>17850000</v>
      </c>
      <c r="Q174">
        <v>19530000</v>
      </c>
      <c r="R174">
        <v>19320000</v>
      </c>
      <c r="S174">
        <v>19950000</v>
      </c>
    </row>
    <row r="175" spans="1:19">
      <c r="A175" t="s">
        <v>60</v>
      </c>
      <c r="B175" t="s">
        <v>393</v>
      </c>
      <c r="C175" t="s">
        <v>1141</v>
      </c>
      <c r="D175" t="s">
        <v>407</v>
      </c>
      <c r="G175">
        <f t="shared" si="54"/>
        <v>130000000</v>
      </c>
      <c r="H175">
        <v>9100000</v>
      </c>
      <c r="I175">
        <v>8450000</v>
      </c>
      <c r="J175">
        <v>10140000</v>
      </c>
      <c r="K175">
        <v>10400000</v>
      </c>
      <c r="L175">
        <v>10660000</v>
      </c>
      <c r="M175">
        <v>11050000</v>
      </c>
      <c r="N175">
        <v>11440000</v>
      </c>
      <c r="O175">
        <v>11310000</v>
      </c>
      <c r="P175">
        <v>11050000</v>
      </c>
      <c r="Q175">
        <v>12090000</v>
      </c>
      <c r="R175">
        <v>11960000</v>
      </c>
      <c r="S175">
        <v>12350000</v>
      </c>
    </row>
    <row r="176" spans="1:19">
      <c r="A176" t="s">
        <v>26</v>
      </c>
      <c r="B176" t="s">
        <v>393</v>
      </c>
      <c r="C176" t="s">
        <v>1142</v>
      </c>
      <c r="D176" t="s">
        <v>409</v>
      </c>
      <c r="G176">
        <f t="shared" si="54"/>
        <v>310000000</v>
      </c>
      <c r="H176">
        <f t="shared" ref="H176:S176" si="70">H177+H180+H181+H182</f>
        <v>21700000</v>
      </c>
      <c r="I176">
        <f t="shared" si="70"/>
        <v>20150000</v>
      </c>
      <c r="J176">
        <f t="shared" si="70"/>
        <v>24180000</v>
      </c>
      <c r="K176">
        <f t="shared" si="70"/>
        <v>24800000</v>
      </c>
      <c r="L176">
        <f t="shared" si="70"/>
        <v>25420000</v>
      </c>
      <c r="M176">
        <f t="shared" si="70"/>
        <v>26350000</v>
      </c>
      <c r="N176">
        <f t="shared" si="70"/>
        <v>27280000</v>
      </c>
      <c r="O176">
        <f t="shared" si="70"/>
        <v>26970000</v>
      </c>
      <c r="P176">
        <f t="shared" si="70"/>
        <v>26350000</v>
      </c>
      <c r="Q176">
        <f t="shared" si="70"/>
        <v>28830000</v>
      </c>
      <c r="R176">
        <f t="shared" si="70"/>
        <v>28520000</v>
      </c>
      <c r="S176">
        <f t="shared" si="70"/>
        <v>29450000</v>
      </c>
    </row>
    <row r="177" spans="1:19">
      <c r="A177" t="s">
        <v>60</v>
      </c>
      <c r="B177" t="s">
        <v>393</v>
      </c>
      <c r="C177" t="s">
        <v>1143</v>
      </c>
      <c r="D177" t="s">
        <v>59</v>
      </c>
      <c r="G177">
        <f t="shared" si="54"/>
        <v>170000000</v>
      </c>
      <c r="H177">
        <f t="shared" ref="H177:S177" si="71">H178+H179</f>
        <v>11900000</v>
      </c>
      <c r="I177">
        <f t="shared" si="71"/>
        <v>11050000</v>
      </c>
      <c r="J177">
        <f t="shared" si="71"/>
        <v>13260000</v>
      </c>
      <c r="K177">
        <f t="shared" si="71"/>
        <v>13600000</v>
      </c>
      <c r="L177">
        <f t="shared" si="71"/>
        <v>13940000</v>
      </c>
      <c r="M177">
        <f t="shared" si="71"/>
        <v>14450000</v>
      </c>
      <c r="N177">
        <f t="shared" si="71"/>
        <v>14960000</v>
      </c>
      <c r="O177">
        <f t="shared" si="71"/>
        <v>14790000</v>
      </c>
      <c r="P177">
        <f t="shared" si="71"/>
        <v>14450000</v>
      </c>
      <c r="Q177">
        <f t="shared" si="71"/>
        <v>15810000</v>
      </c>
      <c r="R177">
        <f t="shared" si="71"/>
        <v>15640000</v>
      </c>
      <c r="S177">
        <f t="shared" si="71"/>
        <v>16150000</v>
      </c>
    </row>
    <row r="178" spans="1:19">
      <c r="A178" t="s">
        <v>192</v>
      </c>
      <c r="B178" t="s">
        <v>393</v>
      </c>
      <c r="C178" t="s">
        <v>1144</v>
      </c>
      <c r="D178" t="s">
        <v>62</v>
      </c>
      <c r="G178">
        <f t="shared" si="54"/>
        <v>110000000</v>
      </c>
      <c r="H178">
        <v>7700000</v>
      </c>
      <c r="I178">
        <v>7150000</v>
      </c>
      <c r="J178">
        <v>8580000</v>
      </c>
      <c r="K178">
        <v>8800000</v>
      </c>
      <c r="L178">
        <v>9020000</v>
      </c>
      <c r="M178">
        <v>9350000</v>
      </c>
      <c r="N178">
        <v>9680000</v>
      </c>
      <c r="O178">
        <v>9570000</v>
      </c>
      <c r="P178">
        <v>9350000</v>
      </c>
      <c r="Q178">
        <v>10230000</v>
      </c>
      <c r="R178">
        <v>10120000</v>
      </c>
      <c r="S178">
        <v>10450000</v>
      </c>
    </row>
    <row r="179" spans="1:19">
      <c r="A179" t="s">
        <v>192</v>
      </c>
      <c r="B179" t="s">
        <v>393</v>
      </c>
      <c r="C179" t="s">
        <v>1145</v>
      </c>
      <c r="D179" t="s">
        <v>64</v>
      </c>
      <c r="G179">
        <f t="shared" si="54"/>
        <v>60000000</v>
      </c>
      <c r="H179">
        <v>4200000</v>
      </c>
      <c r="I179">
        <v>3900000</v>
      </c>
      <c r="J179">
        <v>4680000</v>
      </c>
      <c r="K179">
        <v>4800000</v>
      </c>
      <c r="L179">
        <v>4920000</v>
      </c>
      <c r="M179">
        <v>5100000</v>
      </c>
      <c r="N179">
        <v>5280000</v>
      </c>
      <c r="O179">
        <v>5220000</v>
      </c>
      <c r="P179">
        <v>5100000</v>
      </c>
      <c r="Q179">
        <v>5580000</v>
      </c>
      <c r="R179">
        <v>5520000</v>
      </c>
      <c r="S179">
        <v>5700000</v>
      </c>
    </row>
    <row r="180" spans="1:19">
      <c r="A180" t="s">
        <v>60</v>
      </c>
      <c r="B180" t="s">
        <v>393</v>
      </c>
      <c r="C180" t="s">
        <v>1146</v>
      </c>
      <c r="D180" t="s">
        <v>414</v>
      </c>
      <c r="G180">
        <f t="shared" si="54"/>
        <v>60000000</v>
      </c>
      <c r="H180">
        <v>4200000</v>
      </c>
      <c r="I180">
        <v>3900000</v>
      </c>
      <c r="J180">
        <v>4680000</v>
      </c>
      <c r="K180">
        <v>4800000</v>
      </c>
      <c r="L180">
        <v>4920000</v>
      </c>
      <c r="M180">
        <v>5100000</v>
      </c>
      <c r="N180">
        <v>5280000</v>
      </c>
      <c r="O180">
        <v>5220000</v>
      </c>
      <c r="P180">
        <v>5100000</v>
      </c>
      <c r="Q180">
        <v>5580000</v>
      </c>
      <c r="R180">
        <v>5520000</v>
      </c>
      <c r="S180">
        <v>5700000</v>
      </c>
    </row>
    <row r="181" spans="1:19">
      <c r="A181" t="s">
        <v>60</v>
      </c>
      <c r="B181" t="s">
        <v>393</v>
      </c>
      <c r="C181" t="s">
        <v>1147</v>
      </c>
      <c r="D181" t="s">
        <v>68</v>
      </c>
      <c r="G181">
        <f t="shared" si="54"/>
        <v>40000000</v>
      </c>
      <c r="H181">
        <v>2800000</v>
      </c>
      <c r="I181">
        <v>2600000</v>
      </c>
      <c r="J181">
        <v>3120000</v>
      </c>
      <c r="K181">
        <v>3200000</v>
      </c>
      <c r="L181">
        <v>3280000</v>
      </c>
      <c r="M181">
        <v>3400000</v>
      </c>
      <c r="N181">
        <v>3520000</v>
      </c>
      <c r="O181">
        <v>3480000</v>
      </c>
      <c r="P181">
        <v>3400000</v>
      </c>
      <c r="Q181">
        <v>3720000</v>
      </c>
      <c r="R181">
        <v>3680000</v>
      </c>
      <c r="S181">
        <v>3800000</v>
      </c>
    </row>
    <row r="182" spans="1:19">
      <c r="A182" t="s">
        <v>60</v>
      </c>
      <c r="B182" t="s">
        <v>393</v>
      </c>
      <c r="C182" t="s">
        <v>1148</v>
      </c>
      <c r="D182" t="s">
        <v>70</v>
      </c>
      <c r="G182">
        <f t="shared" si="54"/>
        <v>40000000</v>
      </c>
      <c r="H182">
        <v>2800000</v>
      </c>
      <c r="I182">
        <v>2600000</v>
      </c>
      <c r="J182">
        <v>3120000</v>
      </c>
      <c r="K182">
        <v>3200000</v>
      </c>
      <c r="L182">
        <v>3280000</v>
      </c>
      <c r="M182">
        <v>3400000</v>
      </c>
      <c r="N182">
        <v>3520000</v>
      </c>
      <c r="O182">
        <v>3480000</v>
      </c>
      <c r="P182">
        <v>3400000</v>
      </c>
      <c r="Q182">
        <v>3720000</v>
      </c>
      <c r="R182">
        <v>3680000</v>
      </c>
      <c r="S182">
        <v>3800000</v>
      </c>
    </row>
    <row r="183" spans="1:19">
      <c r="A183" t="s">
        <v>26</v>
      </c>
      <c r="B183" t="s">
        <v>393</v>
      </c>
      <c r="C183" t="s">
        <v>1149</v>
      </c>
      <c r="D183" t="s">
        <v>418</v>
      </c>
      <c r="G183">
        <f t="shared" si="54"/>
        <v>210000000</v>
      </c>
      <c r="H183">
        <v>14700000</v>
      </c>
      <c r="I183">
        <v>13650000</v>
      </c>
      <c r="J183">
        <v>16380000</v>
      </c>
      <c r="K183">
        <v>16800000</v>
      </c>
      <c r="L183">
        <v>17220000</v>
      </c>
      <c r="M183">
        <v>17850000</v>
      </c>
      <c r="N183">
        <v>18480000</v>
      </c>
      <c r="O183">
        <v>18270000</v>
      </c>
      <c r="P183">
        <v>17850000</v>
      </c>
      <c r="Q183">
        <v>19530000</v>
      </c>
      <c r="R183">
        <v>19320000</v>
      </c>
      <c r="S183">
        <v>19950000</v>
      </c>
    </row>
    <row r="184" spans="1:19">
      <c r="A184" t="s">
        <v>26</v>
      </c>
      <c r="B184" t="s">
        <v>393</v>
      </c>
      <c r="C184" t="s">
        <v>1150</v>
      </c>
      <c r="D184" t="s">
        <v>420</v>
      </c>
      <c r="G184">
        <f t="shared" si="54"/>
        <v>210000000</v>
      </c>
      <c r="H184">
        <v>14700000</v>
      </c>
      <c r="I184">
        <v>13650000</v>
      </c>
      <c r="J184">
        <v>16380000</v>
      </c>
      <c r="K184">
        <v>16800000</v>
      </c>
      <c r="L184">
        <v>17220000</v>
      </c>
      <c r="M184">
        <v>17850000</v>
      </c>
      <c r="N184">
        <v>18480000</v>
      </c>
      <c r="O184">
        <v>18270000</v>
      </c>
      <c r="P184">
        <v>17850000</v>
      </c>
      <c r="Q184">
        <v>19530000</v>
      </c>
      <c r="R184">
        <v>19320000</v>
      </c>
      <c r="S184">
        <v>19950000</v>
      </c>
    </row>
    <row r="185" spans="1:19">
      <c r="A185" t="s">
        <v>19</v>
      </c>
      <c r="B185" t="s">
        <v>438</v>
      </c>
      <c r="C185" t="s">
        <v>1151</v>
      </c>
      <c r="D185" t="s">
        <v>440</v>
      </c>
      <c r="G185">
        <f t="shared" si="54"/>
        <v>1298000000000</v>
      </c>
      <c r="H185">
        <f t="shared" ref="H185:S185" si="72">H186</f>
        <v>93110000000</v>
      </c>
      <c r="I185">
        <f t="shared" si="72"/>
        <v>90220000000</v>
      </c>
      <c r="J185">
        <f t="shared" si="72"/>
        <v>103044000000</v>
      </c>
      <c r="K185">
        <f t="shared" si="72"/>
        <v>105190000000</v>
      </c>
      <c r="L185">
        <f t="shared" si="72"/>
        <v>107786000000</v>
      </c>
      <c r="M185">
        <f t="shared" si="72"/>
        <v>111230000000</v>
      </c>
      <c r="N185">
        <f t="shared" si="72"/>
        <v>114224000000</v>
      </c>
      <c r="O185">
        <f t="shared" si="72"/>
        <v>112476000000</v>
      </c>
      <c r="P185">
        <f t="shared" si="72"/>
        <v>109880000000</v>
      </c>
      <c r="Q185">
        <f t="shared" si="72"/>
        <v>116214000000</v>
      </c>
      <c r="R185">
        <f t="shared" si="72"/>
        <v>114916000000</v>
      </c>
      <c r="S185">
        <f t="shared" si="72"/>
        <v>119710000000</v>
      </c>
    </row>
    <row r="186" spans="1:19">
      <c r="A186" t="s">
        <v>23</v>
      </c>
      <c r="B186" t="s">
        <v>438</v>
      </c>
      <c r="C186" t="s">
        <v>1152</v>
      </c>
      <c r="D186" t="s">
        <v>442</v>
      </c>
      <c r="G186">
        <f t="shared" si="54"/>
        <v>1298000000000</v>
      </c>
      <c r="H186">
        <f t="shared" ref="H186:S186" si="73">H187+H192+H207</f>
        <v>93110000000</v>
      </c>
      <c r="I186">
        <f t="shared" si="73"/>
        <v>90220000000</v>
      </c>
      <c r="J186">
        <f t="shared" si="73"/>
        <v>103044000000</v>
      </c>
      <c r="K186">
        <f t="shared" si="73"/>
        <v>105190000000</v>
      </c>
      <c r="L186">
        <f t="shared" si="73"/>
        <v>107786000000</v>
      </c>
      <c r="M186">
        <f t="shared" si="73"/>
        <v>111230000000</v>
      </c>
      <c r="N186">
        <f t="shared" si="73"/>
        <v>114224000000</v>
      </c>
      <c r="O186">
        <f t="shared" si="73"/>
        <v>112476000000</v>
      </c>
      <c r="P186">
        <f t="shared" si="73"/>
        <v>109880000000</v>
      </c>
      <c r="Q186">
        <f t="shared" si="73"/>
        <v>116214000000</v>
      </c>
      <c r="R186">
        <f t="shared" si="73"/>
        <v>114916000000</v>
      </c>
      <c r="S186">
        <f t="shared" si="73"/>
        <v>119710000000</v>
      </c>
    </row>
    <row r="187" spans="1:19">
      <c r="A187" t="s">
        <v>26</v>
      </c>
      <c r="B187" t="s">
        <v>438</v>
      </c>
      <c r="C187" t="s">
        <v>1153</v>
      </c>
      <c r="D187" t="s">
        <v>444</v>
      </c>
      <c r="G187">
        <f t="shared" si="54"/>
        <v>1200000000</v>
      </c>
      <c r="H187">
        <f t="shared" ref="H187:S187" si="74">H188+H189+H190+H191</f>
        <v>84000000</v>
      </c>
      <c r="I187">
        <f t="shared" si="74"/>
        <v>78000000</v>
      </c>
      <c r="J187">
        <f t="shared" si="74"/>
        <v>93600000</v>
      </c>
      <c r="K187">
        <f t="shared" si="74"/>
        <v>96000000</v>
      </c>
      <c r="L187">
        <f t="shared" si="74"/>
        <v>98400000</v>
      </c>
      <c r="M187">
        <f t="shared" si="74"/>
        <v>102000000</v>
      </c>
      <c r="N187">
        <f t="shared" si="74"/>
        <v>105600000</v>
      </c>
      <c r="O187">
        <f t="shared" si="74"/>
        <v>104400000</v>
      </c>
      <c r="P187">
        <f t="shared" si="74"/>
        <v>102000000</v>
      </c>
      <c r="Q187">
        <f t="shared" si="74"/>
        <v>111600000</v>
      </c>
      <c r="R187">
        <f t="shared" si="74"/>
        <v>110400000</v>
      </c>
      <c r="S187">
        <f t="shared" si="74"/>
        <v>114000000</v>
      </c>
    </row>
    <row r="188" spans="1:19">
      <c r="A188" t="s">
        <v>60</v>
      </c>
      <c r="B188" t="s">
        <v>438</v>
      </c>
      <c r="C188" t="s">
        <v>1154</v>
      </c>
      <c r="D188" t="s">
        <v>446</v>
      </c>
      <c r="G188">
        <f t="shared" si="54"/>
        <v>500000000</v>
      </c>
      <c r="H188">
        <v>35000000</v>
      </c>
      <c r="I188">
        <v>32500000</v>
      </c>
      <c r="J188">
        <v>39000000</v>
      </c>
      <c r="K188">
        <v>40000000</v>
      </c>
      <c r="L188">
        <v>41000000</v>
      </c>
      <c r="M188">
        <v>42500000</v>
      </c>
      <c r="N188">
        <v>44000000</v>
      </c>
      <c r="O188">
        <v>43500000</v>
      </c>
      <c r="P188">
        <v>42500000</v>
      </c>
      <c r="Q188">
        <v>46500000</v>
      </c>
      <c r="R188">
        <v>46000000</v>
      </c>
      <c r="S188">
        <v>47500000</v>
      </c>
    </row>
    <row r="189" spans="1:19">
      <c r="A189" t="s">
        <v>60</v>
      </c>
      <c r="B189" t="s">
        <v>438</v>
      </c>
      <c r="C189" t="s">
        <v>1155</v>
      </c>
      <c r="D189" t="s">
        <v>448</v>
      </c>
      <c r="G189">
        <f t="shared" si="54"/>
        <v>350000000</v>
      </c>
      <c r="H189">
        <v>24500000</v>
      </c>
      <c r="I189">
        <v>22750000</v>
      </c>
      <c r="J189">
        <v>27300000</v>
      </c>
      <c r="K189">
        <v>28000000</v>
      </c>
      <c r="L189">
        <v>28700000</v>
      </c>
      <c r="M189">
        <v>29750000</v>
      </c>
      <c r="N189">
        <v>30800000</v>
      </c>
      <c r="O189">
        <v>30450000</v>
      </c>
      <c r="P189">
        <v>29750000</v>
      </c>
      <c r="Q189">
        <v>32550000</v>
      </c>
      <c r="R189">
        <v>32200000</v>
      </c>
      <c r="S189">
        <v>33250000</v>
      </c>
    </row>
    <row r="190" spans="1:19">
      <c r="A190" t="s">
        <v>60</v>
      </c>
      <c r="B190" t="s">
        <v>438</v>
      </c>
      <c r="C190" t="s">
        <v>1156</v>
      </c>
      <c r="D190" t="s">
        <v>450</v>
      </c>
      <c r="G190">
        <f t="shared" si="54"/>
        <v>200000000</v>
      </c>
      <c r="H190">
        <v>14000000</v>
      </c>
      <c r="I190">
        <v>13000000</v>
      </c>
      <c r="J190">
        <v>15600000</v>
      </c>
      <c r="K190">
        <v>16000000</v>
      </c>
      <c r="L190">
        <v>16400000</v>
      </c>
      <c r="M190">
        <v>17000000</v>
      </c>
      <c r="N190">
        <v>17600000</v>
      </c>
      <c r="O190">
        <v>17400000</v>
      </c>
      <c r="P190">
        <v>17000000</v>
      </c>
      <c r="Q190">
        <v>18600000</v>
      </c>
      <c r="R190">
        <v>18400000</v>
      </c>
      <c r="S190">
        <v>19000000</v>
      </c>
    </row>
    <row r="191" spans="1:19">
      <c r="A191" t="s">
        <v>60</v>
      </c>
      <c r="B191" t="s">
        <v>438</v>
      </c>
      <c r="C191" t="s">
        <v>1157</v>
      </c>
      <c r="D191" t="s">
        <v>452</v>
      </c>
      <c r="G191">
        <f t="shared" si="54"/>
        <v>150000000</v>
      </c>
      <c r="H191">
        <v>10500000</v>
      </c>
      <c r="I191">
        <v>9750000</v>
      </c>
      <c r="J191">
        <v>11700000</v>
      </c>
      <c r="K191">
        <v>12000000</v>
      </c>
      <c r="L191">
        <v>12300000</v>
      </c>
      <c r="M191">
        <v>12750000</v>
      </c>
      <c r="N191">
        <v>13200000</v>
      </c>
      <c r="O191">
        <v>13050000</v>
      </c>
      <c r="P191">
        <v>12750000</v>
      </c>
      <c r="Q191">
        <v>13950000</v>
      </c>
      <c r="R191">
        <v>13800000</v>
      </c>
      <c r="S191">
        <v>14250000</v>
      </c>
    </row>
    <row r="192" spans="1:19">
      <c r="A192" t="s">
        <v>26</v>
      </c>
      <c r="B192" t="s">
        <v>438</v>
      </c>
      <c r="C192" t="s">
        <v>1158</v>
      </c>
      <c r="D192" t="s">
        <v>454</v>
      </c>
      <c r="G192">
        <f t="shared" si="54"/>
        <v>1295000000000</v>
      </c>
      <c r="H192">
        <f t="shared" ref="H192:S192" si="75">H193+H194+H195+H196+H197+H198+H199+H200+H201+H202+H203+H204+H205+H206</f>
        <v>92900000000</v>
      </c>
      <c r="I192">
        <f t="shared" si="75"/>
        <v>90025000000</v>
      </c>
      <c r="J192">
        <f t="shared" si="75"/>
        <v>102810000000</v>
      </c>
      <c r="K192">
        <f t="shared" si="75"/>
        <v>104950000000</v>
      </c>
      <c r="L192">
        <f t="shared" si="75"/>
        <v>107540000000</v>
      </c>
      <c r="M192">
        <f t="shared" si="75"/>
        <v>110975000000</v>
      </c>
      <c r="N192">
        <f t="shared" si="75"/>
        <v>113960000000</v>
      </c>
      <c r="O192">
        <f t="shared" si="75"/>
        <v>112215000000</v>
      </c>
      <c r="P192">
        <f t="shared" si="75"/>
        <v>109625000000</v>
      </c>
      <c r="Q192">
        <f t="shared" si="75"/>
        <v>115935000000</v>
      </c>
      <c r="R192">
        <f t="shared" si="75"/>
        <v>114640000000</v>
      </c>
      <c r="S192">
        <f t="shared" si="75"/>
        <v>119425000000</v>
      </c>
    </row>
    <row r="193" spans="1:19">
      <c r="A193" t="s">
        <v>60</v>
      </c>
      <c r="B193" t="s">
        <v>438</v>
      </c>
      <c r="C193" t="s">
        <v>1159</v>
      </c>
      <c r="D193" t="s">
        <v>456</v>
      </c>
      <c r="G193">
        <f t="shared" si="54"/>
        <v>200000000000</v>
      </c>
      <c r="H193">
        <v>15000000000</v>
      </c>
      <c r="I193">
        <v>15600000000</v>
      </c>
      <c r="J193">
        <v>16400000000</v>
      </c>
      <c r="K193">
        <v>16600000000</v>
      </c>
      <c r="L193">
        <v>17000000000</v>
      </c>
      <c r="M193">
        <v>17400000000</v>
      </c>
      <c r="N193">
        <v>17600000000</v>
      </c>
      <c r="O193">
        <v>17200000000</v>
      </c>
      <c r="P193">
        <v>16800000000</v>
      </c>
      <c r="Q193">
        <v>16600000000</v>
      </c>
      <c r="R193">
        <v>16400000000</v>
      </c>
      <c r="S193">
        <v>17400000000</v>
      </c>
    </row>
    <row r="194" spans="1:19">
      <c r="A194" t="s">
        <v>60</v>
      </c>
      <c r="B194" t="s">
        <v>438</v>
      </c>
      <c r="C194" t="s">
        <v>1160</v>
      </c>
      <c r="D194" t="s">
        <v>458</v>
      </c>
      <c r="G194">
        <f t="shared" ref="G194:G210" si="76">H194+I194+J194+K194+L194+M194+N194+O194+P194+Q194+R194+S194</f>
        <v>80000000000</v>
      </c>
      <c r="H194">
        <v>5600000000</v>
      </c>
      <c r="I194">
        <v>5200000000</v>
      </c>
      <c r="J194">
        <v>6240000000</v>
      </c>
      <c r="K194">
        <v>6400000000</v>
      </c>
      <c r="L194">
        <v>6560000000</v>
      </c>
      <c r="M194">
        <v>6800000000</v>
      </c>
      <c r="N194">
        <v>7040000000</v>
      </c>
      <c r="O194">
        <v>6960000000</v>
      </c>
      <c r="P194">
        <v>6800000000</v>
      </c>
      <c r="Q194">
        <v>7440000000</v>
      </c>
      <c r="R194">
        <v>7360000000</v>
      </c>
      <c r="S194">
        <v>7600000000</v>
      </c>
    </row>
    <row r="195" spans="1:19">
      <c r="A195" t="s">
        <v>60</v>
      </c>
      <c r="B195" t="s">
        <v>438</v>
      </c>
      <c r="C195" t="s">
        <v>1161</v>
      </c>
      <c r="D195" t="s">
        <v>460</v>
      </c>
      <c r="G195">
        <f t="shared" si="76"/>
        <v>120000000000</v>
      </c>
      <c r="H195">
        <v>8400000000</v>
      </c>
      <c r="I195">
        <v>7800000000</v>
      </c>
      <c r="J195">
        <v>9360000000</v>
      </c>
      <c r="K195">
        <v>9600000000</v>
      </c>
      <c r="L195">
        <v>9840000000</v>
      </c>
      <c r="M195">
        <v>10200000000</v>
      </c>
      <c r="N195">
        <v>10560000000</v>
      </c>
      <c r="O195">
        <v>10440000000</v>
      </c>
      <c r="P195">
        <v>10200000000</v>
      </c>
      <c r="Q195">
        <v>11160000000</v>
      </c>
      <c r="R195">
        <v>11040000000</v>
      </c>
      <c r="S195">
        <v>11400000000</v>
      </c>
    </row>
    <row r="196" spans="1:19">
      <c r="A196" t="s">
        <v>60</v>
      </c>
      <c r="B196" t="s">
        <v>438</v>
      </c>
      <c r="C196" t="s">
        <v>1162</v>
      </c>
      <c r="D196" t="s">
        <v>462</v>
      </c>
      <c r="G196">
        <f t="shared" si="76"/>
        <v>25000000000</v>
      </c>
      <c r="H196">
        <v>1750000000</v>
      </c>
      <c r="I196">
        <v>1625000000</v>
      </c>
      <c r="J196">
        <v>1950000000</v>
      </c>
      <c r="K196">
        <v>2000000000</v>
      </c>
      <c r="L196">
        <v>2050000000</v>
      </c>
      <c r="M196">
        <v>2125000000</v>
      </c>
      <c r="N196">
        <v>2200000000</v>
      </c>
      <c r="O196">
        <v>2175000000</v>
      </c>
      <c r="P196">
        <v>2125000000</v>
      </c>
      <c r="Q196">
        <v>2325000000</v>
      </c>
      <c r="R196">
        <v>2300000000</v>
      </c>
      <c r="S196">
        <v>2375000000</v>
      </c>
    </row>
    <row r="197" spans="1:19">
      <c r="A197" t="s">
        <v>60</v>
      </c>
      <c r="B197" t="s">
        <v>438</v>
      </c>
      <c r="C197" t="s">
        <v>1163</v>
      </c>
      <c r="D197" t="s">
        <v>464</v>
      </c>
      <c r="G197">
        <f t="shared" si="76"/>
        <v>10000000000</v>
      </c>
      <c r="H197">
        <v>700000000</v>
      </c>
      <c r="I197">
        <v>650000000</v>
      </c>
      <c r="J197">
        <v>780000000</v>
      </c>
      <c r="K197">
        <v>800000000</v>
      </c>
      <c r="L197">
        <v>820000000</v>
      </c>
      <c r="M197">
        <v>850000000</v>
      </c>
      <c r="N197">
        <v>880000000</v>
      </c>
      <c r="O197">
        <v>870000000</v>
      </c>
      <c r="P197">
        <v>850000000</v>
      </c>
      <c r="Q197">
        <v>930000000</v>
      </c>
      <c r="R197">
        <v>920000000</v>
      </c>
      <c r="S197">
        <v>950000000</v>
      </c>
    </row>
    <row r="198" spans="1:19">
      <c r="A198" t="s">
        <v>60</v>
      </c>
      <c r="B198" t="s">
        <v>438</v>
      </c>
      <c r="C198" t="s">
        <v>1164</v>
      </c>
      <c r="D198" t="s">
        <v>466</v>
      </c>
      <c r="G198">
        <f t="shared" si="76"/>
        <v>200000000000</v>
      </c>
      <c r="H198">
        <v>14000000000</v>
      </c>
      <c r="I198">
        <v>13000000000</v>
      </c>
      <c r="J198">
        <v>15600000000</v>
      </c>
      <c r="K198">
        <v>16000000000</v>
      </c>
      <c r="L198">
        <v>16400000000</v>
      </c>
      <c r="M198">
        <v>17000000000</v>
      </c>
      <c r="N198">
        <v>17600000000</v>
      </c>
      <c r="O198">
        <v>17400000000</v>
      </c>
      <c r="P198">
        <v>17000000000</v>
      </c>
      <c r="Q198">
        <v>18600000000</v>
      </c>
      <c r="R198">
        <v>18400000000</v>
      </c>
      <c r="S198">
        <v>19000000000</v>
      </c>
    </row>
    <row r="199" spans="1:19">
      <c r="A199" t="s">
        <v>60</v>
      </c>
      <c r="B199" t="s">
        <v>438</v>
      </c>
      <c r="C199" t="s">
        <v>1165</v>
      </c>
      <c r="D199" t="s">
        <v>468</v>
      </c>
      <c r="G199">
        <f t="shared" si="76"/>
        <v>50000000000</v>
      </c>
      <c r="H199">
        <v>3750000000</v>
      </c>
      <c r="I199">
        <v>3900000000</v>
      </c>
      <c r="J199">
        <v>4100000000</v>
      </c>
      <c r="K199">
        <v>4150000000</v>
      </c>
      <c r="L199">
        <v>4250000000</v>
      </c>
      <c r="M199">
        <v>4350000000</v>
      </c>
      <c r="N199">
        <v>4400000000</v>
      </c>
      <c r="O199">
        <v>4300000000</v>
      </c>
      <c r="P199">
        <v>4200000000</v>
      </c>
      <c r="Q199">
        <v>4150000000</v>
      </c>
      <c r="R199">
        <v>4100000000</v>
      </c>
      <c r="S199">
        <v>4350000000</v>
      </c>
    </row>
    <row r="200" spans="1:19">
      <c r="A200" t="s">
        <v>60</v>
      </c>
      <c r="B200" t="s">
        <v>438</v>
      </c>
      <c r="C200" t="s">
        <v>1166</v>
      </c>
      <c r="D200" t="s">
        <v>470</v>
      </c>
      <c r="G200">
        <f t="shared" si="76"/>
        <v>25000000000</v>
      </c>
      <c r="H200">
        <v>1750000000</v>
      </c>
      <c r="I200">
        <v>1625000000</v>
      </c>
      <c r="J200">
        <v>1950000000</v>
      </c>
      <c r="K200">
        <v>2000000000</v>
      </c>
      <c r="L200">
        <v>2050000000</v>
      </c>
      <c r="M200">
        <v>2125000000</v>
      </c>
      <c r="N200">
        <v>2200000000</v>
      </c>
      <c r="O200">
        <v>2175000000</v>
      </c>
      <c r="P200">
        <v>2125000000</v>
      </c>
      <c r="Q200">
        <v>2325000000</v>
      </c>
      <c r="R200">
        <v>2300000000</v>
      </c>
      <c r="S200">
        <v>2375000000</v>
      </c>
    </row>
    <row r="201" spans="1:19">
      <c r="A201" t="s">
        <v>60</v>
      </c>
      <c r="B201" t="s">
        <v>438</v>
      </c>
      <c r="C201" t="s">
        <v>1167</v>
      </c>
      <c r="D201" t="s">
        <v>472</v>
      </c>
      <c r="G201">
        <f t="shared" si="76"/>
        <v>15000000000</v>
      </c>
      <c r="H201">
        <v>1050000000</v>
      </c>
      <c r="I201">
        <v>975000000</v>
      </c>
      <c r="J201">
        <v>1170000000</v>
      </c>
      <c r="K201">
        <v>1200000000</v>
      </c>
      <c r="L201">
        <v>1230000000</v>
      </c>
      <c r="M201">
        <v>1275000000</v>
      </c>
      <c r="N201">
        <v>1320000000</v>
      </c>
      <c r="O201">
        <v>1305000000</v>
      </c>
      <c r="P201">
        <v>1275000000</v>
      </c>
      <c r="Q201">
        <v>1395000000</v>
      </c>
      <c r="R201">
        <v>1380000000</v>
      </c>
      <c r="S201">
        <v>1425000000</v>
      </c>
    </row>
    <row r="202" spans="1:19">
      <c r="A202" t="s">
        <v>60</v>
      </c>
      <c r="B202" t="s">
        <v>438</v>
      </c>
      <c r="C202" t="s">
        <v>1168</v>
      </c>
      <c r="D202" t="s">
        <v>474</v>
      </c>
      <c r="G202">
        <f t="shared" si="76"/>
        <v>50000000000</v>
      </c>
      <c r="H202">
        <v>3500000000</v>
      </c>
      <c r="I202">
        <v>3250000000</v>
      </c>
      <c r="J202">
        <v>3900000000</v>
      </c>
      <c r="K202">
        <v>4000000000</v>
      </c>
      <c r="L202">
        <v>4100000000</v>
      </c>
      <c r="M202">
        <v>4250000000</v>
      </c>
      <c r="N202">
        <v>4400000000</v>
      </c>
      <c r="O202">
        <v>4350000000</v>
      </c>
      <c r="P202">
        <v>4250000000</v>
      </c>
      <c r="Q202">
        <v>4650000000</v>
      </c>
      <c r="R202">
        <v>4600000000</v>
      </c>
      <c r="S202">
        <v>4750000000</v>
      </c>
    </row>
    <row r="203" spans="1:19">
      <c r="A203" t="s">
        <v>60</v>
      </c>
      <c r="B203" t="s">
        <v>438</v>
      </c>
      <c r="C203" t="s">
        <v>1169</v>
      </c>
      <c r="D203" t="s">
        <v>476</v>
      </c>
      <c r="G203">
        <f t="shared" si="76"/>
        <v>200000000000</v>
      </c>
      <c r="H203">
        <v>15000000000</v>
      </c>
      <c r="I203">
        <v>15600000000</v>
      </c>
      <c r="J203">
        <v>16400000000</v>
      </c>
      <c r="K203">
        <v>16600000000</v>
      </c>
      <c r="L203">
        <v>17000000000</v>
      </c>
      <c r="M203">
        <v>17400000000</v>
      </c>
      <c r="N203">
        <v>17600000000</v>
      </c>
      <c r="O203">
        <v>17200000000</v>
      </c>
      <c r="P203">
        <v>16800000000</v>
      </c>
      <c r="Q203">
        <v>16600000000</v>
      </c>
      <c r="R203">
        <v>16400000000</v>
      </c>
      <c r="S203">
        <v>17400000000</v>
      </c>
    </row>
    <row r="204" spans="1:19">
      <c r="A204" t="s">
        <v>60</v>
      </c>
      <c r="B204" t="s">
        <v>438</v>
      </c>
      <c r="C204" t="s">
        <v>1170</v>
      </c>
      <c r="D204" t="s">
        <v>478</v>
      </c>
      <c r="G204">
        <f t="shared" si="76"/>
        <v>50000000000</v>
      </c>
      <c r="H204">
        <v>3500000000</v>
      </c>
      <c r="I204">
        <v>3250000000</v>
      </c>
      <c r="J204">
        <v>3900000000</v>
      </c>
      <c r="K204">
        <v>4000000000</v>
      </c>
      <c r="L204">
        <v>4100000000</v>
      </c>
      <c r="M204">
        <v>4250000000</v>
      </c>
      <c r="N204">
        <v>4400000000</v>
      </c>
      <c r="O204">
        <v>4350000000</v>
      </c>
      <c r="P204">
        <v>4250000000</v>
      </c>
      <c r="Q204">
        <v>4650000000</v>
      </c>
      <c r="R204">
        <v>4600000000</v>
      </c>
      <c r="S204">
        <v>4750000000</v>
      </c>
    </row>
    <row r="205" spans="1:19">
      <c r="A205" t="s">
        <v>60</v>
      </c>
      <c r="B205" t="s">
        <v>438</v>
      </c>
      <c r="C205" t="s">
        <v>1171</v>
      </c>
      <c r="D205" t="s">
        <v>480</v>
      </c>
      <c r="G205">
        <f t="shared" si="76"/>
        <v>150000000000</v>
      </c>
      <c r="H205">
        <v>10500000000</v>
      </c>
      <c r="I205">
        <v>9750000000</v>
      </c>
      <c r="J205">
        <v>11700000000</v>
      </c>
      <c r="K205">
        <v>12000000000</v>
      </c>
      <c r="L205">
        <v>12300000000</v>
      </c>
      <c r="M205">
        <v>12750000000</v>
      </c>
      <c r="N205">
        <v>13200000000</v>
      </c>
      <c r="O205">
        <v>13050000000</v>
      </c>
      <c r="P205">
        <v>12750000000</v>
      </c>
      <c r="Q205">
        <v>13950000000</v>
      </c>
      <c r="R205">
        <v>13800000000</v>
      </c>
      <c r="S205">
        <v>14250000000</v>
      </c>
    </row>
    <row r="206" spans="1:19">
      <c r="A206" t="s">
        <v>60</v>
      </c>
      <c r="B206" t="s">
        <v>438</v>
      </c>
      <c r="C206" t="s">
        <v>1172</v>
      </c>
      <c r="D206" t="s">
        <v>482</v>
      </c>
      <c r="G206">
        <f t="shared" si="76"/>
        <v>120000000000</v>
      </c>
      <c r="H206">
        <v>8400000000</v>
      </c>
      <c r="I206">
        <v>7800000000</v>
      </c>
      <c r="J206">
        <v>9360000000</v>
      </c>
      <c r="K206">
        <v>9600000000</v>
      </c>
      <c r="L206">
        <v>9840000000</v>
      </c>
      <c r="M206">
        <v>10200000000</v>
      </c>
      <c r="N206">
        <v>10560000000</v>
      </c>
      <c r="O206">
        <v>10440000000</v>
      </c>
      <c r="P206">
        <v>10200000000</v>
      </c>
      <c r="Q206">
        <v>11160000000</v>
      </c>
      <c r="R206">
        <v>11040000000</v>
      </c>
      <c r="S206">
        <v>11400000000</v>
      </c>
    </row>
    <row r="207" spans="1:19">
      <c r="A207" t="s">
        <v>26</v>
      </c>
      <c r="B207" t="s">
        <v>438</v>
      </c>
      <c r="C207" t="s">
        <v>1173</v>
      </c>
      <c r="D207" t="s">
        <v>484</v>
      </c>
      <c r="G207">
        <f t="shared" si="76"/>
        <v>1800000000</v>
      </c>
      <c r="H207">
        <f t="shared" ref="H207:S207" si="77">H208+H209+H210</f>
        <v>126000000</v>
      </c>
      <c r="I207">
        <f t="shared" si="77"/>
        <v>117000000</v>
      </c>
      <c r="J207">
        <f t="shared" si="77"/>
        <v>140400000</v>
      </c>
      <c r="K207">
        <f t="shared" si="77"/>
        <v>144000000</v>
      </c>
      <c r="L207">
        <f t="shared" si="77"/>
        <v>147600000</v>
      </c>
      <c r="M207">
        <f t="shared" si="77"/>
        <v>153000000</v>
      </c>
      <c r="N207">
        <f t="shared" si="77"/>
        <v>158400000</v>
      </c>
      <c r="O207">
        <f t="shared" si="77"/>
        <v>156600000</v>
      </c>
      <c r="P207">
        <f t="shared" si="77"/>
        <v>153000000</v>
      </c>
      <c r="Q207">
        <f t="shared" si="77"/>
        <v>167400000</v>
      </c>
      <c r="R207">
        <f t="shared" si="77"/>
        <v>165600000</v>
      </c>
      <c r="S207">
        <f t="shared" si="77"/>
        <v>171000000</v>
      </c>
    </row>
    <row r="208" spans="1:19">
      <c r="A208" t="s">
        <v>60</v>
      </c>
      <c r="B208" t="s">
        <v>438</v>
      </c>
      <c r="C208" t="s">
        <v>1174</v>
      </c>
      <c r="D208" t="s">
        <v>486</v>
      </c>
      <c r="G208">
        <f t="shared" si="76"/>
        <v>1000000000</v>
      </c>
      <c r="H208">
        <v>70000000</v>
      </c>
      <c r="I208">
        <v>65000000</v>
      </c>
      <c r="J208">
        <v>78000000</v>
      </c>
      <c r="K208">
        <v>80000000</v>
      </c>
      <c r="L208">
        <v>82000000</v>
      </c>
      <c r="M208">
        <v>85000000</v>
      </c>
      <c r="N208">
        <v>88000000</v>
      </c>
      <c r="O208">
        <v>87000000</v>
      </c>
      <c r="P208">
        <v>85000000</v>
      </c>
      <c r="Q208">
        <v>93000000</v>
      </c>
      <c r="R208">
        <v>92000000</v>
      </c>
      <c r="S208">
        <v>95000000</v>
      </c>
    </row>
    <row r="209" spans="1:19">
      <c r="A209" t="s">
        <v>60</v>
      </c>
      <c r="B209" t="s">
        <v>438</v>
      </c>
      <c r="C209" t="s">
        <v>1175</v>
      </c>
      <c r="D209" t="s">
        <v>488</v>
      </c>
      <c r="G209">
        <f t="shared" si="76"/>
        <v>500000000</v>
      </c>
      <c r="H209">
        <v>35000000</v>
      </c>
      <c r="I209">
        <v>32500000</v>
      </c>
      <c r="J209">
        <v>39000000</v>
      </c>
      <c r="K209">
        <v>40000000</v>
      </c>
      <c r="L209">
        <v>41000000</v>
      </c>
      <c r="M209">
        <v>42500000</v>
      </c>
      <c r="N209">
        <v>44000000</v>
      </c>
      <c r="O209">
        <v>43500000</v>
      </c>
      <c r="P209">
        <v>42500000</v>
      </c>
      <c r="Q209">
        <v>46500000</v>
      </c>
      <c r="R209">
        <v>46000000</v>
      </c>
      <c r="S209">
        <v>47500000</v>
      </c>
    </row>
    <row r="210" spans="1:19">
      <c r="A210" t="s">
        <v>60</v>
      </c>
      <c r="B210" t="s">
        <v>438</v>
      </c>
      <c r="C210" t="s">
        <v>1176</v>
      </c>
      <c r="D210" t="s">
        <v>490</v>
      </c>
      <c r="G210">
        <f t="shared" si="76"/>
        <v>300000000</v>
      </c>
      <c r="H210">
        <v>21000000</v>
      </c>
      <c r="I210">
        <v>19500000</v>
      </c>
      <c r="J210">
        <v>23400000</v>
      </c>
      <c r="K210">
        <v>24000000</v>
      </c>
      <c r="L210">
        <v>24600000</v>
      </c>
      <c r="M210">
        <v>25500000</v>
      </c>
      <c r="N210">
        <v>26400000</v>
      </c>
      <c r="O210">
        <v>26100000</v>
      </c>
      <c r="P210">
        <v>25500000</v>
      </c>
      <c r="Q210">
        <v>27900000</v>
      </c>
      <c r="R210">
        <v>27600000</v>
      </c>
      <c r="S210">
        <v>28500000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1151</v>
      </c>
      <c r="D2" t="s">
        <v>440</v>
      </c>
      <c r="G2">
        <f t="shared" ref="G2:G27" si="0">H2+I2+J2+K2+L2+M2+N2+O2+P2+Q2+R2+S2</f>
        <v>1298000000000</v>
      </c>
      <c r="H2">
        <f t="shared" ref="H2:S2" si="1">H3</f>
        <v>93110000000</v>
      </c>
      <c r="I2">
        <f t="shared" si="1"/>
        <v>90220000000</v>
      </c>
      <c r="J2">
        <f t="shared" si="1"/>
        <v>103044000000</v>
      </c>
      <c r="K2">
        <f t="shared" si="1"/>
        <v>105190000000</v>
      </c>
      <c r="L2">
        <f t="shared" si="1"/>
        <v>107786000000</v>
      </c>
      <c r="M2">
        <f t="shared" si="1"/>
        <v>111230000000</v>
      </c>
      <c r="N2">
        <f t="shared" si="1"/>
        <v>114224000000</v>
      </c>
      <c r="O2">
        <f t="shared" si="1"/>
        <v>112476000000</v>
      </c>
      <c r="P2">
        <f t="shared" si="1"/>
        <v>109880000000</v>
      </c>
      <c r="Q2">
        <f t="shared" si="1"/>
        <v>116214000000</v>
      </c>
      <c r="R2">
        <f t="shared" si="1"/>
        <v>114916000000</v>
      </c>
      <c r="S2">
        <f t="shared" si="1"/>
        <v>119710000000</v>
      </c>
    </row>
    <row r="3" spans="1:19">
      <c r="A3" t="s">
        <v>19</v>
      </c>
      <c r="B3" t="s">
        <v>179</v>
      </c>
      <c r="C3" t="s">
        <v>1152</v>
      </c>
      <c r="D3" t="s">
        <v>442</v>
      </c>
      <c r="G3">
        <f t="shared" si="0"/>
        <v>1298000000000</v>
      </c>
      <c r="H3">
        <f t="shared" ref="H3:S3" si="2">H4+H9+H24</f>
        <v>93110000000</v>
      </c>
      <c r="I3">
        <f t="shared" si="2"/>
        <v>90220000000</v>
      </c>
      <c r="J3">
        <f t="shared" si="2"/>
        <v>103044000000</v>
      </c>
      <c r="K3">
        <f t="shared" si="2"/>
        <v>105190000000</v>
      </c>
      <c r="L3">
        <f t="shared" si="2"/>
        <v>107786000000</v>
      </c>
      <c r="M3">
        <f t="shared" si="2"/>
        <v>111230000000</v>
      </c>
      <c r="N3">
        <f t="shared" si="2"/>
        <v>114224000000</v>
      </c>
      <c r="O3">
        <f t="shared" si="2"/>
        <v>112476000000</v>
      </c>
      <c r="P3">
        <f t="shared" si="2"/>
        <v>109880000000</v>
      </c>
      <c r="Q3">
        <f t="shared" si="2"/>
        <v>116214000000</v>
      </c>
      <c r="R3">
        <f t="shared" si="2"/>
        <v>114916000000</v>
      </c>
      <c r="S3">
        <f t="shared" si="2"/>
        <v>119710000000</v>
      </c>
    </row>
    <row r="4" spans="1:19">
      <c r="A4" t="s">
        <v>23</v>
      </c>
      <c r="B4" t="s">
        <v>179</v>
      </c>
      <c r="C4" t="s">
        <v>1153</v>
      </c>
      <c r="D4" t="s">
        <v>444</v>
      </c>
      <c r="G4">
        <f t="shared" si="0"/>
        <v>1200000000</v>
      </c>
      <c r="H4">
        <f t="shared" ref="H4:S4" si="3">H5+H6+H7+H8</f>
        <v>84000000</v>
      </c>
      <c r="I4">
        <f t="shared" si="3"/>
        <v>78000000</v>
      </c>
      <c r="J4">
        <f t="shared" si="3"/>
        <v>93600000</v>
      </c>
      <c r="K4">
        <f t="shared" si="3"/>
        <v>96000000</v>
      </c>
      <c r="L4">
        <f t="shared" si="3"/>
        <v>98400000</v>
      </c>
      <c r="M4">
        <f t="shared" si="3"/>
        <v>102000000</v>
      </c>
      <c r="N4">
        <f t="shared" si="3"/>
        <v>105600000</v>
      </c>
      <c r="O4">
        <f t="shared" si="3"/>
        <v>104400000</v>
      </c>
      <c r="P4">
        <f t="shared" si="3"/>
        <v>102000000</v>
      </c>
      <c r="Q4">
        <f t="shared" si="3"/>
        <v>111600000</v>
      </c>
      <c r="R4">
        <f t="shared" si="3"/>
        <v>110400000</v>
      </c>
      <c r="S4">
        <f t="shared" si="3"/>
        <v>114000000</v>
      </c>
    </row>
    <row r="5" spans="1:19">
      <c r="A5" t="s">
        <v>26</v>
      </c>
      <c r="B5" t="s">
        <v>179</v>
      </c>
      <c r="C5" t="s">
        <v>1154</v>
      </c>
      <c r="D5" t="s">
        <v>446</v>
      </c>
      <c r="G5">
        <f t="shared" si="0"/>
        <v>500000000</v>
      </c>
      <c r="H5">
        <v>35000000</v>
      </c>
      <c r="I5">
        <v>32500000</v>
      </c>
      <c r="J5">
        <v>39000000</v>
      </c>
      <c r="K5">
        <v>40000000</v>
      </c>
      <c r="L5">
        <v>41000000</v>
      </c>
      <c r="M5">
        <v>42500000</v>
      </c>
      <c r="N5">
        <v>44000000</v>
      </c>
      <c r="O5">
        <v>43500000</v>
      </c>
      <c r="P5">
        <v>42500000</v>
      </c>
      <c r="Q5">
        <v>46500000</v>
      </c>
      <c r="R5">
        <v>46000000</v>
      </c>
      <c r="S5">
        <v>47500000</v>
      </c>
    </row>
    <row r="6" spans="1:19">
      <c r="A6" t="s">
        <v>26</v>
      </c>
      <c r="B6" t="s">
        <v>179</v>
      </c>
      <c r="C6" t="s">
        <v>1155</v>
      </c>
      <c r="D6" t="s">
        <v>448</v>
      </c>
      <c r="G6">
        <f t="shared" si="0"/>
        <v>350000000</v>
      </c>
      <c r="H6">
        <v>24500000</v>
      </c>
      <c r="I6">
        <v>22750000</v>
      </c>
      <c r="J6">
        <v>27300000</v>
      </c>
      <c r="K6">
        <v>28000000</v>
      </c>
      <c r="L6">
        <v>28700000</v>
      </c>
      <c r="M6">
        <v>29750000</v>
      </c>
      <c r="N6">
        <v>30800000</v>
      </c>
      <c r="O6">
        <v>30450000</v>
      </c>
      <c r="P6">
        <v>29750000</v>
      </c>
      <c r="Q6">
        <v>32550000</v>
      </c>
      <c r="R6">
        <v>32200000</v>
      </c>
      <c r="S6">
        <v>33250000</v>
      </c>
    </row>
    <row r="7" spans="1:19">
      <c r="A7" t="s">
        <v>26</v>
      </c>
      <c r="B7" t="s">
        <v>179</v>
      </c>
      <c r="C7" t="s">
        <v>1156</v>
      </c>
      <c r="D7" t="s">
        <v>450</v>
      </c>
      <c r="G7">
        <f t="shared" si="0"/>
        <v>200000000</v>
      </c>
      <c r="H7">
        <v>14000000</v>
      </c>
      <c r="I7">
        <v>13000000</v>
      </c>
      <c r="J7">
        <v>15600000</v>
      </c>
      <c r="K7">
        <v>16000000</v>
      </c>
      <c r="L7">
        <v>16400000</v>
      </c>
      <c r="M7">
        <v>17000000</v>
      </c>
      <c r="N7">
        <v>17600000</v>
      </c>
      <c r="O7">
        <v>17400000</v>
      </c>
      <c r="P7">
        <v>17000000</v>
      </c>
      <c r="Q7">
        <v>18600000</v>
      </c>
      <c r="R7">
        <v>18400000</v>
      </c>
      <c r="S7">
        <v>19000000</v>
      </c>
    </row>
    <row r="8" spans="1:19">
      <c r="A8" t="s">
        <v>26</v>
      </c>
      <c r="B8" t="s">
        <v>179</v>
      </c>
      <c r="C8" t="s">
        <v>1157</v>
      </c>
      <c r="D8" t="s">
        <v>452</v>
      </c>
      <c r="G8">
        <f t="shared" si="0"/>
        <v>150000000</v>
      </c>
      <c r="H8">
        <v>10500000</v>
      </c>
      <c r="I8">
        <v>9750000</v>
      </c>
      <c r="J8">
        <v>11700000</v>
      </c>
      <c r="K8">
        <v>12000000</v>
      </c>
      <c r="L8">
        <v>12300000</v>
      </c>
      <c r="M8">
        <v>12750000</v>
      </c>
      <c r="N8">
        <v>13200000</v>
      </c>
      <c r="O8">
        <v>13050000</v>
      </c>
      <c r="P8">
        <v>12750000</v>
      </c>
      <c r="Q8">
        <v>13950000</v>
      </c>
      <c r="R8">
        <v>13800000</v>
      </c>
      <c r="S8">
        <v>14250000</v>
      </c>
    </row>
    <row r="9" spans="1:19">
      <c r="A9" t="s">
        <v>23</v>
      </c>
      <c r="B9" t="s">
        <v>179</v>
      </c>
      <c r="C9" t="s">
        <v>1158</v>
      </c>
      <c r="D9" t="s">
        <v>454</v>
      </c>
      <c r="G9">
        <f t="shared" si="0"/>
        <v>1295000000000</v>
      </c>
      <c r="H9">
        <f t="shared" ref="H9:S9" si="4">H10+H11+H12+H13+H14+H15+H16+H17+H18+H19+H20+H21+H22+H23</f>
        <v>92900000000</v>
      </c>
      <c r="I9">
        <f t="shared" si="4"/>
        <v>90025000000</v>
      </c>
      <c r="J9">
        <f t="shared" si="4"/>
        <v>102810000000</v>
      </c>
      <c r="K9">
        <f t="shared" si="4"/>
        <v>104950000000</v>
      </c>
      <c r="L9">
        <f t="shared" si="4"/>
        <v>107540000000</v>
      </c>
      <c r="M9">
        <f t="shared" si="4"/>
        <v>110975000000</v>
      </c>
      <c r="N9">
        <f t="shared" si="4"/>
        <v>113960000000</v>
      </c>
      <c r="O9">
        <f t="shared" si="4"/>
        <v>112215000000</v>
      </c>
      <c r="P9">
        <f t="shared" si="4"/>
        <v>109625000000</v>
      </c>
      <c r="Q9">
        <f t="shared" si="4"/>
        <v>115935000000</v>
      </c>
      <c r="R9">
        <f t="shared" si="4"/>
        <v>114640000000</v>
      </c>
      <c r="S9">
        <f t="shared" si="4"/>
        <v>119425000000</v>
      </c>
    </row>
    <row r="10" spans="1:19">
      <c r="A10" t="s">
        <v>26</v>
      </c>
      <c r="B10" t="s">
        <v>179</v>
      </c>
      <c r="C10" t="s">
        <v>1159</v>
      </c>
      <c r="D10" t="s">
        <v>456</v>
      </c>
      <c r="G10">
        <f t="shared" si="0"/>
        <v>200000000000</v>
      </c>
      <c r="H10">
        <v>15000000000</v>
      </c>
      <c r="I10">
        <v>15600000000</v>
      </c>
      <c r="J10">
        <v>16400000000</v>
      </c>
      <c r="K10">
        <v>16600000000</v>
      </c>
      <c r="L10">
        <v>17000000000</v>
      </c>
      <c r="M10">
        <v>17400000000</v>
      </c>
      <c r="N10">
        <v>17600000000</v>
      </c>
      <c r="O10">
        <v>17200000000</v>
      </c>
      <c r="P10">
        <v>16800000000</v>
      </c>
      <c r="Q10">
        <v>16600000000</v>
      </c>
      <c r="R10">
        <v>16400000000</v>
      </c>
      <c r="S10">
        <v>17400000000</v>
      </c>
    </row>
    <row r="11" spans="1:19">
      <c r="A11" t="s">
        <v>26</v>
      </c>
      <c r="B11" t="s">
        <v>179</v>
      </c>
      <c r="C11" t="s">
        <v>1160</v>
      </c>
      <c r="D11" t="s">
        <v>458</v>
      </c>
      <c r="G11">
        <f t="shared" si="0"/>
        <v>80000000000</v>
      </c>
      <c r="H11">
        <v>5600000000</v>
      </c>
      <c r="I11">
        <v>5200000000</v>
      </c>
      <c r="J11">
        <v>6240000000</v>
      </c>
      <c r="K11">
        <v>6400000000</v>
      </c>
      <c r="L11">
        <v>6560000000</v>
      </c>
      <c r="M11">
        <v>6800000000</v>
      </c>
      <c r="N11">
        <v>7040000000</v>
      </c>
      <c r="O11">
        <v>6960000000</v>
      </c>
      <c r="P11">
        <v>6800000000</v>
      </c>
      <c r="Q11">
        <v>7440000000</v>
      </c>
      <c r="R11">
        <v>7360000000</v>
      </c>
      <c r="S11">
        <v>7600000000</v>
      </c>
    </row>
    <row r="12" spans="1:19">
      <c r="A12" t="s">
        <v>26</v>
      </c>
      <c r="B12" t="s">
        <v>179</v>
      </c>
      <c r="C12" t="s">
        <v>1161</v>
      </c>
      <c r="D12" t="s">
        <v>460</v>
      </c>
      <c r="G12">
        <f t="shared" si="0"/>
        <v>120000000000</v>
      </c>
      <c r="H12">
        <v>8400000000</v>
      </c>
      <c r="I12">
        <v>7800000000</v>
      </c>
      <c r="J12">
        <v>9360000000</v>
      </c>
      <c r="K12">
        <v>9600000000</v>
      </c>
      <c r="L12">
        <v>9840000000</v>
      </c>
      <c r="M12">
        <v>10200000000</v>
      </c>
      <c r="N12">
        <v>10560000000</v>
      </c>
      <c r="O12">
        <v>10440000000</v>
      </c>
      <c r="P12">
        <v>10200000000</v>
      </c>
      <c r="Q12">
        <v>11160000000</v>
      </c>
      <c r="R12">
        <v>11040000000</v>
      </c>
      <c r="S12">
        <v>11400000000</v>
      </c>
    </row>
    <row r="13" spans="1:19">
      <c r="A13" t="s">
        <v>26</v>
      </c>
      <c r="B13" t="s">
        <v>179</v>
      </c>
      <c r="C13" t="s">
        <v>1162</v>
      </c>
      <c r="D13" t="s">
        <v>462</v>
      </c>
      <c r="G13">
        <f t="shared" si="0"/>
        <v>25000000000</v>
      </c>
      <c r="H13">
        <v>1750000000</v>
      </c>
      <c r="I13">
        <v>1625000000</v>
      </c>
      <c r="J13">
        <v>1950000000</v>
      </c>
      <c r="K13">
        <v>2000000000</v>
      </c>
      <c r="L13">
        <v>2050000000</v>
      </c>
      <c r="M13">
        <v>2125000000</v>
      </c>
      <c r="N13">
        <v>2200000000</v>
      </c>
      <c r="O13">
        <v>2175000000</v>
      </c>
      <c r="P13">
        <v>2125000000</v>
      </c>
      <c r="Q13">
        <v>2325000000</v>
      </c>
      <c r="R13">
        <v>2300000000</v>
      </c>
      <c r="S13">
        <v>2375000000</v>
      </c>
    </row>
    <row r="14" spans="1:19">
      <c r="A14" t="s">
        <v>26</v>
      </c>
      <c r="B14" t="s">
        <v>179</v>
      </c>
      <c r="C14" t="s">
        <v>1163</v>
      </c>
      <c r="D14" t="s">
        <v>464</v>
      </c>
      <c r="G14">
        <f t="shared" si="0"/>
        <v>10000000000</v>
      </c>
      <c r="H14">
        <v>700000000</v>
      </c>
      <c r="I14">
        <v>650000000</v>
      </c>
      <c r="J14">
        <v>780000000</v>
      </c>
      <c r="K14">
        <v>800000000</v>
      </c>
      <c r="L14">
        <v>820000000</v>
      </c>
      <c r="M14">
        <v>850000000</v>
      </c>
      <c r="N14">
        <v>880000000</v>
      </c>
      <c r="O14">
        <v>870000000</v>
      </c>
      <c r="P14">
        <v>850000000</v>
      </c>
      <c r="Q14">
        <v>930000000</v>
      </c>
      <c r="R14">
        <v>920000000</v>
      </c>
      <c r="S14">
        <v>950000000</v>
      </c>
    </row>
    <row r="15" spans="1:19">
      <c r="A15" t="s">
        <v>26</v>
      </c>
      <c r="B15" t="s">
        <v>179</v>
      </c>
      <c r="C15" t="s">
        <v>1164</v>
      </c>
      <c r="D15" t="s">
        <v>466</v>
      </c>
      <c r="G15">
        <f t="shared" si="0"/>
        <v>200000000000</v>
      </c>
      <c r="H15">
        <v>14000000000</v>
      </c>
      <c r="I15">
        <v>13000000000</v>
      </c>
      <c r="J15">
        <v>15600000000</v>
      </c>
      <c r="K15">
        <v>16000000000</v>
      </c>
      <c r="L15">
        <v>16400000000</v>
      </c>
      <c r="M15">
        <v>17000000000</v>
      </c>
      <c r="N15">
        <v>17600000000</v>
      </c>
      <c r="O15">
        <v>17400000000</v>
      </c>
      <c r="P15">
        <v>17000000000</v>
      </c>
      <c r="Q15">
        <v>18600000000</v>
      </c>
      <c r="R15">
        <v>18400000000</v>
      </c>
      <c r="S15">
        <v>19000000000</v>
      </c>
    </row>
    <row r="16" spans="1:19">
      <c r="A16" t="s">
        <v>26</v>
      </c>
      <c r="B16" t="s">
        <v>179</v>
      </c>
      <c r="C16" t="s">
        <v>1165</v>
      </c>
      <c r="D16" t="s">
        <v>468</v>
      </c>
      <c r="G16">
        <f t="shared" si="0"/>
        <v>50000000000</v>
      </c>
      <c r="H16">
        <v>3750000000</v>
      </c>
      <c r="I16">
        <v>3900000000</v>
      </c>
      <c r="J16">
        <v>4100000000</v>
      </c>
      <c r="K16">
        <v>4150000000</v>
      </c>
      <c r="L16">
        <v>4250000000</v>
      </c>
      <c r="M16">
        <v>4350000000</v>
      </c>
      <c r="N16">
        <v>4400000000</v>
      </c>
      <c r="O16">
        <v>4300000000</v>
      </c>
      <c r="P16">
        <v>4200000000</v>
      </c>
      <c r="Q16">
        <v>4150000000</v>
      </c>
      <c r="R16">
        <v>4100000000</v>
      </c>
      <c r="S16">
        <v>4350000000</v>
      </c>
    </row>
    <row r="17" spans="1:19">
      <c r="A17" t="s">
        <v>26</v>
      </c>
      <c r="B17" t="s">
        <v>179</v>
      </c>
      <c r="C17" t="s">
        <v>1166</v>
      </c>
      <c r="D17" t="s">
        <v>470</v>
      </c>
      <c r="G17">
        <f t="shared" si="0"/>
        <v>25000000000</v>
      </c>
      <c r="H17">
        <v>1750000000</v>
      </c>
      <c r="I17">
        <v>1625000000</v>
      </c>
      <c r="J17">
        <v>1950000000</v>
      </c>
      <c r="K17">
        <v>2000000000</v>
      </c>
      <c r="L17">
        <v>2050000000</v>
      </c>
      <c r="M17">
        <v>2125000000</v>
      </c>
      <c r="N17">
        <v>2200000000</v>
      </c>
      <c r="O17">
        <v>2175000000</v>
      </c>
      <c r="P17">
        <v>2125000000</v>
      </c>
      <c r="Q17">
        <v>2325000000</v>
      </c>
      <c r="R17">
        <v>2300000000</v>
      </c>
      <c r="S17">
        <v>2375000000</v>
      </c>
    </row>
    <row r="18" spans="1:19">
      <c r="A18" t="s">
        <v>26</v>
      </c>
      <c r="B18" t="s">
        <v>179</v>
      </c>
      <c r="C18" t="s">
        <v>1167</v>
      </c>
      <c r="D18" t="s">
        <v>472</v>
      </c>
      <c r="G18">
        <f t="shared" si="0"/>
        <v>15000000000</v>
      </c>
      <c r="H18">
        <v>1050000000</v>
      </c>
      <c r="I18">
        <v>975000000</v>
      </c>
      <c r="J18">
        <v>1170000000</v>
      </c>
      <c r="K18">
        <v>1200000000</v>
      </c>
      <c r="L18">
        <v>1230000000</v>
      </c>
      <c r="M18">
        <v>1275000000</v>
      </c>
      <c r="N18">
        <v>1320000000</v>
      </c>
      <c r="O18">
        <v>1305000000</v>
      </c>
      <c r="P18">
        <v>1275000000</v>
      </c>
      <c r="Q18">
        <v>1395000000</v>
      </c>
      <c r="R18">
        <v>1380000000</v>
      </c>
      <c r="S18">
        <v>1425000000</v>
      </c>
    </row>
    <row r="19" spans="1:19">
      <c r="A19" t="s">
        <v>26</v>
      </c>
      <c r="B19" t="s">
        <v>179</v>
      </c>
      <c r="C19" t="s">
        <v>1168</v>
      </c>
      <c r="D19" t="s">
        <v>474</v>
      </c>
      <c r="G19">
        <f t="shared" si="0"/>
        <v>50000000000</v>
      </c>
      <c r="H19">
        <v>3500000000</v>
      </c>
      <c r="I19">
        <v>3250000000</v>
      </c>
      <c r="J19">
        <v>3900000000</v>
      </c>
      <c r="K19">
        <v>4000000000</v>
      </c>
      <c r="L19">
        <v>4100000000</v>
      </c>
      <c r="M19">
        <v>4250000000</v>
      </c>
      <c r="N19">
        <v>4400000000</v>
      </c>
      <c r="O19">
        <v>4350000000</v>
      </c>
      <c r="P19">
        <v>4250000000</v>
      </c>
      <c r="Q19">
        <v>4650000000</v>
      </c>
      <c r="R19">
        <v>4600000000</v>
      </c>
      <c r="S19">
        <v>4750000000</v>
      </c>
    </row>
    <row r="20" spans="1:19">
      <c r="A20" t="s">
        <v>26</v>
      </c>
      <c r="B20" t="s">
        <v>179</v>
      </c>
      <c r="C20" t="s">
        <v>1169</v>
      </c>
      <c r="D20" t="s">
        <v>476</v>
      </c>
      <c r="G20">
        <f t="shared" si="0"/>
        <v>200000000000</v>
      </c>
      <c r="H20">
        <v>15000000000</v>
      </c>
      <c r="I20">
        <v>15600000000</v>
      </c>
      <c r="J20">
        <v>16400000000</v>
      </c>
      <c r="K20">
        <v>16600000000</v>
      </c>
      <c r="L20">
        <v>17000000000</v>
      </c>
      <c r="M20">
        <v>17400000000</v>
      </c>
      <c r="N20">
        <v>17600000000</v>
      </c>
      <c r="O20">
        <v>17200000000</v>
      </c>
      <c r="P20">
        <v>16800000000</v>
      </c>
      <c r="Q20">
        <v>16600000000</v>
      </c>
      <c r="R20">
        <v>16400000000</v>
      </c>
      <c r="S20">
        <v>17400000000</v>
      </c>
    </row>
    <row r="21" spans="1:19">
      <c r="A21" t="s">
        <v>26</v>
      </c>
      <c r="B21" t="s">
        <v>179</v>
      </c>
      <c r="C21" t="s">
        <v>1170</v>
      </c>
      <c r="D21" t="s">
        <v>478</v>
      </c>
      <c r="G21">
        <f t="shared" si="0"/>
        <v>50000000000</v>
      </c>
      <c r="H21">
        <v>3500000000</v>
      </c>
      <c r="I21">
        <v>3250000000</v>
      </c>
      <c r="J21">
        <v>3900000000</v>
      </c>
      <c r="K21">
        <v>4000000000</v>
      </c>
      <c r="L21">
        <v>4100000000</v>
      </c>
      <c r="M21">
        <v>4250000000</v>
      </c>
      <c r="N21">
        <v>4400000000</v>
      </c>
      <c r="O21">
        <v>4350000000</v>
      </c>
      <c r="P21">
        <v>4250000000</v>
      </c>
      <c r="Q21">
        <v>4650000000</v>
      </c>
      <c r="R21">
        <v>4600000000</v>
      </c>
      <c r="S21">
        <v>4750000000</v>
      </c>
    </row>
    <row r="22" spans="1:19">
      <c r="A22" t="s">
        <v>26</v>
      </c>
      <c r="B22" t="s">
        <v>179</v>
      </c>
      <c r="C22" t="s">
        <v>1171</v>
      </c>
      <c r="D22" t="s">
        <v>480</v>
      </c>
      <c r="G22">
        <f t="shared" si="0"/>
        <v>150000000000</v>
      </c>
      <c r="H22">
        <v>10500000000</v>
      </c>
      <c r="I22">
        <v>9750000000</v>
      </c>
      <c r="J22">
        <v>11700000000</v>
      </c>
      <c r="K22">
        <v>12000000000</v>
      </c>
      <c r="L22">
        <v>12300000000</v>
      </c>
      <c r="M22">
        <v>12750000000</v>
      </c>
      <c r="N22">
        <v>13200000000</v>
      </c>
      <c r="O22">
        <v>13050000000</v>
      </c>
      <c r="P22">
        <v>12750000000</v>
      </c>
      <c r="Q22">
        <v>13950000000</v>
      </c>
      <c r="R22">
        <v>13800000000</v>
      </c>
      <c r="S22">
        <v>14250000000</v>
      </c>
    </row>
    <row r="23" spans="1:19">
      <c r="A23" t="s">
        <v>26</v>
      </c>
      <c r="B23" t="s">
        <v>179</v>
      </c>
      <c r="C23" t="s">
        <v>1172</v>
      </c>
      <c r="D23" t="s">
        <v>482</v>
      </c>
      <c r="G23">
        <f t="shared" si="0"/>
        <v>120000000000</v>
      </c>
      <c r="H23">
        <v>8400000000</v>
      </c>
      <c r="I23">
        <v>7800000000</v>
      </c>
      <c r="J23">
        <v>9360000000</v>
      </c>
      <c r="K23">
        <v>9600000000</v>
      </c>
      <c r="L23">
        <v>9840000000</v>
      </c>
      <c r="M23">
        <v>10200000000</v>
      </c>
      <c r="N23">
        <v>10560000000</v>
      </c>
      <c r="O23">
        <v>10440000000</v>
      </c>
      <c r="P23">
        <v>10200000000</v>
      </c>
      <c r="Q23">
        <v>11160000000</v>
      </c>
      <c r="R23">
        <v>11040000000</v>
      </c>
      <c r="S23">
        <v>11400000000</v>
      </c>
    </row>
    <row r="24" spans="1:19">
      <c r="A24" t="s">
        <v>23</v>
      </c>
      <c r="B24" t="s">
        <v>179</v>
      </c>
      <c r="C24" t="s">
        <v>1173</v>
      </c>
      <c r="D24" t="s">
        <v>484</v>
      </c>
      <c r="G24">
        <f t="shared" si="0"/>
        <v>1800000000</v>
      </c>
      <c r="H24">
        <f t="shared" ref="H24:S24" si="5">H25+H26+H27</f>
        <v>126000000</v>
      </c>
      <c r="I24">
        <f t="shared" si="5"/>
        <v>117000000</v>
      </c>
      <c r="J24">
        <f t="shared" si="5"/>
        <v>140400000</v>
      </c>
      <c r="K24">
        <f t="shared" si="5"/>
        <v>144000000</v>
      </c>
      <c r="L24">
        <f t="shared" si="5"/>
        <v>147600000</v>
      </c>
      <c r="M24">
        <f t="shared" si="5"/>
        <v>153000000</v>
      </c>
      <c r="N24">
        <f t="shared" si="5"/>
        <v>158400000</v>
      </c>
      <c r="O24">
        <f t="shared" si="5"/>
        <v>156600000</v>
      </c>
      <c r="P24">
        <f t="shared" si="5"/>
        <v>153000000</v>
      </c>
      <c r="Q24">
        <f t="shared" si="5"/>
        <v>167400000</v>
      </c>
      <c r="R24">
        <f t="shared" si="5"/>
        <v>165600000</v>
      </c>
      <c r="S24">
        <f t="shared" si="5"/>
        <v>171000000</v>
      </c>
    </row>
    <row r="25" spans="1:19">
      <c r="A25" t="s">
        <v>26</v>
      </c>
      <c r="B25" t="s">
        <v>179</v>
      </c>
      <c r="C25" t="s">
        <v>1174</v>
      </c>
      <c r="D25" t="s">
        <v>486</v>
      </c>
      <c r="G25">
        <f t="shared" si="0"/>
        <v>1000000000</v>
      </c>
      <c r="H25">
        <v>70000000</v>
      </c>
      <c r="I25">
        <v>65000000</v>
      </c>
      <c r="J25">
        <v>78000000</v>
      </c>
      <c r="K25">
        <v>80000000</v>
      </c>
      <c r="L25">
        <v>82000000</v>
      </c>
      <c r="M25">
        <v>85000000</v>
      </c>
      <c r="N25">
        <v>88000000</v>
      </c>
      <c r="O25">
        <v>87000000</v>
      </c>
      <c r="P25">
        <v>85000000</v>
      </c>
      <c r="Q25">
        <v>93000000</v>
      </c>
      <c r="R25">
        <v>92000000</v>
      </c>
      <c r="S25">
        <v>95000000</v>
      </c>
    </row>
    <row r="26" spans="1:19">
      <c r="A26" t="s">
        <v>26</v>
      </c>
      <c r="B26" t="s">
        <v>179</v>
      </c>
      <c r="C26" t="s">
        <v>1175</v>
      </c>
      <c r="D26" t="s">
        <v>488</v>
      </c>
      <c r="G26">
        <f t="shared" si="0"/>
        <v>500000000</v>
      </c>
      <c r="H26">
        <v>35000000</v>
      </c>
      <c r="I26">
        <v>32500000</v>
      </c>
      <c r="J26">
        <v>39000000</v>
      </c>
      <c r="K26">
        <v>40000000</v>
      </c>
      <c r="L26">
        <v>41000000</v>
      </c>
      <c r="M26">
        <v>42500000</v>
      </c>
      <c r="N26">
        <v>44000000</v>
      </c>
      <c r="O26">
        <v>43500000</v>
      </c>
      <c r="P26">
        <v>42500000</v>
      </c>
      <c r="Q26">
        <v>46500000</v>
      </c>
      <c r="R26">
        <v>46000000</v>
      </c>
      <c r="S26">
        <v>47500000</v>
      </c>
    </row>
    <row r="27" spans="1:19">
      <c r="A27" t="s">
        <v>26</v>
      </c>
      <c r="B27" t="s">
        <v>179</v>
      </c>
      <c r="C27" t="s">
        <v>1176</v>
      </c>
      <c r="D27" t="s">
        <v>490</v>
      </c>
      <c r="G27">
        <f t="shared" si="0"/>
        <v>300000000</v>
      </c>
      <c r="H27">
        <v>21000000</v>
      </c>
      <c r="I27">
        <v>19500000</v>
      </c>
      <c r="J27">
        <v>23400000</v>
      </c>
      <c r="K27">
        <v>24000000</v>
      </c>
      <c r="L27">
        <v>24600000</v>
      </c>
      <c r="M27">
        <v>25500000</v>
      </c>
      <c r="N27">
        <v>26400000</v>
      </c>
      <c r="O27">
        <v>26100000</v>
      </c>
      <c r="P27">
        <v>25500000</v>
      </c>
      <c r="Q27">
        <v>27900000</v>
      </c>
      <c r="R27">
        <v>27600000</v>
      </c>
      <c r="S27">
        <v>28500000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1177</v>
      </c>
      <c r="D2" t="s">
        <v>22</v>
      </c>
      <c r="G2">
        <f t="shared" ref="G2:G65" si="0">H2+I2+J2+K2+L2+M2+N2+O2+P2+Q2+R2+S2</f>
        <v>64618412760</v>
      </c>
      <c r="H2">
        <f t="shared" ref="H2:S2" si="1">H3+H6+H7</f>
        <v>4662524488</v>
      </c>
      <c r="I2">
        <f t="shared" si="1"/>
        <v>4542932536</v>
      </c>
      <c r="J2">
        <f t="shared" si="1"/>
        <v>5155249378</v>
      </c>
      <c r="K2">
        <f t="shared" si="1"/>
        <v>5256362364</v>
      </c>
      <c r="L2">
        <f t="shared" si="1"/>
        <v>5385657530</v>
      </c>
      <c r="M2">
        <f t="shared" si="1"/>
        <v>5551418114</v>
      </c>
      <c r="N2">
        <f t="shared" si="1"/>
        <v>5688995946</v>
      </c>
      <c r="O2">
        <f t="shared" si="1"/>
        <v>5596165620</v>
      </c>
      <c r="P2">
        <f t="shared" si="1"/>
        <v>5466869980</v>
      </c>
      <c r="Q2">
        <f t="shared" si="1"/>
        <v>5730408240</v>
      </c>
      <c r="R2">
        <f t="shared" si="1"/>
        <v>5665760158</v>
      </c>
      <c r="S2">
        <f t="shared" si="1"/>
        <v>5916068406</v>
      </c>
    </row>
    <row r="3" spans="1:19">
      <c r="A3" t="s">
        <v>23</v>
      </c>
      <c r="B3" t="s">
        <v>20</v>
      </c>
      <c r="C3" t="s">
        <v>1178</v>
      </c>
      <c r="D3" t="s">
        <v>25</v>
      </c>
      <c r="G3">
        <f t="shared" si="0"/>
        <v>5874401144</v>
      </c>
      <c r="H3">
        <f t="shared" ref="H3:S3" si="2">H4+H5</f>
        <v>423865862</v>
      </c>
      <c r="I3">
        <f t="shared" si="2"/>
        <v>412993866</v>
      </c>
      <c r="J3">
        <f t="shared" si="2"/>
        <v>468659034</v>
      </c>
      <c r="K3">
        <f t="shared" si="2"/>
        <v>477851122</v>
      </c>
      <c r="L3">
        <f t="shared" si="2"/>
        <v>489605228</v>
      </c>
      <c r="M3">
        <f t="shared" si="2"/>
        <v>504674372</v>
      </c>
      <c r="N3">
        <f t="shared" si="2"/>
        <v>517181448</v>
      </c>
      <c r="O3">
        <f t="shared" si="2"/>
        <v>508742328</v>
      </c>
      <c r="P3">
        <f t="shared" si="2"/>
        <v>496988178</v>
      </c>
      <c r="Q3">
        <f t="shared" si="2"/>
        <v>520946202</v>
      </c>
      <c r="R3">
        <f t="shared" si="2"/>
        <v>515069104</v>
      </c>
      <c r="S3">
        <f t="shared" si="2"/>
        <v>537824400</v>
      </c>
    </row>
    <row r="4" spans="1:19">
      <c r="A4" t="s">
        <v>26</v>
      </c>
      <c r="B4" t="s">
        <v>20</v>
      </c>
      <c r="C4" t="s">
        <v>1179</v>
      </c>
      <c r="D4" t="s">
        <v>28</v>
      </c>
      <c r="G4">
        <f t="shared" si="0"/>
        <v>2937200572</v>
      </c>
      <c r="H4">
        <v>211932931</v>
      </c>
      <c r="I4">
        <v>206496933</v>
      </c>
      <c r="J4">
        <v>234329517</v>
      </c>
      <c r="K4">
        <v>238925561</v>
      </c>
      <c r="L4">
        <v>244802614</v>
      </c>
      <c r="M4">
        <v>252337186</v>
      </c>
      <c r="N4">
        <v>258590724</v>
      </c>
      <c r="O4">
        <v>254371164</v>
      </c>
      <c r="P4">
        <v>248494089</v>
      </c>
      <c r="Q4">
        <v>260473101</v>
      </c>
      <c r="R4">
        <v>257534552</v>
      </c>
      <c r="S4">
        <v>268912200</v>
      </c>
    </row>
    <row r="5" spans="1:19">
      <c r="A5" t="s">
        <v>26</v>
      </c>
      <c r="B5" t="s">
        <v>20</v>
      </c>
      <c r="C5" t="s">
        <v>1180</v>
      </c>
      <c r="D5" t="s">
        <v>30</v>
      </c>
      <c r="G5">
        <f t="shared" si="0"/>
        <v>2937200572</v>
      </c>
      <c r="H5">
        <v>211932931</v>
      </c>
      <c r="I5">
        <v>206496933</v>
      </c>
      <c r="J5">
        <v>234329517</v>
      </c>
      <c r="K5">
        <v>238925561</v>
      </c>
      <c r="L5">
        <v>244802614</v>
      </c>
      <c r="M5">
        <v>252337186</v>
      </c>
      <c r="N5">
        <v>258590724</v>
      </c>
      <c r="O5">
        <v>254371164</v>
      </c>
      <c r="P5">
        <v>248494089</v>
      </c>
      <c r="Q5">
        <v>260473101</v>
      </c>
      <c r="R5">
        <v>257534552</v>
      </c>
      <c r="S5">
        <v>268912200</v>
      </c>
    </row>
    <row r="6" spans="1:19">
      <c r="A6" t="s">
        <v>23</v>
      </c>
      <c r="B6" t="s">
        <v>20</v>
      </c>
      <c r="C6" t="s">
        <v>1181</v>
      </c>
      <c r="D6" t="s">
        <v>32</v>
      </c>
      <c r="G6">
        <f t="shared" si="0"/>
        <v>29372005808</v>
      </c>
      <c r="H6">
        <v>2119329313</v>
      </c>
      <c r="I6">
        <v>2064969335</v>
      </c>
      <c r="J6">
        <v>2343295172</v>
      </c>
      <c r="K6">
        <v>2389255621</v>
      </c>
      <c r="L6">
        <v>2448026151</v>
      </c>
      <c r="M6">
        <v>2523371871</v>
      </c>
      <c r="N6">
        <v>2585907249</v>
      </c>
      <c r="O6">
        <v>2543711646</v>
      </c>
      <c r="P6">
        <v>2484940901</v>
      </c>
      <c r="Q6">
        <v>2604731019</v>
      </c>
      <c r="R6">
        <v>2575345527</v>
      </c>
      <c r="S6">
        <v>2689122003</v>
      </c>
    </row>
    <row r="7" spans="1:19">
      <c r="A7" t="s">
        <v>23</v>
      </c>
      <c r="B7" t="s">
        <v>20</v>
      </c>
      <c r="C7" t="s">
        <v>1182</v>
      </c>
      <c r="D7" t="s">
        <v>34</v>
      </c>
      <c r="G7">
        <f t="shared" si="0"/>
        <v>29372005808</v>
      </c>
      <c r="H7">
        <v>2119329313</v>
      </c>
      <c r="I7">
        <v>2064969335</v>
      </c>
      <c r="J7">
        <v>2343295172</v>
      </c>
      <c r="K7">
        <v>2389255621</v>
      </c>
      <c r="L7">
        <v>2448026151</v>
      </c>
      <c r="M7">
        <v>2523371871</v>
      </c>
      <c r="N7">
        <v>2585907249</v>
      </c>
      <c r="O7">
        <v>2543711646</v>
      </c>
      <c r="P7">
        <v>2484940901</v>
      </c>
      <c r="Q7">
        <v>2604731019</v>
      </c>
      <c r="R7">
        <v>2575345527</v>
      </c>
      <c r="S7">
        <v>2689122003</v>
      </c>
    </row>
    <row r="8" spans="1:19">
      <c r="A8" t="s">
        <v>19</v>
      </c>
      <c r="B8" t="s">
        <v>35</v>
      </c>
      <c r="C8" t="s">
        <v>1183</v>
      </c>
      <c r="D8" t="s">
        <v>37</v>
      </c>
      <c r="G8">
        <f t="shared" si="0"/>
        <v>380000000</v>
      </c>
      <c r="H8">
        <v>26600000</v>
      </c>
      <c r="I8">
        <v>24700000</v>
      </c>
      <c r="J8">
        <v>29640000</v>
      </c>
      <c r="K8">
        <v>30400000</v>
      </c>
      <c r="L8">
        <v>31160000</v>
      </c>
      <c r="M8">
        <v>32300000</v>
      </c>
      <c r="N8">
        <v>33440000</v>
      </c>
      <c r="O8">
        <v>33060000</v>
      </c>
      <c r="P8">
        <v>32300000</v>
      </c>
      <c r="Q8">
        <v>35340000</v>
      </c>
      <c r="R8">
        <v>34960000</v>
      </c>
      <c r="S8">
        <v>36100000</v>
      </c>
    </row>
    <row r="9" spans="1:19">
      <c r="A9" t="s">
        <v>19</v>
      </c>
      <c r="B9" t="s">
        <v>20</v>
      </c>
      <c r="C9" t="s">
        <v>1184</v>
      </c>
      <c r="D9" t="s">
        <v>39</v>
      </c>
      <c r="G9">
        <f t="shared" si="0"/>
        <v>29372005808</v>
      </c>
      <c r="H9">
        <v>2119329313</v>
      </c>
      <c r="I9">
        <v>2064969335</v>
      </c>
      <c r="J9">
        <v>2343295172</v>
      </c>
      <c r="K9">
        <v>2389255621</v>
      </c>
      <c r="L9">
        <v>2448026151</v>
      </c>
      <c r="M9">
        <v>2523371871</v>
      </c>
      <c r="N9">
        <v>2585907249</v>
      </c>
      <c r="O9">
        <v>2543711646</v>
      </c>
      <c r="P9">
        <v>2484940901</v>
      </c>
      <c r="Q9">
        <v>2604731019</v>
      </c>
      <c r="R9">
        <v>2575345527</v>
      </c>
      <c r="S9">
        <v>2689122003</v>
      </c>
    </row>
    <row r="10" spans="1:19">
      <c r="A10" t="s">
        <v>19</v>
      </c>
      <c r="B10" t="s">
        <v>35</v>
      </c>
      <c r="C10" t="s">
        <v>1185</v>
      </c>
      <c r="D10" t="s">
        <v>41</v>
      </c>
      <c r="G10">
        <f t="shared" si="0"/>
        <v>29372005808</v>
      </c>
      <c r="H10">
        <v>2119329313</v>
      </c>
      <c r="I10">
        <v>2064969335</v>
      </c>
      <c r="J10">
        <v>2343295172</v>
      </c>
      <c r="K10">
        <v>2389255621</v>
      </c>
      <c r="L10">
        <v>2448026151</v>
      </c>
      <c r="M10">
        <v>2523371871</v>
      </c>
      <c r="N10">
        <v>2585907249</v>
      </c>
      <c r="O10">
        <v>2543711646</v>
      </c>
      <c r="P10">
        <v>2484940901</v>
      </c>
      <c r="Q10">
        <v>2604731019</v>
      </c>
      <c r="R10">
        <v>2575345527</v>
      </c>
      <c r="S10">
        <v>2689122003</v>
      </c>
    </row>
    <row r="11" spans="1:19">
      <c r="A11" t="s">
        <v>19</v>
      </c>
      <c r="B11" t="s">
        <v>35</v>
      </c>
      <c r="C11" t="s">
        <v>1186</v>
      </c>
      <c r="D11" t="s">
        <v>43</v>
      </c>
      <c r="G11">
        <f t="shared" si="0"/>
        <v>79891855706</v>
      </c>
      <c r="H11">
        <f t="shared" ref="H11:S11" si="3">H12+H15+H18+H25+H26</f>
        <v>5764575727</v>
      </c>
      <c r="I11">
        <f t="shared" si="3"/>
        <v>5616716585</v>
      </c>
      <c r="J11">
        <f t="shared" si="3"/>
        <v>6373762865</v>
      </c>
      <c r="K11">
        <f t="shared" si="3"/>
        <v>6498775279</v>
      </c>
      <c r="L11">
        <f t="shared" si="3"/>
        <v>6658631120</v>
      </c>
      <c r="M11">
        <f t="shared" si="3"/>
        <v>6863571478</v>
      </c>
      <c r="N11">
        <f t="shared" si="3"/>
        <v>7033667708</v>
      </c>
      <c r="O11">
        <f t="shared" si="3"/>
        <v>6918895670</v>
      </c>
      <c r="P11">
        <f t="shared" si="3"/>
        <v>6759039241</v>
      </c>
      <c r="Q11">
        <f t="shared" si="3"/>
        <v>7084868363</v>
      </c>
      <c r="R11">
        <f t="shared" si="3"/>
        <v>7004939826</v>
      </c>
      <c r="S11">
        <f t="shared" si="3"/>
        <v>7314411844</v>
      </c>
    </row>
    <row r="12" spans="1:19">
      <c r="A12" t="s">
        <v>23</v>
      </c>
      <c r="B12" t="s">
        <v>35</v>
      </c>
      <c r="C12" t="s">
        <v>1187</v>
      </c>
      <c r="D12" t="s">
        <v>45</v>
      </c>
      <c r="G12">
        <f t="shared" si="0"/>
        <v>5874401144</v>
      </c>
      <c r="H12">
        <f t="shared" ref="H12:S12" si="4">H13+H14</f>
        <v>423865862</v>
      </c>
      <c r="I12">
        <f t="shared" si="4"/>
        <v>412993866</v>
      </c>
      <c r="J12">
        <f t="shared" si="4"/>
        <v>468659034</v>
      </c>
      <c r="K12">
        <f t="shared" si="4"/>
        <v>477851122</v>
      </c>
      <c r="L12">
        <f t="shared" si="4"/>
        <v>489605228</v>
      </c>
      <c r="M12">
        <f t="shared" si="4"/>
        <v>504674372</v>
      </c>
      <c r="N12">
        <f t="shared" si="4"/>
        <v>517181448</v>
      </c>
      <c r="O12">
        <f t="shared" si="4"/>
        <v>508742328</v>
      </c>
      <c r="P12">
        <f t="shared" si="4"/>
        <v>496988178</v>
      </c>
      <c r="Q12">
        <f t="shared" si="4"/>
        <v>520946202</v>
      </c>
      <c r="R12">
        <f t="shared" si="4"/>
        <v>515069104</v>
      </c>
      <c r="S12">
        <f t="shared" si="4"/>
        <v>537824400</v>
      </c>
    </row>
    <row r="13" spans="1:19">
      <c r="A13" t="s">
        <v>26</v>
      </c>
      <c r="B13" t="s">
        <v>35</v>
      </c>
      <c r="C13" t="s">
        <v>1188</v>
      </c>
      <c r="D13" t="s">
        <v>47</v>
      </c>
      <c r="G13">
        <f t="shared" si="0"/>
        <v>2937200572</v>
      </c>
      <c r="H13">
        <v>211932931</v>
      </c>
      <c r="I13">
        <v>206496933</v>
      </c>
      <c r="J13">
        <v>234329517</v>
      </c>
      <c r="K13">
        <v>238925561</v>
      </c>
      <c r="L13">
        <v>244802614</v>
      </c>
      <c r="M13">
        <v>252337186</v>
      </c>
      <c r="N13">
        <v>258590724</v>
      </c>
      <c r="O13">
        <v>254371164</v>
      </c>
      <c r="P13">
        <v>248494089</v>
      </c>
      <c r="Q13">
        <v>260473101</v>
      </c>
      <c r="R13">
        <v>257534552</v>
      </c>
      <c r="S13">
        <v>268912200</v>
      </c>
    </row>
    <row r="14" spans="1:19">
      <c r="A14" t="s">
        <v>26</v>
      </c>
      <c r="B14" t="s">
        <v>35</v>
      </c>
      <c r="C14" t="s">
        <v>1189</v>
      </c>
      <c r="D14" t="s">
        <v>49</v>
      </c>
      <c r="G14">
        <f t="shared" si="0"/>
        <v>2937200572</v>
      </c>
      <c r="H14">
        <v>211932931</v>
      </c>
      <c r="I14">
        <v>206496933</v>
      </c>
      <c r="J14">
        <v>234329517</v>
      </c>
      <c r="K14">
        <v>238925561</v>
      </c>
      <c r="L14">
        <v>244802614</v>
      </c>
      <c r="M14">
        <v>252337186</v>
      </c>
      <c r="N14">
        <v>258590724</v>
      </c>
      <c r="O14">
        <v>254371164</v>
      </c>
      <c r="P14">
        <v>248494089</v>
      </c>
      <c r="Q14">
        <v>260473101</v>
      </c>
      <c r="R14">
        <v>257534552</v>
      </c>
      <c r="S14">
        <v>268912200</v>
      </c>
    </row>
    <row r="15" spans="1:19">
      <c r="A15" t="s">
        <v>23</v>
      </c>
      <c r="B15" t="s">
        <v>35</v>
      </c>
      <c r="C15" t="s">
        <v>1190</v>
      </c>
      <c r="D15" t="s">
        <v>51</v>
      </c>
      <c r="G15">
        <f t="shared" si="0"/>
        <v>5874401144</v>
      </c>
      <c r="H15">
        <f t="shared" ref="H15:S15" si="5">H16+H17</f>
        <v>423865862</v>
      </c>
      <c r="I15">
        <f t="shared" si="5"/>
        <v>412993866</v>
      </c>
      <c r="J15">
        <f t="shared" si="5"/>
        <v>468659034</v>
      </c>
      <c r="K15">
        <f t="shared" si="5"/>
        <v>477851122</v>
      </c>
      <c r="L15">
        <f t="shared" si="5"/>
        <v>489605228</v>
      </c>
      <c r="M15">
        <f t="shared" si="5"/>
        <v>504674372</v>
      </c>
      <c r="N15">
        <f t="shared" si="5"/>
        <v>517181448</v>
      </c>
      <c r="O15">
        <f t="shared" si="5"/>
        <v>508742328</v>
      </c>
      <c r="P15">
        <f t="shared" si="5"/>
        <v>496988178</v>
      </c>
      <c r="Q15">
        <f t="shared" si="5"/>
        <v>520946202</v>
      </c>
      <c r="R15">
        <f t="shared" si="5"/>
        <v>515069104</v>
      </c>
      <c r="S15">
        <f t="shared" si="5"/>
        <v>537824400</v>
      </c>
    </row>
    <row r="16" spans="1:19">
      <c r="A16" t="s">
        <v>26</v>
      </c>
      <c r="B16" t="s">
        <v>35</v>
      </c>
      <c r="C16" t="s">
        <v>1191</v>
      </c>
      <c r="D16" t="s">
        <v>53</v>
      </c>
      <c r="G16">
        <f t="shared" si="0"/>
        <v>2937200572</v>
      </c>
      <c r="H16">
        <v>211932931</v>
      </c>
      <c r="I16">
        <v>206496933</v>
      </c>
      <c r="J16">
        <v>234329517</v>
      </c>
      <c r="K16">
        <v>238925561</v>
      </c>
      <c r="L16">
        <v>244802614</v>
      </c>
      <c r="M16">
        <v>252337186</v>
      </c>
      <c r="N16">
        <v>258590724</v>
      </c>
      <c r="O16">
        <v>254371164</v>
      </c>
      <c r="P16">
        <v>248494089</v>
      </c>
      <c r="Q16">
        <v>260473101</v>
      </c>
      <c r="R16">
        <v>257534552</v>
      </c>
      <c r="S16">
        <v>268912200</v>
      </c>
    </row>
    <row r="17" spans="1:19">
      <c r="A17" t="s">
        <v>26</v>
      </c>
      <c r="B17" t="s">
        <v>35</v>
      </c>
      <c r="C17" t="s">
        <v>1192</v>
      </c>
      <c r="D17" t="s">
        <v>55</v>
      </c>
      <c r="G17">
        <f t="shared" si="0"/>
        <v>2937200572</v>
      </c>
      <c r="H17">
        <v>211932931</v>
      </c>
      <c r="I17">
        <v>206496933</v>
      </c>
      <c r="J17">
        <v>234329517</v>
      </c>
      <c r="K17">
        <v>238925561</v>
      </c>
      <c r="L17">
        <v>244802614</v>
      </c>
      <c r="M17">
        <v>252337186</v>
      </c>
      <c r="N17">
        <v>258590724</v>
      </c>
      <c r="O17">
        <v>254371164</v>
      </c>
      <c r="P17">
        <v>248494089</v>
      </c>
      <c r="Q17">
        <v>260473101</v>
      </c>
      <c r="R17">
        <v>257534552</v>
      </c>
      <c r="S17">
        <v>268912200</v>
      </c>
    </row>
    <row r="18" spans="1:19">
      <c r="A18" t="s">
        <v>23</v>
      </c>
      <c r="B18" t="s">
        <v>35</v>
      </c>
      <c r="C18" t="s">
        <v>1193</v>
      </c>
      <c r="D18" t="s">
        <v>57</v>
      </c>
      <c r="G18">
        <f t="shared" si="0"/>
        <v>9399041802</v>
      </c>
      <c r="H18">
        <f t="shared" ref="H18:S18" si="6">H19+H22+H23+H24</f>
        <v>678185377</v>
      </c>
      <c r="I18">
        <f t="shared" si="6"/>
        <v>660790183</v>
      </c>
      <c r="J18">
        <f t="shared" si="6"/>
        <v>749854453</v>
      </c>
      <c r="K18">
        <f t="shared" si="6"/>
        <v>764561793</v>
      </c>
      <c r="L18">
        <f t="shared" si="6"/>
        <v>783368362</v>
      </c>
      <c r="M18">
        <f t="shared" si="6"/>
        <v>807478992</v>
      </c>
      <c r="N18">
        <f t="shared" si="6"/>
        <v>827490314</v>
      </c>
      <c r="O18">
        <f t="shared" si="6"/>
        <v>813987722</v>
      </c>
      <c r="P18">
        <f t="shared" si="6"/>
        <v>795181083</v>
      </c>
      <c r="Q18">
        <f t="shared" si="6"/>
        <v>833513921</v>
      </c>
      <c r="R18">
        <f t="shared" si="6"/>
        <v>824110564</v>
      </c>
      <c r="S18">
        <f t="shared" si="6"/>
        <v>860519038</v>
      </c>
    </row>
    <row r="19" spans="1:19">
      <c r="A19" t="s">
        <v>26</v>
      </c>
      <c r="B19" t="s">
        <v>35</v>
      </c>
      <c r="C19" t="s">
        <v>1194</v>
      </c>
      <c r="D19" t="s">
        <v>59</v>
      </c>
      <c r="G19">
        <f t="shared" si="0"/>
        <v>587440086</v>
      </c>
      <c r="H19">
        <f t="shared" ref="H19:S19" si="7">H20+H21</f>
        <v>42386584</v>
      </c>
      <c r="I19">
        <f t="shared" si="7"/>
        <v>41299384</v>
      </c>
      <c r="J19">
        <f t="shared" si="7"/>
        <v>46865902</v>
      </c>
      <c r="K19">
        <f t="shared" si="7"/>
        <v>47785110</v>
      </c>
      <c r="L19">
        <f t="shared" si="7"/>
        <v>48960520</v>
      </c>
      <c r="M19">
        <f t="shared" si="7"/>
        <v>50467434</v>
      </c>
      <c r="N19">
        <f t="shared" si="7"/>
        <v>51718142</v>
      </c>
      <c r="O19">
        <f t="shared" si="7"/>
        <v>50874230</v>
      </c>
      <c r="P19">
        <f t="shared" si="7"/>
        <v>49698816</v>
      </c>
      <c r="Q19">
        <f t="shared" si="7"/>
        <v>52094618</v>
      </c>
      <c r="R19">
        <f t="shared" si="7"/>
        <v>51506908</v>
      </c>
      <c r="S19">
        <f t="shared" si="7"/>
        <v>53782438</v>
      </c>
    </row>
    <row r="20" spans="1:19">
      <c r="A20" t="s">
        <v>60</v>
      </c>
      <c r="B20" t="s">
        <v>35</v>
      </c>
      <c r="C20" t="s">
        <v>1195</v>
      </c>
      <c r="D20" t="s">
        <v>62</v>
      </c>
      <c r="G20">
        <f t="shared" si="0"/>
        <v>293720043</v>
      </c>
      <c r="H20">
        <v>21193292</v>
      </c>
      <c r="I20">
        <v>20649692</v>
      </c>
      <c r="J20">
        <v>23432951</v>
      </c>
      <c r="K20">
        <v>23892555</v>
      </c>
      <c r="L20">
        <v>24480260</v>
      </c>
      <c r="M20">
        <v>25233717</v>
      </c>
      <c r="N20">
        <v>25859071</v>
      </c>
      <c r="O20">
        <v>25437115</v>
      </c>
      <c r="P20">
        <v>24849408</v>
      </c>
      <c r="Q20">
        <v>26047309</v>
      </c>
      <c r="R20">
        <v>25753454</v>
      </c>
      <c r="S20">
        <v>26891219</v>
      </c>
    </row>
    <row r="21" spans="1:19">
      <c r="A21" t="s">
        <v>60</v>
      </c>
      <c r="B21" t="s">
        <v>35</v>
      </c>
      <c r="C21" t="s">
        <v>1196</v>
      </c>
      <c r="D21" t="s">
        <v>64</v>
      </c>
      <c r="G21">
        <f t="shared" si="0"/>
        <v>293720043</v>
      </c>
      <c r="H21">
        <v>21193292</v>
      </c>
      <c r="I21">
        <v>20649692</v>
      </c>
      <c r="J21">
        <v>23432951</v>
      </c>
      <c r="K21">
        <v>23892555</v>
      </c>
      <c r="L21">
        <v>24480260</v>
      </c>
      <c r="M21">
        <v>25233717</v>
      </c>
      <c r="N21">
        <v>25859071</v>
      </c>
      <c r="O21">
        <v>25437115</v>
      </c>
      <c r="P21">
        <v>24849408</v>
      </c>
      <c r="Q21">
        <v>26047309</v>
      </c>
      <c r="R21">
        <v>25753454</v>
      </c>
      <c r="S21">
        <v>26891219</v>
      </c>
    </row>
    <row r="22" spans="1:19">
      <c r="A22" t="s">
        <v>26</v>
      </c>
      <c r="B22" t="s">
        <v>35</v>
      </c>
      <c r="C22" t="s">
        <v>1197</v>
      </c>
      <c r="D22" t="s">
        <v>66</v>
      </c>
      <c r="G22">
        <f t="shared" si="0"/>
        <v>2937200572</v>
      </c>
      <c r="H22">
        <v>211932931</v>
      </c>
      <c r="I22">
        <v>206496933</v>
      </c>
      <c r="J22">
        <v>234329517</v>
      </c>
      <c r="K22">
        <v>238925561</v>
      </c>
      <c r="L22">
        <v>244802614</v>
      </c>
      <c r="M22">
        <v>252337186</v>
      </c>
      <c r="N22">
        <v>258590724</v>
      </c>
      <c r="O22">
        <v>254371164</v>
      </c>
      <c r="P22">
        <v>248494089</v>
      </c>
      <c r="Q22">
        <v>260473101</v>
      </c>
      <c r="R22">
        <v>257534552</v>
      </c>
      <c r="S22">
        <v>268912200</v>
      </c>
    </row>
    <row r="23" spans="1:19">
      <c r="A23" t="s">
        <v>26</v>
      </c>
      <c r="B23" t="s">
        <v>35</v>
      </c>
      <c r="C23" t="s">
        <v>1198</v>
      </c>
      <c r="D23" t="s">
        <v>68</v>
      </c>
      <c r="G23">
        <f t="shared" si="0"/>
        <v>2937200572</v>
      </c>
      <c r="H23">
        <v>211932931</v>
      </c>
      <c r="I23">
        <v>206496933</v>
      </c>
      <c r="J23">
        <v>234329517</v>
      </c>
      <c r="K23">
        <v>238925561</v>
      </c>
      <c r="L23">
        <v>244802614</v>
      </c>
      <c r="M23">
        <v>252337186</v>
      </c>
      <c r="N23">
        <v>258590724</v>
      </c>
      <c r="O23">
        <v>254371164</v>
      </c>
      <c r="P23">
        <v>248494089</v>
      </c>
      <c r="Q23">
        <v>260473101</v>
      </c>
      <c r="R23">
        <v>257534552</v>
      </c>
      <c r="S23">
        <v>268912200</v>
      </c>
    </row>
    <row r="24" spans="1:19">
      <c r="A24" t="s">
        <v>26</v>
      </c>
      <c r="B24" t="s">
        <v>35</v>
      </c>
      <c r="C24" t="s">
        <v>1199</v>
      </c>
      <c r="D24" t="s">
        <v>70</v>
      </c>
      <c r="G24">
        <f t="shared" si="0"/>
        <v>2937200572</v>
      </c>
      <c r="H24">
        <v>211932931</v>
      </c>
      <c r="I24">
        <v>206496933</v>
      </c>
      <c r="J24">
        <v>234329517</v>
      </c>
      <c r="K24">
        <v>238925561</v>
      </c>
      <c r="L24">
        <v>244802614</v>
      </c>
      <c r="M24">
        <v>252337186</v>
      </c>
      <c r="N24">
        <v>258590724</v>
      </c>
      <c r="O24">
        <v>254371164</v>
      </c>
      <c r="P24">
        <v>248494089</v>
      </c>
      <c r="Q24">
        <v>260473101</v>
      </c>
      <c r="R24">
        <v>257534552</v>
      </c>
      <c r="S24">
        <v>268912200</v>
      </c>
    </row>
    <row r="25" spans="1:19">
      <c r="A25" t="s">
        <v>23</v>
      </c>
      <c r="B25" t="s">
        <v>35</v>
      </c>
      <c r="C25" t="s">
        <v>1200</v>
      </c>
      <c r="D25" t="s">
        <v>72</v>
      </c>
      <c r="G25">
        <f t="shared" si="0"/>
        <v>29372005808</v>
      </c>
      <c r="H25">
        <v>2119329313</v>
      </c>
      <c r="I25">
        <v>2064969335</v>
      </c>
      <c r="J25">
        <v>2343295172</v>
      </c>
      <c r="K25">
        <v>2389255621</v>
      </c>
      <c r="L25">
        <v>2448026151</v>
      </c>
      <c r="M25">
        <v>2523371871</v>
      </c>
      <c r="N25">
        <v>2585907249</v>
      </c>
      <c r="O25">
        <v>2543711646</v>
      </c>
      <c r="P25">
        <v>2484940901</v>
      </c>
      <c r="Q25">
        <v>2604731019</v>
      </c>
      <c r="R25">
        <v>2575345527</v>
      </c>
      <c r="S25">
        <v>2689122003</v>
      </c>
    </row>
    <row r="26" spans="1:19">
      <c r="A26" t="s">
        <v>23</v>
      </c>
      <c r="B26" t="s">
        <v>35</v>
      </c>
      <c r="C26" t="s">
        <v>1201</v>
      </c>
      <c r="D26" t="s">
        <v>74</v>
      </c>
      <c r="G26">
        <f t="shared" si="0"/>
        <v>29372005808</v>
      </c>
      <c r="H26">
        <v>2119329313</v>
      </c>
      <c r="I26">
        <v>2064969335</v>
      </c>
      <c r="J26">
        <v>2343295172</v>
      </c>
      <c r="K26">
        <v>2389255621</v>
      </c>
      <c r="L26">
        <v>2448026151</v>
      </c>
      <c r="M26">
        <v>2523371871</v>
      </c>
      <c r="N26">
        <v>2585907249</v>
      </c>
      <c r="O26">
        <v>2543711646</v>
      </c>
      <c r="P26">
        <v>2484940901</v>
      </c>
      <c r="Q26">
        <v>2604731019</v>
      </c>
      <c r="R26">
        <v>2575345527</v>
      </c>
      <c r="S26">
        <v>2689122003</v>
      </c>
    </row>
    <row r="27" spans="1:19">
      <c r="A27" t="s">
        <v>19</v>
      </c>
      <c r="B27" t="s">
        <v>20</v>
      </c>
      <c r="C27" t="s">
        <v>1202</v>
      </c>
      <c r="D27" t="s">
        <v>76</v>
      </c>
      <c r="G27">
        <f t="shared" si="0"/>
        <v>10000000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  <row r="28" spans="1:19">
      <c r="A28" t="s">
        <v>19</v>
      </c>
      <c r="B28" t="s">
        <v>77</v>
      </c>
      <c r="C28" t="s">
        <v>1203</v>
      </c>
      <c r="D28" t="s">
        <v>79</v>
      </c>
      <c r="G28">
        <f t="shared" si="0"/>
        <v>29372005808</v>
      </c>
      <c r="H28">
        <v>2119329313</v>
      </c>
      <c r="I28">
        <v>2064969335</v>
      </c>
      <c r="J28">
        <v>2343295172</v>
      </c>
      <c r="K28">
        <v>2389255621</v>
      </c>
      <c r="L28">
        <v>2448026151</v>
      </c>
      <c r="M28">
        <v>2523371871</v>
      </c>
      <c r="N28">
        <v>2585907249</v>
      </c>
      <c r="O28">
        <v>2543711646</v>
      </c>
      <c r="P28">
        <v>2484940901</v>
      </c>
      <c r="Q28">
        <v>2604731019</v>
      </c>
      <c r="R28">
        <v>2575345527</v>
      </c>
      <c r="S28">
        <v>2689122003</v>
      </c>
    </row>
    <row r="29" spans="1:19">
      <c r="A29" t="s">
        <v>19</v>
      </c>
      <c r="B29" t="s">
        <v>35</v>
      </c>
      <c r="C29" t="s">
        <v>1204</v>
      </c>
      <c r="D29" t="s">
        <v>81</v>
      </c>
      <c r="G29">
        <f t="shared" si="0"/>
        <v>30000000</v>
      </c>
      <c r="H29">
        <v>2100000</v>
      </c>
      <c r="I29">
        <v>1950000</v>
      </c>
      <c r="J29">
        <v>2340000</v>
      </c>
      <c r="K29">
        <v>2400000</v>
      </c>
      <c r="L29">
        <v>2460000</v>
      </c>
      <c r="M29">
        <v>2550000</v>
      </c>
      <c r="N29">
        <v>2640000</v>
      </c>
      <c r="O29">
        <v>2610000</v>
      </c>
      <c r="P29">
        <v>2550000</v>
      </c>
      <c r="Q29">
        <v>2790000</v>
      </c>
      <c r="R29">
        <v>2760000</v>
      </c>
      <c r="S29">
        <v>2850000</v>
      </c>
    </row>
    <row r="30" spans="1:19">
      <c r="A30" t="s">
        <v>19</v>
      </c>
      <c r="B30" t="s">
        <v>77</v>
      </c>
      <c r="C30" t="s">
        <v>1205</v>
      </c>
      <c r="D30" t="s">
        <v>83</v>
      </c>
      <c r="G30">
        <f t="shared" si="0"/>
        <v>29372005808</v>
      </c>
      <c r="H30">
        <v>2119329313</v>
      </c>
      <c r="I30">
        <v>2064969335</v>
      </c>
      <c r="J30">
        <v>2343295172</v>
      </c>
      <c r="K30">
        <v>2389255621</v>
      </c>
      <c r="L30">
        <v>2448026151</v>
      </c>
      <c r="M30">
        <v>2523371871</v>
      </c>
      <c r="N30">
        <v>2585907249</v>
      </c>
      <c r="O30">
        <v>2543711646</v>
      </c>
      <c r="P30">
        <v>2484940901</v>
      </c>
      <c r="Q30">
        <v>2604731019</v>
      </c>
      <c r="R30">
        <v>2575345527</v>
      </c>
      <c r="S30">
        <v>2689122003</v>
      </c>
    </row>
    <row r="31" spans="1:19">
      <c r="A31" t="s">
        <v>19</v>
      </c>
      <c r="B31" t="s">
        <v>130</v>
      </c>
      <c r="C31" t="s">
        <v>1206</v>
      </c>
      <c r="D31" t="s">
        <v>132</v>
      </c>
      <c r="G31">
        <f t="shared" si="0"/>
        <v>320000000000</v>
      </c>
      <c r="H31">
        <f t="shared" ref="H31:S31" si="8">H32+H35+H36+H37</f>
        <v>24000000000</v>
      </c>
      <c r="I31">
        <f t="shared" si="8"/>
        <v>24960000000</v>
      </c>
      <c r="J31">
        <f t="shared" si="8"/>
        <v>26240000000</v>
      </c>
      <c r="K31">
        <f t="shared" si="8"/>
        <v>26560000000</v>
      </c>
      <c r="L31">
        <f t="shared" si="8"/>
        <v>27200000000</v>
      </c>
      <c r="M31">
        <f t="shared" si="8"/>
        <v>27840000000</v>
      </c>
      <c r="N31">
        <f t="shared" si="8"/>
        <v>28160000000</v>
      </c>
      <c r="O31">
        <f t="shared" si="8"/>
        <v>27520000000</v>
      </c>
      <c r="P31">
        <f t="shared" si="8"/>
        <v>26880000000</v>
      </c>
      <c r="Q31">
        <f t="shared" si="8"/>
        <v>26560000000</v>
      </c>
      <c r="R31">
        <f t="shared" si="8"/>
        <v>26240000000</v>
      </c>
      <c r="S31">
        <f t="shared" si="8"/>
        <v>27840000000</v>
      </c>
    </row>
    <row r="32" spans="1:19">
      <c r="A32" t="s">
        <v>23</v>
      </c>
      <c r="B32" t="s">
        <v>130</v>
      </c>
      <c r="C32" t="s">
        <v>1207</v>
      </c>
      <c r="D32" t="s">
        <v>1208</v>
      </c>
      <c r="G32">
        <f t="shared" si="0"/>
        <v>80000000000</v>
      </c>
      <c r="H32">
        <f t="shared" ref="H32:S32" si="9">H33</f>
        <v>6000000000</v>
      </c>
      <c r="I32">
        <f t="shared" si="9"/>
        <v>6240000000</v>
      </c>
      <c r="J32">
        <f t="shared" si="9"/>
        <v>6560000000</v>
      </c>
      <c r="K32">
        <f t="shared" si="9"/>
        <v>6640000000</v>
      </c>
      <c r="L32">
        <f t="shared" si="9"/>
        <v>6800000000</v>
      </c>
      <c r="M32">
        <f t="shared" si="9"/>
        <v>6960000000</v>
      </c>
      <c r="N32">
        <f t="shared" si="9"/>
        <v>7040000000</v>
      </c>
      <c r="O32">
        <f t="shared" si="9"/>
        <v>6880000000</v>
      </c>
      <c r="P32">
        <f t="shared" si="9"/>
        <v>6720000000</v>
      </c>
      <c r="Q32">
        <f t="shared" si="9"/>
        <v>6640000000</v>
      </c>
      <c r="R32">
        <f t="shared" si="9"/>
        <v>6560000000</v>
      </c>
      <c r="S32">
        <f t="shared" si="9"/>
        <v>6960000000</v>
      </c>
    </row>
    <row r="33" spans="1:19">
      <c r="A33" t="s">
        <v>26</v>
      </c>
      <c r="B33" t="s">
        <v>130</v>
      </c>
      <c r="C33" t="s">
        <v>1209</v>
      </c>
      <c r="D33" t="s">
        <v>1210</v>
      </c>
      <c r="G33">
        <f t="shared" si="0"/>
        <v>80000000000</v>
      </c>
      <c r="H33">
        <v>6000000000</v>
      </c>
      <c r="I33">
        <v>6240000000</v>
      </c>
      <c r="J33">
        <v>6560000000</v>
      </c>
      <c r="K33">
        <v>6640000000</v>
      </c>
      <c r="L33">
        <v>6800000000</v>
      </c>
      <c r="M33">
        <v>6960000000</v>
      </c>
      <c r="N33">
        <v>7040000000</v>
      </c>
      <c r="O33">
        <v>6880000000</v>
      </c>
      <c r="P33">
        <v>6720000000</v>
      </c>
      <c r="Q33">
        <v>6640000000</v>
      </c>
      <c r="R33">
        <v>6560000000</v>
      </c>
      <c r="S33">
        <v>6960000000</v>
      </c>
    </row>
    <row r="34" spans="1:19">
      <c r="A34" t="s">
        <v>60</v>
      </c>
      <c r="B34" t="s">
        <v>130</v>
      </c>
      <c r="C34" t="s">
        <v>1211</v>
      </c>
      <c r="D34" t="s">
        <v>1212</v>
      </c>
      <c r="G34">
        <f t="shared" si="0"/>
        <v>0.6</v>
      </c>
      <c r="H34">
        <f t="shared" ref="H34:S34" si="10">H103+H104</f>
        <v>0.049</v>
      </c>
      <c r="I34">
        <f t="shared" si="10"/>
        <v>0.049182</v>
      </c>
      <c r="J34">
        <f t="shared" si="10"/>
        <v>0.049364</v>
      </c>
      <c r="K34">
        <f t="shared" si="10"/>
        <v>0.049546</v>
      </c>
      <c r="L34">
        <f t="shared" si="10"/>
        <v>0.049728</v>
      </c>
      <c r="M34">
        <f t="shared" si="10"/>
        <v>0.04991</v>
      </c>
      <c r="N34">
        <f t="shared" si="10"/>
        <v>0.05009</v>
      </c>
      <c r="O34">
        <f t="shared" si="10"/>
        <v>0.050272</v>
      </c>
      <c r="P34">
        <f t="shared" si="10"/>
        <v>0.050454</v>
      </c>
      <c r="Q34">
        <f t="shared" si="10"/>
        <v>0.050636</v>
      </c>
      <c r="R34">
        <f t="shared" si="10"/>
        <v>0.050818</v>
      </c>
      <c r="S34">
        <f t="shared" si="10"/>
        <v>0.051</v>
      </c>
    </row>
    <row r="35" spans="1:19">
      <c r="A35" t="s">
        <v>23</v>
      </c>
      <c r="B35" t="s">
        <v>130</v>
      </c>
      <c r="C35" t="s">
        <v>1213</v>
      </c>
      <c r="D35" t="s">
        <v>1214</v>
      </c>
      <c r="G35">
        <f t="shared" si="0"/>
        <v>80000000000</v>
      </c>
      <c r="H35">
        <v>6000000000</v>
      </c>
      <c r="I35">
        <v>6240000000</v>
      </c>
      <c r="J35">
        <v>6560000000</v>
      </c>
      <c r="K35">
        <v>6640000000</v>
      </c>
      <c r="L35">
        <v>6800000000</v>
      </c>
      <c r="M35">
        <v>6960000000</v>
      </c>
      <c r="N35">
        <v>7040000000</v>
      </c>
      <c r="O35">
        <v>6880000000</v>
      </c>
      <c r="P35">
        <v>6720000000</v>
      </c>
      <c r="Q35">
        <v>6640000000</v>
      </c>
      <c r="R35">
        <v>6560000000</v>
      </c>
      <c r="S35">
        <v>6960000000</v>
      </c>
    </row>
    <row r="36" spans="1:19">
      <c r="A36" t="s">
        <v>23</v>
      </c>
      <c r="B36" t="s">
        <v>130</v>
      </c>
      <c r="C36" t="s">
        <v>1215</v>
      </c>
      <c r="D36" t="s">
        <v>544</v>
      </c>
      <c r="G36">
        <f t="shared" si="0"/>
        <v>80000000000</v>
      </c>
      <c r="H36">
        <v>6000000000</v>
      </c>
      <c r="I36">
        <v>6240000000</v>
      </c>
      <c r="J36">
        <v>6560000000</v>
      </c>
      <c r="K36">
        <v>6640000000</v>
      </c>
      <c r="L36">
        <v>6800000000</v>
      </c>
      <c r="M36">
        <v>6960000000</v>
      </c>
      <c r="N36">
        <v>7040000000</v>
      </c>
      <c r="O36">
        <v>6880000000</v>
      </c>
      <c r="P36">
        <v>6720000000</v>
      </c>
      <c r="Q36">
        <v>6640000000</v>
      </c>
      <c r="R36">
        <v>6560000000</v>
      </c>
      <c r="S36">
        <v>6960000000</v>
      </c>
    </row>
    <row r="37" spans="1:19">
      <c r="A37" t="s">
        <v>23</v>
      </c>
      <c r="B37" t="s">
        <v>130</v>
      </c>
      <c r="C37" t="s">
        <v>1216</v>
      </c>
      <c r="D37" t="s">
        <v>546</v>
      </c>
      <c r="G37">
        <f t="shared" si="0"/>
        <v>80000000000</v>
      </c>
      <c r="H37">
        <v>6000000000</v>
      </c>
      <c r="I37">
        <v>6240000000</v>
      </c>
      <c r="J37">
        <v>6560000000</v>
      </c>
      <c r="K37">
        <v>6640000000</v>
      </c>
      <c r="L37">
        <v>6800000000</v>
      </c>
      <c r="M37">
        <v>6960000000</v>
      </c>
      <c r="N37">
        <v>7040000000</v>
      </c>
      <c r="O37">
        <v>6880000000</v>
      </c>
      <c r="P37">
        <v>6720000000</v>
      </c>
      <c r="Q37">
        <v>6640000000</v>
      </c>
      <c r="R37">
        <v>6560000000</v>
      </c>
      <c r="S37">
        <v>6960000000</v>
      </c>
    </row>
    <row r="38" spans="1:19">
      <c r="A38" t="s">
        <v>19</v>
      </c>
      <c r="B38" t="s">
        <v>143</v>
      </c>
      <c r="C38" t="s">
        <v>1217</v>
      </c>
      <c r="D38" t="s">
        <v>142</v>
      </c>
      <c r="G38">
        <f t="shared" si="0"/>
        <v>400000000000</v>
      </c>
      <c r="H38">
        <f t="shared" ref="H38:S38" si="11">H39+H42+H43+H44</f>
        <v>30000000000</v>
      </c>
      <c r="I38">
        <f t="shared" si="11"/>
        <v>31200000000</v>
      </c>
      <c r="J38">
        <f t="shared" si="11"/>
        <v>32800000000</v>
      </c>
      <c r="K38">
        <f t="shared" si="11"/>
        <v>33200000000</v>
      </c>
      <c r="L38">
        <f t="shared" si="11"/>
        <v>34000000000</v>
      </c>
      <c r="M38">
        <f t="shared" si="11"/>
        <v>34800000000</v>
      </c>
      <c r="N38">
        <f t="shared" si="11"/>
        <v>35200000000</v>
      </c>
      <c r="O38">
        <f t="shared" si="11"/>
        <v>34400000000</v>
      </c>
      <c r="P38">
        <f t="shared" si="11"/>
        <v>33600000000</v>
      </c>
      <c r="Q38">
        <f t="shared" si="11"/>
        <v>33200000000</v>
      </c>
      <c r="R38">
        <f t="shared" si="11"/>
        <v>32800000000</v>
      </c>
      <c r="S38">
        <f t="shared" si="11"/>
        <v>34800000000</v>
      </c>
    </row>
    <row r="39" spans="1:19">
      <c r="A39" t="s">
        <v>23</v>
      </c>
      <c r="B39" t="s">
        <v>143</v>
      </c>
      <c r="C39" t="s">
        <v>1218</v>
      </c>
      <c r="D39" t="s">
        <v>1208</v>
      </c>
      <c r="G39">
        <f t="shared" si="0"/>
        <v>160000000000</v>
      </c>
      <c r="H39">
        <f t="shared" ref="H39:S39" si="12">H40+H41</f>
        <v>12000000000</v>
      </c>
      <c r="I39">
        <f t="shared" si="12"/>
        <v>12480000000</v>
      </c>
      <c r="J39">
        <f t="shared" si="12"/>
        <v>13120000000</v>
      </c>
      <c r="K39">
        <f t="shared" si="12"/>
        <v>13280000000</v>
      </c>
      <c r="L39">
        <f t="shared" si="12"/>
        <v>13600000000</v>
      </c>
      <c r="M39">
        <f t="shared" si="12"/>
        <v>13920000000</v>
      </c>
      <c r="N39">
        <f t="shared" si="12"/>
        <v>14080000000</v>
      </c>
      <c r="O39">
        <f t="shared" si="12"/>
        <v>13760000000</v>
      </c>
      <c r="P39">
        <f t="shared" si="12"/>
        <v>13440000000</v>
      </c>
      <c r="Q39">
        <f t="shared" si="12"/>
        <v>13280000000</v>
      </c>
      <c r="R39">
        <f t="shared" si="12"/>
        <v>13120000000</v>
      </c>
      <c r="S39">
        <f t="shared" si="12"/>
        <v>13920000000</v>
      </c>
    </row>
    <row r="40" spans="1:19">
      <c r="A40" t="s">
        <v>26</v>
      </c>
      <c r="B40" t="s">
        <v>143</v>
      </c>
      <c r="C40" t="s">
        <v>1219</v>
      </c>
      <c r="D40" t="s">
        <v>1210</v>
      </c>
      <c r="G40">
        <f t="shared" si="0"/>
        <v>80000000000</v>
      </c>
      <c r="H40">
        <v>6000000000</v>
      </c>
      <c r="I40">
        <v>6240000000</v>
      </c>
      <c r="J40">
        <v>6560000000</v>
      </c>
      <c r="K40">
        <v>6640000000</v>
      </c>
      <c r="L40">
        <v>6800000000</v>
      </c>
      <c r="M40">
        <v>6960000000</v>
      </c>
      <c r="N40">
        <v>7040000000</v>
      </c>
      <c r="O40">
        <v>6880000000</v>
      </c>
      <c r="P40">
        <v>6720000000</v>
      </c>
      <c r="Q40">
        <v>6640000000</v>
      </c>
      <c r="R40">
        <v>6560000000</v>
      </c>
      <c r="S40">
        <v>6960000000</v>
      </c>
    </row>
    <row r="41" spans="1:19">
      <c r="A41" t="s">
        <v>26</v>
      </c>
      <c r="B41" t="s">
        <v>143</v>
      </c>
      <c r="C41" t="s">
        <v>1220</v>
      </c>
      <c r="D41" t="s">
        <v>1212</v>
      </c>
      <c r="G41">
        <f t="shared" si="0"/>
        <v>80000000000</v>
      </c>
      <c r="H41">
        <v>6000000000</v>
      </c>
      <c r="I41">
        <v>6240000000</v>
      </c>
      <c r="J41">
        <v>6560000000</v>
      </c>
      <c r="K41">
        <v>6640000000</v>
      </c>
      <c r="L41">
        <v>6800000000</v>
      </c>
      <c r="M41">
        <v>6960000000</v>
      </c>
      <c r="N41">
        <v>7040000000</v>
      </c>
      <c r="O41">
        <v>6880000000</v>
      </c>
      <c r="P41">
        <v>6720000000</v>
      </c>
      <c r="Q41">
        <v>6640000000</v>
      </c>
      <c r="R41">
        <v>6560000000</v>
      </c>
      <c r="S41">
        <v>6960000000</v>
      </c>
    </row>
    <row r="42" spans="1:19">
      <c r="A42" t="s">
        <v>23</v>
      </c>
      <c r="B42" t="s">
        <v>143</v>
      </c>
      <c r="C42" t="s">
        <v>1221</v>
      </c>
      <c r="D42" t="s">
        <v>1214</v>
      </c>
      <c r="G42">
        <f t="shared" si="0"/>
        <v>80000000000</v>
      </c>
      <c r="H42">
        <v>6000000000</v>
      </c>
      <c r="I42">
        <v>6240000000</v>
      </c>
      <c r="J42">
        <v>6560000000</v>
      </c>
      <c r="K42">
        <v>6640000000</v>
      </c>
      <c r="L42">
        <v>6800000000</v>
      </c>
      <c r="M42">
        <v>6960000000</v>
      </c>
      <c r="N42">
        <v>7040000000</v>
      </c>
      <c r="O42">
        <v>6880000000</v>
      </c>
      <c r="P42">
        <v>6720000000</v>
      </c>
      <c r="Q42">
        <v>6640000000</v>
      </c>
      <c r="R42">
        <v>6560000000</v>
      </c>
      <c r="S42">
        <v>6960000000</v>
      </c>
    </row>
    <row r="43" spans="1:19">
      <c r="A43" t="s">
        <v>23</v>
      </c>
      <c r="B43" t="s">
        <v>143</v>
      </c>
      <c r="C43" t="s">
        <v>1222</v>
      </c>
      <c r="D43" t="s">
        <v>544</v>
      </c>
      <c r="G43">
        <f t="shared" si="0"/>
        <v>80000000000</v>
      </c>
      <c r="H43">
        <v>6000000000</v>
      </c>
      <c r="I43">
        <v>6240000000</v>
      </c>
      <c r="J43">
        <v>6560000000</v>
      </c>
      <c r="K43">
        <v>6640000000</v>
      </c>
      <c r="L43">
        <v>6800000000</v>
      </c>
      <c r="M43">
        <v>6960000000</v>
      </c>
      <c r="N43">
        <v>7040000000</v>
      </c>
      <c r="O43">
        <v>6880000000</v>
      </c>
      <c r="P43">
        <v>6720000000</v>
      </c>
      <c r="Q43">
        <v>6640000000</v>
      </c>
      <c r="R43">
        <v>6560000000</v>
      </c>
      <c r="S43">
        <v>6960000000</v>
      </c>
    </row>
    <row r="44" spans="1:19">
      <c r="A44" t="s">
        <v>23</v>
      </c>
      <c r="B44" t="s">
        <v>143</v>
      </c>
      <c r="C44" t="s">
        <v>1223</v>
      </c>
      <c r="D44" t="s">
        <v>546</v>
      </c>
      <c r="G44">
        <f t="shared" si="0"/>
        <v>80000000000</v>
      </c>
      <c r="H44">
        <v>6000000000</v>
      </c>
      <c r="I44">
        <v>6240000000</v>
      </c>
      <c r="J44">
        <v>6560000000</v>
      </c>
      <c r="K44">
        <v>6640000000</v>
      </c>
      <c r="L44">
        <v>6800000000</v>
      </c>
      <c r="M44">
        <v>6960000000</v>
      </c>
      <c r="N44">
        <v>7040000000</v>
      </c>
      <c r="O44">
        <v>6880000000</v>
      </c>
      <c r="P44">
        <v>6720000000</v>
      </c>
      <c r="Q44">
        <v>6640000000</v>
      </c>
      <c r="R44">
        <v>6560000000</v>
      </c>
      <c r="S44">
        <v>6960000000</v>
      </c>
    </row>
    <row r="45" spans="1:19">
      <c r="A45" t="s">
        <v>19</v>
      </c>
      <c r="B45" t="s">
        <v>84</v>
      </c>
      <c r="C45" t="s">
        <v>1224</v>
      </c>
      <c r="D45" t="s">
        <v>151</v>
      </c>
      <c r="G45">
        <f t="shared" si="0"/>
        <v>20000000000</v>
      </c>
      <c r="H45">
        <f t="shared" ref="H45:S45" si="13">H46</f>
        <v>1500000000</v>
      </c>
      <c r="I45">
        <f t="shared" si="13"/>
        <v>1560000000</v>
      </c>
      <c r="J45">
        <f t="shared" si="13"/>
        <v>1640000000</v>
      </c>
      <c r="K45">
        <f t="shared" si="13"/>
        <v>1660000000</v>
      </c>
      <c r="L45">
        <f t="shared" si="13"/>
        <v>1700000000</v>
      </c>
      <c r="M45">
        <f t="shared" si="13"/>
        <v>1740000000</v>
      </c>
      <c r="N45">
        <f t="shared" si="13"/>
        <v>1760000000</v>
      </c>
      <c r="O45">
        <f t="shared" si="13"/>
        <v>1720000000</v>
      </c>
      <c r="P45">
        <f t="shared" si="13"/>
        <v>1680000000</v>
      </c>
      <c r="Q45">
        <f t="shared" si="13"/>
        <v>1660000000</v>
      </c>
      <c r="R45">
        <f t="shared" si="13"/>
        <v>1640000000</v>
      </c>
      <c r="S45">
        <f t="shared" si="13"/>
        <v>1740000000</v>
      </c>
    </row>
    <row r="46" spans="1:19">
      <c r="A46" t="s">
        <v>23</v>
      </c>
      <c r="B46" t="s">
        <v>84</v>
      </c>
      <c r="C46" t="s">
        <v>1225</v>
      </c>
      <c r="D46" t="s">
        <v>959</v>
      </c>
      <c r="G46">
        <f t="shared" si="0"/>
        <v>20000000000</v>
      </c>
      <c r="H46">
        <v>1500000000</v>
      </c>
      <c r="I46">
        <v>1560000000</v>
      </c>
      <c r="J46">
        <v>1640000000</v>
      </c>
      <c r="K46">
        <v>1660000000</v>
      </c>
      <c r="L46">
        <v>1700000000</v>
      </c>
      <c r="M46">
        <v>1740000000</v>
      </c>
      <c r="N46">
        <v>1760000000</v>
      </c>
      <c r="O46">
        <v>1720000000</v>
      </c>
      <c r="P46">
        <v>1680000000</v>
      </c>
      <c r="Q46">
        <v>1660000000</v>
      </c>
      <c r="R46">
        <v>1640000000</v>
      </c>
      <c r="S46">
        <v>1740000000</v>
      </c>
    </row>
    <row r="47" spans="1:19">
      <c r="A47" t="s">
        <v>19</v>
      </c>
      <c r="B47" t="s">
        <v>113</v>
      </c>
      <c r="C47" t="s">
        <v>1226</v>
      </c>
      <c r="D47" t="s">
        <v>160</v>
      </c>
      <c r="G47">
        <f t="shared" si="0"/>
        <v>20000000000</v>
      </c>
      <c r="H47">
        <f t="shared" ref="H47:S47" si="14">H48</f>
        <v>1500000000</v>
      </c>
      <c r="I47">
        <f t="shared" si="14"/>
        <v>1560000000</v>
      </c>
      <c r="J47">
        <f t="shared" si="14"/>
        <v>1640000000</v>
      </c>
      <c r="K47">
        <f t="shared" si="14"/>
        <v>1660000000</v>
      </c>
      <c r="L47">
        <f t="shared" si="14"/>
        <v>1700000000</v>
      </c>
      <c r="M47">
        <f t="shared" si="14"/>
        <v>1740000000</v>
      </c>
      <c r="N47">
        <f t="shared" si="14"/>
        <v>1760000000</v>
      </c>
      <c r="O47">
        <f t="shared" si="14"/>
        <v>1720000000</v>
      </c>
      <c r="P47">
        <f t="shared" si="14"/>
        <v>1680000000</v>
      </c>
      <c r="Q47">
        <f t="shared" si="14"/>
        <v>1660000000</v>
      </c>
      <c r="R47">
        <f t="shared" si="14"/>
        <v>1640000000</v>
      </c>
      <c r="S47">
        <f t="shared" si="14"/>
        <v>1740000000</v>
      </c>
    </row>
    <row r="48" spans="1:19">
      <c r="A48" t="s">
        <v>23</v>
      </c>
      <c r="B48" t="s">
        <v>113</v>
      </c>
      <c r="C48" t="s">
        <v>1227</v>
      </c>
      <c r="D48" t="s">
        <v>962</v>
      </c>
      <c r="G48">
        <f t="shared" si="0"/>
        <v>20000000000</v>
      </c>
      <c r="H48">
        <v>1500000000</v>
      </c>
      <c r="I48">
        <v>1560000000</v>
      </c>
      <c r="J48">
        <v>1640000000</v>
      </c>
      <c r="K48">
        <v>1660000000</v>
      </c>
      <c r="L48">
        <v>1700000000</v>
      </c>
      <c r="M48">
        <v>1740000000</v>
      </c>
      <c r="N48">
        <v>1760000000</v>
      </c>
      <c r="O48">
        <v>1720000000</v>
      </c>
      <c r="P48">
        <v>1680000000</v>
      </c>
      <c r="Q48">
        <v>1660000000</v>
      </c>
      <c r="R48">
        <v>1640000000</v>
      </c>
      <c r="S48">
        <v>1740000000</v>
      </c>
    </row>
    <row r="49" spans="1:19">
      <c r="A49" t="s">
        <v>19</v>
      </c>
      <c r="B49" t="s">
        <v>130</v>
      </c>
      <c r="C49" t="s">
        <v>1228</v>
      </c>
      <c r="D49" t="s">
        <v>166</v>
      </c>
      <c r="G49">
        <f t="shared" si="0"/>
        <v>12000000000</v>
      </c>
      <c r="H49">
        <f t="shared" ref="H49:S49" si="15">H50</f>
        <v>900000000</v>
      </c>
      <c r="I49">
        <f t="shared" si="15"/>
        <v>936000000</v>
      </c>
      <c r="J49">
        <f t="shared" si="15"/>
        <v>984000000</v>
      </c>
      <c r="K49">
        <f t="shared" si="15"/>
        <v>996000000</v>
      </c>
      <c r="L49">
        <f t="shared" si="15"/>
        <v>1020000000</v>
      </c>
      <c r="M49">
        <f t="shared" si="15"/>
        <v>1044000000</v>
      </c>
      <c r="N49">
        <f t="shared" si="15"/>
        <v>1056000000</v>
      </c>
      <c r="O49">
        <f t="shared" si="15"/>
        <v>1032000000</v>
      </c>
      <c r="P49">
        <f t="shared" si="15"/>
        <v>1008000000</v>
      </c>
      <c r="Q49">
        <f t="shared" si="15"/>
        <v>996000000</v>
      </c>
      <c r="R49">
        <f t="shared" si="15"/>
        <v>984000000</v>
      </c>
      <c r="S49">
        <f t="shared" si="15"/>
        <v>1044000000</v>
      </c>
    </row>
    <row r="50" spans="1:19">
      <c r="A50" t="s">
        <v>23</v>
      </c>
      <c r="B50" t="s">
        <v>130</v>
      </c>
      <c r="C50" t="s">
        <v>1229</v>
      </c>
      <c r="D50" t="s">
        <v>965</v>
      </c>
      <c r="G50">
        <f t="shared" si="0"/>
        <v>12000000000</v>
      </c>
      <c r="H50">
        <v>900000000</v>
      </c>
      <c r="I50">
        <v>936000000</v>
      </c>
      <c r="J50">
        <v>984000000</v>
      </c>
      <c r="K50">
        <v>996000000</v>
      </c>
      <c r="L50">
        <v>1020000000</v>
      </c>
      <c r="M50">
        <v>1044000000</v>
      </c>
      <c r="N50">
        <v>1056000000</v>
      </c>
      <c r="O50">
        <v>1032000000</v>
      </c>
      <c r="P50">
        <v>1008000000</v>
      </c>
      <c r="Q50">
        <v>996000000</v>
      </c>
      <c r="R50">
        <v>984000000</v>
      </c>
      <c r="S50">
        <v>1044000000</v>
      </c>
    </row>
    <row r="51" spans="1:19">
      <c r="A51" t="s">
        <v>19</v>
      </c>
      <c r="B51" t="s">
        <v>143</v>
      </c>
      <c r="C51" t="s">
        <v>1230</v>
      </c>
      <c r="D51" t="s">
        <v>172</v>
      </c>
      <c r="G51">
        <f t="shared" si="0"/>
        <v>12000000000</v>
      </c>
      <c r="H51">
        <f t="shared" ref="H51:S51" si="16">H52</f>
        <v>900000000</v>
      </c>
      <c r="I51">
        <f t="shared" si="16"/>
        <v>936000000</v>
      </c>
      <c r="J51">
        <f t="shared" si="16"/>
        <v>984000000</v>
      </c>
      <c r="K51">
        <f t="shared" si="16"/>
        <v>996000000</v>
      </c>
      <c r="L51">
        <f t="shared" si="16"/>
        <v>1020000000</v>
      </c>
      <c r="M51">
        <f t="shared" si="16"/>
        <v>1044000000</v>
      </c>
      <c r="N51">
        <f t="shared" si="16"/>
        <v>1056000000</v>
      </c>
      <c r="O51">
        <f t="shared" si="16"/>
        <v>1032000000</v>
      </c>
      <c r="P51">
        <f t="shared" si="16"/>
        <v>1008000000</v>
      </c>
      <c r="Q51">
        <f t="shared" si="16"/>
        <v>996000000</v>
      </c>
      <c r="R51">
        <f t="shared" si="16"/>
        <v>984000000</v>
      </c>
      <c r="S51">
        <f t="shared" si="16"/>
        <v>1044000000</v>
      </c>
    </row>
    <row r="52" spans="1:19">
      <c r="A52" t="s">
        <v>23</v>
      </c>
      <c r="B52" t="s">
        <v>143</v>
      </c>
      <c r="C52" t="s">
        <v>1231</v>
      </c>
      <c r="D52" t="s">
        <v>968</v>
      </c>
      <c r="G52">
        <f t="shared" si="0"/>
        <v>12000000000</v>
      </c>
      <c r="H52">
        <v>900000000</v>
      </c>
      <c r="I52">
        <v>936000000</v>
      </c>
      <c r="J52">
        <v>984000000</v>
      </c>
      <c r="K52">
        <v>996000000</v>
      </c>
      <c r="L52">
        <v>1020000000</v>
      </c>
      <c r="M52">
        <v>1044000000</v>
      </c>
      <c r="N52">
        <v>1056000000</v>
      </c>
      <c r="O52">
        <v>1032000000</v>
      </c>
      <c r="P52">
        <v>1008000000</v>
      </c>
      <c r="Q52">
        <v>996000000</v>
      </c>
      <c r="R52">
        <v>984000000</v>
      </c>
      <c r="S52">
        <v>1044000000</v>
      </c>
    </row>
    <row r="53" spans="1:19">
      <c r="A53" t="s">
        <v>19</v>
      </c>
      <c r="B53" t="s">
        <v>20</v>
      </c>
      <c r="C53" t="s">
        <v>1232</v>
      </c>
      <c r="D53" t="s">
        <v>176</v>
      </c>
      <c r="G53">
        <f t="shared" si="0"/>
        <v>0.42</v>
      </c>
      <c r="H53">
        <f t="shared" ref="H53:S53" si="17">H54</f>
        <v>0.0343</v>
      </c>
      <c r="I53">
        <f t="shared" si="17"/>
        <v>0.034427</v>
      </c>
      <c r="J53">
        <f t="shared" si="17"/>
        <v>0.034555</v>
      </c>
      <c r="K53">
        <f t="shared" si="17"/>
        <v>0.034682</v>
      </c>
      <c r="L53">
        <f t="shared" si="17"/>
        <v>0.034809</v>
      </c>
      <c r="M53">
        <f t="shared" si="17"/>
        <v>0.034936</v>
      </c>
      <c r="N53">
        <f t="shared" si="17"/>
        <v>0.035064</v>
      </c>
      <c r="O53">
        <f t="shared" si="17"/>
        <v>0.035191</v>
      </c>
      <c r="P53">
        <f t="shared" si="17"/>
        <v>0.035318</v>
      </c>
      <c r="Q53">
        <f t="shared" si="17"/>
        <v>0.035445</v>
      </c>
      <c r="R53">
        <f t="shared" si="17"/>
        <v>0.035573</v>
      </c>
      <c r="S53">
        <f t="shared" si="17"/>
        <v>0.0357</v>
      </c>
    </row>
    <row r="54" spans="1:19">
      <c r="A54" t="s">
        <v>23</v>
      </c>
      <c r="B54" t="s">
        <v>20</v>
      </c>
      <c r="C54" t="s">
        <v>1233</v>
      </c>
      <c r="D54" t="s">
        <v>225</v>
      </c>
      <c r="G54">
        <f t="shared" si="0"/>
        <v>0.42</v>
      </c>
      <c r="H54">
        <f t="shared" ref="H54:S54" si="18">H55</f>
        <v>0.0343</v>
      </c>
      <c r="I54">
        <f t="shared" si="18"/>
        <v>0.034427</v>
      </c>
      <c r="J54">
        <f t="shared" si="18"/>
        <v>0.034555</v>
      </c>
      <c r="K54">
        <f t="shared" si="18"/>
        <v>0.034682</v>
      </c>
      <c r="L54">
        <f t="shared" si="18"/>
        <v>0.034809</v>
      </c>
      <c r="M54">
        <f t="shared" si="18"/>
        <v>0.034936</v>
      </c>
      <c r="N54">
        <f t="shared" si="18"/>
        <v>0.035064</v>
      </c>
      <c r="O54">
        <f t="shared" si="18"/>
        <v>0.035191</v>
      </c>
      <c r="P54">
        <f t="shared" si="18"/>
        <v>0.035318</v>
      </c>
      <c r="Q54">
        <f t="shared" si="18"/>
        <v>0.035445</v>
      </c>
      <c r="R54">
        <f t="shared" si="18"/>
        <v>0.035573</v>
      </c>
      <c r="S54">
        <f t="shared" si="18"/>
        <v>0.0357</v>
      </c>
    </row>
    <row r="55" spans="1:19">
      <c r="A55" t="s">
        <v>26</v>
      </c>
      <c r="B55" t="s">
        <v>20</v>
      </c>
      <c r="C55" t="s">
        <v>1234</v>
      </c>
      <c r="D55" t="s">
        <v>227</v>
      </c>
      <c r="G55">
        <f t="shared" si="0"/>
        <v>0.42</v>
      </c>
      <c r="H55">
        <f t="shared" ref="H55:S55" si="19">H56</f>
        <v>0.0343</v>
      </c>
      <c r="I55">
        <f t="shared" si="19"/>
        <v>0.034427</v>
      </c>
      <c r="J55">
        <f t="shared" si="19"/>
        <v>0.034555</v>
      </c>
      <c r="K55">
        <f t="shared" si="19"/>
        <v>0.034682</v>
      </c>
      <c r="L55">
        <f t="shared" si="19"/>
        <v>0.034809</v>
      </c>
      <c r="M55">
        <f t="shared" si="19"/>
        <v>0.034936</v>
      </c>
      <c r="N55">
        <f t="shared" si="19"/>
        <v>0.035064</v>
      </c>
      <c r="O55">
        <f t="shared" si="19"/>
        <v>0.035191</v>
      </c>
      <c r="P55">
        <f t="shared" si="19"/>
        <v>0.035318</v>
      </c>
      <c r="Q55">
        <f t="shared" si="19"/>
        <v>0.035445</v>
      </c>
      <c r="R55">
        <f t="shared" si="19"/>
        <v>0.035573</v>
      </c>
      <c r="S55">
        <f t="shared" si="19"/>
        <v>0.0357</v>
      </c>
    </row>
    <row r="56" spans="1:19">
      <c r="A56" t="s">
        <v>60</v>
      </c>
      <c r="B56" t="s">
        <v>179</v>
      </c>
      <c r="C56" t="s">
        <v>1235</v>
      </c>
      <c r="D56" t="s">
        <v>229</v>
      </c>
      <c r="G56">
        <f t="shared" si="0"/>
        <v>0.42</v>
      </c>
      <c r="H56">
        <v>0.0343</v>
      </c>
      <c r="I56">
        <v>0.034427</v>
      </c>
      <c r="J56">
        <v>0.034555</v>
      </c>
      <c r="K56">
        <v>0.034682</v>
      </c>
      <c r="L56">
        <v>0.034809</v>
      </c>
      <c r="M56">
        <v>0.034936</v>
      </c>
      <c r="N56">
        <v>0.035064</v>
      </c>
      <c r="O56">
        <v>0.035191</v>
      </c>
      <c r="P56">
        <v>0.035318</v>
      </c>
      <c r="Q56">
        <v>0.035445</v>
      </c>
      <c r="R56">
        <v>0.035573</v>
      </c>
      <c r="S56">
        <v>0.0357</v>
      </c>
    </row>
    <row r="57" spans="1:19">
      <c r="A57" t="s">
        <v>19</v>
      </c>
      <c r="B57" t="s">
        <v>35</v>
      </c>
      <c r="C57" t="s">
        <v>1236</v>
      </c>
      <c r="D57" t="s">
        <v>241</v>
      </c>
      <c r="G57">
        <f t="shared" si="0"/>
        <v>0.9</v>
      </c>
      <c r="H57">
        <f t="shared" ref="H57:S57" si="20">H58+H61</f>
        <v>0.0735</v>
      </c>
      <c r="I57">
        <f t="shared" si="20"/>
        <v>0.073773</v>
      </c>
      <c r="J57">
        <f t="shared" si="20"/>
        <v>0.074046</v>
      </c>
      <c r="K57">
        <f t="shared" si="20"/>
        <v>0.074319</v>
      </c>
      <c r="L57">
        <f t="shared" si="20"/>
        <v>0.074592</v>
      </c>
      <c r="M57">
        <f t="shared" si="20"/>
        <v>0.074865</v>
      </c>
      <c r="N57">
        <f t="shared" si="20"/>
        <v>0.075135</v>
      </c>
      <c r="O57">
        <f t="shared" si="20"/>
        <v>0.075408</v>
      </c>
      <c r="P57">
        <f t="shared" si="20"/>
        <v>0.075681</v>
      </c>
      <c r="Q57">
        <f t="shared" si="20"/>
        <v>0.075954</v>
      </c>
      <c r="R57">
        <f t="shared" si="20"/>
        <v>0.076227</v>
      </c>
      <c r="S57">
        <f t="shared" si="20"/>
        <v>0.0765</v>
      </c>
    </row>
    <row r="58" spans="1:19">
      <c r="A58" t="s">
        <v>23</v>
      </c>
      <c r="B58" t="s">
        <v>35</v>
      </c>
      <c r="C58" t="s">
        <v>1237</v>
      </c>
      <c r="D58" t="s">
        <v>265</v>
      </c>
      <c r="G58">
        <f t="shared" si="0"/>
        <v>0.3</v>
      </c>
      <c r="H58">
        <f t="shared" ref="H58:S58" si="21">H59</f>
        <v>0.0245</v>
      </c>
      <c r="I58">
        <f t="shared" si="21"/>
        <v>0.024591</v>
      </c>
      <c r="J58">
        <f t="shared" si="21"/>
        <v>0.024682</v>
      </c>
      <c r="K58">
        <f t="shared" si="21"/>
        <v>0.024773</v>
      </c>
      <c r="L58">
        <f t="shared" si="21"/>
        <v>0.024864</v>
      </c>
      <c r="M58">
        <f t="shared" si="21"/>
        <v>0.024955</v>
      </c>
      <c r="N58">
        <f t="shared" si="21"/>
        <v>0.025045</v>
      </c>
      <c r="O58">
        <f t="shared" si="21"/>
        <v>0.025136</v>
      </c>
      <c r="P58">
        <f t="shared" si="21"/>
        <v>0.025227</v>
      </c>
      <c r="Q58">
        <f t="shared" si="21"/>
        <v>0.025318</v>
      </c>
      <c r="R58">
        <f t="shared" si="21"/>
        <v>0.025409</v>
      </c>
      <c r="S58">
        <f t="shared" si="21"/>
        <v>0.0255</v>
      </c>
    </row>
    <row r="59" spans="1:19">
      <c r="A59" t="s">
        <v>26</v>
      </c>
      <c r="B59" t="s">
        <v>35</v>
      </c>
      <c r="C59" t="s">
        <v>1238</v>
      </c>
      <c r="D59" t="s">
        <v>267</v>
      </c>
      <c r="G59">
        <f t="shared" si="0"/>
        <v>0.3</v>
      </c>
      <c r="H59">
        <f t="shared" ref="H59:S59" si="22">H60</f>
        <v>0.0245</v>
      </c>
      <c r="I59">
        <f t="shared" si="22"/>
        <v>0.024591</v>
      </c>
      <c r="J59">
        <f t="shared" si="22"/>
        <v>0.024682</v>
      </c>
      <c r="K59">
        <f t="shared" si="22"/>
        <v>0.024773</v>
      </c>
      <c r="L59">
        <f t="shared" si="22"/>
        <v>0.024864</v>
      </c>
      <c r="M59">
        <f t="shared" si="22"/>
        <v>0.024955</v>
      </c>
      <c r="N59">
        <f t="shared" si="22"/>
        <v>0.025045</v>
      </c>
      <c r="O59">
        <f t="shared" si="22"/>
        <v>0.025136</v>
      </c>
      <c r="P59">
        <f t="shared" si="22"/>
        <v>0.025227</v>
      </c>
      <c r="Q59">
        <f t="shared" si="22"/>
        <v>0.025318</v>
      </c>
      <c r="R59">
        <f t="shared" si="22"/>
        <v>0.025409</v>
      </c>
      <c r="S59">
        <f t="shared" si="22"/>
        <v>0.0255</v>
      </c>
    </row>
    <row r="60" spans="1:19">
      <c r="A60" t="s">
        <v>60</v>
      </c>
      <c r="B60" t="s">
        <v>179</v>
      </c>
      <c r="C60" t="s">
        <v>1239</v>
      </c>
      <c r="D60" t="s">
        <v>269</v>
      </c>
      <c r="G60">
        <f t="shared" si="0"/>
        <v>0.3</v>
      </c>
      <c r="H60">
        <v>0.0245</v>
      </c>
      <c r="I60">
        <v>0.024591</v>
      </c>
      <c r="J60">
        <v>0.024682</v>
      </c>
      <c r="K60">
        <v>0.024773</v>
      </c>
      <c r="L60">
        <v>0.024864</v>
      </c>
      <c r="M60">
        <v>0.024955</v>
      </c>
      <c r="N60">
        <v>0.025045</v>
      </c>
      <c r="O60">
        <v>0.025136</v>
      </c>
      <c r="P60">
        <v>0.025227</v>
      </c>
      <c r="Q60">
        <v>0.025318</v>
      </c>
      <c r="R60">
        <v>0.025409</v>
      </c>
      <c r="S60">
        <v>0.0255</v>
      </c>
    </row>
    <row r="61" spans="1:19">
      <c r="A61" t="s">
        <v>23</v>
      </c>
      <c r="B61" t="s">
        <v>35</v>
      </c>
      <c r="C61" t="s">
        <v>1240</v>
      </c>
      <c r="D61" t="s">
        <v>281</v>
      </c>
      <c r="G61">
        <f t="shared" si="0"/>
        <v>0.6</v>
      </c>
      <c r="H61">
        <f t="shared" ref="H61:S61" si="23">H62+H63</f>
        <v>0.049</v>
      </c>
      <c r="I61">
        <f t="shared" si="23"/>
        <v>0.049182</v>
      </c>
      <c r="J61">
        <f t="shared" si="23"/>
        <v>0.049364</v>
      </c>
      <c r="K61">
        <f t="shared" si="23"/>
        <v>0.049546</v>
      </c>
      <c r="L61">
        <f t="shared" si="23"/>
        <v>0.049728</v>
      </c>
      <c r="M61">
        <f t="shared" si="23"/>
        <v>0.04991</v>
      </c>
      <c r="N61">
        <f t="shared" si="23"/>
        <v>0.05009</v>
      </c>
      <c r="O61">
        <f t="shared" si="23"/>
        <v>0.050272</v>
      </c>
      <c r="P61">
        <f t="shared" si="23"/>
        <v>0.050454</v>
      </c>
      <c r="Q61">
        <f t="shared" si="23"/>
        <v>0.050636</v>
      </c>
      <c r="R61">
        <f t="shared" si="23"/>
        <v>0.050818</v>
      </c>
      <c r="S61">
        <f t="shared" si="23"/>
        <v>0.051</v>
      </c>
    </row>
    <row r="62" spans="1:19">
      <c r="A62" t="s">
        <v>26</v>
      </c>
      <c r="B62" t="s">
        <v>35</v>
      </c>
      <c r="C62" t="s">
        <v>1241</v>
      </c>
      <c r="D62" t="s">
        <v>1242</v>
      </c>
      <c r="G62">
        <f t="shared" si="0"/>
        <v>0.3</v>
      </c>
      <c r="H62">
        <v>0.0245</v>
      </c>
      <c r="I62">
        <v>0.024591</v>
      </c>
      <c r="J62">
        <v>0.024682</v>
      </c>
      <c r="K62">
        <v>0.024773</v>
      </c>
      <c r="L62">
        <v>0.024864</v>
      </c>
      <c r="M62">
        <v>0.024955</v>
      </c>
      <c r="N62">
        <v>0.025045</v>
      </c>
      <c r="O62">
        <v>0.025136</v>
      </c>
      <c r="P62">
        <v>0.025227</v>
      </c>
      <c r="Q62">
        <v>0.025318</v>
      </c>
      <c r="R62">
        <v>0.025409</v>
      </c>
      <c r="S62">
        <v>0.0255</v>
      </c>
    </row>
    <row r="63" spans="1:19">
      <c r="A63" t="s">
        <v>26</v>
      </c>
      <c r="B63" t="s">
        <v>35</v>
      </c>
      <c r="C63" t="s">
        <v>1243</v>
      </c>
      <c r="D63" t="s">
        <v>1244</v>
      </c>
      <c r="G63">
        <f t="shared" si="0"/>
        <v>0.3</v>
      </c>
      <c r="H63">
        <v>0.0245</v>
      </c>
      <c r="I63">
        <v>0.024591</v>
      </c>
      <c r="J63">
        <v>0.024682</v>
      </c>
      <c r="K63">
        <v>0.024773</v>
      </c>
      <c r="L63">
        <v>0.024864</v>
      </c>
      <c r="M63">
        <v>0.024955</v>
      </c>
      <c r="N63">
        <v>0.025045</v>
      </c>
      <c r="O63">
        <v>0.025136</v>
      </c>
      <c r="P63">
        <v>0.025227</v>
      </c>
      <c r="Q63">
        <v>0.025318</v>
      </c>
      <c r="R63">
        <v>0.025409</v>
      </c>
      <c r="S63">
        <v>0.0255</v>
      </c>
    </row>
    <row r="64" spans="1:19">
      <c r="A64" t="s">
        <v>19</v>
      </c>
      <c r="B64" t="s">
        <v>35</v>
      </c>
      <c r="C64" t="s">
        <v>1245</v>
      </c>
      <c r="D64" t="s">
        <v>285</v>
      </c>
      <c r="G64">
        <f t="shared" si="0"/>
        <v>1292368166.484</v>
      </c>
      <c r="H64">
        <f t="shared" ref="H64:S64" si="24">H65+H92</f>
        <v>93250484.20286</v>
      </c>
      <c r="I64">
        <f t="shared" si="24"/>
        <v>90858644.20361</v>
      </c>
      <c r="J64">
        <f t="shared" si="24"/>
        <v>103104984.204366</v>
      </c>
      <c r="K64">
        <f t="shared" si="24"/>
        <v>105127240.205116</v>
      </c>
      <c r="L64">
        <f t="shared" si="24"/>
        <v>107713140.205872</v>
      </c>
      <c r="M64">
        <f t="shared" si="24"/>
        <v>111028352.206622</v>
      </c>
      <c r="N64">
        <f t="shared" si="24"/>
        <v>113779912.207378</v>
      </c>
      <c r="O64">
        <f t="shared" si="24"/>
        <v>111923304.208128</v>
      </c>
      <c r="P64">
        <f t="shared" si="24"/>
        <v>109337392.208884</v>
      </c>
      <c r="Q64">
        <f t="shared" si="24"/>
        <v>114608156.209634</v>
      </c>
      <c r="R64">
        <f t="shared" si="24"/>
        <v>113315196.21039</v>
      </c>
      <c r="S64">
        <f t="shared" si="24"/>
        <v>118321360.21114</v>
      </c>
    </row>
    <row r="65" spans="1:19">
      <c r="A65" t="s">
        <v>23</v>
      </c>
      <c r="B65" t="s">
        <v>35</v>
      </c>
      <c r="C65" t="s">
        <v>1246</v>
      </c>
      <c r="D65" t="s">
        <v>287</v>
      </c>
      <c r="G65">
        <f t="shared" si="0"/>
        <v>1292368166.268</v>
      </c>
      <c r="H65">
        <f t="shared" ref="H65:S65" si="25">H66+H84+H88</f>
        <v>93250484.18522</v>
      </c>
      <c r="I65">
        <f t="shared" si="25"/>
        <v>90858644.185905</v>
      </c>
      <c r="J65">
        <f t="shared" si="25"/>
        <v>103104984.186595</v>
      </c>
      <c r="K65">
        <f t="shared" si="25"/>
        <v>105127240.18728</v>
      </c>
      <c r="L65">
        <f t="shared" si="25"/>
        <v>107713140.18797</v>
      </c>
      <c r="M65">
        <f t="shared" si="25"/>
        <v>111028352.188655</v>
      </c>
      <c r="N65">
        <f t="shared" si="25"/>
        <v>113779912.189345</v>
      </c>
      <c r="O65">
        <f t="shared" si="25"/>
        <v>111923304.19003</v>
      </c>
      <c r="P65">
        <f t="shared" si="25"/>
        <v>109337392.19072</v>
      </c>
      <c r="Q65">
        <f t="shared" si="25"/>
        <v>114608156.191405</v>
      </c>
      <c r="R65">
        <f t="shared" si="25"/>
        <v>113315196.192095</v>
      </c>
      <c r="S65">
        <f t="shared" si="25"/>
        <v>118321360.19278</v>
      </c>
    </row>
    <row r="66" spans="1:19">
      <c r="A66" t="s">
        <v>26</v>
      </c>
      <c r="B66" t="s">
        <v>35</v>
      </c>
      <c r="C66" t="s">
        <v>1247</v>
      </c>
      <c r="D66" t="s">
        <v>1248</v>
      </c>
      <c r="G66">
        <f t="shared" ref="G66:G129" si="26">H66+I66+J66+K66+L66+M66+N66+O66+P66+Q66+R66+S66</f>
        <v>117487993.836</v>
      </c>
      <c r="H66">
        <f t="shared" ref="H66:S66" si="27">H67+H68+H70+H72+H78</f>
        <v>8477316.14994</v>
      </c>
      <c r="I66">
        <f t="shared" si="27"/>
        <v>8259876.150495</v>
      </c>
      <c r="J66">
        <f t="shared" si="27"/>
        <v>9373180.151053</v>
      </c>
      <c r="K66">
        <f t="shared" si="27"/>
        <v>9557020.151608</v>
      </c>
      <c r="L66">
        <f t="shared" si="27"/>
        <v>9792100.152166</v>
      </c>
      <c r="M66">
        <f t="shared" si="27"/>
        <v>10093484.152721</v>
      </c>
      <c r="N66">
        <f t="shared" si="27"/>
        <v>10343628.153279</v>
      </c>
      <c r="O66">
        <f t="shared" si="27"/>
        <v>10174844.153834</v>
      </c>
      <c r="P66">
        <f t="shared" si="27"/>
        <v>9939760.154392</v>
      </c>
      <c r="Q66">
        <f t="shared" si="27"/>
        <v>10418920.154947</v>
      </c>
      <c r="R66">
        <f t="shared" si="27"/>
        <v>10301380.155505</v>
      </c>
      <c r="S66">
        <f t="shared" si="27"/>
        <v>10756484.15606</v>
      </c>
    </row>
    <row r="67" spans="1:19">
      <c r="A67" t="s">
        <v>60</v>
      </c>
      <c r="B67" t="s">
        <v>179</v>
      </c>
      <c r="C67" t="s">
        <v>1249</v>
      </c>
      <c r="D67" t="s">
        <v>1250</v>
      </c>
      <c r="G67">
        <f t="shared" si="26"/>
        <v>0.216</v>
      </c>
      <c r="H67">
        <v>0.01764</v>
      </c>
      <c r="I67">
        <v>0.017705</v>
      </c>
      <c r="J67">
        <v>0.017771</v>
      </c>
      <c r="K67">
        <v>0.017836</v>
      </c>
      <c r="L67">
        <v>0.017902</v>
      </c>
      <c r="M67">
        <v>0.017967</v>
      </c>
      <c r="N67">
        <v>0.018033</v>
      </c>
      <c r="O67">
        <v>0.018098</v>
      </c>
      <c r="P67">
        <v>0.018164</v>
      </c>
      <c r="Q67">
        <v>0.018229</v>
      </c>
      <c r="R67">
        <v>0.018295</v>
      </c>
      <c r="S67">
        <v>0.01836</v>
      </c>
    </row>
    <row r="68" spans="1:19">
      <c r="A68" t="s">
        <v>60</v>
      </c>
      <c r="B68" t="s">
        <v>35</v>
      </c>
      <c r="C68" t="s">
        <v>1251</v>
      </c>
      <c r="D68" t="s">
        <v>1252</v>
      </c>
      <c r="G68">
        <f t="shared" si="26"/>
        <v>0.18</v>
      </c>
      <c r="H68">
        <f t="shared" ref="H68:S68" si="28">H69</f>
        <v>0.0147</v>
      </c>
      <c r="I68">
        <f t="shared" si="28"/>
        <v>0.014755</v>
      </c>
      <c r="J68">
        <f t="shared" si="28"/>
        <v>0.014809</v>
      </c>
      <c r="K68">
        <f t="shared" si="28"/>
        <v>0.014864</v>
      </c>
      <c r="L68">
        <f t="shared" si="28"/>
        <v>0.014918</v>
      </c>
      <c r="M68">
        <f t="shared" si="28"/>
        <v>0.014973</v>
      </c>
      <c r="N68">
        <f t="shared" si="28"/>
        <v>0.015027</v>
      </c>
      <c r="O68">
        <f t="shared" si="28"/>
        <v>0.015082</v>
      </c>
      <c r="P68">
        <f t="shared" si="28"/>
        <v>0.015136</v>
      </c>
      <c r="Q68">
        <f t="shared" si="28"/>
        <v>0.015191</v>
      </c>
      <c r="R68">
        <f t="shared" si="28"/>
        <v>0.015245</v>
      </c>
      <c r="S68">
        <f t="shared" si="28"/>
        <v>0.0153</v>
      </c>
    </row>
    <row r="69" spans="1:19">
      <c r="A69" t="s">
        <v>192</v>
      </c>
      <c r="B69" t="s">
        <v>179</v>
      </c>
      <c r="C69" t="s">
        <v>1253</v>
      </c>
      <c r="D69" t="s">
        <v>1254</v>
      </c>
      <c r="G69">
        <f t="shared" si="26"/>
        <v>0.18</v>
      </c>
      <c r="H69">
        <v>0.0147</v>
      </c>
      <c r="I69">
        <v>0.014755</v>
      </c>
      <c r="J69">
        <v>0.014809</v>
      </c>
      <c r="K69">
        <v>0.014864</v>
      </c>
      <c r="L69">
        <v>0.014918</v>
      </c>
      <c r="M69">
        <v>0.014973</v>
      </c>
      <c r="N69">
        <v>0.015027</v>
      </c>
      <c r="O69">
        <v>0.015082</v>
      </c>
      <c r="P69">
        <v>0.015136</v>
      </c>
      <c r="Q69">
        <v>0.015191</v>
      </c>
      <c r="R69">
        <v>0.015245</v>
      </c>
      <c r="S69">
        <v>0.0153</v>
      </c>
    </row>
    <row r="70" spans="1:19">
      <c r="A70" t="s">
        <v>60</v>
      </c>
      <c r="B70" t="s">
        <v>35</v>
      </c>
      <c r="C70" t="s">
        <v>1255</v>
      </c>
      <c r="D70" t="s">
        <v>1256</v>
      </c>
      <c r="G70">
        <f t="shared" si="26"/>
        <v>0.216</v>
      </c>
      <c r="H70">
        <f t="shared" ref="H70:S70" si="29">H71</f>
        <v>0.01764</v>
      </c>
      <c r="I70">
        <f t="shared" si="29"/>
        <v>0.017705</v>
      </c>
      <c r="J70">
        <f t="shared" si="29"/>
        <v>0.017771</v>
      </c>
      <c r="K70">
        <f t="shared" si="29"/>
        <v>0.017836</v>
      </c>
      <c r="L70">
        <f t="shared" si="29"/>
        <v>0.017902</v>
      </c>
      <c r="M70">
        <f t="shared" si="29"/>
        <v>0.017967</v>
      </c>
      <c r="N70">
        <f t="shared" si="29"/>
        <v>0.018033</v>
      </c>
      <c r="O70">
        <f t="shared" si="29"/>
        <v>0.018098</v>
      </c>
      <c r="P70">
        <f t="shared" si="29"/>
        <v>0.018164</v>
      </c>
      <c r="Q70">
        <f t="shared" si="29"/>
        <v>0.018229</v>
      </c>
      <c r="R70">
        <f t="shared" si="29"/>
        <v>0.018295</v>
      </c>
      <c r="S70">
        <f t="shared" si="29"/>
        <v>0.01836</v>
      </c>
    </row>
    <row r="71" spans="1:19">
      <c r="A71" t="s">
        <v>192</v>
      </c>
      <c r="B71" t="s">
        <v>179</v>
      </c>
      <c r="C71" t="s">
        <v>1257</v>
      </c>
      <c r="D71" t="s">
        <v>1258</v>
      </c>
      <c r="G71">
        <f t="shared" si="26"/>
        <v>0.216</v>
      </c>
      <c r="H71">
        <v>0.01764</v>
      </c>
      <c r="I71">
        <v>0.017705</v>
      </c>
      <c r="J71">
        <v>0.017771</v>
      </c>
      <c r="K71">
        <v>0.017836</v>
      </c>
      <c r="L71">
        <v>0.017902</v>
      </c>
      <c r="M71">
        <v>0.017967</v>
      </c>
      <c r="N71">
        <v>0.018033</v>
      </c>
      <c r="O71">
        <v>0.018098</v>
      </c>
      <c r="P71">
        <v>0.018164</v>
      </c>
      <c r="Q71">
        <v>0.018229</v>
      </c>
      <c r="R71">
        <v>0.018295</v>
      </c>
      <c r="S71">
        <v>0.01836</v>
      </c>
    </row>
    <row r="72" spans="1:19">
      <c r="A72" t="s">
        <v>60</v>
      </c>
      <c r="B72" t="s">
        <v>35</v>
      </c>
      <c r="C72" t="s">
        <v>1259</v>
      </c>
      <c r="D72" t="s">
        <v>1260</v>
      </c>
      <c r="G72">
        <f t="shared" si="26"/>
        <v>58743996.612</v>
      </c>
      <c r="H72">
        <f t="shared" ref="H72:S72" si="30">H73+H74+H75+H76+H77</f>
        <v>4238658.04998</v>
      </c>
      <c r="I72">
        <f t="shared" si="30"/>
        <v>4129938.050165</v>
      </c>
      <c r="J72">
        <f t="shared" si="30"/>
        <v>4686590.050351</v>
      </c>
      <c r="K72">
        <f t="shared" si="30"/>
        <v>4778510.050536</v>
      </c>
      <c r="L72">
        <f t="shared" si="30"/>
        <v>4896050.050722</v>
      </c>
      <c r="M72">
        <f t="shared" si="30"/>
        <v>5046742.050907</v>
      </c>
      <c r="N72">
        <f t="shared" si="30"/>
        <v>5171814.051093</v>
      </c>
      <c r="O72">
        <f t="shared" si="30"/>
        <v>5087422.051278</v>
      </c>
      <c r="P72">
        <f t="shared" si="30"/>
        <v>4969880.051464</v>
      </c>
      <c r="Q72">
        <f t="shared" si="30"/>
        <v>5209460.051649</v>
      </c>
      <c r="R72">
        <f t="shared" si="30"/>
        <v>5150690.051835</v>
      </c>
      <c r="S72">
        <f t="shared" si="30"/>
        <v>5378242.05202</v>
      </c>
    </row>
    <row r="73" spans="1:19">
      <c r="A73" t="s">
        <v>192</v>
      </c>
      <c r="B73" t="s">
        <v>179</v>
      </c>
      <c r="C73" t="s">
        <v>1261</v>
      </c>
      <c r="D73" t="s">
        <v>1262</v>
      </c>
      <c r="G73">
        <f t="shared" si="26"/>
        <v>0.216</v>
      </c>
      <c r="H73">
        <v>0.01764</v>
      </c>
      <c r="I73">
        <v>0.017705</v>
      </c>
      <c r="J73">
        <v>0.017771</v>
      </c>
      <c r="K73">
        <v>0.017836</v>
      </c>
      <c r="L73">
        <v>0.017902</v>
      </c>
      <c r="M73">
        <v>0.017967</v>
      </c>
      <c r="N73">
        <v>0.018033</v>
      </c>
      <c r="O73">
        <v>0.018098</v>
      </c>
      <c r="P73">
        <v>0.018164</v>
      </c>
      <c r="Q73">
        <v>0.018229</v>
      </c>
      <c r="R73">
        <v>0.018295</v>
      </c>
      <c r="S73">
        <v>0.01836</v>
      </c>
    </row>
    <row r="74" spans="1:19">
      <c r="A74" t="s">
        <v>192</v>
      </c>
      <c r="B74" t="s">
        <v>35</v>
      </c>
      <c r="C74" t="s">
        <v>1263</v>
      </c>
      <c r="D74" t="s">
        <v>1264</v>
      </c>
      <c r="G74">
        <f t="shared" si="26"/>
        <v>29371998</v>
      </c>
      <c r="H74">
        <v>2119329</v>
      </c>
      <c r="I74">
        <v>2064969</v>
      </c>
      <c r="J74">
        <v>2343295</v>
      </c>
      <c r="K74">
        <v>2389255</v>
      </c>
      <c r="L74">
        <v>2448025</v>
      </c>
      <c r="M74">
        <v>2523371</v>
      </c>
      <c r="N74">
        <v>2585907</v>
      </c>
      <c r="O74">
        <v>2543711</v>
      </c>
      <c r="P74">
        <v>2484940</v>
      </c>
      <c r="Q74">
        <v>2604730</v>
      </c>
      <c r="R74">
        <v>2575345</v>
      </c>
      <c r="S74">
        <v>2689121</v>
      </c>
    </row>
    <row r="75" spans="1:19">
      <c r="A75" t="s">
        <v>192</v>
      </c>
      <c r="B75" t="s">
        <v>179</v>
      </c>
      <c r="C75" t="s">
        <v>1265</v>
      </c>
      <c r="D75" t="s">
        <v>1266</v>
      </c>
      <c r="G75">
        <f t="shared" si="26"/>
        <v>0.216</v>
      </c>
      <c r="H75">
        <v>0.01764</v>
      </c>
      <c r="I75">
        <v>0.017705</v>
      </c>
      <c r="J75">
        <v>0.017771</v>
      </c>
      <c r="K75">
        <v>0.017836</v>
      </c>
      <c r="L75">
        <v>0.017902</v>
      </c>
      <c r="M75">
        <v>0.017967</v>
      </c>
      <c r="N75">
        <v>0.018033</v>
      </c>
      <c r="O75">
        <v>0.018098</v>
      </c>
      <c r="P75">
        <v>0.018164</v>
      </c>
      <c r="Q75">
        <v>0.018229</v>
      </c>
      <c r="R75">
        <v>0.018295</v>
      </c>
      <c r="S75">
        <v>0.01836</v>
      </c>
    </row>
    <row r="76" spans="1:19">
      <c r="A76" t="s">
        <v>192</v>
      </c>
      <c r="B76" t="s">
        <v>35</v>
      </c>
      <c r="C76" t="s">
        <v>1267</v>
      </c>
      <c r="D76" t="s">
        <v>1268</v>
      </c>
      <c r="G76">
        <f t="shared" si="26"/>
        <v>29371998</v>
      </c>
      <c r="H76">
        <v>2119329</v>
      </c>
      <c r="I76">
        <v>2064969</v>
      </c>
      <c r="J76">
        <v>2343295</v>
      </c>
      <c r="K76">
        <v>2389255</v>
      </c>
      <c r="L76">
        <v>2448025</v>
      </c>
      <c r="M76">
        <v>2523371</v>
      </c>
      <c r="N76">
        <v>2585907</v>
      </c>
      <c r="O76">
        <v>2543711</v>
      </c>
      <c r="P76">
        <v>2484940</v>
      </c>
      <c r="Q76">
        <v>2604730</v>
      </c>
      <c r="R76">
        <v>2575345</v>
      </c>
      <c r="S76">
        <v>2689121</v>
      </c>
    </row>
    <row r="77" spans="1:19">
      <c r="A77" t="s">
        <v>192</v>
      </c>
      <c r="B77" t="s">
        <v>179</v>
      </c>
      <c r="C77" t="s">
        <v>1269</v>
      </c>
      <c r="D77" t="s">
        <v>1270</v>
      </c>
      <c r="G77">
        <f t="shared" si="26"/>
        <v>0.18</v>
      </c>
      <c r="H77">
        <v>0.0147</v>
      </c>
      <c r="I77">
        <v>0.014755</v>
      </c>
      <c r="J77">
        <v>0.014809</v>
      </c>
      <c r="K77">
        <v>0.014864</v>
      </c>
      <c r="L77">
        <v>0.014918</v>
      </c>
      <c r="M77">
        <v>0.014973</v>
      </c>
      <c r="N77">
        <v>0.015027</v>
      </c>
      <c r="O77">
        <v>0.015082</v>
      </c>
      <c r="P77">
        <v>0.015136</v>
      </c>
      <c r="Q77">
        <v>0.015191</v>
      </c>
      <c r="R77">
        <v>0.015245</v>
      </c>
      <c r="S77">
        <v>0.0153</v>
      </c>
    </row>
    <row r="78" spans="1:19">
      <c r="A78" t="s">
        <v>60</v>
      </c>
      <c r="B78" t="s">
        <v>35</v>
      </c>
      <c r="C78" t="s">
        <v>1271</v>
      </c>
      <c r="D78" t="s">
        <v>1272</v>
      </c>
      <c r="G78">
        <f t="shared" si="26"/>
        <v>58743996.612</v>
      </c>
      <c r="H78">
        <f t="shared" ref="H78:S78" si="31">H79+H80+H81+H82+H83</f>
        <v>4238658.04998</v>
      </c>
      <c r="I78">
        <f t="shared" si="31"/>
        <v>4129938.050165</v>
      </c>
      <c r="J78">
        <f t="shared" si="31"/>
        <v>4686590.050351</v>
      </c>
      <c r="K78">
        <f t="shared" si="31"/>
        <v>4778510.050536</v>
      </c>
      <c r="L78">
        <f t="shared" si="31"/>
        <v>4896050.050722</v>
      </c>
      <c r="M78">
        <f t="shared" si="31"/>
        <v>5046742.050907</v>
      </c>
      <c r="N78">
        <f t="shared" si="31"/>
        <v>5171814.051093</v>
      </c>
      <c r="O78">
        <f t="shared" si="31"/>
        <v>5087422.051278</v>
      </c>
      <c r="P78">
        <f t="shared" si="31"/>
        <v>4969880.051464</v>
      </c>
      <c r="Q78">
        <f t="shared" si="31"/>
        <v>5209460.051649</v>
      </c>
      <c r="R78">
        <f t="shared" si="31"/>
        <v>5150690.051835</v>
      </c>
      <c r="S78">
        <f t="shared" si="31"/>
        <v>5378242.05202</v>
      </c>
    </row>
    <row r="79" spans="1:19">
      <c r="A79" t="s">
        <v>192</v>
      </c>
      <c r="B79" t="s">
        <v>179</v>
      </c>
      <c r="C79" t="s">
        <v>1273</v>
      </c>
      <c r="D79" t="s">
        <v>1274</v>
      </c>
      <c r="G79">
        <f t="shared" si="26"/>
        <v>0.216</v>
      </c>
      <c r="H79">
        <v>0.01764</v>
      </c>
      <c r="I79">
        <v>0.017705</v>
      </c>
      <c r="J79">
        <v>0.017771</v>
      </c>
      <c r="K79">
        <v>0.017836</v>
      </c>
      <c r="L79">
        <v>0.017902</v>
      </c>
      <c r="M79">
        <v>0.017967</v>
      </c>
      <c r="N79">
        <v>0.018033</v>
      </c>
      <c r="O79">
        <v>0.018098</v>
      </c>
      <c r="P79">
        <v>0.018164</v>
      </c>
      <c r="Q79">
        <v>0.018229</v>
      </c>
      <c r="R79">
        <v>0.018295</v>
      </c>
      <c r="S79">
        <v>0.01836</v>
      </c>
    </row>
    <row r="80" spans="1:19">
      <c r="A80" t="s">
        <v>192</v>
      </c>
      <c r="B80" t="s">
        <v>35</v>
      </c>
      <c r="C80" t="s">
        <v>1275</v>
      </c>
      <c r="D80" t="s">
        <v>1276</v>
      </c>
      <c r="G80">
        <f t="shared" si="26"/>
        <v>29371998</v>
      </c>
      <c r="H80">
        <v>2119329</v>
      </c>
      <c r="I80">
        <v>2064969</v>
      </c>
      <c r="J80">
        <v>2343295</v>
      </c>
      <c r="K80">
        <v>2389255</v>
      </c>
      <c r="L80">
        <v>2448025</v>
      </c>
      <c r="M80">
        <v>2523371</v>
      </c>
      <c r="N80">
        <v>2585907</v>
      </c>
      <c r="O80">
        <v>2543711</v>
      </c>
      <c r="P80">
        <v>2484940</v>
      </c>
      <c r="Q80">
        <v>2604730</v>
      </c>
      <c r="R80">
        <v>2575345</v>
      </c>
      <c r="S80">
        <v>2689121</v>
      </c>
    </row>
    <row r="81" spans="1:19">
      <c r="A81" t="s">
        <v>192</v>
      </c>
      <c r="B81" t="s">
        <v>179</v>
      </c>
      <c r="C81" t="s">
        <v>1277</v>
      </c>
      <c r="D81" t="s">
        <v>1278</v>
      </c>
      <c r="G81">
        <f t="shared" si="26"/>
        <v>0.216</v>
      </c>
      <c r="H81">
        <v>0.01764</v>
      </c>
      <c r="I81">
        <v>0.017705</v>
      </c>
      <c r="J81">
        <v>0.017771</v>
      </c>
      <c r="K81">
        <v>0.017836</v>
      </c>
      <c r="L81">
        <v>0.017902</v>
      </c>
      <c r="M81">
        <v>0.017967</v>
      </c>
      <c r="N81">
        <v>0.018033</v>
      </c>
      <c r="O81">
        <v>0.018098</v>
      </c>
      <c r="P81">
        <v>0.018164</v>
      </c>
      <c r="Q81">
        <v>0.018229</v>
      </c>
      <c r="R81">
        <v>0.018295</v>
      </c>
      <c r="S81">
        <v>0.01836</v>
      </c>
    </row>
    <row r="82" spans="1:19">
      <c r="A82" t="s">
        <v>192</v>
      </c>
      <c r="B82" t="s">
        <v>35</v>
      </c>
      <c r="C82" t="s">
        <v>1279</v>
      </c>
      <c r="D82" t="s">
        <v>1280</v>
      </c>
      <c r="G82">
        <f t="shared" si="26"/>
        <v>29371998</v>
      </c>
      <c r="H82">
        <v>2119329</v>
      </c>
      <c r="I82">
        <v>2064969</v>
      </c>
      <c r="J82">
        <v>2343295</v>
      </c>
      <c r="K82">
        <v>2389255</v>
      </c>
      <c r="L82">
        <v>2448025</v>
      </c>
      <c r="M82">
        <v>2523371</v>
      </c>
      <c r="N82">
        <v>2585907</v>
      </c>
      <c r="O82">
        <v>2543711</v>
      </c>
      <c r="P82">
        <v>2484940</v>
      </c>
      <c r="Q82">
        <v>2604730</v>
      </c>
      <c r="R82">
        <v>2575345</v>
      </c>
      <c r="S82">
        <v>2689121</v>
      </c>
    </row>
    <row r="83" spans="1:19">
      <c r="A83" t="s">
        <v>192</v>
      </c>
      <c r="B83" t="s">
        <v>179</v>
      </c>
      <c r="C83" t="s">
        <v>1281</v>
      </c>
      <c r="D83" t="s">
        <v>1282</v>
      </c>
      <c r="G83">
        <f t="shared" si="26"/>
        <v>0.18</v>
      </c>
      <c r="H83">
        <v>0.0147</v>
      </c>
      <c r="I83">
        <v>0.014755</v>
      </c>
      <c r="J83">
        <v>0.014809</v>
      </c>
      <c r="K83">
        <v>0.014864</v>
      </c>
      <c r="L83">
        <v>0.014918</v>
      </c>
      <c r="M83">
        <v>0.014973</v>
      </c>
      <c r="N83">
        <v>0.015027</v>
      </c>
      <c r="O83">
        <v>0.015082</v>
      </c>
      <c r="P83">
        <v>0.015136</v>
      </c>
      <c r="Q83">
        <v>0.015191</v>
      </c>
      <c r="R83">
        <v>0.015245</v>
      </c>
      <c r="S83">
        <v>0.0153</v>
      </c>
    </row>
    <row r="84" spans="1:19">
      <c r="A84" t="s">
        <v>26</v>
      </c>
      <c r="B84" t="s">
        <v>35</v>
      </c>
      <c r="C84" t="s">
        <v>1283</v>
      </c>
      <c r="D84" t="s">
        <v>1284</v>
      </c>
      <c r="G84">
        <f t="shared" si="26"/>
        <v>587440086.216</v>
      </c>
      <c r="H84">
        <f t="shared" ref="H84:S84" si="32">H85+H86+H87</f>
        <v>42386584.01764</v>
      </c>
      <c r="I84">
        <f t="shared" si="32"/>
        <v>41299384.017705</v>
      </c>
      <c r="J84">
        <f t="shared" si="32"/>
        <v>46865902.017771</v>
      </c>
      <c r="K84">
        <f t="shared" si="32"/>
        <v>47785110.017836</v>
      </c>
      <c r="L84">
        <f t="shared" si="32"/>
        <v>48960520.017902</v>
      </c>
      <c r="M84">
        <f t="shared" si="32"/>
        <v>50467434.017967</v>
      </c>
      <c r="N84">
        <f t="shared" si="32"/>
        <v>51718142.018033</v>
      </c>
      <c r="O84">
        <f t="shared" si="32"/>
        <v>50874230.018098</v>
      </c>
      <c r="P84">
        <f t="shared" si="32"/>
        <v>49698816.018164</v>
      </c>
      <c r="Q84">
        <f t="shared" si="32"/>
        <v>52094618.018229</v>
      </c>
      <c r="R84">
        <f t="shared" si="32"/>
        <v>51506908.018295</v>
      </c>
      <c r="S84">
        <f t="shared" si="32"/>
        <v>53782438.01836</v>
      </c>
    </row>
    <row r="85" spans="1:19">
      <c r="A85" t="s">
        <v>60</v>
      </c>
      <c r="B85" t="s">
        <v>130</v>
      </c>
      <c r="C85" t="s">
        <v>1285</v>
      </c>
      <c r="D85" t="s">
        <v>1286</v>
      </c>
      <c r="G85">
        <f t="shared" si="26"/>
        <v>293720043</v>
      </c>
      <c r="H85">
        <v>21193292</v>
      </c>
      <c r="I85">
        <v>20649692</v>
      </c>
      <c r="J85">
        <v>23432951</v>
      </c>
      <c r="K85">
        <v>23892555</v>
      </c>
      <c r="L85">
        <v>24480260</v>
      </c>
      <c r="M85">
        <v>25233717</v>
      </c>
      <c r="N85">
        <v>25859071</v>
      </c>
      <c r="O85">
        <v>25437115</v>
      </c>
      <c r="P85">
        <v>24849408</v>
      </c>
      <c r="Q85">
        <v>26047309</v>
      </c>
      <c r="R85">
        <v>25753454</v>
      </c>
      <c r="S85">
        <v>26891219</v>
      </c>
    </row>
    <row r="86" spans="1:19">
      <c r="A86" t="s">
        <v>60</v>
      </c>
      <c r="B86" t="s">
        <v>143</v>
      </c>
      <c r="C86" t="s">
        <v>1287</v>
      </c>
      <c r="D86" t="s">
        <v>1288</v>
      </c>
      <c r="G86">
        <f t="shared" si="26"/>
        <v>293720043</v>
      </c>
      <c r="H86">
        <v>21193292</v>
      </c>
      <c r="I86">
        <v>20649692</v>
      </c>
      <c r="J86">
        <v>23432951</v>
      </c>
      <c r="K86">
        <v>23892555</v>
      </c>
      <c r="L86">
        <v>24480260</v>
      </c>
      <c r="M86">
        <v>25233717</v>
      </c>
      <c r="N86">
        <v>25859071</v>
      </c>
      <c r="O86">
        <v>25437115</v>
      </c>
      <c r="P86">
        <v>24849408</v>
      </c>
      <c r="Q86">
        <v>26047309</v>
      </c>
      <c r="R86">
        <v>25753454</v>
      </c>
      <c r="S86">
        <v>26891219</v>
      </c>
    </row>
    <row r="87" spans="1:19">
      <c r="A87" t="s">
        <v>60</v>
      </c>
      <c r="B87" t="s">
        <v>179</v>
      </c>
      <c r="C87" t="s">
        <v>1289</v>
      </c>
      <c r="D87" t="s">
        <v>1290</v>
      </c>
      <c r="G87">
        <f t="shared" si="26"/>
        <v>0.216</v>
      </c>
      <c r="H87">
        <v>0.01764</v>
      </c>
      <c r="I87">
        <v>0.017705</v>
      </c>
      <c r="J87">
        <v>0.017771</v>
      </c>
      <c r="K87">
        <v>0.017836</v>
      </c>
      <c r="L87">
        <v>0.017902</v>
      </c>
      <c r="M87">
        <v>0.017967</v>
      </c>
      <c r="N87">
        <v>0.018033</v>
      </c>
      <c r="O87">
        <v>0.018098</v>
      </c>
      <c r="P87">
        <v>0.018164</v>
      </c>
      <c r="Q87">
        <v>0.018229</v>
      </c>
      <c r="R87">
        <v>0.018295</v>
      </c>
      <c r="S87">
        <v>0.01836</v>
      </c>
    </row>
    <row r="88" spans="1:19">
      <c r="A88" t="s">
        <v>26</v>
      </c>
      <c r="B88" t="s">
        <v>35</v>
      </c>
      <c r="C88" t="s">
        <v>1291</v>
      </c>
      <c r="D88" t="s">
        <v>1292</v>
      </c>
      <c r="G88">
        <f t="shared" si="26"/>
        <v>587440086.216</v>
      </c>
      <c r="H88">
        <f t="shared" ref="H88:S88" si="33">H89+H90+H91</f>
        <v>42386584.01764</v>
      </c>
      <c r="I88">
        <f t="shared" si="33"/>
        <v>41299384.017705</v>
      </c>
      <c r="J88">
        <f t="shared" si="33"/>
        <v>46865902.017771</v>
      </c>
      <c r="K88">
        <f t="shared" si="33"/>
        <v>47785110.017836</v>
      </c>
      <c r="L88">
        <f t="shared" si="33"/>
        <v>48960520.017902</v>
      </c>
      <c r="M88">
        <f t="shared" si="33"/>
        <v>50467434.017967</v>
      </c>
      <c r="N88">
        <f t="shared" si="33"/>
        <v>51718142.018033</v>
      </c>
      <c r="O88">
        <f t="shared" si="33"/>
        <v>50874230.018098</v>
      </c>
      <c r="P88">
        <f t="shared" si="33"/>
        <v>49698816.018164</v>
      </c>
      <c r="Q88">
        <f t="shared" si="33"/>
        <v>52094618.018229</v>
      </c>
      <c r="R88">
        <f t="shared" si="33"/>
        <v>51506908.018295</v>
      </c>
      <c r="S88">
        <f t="shared" si="33"/>
        <v>53782438.01836</v>
      </c>
    </row>
    <row r="89" spans="1:19">
      <c r="A89" t="s">
        <v>60</v>
      </c>
      <c r="B89" t="s">
        <v>130</v>
      </c>
      <c r="C89" t="s">
        <v>1293</v>
      </c>
      <c r="D89" t="s">
        <v>1294</v>
      </c>
      <c r="G89">
        <f t="shared" si="26"/>
        <v>293720043</v>
      </c>
      <c r="H89">
        <v>21193292</v>
      </c>
      <c r="I89">
        <v>20649692</v>
      </c>
      <c r="J89">
        <v>23432951</v>
      </c>
      <c r="K89">
        <v>23892555</v>
      </c>
      <c r="L89">
        <v>24480260</v>
      </c>
      <c r="M89">
        <v>25233717</v>
      </c>
      <c r="N89">
        <v>25859071</v>
      </c>
      <c r="O89">
        <v>25437115</v>
      </c>
      <c r="P89">
        <v>24849408</v>
      </c>
      <c r="Q89">
        <v>26047309</v>
      </c>
      <c r="R89">
        <v>25753454</v>
      </c>
      <c r="S89">
        <v>26891219</v>
      </c>
    </row>
    <row r="90" spans="1:19">
      <c r="A90" t="s">
        <v>60</v>
      </c>
      <c r="B90" t="s">
        <v>143</v>
      </c>
      <c r="C90" t="s">
        <v>1295</v>
      </c>
      <c r="D90" t="s">
        <v>1296</v>
      </c>
      <c r="G90">
        <f t="shared" si="26"/>
        <v>293720043</v>
      </c>
      <c r="H90">
        <v>21193292</v>
      </c>
      <c r="I90">
        <v>20649692</v>
      </c>
      <c r="J90">
        <v>23432951</v>
      </c>
      <c r="K90">
        <v>23892555</v>
      </c>
      <c r="L90">
        <v>24480260</v>
      </c>
      <c r="M90">
        <v>25233717</v>
      </c>
      <c r="N90">
        <v>25859071</v>
      </c>
      <c r="O90">
        <v>25437115</v>
      </c>
      <c r="P90">
        <v>24849408</v>
      </c>
      <c r="Q90">
        <v>26047309</v>
      </c>
      <c r="R90">
        <v>25753454</v>
      </c>
      <c r="S90">
        <v>26891219</v>
      </c>
    </row>
    <row r="91" spans="1:19">
      <c r="A91" t="s">
        <v>60</v>
      </c>
      <c r="B91" t="s">
        <v>179</v>
      </c>
      <c r="C91" t="s">
        <v>1297</v>
      </c>
      <c r="D91" t="s">
        <v>1298</v>
      </c>
      <c r="G91">
        <f t="shared" si="26"/>
        <v>0.216</v>
      </c>
      <c r="H91">
        <v>0.01764</v>
      </c>
      <c r="I91">
        <v>0.017705</v>
      </c>
      <c r="J91">
        <v>0.017771</v>
      </c>
      <c r="K91">
        <v>0.017836</v>
      </c>
      <c r="L91">
        <v>0.017902</v>
      </c>
      <c r="M91">
        <v>0.017967</v>
      </c>
      <c r="N91">
        <v>0.018033</v>
      </c>
      <c r="O91">
        <v>0.018098</v>
      </c>
      <c r="P91">
        <v>0.018164</v>
      </c>
      <c r="Q91">
        <v>0.018229</v>
      </c>
      <c r="R91">
        <v>0.018295</v>
      </c>
      <c r="S91">
        <v>0.01836</v>
      </c>
    </row>
    <row r="92" spans="1:19">
      <c r="A92" t="s">
        <v>23</v>
      </c>
      <c r="B92" t="s">
        <v>35</v>
      </c>
      <c r="C92" t="s">
        <v>1299</v>
      </c>
      <c r="D92" t="s">
        <v>299</v>
      </c>
      <c r="G92">
        <f t="shared" si="26"/>
        <v>0.216</v>
      </c>
      <c r="H92">
        <f t="shared" ref="H92:S92" si="34">H93</f>
        <v>0.01764</v>
      </c>
      <c r="I92">
        <f t="shared" si="34"/>
        <v>0.017705</v>
      </c>
      <c r="J92">
        <f t="shared" si="34"/>
        <v>0.017771</v>
      </c>
      <c r="K92">
        <f t="shared" si="34"/>
        <v>0.017836</v>
      </c>
      <c r="L92">
        <f t="shared" si="34"/>
        <v>0.017902</v>
      </c>
      <c r="M92">
        <f t="shared" si="34"/>
        <v>0.017967</v>
      </c>
      <c r="N92">
        <f t="shared" si="34"/>
        <v>0.018033</v>
      </c>
      <c r="O92">
        <f t="shared" si="34"/>
        <v>0.018098</v>
      </c>
      <c r="P92">
        <f t="shared" si="34"/>
        <v>0.018164</v>
      </c>
      <c r="Q92">
        <f t="shared" si="34"/>
        <v>0.018229</v>
      </c>
      <c r="R92">
        <f t="shared" si="34"/>
        <v>0.018295</v>
      </c>
      <c r="S92">
        <f t="shared" si="34"/>
        <v>0.01836</v>
      </c>
    </row>
    <row r="93" spans="1:19">
      <c r="A93" t="s">
        <v>26</v>
      </c>
      <c r="B93" t="s">
        <v>35</v>
      </c>
      <c r="C93" t="s">
        <v>1300</v>
      </c>
      <c r="D93" t="s">
        <v>301</v>
      </c>
      <c r="G93">
        <f t="shared" si="26"/>
        <v>0.216</v>
      </c>
      <c r="H93">
        <f t="shared" ref="H93:S93" si="35">H94</f>
        <v>0.01764</v>
      </c>
      <c r="I93">
        <f t="shared" si="35"/>
        <v>0.017705</v>
      </c>
      <c r="J93">
        <f t="shared" si="35"/>
        <v>0.017771</v>
      </c>
      <c r="K93">
        <f t="shared" si="35"/>
        <v>0.017836</v>
      </c>
      <c r="L93">
        <f t="shared" si="35"/>
        <v>0.017902</v>
      </c>
      <c r="M93">
        <f t="shared" si="35"/>
        <v>0.017967</v>
      </c>
      <c r="N93">
        <f t="shared" si="35"/>
        <v>0.018033</v>
      </c>
      <c r="O93">
        <f t="shared" si="35"/>
        <v>0.018098</v>
      </c>
      <c r="P93">
        <f t="shared" si="35"/>
        <v>0.018164</v>
      </c>
      <c r="Q93">
        <f t="shared" si="35"/>
        <v>0.018229</v>
      </c>
      <c r="R93">
        <f t="shared" si="35"/>
        <v>0.018295</v>
      </c>
      <c r="S93">
        <f t="shared" si="35"/>
        <v>0.01836</v>
      </c>
    </row>
    <row r="94" spans="1:19">
      <c r="A94" t="s">
        <v>60</v>
      </c>
      <c r="B94" t="s">
        <v>179</v>
      </c>
      <c r="C94" t="s">
        <v>1301</v>
      </c>
      <c r="D94" t="s">
        <v>303</v>
      </c>
      <c r="G94">
        <f t="shared" si="26"/>
        <v>0.216</v>
      </c>
      <c r="H94">
        <v>0.01764</v>
      </c>
      <c r="I94">
        <v>0.017705</v>
      </c>
      <c r="J94">
        <v>0.017771</v>
      </c>
      <c r="K94">
        <v>0.017836</v>
      </c>
      <c r="L94">
        <v>0.017902</v>
      </c>
      <c r="M94">
        <v>0.017967</v>
      </c>
      <c r="N94">
        <v>0.018033</v>
      </c>
      <c r="O94">
        <v>0.018098</v>
      </c>
      <c r="P94">
        <v>0.018164</v>
      </c>
      <c r="Q94">
        <v>0.018229</v>
      </c>
      <c r="R94">
        <v>0.018295</v>
      </c>
      <c r="S94">
        <v>0.01836</v>
      </c>
    </row>
    <row r="95" spans="1:19">
      <c r="A95" t="s">
        <v>19</v>
      </c>
      <c r="B95" t="s">
        <v>20</v>
      </c>
      <c r="C95" t="s">
        <v>1302</v>
      </c>
      <c r="D95" t="s">
        <v>309</v>
      </c>
      <c r="G95">
        <f t="shared" si="26"/>
        <v>3.3</v>
      </c>
      <c r="H95">
        <f t="shared" ref="H95:S95" si="36">H96+H109+H112</f>
        <v>0.2695</v>
      </c>
      <c r="I95">
        <f t="shared" si="36"/>
        <v>0.270501</v>
      </c>
      <c r="J95">
        <f t="shared" si="36"/>
        <v>0.271502</v>
      </c>
      <c r="K95">
        <f t="shared" si="36"/>
        <v>0.272503</v>
      </c>
      <c r="L95">
        <f t="shared" si="36"/>
        <v>0.273504</v>
      </c>
      <c r="M95">
        <f t="shared" si="36"/>
        <v>0.274505</v>
      </c>
      <c r="N95">
        <f t="shared" si="36"/>
        <v>0.275495</v>
      </c>
      <c r="O95">
        <f t="shared" si="36"/>
        <v>0.276496</v>
      </c>
      <c r="P95">
        <f t="shared" si="36"/>
        <v>0.277497</v>
      </c>
      <c r="Q95">
        <f t="shared" si="36"/>
        <v>0.278498</v>
      </c>
      <c r="R95">
        <f t="shared" si="36"/>
        <v>0.279499</v>
      </c>
      <c r="S95">
        <f t="shared" si="36"/>
        <v>0.2805</v>
      </c>
    </row>
    <row r="96" spans="1:19">
      <c r="A96" t="s">
        <v>23</v>
      </c>
      <c r="B96" t="s">
        <v>20</v>
      </c>
      <c r="C96" t="s">
        <v>1303</v>
      </c>
      <c r="D96" t="s">
        <v>311</v>
      </c>
      <c r="G96">
        <f t="shared" si="26"/>
        <v>2.4</v>
      </c>
      <c r="H96">
        <f t="shared" ref="H96:S96" si="37">H97+H105+H107</f>
        <v>0.196</v>
      </c>
      <c r="I96">
        <f t="shared" si="37"/>
        <v>0.196728</v>
      </c>
      <c r="J96">
        <f t="shared" si="37"/>
        <v>0.197456</v>
      </c>
      <c r="K96">
        <f t="shared" si="37"/>
        <v>0.198184</v>
      </c>
      <c r="L96">
        <f t="shared" si="37"/>
        <v>0.198912</v>
      </c>
      <c r="M96">
        <f t="shared" si="37"/>
        <v>0.19964</v>
      </c>
      <c r="N96">
        <f t="shared" si="37"/>
        <v>0.20036</v>
      </c>
      <c r="O96">
        <f t="shared" si="37"/>
        <v>0.201088</v>
      </c>
      <c r="P96">
        <f t="shared" si="37"/>
        <v>0.201816</v>
      </c>
      <c r="Q96">
        <f t="shared" si="37"/>
        <v>0.202544</v>
      </c>
      <c r="R96">
        <f t="shared" si="37"/>
        <v>0.203272</v>
      </c>
      <c r="S96">
        <f t="shared" si="37"/>
        <v>0.204</v>
      </c>
    </row>
    <row r="97" spans="1:19">
      <c r="A97" t="s">
        <v>26</v>
      </c>
      <c r="B97" t="s">
        <v>20</v>
      </c>
      <c r="C97" t="s">
        <v>1304</v>
      </c>
      <c r="D97" t="s">
        <v>1305</v>
      </c>
      <c r="G97">
        <f t="shared" si="26"/>
        <v>1.8</v>
      </c>
      <c r="H97">
        <f t="shared" ref="H97:S97" si="38">H34+H98+H99+H100</f>
        <v>0.147</v>
      </c>
      <c r="I97">
        <f t="shared" si="38"/>
        <v>0.147546</v>
      </c>
      <c r="J97">
        <f t="shared" si="38"/>
        <v>0.148092</v>
      </c>
      <c r="K97">
        <f t="shared" si="38"/>
        <v>0.148638</v>
      </c>
      <c r="L97">
        <f t="shared" si="38"/>
        <v>0.149184</v>
      </c>
      <c r="M97">
        <f t="shared" si="38"/>
        <v>0.14973</v>
      </c>
      <c r="N97">
        <f t="shared" si="38"/>
        <v>0.15027</v>
      </c>
      <c r="O97">
        <f t="shared" si="38"/>
        <v>0.150816</v>
      </c>
      <c r="P97">
        <f t="shared" si="38"/>
        <v>0.151362</v>
      </c>
      <c r="Q97">
        <f t="shared" si="38"/>
        <v>0.151908</v>
      </c>
      <c r="R97">
        <f t="shared" si="38"/>
        <v>0.152454</v>
      </c>
      <c r="S97">
        <f t="shared" si="38"/>
        <v>0.153</v>
      </c>
    </row>
    <row r="98" spans="1:19">
      <c r="A98" t="s">
        <v>60</v>
      </c>
      <c r="B98" t="s">
        <v>179</v>
      </c>
      <c r="C98" t="s">
        <v>1306</v>
      </c>
      <c r="D98" t="s">
        <v>1307</v>
      </c>
      <c r="G98">
        <f t="shared" si="26"/>
        <v>0.3</v>
      </c>
      <c r="H98">
        <v>0.0245</v>
      </c>
      <c r="I98">
        <v>0.024591</v>
      </c>
      <c r="J98">
        <v>0.024682</v>
      </c>
      <c r="K98">
        <v>0.024773</v>
      </c>
      <c r="L98">
        <v>0.024864</v>
      </c>
      <c r="M98">
        <v>0.024955</v>
      </c>
      <c r="N98">
        <v>0.025045</v>
      </c>
      <c r="O98">
        <v>0.025136</v>
      </c>
      <c r="P98">
        <v>0.025227</v>
      </c>
      <c r="Q98">
        <v>0.025318</v>
      </c>
      <c r="R98">
        <v>0.025409</v>
      </c>
      <c r="S98">
        <v>0.0255</v>
      </c>
    </row>
    <row r="99" spans="1:19">
      <c r="A99" t="s">
        <v>60</v>
      </c>
      <c r="B99" t="s">
        <v>179</v>
      </c>
      <c r="C99" t="s">
        <v>1308</v>
      </c>
      <c r="D99" t="s">
        <v>1309</v>
      </c>
      <c r="G99">
        <f t="shared" si="26"/>
        <v>0.3</v>
      </c>
      <c r="H99">
        <v>0.0245</v>
      </c>
      <c r="I99">
        <v>0.024591</v>
      </c>
      <c r="J99">
        <v>0.024682</v>
      </c>
      <c r="K99">
        <v>0.024773</v>
      </c>
      <c r="L99">
        <v>0.024864</v>
      </c>
      <c r="M99">
        <v>0.024955</v>
      </c>
      <c r="N99">
        <v>0.025045</v>
      </c>
      <c r="O99">
        <v>0.025136</v>
      </c>
      <c r="P99">
        <v>0.025227</v>
      </c>
      <c r="Q99">
        <v>0.025318</v>
      </c>
      <c r="R99">
        <v>0.025409</v>
      </c>
      <c r="S99">
        <v>0.0255</v>
      </c>
    </row>
    <row r="100" spans="1:19">
      <c r="A100" t="s">
        <v>60</v>
      </c>
      <c r="B100" t="s">
        <v>20</v>
      </c>
      <c r="C100" t="s">
        <v>1310</v>
      </c>
      <c r="D100" t="s">
        <v>1311</v>
      </c>
      <c r="G100">
        <f t="shared" si="26"/>
        <v>0.6</v>
      </c>
      <c r="H100">
        <f t="shared" ref="H100:S100" si="39">H101+H102</f>
        <v>0.049</v>
      </c>
      <c r="I100">
        <f t="shared" si="39"/>
        <v>0.049182</v>
      </c>
      <c r="J100">
        <f t="shared" si="39"/>
        <v>0.049364</v>
      </c>
      <c r="K100">
        <f t="shared" si="39"/>
        <v>0.049546</v>
      </c>
      <c r="L100">
        <f t="shared" si="39"/>
        <v>0.049728</v>
      </c>
      <c r="M100">
        <f t="shared" si="39"/>
        <v>0.04991</v>
      </c>
      <c r="N100">
        <f t="shared" si="39"/>
        <v>0.05009</v>
      </c>
      <c r="O100">
        <f t="shared" si="39"/>
        <v>0.050272</v>
      </c>
      <c r="P100">
        <f t="shared" si="39"/>
        <v>0.050454</v>
      </c>
      <c r="Q100">
        <f t="shared" si="39"/>
        <v>0.050636</v>
      </c>
      <c r="R100">
        <f t="shared" si="39"/>
        <v>0.050818</v>
      </c>
      <c r="S100">
        <f t="shared" si="39"/>
        <v>0.051</v>
      </c>
    </row>
    <row r="101" spans="1:19">
      <c r="A101" t="s">
        <v>192</v>
      </c>
      <c r="B101" t="s">
        <v>179</v>
      </c>
      <c r="C101" t="s">
        <v>1312</v>
      </c>
      <c r="D101" t="s">
        <v>1313</v>
      </c>
      <c r="G101">
        <f t="shared" si="26"/>
        <v>0.3</v>
      </c>
      <c r="H101">
        <v>0.0245</v>
      </c>
      <c r="I101">
        <v>0.024591</v>
      </c>
      <c r="J101">
        <v>0.024682</v>
      </c>
      <c r="K101">
        <v>0.024773</v>
      </c>
      <c r="L101">
        <v>0.024864</v>
      </c>
      <c r="M101">
        <v>0.024955</v>
      </c>
      <c r="N101">
        <v>0.025045</v>
      </c>
      <c r="O101">
        <v>0.025136</v>
      </c>
      <c r="P101">
        <v>0.025227</v>
      </c>
      <c r="Q101">
        <v>0.025318</v>
      </c>
      <c r="R101">
        <v>0.025409</v>
      </c>
      <c r="S101">
        <v>0.0255</v>
      </c>
    </row>
    <row r="102" spans="1:19">
      <c r="A102" t="s">
        <v>192</v>
      </c>
      <c r="B102" t="s">
        <v>179</v>
      </c>
      <c r="C102" t="s">
        <v>1314</v>
      </c>
      <c r="D102" t="s">
        <v>1315</v>
      </c>
      <c r="G102">
        <f t="shared" si="26"/>
        <v>0.3</v>
      </c>
      <c r="H102">
        <v>0.0245</v>
      </c>
      <c r="I102">
        <v>0.024591</v>
      </c>
      <c r="J102">
        <v>0.024682</v>
      </c>
      <c r="K102">
        <v>0.024773</v>
      </c>
      <c r="L102">
        <v>0.024864</v>
      </c>
      <c r="M102">
        <v>0.024955</v>
      </c>
      <c r="N102">
        <v>0.025045</v>
      </c>
      <c r="O102">
        <v>0.025136</v>
      </c>
      <c r="P102">
        <v>0.025227</v>
      </c>
      <c r="Q102">
        <v>0.025318</v>
      </c>
      <c r="R102">
        <v>0.025409</v>
      </c>
      <c r="S102">
        <v>0.0255</v>
      </c>
    </row>
    <row r="103" spans="1:19">
      <c r="A103" t="s">
        <v>192</v>
      </c>
      <c r="B103" t="s">
        <v>179</v>
      </c>
      <c r="C103" t="s">
        <v>1316</v>
      </c>
      <c r="D103" t="s">
        <v>1317</v>
      </c>
      <c r="G103">
        <f t="shared" si="26"/>
        <v>0.3</v>
      </c>
      <c r="H103">
        <v>0.0245</v>
      </c>
      <c r="I103">
        <v>0.024591</v>
      </c>
      <c r="J103">
        <v>0.024682</v>
      </c>
      <c r="K103">
        <v>0.024773</v>
      </c>
      <c r="L103">
        <v>0.024864</v>
      </c>
      <c r="M103">
        <v>0.024955</v>
      </c>
      <c r="N103">
        <v>0.025045</v>
      </c>
      <c r="O103">
        <v>0.025136</v>
      </c>
      <c r="P103">
        <v>0.025227</v>
      </c>
      <c r="Q103">
        <v>0.025318</v>
      </c>
      <c r="R103">
        <v>0.025409</v>
      </c>
      <c r="S103">
        <v>0.0255</v>
      </c>
    </row>
    <row r="104" spans="1:19">
      <c r="A104" t="s">
        <v>192</v>
      </c>
      <c r="B104" t="s">
        <v>179</v>
      </c>
      <c r="C104" t="s">
        <v>1318</v>
      </c>
      <c r="D104" t="s">
        <v>1319</v>
      </c>
      <c r="G104">
        <f t="shared" si="26"/>
        <v>0.3</v>
      </c>
      <c r="H104">
        <v>0.0245</v>
      </c>
      <c r="I104">
        <v>0.024591</v>
      </c>
      <c r="J104">
        <v>0.024682</v>
      </c>
      <c r="K104">
        <v>0.024773</v>
      </c>
      <c r="L104">
        <v>0.024864</v>
      </c>
      <c r="M104">
        <v>0.024955</v>
      </c>
      <c r="N104">
        <v>0.025045</v>
      </c>
      <c r="O104">
        <v>0.025136</v>
      </c>
      <c r="P104">
        <v>0.025227</v>
      </c>
      <c r="Q104">
        <v>0.025318</v>
      </c>
      <c r="R104">
        <v>0.025409</v>
      </c>
      <c r="S104">
        <v>0.0255</v>
      </c>
    </row>
    <row r="105" spans="1:19">
      <c r="A105" t="s">
        <v>26</v>
      </c>
      <c r="B105" t="s">
        <v>20</v>
      </c>
      <c r="C105" t="s">
        <v>1320</v>
      </c>
      <c r="D105" t="s">
        <v>1321</v>
      </c>
      <c r="G105">
        <f t="shared" si="26"/>
        <v>0.3</v>
      </c>
      <c r="H105">
        <f t="shared" ref="H105:S105" si="40">H106</f>
        <v>0.0245</v>
      </c>
      <c r="I105">
        <f t="shared" si="40"/>
        <v>0.024591</v>
      </c>
      <c r="J105">
        <f t="shared" si="40"/>
        <v>0.024682</v>
      </c>
      <c r="K105">
        <f t="shared" si="40"/>
        <v>0.024773</v>
      </c>
      <c r="L105">
        <f t="shared" si="40"/>
        <v>0.024864</v>
      </c>
      <c r="M105">
        <f t="shared" si="40"/>
        <v>0.024955</v>
      </c>
      <c r="N105">
        <f t="shared" si="40"/>
        <v>0.025045</v>
      </c>
      <c r="O105">
        <f t="shared" si="40"/>
        <v>0.025136</v>
      </c>
      <c r="P105">
        <f t="shared" si="40"/>
        <v>0.025227</v>
      </c>
      <c r="Q105">
        <f t="shared" si="40"/>
        <v>0.025318</v>
      </c>
      <c r="R105">
        <f t="shared" si="40"/>
        <v>0.025409</v>
      </c>
      <c r="S105">
        <f t="shared" si="40"/>
        <v>0.0255</v>
      </c>
    </row>
    <row r="106" spans="1:19">
      <c r="A106" t="s">
        <v>60</v>
      </c>
      <c r="B106" t="s">
        <v>179</v>
      </c>
      <c r="C106" t="s">
        <v>1322</v>
      </c>
      <c r="D106" t="s">
        <v>1323</v>
      </c>
      <c r="G106">
        <f t="shared" si="26"/>
        <v>0.3</v>
      </c>
      <c r="H106">
        <v>0.0245</v>
      </c>
      <c r="I106">
        <v>0.024591</v>
      </c>
      <c r="J106">
        <v>0.024682</v>
      </c>
      <c r="K106">
        <v>0.024773</v>
      </c>
      <c r="L106">
        <v>0.024864</v>
      </c>
      <c r="M106">
        <v>0.024955</v>
      </c>
      <c r="N106">
        <v>0.025045</v>
      </c>
      <c r="O106">
        <v>0.025136</v>
      </c>
      <c r="P106">
        <v>0.025227</v>
      </c>
      <c r="Q106">
        <v>0.025318</v>
      </c>
      <c r="R106">
        <v>0.025409</v>
      </c>
      <c r="S106">
        <v>0.0255</v>
      </c>
    </row>
    <row r="107" spans="1:19">
      <c r="A107" t="s">
        <v>26</v>
      </c>
      <c r="B107" t="s">
        <v>20</v>
      </c>
      <c r="C107" t="s">
        <v>1324</v>
      </c>
      <c r="D107" t="s">
        <v>1325</v>
      </c>
      <c r="G107">
        <f t="shared" si="26"/>
        <v>0.3</v>
      </c>
      <c r="H107">
        <f t="shared" ref="H107:S107" si="41">H108</f>
        <v>0.0245</v>
      </c>
      <c r="I107">
        <f t="shared" si="41"/>
        <v>0.024591</v>
      </c>
      <c r="J107">
        <f t="shared" si="41"/>
        <v>0.024682</v>
      </c>
      <c r="K107">
        <f t="shared" si="41"/>
        <v>0.024773</v>
      </c>
      <c r="L107">
        <f t="shared" si="41"/>
        <v>0.024864</v>
      </c>
      <c r="M107">
        <f t="shared" si="41"/>
        <v>0.024955</v>
      </c>
      <c r="N107">
        <f t="shared" si="41"/>
        <v>0.025045</v>
      </c>
      <c r="O107">
        <f t="shared" si="41"/>
        <v>0.025136</v>
      </c>
      <c r="P107">
        <f t="shared" si="41"/>
        <v>0.025227</v>
      </c>
      <c r="Q107">
        <f t="shared" si="41"/>
        <v>0.025318</v>
      </c>
      <c r="R107">
        <f t="shared" si="41"/>
        <v>0.025409</v>
      </c>
      <c r="S107">
        <f t="shared" si="41"/>
        <v>0.0255</v>
      </c>
    </row>
    <row r="108" spans="1:19">
      <c r="A108" t="s">
        <v>60</v>
      </c>
      <c r="B108" t="s">
        <v>179</v>
      </c>
      <c r="C108" t="s">
        <v>1326</v>
      </c>
      <c r="D108" t="s">
        <v>1327</v>
      </c>
      <c r="G108">
        <f t="shared" si="26"/>
        <v>0.3</v>
      </c>
      <c r="H108">
        <v>0.0245</v>
      </c>
      <c r="I108">
        <v>0.024591</v>
      </c>
      <c r="J108">
        <v>0.024682</v>
      </c>
      <c r="K108">
        <v>0.024773</v>
      </c>
      <c r="L108">
        <v>0.024864</v>
      </c>
      <c r="M108">
        <v>0.024955</v>
      </c>
      <c r="N108">
        <v>0.025045</v>
      </c>
      <c r="O108">
        <v>0.025136</v>
      </c>
      <c r="P108">
        <v>0.025227</v>
      </c>
      <c r="Q108">
        <v>0.025318</v>
      </c>
      <c r="R108">
        <v>0.025409</v>
      </c>
      <c r="S108">
        <v>0.0255</v>
      </c>
    </row>
    <row r="109" spans="1:19">
      <c r="A109" t="s">
        <v>23</v>
      </c>
      <c r="B109" t="s">
        <v>20</v>
      </c>
      <c r="C109" t="s">
        <v>1328</v>
      </c>
      <c r="D109" t="s">
        <v>323</v>
      </c>
      <c r="G109">
        <f t="shared" si="26"/>
        <v>0.3</v>
      </c>
      <c r="H109">
        <f t="shared" ref="H109:S109" si="42">H110</f>
        <v>0.0245</v>
      </c>
      <c r="I109">
        <f t="shared" si="42"/>
        <v>0.024591</v>
      </c>
      <c r="J109">
        <f t="shared" si="42"/>
        <v>0.024682</v>
      </c>
      <c r="K109">
        <f t="shared" si="42"/>
        <v>0.024773</v>
      </c>
      <c r="L109">
        <f t="shared" si="42"/>
        <v>0.024864</v>
      </c>
      <c r="M109">
        <f t="shared" si="42"/>
        <v>0.024955</v>
      </c>
      <c r="N109">
        <f t="shared" si="42"/>
        <v>0.025045</v>
      </c>
      <c r="O109">
        <f t="shared" si="42"/>
        <v>0.025136</v>
      </c>
      <c r="P109">
        <f t="shared" si="42"/>
        <v>0.025227</v>
      </c>
      <c r="Q109">
        <f t="shared" si="42"/>
        <v>0.025318</v>
      </c>
      <c r="R109">
        <f t="shared" si="42"/>
        <v>0.025409</v>
      </c>
      <c r="S109">
        <f t="shared" si="42"/>
        <v>0.0255</v>
      </c>
    </row>
    <row r="110" spans="1:19">
      <c r="A110" t="s">
        <v>26</v>
      </c>
      <c r="B110" t="s">
        <v>20</v>
      </c>
      <c r="C110" t="s">
        <v>1329</v>
      </c>
      <c r="D110" t="s">
        <v>325</v>
      </c>
      <c r="G110">
        <f t="shared" si="26"/>
        <v>0.3</v>
      </c>
      <c r="H110">
        <f t="shared" ref="H110:S110" si="43">H111</f>
        <v>0.0245</v>
      </c>
      <c r="I110">
        <f t="shared" si="43"/>
        <v>0.024591</v>
      </c>
      <c r="J110">
        <f t="shared" si="43"/>
        <v>0.024682</v>
      </c>
      <c r="K110">
        <f t="shared" si="43"/>
        <v>0.024773</v>
      </c>
      <c r="L110">
        <f t="shared" si="43"/>
        <v>0.024864</v>
      </c>
      <c r="M110">
        <f t="shared" si="43"/>
        <v>0.024955</v>
      </c>
      <c r="N110">
        <f t="shared" si="43"/>
        <v>0.025045</v>
      </c>
      <c r="O110">
        <f t="shared" si="43"/>
        <v>0.025136</v>
      </c>
      <c r="P110">
        <f t="shared" si="43"/>
        <v>0.025227</v>
      </c>
      <c r="Q110">
        <f t="shared" si="43"/>
        <v>0.025318</v>
      </c>
      <c r="R110">
        <f t="shared" si="43"/>
        <v>0.025409</v>
      </c>
      <c r="S110">
        <f t="shared" si="43"/>
        <v>0.0255</v>
      </c>
    </row>
    <row r="111" spans="1:19">
      <c r="A111" t="s">
        <v>60</v>
      </c>
      <c r="B111" t="s">
        <v>179</v>
      </c>
      <c r="C111" t="s">
        <v>1330</v>
      </c>
      <c r="D111" t="s">
        <v>327</v>
      </c>
      <c r="G111">
        <f t="shared" si="26"/>
        <v>0.3</v>
      </c>
      <c r="H111">
        <v>0.0245</v>
      </c>
      <c r="I111">
        <v>0.024591</v>
      </c>
      <c r="J111">
        <v>0.024682</v>
      </c>
      <c r="K111">
        <v>0.024773</v>
      </c>
      <c r="L111">
        <v>0.024864</v>
      </c>
      <c r="M111">
        <v>0.024955</v>
      </c>
      <c r="N111">
        <v>0.025045</v>
      </c>
      <c r="O111">
        <v>0.025136</v>
      </c>
      <c r="P111">
        <v>0.025227</v>
      </c>
      <c r="Q111">
        <v>0.025318</v>
      </c>
      <c r="R111">
        <v>0.025409</v>
      </c>
      <c r="S111">
        <v>0.0255</v>
      </c>
    </row>
    <row r="112" spans="1:19">
      <c r="A112" t="s">
        <v>23</v>
      </c>
      <c r="B112" t="s">
        <v>20</v>
      </c>
      <c r="C112" t="s">
        <v>1331</v>
      </c>
      <c r="D112" t="s">
        <v>333</v>
      </c>
      <c r="G112">
        <f t="shared" si="26"/>
        <v>0.6</v>
      </c>
      <c r="H112">
        <f t="shared" ref="H112:S112" si="44">H113+H115</f>
        <v>0.049</v>
      </c>
      <c r="I112">
        <f t="shared" si="44"/>
        <v>0.049182</v>
      </c>
      <c r="J112">
        <f t="shared" si="44"/>
        <v>0.049364</v>
      </c>
      <c r="K112">
        <f t="shared" si="44"/>
        <v>0.049546</v>
      </c>
      <c r="L112">
        <f t="shared" si="44"/>
        <v>0.049728</v>
      </c>
      <c r="M112">
        <f t="shared" si="44"/>
        <v>0.04991</v>
      </c>
      <c r="N112">
        <f t="shared" si="44"/>
        <v>0.05009</v>
      </c>
      <c r="O112">
        <f t="shared" si="44"/>
        <v>0.050272</v>
      </c>
      <c r="P112">
        <f t="shared" si="44"/>
        <v>0.050454</v>
      </c>
      <c r="Q112">
        <f t="shared" si="44"/>
        <v>0.050636</v>
      </c>
      <c r="R112">
        <f t="shared" si="44"/>
        <v>0.050818</v>
      </c>
      <c r="S112">
        <f t="shared" si="44"/>
        <v>0.051</v>
      </c>
    </row>
    <row r="113" spans="1:19">
      <c r="A113" t="s">
        <v>26</v>
      </c>
      <c r="B113" t="s">
        <v>20</v>
      </c>
      <c r="C113" t="s">
        <v>1332</v>
      </c>
      <c r="D113" t="s">
        <v>1333</v>
      </c>
      <c r="G113">
        <f t="shared" si="26"/>
        <v>0.3</v>
      </c>
      <c r="H113">
        <f t="shared" ref="H113:S113" si="45">H114</f>
        <v>0.0245</v>
      </c>
      <c r="I113">
        <f t="shared" si="45"/>
        <v>0.024591</v>
      </c>
      <c r="J113">
        <f t="shared" si="45"/>
        <v>0.024682</v>
      </c>
      <c r="K113">
        <f t="shared" si="45"/>
        <v>0.024773</v>
      </c>
      <c r="L113">
        <f t="shared" si="45"/>
        <v>0.024864</v>
      </c>
      <c r="M113">
        <f t="shared" si="45"/>
        <v>0.024955</v>
      </c>
      <c r="N113">
        <f t="shared" si="45"/>
        <v>0.025045</v>
      </c>
      <c r="O113">
        <f t="shared" si="45"/>
        <v>0.025136</v>
      </c>
      <c r="P113">
        <f t="shared" si="45"/>
        <v>0.025227</v>
      </c>
      <c r="Q113">
        <f t="shared" si="45"/>
        <v>0.025318</v>
      </c>
      <c r="R113">
        <f t="shared" si="45"/>
        <v>0.025409</v>
      </c>
      <c r="S113">
        <f t="shared" si="45"/>
        <v>0.0255</v>
      </c>
    </row>
    <row r="114" spans="1:19">
      <c r="A114" t="s">
        <v>60</v>
      </c>
      <c r="B114" t="s">
        <v>179</v>
      </c>
      <c r="C114" t="s">
        <v>1334</v>
      </c>
      <c r="D114" t="s">
        <v>1335</v>
      </c>
      <c r="G114">
        <f t="shared" si="26"/>
        <v>0.3</v>
      </c>
      <c r="H114">
        <v>0.0245</v>
      </c>
      <c r="I114">
        <v>0.024591</v>
      </c>
      <c r="J114">
        <v>0.024682</v>
      </c>
      <c r="K114">
        <v>0.024773</v>
      </c>
      <c r="L114">
        <v>0.024864</v>
      </c>
      <c r="M114">
        <v>0.024955</v>
      </c>
      <c r="N114">
        <v>0.025045</v>
      </c>
      <c r="O114">
        <v>0.025136</v>
      </c>
      <c r="P114">
        <v>0.025227</v>
      </c>
      <c r="Q114">
        <v>0.025318</v>
      </c>
      <c r="R114">
        <v>0.025409</v>
      </c>
      <c r="S114">
        <v>0.0255</v>
      </c>
    </row>
    <row r="115" spans="1:19">
      <c r="A115" t="s">
        <v>26</v>
      </c>
      <c r="B115" t="s">
        <v>20</v>
      </c>
      <c r="C115" t="s">
        <v>1336</v>
      </c>
      <c r="D115" t="s">
        <v>1337</v>
      </c>
      <c r="G115">
        <f t="shared" si="26"/>
        <v>0.3</v>
      </c>
      <c r="H115">
        <v>0.0245</v>
      </c>
      <c r="I115">
        <v>0.024591</v>
      </c>
      <c r="J115">
        <v>0.024682</v>
      </c>
      <c r="K115">
        <v>0.024773</v>
      </c>
      <c r="L115">
        <v>0.024864</v>
      </c>
      <c r="M115">
        <v>0.024955</v>
      </c>
      <c r="N115">
        <v>0.025045</v>
      </c>
      <c r="O115">
        <v>0.025136</v>
      </c>
      <c r="P115">
        <v>0.025227</v>
      </c>
      <c r="Q115">
        <v>0.025318</v>
      </c>
      <c r="R115">
        <v>0.025409</v>
      </c>
      <c r="S115">
        <v>0.0255</v>
      </c>
    </row>
    <row r="116" spans="1:19">
      <c r="A116" t="s">
        <v>19</v>
      </c>
      <c r="B116" t="s">
        <v>20</v>
      </c>
      <c r="C116" t="s">
        <v>1338</v>
      </c>
      <c r="D116" t="s">
        <v>337</v>
      </c>
      <c r="G116">
        <f t="shared" si="26"/>
        <v>236100000.42</v>
      </c>
      <c r="H116">
        <f t="shared" ref="H116:S116" si="46">H117+H119</f>
        <v>0.0343</v>
      </c>
      <c r="I116">
        <f t="shared" si="46"/>
        <v>0.034427</v>
      </c>
      <c r="J116">
        <f t="shared" si="46"/>
        <v>0.034555</v>
      </c>
      <c r="K116">
        <f t="shared" si="46"/>
        <v>24000000.034682</v>
      </c>
      <c r="L116">
        <f t="shared" si="46"/>
        <v>24600000.034809</v>
      </c>
      <c r="M116">
        <f t="shared" si="46"/>
        <v>25500000.034936</v>
      </c>
      <c r="N116">
        <f t="shared" si="46"/>
        <v>26400000.035064</v>
      </c>
      <c r="O116">
        <f t="shared" si="46"/>
        <v>26100000.035191</v>
      </c>
      <c r="P116">
        <f t="shared" si="46"/>
        <v>25500000.035318</v>
      </c>
      <c r="Q116">
        <f t="shared" si="46"/>
        <v>27900000.035445</v>
      </c>
      <c r="R116">
        <f t="shared" si="46"/>
        <v>27600000.035573</v>
      </c>
      <c r="S116">
        <f t="shared" si="46"/>
        <v>28500000.0357</v>
      </c>
    </row>
    <row r="117" spans="1:19">
      <c r="A117" t="s">
        <v>23</v>
      </c>
      <c r="B117" t="s">
        <v>20</v>
      </c>
      <c r="C117" t="s">
        <v>1339</v>
      </c>
      <c r="D117" t="s">
        <v>1340</v>
      </c>
      <c r="G117">
        <f t="shared" si="26"/>
        <v>0.42</v>
      </c>
      <c r="H117">
        <f t="shared" ref="H117:S117" si="47">H118</f>
        <v>0.0343</v>
      </c>
      <c r="I117">
        <f t="shared" si="47"/>
        <v>0.034427</v>
      </c>
      <c r="J117">
        <f t="shared" si="47"/>
        <v>0.034555</v>
      </c>
      <c r="K117">
        <f t="shared" si="47"/>
        <v>0.034682</v>
      </c>
      <c r="L117">
        <f t="shared" si="47"/>
        <v>0.034809</v>
      </c>
      <c r="M117">
        <f t="shared" si="47"/>
        <v>0.034936</v>
      </c>
      <c r="N117">
        <f t="shared" si="47"/>
        <v>0.035064</v>
      </c>
      <c r="O117">
        <f t="shared" si="47"/>
        <v>0.035191</v>
      </c>
      <c r="P117">
        <f t="shared" si="47"/>
        <v>0.035318</v>
      </c>
      <c r="Q117">
        <f t="shared" si="47"/>
        <v>0.035445</v>
      </c>
      <c r="R117">
        <f t="shared" si="47"/>
        <v>0.035573</v>
      </c>
      <c r="S117">
        <f t="shared" si="47"/>
        <v>0.0357</v>
      </c>
    </row>
    <row r="118" spans="1:19">
      <c r="A118" t="s">
        <v>26</v>
      </c>
      <c r="B118" t="s">
        <v>179</v>
      </c>
      <c r="C118" t="s">
        <v>1341</v>
      </c>
      <c r="D118" t="s">
        <v>1342</v>
      </c>
      <c r="G118">
        <f t="shared" si="26"/>
        <v>0.42</v>
      </c>
      <c r="H118">
        <v>0.0343</v>
      </c>
      <c r="I118">
        <v>0.034427</v>
      </c>
      <c r="J118">
        <v>0.034555</v>
      </c>
      <c r="K118">
        <v>0.034682</v>
      </c>
      <c r="L118">
        <v>0.034809</v>
      </c>
      <c r="M118">
        <v>0.034936</v>
      </c>
      <c r="N118">
        <v>0.035064</v>
      </c>
      <c r="O118">
        <v>0.035191</v>
      </c>
      <c r="P118">
        <v>0.035318</v>
      </c>
      <c r="Q118">
        <v>0.035445</v>
      </c>
      <c r="R118">
        <v>0.035573</v>
      </c>
      <c r="S118">
        <v>0.0357</v>
      </c>
    </row>
    <row r="119" spans="1:19">
      <c r="A119" t="s">
        <v>23</v>
      </c>
      <c r="B119" t="s">
        <v>20</v>
      </c>
      <c r="C119" t="s">
        <v>1343</v>
      </c>
      <c r="D119" t="s">
        <v>179</v>
      </c>
      <c r="G119">
        <f t="shared" si="26"/>
        <v>236100000</v>
      </c>
      <c r="K119">
        <v>24000000</v>
      </c>
      <c r="L119">
        <v>24600000</v>
      </c>
      <c r="M119">
        <v>25500000</v>
      </c>
      <c r="N119">
        <v>26400000</v>
      </c>
      <c r="O119">
        <v>26100000</v>
      </c>
      <c r="P119">
        <v>25500000</v>
      </c>
      <c r="Q119">
        <v>27900000</v>
      </c>
      <c r="R119">
        <v>27600000</v>
      </c>
      <c r="S119">
        <v>28500000</v>
      </c>
    </row>
    <row r="120" spans="1:19">
      <c r="A120" t="s">
        <v>19</v>
      </c>
      <c r="B120" t="s">
        <v>35</v>
      </c>
      <c r="C120" t="s">
        <v>1344</v>
      </c>
      <c r="D120" t="s">
        <v>365</v>
      </c>
      <c r="G120">
        <f t="shared" si="26"/>
        <v>29403485808.18</v>
      </c>
      <c r="H120">
        <f t="shared" ref="H120:S120" si="48">H121+H123+H124</f>
        <v>2119329313.0147</v>
      </c>
      <c r="I120">
        <f t="shared" si="48"/>
        <v>2064969335.01476</v>
      </c>
      <c r="J120">
        <f t="shared" si="48"/>
        <v>2343295172.01481</v>
      </c>
      <c r="K120">
        <f t="shared" si="48"/>
        <v>2392455621.01486</v>
      </c>
      <c r="L120">
        <f t="shared" si="48"/>
        <v>2451306151.01492</v>
      </c>
      <c r="M120">
        <f t="shared" si="48"/>
        <v>2526771871.01497</v>
      </c>
      <c r="N120">
        <f t="shared" si="48"/>
        <v>2589427249.01503</v>
      </c>
      <c r="O120">
        <f t="shared" si="48"/>
        <v>2547191646.01508</v>
      </c>
      <c r="P120">
        <f t="shared" si="48"/>
        <v>2488340901.01514</v>
      </c>
      <c r="Q120">
        <f t="shared" si="48"/>
        <v>2608451019.01519</v>
      </c>
      <c r="R120">
        <f t="shared" si="48"/>
        <v>2579025527.01524</v>
      </c>
      <c r="S120">
        <f t="shared" si="48"/>
        <v>2692922003.0153</v>
      </c>
    </row>
    <row r="121" spans="1:19">
      <c r="A121" t="s">
        <v>23</v>
      </c>
      <c r="B121" t="s">
        <v>35</v>
      </c>
      <c r="C121" t="s">
        <v>1345</v>
      </c>
      <c r="D121" t="s">
        <v>1346</v>
      </c>
      <c r="G121">
        <f t="shared" si="26"/>
        <v>0.18</v>
      </c>
      <c r="H121">
        <f t="shared" ref="H121:S121" si="49">H122</f>
        <v>0.0147</v>
      </c>
      <c r="I121">
        <f t="shared" si="49"/>
        <v>0.014755</v>
      </c>
      <c r="J121">
        <f t="shared" si="49"/>
        <v>0.014809</v>
      </c>
      <c r="K121">
        <f t="shared" si="49"/>
        <v>0.014864</v>
      </c>
      <c r="L121">
        <f t="shared" si="49"/>
        <v>0.014918</v>
      </c>
      <c r="M121">
        <f t="shared" si="49"/>
        <v>0.014973</v>
      </c>
      <c r="N121">
        <f t="shared" si="49"/>
        <v>0.015027</v>
      </c>
      <c r="O121">
        <f t="shared" si="49"/>
        <v>0.015082</v>
      </c>
      <c r="P121">
        <f t="shared" si="49"/>
        <v>0.015136</v>
      </c>
      <c r="Q121">
        <f t="shared" si="49"/>
        <v>0.015191</v>
      </c>
      <c r="R121">
        <f t="shared" si="49"/>
        <v>0.015245</v>
      </c>
      <c r="S121">
        <f t="shared" si="49"/>
        <v>0.0153</v>
      </c>
    </row>
    <row r="122" spans="1:19">
      <c r="A122" t="s">
        <v>26</v>
      </c>
      <c r="B122" t="s">
        <v>179</v>
      </c>
      <c r="C122" t="s">
        <v>1347</v>
      </c>
      <c r="D122" t="s">
        <v>1348</v>
      </c>
      <c r="G122">
        <f t="shared" si="26"/>
        <v>0.18</v>
      </c>
      <c r="H122">
        <v>0.0147</v>
      </c>
      <c r="I122">
        <v>0.014755</v>
      </c>
      <c r="J122">
        <v>0.014809</v>
      </c>
      <c r="K122">
        <v>0.014864</v>
      </c>
      <c r="L122">
        <v>0.014918</v>
      </c>
      <c r="M122">
        <v>0.014973</v>
      </c>
      <c r="N122">
        <v>0.015027</v>
      </c>
      <c r="O122">
        <v>0.015082</v>
      </c>
      <c r="P122">
        <v>0.015136</v>
      </c>
      <c r="Q122">
        <v>0.015191</v>
      </c>
      <c r="R122">
        <v>0.015245</v>
      </c>
      <c r="S122">
        <v>0.0153</v>
      </c>
    </row>
    <row r="123" spans="1:19">
      <c r="A123" t="s">
        <v>23</v>
      </c>
      <c r="B123" t="s">
        <v>35</v>
      </c>
      <c r="C123" t="s">
        <v>1349</v>
      </c>
      <c r="D123" t="s">
        <v>1350</v>
      </c>
      <c r="G123">
        <f t="shared" si="26"/>
        <v>29372005808</v>
      </c>
      <c r="H123">
        <v>2119329313</v>
      </c>
      <c r="I123">
        <v>2064969335</v>
      </c>
      <c r="J123">
        <v>2343295172</v>
      </c>
      <c r="K123">
        <v>2389255621</v>
      </c>
      <c r="L123">
        <v>2448026151</v>
      </c>
      <c r="M123">
        <v>2523371871</v>
      </c>
      <c r="N123">
        <v>2585907249</v>
      </c>
      <c r="O123">
        <v>2543711646</v>
      </c>
      <c r="P123">
        <v>2484940901</v>
      </c>
      <c r="Q123">
        <v>2604731019</v>
      </c>
      <c r="R123">
        <v>2575345527</v>
      </c>
      <c r="S123">
        <v>2689122003</v>
      </c>
    </row>
    <row r="124" spans="1:19">
      <c r="A124" t="s">
        <v>23</v>
      </c>
      <c r="B124" t="s">
        <v>35</v>
      </c>
      <c r="C124" t="s">
        <v>1351</v>
      </c>
      <c r="D124" t="s">
        <v>179</v>
      </c>
      <c r="G124">
        <f t="shared" si="26"/>
        <v>31480000</v>
      </c>
      <c r="K124">
        <v>3200000</v>
      </c>
      <c r="L124">
        <v>3280000</v>
      </c>
      <c r="M124">
        <v>3400000</v>
      </c>
      <c r="N124">
        <v>3520000</v>
      </c>
      <c r="O124">
        <v>3480000</v>
      </c>
      <c r="P124">
        <v>3400000</v>
      </c>
      <c r="Q124">
        <v>3720000</v>
      </c>
      <c r="R124">
        <v>3680000</v>
      </c>
      <c r="S124">
        <v>3800000</v>
      </c>
    </row>
    <row r="125" spans="1:19">
      <c r="A125" t="s">
        <v>19</v>
      </c>
      <c r="B125" t="s">
        <v>20</v>
      </c>
      <c r="C125" t="s">
        <v>1352</v>
      </c>
      <c r="D125" t="s">
        <v>386</v>
      </c>
      <c r="G125">
        <f t="shared" si="26"/>
        <v>29372005808</v>
      </c>
      <c r="H125">
        <v>2119329313</v>
      </c>
      <c r="I125">
        <v>2064969335</v>
      </c>
      <c r="J125">
        <v>2343295172</v>
      </c>
      <c r="K125">
        <v>2389255621</v>
      </c>
      <c r="L125">
        <v>2448026151</v>
      </c>
      <c r="M125">
        <v>2523371871</v>
      </c>
      <c r="N125">
        <v>2585907249</v>
      </c>
      <c r="O125">
        <v>2543711646</v>
      </c>
      <c r="P125">
        <v>2484940901</v>
      </c>
      <c r="Q125">
        <v>2604731019</v>
      </c>
      <c r="R125">
        <v>2575345527</v>
      </c>
      <c r="S125">
        <v>2689122003</v>
      </c>
    </row>
    <row r="126" spans="1:19">
      <c r="A126" t="s">
        <v>19</v>
      </c>
      <c r="B126" t="s">
        <v>20</v>
      </c>
      <c r="C126" t="s">
        <v>1353</v>
      </c>
      <c r="D126" t="s">
        <v>392</v>
      </c>
      <c r="G126">
        <f t="shared" si="26"/>
        <v>29372005808</v>
      </c>
      <c r="H126">
        <v>2119329313</v>
      </c>
      <c r="I126">
        <v>2064969335</v>
      </c>
      <c r="J126">
        <v>2343295172</v>
      </c>
      <c r="K126">
        <v>2389255621</v>
      </c>
      <c r="L126">
        <v>2448026151</v>
      </c>
      <c r="M126">
        <v>2523371871</v>
      </c>
      <c r="N126">
        <v>2585907249</v>
      </c>
      <c r="O126">
        <v>2543711646</v>
      </c>
      <c r="P126">
        <v>2484940901</v>
      </c>
      <c r="Q126">
        <v>2604731019</v>
      </c>
      <c r="R126">
        <v>2575345527</v>
      </c>
      <c r="S126">
        <v>2689122003</v>
      </c>
    </row>
    <row r="127" spans="1:19">
      <c r="A127" t="s">
        <v>19</v>
      </c>
      <c r="B127" t="s">
        <v>179</v>
      </c>
      <c r="C127" t="s">
        <v>1354</v>
      </c>
      <c r="D127" t="s">
        <v>1355</v>
      </c>
      <c r="G127">
        <f t="shared" si="26"/>
        <v>35246406960.22</v>
      </c>
      <c r="H127">
        <f t="shared" ref="H127:S127" si="50">H128+H129+H130+H131+H134+H135+H136+H137+H138</f>
        <v>2543195175.6713</v>
      </c>
      <c r="I127">
        <f t="shared" si="50"/>
        <v>2477963201.67379</v>
      </c>
      <c r="J127">
        <f t="shared" si="50"/>
        <v>2811954206.67628</v>
      </c>
      <c r="K127">
        <f t="shared" si="50"/>
        <v>2867106743.67877</v>
      </c>
      <c r="L127">
        <f t="shared" si="50"/>
        <v>2937631379.68126</v>
      </c>
      <c r="M127">
        <f t="shared" si="50"/>
        <v>3028046243.68375</v>
      </c>
      <c r="N127">
        <f t="shared" si="50"/>
        <v>3103088697.68625</v>
      </c>
      <c r="O127">
        <f t="shared" si="50"/>
        <v>3052453974.68874</v>
      </c>
      <c r="P127">
        <f t="shared" si="50"/>
        <v>2981929079.69123</v>
      </c>
      <c r="Q127">
        <f t="shared" si="50"/>
        <v>3125677221.69372</v>
      </c>
      <c r="R127">
        <f t="shared" si="50"/>
        <v>3090414631.69621</v>
      </c>
      <c r="S127">
        <f t="shared" si="50"/>
        <v>3226946403.6987</v>
      </c>
    </row>
    <row r="128" spans="1:19">
      <c r="A128" t="s">
        <v>23</v>
      </c>
      <c r="B128" t="s">
        <v>179</v>
      </c>
      <c r="C128" t="s">
        <v>1356</v>
      </c>
      <c r="D128" t="s">
        <v>996</v>
      </c>
      <c r="G128">
        <f t="shared" si="26"/>
        <v>0.42</v>
      </c>
      <c r="H128">
        <v>0.0343</v>
      </c>
      <c r="I128">
        <v>0.034427</v>
      </c>
      <c r="J128">
        <v>0.034555</v>
      </c>
      <c r="K128">
        <v>0.034682</v>
      </c>
      <c r="L128">
        <v>0.034809</v>
      </c>
      <c r="M128">
        <v>0.034936</v>
      </c>
      <c r="N128">
        <v>0.035064</v>
      </c>
      <c r="O128">
        <v>0.035191</v>
      </c>
      <c r="P128">
        <v>0.035318</v>
      </c>
      <c r="Q128">
        <v>0.035445</v>
      </c>
      <c r="R128">
        <v>0.035573</v>
      </c>
      <c r="S128">
        <v>0.0357</v>
      </c>
    </row>
    <row r="129" spans="1:19">
      <c r="A129" t="s">
        <v>23</v>
      </c>
      <c r="B129" t="s">
        <v>179</v>
      </c>
      <c r="C129" t="s">
        <v>1357</v>
      </c>
      <c r="D129" t="s">
        <v>1358</v>
      </c>
      <c r="G129">
        <f t="shared" si="26"/>
        <v>29372005808</v>
      </c>
      <c r="H129">
        <v>2119329313</v>
      </c>
      <c r="I129">
        <v>2064969335</v>
      </c>
      <c r="J129">
        <v>2343295172</v>
      </c>
      <c r="K129">
        <v>2389255621</v>
      </c>
      <c r="L129">
        <v>2448026151</v>
      </c>
      <c r="M129">
        <v>2523371871</v>
      </c>
      <c r="N129">
        <v>2585907249</v>
      </c>
      <c r="O129">
        <v>2543711646</v>
      </c>
      <c r="P129">
        <v>2484940901</v>
      </c>
      <c r="Q129">
        <v>2604731019</v>
      </c>
      <c r="R129">
        <v>2575345527</v>
      </c>
      <c r="S129">
        <v>2689122003</v>
      </c>
    </row>
    <row r="130" spans="1:19">
      <c r="A130" t="s">
        <v>23</v>
      </c>
      <c r="B130" t="s">
        <v>179</v>
      </c>
      <c r="C130" t="s">
        <v>1359</v>
      </c>
      <c r="D130" t="s">
        <v>1360</v>
      </c>
      <c r="G130">
        <f t="shared" ref="G130:G193" si="51">H130+I130+J130+K130+L130+M130+N130+O130+P130+Q130+R130+S130</f>
        <v>0.36</v>
      </c>
      <c r="H130">
        <v>0.0294</v>
      </c>
      <c r="I130">
        <v>0.029509</v>
      </c>
      <c r="J130">
        <v>0.029618</v>
      </c>
      <c r="K130">
        <v>0.029727</v>
      </c>
      <c r="L130">
        <v>0.029836</v>
      </c>
      <c r="M130">
        <v>0.029945</v>
      </c>
      <c r="N130">
        <v>0.030055</v>
      </c>
      <c r="O130">
        <v>0.030164</v>
      </c>
      <c r="P130">
        <v>0.030273</v>
      </c>
      <c r="Q130">
        <v>0.030382</v>
      </c>
      <c r="R130">
        <v>0.030491</v>
      </c>
      <c r="S130">
        <v>0.0306</v>
      </c>
    </row>
    <row r="131" spans="1:19">
      <c r="A131" t="s">
        <v>23</v>
      </c>
      <c r="B131" t="s">
        <v>179</v>
      </c>
      <c r="C131" t="s">
        <v>1361</v>
      </c>
      <c r="D131" t="s">
        <v>1362</v>
      </c>
      <c r="G131">
        <f t="shared" si="51"/>
        <v>5874401144</v>
      </c>
      <c r="H131">
        <f t="shared" ref="H131:S131" si="52">H132+H133</f>
        <v>423865862</v>
      </c>
      <c r="I131">
        <f t="shared" si="52"/>
        <v>412993866</v>
      </c>
      <c r="J131">
        <f t="shared" si="52"/>
        <v>468659034</v>
      </c>
      <c r="K131">
        <f t="shared" si="52"/>
        <v>477851122</v>
      </c>
      <c r="L131">
        <f t="shared" si="52"/>
        <v>489605228</v>
      </c>
      <c r="M131">
        <f t="shared" si="52"/>
        <v>504674372</v>
      </c>
      <c r="N131">
        <f t="shared" si="52"/>
        <v>517181448</v>
      </c>
      <c r="O131">
        <f t="shared" si="52"/>
        <v>508742328</v>
      </c>
      <c r="P131">
        <f t="shared" si="52"/>
        <v>496988178</v>
      </c>
      <c r="Q131">
        <f t="shared" si="52"/>
        <v>520946202</v>
      </c>
      <c r="R131">
        <f t="shared" si="52"/>
        <v>515069104</v>
      </c>
      <c r="S131">
        <f t="shared" si="52"/>
        <v>537824400</v>
      </c>
    </row>
    <row r="132" spans="1:19">
      <c r="A132" t="s">
        <v>26</v>
      </c>
      <c r="B132" t="s">
        <v>20</v>
      </c>
      <c r="C132" t="s">
        <v>1363</v>
      </c>
      <c r="D132" t="s">
        <v>1364</v>
      </c>
      <c r="G132">
        <f t="shared" si="51"/>
        <v>2937200572</v>
      </c>
      <c r="H132">
        <v>211932931</v>
      </c>
      <c r="I132">
        <v>206496933</v>
      </c>
      <c r="J132">
        <v>234329517</v>
      </c>
      <c r="K132">
        <v>238925561</v>
      </c>
      <c r="L132">
        <v>244802614</v>
      </c>
      <c r="M132">
        <v>252337186</v>
      </c>
      <c r="N132">
        <v>258590724</v>
      </c>
      <c r="O132">
        <v>254371164</v>
      </c>
      <c r="P132">
        <v>248494089</v>
      </c>
      <c r="Q132">
        <v>260473101</v>
      </c>
      <c r="R132">
        <v>257534552</v>
      </c>
      <c r="S132">
        <v>268912200</v>
      </c>
    </row>
    <row r="133" spans="1:19">
      <c r="A133" t="s">
        <v>26</v>
      </c>
      <c r="B133" t="s">
        <v>113</v>
      </c>
      <c r="C133" t="s">
        <v>1365</v>
      </c>
      <c r="D133" t="s">
        <v>1366</v>
      </c>
      <c r="G133">
        <f t="shared" si="51"/>
        <v>2937200572</v>
      </c>
      <c r="H133">
        <v>211932931</v>
      </c>
      <c r="I133">
        <v>206496933</v>
      </c>
      <c r="J133">
        <v>234329517</v>
      </c>
      <c r="K133">
        <v>238925561</v>
      </c>
      <c r="L133">
        <v>244802614</v>
      </c>
      <c r="M133">
        <v>252337186</v>
      </c>
      <c r="N133">
        <v>258590724</v>
      </c>
      <c r="O133">
        <v>254371164</v>
      </c>
      <c r="P133">
        <v>248494089</v>
      </c>
      <c r="Q133">
        <v>260473101</v>
      </c>
      <c r="R133">
        <v>257534552</v>
      </c>
      <c r="S133">
        <v>268912200</v>
      </c>
    </row>
    <row r="134" spans="1:19">
      <c r="A134" t="s">
        <v>23</v>
      </c>
      <c r="B134" t="s">
        <v>179</v>
      </c>
      <c r="C134" t="s">
        <v>1367</v>
      </c>
      <c r="D134" t="s">
        <v>1368</v>
      </c>
      <c r="G134">
        <f t="shared" si="51"/>
        <v>6</v>
      </c>
      <c r="H134">
        <v>0.49</v>
      </c>
      <c r="I134">
        <v>0.491818</v>
      </c>
      <c r="J134">
        <v>0.493636</v>
      </c>
      <c r="K134">
        <v>0.495455</v>
      </c>
      <c r="L134">
        <v>0.497273</v>
      </c>
      <c r="M134">
        <v>0.499091</v>
      </c>
      <c r="N134">
        <v>0.500909</v>
      </c>
      <c r="O134">
        <v>0.502727</v>
      </c>
      <c r="P134">
        <v>0.504545</v>
      </c>
      <c r="Q134">
        <v>0.506364</v>
      </c>
      <c r="R134">
        <v>0.508182</v>
      </c>
      <c r="S134">
        <v>0.51</v>
      </c>
    </row>
    <row r="135" spans="1:19">
      <c r="A135" t="s">
        <v>23</v>
      </c>
      <c r="B135" t="s">
        <v>179</v>
      </c>
      <c r="C135" t="s">
        <v>1369</v>
      </c>
      <c r="D135" t="s">
        <v>1370</v>
      </c>
      <c r="G135">
        <f t="shared" si="51"/>
        <v>0.36</v>
      </c>
      <c r="H135">
        <v>0.0294</v>
      </c>
      <c r="I135">
        <v>0.029509</v>
      </c>
      <c r="J135">
        <v>0.029618</v>
      </c>
      <c r="K135">
        <v>0.029727</v>
      </c>
      <c r="L135">
        <v>0.029836</v>
      </c>
      <c r="M135">
        <v>0.029945</v>
      </c>
      <c r="N135">
        <v>0.030055</v>
      </c>
      <c r="O135">
        <v>0.030164</v>
      </c>
      <c r="P135">
        <v>0.030273</v>
      </c>
      <c r="Q135">
        <v>0.030382</v>
      </c>
      <c r="R135">
        <v>0.030491</v>
      </c>
      <c r="S135">
        <v>0.0306</v>
      </c>
    </row>
    <row r="136" spans="1:19">
      <c r="A136" t="s">
        <v>23</v>
      </c>
      <c r="B136" t="s">
        <v>179</v>
      </c>
      <c r="C136" t="s">
        <v>1371</v>
      </c>
      <c r="D136" t="s">
        <v>1372</v>
      </c>
      <c r="G136">
        <f t="shared" si="51"/>
        <v>0.36</v>
      </c>
      <c r="H136">
        <v>0.0294</v>
      </c>
      <c r="I136">
        <v>0.029509</v>
      </c>
      <c r="J136">
        <v>0.029618</v>
      </c>
      <c r="K136">
        <v>0.029727</v>
      </c>
      <c r="L136">
        <v>0.029836</v>
      </c>
      <c r="M136">
        <v>0.029945</v>
      </c>
      <c r="N136">
        <v>0.030055</v>
      </c>
      <c r="O136">
        <v>0.030164</v>
      </c>
      <c r="P136">
        <v>0.030273</v>
      </c>
      <c r="Q136">
        <v>0.030382</v>
      </c>
      <c r="R136">
        <v>0.030491</v>
      </c>
      <c r="S136">
        <v>0.0306</v>
      </c>
    </row>
    <row r="137" spans="1:19">
      <c r="A137" t="s">
        <v>23</v>
      </c>
      <c r="B137" t="s">
        <v>179</v>
      </c>
      <c r="C137" t="s">
        <v>1373</v>
      </c>
      <c r="D137" t="s">
        <v>1374</v>
      </c>
      <c r="G137">
        <f t="shared" si="51"/>
        <v>0.36</v>
      </c>
      <c r="H137">
        <v>0.0294</v>
      </c>
      <c r="I137">
        <v>0.029509</v>
      </c>
      <c r="J137">
        <v>0.029618</v>
      </c>
      <c r="K137">
        <v>0.029727</v>
      </c>
      <c r="L137">
        <v>0.029836</v>
      </c>
      <c r="M137">
        <v>0.029945</v>
      </c>
      <c r="N137">
        <v>0.030055</v>
      </c>
      <c r="O137">
        <v>0.030164</v>
      </c>
      <c r="P137">
        <v>0.030273</v>
      </c>
      <c r="Q137">
        <v>0.030382</v>
      </c>
      <c r="R137">
        <v>0.030491</v>
      </c>
      <c r="S137">
        <v>0.0306</v>
      </c>
    </row>
    <row r="138" spans="1:19">
      <c r="A138" t="s">
        <v>23</v>
      </c>
      <c r="B138" t="s">
        <v>179</v>
      </c>
      <c r="C138" t="s">
        <v>1375</v>
      </c>
      <c r="D138" t="s">
        <v>1376</v>
      </c>
      <c r="G138">
        <f t="shared" si="51"/>
        <v>0.36</v>
      </c>
      <c r="H138">
        <v>0.0294</v>
      </c>
      <c r="I138">
        <v>0.029509</v>
      </c>
      <c r="J138">
        <v>0.029618</v>
      </c>
      <c r="K138">
        <v>0.029727</v>
      </c>
      <c r="L138">
        <v>0.029836</v>
      </c>
      <c r="M138">
        <v>0.029945</v>
      </c>
      <c r="N138">
        <v>0.030055</v>
      </c>
      <c r="O138">
        <v>0.030164</v>
      </c>
      <c r="P138">
        <v>0.030273</v>
      </c>
      <c r="Q138">
        <v>0.030382</v>
      </c>
      <c r="R138">
        <v>0.030491</v>
      </c>
      <c r="S138">
        <v>0.0306</v>
      </c>
    </row>
    <row r="139" spans="1:19">
      <c r="A139" t="s">
        <v>19</v>
      </c>
      <c r="B139" t="s">
        <v>393</v>
      </c>
      <c r="C139" t="s">
        <v>1377</v>
      </c>
      <c r="D139" t="s">
        <v>395</v>
      </c>
      <c r="G139">
        <f t="shared" si="51"/>
        <v>15978370882</v>
      </c>
      <c r="H139">
        <f t="shared" ref="H139:S139" si="53">H140+H156</f>
        <v>1152915128</v>
      </c>
      <c r="I139">
        <f t="shared" si="53"/>
        <v>1123343296</v>
      </c>
      <c r="J139">
        <f t="shared" si="53"/>
        <v>1274752562</v>
      </c>
      <c r="K139">
        <f t="shared" si="53"/>
        <v>1299755034</v>
      </c>
      <c r="L139">
        <f t="shared" si="53"/>
        <v>1331726196</v>
      </c>
      <c r="M139">
        <f t="shared" si="53"/>
        <v>1372714266</v>
      </c>
      <c r="N139">
        <f t="shared" si="53"/>
        <v>1406733518</v>
      </c>
      <c r="O139">
        <f t="shared" si="53"/>
        <v>1383779110</v>
      </c>
      <c r="P139">
        <f t="shared" si="53"/>
        <v>1351807828</v>
      </c>
      <c r="Q139">
        <f t="shared" si="53"/>
        <v>1416973650</v>
      </c>
      <c r="R139">
        <f t="shared" si="53"/>
        <v>1400987944</v>
      </c>
      <c r="S139">
        <f t="shared" si="53"/>
        <v>1462882350</v>
      </c>
    </row>
    <row r="140" spans="1:19">
      <c r="A140" t="s">
        <v>23</v>
      </c>
      <c r="B140" t="s">
        <v>393</v>
      </c>
      <c r="C140" t="s">
        <v>1378</v>
      </c>
      <c r="D140" t="s">
        <v>397</v>
      </c>
      <c r="G140">
        <f t="shared" si="51"/>
        <v>7989185441</v>
      </c>
      <c r="H140">
        <f t="shared" ref="H140:S140" si="54">H141+H144+H147+H154+H155</f>
        <v>576457564</v>
      </c>
      <c r="I140">
        <f t="shared" si="54"/>
        <v>561671648</v>
      </c>
      <c r="J140">
        <f t="shared" si="54"/>
        <v>637376281</v>
      </c>
      <c r="K140">
        <f t="shared" si="54"/>
        <v>649877517</v>
      </c>
      <c r="L140">
        <f t="shared" si="54"/>
        <v>665863098</v>
      </c>
      <c r="M140">
        <f t="shared" si="54"/>
        <v>686357133</v>
      </c>
      <c r="N140">
        <f t="shared" si="54"/>
        <v>703366759</v>
      </c>
      <c r="O140">
        <f t="shared" si="54"/>
        <v>691889555</v>
      </c>
      <c r="P140">
        <f t="shared" si="54"/>
        <v>675903914</v>
      </c>
      <c r="Q140">
        <f t="shared" si="54"/>
        <v>708486825</v>
      </c>
      <c r="R140">
        <f t="shared" si="54"/>
        <v>700493972</v>
      </c>
      <c r="S140">
        <f t="shared" si="54"/>
        <v>731441175</v>
      </c>
    </row>
    <row r="141" spans="1:19">
      <c r="A141" t="s">
        <v>26</v>
      </c>
      <c r="B141" t="s">
        <v>393</v>
      </c>
      <c r="C141" t="s">
        <v>1379</v>
      </c>
      <c r="D141" t="s">
        <v>399</v>
      </c>
      <c r="G141">
        <f t="shared" si="51"/>
        <v>587440086</v>
      </c>
      <c r="H141">
        <f t="shared" ref="H141:S141" si="55">H142+H143</f>
        <v>42386584</v>
      </c>
      <c r="I141">
        <f t="shared" si="55"/>
        <v>41299384</v>
      </c>
      <c r="J141">
        <f t="shared" si="55"/>
        <v>46865902</v>
      </c>
      <c r="K141">
        <f t="shared" si="55"/>
        <v>47785110</v>
      </c>
      <c r="L141">
        <f t="shared" si="55"/>
        <v>48960520</v>
      </c>
      <c r="M141">
        <f t="shared" si="55"/>
        <v>50467434</v>
      </c>
      <c r="N141">
        <f t="shared" si="55"/>
        <v>51718142</v>
      </c>
      <c r="O141">
        <f t="shared" si="55"/>
        <v>50874230</v>
      </c>
      <c r="P141">
        <f t="shared" si="55"/>
        <v>49698816</v>
      </c>
      <c r="Q141">
        <f t="shared" si="55"/>
        <v>52094618</v>
      </c>
      <c r="R141">
        <f t="shared" si="55"/>
        <v>51506908</v>
      </c>
      <c r="S141">
        <f t="shared" si="55"/>
        <v>53782438</v>
      </c>
    </row>
    <row r="142" spans="1:19">
      <c r="A142" t="s">
        <v>60</v>
      </c>
      <c r="B142" t="s">
        <v>393</v>
      </c>
      <c r="C142" t="s">
        <v>1380</v>
      </c>
      <c r="D142" t="s">
        <v>401</v>
      </c>
      <c r="G142">
        <f t="shared" si="51"/>
        <v>293720043</v>
      </c>
      <c r="H142">
        <v>21193292</v>
      </c>
      <c r="I142">
        <v>20649692</v>
      </c>
      <c r="J142">
        <v>23432951</v>
      </c>
      <c r="K142">
        <v>23892555</v>
      </c>
      <c r="L142">
        <v>24480260</v>
      </c>
      <c r="M142">
        <v>25233717</v>
      </c>
      <c r="N142">
        <v>25859071</v>
      </c>
      <c r="O142">
        <v>25437115</v>
      </c>
      <c r="P142">
        <v>24849408</v>
      </c>
      <c r="Q142">
        <v>26047309</v>
      </c>
      <c r="R142">
        <v>25753454</v>
      </c>
      <c r="S142">
        <v>26891219</v>
      </c>
    </row>
    <row r="143" spans="1:19">
      <c r="A143" t="s">
        <v>60</v>
      </c>
      <c r="B143" t="s">
        <v>393</v>
      </c>
      <c r="C143" t="s">
        <v>1381</v>
      </c>
      <c r="D143" t="s">
        <v>49</v>
      </c>
      <c r="G143">
        <f t="shared" si="51"/>
        <v>293720043</v>
      </c>
      <c r="H143">
        <v>21193292</v>
      </c>
      <c r="I143">
        <v>20649692</v>
      </c>
      <c r="J143">
        <v>23432951</v>
      </c>
      <c r="K143">
        <v>23892555</v>
      </c>
      <c r="L143">
        <v>24480260</v>
      </c>
      <c r="M143">
        <v>25233717</v>
      </c>
      <c r="N143">
        <v>25859071</v>
      </c>
      <c r="O143">
        <v>25437115</v>
      </c>
      <c r="P143">
        <v>24849408</v>
      </c>
      <c r="Q143">
        <v>26047309</v>
      </c>
      <c r="R143">
        <v>25753454</v>
      </c>
      <c r="S143">
        <v>26891219</v>
      </c>
    </row>
    <row r="144" spans="1:19">
      <c r="A144" t="s">
        <v>26</v>
      </c>
      <c r="B144" t="s">
        <v>393</v>
      </c>
      <c r="C144" t="s">
        <v>1382</v>
      </c>
      <c r="D144" t="s">
        <v>51</v>
      </c>
      <c r="G144">
        <f t="shared" si="51"/>
        <v>587440086</v>
      </c>
      <c r="H144">
        <f t="shared" ref="H144:S144" si="56">H145+H146</f>
        <v>42386584</v>
      </c>
      <c r="I144">
        <f t="shared" si="56"/>
        <v>41299384</v>
      </c>
      <c r="J144">
        <f t="shared" si="56"/>
        <v>46865902</v>
      </c>
      <c r="K144">
        <f t="shared" si="56"/>
        <v>47785110</v>
      </c>
      <c r="L144">
        <f t="shared" si="56"/>
        <v>48960520</v>
      </c>
      <c r="M144">
        <f t="shared" si="56"/>
        <v>50467434</v>
      </c>
      <c r="N144">
        <f t="shared" si="56"/>
        <v>51718142</v>
      </c>
      <c r="O144">
        <f t="shared" si="56"/>
        <v>50874230</v>
      </c>
      <c r="P144">
        <f t="shared" si="56"/>
        <v>49698816</v>
      </c>
      <c r="Q144">
        <f t="shared" si="56"/>
        <v>52094618</v>
      </c>
      <c r="R144">
        <f t="shared" si="56"/>
        <v>51506908</v>
      </c>
      <c r="S144">
        <f t="shared" si="56"/>
        <v>53782438</v>
      </c>
    </row>
    <row r="145" spans="1:19">
      <c r="A145" t="s">
        <v>60</v>
      </c>
      <c r="B145" t="s">
        <v>393</v>
      </c>
      <c r="C145" t="s">
        <v>1383</v>
      </c>
      <c r="D145" t="s">
        <v>405</v>
      </c>
      <c r="G145">
        <f t="shared" si="51"/>
        <v>293720043</v>
      </c>
      <c r="H145">
        <v>21193292</v>
      </c>
      <c r="I145">
        <v>20649692</v>
      </c>
      <c r="J145">
        <v>23432951</v>
      </c>
      <c r="K145">
        <v>23892555</v>
      </c>
      <c r="L145">
        <v>24480260</v>
      </c>
      <c r="M145">
        <v>25233717</v>
      </c>
      <c r="N145">
        <v>25859071</v>
      </c>
      <c r="O145">
        <v>25437115</v>
      </c>
      <c r="P145">
        <v>24849408</v>
      </c>
      <c r="Q145">
        <v>26047309</v>
      </c>
      <c r="R145">
        <v>25753454</v>
      </c>
      <c r="S145">
        <v>26891219</v>
      </c>
    </row>
    <row r="146" spans="1:19">
      <c r="A146" t="s">
        <v>60</v>
      </c>
      <c r="B146" t="s">
        <v>393</v>
      </c>
      <c r="C146" t="s">
        <v>1384</v>
      </c>
      <c r="D146" t="s">
        <v>407</v>
      </c>
      <c r="G146">
        <f t="shared" si="51"/>
        <v>293720043</v>
      </c>
      <c r="H146">
        <v>21193292</v>
      </c>
      <c r="I146">
        <v>20649692</v>
      </c>
      <c r="J146">
        <v>23432951</v>
      </c>
      <c r="K146">
        <v>23892555</v>
      </c>
      <c r="L146">
        <v>24480260</v>
      </c>
      <c r="M146">
        <v>25233717</v>
      </c>
      <c r="N146">
        <v>25859071</v>
      </c>
      <c r="O146">
        <v>25437115</v>
      </c>
      <c r="P146">
        <v>24849408</v>
      </c>
      <c r="Q146">
        <v>26047309</v>
      </c>
      <c r="R146">
        <v>25753454</v>
      </c>
      <c r="S146">
        <v>26891219</v>
      </c>
    </row>
    <row r="147" spans="1:19">
      <c r="A147" t="s">
        <v>26</v>
      </c>
      <c r="B147" t="s">
        <v>393</v>
      </c>
      <c r="C147" t="s">
        <v>1385</v>
      </c>
      <c r="D147" t="s">
        <v>409</v>
      </c>
      <c r="G147">
        <f t="shared" si="51"/>
        <v>939904125</v>
      </c>
      <c r="H147">
        <f t="shared" ref="H147:S147" si="57">H148+H151+H152+H153</f>
        <v>67818534</v>
      </c>
      <c r="I147">
        <f t="shared" si="57"/>
        <v>66079014</v>
      </c>
      <c r="J147">
        <f t="shared" si="57"/>
        <v>74985443</v>
      </c>
      <c r="K147">
        <f t="shared" si="57"/>
        <v>76456175</v>
      </c>
      <c r="L147">
        <f t="shared" si="57"/>
        <v>78336830</v>
      </c>
      <c r="M147">
        <f t="shared" si="57"/>
        <v>80747893</v>
      </c>
      <c r="N147">
        <f t="shared" si="57"/>
        <v>82749027</v>
      </c>
      <c r="O147">
        <f t="shared" si="57"/>
        <v>81398767</v>
      </c>
      <c r="P147">
        <f t="shared" si="57"/>
        <v>79518104</v>
      </c>
      <c r="Q147">
        <f t="shared" si="57"/>
        <v>83351387</v>
      </c>
      <c r="R147">
        <f t="shared" si="57"/>
        <v>82411052</v>
      </c>
      <c r="S147">
        <f t="shared" si="57"/>
        <v>86051899</v>
      </c>
    </row>
    <row r="148" spans="1:19">
      <c r="A148" t="s">
        <v>60</v>
      </c>
      <c r="B148" t="s">
        <v>393</v>
      </c>
      <c r="C148" t="s">
        <v>1386</v>
      </c>
      <c r="D148" t="s">
        <v>59</v>
      </c>
      <c r="G148">
        <f t="shared" si="51"/>
        <v>58743996</v>
      </c>
      <c r="H148">
        <f t="shared" ref="H148:S148" si="58">H149+H150</f>
        <v>4238658</v>
      </c>
      <c r="I148">
        <f t="shared" si="58"/>
        <v>4129938</v>
      </c>
      <c r="J148">
        <f t="shared" si="58"/>
        <v>4686590</v>
      </c>
      <c r="K148">
        <f t="shared" si="58"/>
        <v>4778510</v>
      </c>
      <c r="L148">
        <f t="shared" si="58"/>
        <v>4896050</v>
      </c>
      <c r="M148">
        <f t="shared" si="58"/>
        <v>5046742</v>
      </c>
      <c r="N148">
        <f t="shared" si="58"/>
        <v>5171814</v>
      </c>
      <c r="O148">
        <f t="shared" si="58"/>
        <v>5087422</v>
      </c>
      <c r="P148">
        <f t="shared" si="58"/>
        <v>4969880</v>
      </c>
      <c r="Q148">
        <f t="shared" si="58"/>
        <v>5209460</v>
      </c>
      <c r="R148">
        <f t="shared" si="58"/>
        <v>5150690</v>
      </c>
      <c r="S148">
        <f t="shared" si="58"/>
        <v>5378242</v>
      </c>
    </row>
    <row r="149" spans="1:19">
      <c r="A149" t="s">
        <v>192</v>
      </c>
      <c r="B149" t="s">
        <v>393</v>
      </c>
      <c r="C149" t="s">
        <v>1387</v>
      </c>
      <c r="D149" t="s">
        <v>62</v>
      </c>
      <c r="G149">
        <f t="shared" si="51"/>
        <v>29371998</v>
      </c>
      <c r="H149">
        <v>2119329</v>
      </c>
      <c r="I149">
        <v>2064969</v>
      </c>
      <c r="J149">
        <v>2343295</v>
      </c>
      <c r="K149">
        <v>2389255</v>
      </c>
      <c r="L149">
        <v>2448025</v>
      </c>
      <c r="M149">
        <v>2523371</v>
      </c>
      <c r="N149">
        <v>2585907</v>
      </c>
      <c r="O149">
        <v>2543711</v>
      </c>
      <c r="P149">
        <v>2484940</v>
      </c>
      <c r="Q149">
        <v>2604730</v>
      </c>
      <c r="R149">
        <v>2575345</v>
      </c>
      <c r="S149">
        <v>2689121</v>
      </c>
    </row>
    <row r="150" spans="1:19">
      <c r="A150" t="s">
        <v>192</v>
      </c>
      <c r="B150" t="s">
        <v>393</v>
      </c>
      <c r="C150" t="s">
        <v>1388</v>
      </c>
      <c r="D150" t="s">
        <v>64</v>
      </c>
      <c r="G150">
        <f t="shared" si="51"/>
        <v>29371998</v>
      </c>
      <c r="H150">
        <v>2119329</v>
      </c>
      <c r="I150">
        <v>2064969</v>
      </c>
      <c r="J150">
        <v>2343295</v>
      </c>
      <c r="K150">
        <v>2389255</v>
      </c>
      <c r="L150">
        <v>2448025</v>
      </c>
      <c r="M150">
        <v>2523371</v>
      </c>
      <c r="N150">
        <v>2585907</v>
      </c>
      <c r="O150">
        <v>2543711</v>
      </c>
      <c r="P150">
        <v>2484940</v>
      </c>
      <c r="Q150">
        <v>2604730</v>
      </c>
      <c r="R150">
        <v>2575345</v>
      </c>
      <c r="S150">
        <v>2689121</v>
      </c>
    </row>
    <row r="151" spans="1:19">
      <c r="A151" t="s">
        <v>60</v>
      </c>
      <c r="B151" t="s">
        <v>393</v>
      </c>
      <c r="C151" t="s">
        <v>1389</v>
      </c>
      <c r="D151" t="s">
        <v>414</v>
      </c>
      <c r="G151">
        <f t="shared" si="51"/>
        <v>293720043</v>
      </c>
      <c r="H151">
        <v>21193292</v>
      </c>
      <c r="I151">
        <v>20649692</v>
      </c>
      <c r="J151">
        <v>23432951</v>
      </c>
      <c r="K151">
        <v>23892555</v>
      </c>
      <c r="L151">
        <v>24480260</v>
      </c>
      <c r="M151">
        <v>25233717</v>
      </c>
      <c r="N151">
        <v>25859071</v>
      </c>
      <c r="O151">
        <v>25437115</v>
      </c>
      <c r="P151">
        <v>24849408</v>
      </c>
      <c r="Q151">
        <v>26047309</v>
      </c>
      <c r="R151">
        <v>25753454</v>
      </c>
      <c r="S151">
        <v>26891219</v>
      </c>
    </row>
    <row r="152" spans="1:19">
      <c r="A152" t="s">
        <v>60</v>
      </c>
      <c r="B152" t="s">
        <v>393</v>
      </c>
      <c r="C152" t="s">
        <v>1390</v>
      </c>
      <c r="D152" t="s">
        <v>68</v>
      </c>
      <c r="G152">
        <f t="shared" si="51"/>
        <v>293720043</v>
      </c>
      <c r="H152">
        <v>21193292</v>
      </c>
      <c r="I152">
        <v>20649692</v>
      </c>
      <c r="J152">
        <v>23432951</v>
      </c>
      <c r="K152">
        <v>23892555</v>
      </c>
      <c r="L152">
        <v>24480260</v>
      </c>
      <c r="M152">
        <v>25233717</v>
      </c>
      <c r="N152">
        <v>25859071</v>
      </c>
      <c r="O152">
        <v>25437115</v>
      </c>
      <c r="P152">
        <v>24849408</v>
      </c>
      <c r="Q152">
        <v>26047309</v>
      </c>
      <c r="R152">
        <v>25753454</v>
      </c>
      <c r="S152">
        <v>26891219</v>
      </c>
    </row>
    <row r="153" spans="1:19">
      <c r="A153" t="s">
        <v>60</v>
      </c>
      <c r="B153" t="s">
        <v>393</v>
      </c>
      <c r="C153" t="s">
        <v>1391</v>
      </c>
      <c r="D153" t="s">
        <v>70</v>
      </c>
      <c r="G153">
        <f t="shared" si="51"/>
        <v>293720043</v>
      </c>
      <c r="H153">
        <v>21193292</v>
      </c>
      <c r="I153">
        <v>20649692</v>
      </c>
      <c r="J153">
        <v>23432951</v>
      </c>
      <c r="K153">
        <v>23892555</v>
      </c>
      <c r="L153">
        <v>24480260</v>
      </c>
      <c r="M153">
        <v>25233717</v>
      </c>
      <c r="N153">
        <v>25859071</v>
      </c>
      <c r="O153">
        <v>25437115</v>
      </c>
      <c r="P153">
        <v>24849408</v>
      </c>
      <c r="Q153">
        <v>26047309</v>
      </c>
      <c r="R153">
        <v>25753454</v>
      </c>
      <c r="S153">
        <v>26891219</v>
      </c>
    </row>
    <row r="154" spans="1:19">
      <c r="A154" t="s">
        <v>26</v>
      </c>
      <c r="B154" t="s">
        <v>393</v>
      </c>
      <c r="C154" t="s">
        <v>1392</v>
      </c>
      <c r="D154" t="s">
        <v>418</v>
      </c>
      <c r="G154">
        <f t="shared" si="51"/>
        <v>2937200572</v>
      </c>
      <c r="H154">
        <v>211932931</v>
      </c>
      <c r="I154">
        <v>206496933</v>
      </c>
      <c r="J154">
        <v>234329517</v>
      </c>
      <c r="K154">
        <v>238925561</v>
      </c>
      <c r="L154">
        <v>244802614</v>
      </c>
      <c r="M154">
        <v>252337186</v>
      </c>
      <c r="N154">
        <v>258590724</v>
      </c>
      <c r="O154">
        <v>254371164</v>
      </c>
      <c r="P154">
        <v>248494089</v>
      </c>
      <c r="Q154">
        <v>260473101</v>
      </c>
      <c r="R154">
        <v>257534552</v>
      </c>
      <c r="S154">
        <v>268912200</v>
      </c>
    </row>
    <row r="155" spans="1:19">
      <c r="A155" t="s">
        <v>26</v>
      </c>
      <c r="B155" t="s">
        <v>393</v>
      </c>
      <c r="C155" t="s">
        <v>1393</v>
      </c>
      <c r="D155" t="s">
        <v>420</v>
      </c>
      <c r="G155">
        <f t="shared" si="51"/>
        <v>2937200572</v>
      </c>
      <c r="H155">
        <v>211932931</v>
      </c>
      <c r="I155">
        <v>206496933</v>
      </c>
      <c r="J155">
        <v>234329517</v>
      </c>
      <c r="K155">
        <v>238925561</v>
      </c>
      <c r="L155">
        <v>244802614</v>
      </c>
      <c r="M155">
        <v>252337186</v>
      </c>
      <c r="N155">
        <v>258590724</v>
      </c>
      <c r="O155">
        <v>254371164</v>
      </c>
      <c r="P155">
        <v>248494089</v>
      </c>
      <c r="Q155">
        <v>260473101</v>
      </c>
      <c r="R155">
        <v>257534552</v>
      </c>
      <c r="S155">
        <v>268912200</v>
      </c>
    </row>
    <row r="156" spans="1:19">
      <c r="A156" t="s">
        <v>23</v>
      </c>
      <c r="B156" t="s">
        <v>393</v>
      </c>
      <c r="C156" t="s">
        <v>1394</v>
      </c>
      <c r="D156" t="s">
        <v>422</v>
      </c>
      <c r="G156">
        <f t="shared" si="51"/>
        <v>7989185441</v>
      </c>
      <c r="H156">
        <f t="shared" ref="H156:S156" si="59">H157+H160+H163+H170+H171</f>
        <v>576457564</v>
      </c>
      <c r="I156">
        <f t="shared" si="59"/>
        <v>561671648</v>
      </c>
      <c r="J156">
        <f t="shared" si="59"/>
        <v>637376281</v>
      </c>
      <c r="K156">
        <f t="shared" si="59"/>
        <v>649877517</v>
      </c>
      <c r="L156">
        <f t="shared" si="59"/>
        <v>665863098</v>
      </c>
      <c r="M156">
        <f t="shared" si="59"/>
        <v>686357133</v>
      </c>
      <c r="N156">
        <f t="shared" si="59"/>
        <v>703366759</v>
      </c>
      <c r="O156">
        <f t="shared" si="59"/>
        <v>691889555</v>
      </c>
      <c r="P156">
        <f t="shared" si="59"/>
        <v>675903914</v>
      </c>
      <c r="Q156">
        <f t="shared" si="59"/>
        <v>708486825</v>
      </c>
      <c r="R156">
        <f t="shared" si="59"/>
        <v>700493972</v>
      </c>
      <c r="S156">
        <f t="shared" si="59"/>
        <v>731441175</v>
      </c>
    </row>
    <row r="157" spans="1:19">
      <c r="A157" t="s">
        <v>26</v>
      </c>
      <c r="B157" t="s">
        <v>393</v>
      </c>
      <c r="C157" t="s">
        <v>1395</v>
      </c>
      <c r="D157" t="s">
        <v>399</v>
      </c>
      <c r="G157">
        <f t="shared" si="51"/>
        <v>587440086</v>
      </c>
      <c r="H157">
        <f t="shared" ref="H157:S157" si="60">H158+H159</f>
        <v>42386584</v>
      </c>
      <c r="I157">
        <f t="shared" si="60"/>
        <v>41299384</v>
      </c>
      <c r="J157">
        <f t="shared" si="60"/>
        <v>46865902</v>
      </c>
      <c r="K157">
        <f t="shared" si="60"/>
        <v>47785110</v>
      </c>
      <c r="L157">
        <f t="shared" si="60"/>
        <v>48960520</v>
      </c>
      <c r="M157">
        <f t="shared" si="60"/>
        <v>50467434</v>
      </c>
      <c r="N157">
        <f t="shared" si="60"/>
        <v>51718142</v>
      </c>
      <c r="O157">
        <f t="shared" si="60"/>
        <v>50874230</v>
      </c>
      <c r="P157">
        <f t="shared" si="60"/>
        <v>49698816</v>
      </c>
      <c r="Q157">
        <f t="shared" si="60"/>
        <v>52094618</v>
      </c>
      <c r="R157">
        <f t="shared" si="60"/>
        <v>51506908</v>
      </c>
      <c r="S157">
        <f t="shared" si="60"/>
        <v>53782438</v>
      </c>
    </row>
    <row r="158" spans="1:19">
      <c r="A158" t="s">
        <v>60</v>
      </c>
      <c r="B158" t="s">
        <v>393</v>
      </c>
      <c r="C158" t="s">
        <v>1396</v>
      </c>
      <c r="D158" t="s">
        <v>401</v>
      </c>
      <c r="G158">
        <f t="shared" si="51"/>
        <v>293720043</v>
      </c>
      <c r="H158">
        <v>21193292</v>
      </c>
      <c r="I158">
        <v>20649692</v>
      </c>
      <c r="J158">
        <v>23432951</v>
      </c>
      <c r="K158">
        <v>23892555</v>
      </c>
      <c r="L158">
        <v>24480260</v>
      </c>
      <c r="M158">
        <v>25233717</v>
      </c>
      <c r="N158">
        <v>25859071</v>
      </c>
      <c r="O158">
        <v>25437115</v>
      </c>
      <c r="P158">
        <v>24849408</v>
      </c>
      <c r="Q158">
        <v>26047309</v>
      </c>
      <c r="R158">
        <v>25753454</v>
      </c>
      <c r="S158">
        <v>26891219</v>
      </c>
    </row>
    <row r="159" spans="1:19">
      <c r="A159" t="s">
        <v>60</v>
      </c>
      <c r="B159" t="s">
        <v>393</v>
      </c>
      <c r="C159" t="s">
        <v>1397</v>
      </c>
      <c r="D159" t="s">
        <v>49</v>
      </c>
      <c r="G159">
        <f t="shared" si="51"/>
        <v>293720043</v>
      </c>
      <c r="H159">
        <v>21193292</v>
      </c>
      <c r="I159">
        <v>20649692</v>
      </c>
      <c r="J159">
        <v>23432951</v>
      </c>
      <c r="K159">
        <v>23892555</v>
      </c>
      <c r="L159">
        <v>24480260</v>
      </c>
      <c r="M159">
        <v>25233717</v>
      </c>
      <c r="N159">
        <v>25859071</v>
      </c>
      <c r="O159">
        <v>25437115</v>
      </c>
      <c r="P159">
        <v>24849408</v>
      </c>
      <c r="Q159">
        <v>26047309</v>
      </c>
      <c r="R159">
        <v>25753454</v>
      </c>
      <c r="S159">
        <v>26891219</v>
      </c>
    </row>
    <row r="160" spans="1:19">
      <c r="A160" t="s">
        <v>26</v>
      </c>
      <c r="B160" t="s">
        <v>393</v>
      </c>
      <c r="C160" t="s">
        <v>1398</v>
      </c>
      <c r="D160" t="s">
        <v>51</v>
      </c>
      <c r="G160">
        <f t="shared" si="51"/>
        <v>587440086</v>
      </c>
      <c r="H160">
        <f t="shared" ref="H160:S160" si="61">H161+H162</f>
        <v>42386584</v>
      </c>
      <c r="I160">
        <f t="shared" si="61"/>
        <v>41299384</v>
      </c>
      <c r="J160">
        <f t="shared" si="61"/>
        <v>46865902</v>
      </c>
      <c r="K160">
        <f t="shared" si="61"/>
        <v>47785110</v>
      </c>
      <c r="L160">
        <f t="shared" si="61"/>
        <v>48960520</v>
      </c>
      <c r="M160">
        <f t="shared" si="61"/>
        <v>50467434</v>
      </c>
      <c r="N160">
        <f t="shared" si="61"/>
        <v>51718142</v>
      </c>
      <c r="O160">
        <f t="shared" si="61"/>
        <v>50874230</v>
      </c>
      <c r="P160">
        <f t="shared" si="61"/>
        <v>49698816</v>
      </c>
      <c r="Q160">
        <f t="shared" si="61"/>
        <v>52094618</v>
      </c>
      <c r="R160">
        <f t="shared" si="61"/>
        <v>51506908</v>
      </c>
      <c r="S160">
        <f t="shared" si="61"/>
        <v>53782438</v>
      </c>
    </row>
    <row r="161" spans="1:19">
      <c r="A161" t="s">
        <v>60</v>
      </c>
      <c r="B161" t="s">
        <v>393</v>
      </c>
      <c r="C161" t="s">
        <v>1399</v>
      </c>
      <c r="D161" t="s">
        <v>405</v>
      </c>
      <c r="G161">
        <f t="shared" si="51"/>
        <v>293720043</v>
      </c>
      <c r="H161">
        <v>21193292</v>
      </c>
      <c r="I161">
        <v>20649692</v>
      </c>
      <c r="J161">
        <v>23432951</v>
      </c>
      <c r="K161">
        <v>23892555</v>
      </c>
      <c r="L161">
        <v>24480260</v>
      </c>
      <c r="M161">
        <v>25233717</v>
      </c>
      <c r="N161">
        <v>25859071</v>
      </c>
      <c r="O161">
        <v>25437115</v>
      </c>
      <c r="P161">
        <v>24849408</v>
      </c>
      <c r="Q161">
        <v>26047309</v>
      </c>
      <c r="R161">
        <v>25753454</v>
      </c>
      <c r="S161">
        <v>26891219</v>
      </c>
    </row>
    <row r="162" spans="1:19">
      <c r="A162" t="s">
        <v>60</v>
      </c>
      <c r="B162" t="s">
        <v>393</v>
      </c>
      <c r="C162" t="s">
        <v>1400</v>
      </c>
      <c r="D162" t="s">
        <v>407</v>
      </c>
      <c r="G162">
        <f t="shared" si="51"/>
        <v>293720043</v>
      </c>
      <c r="H162">
        <v>21193292</v>
      </c>
      <c r="I162">
        <v>20649692</v>
      </c>
      <c r="J162">
        <v>23432951</v>
      </c>
      <c r="K162">
        <v>23892555</v>
      </c>
      <c r="L162">
        <v>24480260</v>
      </c>
      <c r="M162">
        <v>25233717</v>
      </c>
      <c r="N162">
        <v>25859071</v>
      </c>
      <c r="O162">
        <v>25437115</v>
      </c>
      <c r="P162">
        <v>24849408</v>
      </c>
      <c r="Q162">
        <v>26047309</v>
      </c>
      <c r="R162">
        <v>25753454</v>
      </c>
      <c r="S162">
        <v>26891219</v>
      </c>
    </row>
    <row r="163" spans="1:19">
      <c r="A163" t="s">
        <v>26</v>
      </c>
      <c r="B163" t="s">
        <v>393</v>
      </c>
      <c r="C163" t="s">
        <v>1401</v>
      </c>
      <c r="D163" t="s">
        <v>409</v>
      </c>
      <c r="G163">
        <f t="shared" si="51"/>
        <v>939904125</v>
      </c>
      <c r="H163">
        <f t="shared" ref="H163:S163" si="62">H164+H167+H168+H169</f>
        <v>67818534</v>
      </c>
      <c r="I163">
        <f t="shared" si="62"/>
        <v>66079014</v>
      </c>
      <c r="J163">
        <f t="shared" si="62"/>
        <v>74985443</v>
      </c>
      <c r="K163">
        <f t="shared" si="62"/>
        <v>76456175</v>
      </c>
      <c r="L163">
        <f t="shared" si="62"/>
        <v>78336830</v>
      </c>
      <c r="M163">
        <f t="shared" si="62"/>
        <v>80747893</v>
      </c>
      <c r="N163">
        <f t="shared" si="62"/>
        <v>82749027</v>
      </c>
      <c r="O163">
        <f t="shared" si="62"/>
        <v>81398767</v>
      </c>
      <c r="P163">
        <f t="shared" si="62"/>
        <v>79518104</v>
      </c>
      <c r="Q163">
        <f t="shared" si="62"/>
        <v>83351387</v>
      </c>
      <c r="R163">
        <f t="shared" si="62"/>
        <v>82411052</v>
      </c>
      <c r="S163">
        <f t="shared" si="62"/>
        <v>86051899</v>
      </c>
    </row>
    <row r="164" spans="1:19">
      <c r="A164" t="s">
        <v>60</v>
      </c>
      <c r="B164" t="s">
        <v>393</v>
      </c>
      <c r="C164" t="s">
        <v>1402</v>
      </c>
      <c r="D164" t="s">
        <v>59</v>
      </c>
      <c r="G164">
        <f t="shared" si="51"/>
        <v>58743996</v>
      </c>
      <c r="H164">
        <f t="shared" ref="H164:S164" si="63">H165+H166</f>
        <v>4238658</v>
      </c>
      <c r="I164">
        <f t="shared" si="63"/>
        <v>4129938</v>
      </c>
      <c r="J164">
        <f t="shared" si="63"/>
        <v>4686590</v>
      </c>
      <c r="K164">
        <f t="shared" si="63"/>
        <v>4778510</v>
      </c>
      <c r="L164">
        <f t="shared" si="63"/>
        <v>4896050</v>
      </c>
      <c r="M164">
        <f t="shared" si="63"/>
        <v>5046742</v>
      </c>
      <c r="N164">
        <f t="shared" si="63"/>
        <v>5171814</v>
      </c>
      <c r="O164">
        <f t="shared" si="63"/>
        <v>5087422</v>
      </c>
      <c r="P164">
        <f t="shared" si="63"/>
        <v>4969880</v>
      </c>
      <c r="Q164">
        <f t="shared" si="63"/>
        <v>5209460</v>
      </c>
      <c r="R164">
        <f t="shared" si="63"/>
        <v>5150690</v>
      </c>
      <c r="S164">
        <f t="shared" si="63"/>
        <v>5378242</v>
      </c>
    </row>
    <row r="165" spans="1:19">
      <c r="A165" t="s">
        <v>192</v>
      </c>
      <c r="B165" t="s">
        <v>393</v>
      </c>
      <c r="C165" t="s">
        <v>1403</v>
      </c>
      <c r="D165" t="s">
        <v>62</v>
      </c>
      <c r="G165">
        <f t="shared" si="51"/>
        <v>29371998</v>
      </c>
      <c r="H165">
        <v>2119329</v>
      </c>
      <c r="I165">
        <v>2064969</v>
      </c>
      <c r="J165">
        <v>2343295</v>
      </c>
      <c r="K165">
        <v>2389255</v>
      </c>
      <c r="L165">
        <v>2448025</v>
      </c>
      <c r="M165">
        <v>2523371</v>
      </c>
      <c r="N165">
        <v>2585907</v>
      </c>
      <c r="O165">
        <v>2543711</v>
      </c>
      <c r="P165">
        <v>2484940</v>
      </c>
      <c r="Q165">
        <v>2604730</v>
      </c>
      <c r="R165">
        <v>2575345</v>
      </c>
      <c r="S165">
        <v>2689121</v>
      </c>
    </row>
    <row r="166" spans="1:19">
      <c r="A166" t="s">
        <v>192</v>
      </c>
      <c r="B166" t="s">
        <v>393</v>
      </c>
      <c r="C166" t="s">
        <v>1404</v>
      </c>
      <c r="D166" t="s">
        <v>64</v>
      </c>
      <c r="G166">
        <f t="shared" si="51"/>
        <v>29371998</v>
      </c>
      <c r="H166">
        <v>2119329</v>
      </c>
      <c r="I166">
        <v>2064969</v>
      </c>
      <c r="J166">
        <v>2343295</v>
      </c>
      <c r="K166">
        <v>2389255</v>
      </c>
      <c r="L166">
        <v>2448025</v>
      </c>
      <c r="M166">
        <v>2523371</v>
      </c>
      <c r="N166">
        <v>2585907</v>
      </c>
      <c r="O166">
        <v>2543711</v>
      </c>
      <c r="P166">
        <v>2484940</v>
      </c>
      <c r="Q166">
        <v>2604730</v>
      </c>
      <c r="R166">
        <v>2575345</v>
      </c>
      <c r="S166">
        <v>2689121</v>
      </c>
    </row>
    <row r="167" spans="1:19">
      <c r="A167" t="s">
        <v>60</v>
      </c>
      <c r="B167" t="s">
        <v>393</v>
      </c>
      <c r="C167" t="s">
        <v>1405</v>
      </c>
      <c r="D167" t="s">
        <v>414</v>
      </c>
      <c r="G167">
        <f t="shared" si="51"/>
        <v>293720043</v>
      </c>
      <c r="H167">
        <v>21193292</v>
      </c>
      <c r="I167">
        <v>20649692</v>
      </c>
      <c r="J167">
        <v>23432951</v>
      </c>
      <c r="K167">
        <v>23892555</v>
      </c>
      <c r="L167">
        <v>24480260</v>
      </c>
      <c r="M167">
        <v>25233717</v>
      </c>
      <c r="N167">
        <v>25859071</v>
      </c>
      <c r="O167">
        <v>25437115</v>
      </c>
      <c r="P167">
        <v>24849408</v>
      </c>
      <c r="Q167">
        <v>26047309</v>
      </c>
      <c r="R167">
        <v>25753454</v>
      </c>
      <c r="S167">
        <v>26891219</v>
      </c>
    </row>
    <row r="168" spans="1:19">
      <c r="A168" t="s">
        <v>60</v>
      </c>
      <c r="B168" t="s">
        <v>393</v>
      </c>
      <c r="C168" t="s">
        <v>1406</v>
      </c>
      <c r="D168" t="s">
        <v>68</v>
      </c>
      <c r="G168">
        <f t="shared" si="51"/>
        <v>293720043</v>
      </c>
      <c r="H168">
        <v>21193292</v>
      </c>
      <c r="I168">
        <v>20649692</v>
      </c>
      <c r="J168">
        <v>23432951</v>
      </c>
      <c r="K168">
        <v>23892555</v>
      </c>
      <c r="L168">
        <v>24480260</v>
      </c>
      <c r="M168">
        <v>25233717</v>
      </c>
      <c r="N168">
        <v>25859071</v>
      </c>
      <c r="O168">
        <v>25437115</v>
      </c>
      <c r="P168">
        <v>24849408</v>
      </c>
      <c r="Q168">
        <v>26047309</v>
      </c>
      <c r="R168">
        <v>25753454</v>
      </c>
      <c r="S168">
        <v>26891219</v>
      </c>
    </row>
    <row r="169" spans="1:19">
      <c r="A169" t="s">
        <v>60</v>
      </c>
      <c r="B169" t="s">
        <v>393</v>
      </c>
      <c r="C169" t="s">
        <v>1407</v>
      </c>
      <c r="D169" t="s">
        <v>70</v>
      </c>
      <c r="G169">
        <f t="shared" si="51"/>
        <v>293720043</v>
      </c>
      <c r="H169">
        <v>21193292</v>
      </c>
      <c r="I169">
        <v>20649692</v>
      </c>
      <c r="J169">
        <v>23432951</v>
      </c>
      <c r="K169">
        <v>23892555</v>
      </c>
      <c r="L169">
        <v>24480260</v>
      </c>
      <c r="M169">
        <v>25233717</v>
      </c>
      <c r="N169">
        <v>25859071</v>
      </c>
      <c r="O169">
        <v>25437115</v>
      </c>
      <c r="P169">
        <v>24849408</v>
      </c>
      <c r="Q169">
        <v>26047309</v>
      </c>
      <c r="R169">
        <v>25753454</v>
      </c>
      <c r="S169">
        <v>26891219</v>
      </c>
    </row>
    <row r="170" spans="1:19">
      <c r="A170" t="s">
        <v>26</v>
      </c>
      <c r="B170" t="s">
        <v>393</v>
      </c>
      <c r="C170" t="s">
        <v>1408</v>
      </c>
      <c r="D170" t="s">
        <v>418</v>
      </c>
      <c r="G170">
        <f t="shared" si="51"/>
        <v>2937200572</v>
      </c>
      <c r="H170">
        <v>211932931</v>
      </c>
      <c r="I170">
        <v>206496933</v>
      </c>
      <c r="J170">
        <v>234329517</v>
      </c>
      <c r="K170">
        <v>238925561</v>
      </c>
      <c r="L170">
        <v>244802614</v>
      </c>
      <c r="M170">
        <v>252337186</v>
      </c>
      <c r="N170">
        <v>258590724</v>
      </c>
      <c r="O170">
        <v>254371164</v>
      </c>
      <c r="P170">
        <v>248494089</v>
      </c>
      <c r="Q170">
        <v>260473101</v>
      </c>
      <c r="R170">
        <v>257534552</v>
      </c>
      <c r="S170">
        <v>268912200</v>
      </c>
    </row>
    <row r="171" spans="1:19">
      <c r="A171" t="s">
        <v>26</v>
      </c>
      <c r="B171" t="s">
        <v>393</v>
      </c>
      <c r="C171" t="s">
        <v>1409</v>
      </c>
      <c r="D171" t="s">
        <v>420</v>
      </c>
      <c r="G171">
        <f t="shared" si="51"/>
        <v>2937200572</v>
      </c>
      <c r="H171">
        <v>211932931</v>
      </c>
      <c r="I171">
        <v>206496933</v>
      </c>
      <c r="J171">
        <v>234329517</v>
      </c>
      <c r="K171">
        <v>238925561</v>
      </c>
      <c r="L171">
        <v>244802614</v>
      </c>
      <c r="M171">
        <v>252337186</v>
      </c>
      <c r="N171">
        <v>258590724</v>
      </c>
      <c r="O171">
        <v>254371164</v>
      </c>
      <c r="P171">
        <v>248494089</v>
      </c>
      <c r="Q171">
        <v>260473101</v>
      </c>
      <c r="R171">
        <v>257534552</v>
      </c>
      <c r="S171">
        <v>268912200</v>
      </c>
    </row>
    <row r="172" spans="1:19">
      <c r="A172" t="s">
        <v>19</v>
      </c>
      <c r="B172" t="s">
        <v>438</v>
      </c>
      <c r="C172" t="s">
        <v>1410</v>
      </c>
      <c r="D172" t="s">
        <v>440</v>
      </c>
      <c r="G172">
        <f t="shared" si="51"/>
        <v>48949760344</v>
      </c>
      <c r="H172">
        <f t="shared" ref="H172:S172" si="64">H173</f>
        <v>3431546336</v>
      </c>
      <c r="I172">
        <f t="shared" si="64"/>
        <v>3194197536</v>
      </c>
      <c r="J172">
        <f t="shared" si="64"/>
        <v>3822263608</v>
      </c>
      <c r="K172">
        <f t="shared" si="64"/>
        <v>3919140440</v>
      </c>
      <c r="L172">
        <f t="shared" si="64"/>
        <v>4017042080</v>
      </c>
      <c r="M172">
        <f t="shared" si="64"/>
        <v>4162869736</v>
      </c>
      <c r="N172">
        <f t="shared" si="64"/>
        <v>4307672568</v>
      </c>
      <c r="O172">
        <f t="shared" si="64"/>
        <v>4257696920</v>
      </c>
      <c r="P172">
        <f t="shared" si="64"/>
        <v>4159795264</v>
      </c>
      <c r="Q172">
        <f t="shared" si="64"/>
        <v>4542178472</v>
      </c>
      <c r="R172">
        <f t="shared" si="64"/>
        <v>4493227632</v>
      </c>
      <c r="S172">
        <f t="shared" si="64"/>
        <v>4642129752</v>
      </c>
    </row>
    <row r="173" spans="1:19">
      <c r="A173" t="s">
        <v>23</v>
      </c>
      <c r="B173" t="s">
        <v>438</v>
      </c>
      <c r="C173" t="s">
        <v>1411</v>
      </c>
      <c r="D173" t="s">
        <v>442</v>
      </c>
      <c r="G173">
        <f t="shared" si="51"/>
        <v>48949760344</v>
      </c>
      <c r="H173">
        <f t="shared" ref="H173:S173" si="65">H174+H179+H194</f>
        <v>3431546336</v>
      </c>
      <c r="I173">
        <f t="shared" si="65"/>
        <v>3194197536</v>
      </c>
      <c r="J173">
        <f t="shared" si="65"/>
        <v>3822263608</v>
      </c>
      <c r="K173">
        <f t="shared" si="65"/>
        <v>3919140440</v>
      </c>
      <c r="L173">
        <f t="shared" si="65"/>
        <v>4017042080</v>
      </c>
      <c r="M173">
        <f t="shared" si="65"/>
        <v>4162869736</v>
      </c>
      <c r="N173">
        <f t="shared" si="65"/>
        <v>4307672568</v>
      </c>
      <c r="O173">
        <f t="shared" si="65"/>
        <v>4257696920</v>
      </c>
      <c r="P173">
        <f t="shared" si="65"/>
        <v>4159795264</v>
      </c>
      <c r="Q173">
        <f t="shared" si="65"/>
        <v>4542178472</v>
      </c>
      <c r="R173">
        <f t="shared" si="65"/>
        <v>4493227632</v>
      </c>
      <c r="S173">
        <f t="shared" si="65"/>
        <v>4642129752</v>
      </c>
    </row>
    <row r="174" spans="1:19">
      <c r="A174" t="s">
        <v>26</v>
      </c>
      <c r="B174" t="s">
        <v>438</v>
      </c>
      <c r="C174" t="s">
        <v>1412</v>
      </c>
      <c r="D174" t="s">
        <v>444</v>
      </c>
      <c r="G174">
        <f t="shared" si="51"/>
        <v>70000000</v>
      </c>
      <c r="H174">
        <f t="shared" ref="H174:S174" si="66">H175+H176+H177+H178</f>
        <v>4900000</v>
      </c>
      <c r="I174">
        <f t="shared" si="66"/>
        <v>4550000</v>
      </c>
      <c r="J174">
        <f t="shared" si="66"/>
        <v>5460000</v>
      </c>
      <c r="K174">
        <f t="shared" si="66"/>
        <v>5600000</v>
      </c>
      <c r="L174">
        <f t="shared" si="66"/>
        <v>5740000</v>
      </c>
      <c r="M174">
        <f t="shared" si="66"/>
        <v>5950000</v>
      </c>
      <c r="N174">
        <f t="shared" si="66"/>
        <v>6160000</v>
      </c>
      <c r="O174">
        <f t="shared" si="66"/>
        <v>6090000</v>
      </c>
      <c r="P174">
        <f t="shared" si="66"/>
        <v>5950000</v>
      </c>
      <c r="Q174">
        <f t="shared" si="66"/>
        <v>6510000</v>
      </c>
      <c r="R174">
        <f t="shared" si="66"/>
        <v>6440000</v>
      </c>
      <c r="S174">
        <f t="shared" si="66"/>
        <v>6650000</v>
      </c>
    </row>
    <row r="175" spans="1:19">
      <c r="A175" t="s">
        <v>60</v>
      </c>
      <c r="B175" t="s">
        <v>438</v>
      </c>
      <c r="C175" t="s">
        <v>1413</v>
      </c>
      <c r="D175" t="s">
        <v>446</v>
      </c>
      <c r="G175">
        <f t="shared" si="51"/>
        <v>30000000</v>
      </c>
      <c r="H175">
        <v>2100000</v>
      </c>
      <c r="I175">
        <v>1950000</v>
      </c>
      <c r="J175">
        <v>2340000</v>
      </c>
      <c r="K175">
        <v>2400000</v>
      </c>
      <c r="L175">
        <v>2460000</v>
      </c>
      <c r="M175">
        <v>2550000</v>
      </c>
      <c r="N175">
        <v>2640000</v>
      </c>
      <c r="O175">
        <v>2610000</v>
      </c>
      <c r="P175">
        <v>2550000</v>
      </c>
      <c r="Q175">
        <v>2790000</v>
      </c>
      <c r="R175">
        <v>2760000</v>
      </c>
      <c r="S175">
        <v>2850000</v>
      </c>
    </row>
    <row r="176" spans="1:19">
      <c r="A176" t="s">
        <v>60</v>
      </c>
      <c r="B176" t="s">
        <v>438</v>
      </c>
      <c r="C176" t="s">
        <v>1414</v>
      </c>
      <c r="D176" t="s">
        <v>448</v>
      </c>
      <c r="G176">
        <f t="shared" si="51"/>
        <v>20000000</v>
      </c>
      <c r="H176">
        <v>1400000</v>
      </c>
      <c r="I176">
        <v>1300000</v>
      </c>
      <c r="J176">
        <v>1560000</v>
      </c>
      <c r="K176">
        <v>1600000</v>
      </c>
      <c r="L176">
        <v>1640000</v>
      </c>
      <c r="M176">
        <v>1700000</v>
      </c>
      <c r="N176">
        <v>1760000</v>
      </c>
      <c r="O176">
        <v>1740000</v>
      </c>
      <c r="P176">
        <v>1700000</v>
      </c>
      <c r="Q176">
        <v>1860000</v>
      </c>
      <c r="R176">
        <v>1840000</v>
      </c>
      <c r="S176">
        <v>1900000</v>
      </c>
    </row>
    <row r="177" spans="1:19">
      <c r="A177" t="s">
        <v>60</v>
      </c>
      <c r="B177" t="s">
        <v>438</v>
      </c>
      <c r="C177" t="s">
        <v>1415</v>
      </c>
      <c r="D177" t="s">
        <v>450</v>
      </c>
      <c r="G177">
        <f t="shared" si="51"/>
        <v>10000000</v>
      </c>
      <c r="H177">
        <v>700000</v>
      </c>
      <c r="I177">
        <v>650000</v>
      </c>
      <c r="J177">
        <v>780000</v>
      </c>
      <c r="K177">
        <v>800000</v>
      </c>
      <c r="L177">
        <v>820000</v>
      </c>
      <c r="M177">
        <v>850000</v>
      </c>
      <c r="N177">
        <v>880000</v>
      </c>
      <c r="O177">
        <v>870000</v>
      </c>
      <c r="P177">
        <v>850000</v>
      </c>
      <c r="Q177">
        <v>930000</v>
      </c>
      <c r="R177">
        <v>920000</v>
      </c>
      <c r="S177">
        <v>950000</v>
      </c>
    </row>
    <row r="178" spans="1:19">
      <c r="A178" t="s">
        <v>60</v>
      </c>
      <c r="B178" t="s">
        <v>438</v>
      </c>
      <c r="C178" t="s">
        <v>1416</v>
      </c>
      <c r="D178" t="s">
        <v>452</v>
      </c>
      <c r="G178">
        <f t="shared" si="51"/>
        <v>10000000</v>
      </c>
      <c r="H178">
        <v>700000</v>
      </c>
      <c r="I178">
        <v>650000</v>
      </c>
      <c r="J178">
        <v>780000</v>
      </c>
      <c r="K178">
        <v>800000</v>
      </c>
      <c r="L178">
        <v>820000</v>
      </c>
      <c r="M178">
        <v>850000</v>
      </c>
      <c r="N178">
        <v>880000</v>
      </c>
      <c r="O178">
        <v>870000</v>
      </c>
      <c r="P178">
        <v>850000</v>
      </c>
      <c r="Q178">
        <v>930000</v>
      </c>
      <c r="R178">
        <v>920000</v>
      </c>
      <c r="S178">
        <v>950000</v>
      </c>
    </row>
    <row r="179" spans="1:19">
      <c r="A179" t="s">
        <v>26</v>
      </c>
      <c r="B179" t="s">
        <v>438</v>
      </c>
      <c r="C179" t="s">
        <v>1417</v>
      </c>
      <c r="D179" t="s">
        <v>454</v>
      </c>
      <c r="G179">
        <f t="shared" si="51"/>
        <v>48819760344</v>
      </c>
      <c r="H179">
        <f t="shared" ref="H179:S179" si="67">H180+H181+H182+H183+H184+H185+H186+H187+H188+H189+H190+H191+H192+H193</f>
        <v>3422446336</v>
      </c>
      <c r="I179">
        <f t="shared" si="67"/>
        <v>3185747536</v>
      </c>
      <c r="J179">
        <f t="shared" si="67"/>
        <v>3812123608</v>
      </c>
      <c r="K179">
        <f t="shared" si="67"/>
        <v>3908740440</v>
      </c>
      <c r="L179">
        <f t="shared" si="67"/>
        <v>4006382080</v>
      </c>
      <c r="M179">
        <f t="shared" si="67"/>
        <v>4151819736</v>
      </c>
      <c r="N179">
        <f t="shared" si="67"/>
        <v>4296232568</v>
      </c>
      <c r="O179">
        <f t="shared" si="67"/>
        <v>4246386920</v>
      </c>
      <c r="P179">
        <f t="shared" si="67"/>
        <v>4148745264</v>
      </c>
      <c r="Q179">
        <f t="shared" si="67"/>
        <v>4530088472</v>
      </c>
      <c r="R179">
        <f t="shared" si="67"/>
        <v>4481267632</v>
      </c>
      <c r="S179">
        <f t="shared" si="67"/>
        <v>4629779752</v>
      </c>
    </row>
    <row r="180" spans="1:19">
      <c r="A180" t="s">
        <v>60</v>
      </c>
      <c r="B180" t="s">
        <v>438</v>
      </c>
      <c r="C180" t="s">
        <v>1418</v>
      </c>
      <c r="D180" t="s">
        <v>456</v>
      </c>
      <c r="G180">
        <f t="shared" si="51"/>
        <v>293720043</v>
      </c>
      <c r="H180">
        <v>21193292</v>
      </c>
      <c r="I180">
        <v>20649692</v>
      </c>
      <c r="J180">
        <v>23432951</v>
      </c>
      <c r="K180">
        <v>23892555</v>
      </c>
      <c r="L180">
        <v>24480260</v>
      </c>
      <c r="M180">
        <v>25233717</v>
      </c>
      <c r="N180">
        <v>25859071</v>
      </c>
      <c r="O180">
        <v>25437115</v>
      </c>
      <c r="P180">
        <v>24849408</v>
      </c>
      <c r="Q180">
        <v>26047309</v>
      </c>
      <c r="R180">
        <v>25753454</v>
      </c>
      <c r="S180">
        <v>26891219</v>
      </c>
    </row>
    <row r="181" spans="1:19">
      <c r="A181" t="s">
        <v>60</v>
      </c>
      <c r="B181" t="s">
        <v>438</v>
      </c>
      <c r="C181" t="s">
        <v>1419</v>
      </c>
      <c r="D181" t="s">
        <v>458</v>
      </c>
      <c r="G181">
        <f t="shared" si="51"/>
        <v>30000000</v>
      </c>
      <c r="H181">
        <v>2100000</v>
      </c>
      <c r="I181">
        <v>1950000</v>
      </c>
      <c r="J181">
        <v>2340000</v>
      </c>
      <c r="K181">
        <v>2400000</v>
      </c>
      <c r="L181">
        <v>2460000</v>
      </c>
      <c r="M181">
        <v>2550000</v>
      </c>
      <c r="N181">
        <v>2640000</v>
      </c>
      <c r="O181">
        <v>2610000</v>
      </c>
      <c r="P181">
        <v>2550000</v>
      </c>
      <c r="Q181">
        <v>2790000</v>
      </c>
      <c r="R181">
        <v>2760000</v>
      </c>
      <c r="S181">
        <v>2850000</v>
      </c>
    </row>
    <row r="182" spans="1:19">
      <c r="A182" t="s">
        <v>60</v>
      </c>
      <c r="B182" t="s">
        <v>438</v>
      </c>
      <c r="C182" t="s">
        <v>1420</v>
      </c>
      <c r="D182" t="s">
        <v>460</v>
      </c>
      <c r="G182">
        <f t="shared" si="51"/>
        <v>20000000</v>
      </c>
      <c r="H182">
        <v>1400000</v>
      </c>
      <c r="I182">
        <v>1300000</v>
      </c>
      <c r="J182">
        <v>1560000</v>
      </c>
      <c r="K182">
        <v>1600000</v>
      </c>
      <c r="L182">
        <v>1640000</v>
      </c>
      <c r="M182">
        <v>1700000</v>
      </c>
      <c r="N182">
        <v>1760000</v>
      </c>
      <c r="O182">
        <v>1740000</v>
      </c>
      <c r="P182">
        <v>1700000</v>
      </c>
      <c r="Q182">
        <v>1860000</v>
      </c>
      <c r="R182">
        <v>1840000</v>
      </c>
      <c r="S182">
        <v>1900000</v>
      </c>
    </row>
    <row r="183" spans="1:19">
      <c r="A183" t="s">
        <v>60</v>
      </c>
      <c r="B183" t="s">
        <v>438</v>
      </c>
      <c r="C183" t="s">
        <v>1421</v>
      </c>
      <c r="D183" t="s">
        <v>462</v>
      </c>
      <c r="G183">
        <f t="shared" si="51"/>
        <v>6400000000</v>
      </c>
      <c r="H183">
        <v>448000000</v>
      </c>
      <c r="I183">
        <v>416000000</v>
      </c>
      <c r="J183">
        <v>499200000</v>
      </c>
      <c r="K183">
        <v>512000000</v>
      </c>
      <c r="L183">
        <v>524800000</v>
      </c>
      <c r="M183">
        <v>544000000</v>
      </c>
      <c r="N183">
        <v>563200000</v>
      </c>
      <c r="O183">
        <v>556800000</v>
      </c>
      <c r="P183">
        <v>544000000</v>
      </c>
      <c r="Q183">
        <v>595200000</v>
      </c>
      <c r="R183">
        <v>588800000</v>
      </c>
      <c r="S183">
        <v>608000000</v>
      </c>
    </row>
    <row r="184" spans="1:19">
      <c r="A184" t="s">
        <v>60</v>
      </c>
      <c r="B184" t="s">
        <v>438</v>
      </c>
      <c r="C184" t="s">
        <v>1422</v>
      </c>
      <c r="D184" t="s">
        <v>464</v>
      </c>
      <c r="G184">
        <f t="shared" si="51"/>
        <v>293720043</v>
      </c>
      <c r="H184">
        <v>21193292</v>
      </c>
      <c r="I184">
        <v>20649692</v>
      </c>
      <c r="J184">
        <v>23432951</v>
      </c>
      <c r="K184">
        <v>23892555</v>
      </c>
      <c r="L184">
        <v>24480260</v>
      </c>
      <c r="M184">
        <v>25233717</v>
      </c>
      <c r="N184">
        <v>25859071</v>
      </c>
      <c r="O184">
        <v>25437115</v>
      </c>
      <c r="P184">
        <v>24849408</v>
      </c>
      <c r="Q184">
        <v>26047309</v>
      </c>
      <c r="R184">
        <v>25753454</v>
      </c>
      <c r="S184">
        <v>26891219</v>
      </c>
    </row>
    <row r="185" spans="1:19">
      <c r="A185" t="s">
        <v>60</v>
      </c>
      <c r="B185" t="s">
        <v>438</v>
      </c>
      <c r="C185" t="s">
        <v>1423</v>
      </c>
      <c r="D185" t="s">
        <v>466</v>
      </c>
      <c r="G185">
        <f t="shared" si="51"/>
        <v>40000000000</v>
      </c>
      <c r="H185">
        <v>2800000000</v>
      </c>
      <c r="I185">
        <v>2600000000</v>
      </c>
      <c r="J185">
        <v>3120000000</v>
      </c>
      <c r="K185">
        <v>3200000000</v>
      </c>
      <c r="L185">
        <v>3280000000</v>
      </c>
      <c r="M185">
        <v>3400000000</v>
      </c>
      <c r="N185">
        <v>3520000000</v>
      </c>
      <c r="O185">
        <v>3480000000</v>
      </c>
      <c r="P185">
        <v>3400000000</v>
      </c>
      <c r="Q185">
        <v>3720000000</v>
      </c>
      <c r="R185">
        <v>3680000000</v>
      </c>
      <c r="S185">
        <v>3800000000</v>
      </c>
    </row>
    <row r="186" spans="1:19">
      <c r="A186" t="s">
        <v>60</v>
      </c>
      <c r="B186" t="s">
        <v>438</v>
      </c>
      <c r="C186" t="s">
        <v>1424</v>
      </c>
      <c r="D186" t="s">
        <v>468</v>
      </c>
      <c r="G186">
        <f t="shared" si="51"/>
        <v>293720043</v>
      </c>
      <c r="H186">
        <v>21193292</v>
      </c>
      <c r="I186">
        <v>20649692</v>
      </c>
      <c r="J186">
        <v>23432951</v>
      </c>
      <c r="K186">
        <v>23892555</v>
      </c>
      <c r="L186">
        <v>24480260</v>
      </c>
      <c r="M186">
        <v>25233717</v>
      </c>
      <c r="N186">
        <v>25859071</v>
      </c>
      <c r="O186">
        <v>25437115</v>
      </c>
      <c r="P186">
        <v>24849408</v>
      </c>
      <c r="Q186">
        <v>26047309</v>
      </c>
      <c r="R186">
        <v>25753454</v>
      </c>
      <c r="S186">
        <v>26891219</v>
      </c>
    </row>
    <row r="187" spans="1:19">
      <c r="A187" t="s">
        <v>60</v>
      </c>
      <c r="B187" t="s">
        <v>438</v>
      </c>
      <c r="C187" t="s">
        <v>1425</v>
      </c>
      <c r="D187" t="s">
        <v>470</v>
      </c>
      <c r="G187">
        <f t="shared" si="51"/>
        <v>293720043</v>
      </c>
      <c r="H187">
        <v>21193292</v>
      </c>
      <c r="I187">
        <v>20649692</v>
      </c>
      <c r="J187">
        <v>23432951</v>
      </c>
      <c r="K187">
        <v>23892555</v>
      </c>
      <c r="L187">
        <v>24480260</v>
      </c>
      <c r="M187">
        <v>25233717</v>
      </c>
      <c r="N187">
        <v>25859071</v>
      </c>
      <c r="O187">
        <v>25437115</v>
      </c>
      <c r="P187">
        <v>24849408</v>
      </c>
      <c r="Q187">
        <v>26047309</v>
      </c>
      <c r="R187">
        <v>25753454</v>
      </c>
      <c r="S187">
        <v>26891219</v>
      </c>
    </row>
    <row r="188" spans="1:19">
      <c r="A188" t="s">
        <v>60</v>
      </c>
      <c r="B188" t="s">
        <v>438</v>
      </c>
      <c r="C188" t="s">
        <v>1426</v>
      </c>
      <c r="D188" t="s">
        <v>472</v>
      </c>
      <c r="G188">
        <f t="shared" si="51"/>
        <v>293720043</v>
      </c>
      <c r="H188">
        <v>21193292</v>
      </c>
      <c r="I188">
        <v>20649692</v>
      </c>
      <c r="J188">
        <v>23432951</v>
      </c>
      <c r="K188">
        <v>23892555</v>
      </c>
      <c r="L188">
        <v>24480260</v>
      </c>
      <c r="M188">
        <v>25233717</v>
      </c>
      <c r="N188">
        <v>25859071</v>
      </c>
      <c r="O188">
        <v>25437115</v>
      </c>
      <c r="P188">
        <v>24849408</v>
      </c>
      <c r="Q188">
        <v>26047309</v>
      </c>
      <c r="R188">
        <v>25753454</v>
      </c>
      <c r="S188">
        <v>26891219</v>
      </c>
    </row>
    <row r="189" spans="1:19">
      <c r="A189" t="s">
        <v>60</v>
      </c>
      <c r="B189" t="s">
        <v>438</v>
      </c>
      <c r="C189" t="s">
        <v>1427</v>
      </c>
      <c r="D189" t="s">
        <v>474</v>
      </c>
      <c r="G189">
        <f t="shared" si="51"/>
        <v>293720043</v>
      </c>
      <c r="H189">
        <v>21193292</v>
      </c>
      <c r="I189">
        <v>20649692</v>
      </c>
      <c r="J189">
        <v>23432951</v>
      </c>
      <c r="K189">
        <v>23892555</v>
      </c>
      <c r="L189">
        <v>24480260</v>
      </c>
      <c r="M189">
        <v>25233717</v>
      </c>
      <c r="N189">
        <v>25859071</v>
      </c>
      <c r="O189">
        <v>25437115</v>
      </c>
      <c r="P189">
        <v>24849408</v>
      </c>
      <c r="Q189">
        <v>26047309</v>
      </c>
      <c r="R189">
        <v>25753454</v>
      </c>
      <c r="S189">
        <v>26891219</v>
      </c>
    </row>
    <row r="190" spans="1:19">
      <c r="A190" t="s">
        <v>60</v>
      </c>
      <c r="B190" t="s">
        <v>438</v>
      </c>
      <c r="C190" t="s">
        <v>1428</v>
      </c>
      <c r="D190" t="s">
        <v>476</v>
      </c>
      <c r="G190">
        <f t="shared" si="51"/>
        <v>293720043</v>
      </c>
      <c r="H190">
        <v>21193292</v>
      </c>
      <c r="I190">
        <v>20649692</v>
      </c>
      <c r="J190">
        <v>23432951</v>
      </c>
      <c r="K190">
        <v>23892555</v>
      </c>
      <c r="L190">
        <v>24480260</v>
      </c>
      <c r="M190">
        <v>25233717</v>
      </c>
      <c r="N190">
        <v>25859071</v>
      </c>
      <c r="O190">
        <v>25437115</v>
      </c>
      <c r="P190">
        <v>24849408</v>
      </c>
      <c r="Q190">
        <v>26047309</v>
      </c>
      <c r="R190">
        <v>25753454</v>
      </c>
      <c r="S190">
        <v>26891219</v>
      </c>
    </row>
    <row r="191" spans="1:19">
      <c r="A191" t="s">
        <v>60</v>
      </c>
      <c r="B191" t="s">
        <v>438</v>
      </c>
      <c r="C191" t="s">
        <v>1429</v>
      </c>
      <c r="D191" t="s">
        <v>478</v>
      </c>
      <c r="G191">
        <f t="shared" si="51"/>
        <v>10000000</v>
      </c>
      <c r="H191">
        <v>700000</v>
      </c>
      <c r="I191">
        <v>650000</v>
      </c>
      <c r="J191">
        <v>780000</v>
      </c>
      <c r="K191">
        <v>800000</v>
      </c>
      <c r="L191">
        <v>820000</v>
      </c>
      <c r="M191">
        <v>850000</v>
      </c>
      <c r="N191">
        <v>880000</v>
      </c>
      <c r="O191">
        <v>870000</v>
      </c>
      <c r="P191">
        <v>850000</v>
      </c>
      <c r="Q191">
        <v>930000</v>
      </c>
      <c r="R191">
        <v>920000</v>
      </c>
      <c r="S191">
        <v>950000</v>
      </c>
    </row>
    <row r="192" spans="1:19">
      <c r="A192" t="s">
        <v>60</v>
      </c>
      <c r="B192" t="s">
        <v>438</v>
      </c>
      <c r="C192" t="s">
        <v>1430</v>
      </c>
      <c r="D192" t="s">
        <v>480</v>
      </c>
      <c r="G192">
        <f t="shared" si="51"/>
        <v>10000000</v>
      </c>
      <c r="H192">
        <v>700000</v>
      </c>
      <c r="I192">
        <v>650000</v>
      </c>
      <c r="J192">
        <v>780000</v>
      </c>
      <c r="K192">
        <v>800000</v>
      </c>
      <c r="L192">
        <v>820000</v>
      </c>
      <c r="M192">
        <v>850000</v>
      </c>
      <c r="N192">
        <v>880000</v>
      </c>
      <c r="O192">
        <v>870000</v>
      </c>
      <c r="P192">
        <v>850000</v>
      </c>
      <c r="Q192">
        <v>930000</v>
      </c>
      <c r="R192">
        <v>920000</v>
      </c>
      <c r="S192">
        <v>950000</v>
      </c>
    </row>
    <row r="193" spans="1:19">
      <c r="A193" t="s">
        <v>60</v>
      </c>
      <c r="B193" t="s">
        <v>438</v>
      </c>
      <c r="C193" t="s">
        <v>1431</v>
      </c>
      <c r="D193" t="s">
        <v>482</v>
      </c>
      <c r="G193">
        <f t="shared" si="51"/>
        <v>293720043</v>
      </c>
      <c r="H193">
        <v>21193292</v>
      </c>
      <c r="I193">
        <v>20649692</v>
      </c>
      <c r="J193">
        <v>23432951</v>
      </c>
      <c r="K193">
        <v>23892555</v>
      </c>
      <c r="L193">
        <v>24480260</v>
      </c>
      <c r="M193">
        <v>25233717</v>
      </c>
      <c r="N193">
        <v>25859071</v>
      </c>
      <c r="O193">
        <v>25437115</v>
      </c>
      <c r="P193">
        <v>24849408</v>
      </c>
      <c r="Q193">
        <v>26047309</v>
      </c>
      <c r="R193">
        <v>25753454</v>
      </c>
      <c r="S193">
        <v>26891219</v>
      </c>
    </row>
    <row r="194" spans="1:19">
      <c r="A194" t="s">
        <v>26</v>
      </c>
      <c r="B194" t="s">
        <v>438</v>
      </c>
      <c r="C194" t="s">
        <v>1432</v>
      </c>
      <c r="D194" t="s">
        <v>484</v>
      </c>
      <c r="G194">
        <f>H194+I194+J194+K194+L194+M194+N194+O194+P194+Q194+R194+S194</f>
        <v>60000000</v>
      </c>
      <c r="H194">
        <f t="shared" ref="H194:S194" si="68">H195+H196+H197</f>
        <v>4200000</v>
      </c>
      <c r="I194">
        <f t="shared" si="68"/>
        <v>3900000</v>
      </c>
      <c r="J194">
        <f t="shared" si="68"/>
        <v>4680000</v>
      </c>
      <c r="K194">
        <f t="shared" si="68"/>
        <v>4800000</v>
      </c>
      <c r="L194">
        <f t="shared" si="68"/>
        <v>4920000</v>
      </c>
      <c r="M194">
        <f t="shared" si="68"/>
        <v>5100000</v>
      </c>
      <c r="N194">
        <f t="shared" si="68"/>
        <v>5280000</v>
      </c>
      <c r="O194">
        <f t="shared" si="68"/>
        <v>5220000</v>
      </c>
      <c r="P194">
        <f t="shared" si="68"/>
        <v>5100000</v>
      </c>
      <c r="Q194">
        <f t="shared" si="68"/>
        <v>5580000</v>
      </c>
      <c r="R194">
        <f t="shared" si="68"/>
        <v>5520000</v>
      </c>
      <c r="S194">
        <f t="shared" si="68"/>
        <v>5700000</v>
      </c>
    </row>
    <row r="195" spans="1:19">
      <c r="A195" t="s">
        <v>60</v>
      </c>
      <c r="B195" t="s">
        <v>438</v>
      </c>
      <c r="C195" t="s">
        <v>1433</v>
      </c>
      <c r="D195" t="s">
        <v>486</v>
      </c>
      <c r="G195">
        <f>H195+I195+J195+K195+L195+M195+N195+O195+P195+Q195+R195+S195</f>
        <v>30000000</v>
      </c>
      <c r="H195">
        <v>2100000</v>
      </c>
      <c r="I195">
        <v>1950000</v>
      </c>
      <c r="J195">
        <v>2340000</v>
      </c>
      <c r="K195">
        <v>2400000</v>
      </c>
      <c r="L195">
        <v>2460000</v>
      </c>
      <c r="M195">
        <v>2550000</v>
      </c>
      <c r="N195">
        <v>2640000</v>
      </c>
      <c r="O195">
        <v>2610000</v>
      </c>
      <c r="P195">
        <v>2550000</v>
      </c>
      <c r="Q195">
        <v>2790000</v>
      </c>
      <c r="R195">
        <v>2760000</v>
      </c>
      <c r="S195">
        <v>2850000</v>
      </c>
    </row>
    <row r="196" spans="1:19">
      <c r="A196" t="s">
        <v>60</v>
      </c>
      <c r="B196" t="s">
        <v>438</v>
      </c>
      <c r="C196" t="s">
        <v>1434</v>
      </c>
      <c r="D196" t="s">
        <v>488</v>
      </c>
      <c r="G196">
        <f>H196+I196+J196+K196+L196+M196+N196+O196+P196+Q196+R196+S196</f>
        <v>20000000</v>
      </c>
      <c r="H196">
        <v>1400000</v>
      </c>
      <c r="I196">
        <v>1300000</v>
      </c>
      <c r="J196">
        <v>1560000</v>
      </c>
      <c r="K196">
        <v>1600000</v>
      </c>
      <c r="L196">
        <v>1640000</v>
      </c>
      <c r="M196">
        <v>1700000</v>
      </c>
      <c r="N196">
        <v>1760000</v>
      </c>
      <c r="O196">
        <v>1740000</v>
      </c>
      <c r="P196">
        <v>1700000</v>
      </c>
      <c r="Q196">
        <v>1860000</v>
      </c>
      <c r="R196">
        <v>1840000</v>
      </c>
      <c r="S196">
        <v>1900000</v>
      </c>
    </row>
    <row r="197" spans="1:19">
      <c r="A197" t="s">
        <v>60</v>
      </c>
      <c r="B197" t="s">
        <v>438</v>
      </c>
      <c r="C197" t="s">
        <v>1435</v>
      </c>
      <c r="D197" t="s">
        <v>490</v>
      </c>
      <c r="G197">
        <f>H197+I197+J197+K197+L197+M197+N197+O197+P197+Q197+R197+S197</f>
        <v>10000000</v>
      </c>
      <c r="H197">
        <v>700000</v>
      </c>
      <c r="I197">
        <v>650000</v>
      </c>
      <c r="J197">
        <v>780000</v>
      </c>
      <c r="K197">
        <v>800000</v>
      </c>
      <c r="L197">
        <v>820000</v>
      </c>
      <c r="M197">
        <v>850000</v>
      </c>
      <c r="N197">
        <v>880000</v>
      </c>
      <c r="O197">
        <v>870000</v>
      </c>
      <c r="P197">
        <v>850000</v>
      </c>
      <c r="Q197">
        <v>930000</v>
      </c>
      <c r="R197">
        <v>920000</v>
      </c>
      <c r="S197">
        <v>950000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1410</v>
      </c>
      <c r="D2" t="s">
        <v>440</v>
      </c>
      <c r="G2">
        <f t="shared" ref="G2:G27" si="0">H2+I2+J2+K2+L2+M2+N2+O2+P2+Q2+R2+S2</f>
        <v>46886769200</v>
      </c>
      <c r="H2">
        <f t="shared" ref="H2:S2" si="1">H3</f>
        <v>3282073840</v>
      </c>
      <c r="I2">
        <f t="shared" si="1"/>
        <v>3047640000</v>
      </c>
      <c r="J2">
        <f t="shared" si="1"/>
        <v>3657168000</v>
      </c>
      <c r="K2">
        <f t="shared" si="1"/>
        <v>3750941536</v>
      </c>
      <c r="L2">
        <f t="shared" si="1"/>
        <v>3844715072</v>
      </c>
      <c r="M2">
        <f t="shared" si="1"/>
        <v>3985375384</v>
      </c>
      <c r="N2">
        <f t="shared" si="1"/>
        <v>4126035688</v>
      </c>
      <c r="O2">
        <f t="shared" si="1"/>
        <v>4079148920</v>
      </c>
      <c r="P2">
        <f t="shared" si="1"/>
        <v>3985375384</v>
      </c>
      <c r="Q2">
        <f t="shared" si="1"/>
        <v>4360469536</v>
      </c>
      <c r="R2">
        <f t="shared" si="1"/>
        <v>4313582768</v>
      </c>
      <c r="S2">
        <f t="shared" si="1"/>
        <v>4454243072</v>
      </c>
    </row>
    <row r="3" spans="1:19">
      <c r="A3" t="s">
        <v>19</v>
      </c>
      <c r="B3" t="s">
        <v>179</v>
      </c>
      <c r="C3" t="s">
        <v>1411</v>
      </c>
      <c r="D3" t="s">
        <v>442</v>
      </c>
      <c r="G3">
        <f t="shared" si="0"/>
        <v>46886769200</v>
      </c>
      <c r="H3">
        <f t="shared" ref="H3:S3" si="2">H4+H9+H24</f>
        <v>3282073840</v>
      </c>
      <c r="I3">
        <f t="shared" si="2"/>
        <v>3047640000</v>
      </c>
      <c r="J3">
        <f t="shared" si="2"/>
        <v>3657168000</v>
      </c>
      <c r="K3">
        <f t="shared" si="2"/>
        <v>3750941536</v>
      </c>
      <c r="L3">
        <f t="shared" si="2"/>
        <v>3844715072</v>
      </c>
      <c r="M3">
        <f t="shared" si="2"/>
        <v>3985375384</v>
      </c>
      <c r="N3">
        <f t="shared" si="2"/>
        <v>4126035688</v>
      </c>
      <c r="O3">
        <f t="shared" si="2"/>
        <v>4079148920</v>
      </c>
      <c r="P3">
        <f t="shared" si="2"/>
        <v>3985375384</v>
      </c>
      <c r="Q3">
        <f t="shared" si="2"/>
        <v>4360469536</v>
      </c>
      <c r="R3">
        <f t="shared" si="2"/>
        <v>4313582768</v>
      </c>
      <c r="S3">
        <f t="shared" si="2"/>
        <v>4454243072</v>
      </c>
    </row>
    <row r="4" spans="1:19">
      <c r="A4" t="s">
        <v>23</v>
      </c>
      <c r="B4" t="s">
        <v>179</v>
      </c>
      <c r="C4" t="s">
        <v>1412</v>
      </c>
      <c r="D4" t="s">
        <v>444</v>
      </c>
      <c r="G4">
        <f t="shared" si="0"/>
        <v>70000000</v>
      </c>
      <c r="H4">
        <f t="shared" ref="H4:S4" si="3">H5+H6+H7+H8</f>
        <v>4900000</v>
      </c>
      <c r="I4">
        <f t="shared" si="3"/>
        <v>4550000</v>
      </c>
      <c r="J4">
        <f t="shared" si="3"/>
        <v>5460000</v>
      </c>
      <c r="K4">
        <f t="shared" si="3"/>
        <v>5600000</v>
      </c>
      <c r="L4">
        <f t="shared" si="3"/>
        <v>5740000</v>
      </c>
      <c r="M4">
        <f t="shared" si="3"/>
        <v>5950000</v>
      </c>
      <c r="N4">
        <f t="shared" si="3"/>
        <v>6160000</v>
      </c>
      <c r="O4">
        <f t="shared" si="3"/>
        <v>6090000</v>
      </c>
      <c r="P4">
        <f t="shared" si="3"/>
        <v>5950000</v>
      </c>
      <c r="Q4">
        <f t="shared" si="3"/>
        <v>6510000</v>
      </c>
      <c r="R4">
        <f t="shared" si="3"/>
        <v>6440000</v>
      </c>
      <c r="S4">
        <f t="shared" si="3"/>
        <v>6650000</v>
      </c>
    </row>
    <row r="5" spans="1:19">
      <c r="A5" t="s">
        <v>26</v>
      </c>
      <c r="B5" t="s">
        <v>179</v>
      </c>
      <c r="C5" t="s">
        <v>1413</v>
      </c>
      <c r="D5" t="s">
        <v>446</v>
      </c>
      <c r="G5">
        <f t="shared" si="0"/>
        <v>30000000</v>
      </c>
      <c r="H5">
        <v>2100000</v>
      </c>
      <c r="I5">
        <v>1950000</v>
      </c>
      <c r="J5">
        <v>2340000</v>
      </c>
      <c r="K5">
        <v>2400000</v>
      </c>
      <c r="L5">
        <v>2460000</v>
      </c>
      <c r="M5">
        <v>2550000</v>
      </c>
      <c r="N5">
        <v>2640000</v>
      </c>
      <c r="O5">
        <v>2610000</v>
      </c>
      <c r="P5">
        <v>2550000</v>
      </c>
      <c r="Q5">
        <v>2790000</v>
      </c>
      <c r="R5">
        <v>2760000</v>
      </c>
      <c r="S5">
        <v>2850000</v>
      </c>
    </row>
    <row r="6" spans="1:19">
      <c r="A6" t="s">
        <v>26</v>
      </c>
      <c r="B6" t="s">
        <v>179</v>
      </c>
      <c r="C6" t="s">
        <v>1414</v>
      </c>
      <c r="D6" t="s">
        <v>448</v>
      </c>
      <c r="G6">
        <f t="shared" si="0"/>
        <v>20000000</v>
      </c>
      <c r="H6">
        <v>1400000</v>
      </c>
      <c r="I6">
        <v>1300000</v>
      </c>
      <c r="J6">
        <v>1560000</v>
      </c>
      <c r="K6">
        <v>1600000</v>
      </c>
      <c r="L6">
        <v>1640000</v>
      </c>
      <c r="M6">
        <v>1700000</v>
      </c>
      <c r="N6">
        <v>1760000</v>
      </c>
      <c r="O6">
        <v>1740000</v>
      </c>
      <c r="P6">
        <v>1700000</v>
      </c>
      <c r="Q6">
        <v>1860000</v>
      </c>
      <c r="R6">
        <v>1840000</v>
      </c>
      <c r="S6">
        <v>1900000</v>
      </c>
    </row>
    <row r="7" spans="1:19">
      <c r="A7" t="s">
        <v>26</v>
      </c>
      <c r="B7" t="s">
        <v>179</v>
      </c>
      <c r="C7" t="s">
        <v>1415</v>
      </c>
      <c r="D7" t="s">
        <v>450</v>
      </c>
      <c r="G7">
        <f t="shared" si="0"/>
        <v>10000000</v>
      </c>
      <c r="H7">
        <v>700000</v>
      </c>
      <c r="I7">
        <v>650000</v>
      </c>
      <c r="J7">
        <v>780000</v>
      </c>
      <c r="K7">
        <v>800000</v>
      </c>
      <c r="L7">
        <v>820000</v>
      </c>
      <c r="M7">
        <v>850000</v>
      </c>
      <c r="N7">
        <v>880000</v>
      </c>
      <c r="O7">
        <v>870000</v>
      </c>
      <c r="P7">
        <v>850000</v>
      </c>
      <c r="Q7">
        <v>930000</v>
      </c>
      <c r="R7">
        <v>920000</v>
      </c>
      <c r="S7">
        <v>950000</v>
      </c>
    </row>
    <row r="8" spans="1:19">
      <c r="A8" t="s">
        <v>26</v>
      </c>
      <c r="B8" t="s">
        <v>179</v>
      </c>
      <c r="C8" t="s">
        <v>1416</v>
      </c>
      <c r="D8" t="s">
        <v>452</v>
      </c>
      <c r="G8">
        <f t="shared" si="0"/>
        <v>10000000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23</v>
      </c>
      <c r="B9" t="s">
        <v>179</v>
      </c>
      <c r="C9" t="s">
        <v>1417</v>
      </c>
      <c r="D9" t="s">
        <v>454</v>
      </c>
      <c r="G9">
        <f t="shared" si="0"/>
        <v>46756769200</v>
      </c>
      <c r="H9">
        <f t="shared" ref="H9:S9" si="4">H10+H11+H12+H13+H14+H15+H16+H17+H18+H19+H20+H21+H22+H23</f>
        <v>3272973840</v>
      </c>
      <c r="I9">
        <f t="shared" si="4"/>
        <v>3039190000</v>
      </c>
      <c r="J9">
        <f t="shared" si="4"/>
        <v>3647028000</v>
      </c>
      <c r="K9">
        <f t="shared" si="4"/>
        <v>3740541536</v>
      </c>
      <c r="L9">
        <f t="shared" si="4"/>
        <v>3834055072</v>
      </c>
      <c r="M9">
        <f t="shared" si="4"/>
        <v>3974325384</v>
      </c>
      <c r="N9">
        <f t="shared" si="4"/>
        <v>4114595688</v>
      </c>
      <c r="O9">
        <f t="shared" si="4"/>
        <v>4067838920</v>
      </c>
      <c r="P9">
        <f t="shared" si="4"/>
        <v>3974325384</v>
      </c>
      <c r="Q9">
        <f t="shared" si="4"/>
        <v>4348379536</v>
      </c>
      <c r="R9">
        <f t="shared" si="4"/>
        <v>4301622768</v>
      </c>
      <c r="S9">
        <f t="shared" si="4"/>
        <v>4441893072</v>
      </c>
    </row>
    <row r="10" spans="1:19">
      <c r="A10" t="s">
        <v>26</v>
      </c>
      <c r="B10" t="s">
        <v>179</v>
      </c>
      <c r="C10" t="s">
        <v>1418</v>
      </c>
      <c r="D10" t="s">
        <v>456</v>
      </c>
      <c r="G10">
        <f t="shared" si="0"/>
        <v>35846150</v>
      </c>
      <c r="H10">
        <v>2509230</v>
      </c>
      <c r="I10">
        <v>2330000</v>
      </c>
      <c r="J10">
        <v>2796000</v>
      </c>
      <c r="K10">
        <v>2867692</v>
      </c>
      <c r="L10">
        <v>2939384</v>
      </c>
      <c r="M10">
        <v>3046923</v>
      </c>
      <c r="N10">
        <v>3154461</v>
      </c>
      <c r="O10">
        <v>3118615</v>
      </c>
      <c r="P10">
        <v>3046923</v>
      </c>
      <c r="Q10">
        <v>3333692</v>
      </c>
      <c r="R10">
        <v>3297846</v>
      </c>
      <c r="S10">
        <v>3405384</v>
      </c>
    </row>
    <row r="11" spans="1:19">
      <c r="A11" t="s">
        <v>26</v>
      </c>
      <c r="B11" t="s">
        <v>179</v>
      </c>
      <c r="C11" t="s">
        <v>1419</v>
      </c>
      <c r="D11" t="s">
        <v>458</v>
      </c>
      <c r="G11">
        <f t="shared" si="0"/>
        <v>30000000</v>
      </c>
      <c r="H11">
        <v>2100000</v>
      </c>
      <c r="I11">
        <v>1950000</v>
      </c>
      <c r="J11">
        <v>2340000</v>
      </c>
      <c r="K11">
        <v>2400000</v>
      </c>
      <c r="L11">
        <v>2460000</v>
      </c>
      <c r="M11">
        <v>2550000</v>
      </c>
      <c r="N11">
        <v>2640000</v>
      </c>
      <c r="O11">
        <v>2610000</v>
      </c>
      <c r="P11">
        <v>2550000</v>
      </c>
      <c r="Q11">
        <v>2790000</v>
      </c>
      <c r="R11">
        <v>2760000</v>
      </c>
      <c r="S11">
        <v>2850000</v>
      </c>
    </row>
    <row r="12" spans="1:19">
      <c r="A12" t="s">
        <v>26</v>
      </c>
      <c r="B12" t="s">
        <v>179</v>
      </c>
      <c r="C12" t="s">
        <v>1420</v>
      </c>
      <c r="D12" t="s">
        <v>460</v>
      </c>
      <c r="G12">
        <f t="shared" si="0"/>
        <v>20000000</v>
      </c>
      <c r="H12">
        <v>1400000</v>
      </c>
      <c r="I12">
        <v>1300000</v>
      </c>
      <c r="J12">
        <v>1560000</v>
      </c>
      <c r="K12">
        <v>1600000</v>
      </c>
      <c r="L12">
        <v>1640000</v>
      </c>
      <c r="M12">
        <v>1700000</v>
      </c>
      <c r="N12">
        <v>1760000</v>
      </c>
      <c r="O12">
        <v>1740000</v>
      </c>
      <c r="P12">
        <v>1700000</v>
      </c>
      <c r="Q12">
        <v>1860000</v>
      </c>
      <c r="R12">
        <v>1840000</v>
      </c>
      <c r="S12">
        <v>1900000</v>
      </c>
    </row>
    <row r="13" spans="1:19">
      <c r="A13" t="s">
        <v>26</v>
      </c>
      <c r="B13" t="s">
        <v>179</v>
      </c>
      <c r="C13" t="s">
        <v>1421</v>
      </c>
      <c r="D13" t="s">
        <v>462</v>
      </c>
      <c r="G13">
        <f t="shared" si="0"/>
        <v>6400000000</v>
      </c>
      <c r="H13">
        <v>448000000</v>
      </c>
      <c r="I13">
        <v>416000000</v>
      </c>
      <c r="J13">
        <v>499200000</v>
      </c>
      <c r="K13">
        <v>512000000</v>
      </c>
      <c r="L13">
        <v>524800000</v>
      </c>
      <c r="M13">
        <v>544000000</v>
      </c>
      <c r="N13">
        <v>563200000</v>
      </c>
      <c r="O13">
        <v>556800000</v>
      </c>
      <c r="P13">
        <v>544000000</v>
      </c>
      <c r="Q13">
        <v>595200000</v>
      </c>
      <c r="R13">
        <v>588800000</v>
      </c>
      <c r="S13">
        <v>608000000</v>
      </c>
    </row>
    <row r="14" spans="1:19">
      <c r="A14" t="s">
        <v>26</v>
      </c>
      <c r="B14" t="s">
        <v>179</v>
      </c>
      <c r="C14" t="s">
        <v>1422</v>
      </c>
      <c r="D14" t="s">
        <v>464</v>
      </c>
      <c r="G14">
        <f t="shared" si="0"/>
        <v>35846150</v>
      </c>
      <c r="H14">
        <v>2509230</v>
      </c>
      <c r="I14">
        <v>2330000</v>
      </c>
      <c r="J14">
        <v>2796000</v>
      </c>
      <c r="K14">
        <v>2867692</v>
      </c>
      <c r="L14">
        <v>2939384</v>
      </c>
      <c r="M14">
        <v>3046923</v>
      </c>
      <c r="N14">
        <v>3154461</v>
      </c>
      <c r="O14">
        <v>3118615</v>
      </c>
      <c r="P14">
        <v>3046923</v>
      </c>
      <c r="Q14">
        <v>3333692</v>
      </c>
      <c r="R14">
        <v>3297846</v>
      </c>
      <c r="S14">
        <v>3405384</v>
      </c>
    </row>
    <row r="15" spans="1:19">
      <c r="A15" t="s">
        <v>26</v>
      </c>
      <c r="B15" t="s">
        <v>179</v>
      </c>
      <c r="C15" t="s">
        <v>1423</v>
      </c>
      <c r="D15" t="s">
        <v>466</v>
      </c>
      <c r="G15">
        <f t="shared" si="0"/>
        <v>40000000000</v>
      </c>
      <c r="H15">
        <v>2800000000</v>
      </c>
      <c r="I15">
        <v>2600000000</v>
      </c>
      <c r="J15">
        <v>3120000000</v>
      </c>
      <c r="K15">
        <v>3200000000</v>
      </c>
      <c r="L15">
        <v>3280000000</v>
      </c>
      <c r="M15">
        <v>3400000000</v>
      </c>
      <c r="N15">
        <v>3520000000</v>
      </c>
      <c r="O15">
        <v>3480000000</v>
      </c>
      <c r="P15">
        <v>3400000000</v>
      </c>
      <c r="Q15">
        <v>3720000000</v>
      </c>
      <c r="R15">
        <v>3680000000</v>
      </c>
      <c r="S15">
        <v>3800000000</v>
      </c>
    </row>
    <row r="16" spans="1:19">
      <c r="A16" t="s">
        <v>26</v>
      </c>
      <c r="B16" t="s">
        <v>179</v>
      </c>
      <c r="C16" t="s">
        <v>1424</v>
      </c>
      <c r="D16" t="s">
        <v>468</v>
      </c>
      <c r="G16">
        <f t="shared" si="0"/>
        <v>35846150</v>
      </c>
      <c r="H16">
        <v>2509230</v>
      </c>
      <c r="I16">
        <v>2330000</v>
      </c>
      <c r="J16">
        <v>2796000</v>
      </c>
      <c r="K16">
        <v>2867692</v>
      </c>
      <c r="L16">
        <v>2939384</v>
      </c>
      <c r="M16">
        <v>3046923</v>
      </c>
      <c r="N16">
        <v>3154461</v>
      </c>
      <c r="O16">
        <v>3118615</v>
      </c>
      <c r="P16">
        <v>3046923</v>
      </c>
      <c r="Q16">
        <v>3333692</v>
      </c>
      <c r="R16">
        <v>3297846</v>
      </c>
      <c r="S16">
        <v>3405384</v>
      </c>
    </row>
    <row r="17" spans="1:19">
      <c r="A17" t="s">
        <v>26</v>
      </c>
      <c r="B17" t="s">
        <v>179</v>
      </c>
      <c r="C17" t="s">
        <v>1425</v>
      </c>
      <c r="D17" t="s">
        <v>470</v>
      </c>
      <c r="G17">
        <f t="shared" si="0"/>
        <v>35846150</v>
      </c>
      <c r="H17">
        <v>2509230</v>
      </c>
      <c r="I17">
        <v>2330000</v>
      </c>
      <c r="J17">
        <v>2796000</v>
      </c>
      <c r="K17">
        <v>2867692</v>
      </c>
      <c r="L17">
        <v>2939384</v>
      </c>
      <c r="M17">
        <v>3046923</v>
      </c>
      <c r="N17">
        <v>3154461</v>
      </c>
      <c r="O17">
        <v>3118615</v>
      </c>
      <c r="P17">
        <v>3046923</v>
      </c>
      <c r="Q17">
        <v>3333692</v>
      </c>
      <c r="R17">
        <v>3297846</v>
      </c>
      <c r="S17">
        <v>3405384</v>
      </c>
    </row>
    <row r="18" spans="1:19">
      <c r="A18" t="s">
        <v>26</v>
      </c>
      <c r="B18" t="s">
        <v>179</v>
      </c>
      <c r="C18" t="s">
        <v>1426</v>
      </c>
      <c r="D18" t="s">
        <v>472</v>
      </c>
      <c r="G18">
        <f t="shared" si="0"/>
        <v>35846150</v>
      </c>
      <c r="H18">
        <v>2509230</v>
      </c>
      <c r="I18">
        <v>2330000</v>
      </c>
      <c r="J18">
        <v>2796000</v>
      </c>
      <c r="K18">
        <v>2867692</v>
      </c>
      <c r="L18">
        <v>2939384</v>
      </c>
      <c r="M18">
        <v>3046923</v>
      </c>
      <c r="N18">
        <v>3154461</v>
      </c>
      <c r="O18">
        <v>3118615</v>
      </c>
      <c r="P18">
        <v>3046923</v>
      </c>
      <c r="Q18">
        <v>3333692</v>
      </c>
      <c r="R18">
        <v>3297846</v>
      </c>
      <c r="S18">
        <v>3405384</v>
      </c>
    </row>
    <row r="19" spans="1:19">
      <c r="A19" t="s">
        <v>26</v>
      </c>
      <c r="B19" t="s">
        <v>179</v>
      </c>
      <c r="C19" t="s">
        <v>1427</v>
      </c>
      <c r="D19" t="s">
        <v>474</v>
      </c>
      <c r="G19">
        <f t="shared" si="0"/>
        <v>35846150</v>
      </c>
      <c r="H19">
        <v>2509230</v>
      </c>
      <c r="I19">
        <v>2330000</v>
      </c>
      <c r="J19">
        <v>2796000</v>
      </c>
      <c r="K19">
        <v>2867692</v>
      </c>
      <c r="L19">
        <v>2939384</v>
      </c>
      <c r="M19">
        <v>3046923</v>
      </c>
      <c r="N19">
        <v>3154461</v>
      </c>
      <c r="O19">
        <v>3118615</v>
      </c>
      <c r="P19">
        <v>3046923</v>
      </c>
      <c r="Q19">
        <v>3333692</v>
      </c>
      <c r="R19">
        <v>3297846</v>
      </c>
      <c r="S19">
        <v>3405384</v>
      </c>
    </row>
    <row r="20" spans="1:19">
      <c r="A20" t="s">
        <v>26</v>
      </c>
      <c r="B20" t="s">
        <v>179</v>
      </c>
      <c r="C20" t="s">
        <v>1428</v>
      </c>
      <c r="D20" t="s">
        <v>476</v>
      </c>
      <c r="G20">
        <f t="shared" si="0"/>
        <v>35846150</v>
      </c>
      <c r="H20">
        <v>2509230</v>
      </c>
      <c r="I20">
        <v>2330000</v>
      </c>
      <c r="J20">
        <v>2796000</v>
      </c>
      <c r="K20">
        <v>2867692</v>
      </c>
      <c r="L20">
        <v>2939384</v>
      </c>
      <c r="M20">
        <v>3046923</v>
      </c>
      <c r="N20">
        <v>3154461</v>
      </c>
      <c r="O20">
        <v>3118615</v>
      </c>
      <c r="P20">
        <v>3046923</v>
      </c>
      <c r="Q20">
        <v>3333692</v>
      </c>
      <c r="R20">
        <v>3297846</v>
      </c>
      <c r="S20">
        <v>3405384</v>
      </c>
    </row>
    <row r="21" spans="1:19">
      <c r="A21" t="s">
        <v>26</v>
      </c>
      <c r="B21" t="s">
        <v>179</v>
      </c>
      <c r="C21" t="s">
        <v>1429</v>
      </c>
      <c r="D21" t="s">
        <v>478</v>
      </c>
      <c r="G21">
        <f t="shared" si="0"/>
        <v>10000000</v>
      </c>
      <c r="H21">
        <v>700000</v>
      </c>
      <c r="I21">
        <v>650000</v>
      </c>
      <c r="J21">
        <v>780000</v>
      </c>
      <c r="K21">
        <v>800000</v>
      </c>
      <c r="L21">
        <v>820000</v>
      </c>
      <c r="M21">
        <v>850000</v>
      </c>
      <c r="N21">
        <v>880000</v>
      </c>
      <c r="O21">
        <v>870000</v>
      </c>
      <c r="P21">
        <v>850000</v>
      </c>
      <c r="Q21">
        <v>930000</v>
      </c>
      <c r="R21">
        <v>920000</v>
      </c>
      <c r="S21">
        <v>950000</v>
      </c>
    </row>
    <row r="22" spans="1:19">
      <c r="A22" t="s">
        <v>26</v>
      </c>
      <c r="B22" t="s">
        <v>179</v>
      </c>
      <c r="C22" t="s">
        <v>1430</v>
      </c>
      <c r="D22" t="s">
        <v>480</v>
      </c>
      <c r="G22">
        <f t="shared" si="0"/>
        <v>10000000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26</v>
      </c>
      <c r="B23" t="s">
        <v>179</v>
      </c>
      <c r="C23" t="s">
        <v>1431</v>
      </c>
      <c r="D23" t="s">
        <v>482</v>
      </c>
      <c r="G23">
        <f t="shared" si="0"/>
        <v>35846150</v>
      </c>
      <c r="H23">
        <v>2509230</v>
      </c>
      <c r="I23">
        <v>2330000</v>
      </c>
      <c r="J23">
        <v>2796000</v>
      </c>
      <c r="K23">
        <v>2867692</v>
      </c>
      <c r="L23">
        <v>2939384</v>
      </c>
      <c r="M23">
        <v>3046923</v>
      </c>
      <c r="N23">
        <v>3154461</v>
      </c>
      <c r="O23">
        <v>3118615</v>
      </c>
      <c r="P23">
        <v>3046923</v>
      </c>
      <c r="Q23">
        <v>3333692</v>
      </c>
      <c r="R23">
        <v>3297846</v>
      </c>
      <c r="S23">
        <v>3405384</v>
      </c>
    </row>
    <row r="24" spans="1:19">
      <c r="A24" t="s">
        <v>23</v>
      </c>
      <c r="B24" t="s">
        <v>179</v>
      </c>
      <c r="C24" t="s">
        <v>1432</v>
      </c>
      <c r="D24" t="s">
        <v>484</v>
      </c>
      <c r="G24">
        <f t="shared" si="0"/>
        <v>60000000</v>
      </c>
      <c r="H24">
        <f t="shared" ref="H24:S24" si="5">H25+H26+H27</f>
        <v>4200000</v>
      </c>
      <c r="I24">
        <f t="shared" si="5"/>
        <v>3900000</v>
      </c>
      <c r="J24">
        <f t="shared" si="5"/>
        <v>4680000</v>
      </c>
      <c r="K24">
        <f t="shared" si="5"/>
        <v>4800000</v>
      </c>
      <c r="L24">
        <f t="shared" si="5"/>
        <v>4920000</v>
      </c>
      <c r="M24">
        <f t="shared" si="5"/>
        <v>5100000</v>
      </c>
      <c r="N24">
        <f t="shared" si="5"/>
        <v>5280000</v>
      </c>
      <c r="O24">
        <f t="shared" si="5"/>
        <v>5220000</v>
      </c>
      <c r="P24">
        <f t="shared" si="5"/>
        <v>5100000</v>
      </c>
      <c r="Q24">
        <f t="shared" si="5"/>
        <v>5580000</v>
      </c>
      <c r="R24">
        <f t="shared" si="5"/>
        <v>5520000</v>
      </c>
      <c r="S24">
        <f t="shared" si="5"/>
        <v>5700000</v>
      </c>
    </row>
    <row r="25" spans="1:19">
      <c r="A25" t="s">
        <v>26</v>
      </c>
      <c r="B25" t="s">
        <v>179</v>
      </c>
      <c r="C25" t="s">
        <v>1433</v>
      </c>
      <c r="D25" t="s">
        <v>486</v>
      </c>
      <c r="G25">
        <f t="shared" si="0"/>
        <v>30000000</v>
      </c>
      <c r="H25">
        <v>2100000</v>
      </c>
      <c r="I25">
        <v>1950000</v>
      </c>
      <c r="J25">
        <v>2340000</v>
      </c>
      <c r="K25">
        <v>2400000</v>
      </c>
      <c r="L25">
        <v>2460000</v>
      </c>
      <c r="M25">
        <v>2550000</v>
      </c>
      <c r="N25">
        <v>2640000</v>
      </c>
      <c r="O25">
        <v>2610000</v>
      </c>
      <c r="P25">
        <v>2550000</v>
      </c>
      <c r="Q25">
        <v>2790000</v>
      </c>
      <c r="R25">
        <v>2760000</v>
      </c>
      <c r="S25">
        <v>2850000</v>
      </c>
    </row>
    <row r="26" spans="1:19">
      <c r="A26" t="s">
        <v>26</v>
      </c>
      <c r="B26" t="s">
        <v>179</v>
      </c>
      <c r="C26" t="s">
        <v>1434</v>
      </c>
      <c r="D26" t="s">
        <v>488</v>
      </c>
      <c r="G26">
        <f t="shared" si="0"/>
        <v>20000000</v>
      </c>
      <c r="H26">
        <v>1400000</v>
      </c>
      <c r="I26">
        <v>1300000</v>
      </c>
      <c r="J26">
        <v>1560000</v>
      </c>
      <c r="K26">
        <v>1600000</v>
      </c>
      <c r="L26">
        <v>1640000</v>
      </c>
      <c r="M26">
        <v>1700000</v>
      </c>
      <c r="N26">
        <v>1760000</v>
      </c>
      <c r="O26">
        <v>1740000</v>
      </c>
      <c r="P26">
        <v>1700000</v>
      </c>
      <c r="Q26">
        <v>1860000</v>
      </c>
      <c r="R26">
        <v>1840000</v>
      </c>
      <c r="S26">
        <v>1900000</v>
      </c>
    </row>
    <row r="27" spans="1:19">
      <c r="A27" t="s">
        <v>26</v>
      </c>
      <c r="B27" t="s">
        <v>179</v>
      </c>
      <c r="C27" t="s">
        <v>1435</v>
      </c>
      <c r="D27" t="s">
        <v>490</v>
      </c>
      <c r="G27">
        <f t="shared" si="0"/>
        <v>10000000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1436</v>
      </c>
      <c r="D2" t="s">
        <v>22</v>
      </c>
      <c r="G2">
        <f t="shared" ref="G2:G65" si="0">H2+I2+J2+K2+L2+M2+N2+O2+P2+Q2+R2+S2</f>
        <v>15519882808</v>
      </c>
      <c r="H2">
        <f t="shared" ref="H2:S2" si="1">H3+H6+H7</f>
        <v>1118220486</v>
      </c>
      <c r="I2">
        <f t="shared" si="1"/>
        <v>1081427974</v>
      </c>
      <c r="J2">
        <f t="shared" si="1"/>
        <v>1237916532</v>
      </c>
      <c r="K2">
        <f t="shared" si="1"/>
        <v>1262445042</v>
      </c>
      <c r="L2">
        <f t="shared" si="1"/>
        <v>1293515526</v>
      </c>
      <c r="M2">
        <f t="shared" si="1"/>
        <v>1333579420</v>
      </c>
      <c r="N2">
        <f t="shared" si="1"/>
        <v>1367101680</v>
      </c>
      <c r="O2">
        <f t="shared" si="1"/>
        <v>1345024634</v>
      </c>
      <c r="P2">
        <f t="shared" si="1"/>
        <v>1313954152</v>
      </c>
      <c r="Q2">
        <f t="shared" si="1"/>
        <v>1379359552</v>
      </c>
      <c r="R2">
        <f t="shared" si="1"/>
        <v>1363824142</v>
      </c>
      <c r="S2">
        <f t="shared" si="1"/>
        <v>1423513668</v>
      </c>
    </row>
    <row r="3" spans="1:19">
      <c r="A3" t="s">
        <v>23</v>
      </c>
      <c r="B3" t="s">
        <v>20</v>
      </c>
      <c r="C3" t="s">
        <v>1437</v>
      </c>
      <c r="D3" t="s">
        <v>25</v>
      </c>
      <c r="G3">
        <f t="shared" si="0"/>
        <v>1410898424</v>
      </c>
      <c r="H3">
        <f t="shared" ref="H3:S3" si="2">H4+H5</f>
        <v>101656406</v>
      </c>
      <c r="I3">
        <f t="shared" si="2"/>
        <v>98311632</v>
      </c>
      <c r="J3">
        <f t="shared" si="2"/>
        <v>112537866</v>
      </c>
      <c r="K3">
        <f t="shared" si="2"/>
        <v>114767730</v>
      </c>
      <c r="L3">
        <f t="shared" si="2"/>
        <v>117592320</v>
      </c>
      <c r="M3">
        <f t="shared" si="2"/>
        <v>121234492</v>
      </c>
      <c r="N3">
        <f t="shared" si="2"/>
        <v>124281970</v>
      </c>
      <c r="O3">
        <f t="shared" si="2"/>
        <v>122274966</v>
      </c>
      <c r="P3">
        <f t="shared" si="2"/>
        <v>119450376</v>
      </c>
      <c r="Q3">
        <f t="shared" si="2"/>
        <v>125396322</v>
      </c>
      <c r="R3">
        <f t="shared" si="2"/>
        <v>123984012</v>
      </c>
      <c r="S3">
        <f t="shared" si="2"/>
        <v>129410332</v>
      </c>
    </row>
    <row r="4" spans="1:19">
      <c r="A4" t="s">
        <v>26</v>
      </c>
      <c r="B4" t="s">
        <v>20</v>
      </c>
      <c r="C4" t="s">
        <v>1438</v>
      </c>
      <c r="D4" t="s">
        <v>28</v>
      </c>
      <c r="G4">
        <f t="shared" si="0"/>
        <v>705449212</v>
      </c>
      <c r="H4">
        <v>50828203</v>
      </c>
      <c r="I4">
        <v>49155816</v>
      </c>
      <c r="J4">
        <v>56268933</v>
      </c>
      <c r="K4">
        <v>57383865</v>
      </c>
      <c r="L4">
        <v>58796160</v>
      </c>
      <c r="M4">
        <v>60617246</v>
      </c>
      <c r="N4">
        <v>62140985</v>
      </c>
      <c r="O4">
        <v>61137483</v>
      </c>
      <c r="P4">
        <v>59725188</v>
      </c>
      <c r="Q4">
        <v>62698161</v>
      </c>
      <c r="R4">
        <v>61992006</v>
      </c>
      <c r="S4">
        <v>64705166</v>
      </c>
    </row>
    <row r="5" spans="1:19">
      <c r="A5" t="s">
        <v>26</v>
      </c>
      <c r="B5" t="s">
        <v>20</v>
      </c>
      <c r="C5" t="s">
        <v>1439</v>
      </c>
      <c r="D5" t="s">
        <v>30</v>
      </c>
      <c r="G5">
        <f t="shared" si="0"/>
        <v>705449212</v>
      </c>
      <c r="H5">
        <v>50828203</v>
      </c>
      <c r="I5">
        <v>49155816</v>
      </c>
      <c r="J5">
        <v>56268933</v>
      </c>
      <c r="K5">
        <v>57383865</v>
      </c>
      <c r="L5">
        <v>58796160</v>
      </c>
      <c r="M5">
        <v>60617246</v>
      </c>
      <c r="N5">
        <v>62140985</v>
      </c>
      <c r="O5">
        <v>61137483</v>
      </c>
      <c r="P5">
        <v>59725188</v>
      </c>
      <c r="Q5">
        <v>62698161</v>
      </c>
      <c r="R5">
        <v>61992006</v>
      </c>
      <c r="S5">
        <v>64705166</v>
      </c>
    </row>
    <row r="6" spans="1:19">
      <c r="A6" t="s">
        <v>23</v>
      </c>
      <c r="B6" t="s">
        <v>20</v>
      </c>
      <c r="C6" t="s">
        <v>1440</v>
      </c>
      <c r="D6" t="s">
        <v>32</v>
      </c>
      <c r="G6">
        <f t="shared" si="0"/>
        <v>7054492192</v>
      </c>
      <c r="H6">
        <v>508282040</v>
      </c>
      <c r="I6">
        <v>491558171</v>
      </c>
      <c r="J6">
        <v>562689333</v>
      </c>
      <c r="K6">
        <v>573838656</v>
      </c>
      <c r="L6">
        <v>587961603</v>
      </c>
      <c r="M6">
        <v>606172464</v>
      </c>
      <c r="N6">
        <v>621409855</v>
      </c>
      <c r="O6">
        <v>611374834</v>
      </c>
      <c r="P6">
        <v>597251888</v>
      </c>
      <c r="Q6">
        <v>626981615</v>
      </c>
      <c r="R6">
        <v>619920065</v>
      </c>
      <c r="S6">
        <v>647051668</v>
      </c>
    </row>
    <row r="7" spans="1:19">
      <c r="A7" t="s">
        <v>23</v>
      </c>
      <c r="B7" t="s">
        <v>20</v>
      </c>
      <c r="C7" t="s">
        <v>1441</v>
      </c>
      <c r="D7" t="s">
        <v>34</v>
      </c>
      <c r="G7">
        <f t="shared" si="0"/>
        <v>7054492192</v>
      </c>
      <c r="H7">
        <v>508282040</v>
      </c>
      <c r="I7">
        <v>491558171</v>
      </c>
      <c r="J7">
        <v>562689333</v>
      </c>
      <c r="K7">
        <v>573838656</v>
      </c>
      <c r="L7">
        <v>587961603</v>
      </c>
      <c r="M7">
        <v>606172464</v>
      </c>
      <c r="N7">
        <v>621409855</v>
      </c>
      <c r="O7">
        <v>611374834</v>
      </c>
      <c r="P7">
        <v>597251888</v>
      </c>
      <c r="Q7">
        <v>626981615</v>
      </c>
      <c r="R7">
        <v>619920065</v>
      </c>
      <c r="S7">
        <v>647051668</v>
      </c>
    </row>
    <row r="8" spans="1:19">
      <c r="A8" t="s">
        <v>19</v>
      </c>
      <c r="B8" t="s">
        <v>35</v>
      </c>
      <c r="C8" t="s">
        <v>1442</v>
      </c>
      <c r="D8" t="s">
        <v>37</v>
      </c>
      <c r="G8">
        <f t="shared" si="0"/>
        <v>450000000</v>
      </c>
      <c r="H8">
        <v>31500000</v>
      </c>
      <c r="I8">
        <v>29250000</v>
      </c>
      <c r="J8">
        <v>35100000</v>
      </c>
      <c r="K8">
        <v>36000000</v>
      </c>
      <c r="L8">
        <v>36900000</v>
      </c>
      <c r="M8">
        <v>38250000</v>
      </c>
      <c r="N8">
        <v>39600000</v>
      </c>
      <c r="O8">
        <v>39150000</v>
      </c>
      <c r="P8">
        <v>38250000</v>
      </c>
      <c r="Q8">
        <v>41850000</v>
      </c>
      <c r="R8">
        <v>41400000</v>
      </c>
      <c r="S8">
        <v>42750000</v>
      </c>
    </row>
    <row r="9" spans="1:19">
      <c r="A9" t="s">
        <v>19</v>
      </c>
      <c r="B9" t="s">
        <v>20</v>
      </c>
      <c r="C9" t="s">
        <v>1443</v>
      </c>
      <c r="D9" t="s">
        <v>39</v>
      </c>
      <c r="G9">
        <f t="shared" si="0"/>
        <v>7054492192</v>
      </c>
      <c r="H9">
        <v>508282040</v>
      </c>
      <c r="I9">
        <v>491558171</v>
      </c>
      <c r="J9">
        <v>562689333</v>
      </c>
      <c r="K9">
        <v>573838656</v>
      </c>
      <c r="L9">
        <v>587961603</v>
      </c>
      <c r="M9">
        <v>606172464</v>
      </c>
      <c r="N9">
        <v>621409855</v>
      </c>
      <c r="O9">
        <v>611374834</v>
      </c>
      <c r="P9">
        <v>597251888</v>
      </c>
      <c r="Q9">
        <v>626981615</v>
      </c>
      <c r="R9">
        <v>619920065</v>
      </c>
      <c r="S9">
        <v>647051668</v>
      </c>
    </row>
    <row r="10" spans="1:19">
      <c r="A10" t="s">
        <v>19</v>
      </c>
      <c r="B10" t="s">
        <v>35</v>
      </c>
      <c r="C10" t="s">
        <v>1444</v>
      </c>
      <c r="D10" t="s">
        <v>41</v>
      </c>
      <c r="G10">
        <f t="shared" si="0"/>
        <v>7054492192</v>
      </c>
      <c r="H10">
        <v>508282040</v>
      </c>
      <c r="I10">
        <v>491558171</v>
      </c>
      <c r="J10">
        <v>562689333</v>
      </c>
      <c r="K10">
        <v>573838656</v>
      </c>
      <c r="L10">
        <v>587961603</v>
      </c>
      <c r="M10">
        <v>606172464</v>
      </c>
      <c r="N10">
        <v>621409855</v>
      </c>
      <c r="O10">
        <v>611374834</v>
      </c>
      <c r="P10">
        <v>597251888</v>
      </c>
      <c r="Q10">
        <v>626981615</v>
      </c>
      <c r="R10">
        <v>619920065</v>
      </c>
      <c r="S10">
        <v>647051668</v>
      </c>
    </row>
    <row r="11" spans="1:19">
      <c r="A11" t="s">
        <v>19</v>
      </c>
      <c r="B11" t="s">
        <v>35</v>
      </c>
      <c r="C11" t="s">
        <v>1445</v>
      </c>
      <c r="D11" t="s">
        <v>43</v>
      </c>
      <c r="G11">
        <f t="shared" si="0"/>
        <v>19188218694</v>
      </c>
      <c r="H11">
        <f t="shared" ref="H11:S11" si="3">H12+H15+H18+H25+H26</f>
        <v>1382527141</v>
      </c>
      <c r="I11">
        <f t="shared" si="3"/>
        <v>1337038216</v>
      </c>
      <c r="J11">
        <f t="shared" si="3"/>
        <v>1530514983</v>
      </c>
      <c r="K11">
        <f t="shared" si="3"/>
        <v>1560841139</v>
      </c>
      <c r="L11">
        <f t="shared" si="3"/>
        <v>1599255556</v>
      </c>
      <c r="M11">
        <f t="shared" si="3"/>
        <v>1648789098</v>
      </c>
      <c r="N11">
        <f t="shared" si="3"/>
        <v>1690234801</v>
      </c>
      <c r="O11">
        <f t="shared" si="3"/>
        <v>1662939543</v>
      </c>
      <c r="P11">
        <f t="shared" si="3"/>
        <v>1624525128</v>
      </c>
      <c r="Q11">
        <f t="shared" si="3"/>
        <v>1705389987</v>
      </c>
      <c r="R11">
        <f t="shared" si="3"/>
        <v>1686182572</v>
      </c>
      <c r="S11">
        <f t="shared" si="3"/>
        <v>1759980530</v>
      </c>
    </row>
    <row r="12" spans="1:19">
      <c r="A12" t="s">
        <v>23</v>
      </c>
      <c r="B12" t="s">
        <v>35</v>
      </c>
      <c r="C12" t="s">
        <v>1446</v>
      </c>
      <c r="D12" t="s">
        <v>45</v>
      </c>
      <c r="G12">
        <f t="shared" si="0"/>
        <v>1410898424</v>
      </c>
      <c r="H12">
        <f t="shared" ref="H12:S12" si="4">H13+H14</f>
        <v>101656406</v>
      </c>
      <c r="I12">
        <f t="shared" si="4"/>
        <v>98311632</v>
      </c>
      <c r="J12">
        <f t="shared" si="4"/>
        <v>112537866</v>
      </c>
      <c r="K12">
        <f t="shared" si="4"/>
        <v>114767730</v>
      </c>
      <c r="L12">
        <f t="shared" si="4"/>
        <v>117592320</v>
      </c>
      <c r="M12">
        <f t="shared" si="4"/>
        <v>121234492</v>
      </c>
      <c r="N12">
        <f t="shared" si="4"/>
        <v>124281970</v>
      </c>
      <c r="O12">
        <f t="shared" si="4"/>
        <v>122274966</v>
      </c>
      <c r="P12">
        <f t="shared" si="4"/>
        <v>119450376</v>
      </c>
      <c r="Q12">
        <f t="shared" si="4"/>
        <v>125396322</v>
      </c>
      <c r="R12">
        <f t="shared" si="4"/>
        <v>123984012</v>
      </c>
      <c r="S12">
        <f t="shared" si="4"/>
        <v>129410332</v>
      </c>
    </row>
    <row r="13" spans="1:19">
      <c r="A13" t="s">
        <v>26</v>
      </c>
      <c r="B13" t="s">
        <v>35</v>
      </c>
      <c r="C13" t="s">
        <v>1447</v>
      </c>
      <c r="D13" t="s">
        <v>47</v>
      </c>
      <c r="G13">
        <f t="shared" si="0"/>
        <v>705449212</v>
      </c>
      <c r="H13">
        <v>50828203</v>
      </c>
      <c r="I13">
        <v>49155816</v>
      </c>
      <c r="J13">
        <v>56268933</v>
      </c>
      <c r="K13">
        <v>57383865</v>
      </c>
      <c r="L13">
        <v>58796160</v>
      </c>
      <c r="M13">
        <v>60617246</v>
      </c>
      <c r="N13">
        <v>62140985</v>
      </c>
      <c r="O13">
        <v>61137483</v>
      </c>
      <c r="P13">
        <v>59725188</v>
      </c>
      <c r="Q13">
        <v>62698161</v>
      </c>
      <c r="R13">
        <v>61992006</v>
      </c>
      <c r="S13">
        <v>64705166</v>
      </c>
    </row>
    <row r="14" spans="1:19">
      <c r="A14" t="s">
        <v>26</v>
      </c>
      <c r="B14" t="s">
        <v>35</v>
      </c>
      <c r="C14" t="s">
        <v>1448</v>
      </c>
      <c r="D14" t="s">
        <v>49</v>
      </c>
      <c r="G14">
        <f t="shared" si="0"/>
        <v>705449212</v>
      </c>
      <c r="H14">
        <v>50828203</v>
      </c>
      <c r="I14">
        <v>49155816</v>
      </c>
      <c r="J14">
        <v>56268933</v>
      </c>
      <c r="K14">
        <v>57383865</v>
      </c>
      <c r="L14">
        <v>58796160</v>
      </c>
      <c r="M14">
        <v>60617246</v>
      </c>
      <c r="N14">
        <v>62140985</v>
      </c>
      <c r="O14">
        <v>61137483</v>
      </c>
      <c r="P14">
        <v>59725188</v>
      </c>
      <c r="Q14">
        <v>62698161</v>
      </c>
      <c r="R14">
        <v>61992006</v>
      </c>
      <c r="S14">
        <v>64705166</v>
      </c>
    </row>
    <row r="15" spans="1:19">
      <c r="A15" t="s">
        <v>23</v>
      </c>
      <c r="B15" t="s">
        <v>35</v>
      </c>
      <c r="C15" t="s">
        <v>1449</v>
      </c>
      <c r="D15" t="s">
        <v>51</v>
      </c>
      <c r="G15">
        <f t="shared" si="0"/>
        <v>1410898424</v>
      </c>
      <c r="H15">
        <f t="shared" ref="H15:S15" si="5">H16+H17</f>
        <v>101656406</v>
      </c>
      <c r="I15">
        <f t="shared" si="5"/>
        <v>98311632</v>
      </c>
      <c r="J15">
        <f t="shared" si="5"/>
        <v>112537866</v>
      </c>
      <c r="K15">
        <f t="shared" si="5"/>
        <v>114767730</v>
      </c>
      <c r="L15">
        <f t="shared" si="5"/>
        <v>117592320</v>
      </c>
      <c r="M15">
        <f t="shared" si="5"/>
        <v>121234492</v>
      </c>
      <c r="N15">
        <f t="shared" si="5"/>
        <v>124281970</v>
      </c>
      <c r="O15">
        <f t="shared" si="5"/>
        <v>122274966</v>
      </c>
      <c r="P15">
        <f t="shared" si="5"/>
        <v>119450376</v>
      </c>
      <c r="Q15">
        <f t="shared" si="5"/>
        <v>125396322</v>
      </c>
      <c r="R15">
        <f t="shared" si="5"/>
        <v>123984012</v>
      </c>
      <c r="S15">
        <f t="shared" si="5"/>
        <v>129410332</v>
      </c>
    </row>
    <row r="16" spans="1:19">
      <c r="A16" t="s">
        <v>26</v>
      </c>
      <c r="B16" t="s">
        <v>35</v>
      </c>
      <c r="C16" t="s">
        <v>1450</v>
      </c>
      <c r="D16" t="s">
        <v>53</v>
      </c>
      <c r="G16">
        <f t="shared" si="0"/>
        <v>705449212</v>
      </c>
      <c r="H16">
        <v>50828203</v>
      </c>
      <c r="I16">
        <v>49155816</v>
      </c>
      <c r="J16">
        <v>56268933</v>
      </c>
      <c r="K16">
        <v>57383865</v>
      </c>
      <c r="L16">
        <v>58796160</v>
      </c>
      <c r="M16">
        <v>60617246</v>
      </c>
      <c r="N16">
        <v>62140985</v>
      </c>
      <c r="O16">
        <v>61137483</v>
      </c>
      <c r="P16">
        <v>59725188</v>
      </c>
      <c r="Q16">
        <v>62698161</v>
      </c>
      <c r="R16">
        <v>61992006</v>
      </c>
      <c r="S16">
        <v>64705166</v>
      </c>
    </row>
    <row r="17" spans="1:19">
      <c r="A17" t="s">
        <v>26</v>
      </c>
      <c r="B17" t="s">
        <v>35</v>
      </c>
      <c r="C17" t="s">
        <v>1451</v>
      </c>
      <c r="D17" t="s">
        <v>55</v>
      </c>
      <c r="G17">
        <f t="shared" si="0"/>
        <v>705449212</v>
      </c>
      <c r="H17">
        <v>50828203</v>
      </c>
      <c r="I17">
        <v>49155816</v>
      </c>
      <c r="J17">
        <v>56268933</v>
      </c>
      <c r="K17">
        <v>57383865</v>
      </c>
      <c r="L17">
        <v>58796160</v>
      </c>
      <c r="M17">
        <v>60617246</v>
      </c>
      <c r="N17">
        <v>62140985</v>
      </c>
      <c r="O17">
        <v>61137483</v>
      </c>
      <c r="P17">
        <v>59725188</v>
      </c>
      <c r="Q17">
        <v>62698161</v>
      </c>
      <c r="R17">
        <v>61992006</v>
      </c>
      <c r="S17">
        <v>64705166</v>
      </c>
    </row>
    <row r="18" spans="1:19">
      <c r="A18" t="s">
        <v>23</v>
      </c>
      <c r="B18" t="s">
        <v>35</v>
      </c>
      <c r="C18" t="s">
        <v>1452</v>
      </c>
      <c r="D18" t="s">
        <v>57</v>
      </c>
      <c r="G18">
        <f t="shared" si="0"/>
        <v>2257437462</v>
      </c>
      <c r="H18">
        <f t="shared" ref="H18:S18" si="6">H19+H22+H23+H24</f>
        <v>162650249</v>
      </c>
      <c r="I18">
        <f t="shared" si="6"/>
        <v>157298610</v>
      </c>
      <c r="J18">
        <f t="shared" si="6"/>
        <v>180060585</v>
      </c>
      <c r="K18">
        <f t="shared" si="6"/>
        <v>183628367</v>
      </c>
      <c r="L18">
        <f t="shared" si="6"/>
        <v>188147710</v>
      </c>
      <c r="M18">
        <f t="shared" si="6"/>
        <v>193975186</v>
      </c>
      <c r="N18">
        <f t="shared" si="6"/>
        <v>198851151</v>
      </c>
      <c r="O18">
        <f t="shared" si="6"/>
        <v>195639943</v>
      </c>
      <c r="P18">
        <f t="shared" si="6"/>
        <v>191120600</v>
      </c>
      <c r="Q18">
        <f t="shared" si="6"/>
        <v>200634113</v>
      </c>
      <c r="R18">
        <f t="shared" si="6"/>
        <v>198374418</v>
      </c>
      <c r="S18">
        <f t="shared" si="6"/>
        <v>207056530</v>
      </c>
    </row>
    <row r="19" spans="1:19">
      <c r="A19" t="s">
        <v>26</v>
      </c>
      <c r="B19" t="s">
        <v>35</v>
      </c>
      <c r="C19" t="s">
        <v>1453</v>
      </c>
      <c r="D19" t="s">
        <v>59</v>
      </c>
      <c r="G19">
        <f t="shared" si="0"/>
        <v>141089826</v>
      </c>
      <c r="H19">
        <f t="shared" ref="H19:S19" si="7">H20+H21</f>
        <v>10165640</v>
      </c>
      <c r="I19">
        <f t="shared" si="7"/>
        <v>9831162</v>
      </c>
      <c r="J19">
        <f t="shared" si="7"/>
        <v>11253786</v>
      </c>
      <c r="K19">
        <f t="shared" si="7"/>
        <v>11476772</v>
      </c>
      <c r="L19">
        <f t="shared" si="7"/>
        <v>11759230</v>
      </c>
      <c r="M19">
        <f t="shared" si="7"/>
        <v>12123448</v>
      </c>
      <c r="N19">
        <f t="shared" si="7"/>
        <v>12428196</v>
      </c>
      <c r="O19">
        <f t="shared" si="7"/>
        <v>12227494</v>
      </c>
      <c r="P19">
        <f t="shared" si="7"/>
        <v>11945036</v>
      </c>
      <c r="Q19">
        <f t="shared" si="7"/>
        <v>12539630</v>
      </c>
      <c r="R19">
        <f t="shared" si="7"/>
        <v>12398400</v>
      </c>
      <c r="S19">
        <f t="shared" si="7"/>
        <v>12941032</v>
      </c>
    </row>
    <row r="20" spans="1:19">
      <c r="A20" t="s">
        <v>60</v>
      </c>
      <c r="B20" t="s">
        <v>35</v>
      </c>
      <c r="C20" t="s">
        <v>1454</v>
      </c>
      <c r="D20" t="s">
        <v>62</v>
      </c>
      <c r="G20">
        <f t="shared" si="0"/>
        <v>70544913</v>
      </c>
      <c r="H20">
        <v>5082820</v>
      </c>
      <c r="I20">
        <v>4915581</v>
      </c>
      <c r="J20">
        <v>5626893</v>
      </c>
      <c r="K20">
        <v>5738386</v>
      </c>
      <c r="L20">
        <v>5879615</v>
      </c>
      <c r="M20">
        <v>6061724</v>
      </c>
      <c r="N20">
        <v>6214098</v>
      </c>
      <c r="O20">
        <v>6113747</v>
      </c>
      <c r="P20">
        <v>5972518</v>
      </c>
      <c r="Q20">
        <v>6269815</v>
      </c>
      <c r="R20">
        <v>6199200</v>
      </c>
      <c r="S20">
        <v>6470516</v>
      </c>
    </row>
    <row r="21" spans="1:19">
      <c r="A21" t="s">
        <v>60</v>
      </c>
      <c r="B21" t="s">
        <v>35</v>
      </c>
      <c r="C21" t="s">
        <v>1455</v>
      </c>
      <c r="D21" t="s">
        <v>64</v>
      </c>
      <c r="G21">
        <f t="shared" si="0"/>
        <v>70544913</v>
      </c>
      <c r="H21">
        <v>5082820</v>
      </c>
      <c r="I21">
        <v>4915581</v>
      </c>
      <c r="J21">
        <v>5626893</v>
      </c>
      <c r="K21">
        <v>5738386</v>
      </c>
      <c r="L21">
        <v>5879615</v>
      </c>
      <c r="M21">
        <v>6061724</v>
      </c>
      <c r="N21">
        <v>6214098</v>
      </c>
      <c r="O21">
        <v>6113747</v>
      </c>
      <c r="P21">
        <v>5972518</v>
      </c>
      <c r="Q21">
        <v>6269815</v>
      </c>
      <c r="R21">
        <v>6199200</v>
      </c>
      <c r="S21">
        <v>6470516</v>
      </c>
    </row>
    <row r="22" spans="1:19">
      <c r="A22" t="s">
        <v>26</v>
      </c>
      <c r="B22" t="s">
        <v>35</v>
      </c>
      <c r="C22" t="s">
        <v>1456</v>
      </c>
      <c r="D22" t="s">
        <v>66</v>
      </c>
      <c r="G22">
        <f t="shared" si="0"/>
        <v>705449212</v>
      </c>
      <c r="H22">
        <v>50828203</v>
      </c>
      <c r="I22">
        <v>49155816</v>
      </c>
      <c r="J22">
        <v>56268933</v>
      </c>
      <c r="K22">
        <v>57383865</v>
      </c>
      <c r="L22">
        <v>58796160</v>
      </c>
      <c r="M22">
        <v>60617246</v>
      </c>
      <c r="N22">
        <v>62140985</v>
      </c>
      <c r="O22">
        <v>61137483</v>
      </c>
      <c r="P22">
        <v>59725188</v>
      </c>
      <c r="Q22">
        <v>62698161</v>
      </c>
      <c r="R22">
        <v>61992006</v>
      </c>
      <c r="S22">
        <v>64705166</v>
      </c>
    </row>
    <row r="23" spans="1:19">
      <c r="A23" t="s">
        <v>26</v>
      </c>
      <c r="B23" t="s">
        <v>35</v>
      </c>
      <c r="C23" t="s">
        <v>1457</v>
      </c>
      <c r="D23" t="s">
        <v>68</v>
      </c>
      <c r="G23">
        <f t="shared" si="0"/>
        <v>705449212</v>
      </c>
      <c r="H23">
        <v>50828203</v>
      </c>
      <c r="I23">
        <v>49155816</v>
      </c>
      <c r="J23">
        <v>56268933</v>
      </c>
      <c r="K23">
        <v>57383865</v>
      </c>
      <c r="L23">
        <v>58796160</v>
      </c>
      <c r="M23">
        <v>60617246</v>
      </c>
      <c r="N23">
        <v>62140985</v>
      </c>
      <c r="O23">
        <v>61137483</v>
      </c>
      <c r="P23">
        <v>59725188</v>
      </c>
      <c r="Q23">
        <v>62698161</v>
      </c>
      <c r="R23">
        <v>61992006</v>
      </c>
      <c r="S23">
        <v>64705166</v>
      </c>
    </row>
    <row r="24" spans="1:19">
      <c r="A24" t="s">
        <v>26</v>
      </c>
      <c r="B24" t="s">
        <v>35</v>
      </c>
      <c r="C24" t="s">
        <v>1458</v>
      </c>
      <c r="D24" t="s">
        <v>70</v>
      </c>
      <c r="G24">
        <f t="shared" si="0"/>
        <v>705449212</v>
      </c>
      <c r="H24">
        <v>50828203</v>
      </c>
      <c r="I24">
        <v>49155816</v>
      </c>
      <c r="J24">
        <v>56268933</v>
      </c>
      <c r="K24">
        <v>57383865</v>
      </c>
      <c r="L24">
        <v>58796160</v>
      </c>
      <c r="M24">
        <v>60617246</v>
      </c>
      <c r="N24">
        <v>62140985</v>
      </c>
      <c r="O24">
        <v>61137483</v>
      </c>
      <c r="P24">
        <v>59725188</v>
      </c>
      <c r="Q24">
        <v>62698161</v>
      </c>
      <c r="R24">
        <v>61992006</v>
      </c>
      <c r="S24">
        <v>64705166</v>
      </c>
    </row>
    <row r="25" spans="1:19">
      <c r="A25" t="s">
        <v>23</v>
      </c>
      <c r="B25" t="s">
        <v>35</v>
      </c>
      <c r="C25" t="s">
        <v>1459</v>
      </c>
      <c r="D25" t="s">
        <v>72</v>
      </c>
      <c r="G25">
        <f t="shared" si="0"/>
        <v>7054492192</v>
      </c>
      <c r="H25">
        <v>508282040</v>
      </c>
      <c r="I25">
        <v>491558171</v>
      </c>
      <c r="J25">
        <v>562689333</v>
      </c>
      <c r="K25">
        <v>573838656</v>
      </c>
      <c r="L25">
        <v>587961603</v>
      </c>
      <c r="M25">
        <v>606172464</v>
      </c>
      <c r="N25">
        <v>621409855</v>
      </c>
      <c r="O25">
        <v>611374834</v>
      </c>
      <c r="P25">
        <v>597251888</v>
      </c>
      <c r="Q25">
        <v>626981615</v>
      </c>
      <c r="R25">
        <v>619920065</v>
      </c>
      <c r="S25">
        <v>647051668</v>
      </c>
    </row>
    <row r="26" spans="1:19">
      <c r="A26" t="s">
        <v>23</v>
      </c>
      <c r="B26" t="s">
        <v>35</v>
      </c>
      <c r="C26" t="s">
        <v>1460</v>
      </c>
      <c r="D26" t="s">
        <v>74</v>
      </c>
      <c r="G26">
        <f t="shared" si="0"/>
        <v>7054492192</v>
      </c>
      <c r="H26">
        <v>508282040</v>
      </c>
      <c r="I26">
        <v>491558171</v>
      </c>
      <c r="J26">
        <v>562689333</v>
      </c>
      <c r="K26">
        <v>573838656</v>
      </c>
      <c r="L26">
        <v>587961603</v>
      </c>
      <c r="M26">
        <v>606172464</v>
      </c>
      <c r="N26">
        <v>621409855</v>
      </c>
      <c r="O26">
        <v>611374834</v>
      </c>
      <c r="P26">
        <v>597251888</v>
      </c>
      <c r="Q26">
        <v>626981615</v>
      </c>
      <c r="R26">
        <v>619920065</v>
      </c>
      <c r="S26">
        <v>647051668</v>
      </c>
    </row>
    <row r="27" spans="1:19">
      <c r="A27" t="s">
        <v>19</v>
      </c>
      <c r="B27" t="s">
        <v>20</v>
      </c>
      <c r="C27" t="s">
        <v>1461</v>
      </c>
      <c r="D27" t="s">
        <v>76</v>
      </c>
      <c r="G27">
        <f t="shared" si="0"/>
        <v>20000000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77</v>
      </c>
      <c r="C28" t="s">
        <v>1462</v>
      </c>
      <c r="D28" t="s">
        <v>79</v>
      </c>
      <c r="G28">
        <f t="shared" si="0"/>
        <v>7054492192</v>
      </c>
      <c r="H28">
        <v>508282040</v>
      </c>
      <c r="I28">
        <v>491558171</v>
      </c>
      <c r="J28">
        <v>562689333</v>
      </c>
      <c r="K28">
        <v>573838656</v>
      </c>
      <c r="L28">
        <v>587961603</v>
      </c>
      <c r="M28">
        <v>606172464</v>
      </c>
      <c r="N28">
        <v>621409855</v>
      </c>
      <c r="O28">
        <v>611374834</v>
      </c>
      <c r="P28">
        <v>597251888</v>
      </c>
      <c r="Q28">
        <v>626981615</v>
      </c>
      <c r="R28">
        <v>619920065</v>
      </c>
      <c r="S28">
        <v>647051668</v>
      </c>
    </row>
    <row r="29" spans="1:19">
      <c r="A29" t="s">
        <v>19</v>
      </c>
      <c r="B29" t="s">
        <v>35</v>
      </c>
      <c r="C29" t="s">
        <v>1463</v>
      </c>
      <c r="D29" t="s">
        <v>81</v>
      </c>
      <c r="G29">
        <f t="shared" si="0"/>
        <v>40000000</v>
      </c>
      <c r="H29">
        <v>2800000</v>
      </c>
      <c r="I29">
        <v>2600000</v>
      </c>
      <c r="J29">
        <v>3120000</v>
      </c>
      <c r="K29">
        <v>3200000</v>
      </c>
      <c r="L29">
        <v>3280000</v>
      </c>
      <c r="M29">
        <v>3400000</v>
      </c>
      <c r="N29">
        <v>3520000</v>
      </c>
      <c r="O29">
        <v>3480000</v>
      </c>
      <c r="P29">
        <v>3400000</v>
      </c>
      <c r="Q29">
        <v>3720000</v>
      </c>
      <c r="R29">
        <v>3680000</v>
      </c>
      <c r="S29">
        <v>3800000</v>
      </c>
    </row>
    <row r="30" spans="1:19">
      <c r="A30" t="s">
        <v>19</v>
      </c>
      <c r="B30" t="s">
        <v>77</v>
      </c>
      <c r="C30" t="s">
        <v>1464</v>
      </c>
      <c r="D30" t="s">
        <v>83</v>
      </c>
      <c r="G30">
        <f t="shared" si="0"/>
        <v>7054492192</v>
      </c>
      <c r="H30">
        <v>508282040</v>
      </c>
      <c r="I30">
        <v>491558171</v>
      </c>
      <c r="J30">
        <v>562689333</v>
      </c>
      <c r="K30">
        <v>573838656</v>
      </c>
      <c r="L30">
        <v>587961603</v>
      </c>
      <c r="M30">
        <v>606172464</v>
      </c>
      <c r="N30">
        <v>621409855</v>
      </c>
      <c r="O30">
        <v>611374834</v>
      </c>
      <c r="P30">
        <v>597251888</v>
      </c>
      <c r="Q30">
        <v>626981615</v>
      </c>
      <c r="R30">
        <v>619920065</v>
      </c>
      <c r="S30">
        <v>647051668</v>
      </c>
    </row>
    <row r="31" spans="1:19">
      <c r="A31" t="s">
        <v>19</v>
      </c>
      <c r="B31" t="s">
        <v>84</v>
      </c>
      <c r="C31" t="s">
        <v>1465</v>
      </c>
      <c r="D31" t="s">
        <v>1466</v>
      </c>
      <c r="G31">
        <f t="shared" si="0"/>
        <v>60000000000</v>
      </c>
      <c r="H31">
        <f t="shared" ref="H31:S31" si="8">H32+H34+H35</f>
        <v>4500000000</v>
      </c>
      <c r="I31">
        <f t="shared" si="8"/>
        <v>4680000000</v>
      </c>
      <c r="J31">
        <f t="shared" si="8"/>
        <v>4920000000</v>
      </c>
      <c r="K31">
        <f t="shared" si="8"/>
        <v>4980000000</v>
      </c>
      <c r="L31">
        <f t="shared" si="8"/>
        <v>5100000000</v>
      </c>
      <c r="M31">
        <f t="shared" si="8"/>
        <v>5220000000</v>
      </c>
      <c r="N31">
        <f t="shared" si="8"/>
        <v>5280000000</v>
      </c>
      <c r="O31">
        <f t="shared" si="8"/>
        <v>5160000000</v>
      </c>
      <c r="P31">
        <f t="shared" si="8"/>
        <v>5040000000</v>
      </c>
      <c r="Q31">
        <f t="shared" si="8"/>
        <v>4980000000</v>
      </c>
      <c r="R31">
        <f t="shared" si="8"/>
        <v>4920000000</v>
      </c>
      <c r="S31">
        <f t="shared" si="8"/>
        <v>5220000000</v>
      </c>
    </row>
    <row r="32" spans="1:19">
      <c r="A32" t="s">
        <v>23</v>
      </c>
      <c r="B32" t="s">
        <v>84</v>
      </c>
      <c r="C32" t="s">
        <v>1467</v>
      </c>
      <c r="D32" t="s">
        <v>117</v>
      </c>
      <c r="G32">
        <f t="shared" si="0"/>
        <v>20000000000</v>
      </c>
      <c r="H32">
        <f t="shared" ref="H32:S32" si="9">H33</f>
        <v>1500000000</v>
      </c>
      <c r="I32">
        <f t="shared" si="9"/>
        <v>1560000000</v>
      </c>
      <c r="J32">
        <f t="shared" si="9"/>
        <v>1640000000</v>
      </c>
      <c r="K32">
        <f t="shared" si="9"/>
        <v>1660000000</v>
      </c>
      <c r="L32">
        <f t="shared" si="9"/>
        <v>1700000000</v>
      </c>
      <c r="M32">
        <f t="shared" si="9"/>
        <v>1740000000</v>
      </c>
      <c r="N32">
        <f t="shared" si="9"/>
        <v>1760000000</v>
      </c>
      <c r="O32">
        <f t="shared" si="9"/>
        <v>1720000000</v>
      </c>
      <c r="P32">
        <f t="shared" si="9"/>
        <v>1680000000</v>
      </c>
      <c r="Q32">
        <f t="shared" si="9"/>
        <v>1660000000</v>
      </c>
      <c r="R32">
        <f t="shared" si="9"/>
        <v>1640000000</v>
      </c>
      <c r="S32">
        <f t="shared" si="9"/>
        <v>1740000000</v>
      </c>
    </row>
    <row r="33" spans="1:19">
      <c r="A33" t="s">
        <v>26</v>
      </c>
      <c r="B33" t="s">
        <v>84</v>
      </c>
      <c r="C33" t="s">
        <v>1468</v>
      </c>
      <c r="D33" t="s">
        <v>90</v>
      </c>
      <c r="G33">
        <f t="shared" si="0"/>
        <v>20000000000</v>
      </c>
      <c r="H33">
        <v>1500000000</v>
      </c>
      <c r="I33">
        <v>1560000000</v>
      </c>
      <c r="J33">
        <v>1640000000</v>
      </c>
      <c r="K33">
        <v>1660000000</v>
      </c>
      <c r="L33">
        <v>1700000000</v>
      </c>
      <c r="M33">
        <v>1740000000</v>
      </c>
      <c r="N33">
        <v>1760000000</v>
      </c>
      <c r="O33">
        <v>1720000000</v>
      </c>
      <c r="P33">
        <v>1680000000</v>
      </c>
      <c r="Q33">
        <v>1660000000</v>
      </c>
      <c r="R33">
        <v>1640000000</v>
      </c>
      <c r="S33">
        <v>1740000000</v>
      </c>
    </row>
    <row r="34" spans="1:19">
      <c r="A34" t="s">
        <v>23</v>
      </c>
      <c r="B34" t="s">
        <v>84</v>
      </c>
      <c r="C34" t="s">
        <v>1469</v>
      </c>
      <c r="D34" t="s">
        <v>102</v>
      </c>
      <c r="G34">
        <f t="shared" si="0"/>
        <v>20000000000</v>
      </c>
      <c r="H34">
        <v>1500000000</v>
      </c>
      <c r="I34">
        <v>1560000000</v>
      </c>
      <c r="J34">
        <v>1640000000</v>
      </c>
      <c r="K34">
        <v>1660000000</v>
      </c>
      <c r="L34">
        <v>1700000000</v>
      </c>
      <c r="M34">
        <v>1740000000</v>
      </c>
      <c r="N34">
        <v>1760000000</v>
      </c>
      <c r="O34">
        <v>1720000000</v>
      </c>
      <c r="P34">
        <v>1680000000</v>
      </c>
      <c r="Q34">
        <v>1660000000</v>
      </c>
      <c r="R34">
        <v>1640000000</v>
      </c>
      <c r="S34">
        <v>1740000000</v>
      </c>
    </row>
    <row r="35" spans="1:19">
      <c r="A35" t="s">
        <v>23</v>
      </c>
      <c r="B35" t="s">
        <v>84</v>
      </c>
      <c r="C35" t="s">
        <v>1470</v>
      </c>
      <c r="D35" t="s">
        <v>104</v>
      </c>
      <c r="G35">
        <f t="shared" si="0"/>
        <v>20000000000</v>
      </c>
      <c r="H35">
        <v>1500000000</v>
      </c>
      <c r="I35">
        <v>1560000000</v>
      </c>
      <c r="J35">
        <v>1640000000</v>
      </c>
      <c r="K35">
        <v>1660000000</v>
      </c>
      <c r="L35">
        <v>1700000000</v>
      </c>
      <c r="M35">
        <v>1740000000</v>
      </c>
      <c r="N35">
        <v>1760000000</v>
      </c>
      <c r="O35">
        <v>1720000000</v>
      </c>
      <c r="P35">
        <v>1680000000</v>
      </c>
      <c r="Q35">
        <v>1660000000</v>
      </c>
      <c r="R35">
        <v>1640000000</v>
      </c>
      <c r="S35">
        <v>1740000000</v>
      </c>
    </row>
    <row r="36" spans="1:19">
      <c r="A36" t="s">
        <v>19</v>
      </c>
      <c r="B36" t="s">
        <v>113</v>
      </c>
      <c r="C36" t="s">
        <v>1471</v>
      </c>
      <c r="D36" t="s">
        <v>115</v>
      </c>
      <c r="G36">
        <f t="shared" si="0"/>
        <v>60000000000</v>
      </c>
      <c r="H36">
        <f t="shared" ref="H36:S36" si="10">H37+H39+H40</f>
        <v>4500000000</v>
      </c>
      <c r="I36">
        <f t="shared" si="10"/>
        <v>4680000000</v>
      </c>
      <c r="J36">
        <f t="shared" si="10"/>
        <v>4920000000</v>
      </c>
      <c r="K36">
        <f t="shared" si="10"/>
        <v>4980000000</v>
      </c>
      <c r="L36">
        <f t="shared" si="10"/>
        <v>5100000000</v>
      </c>
      <c r="M36">
        <f t="shared" si="10"/>
        <v>5220000000</v>
      </c>
      <c r="N36">
        <f t="shared" si="10"/>
        <v>5280000000</v>
      </c>
      <c r="O36">
        <f t="shared" si="10"/>
        <v>5160000000</v>
      </c>
      <c r="P36">
        <f t="shared" si="10"/>
        <v>5040000000</v>
      </c>
      <c r="Q36">
        <f t="shared" si="10"/>
        <v>4980000000</v>
      </c>
      <c r="R36">
        <f t="shared" si="10"/>
        <v>4920000000</v>
      </c>
      <c r="S36">
        <f t="shared" si="10"/>
        <v>5220000000</v>
      </c>
    </row>
    <row r="37" spans="1:19">
      <c r="A37" t="s">
        <v>23</v>
      </c>
      <c r="B37" t="s">
        <v>113</v>
      </c>
      <c r="C37" t="s">
        <v>1472</v>
      </c>
      <c r="D37" t="s">
        <v>117</v>
      </c>
      <c r="G37">
        <f t="shared" si="0"/>
        <v>20000000000</v>
      </c>
      <c r="H37">
        <f t="shared" ref="H37:S37" si="11">H38</f>
        <v>1500000000</v>
      </c>
      <c r="I37">
        <f t="shared" si="11"/>
        <v>1560000000</v>
      </c>
      <c r="J37">
        <f t="shared" si="11"/>
        <v>1640000000</v>
      </c>
      <c r="K37">
        <f t="shared" si="11"/>
        <v>1660000000</v>
      </c>
      <c r="L37">
        <f t="shared" si="11"/>
        <v>1700000000</v>
      </c>
      <c r="M37">
        <f t="shared" si="11"/>
        <v>1740000000</v>
      </c>
      <c r="N37">
        <f t="shared" si="11"/>
        <v>1760000000</v>
      </c>
      <c r="O37">
        <f t="shared" si="11"/>
        <v>1720000000</v>
      </c>
      <c r="P37">
        <f t="shared" si="11"/>
        <v>1680000000</v>
      </c>
      <c r="Q37">
        <f t="shared" si="11"/>
        <v>1660000000</v>
      </c>
      <c r="R37">
        <f t="shared" si="11"/>
        <v>1640000000</v>
      </c>
      <c r="S37">
        <f t="shared" si="11"/>
        <v>1740000000</v>
      </c>
    </row>
    <row r="38" spans="1:19">
      <c r="A38" t="s">
        <v>26</v>
      </c>
      <c r="B38" t="s">
        <v>113</v>
      </c>
      <c r="C38" t="s">
        <v>1473</v>
      </c>
      <c r="D38" t="s">
        <v>90</v>
      </c>
      <c r="G38">
        <f t="shared" si="0"/>
        <v>20000000000</v>
      </c>
      <c r="H38">
        <v>1500000000</v>
      </c>
      <c r="I38">
        <v>1560000000</v>
      </c>
      <c r="J38">
        <v>1640000000</v>
      </c>
      <c r="K38">
        <v>1660000000</v>
      </c>
      <c r="L38">
        <v>1700000000</v>
      </c>
      <c r="M38">
        <v>1740000000</v>
      </c>
      <c r="N38">
        <v>1760000000</v>
      </c>
      <c r="O38">
        <v>1720000000</v>
      </c>
      <c r="P38">
        <v>1680000000</v>
      </c>
      <c r="Q38">
        <v>1660000000</v>
      </c>
      <c r="R38">
        <v>1640000000</v>
      </c>
      <c r="S38">
        <v>1740000000</v>
      </c>
    </row>
    <row r="39" spans="1:19">
      <c r="A39" t="s">
        <v>23</v>
      </c>
      <c r="B39" t="s">
        <v>113</v>
      </c>
      <c r="C39" t="s">
        <v>1474</v>
      </c>
      <c r="D39" t="s">
        <v>102</v>
      </c>
      <c r="G39">
        <f t="shared" si="0"/>
        <v>20000000000</v>
      </c>
      <c r="H39">
        <v>1500000000</v>
      </c>
      <c r="I39">
        <v>1560000000</v>
      </c>
      <c r="J39">
        <v>1640000000</v>
      </c>
      <c r="K39">
        <v>1660000000</v>
      </c>
      <c r="L39">
        <v>1700000000</v>
      </c>
      <c r="M39">
        <v>1740000000</v>
      </c>
      <c r="N39">
        <v>1760000000</v>
      </c>
      <c r="O39">
        <v>1720000000</v>
      </c>
      <c r="P39">
        <v>1680000000</v>
      </c>
      <c r="Q39">
        <v>1660000000</v>
      </c>
      <c r="R39">
        <v>1640000000</v>
      </c>
      <c r="S39">
        <v>1740000000</v>
      </c>
    </row>
    <row r="40" spans="1:19">
      <c r="A40" t="s">
        <v>23</v>
      </c>
      <c r="B40" t="s">
        <v>113</v>
      </c>
      <c r="C40" t="s">
        <v>1475</v>
      </c>
      <c r="D40" t="s">
        <v>104</v>
      </c>
      <c r="G40">
        <f t="shared" si="0"/>
        <v>20000000000</v>
      </c>
      <c r="H40">
        <v>1500000000</v>
      </c>
      <c r="I40">
        <v>1560000000</v>
      </c>
      <c r="J40">
        <v>1640000000</v>
      </c>
      <c r="K40">
        <v>1660000000</v>
      </c>
      <c r="L40">
        <v>1700000000</v>
      </c>
      <c r="M40">
        <v>1740000000</v>
      </c>
      <c r="N40">
        <v>1760000000</v>
      </c>
      <c r="O40">
        <v>1720000000</v>
      </c>
      <c r="P40">
        <v>1680000000</v>
      </c>
      <c r="Q40">
        <v>1660000000</v>
      </c>
      <c r="R40">
        <v>1640000000</v>
      </c>
      <c r="S40">
        <v>1740000000</v>
      </c>
    </row>
    <row r="41" spans="1:19">
      <c r="A41" t="s">
        <v>19</v>
      </c>
      <c r="B41" t="s">
        <v>130</v>
      </c>
      <c r="C41" t="s">
        <v>1476</v>
      </c>
      <c r="D41" t="s">
        <v>132</v>
      </c>
      <c r="G41">
        <f t="shared" si="0"/>
        <v>5000000000</v>
      </c>
      <c r="H41">
        <f t="shared" ref="H41:S41" si="12">H42</f>
        <v>375000000</v>
      </c>
      <c r="I41">
        <f t="shared" si="12"/>
        <v>390000000</v>
      </c>
      <c r="J41">
        <f t="shared" si="12"/>
        <v>410000000</v>
      </c>
      <c r="K41">
        <f t="shared" si="12"/>
        <v>415000000</v>
      </c>
      <c r="L41">
        <f t="shared" si="12"/>
        <v>425000000</v>
      </c>
      <c r="M41">
        <f t="shared" si="12"/>
        <v>435000000</v>
      </c>
      <c r="N41">
        <f t="shared" si="12"/>
        <v>440000000</v>
      </c>
      <c r="O41">
        <f t="shared" si="12"/>
        <v>430000000</v>
      </c>
      <c r="P41">
        <f t="shared" si="12"/>
        <v>420000000</v>
      </c>
      <c r="Q41">
        <f t="shared" si="12"/>
        <v>415000000</v>
      </c>
      <c r="R41">
        <f t="shared" si="12"/>
        <v>410000000</v>
      </c>
      <c r="S41">
        <f t="shared" si="12"/>
        <v>435000000</v>
      </c>
    </row>
    <row r="42" spans="1:19">
      <c r="A42" t="s">
        <v>23</v>
      </c>
      <c r="B42" t="s">
        <v>130</v>
      </c>
      <c r="C42" t="s">
        <v>1477</v>
      </c>
      <c r="D42" t="s">
        <v>954</v>
      </c>
      <c r="G42">
        <f t="shared" si="0"/>
        <v>5000000000</v>
      </c>
      <c r="H42">
        <v>375000000</v>
      </c>
      <c r="I42">
        <v>390000000</v>
      </c>
      <c r="J42">
        <v>410000000</v>
      </c>
      <c r="K42">
        <v>415000000</v>
      </c>
      <c r="L42">
        <v>425000000</v>
      </c>
      <c r="M42">
        <v>435000000</v>
      </c>
      <c r="N42">
        <v>440000000</v>
      </c>
      <c r="O42">
        <v>430000000</v>
      </c>
      <c r="P42">
        <v>420000000</v>
      </c>
      <c r="Q42">
        <v>415000000</v>
      </c>
      <c r="R42">
        <v>410000000</v>
      </c>
      <c r="S42">
        <v>435000000</v>
      </c>
    </row>
    <row r="43" spans="1:19">
      <c r="A43" t="s">
        <v>19</v>
      </c>
      <c r="B43" t="s">
        <v>143</v>
      </c>
      <c r="C43" t="s">
        <v>1478</v>
      </c>
      <c r="D43" t="s">
        <v>142</v>
      </c>
      <c r="G43">
        <f t="shared" si="0"/>
        <v>5000000000</v>
      </c>
      <c r="H43">
        <f t="shared" ref="H43:S43" si="13">H44</f>
        <v>375000000</v>
      </c>
      <c r="I43">
        <f t="shared" si="13"/>
        <v>390000000</v>
      </c>
      <c r="J43">
        <f t="shared" si="13"/>
        <v>410000000</v>
      </c>
      <c r="K43">
        <f t="shared" si="13"/>
        <v>415000000</v>
      </c>
      <c r="L43">
        <f t="shared" si="13"/>
        <v>425000000</v>
      </c>
      <c r="M43">
        <f t="shared" si="13"/>
        <v>435000000</v>
      </c>
      <c r="N43">
        <f t="shared" si="13"/>
        <v>440000000</v>
      </c>
      <c r="O43">
        <f t="shared" si="13"/>
        <v>430000000</v>
      </c>
      <c r="P43">
        <f t="shared" si="13"/>
        <v>420000000</v>
      </c>
      <c r="Q43">
        <f t="shared" si="13"/>
        <v>415000000</v>
      </c>
      <c r="R43">
        <f t="shared" si="13"/>
        <v>410000000</v>
      </c>
      <c r="S43">
        <f t="shared" si="13"/>
        <v>435000000</v>
      </c>
    </row>
    <row r="44" spans="1:19">
      <c r="A44" t="s">
        <v>23</v>
      </c>
      <c r="B44" t="s">
        <v>143</v>
      </c>
      <c r="C44" t="s">
        <v>1479</v>
      </c>
      <c r="D44" t="s">
        <v>954</v>
      </c>
      <c r="G44">
        <f t="shared" si="0"/>
        <v>5000000000</v>
      </c>
      <c r="H44">
        <v>375000000</v>
      </c>
      <c r="I44">
        <v>390000000</v>
      </c>
      <c r="J44">
        <v>410000000</v>
      </c>
      <c r="K44">
        <v>415000000</v>
      </c>
      <c r="L44">
        <v>425000000</v>
      </c>
      <c r="M44">
        <v>435000000</v>
      </c>
      <c r="N44">
        <v>440000000</v>
      </c>
      <c r="O44">
        <v>430000000</v>
      </c>
      <c r="P44">
        <v>420000000</v>
      </c>
      <c r="Q44">
        <v>415000000</v>
      </c>
      <c r="R44">
        <v>410000000</v>
      </c>
      <c r="S44">
        <v>435000000</v>
      </c>
    </row>
    <row r="45" spans="1:19">
      <c r="A45" t="s">
        <v>19</v>
      </c>
      <c r="B45" t="s">
        <v>130</v>
      </c>
      <c r="C45" t="s">
        <v>1480</v>
      </c>
      <c r="D45" t="s">
        <v>166</v>
      </c>
      <c r="G45">
        <f t="shared" si="0"/>
        <v>6000000000</v>
      </c>
      <c r="H45">
        <f t="shared" ref="H45:S45" si="14">H46</f>
        <v>450000000</v>
      </c>
      <c r="I45">
        <f t="shared" si="14"/>
        <v>468000000</v>
      </c>
      <c r="J45">
        <f t="shared" si="14"/>
        <v>492000000</v>
      </c>
      <c r="K45">
        <f t="shared" si="14"/>
        <v>498000000</v>
      </c>
      <c r="L45">
        <f t="shared" si="14"/>
        <v>510000000</v>
      </c>
      <c r="M45">
        <f t="shared" si="14"/>
        <v>522000000</v>
      </c>
      <c r="N45">
        <f t="shared" si="14"/>
        <v>528000000</v>
      </c>
      <c r="O45">
        <f t="shared" si="14"/>
        <v>516000000</v>
      </c>
      <c r="P45">
        <f t="shared" si="14"/>
        <v>504000000</v>
      </c>
      <c r="Q45">
        <f t="shared" si="14"/>
        <v>498000000</v>
      </c>
      <c r="R45">
        <f t="shared" si="14"/>
        <v>492000000</v>
      </c>
      <c r="S45">
        <f t="shared" si="14"/>
        <v>522000000</v>
      </c>
    </row>
    <row r="46" spans="1:19">
      <c r="A46" t="s">
        <v>23</v>
      </c>
      <c r="B46" t="s">
        <v>130</v>
      </c>
      <c r="C46" t="s">
        <v>1481</v>
      </c>
      <c r="D46" t="s">
        <v>965</v>
      </c>
      <c r="G46">
        <f t="shared" si="0"/>
        <v>6000000000</v>
      </c>
      <c r="H46">
        <v>450000000</v>
      </c>
      <c r="I46">
        <v>468000000</v>
      </c>
      <c r="J46">
        <v>492000000</v>
      </c>
      <c r="K46">
        <v>498000000</v>
      </c>
      <c r="L46">
        <v>510000000</v>
      </c>
      <c r="M46">
        <v>522000000</v>
      </c>
      <c r="N46">
        <v>528000000</v>
      </c>
      <c r="O46">
        <v>516000000</v>
      </c>
      <c r="P46">
        <v>504000000</v>
      </c>
      <c r="Q46">
        <v>498000000</v>
      </c>
      <c r="R46">
        <v>492000000</v>
      </c>
      <c r="S46">
        <v>522000000</v>
      </c>
    </row>
    <row r="47" spans="1:19">
      <c r="A47" t="s">
        <v>19</v>
      </c>
      <c r="B47" t="s">
        <v>143</v>
      </c>
      <c r="C47" t="s">
        <v>1482</v>
      </c>
      <c r="D47" t="s">
        <v>172</v>
      </c>
      <c r="G47">
        <f t="shared" si="0"/>
        <v>6000000000</v>
      </c>
      <c r="H47">
        <f t="shared" ref="H47:S47" si="15">H48</f>
        <v>450000000</v>
      </c>
      <c r="I47">
        <f t="shared" si="15"/>
        <v>468000000</v>
      </c>
      <c r="J47">
        <f t="shared" si="15"/>
        <v>492000000</v>
      </c>
      <c r="K47">
        <f t="shared" si="15"/>
        <v>498000000</v>
      </c>
      <c r="L47">
        <f t="shared" si="15"/>
        <v>510000000</v>
      </c>
      <c r="M47">
        <f t="shared" si="15"/>
        <v>522000000</v>
      </c>
      <c r="N47">
        <f t="shared" si="15"/>
        <v>528000000</v>
      </c>
      <c r="O47">
        <f t="shared" si="15"/>
        <v>516000000</v>
      </c>
      <c r="P47">
        <f t="shared" si="15"/>
        <v>504000000</v>
      </c>
      <c r="Q47">
        <f t="shared" si="15"/>
        <v>498000000</v>
      </c>
      <c r="R47">
        <f t="shared" si="15"/>
        <v>492000000</v>
      </c>
      <c r="S47">
        <f t="shared" si="15"/>
        <v>522000000</v>
      </c>
    </row>
    <row r="48" spans="1:19">
      <c r="A48" t="s">
        <v>23</v>
      </c>
      <c r="B48" t="s">
        <v>143</v>
      </c>
      <c r="C48" t="s">
        <v>1483</v>
      </c>
      <c r="D48" t="s">
        <v>968</v>
      </c>
      <c r="G48">
        <f t="shared" si="0"/>
        <v>6000000000</v>
      </c>
      <c r="H48">
        <v>450000000</v>
      </c>
      <c r="I48">
        <v>468000000</v>
      </c>
      <c r="J48">
        <v>492000000</v>
      </c>
      <c r="K48">
        <v>498000000</v>
      </c>
      <c r="L48">
        <v>510000000</v>
      </c>
      <c r="M48">
        <v>522000000</v>
      </c>
      <c r="N48">
        <v>528000000</v>
      </c>
      <c r="O48">
        <v>516000000</v>
      </c>
      <c r="P48">
        <v>504000000</v>
      </c>
      <c r="Q48">
        <v>498000000</v>
      </c>
      <c r="R48">
        <v>492000000</v>
      </c>
      <c r="S48">
        <v>522000000</v>
      </c>
    </row>
    <row r="49" spans="1:19">
      <c r="A49" t="s">
        <v>19</v>
      </c>
      <c r="B49" t="s">
        <v>20</v>
      </c>
      <c r="C49" t="s">
        <v>1484</v>
      </c>
      <c r="D49" t="s">
        <v>176</v>
      </c>
      <c r="G49">
        <f t="shared" si="0"/>
        <v>0.42</v>
      </c>
      <c r="H49">
        <f t="shared" ref="H49:S49" si="16">H50</f>
        <v>0.0343</v>
      </c>
      <c r="I49">
        <f t="shared" si="16"/>
        <v>0.034427</v>
      </c>
      <c r="J49">
        <f t="shared" si="16"/>
        <v>0.034555</v>
      </c>
      <c r="K49">
        <f t="shared" si="16"/>
        <v>0.034682</v>
      </c>
      <c r="L49">
        <f t="shared" si="16"/>
        <v>0.034809</v>
      </c>
      <c r="M49">
        <f t="shared" si="16"/>
        <v>0.034936</v>
      </c>
      <c r="N49">
        <f t="shared" si="16"/>
        <v>0.035064</v>
      </c>
      <c r="O49">
        <f t="shared" si="16"/>
        <v>0.035191</v>
      </c>
      <c r="P49">
        <f t="shared" si="16"/>
        <v>0.035318</v>
      </c>
      <c r="Q49">
        <f t="shared" si="16"/>
        <v>0.035445</v>
      </c>
      <c r="R49">
        <f t="shared" si="16"/>
        <v>0.035573</v>
      </c>
      <c r="S49">
        <f t="shared" si="16"/>
        <v>0.0357</v>
      </c>
    </row>
    <row r="50" spans="1:19">
      <c r="A50" t="s">
        <v>23</v>
      </c>
      <c r="B50" t="s">
        <v>20</v>
      </c>
      <c r="C50" t="s">
        <v>1485</v>
      </c>
      <c r="D50" t="s">
        <v>178</v>
      </c>
      <c r="G50">
        <f t="shared" si="0"/>
        <v>0.42</v>
      </c>
      <c r="H50">
        <f t="shared" ref="H50:S50" si="17">H51</f>
        <v>0.0343</v>
      </c>
      <c r="I50">
        <f t="shared" si="17"/>
        <v>0.034427</v>
      </c>
      <c r="J50">
        <f t="shared" si="17"/>
        <v>0.034555</v>
      </c>
      <c r="K50">
        <f t="shared" si="17"/>
        <v>0.034682</v>
      </c>
      <c r="L50">
        <f t="shared" si="17"/>
        <v>0.034809</v>
      </c>
      <c r="M50">
        <f t="shared" si="17"/>
        <v>0.034936</v>
      </c>
      <c r="N50">
        <f t="shared" si="17"/>
        <v>0.035064</v>
      </c>
      <c r="O50">
        <f t="shared" si="17"/>
        <v>0.035191</v>
      </c>
      <c r="P50">
        <f t="shared" si="17"/>
        <v>0.035318</v>
      </c>
      <c r="Q50">
        <f t="shared" si="17"/>
        <v>0.035445</v>
      </c>
      <c r="R50">
        <f t="shared" si="17"/>
        <v>0.035573</v>
      </c>
      <c r="S50">
        <f t="shared" si="17"/>
        <v>0.0357</v>
      </c>
    </row>
    <row r="51" spans="1:19">
      <c r="A51" t="s">
        <v>26</v>
      </c>
      <c r="B51" t="s">
        <v>179</v>
      </c>
      <c r="C51" t="s">
        <v>1486</v>
      </c>
      <c r="D51" t="s">
        <v>1487</v>
      </c>
      <c r="G51">
        <f t="shared" si="0"/>
        <v>0.42</v>
      </c>
      <c r="H51">
        <v>0.0343</v>
      </c>
      <c r="I51">
        <v>0.034427</v>
      </c>
      <c r="J51">
        <v>0.034555</v>
      </c>
      <c r="K51">
        <v>0.034682</v>
      </c>
      <c r="L51">
        <v>0.034809</v>
      </c>
      <c r="M51">
        <v>0.034936</v>
      </c>
      <c r="N51">
        <v>0.035064</v>
      </c>
      <c r="O51">
        <v>0.035191</v>
      </c>
      <c r="P51">
        <v>0.035318</v>
      </c>
      <c r="Q51">
        <v>0.035445</v>
      </c>
      <c r="R51">
        <v>0.035573</v>
      </c>
      <c r="S51">
        <v>0.0357</v>
      </c>
    </row>
    <row r="52" spans="1:19">
      <c r="A52" t="s">
        <v>19</v>
      </c>
      <c r="B52" t="s">
        <v>35</v>
      </c>
      <c r="C52" t="s">
        <v>1488</v>
      </c>
      <c r="D52" t="s">
        <v>241</v>
      </c>
      <c r="G52">
        <f t="shared" si="0"/>
        <v>0.6</v>
      </c>
      <c r="H52">
        <f t="shared" ref="H52:S52" si="18">H53+H55</f>
        <v>0.049</v>
      </c>
      <c r="I52">
        <f t="shared" si="18"/>
        <v>0.049182</v>
      </c>
      <c r="J52">
        <f t="shared" si="18"/>
        <v>0.049364</v>
      </c>
      <c r="K52">
        <f t="shared" si="18"/>
        <v>0.049546</v>
      </c>
      <c r="L52">
        <f t="shared" si="18"/>
        <v>0.049728</v>
      </c>
      <c r="M52">
        <f t="shared" si="18"/>
        <v>0.04991</v>
      </c>
      <c r="N52">
        <f t="shared" si="18"/>
        <v>0.05009</v>
      </c>
      <c r="O52">
        <f t="shared" si="18"/>
        <v>0.050272</v>
      </c>
      <c r="P52">
        <f t="shared" si="18"/>
        <v>0.050454</v>
      </c>
      <c r="Q52">
        <f t="shared" si="18"/>
        <v>0.050636</v>
      </c>
      <c r="R52">
        <f t="shared" si="18"/>
        <v>0.050818</v>
      </c>
      <c r="S52">
        <f t="shared" si="18"/>
        <v>0.051</v>
      </c>
    </row>
    <row r="53" spans="1:19">
      <c r="A53" t="s">
        <v>23</v>
      </c>
      <c r="B53" t="s">
        <v>35</v>
      </c>
      <c r="C53" t="s">
        <v>1489</v>
      </c>
      <c r="D53" t="s">
        <v>243</v>
      </c>
      <c r="G53">
        <f t="shared" si="0"/>
        <v>0.3</v>
      </c>
      <c r="H53">
        <f t="shared" ref="H53:S53" si="19">H54</f>
        <v>0.0245</v>
      </c>
      <c r="I53">
        <f t="shared" si="19"/>
        <v>0.024591</v>
      </c>
      <c r="J53">
        <f t="shared" si="19"/>
        <v>0.024682</v>
      </c>
      <c r="K53">
        <f t="shared" si="19"/>
        <v>0.024773</v>
      </c>
      <c r="L53">
        <f t="shared" si="19"/>
        <v>0.024864</v>
      </c>
      <c r="M53">
        <f t="shared" si="19"/>
        <v>0.024955</v>
      </c>
      <c r="N53">
        <f t="shared" si="19"/>
        <v>0.025045</v>
      </c>
      <c r="O53">
        <f t="shared" si="19"/>
        <v>0.025136</v>
      </c>
      <c r="P53">
        <f t="shared" si="19"/>
        <v>0.025227</v>
      </c>
      <c r="Q53">
        <f t="shared" si="19"/>
        <v>0.025318</v>
      </c>
      <c r="R53">
        <f t="shared" si="19"/>
        <v>0.025409</v>
      </c>
      <c r="S53">
        <f t="shared" si="19"/>
        <v>0.0255</v>
      </c>
    </row>
    <row r="54" spans="1:19">
      <c r="A54" t="s">
        <v>26</v>
      </c>
      <c r="B54" t="s">
        <v>179</v>
      </c>
      <c r="C54" t="s">
        <v>1490</v>
      </c>
      <c r="D54" t="s">
        <v>1491</v>
      </c>
      <c r="G54">
        <f t="shared" si="0"/>
        <v>0.3</v>
      </c>
      <c r="H54">
        <v>0.0245</v>
      </c>
      <c r="I54">
        <v>0.024591</v>
      </c>
      <c r="J54">
        <v>0.024682</v>
      </c>
      <c r="K54">
        <v>0.024773</v>
      </c>
      <c r="L54">
        <v>0.024864</v>
      </c>
      <c r="M54">
        <v>0.024955</v>
      </c>
      <c r="N54">
        <v>0.025045</v>
      </c>
      <c r="O54">
        <v>0.025136</v>
      </c>
      <c r="P54">
        <v>0.025227</v>
      </c>
      <c r="Q54">
        <v>0.025318</v>
      </c>
      <c r="R54">
        <v>0.025409</v>
      </c>
      <c r="S54">
        <v>0.0255</v>
      </c>
    </row>
    <row r="55" spans="1:19">
      <c r="A55" t="s">
        <v>23</v>
      </c>
      <c r="B55" t="s">
        <v>35</v>
      </c>
      <c r="C55" t="s">
        <v>1492</v>
      </c>
      <c r="D55" t="s">
        <v>281</v>
      </c>
      <c r="G55">
        <f t="shared" si="0"/>
        <v>0.3</v>
      </c>
      <c r="H55">
        <f t="shared" ref="H55:S55" si="20">H56</f>
        <v>0.0245</v>
      </c>
      <c r="I55">
        <f t="shared" si="20"/>
        <v>0.024591</v>
      </c>
      <c r="J55">
        <f t="shared" si="20"/>
        <v>0.024682</v>
      </c>
      <c r="K55">
        <f t="shared" si="20"/>
        <v>0.024773</v>
      </c>
      <c r="L55">
        <f t="shared" si="20"/>
        <v>0.024864</v>
      </c>
      <c r="M55">
        <f t="shared" si="20"/>
        <v>0.024955</v>
      </c>
      <c r="N55">
        <f t="shared" si="20"/>
        <v>0.025045</v>
      </c>
      <c r="O55">
        <f t="shared" si="20"/>
        <v>0.025136</v>
      </c>
      <c r="P55">
        <f t="shared" si="20"/>
        <v>0.025227</v>
      </c>
      <c r="Q55">
        <f t="shared" si="20"/>
        <v>0.025318</v>
      </c>
      <c r="R55">
        <f t="shared" si="20"/>
        <v>0.025409</v>
      </c>
      <c r="S55">
        <f t="shared" si="20"/>
        <v>0.0255</v>
      </c>
    </row>
    <row r="56" spans="1:19">
      <c r="A56" t="s">
        <v>26</v>
      </c>
      <c r="B56" t="s">
        <v>35</v>
      </c>
      <c r="C56" t="s">
        <v>1493</v>
      </c>
      <c r="D56" t="s">
        <v>283</v>
      </c>
      <c r="G56">
        <f t="shared" si="0"/>
        <v>0.3</v>
      </c>
      <c r="H56">
        <v>0.0245</v>
      </c>
      <c r="I56">
        <v>0.024591</v>
      </c>
      <c r="J56">
        <v>0.024682</v>
      </c>
      <c r="K56">
        <v>0.024773</v>
      </c>
      <c r="L56">
        <v>0.024864</v>
      </c>
      <c r="M56">
        <v>0.024955</v>
      </c>
      <c r="N56">
        <v>0.025045</v>
      </c>
      <c r="O56">
        <v>0.025136</v>
      </c>
      <c r="P56">
        <v>0.025227</v>
      </c>
      <c r="Q56">
        <v>0.025318</v>
      </c>
      <c r="R56">
        <v>0.025409</v>
      </c>
      <c r="S56">
        <v>0.0255</v>
      </c>
    </row>
    <row r="57" spans="1:19">
      <c r="A57" t="s">
        <v>19</v>
      </c>
      <c r="B57" t="s">
        <v>35</v>
      </c>
      <c r="C57" t="s">
        <v>1494</v>
      </c>
      <c r="D57" t="s">
        <v>285</v>
      </c>
      <c r="G57">
        <f t="shared" si="0"/>
        <v>0.432</v>
      </c>
      <c r="H57">
        <f t="shared" ref="H57:S57" si="21">H58+H60</f>
        <v>0.03528</v>
      </c>
      <c r="I57">
        <f t="shared" si="21"/>
        <v>0.03541</v>
      </c>
      <c r="J57">
        <f t="shared" si="21"/>
        <v>0.035542</v>
      </c>
      <c r="K57">
        <f t="shared" si="21"/>
        <v>0.035672</v>
      </c>
      <c r="L57">
        <f t="shared" si="21"/>
        <v>0.035804</v>
      </c>
      <c r="M57">
        <f t="shared" si="21"/>
        <v>0.035934</v>
      </c>
      <c r="N57">
        <f t="shared" si="21"/>
        <v>0.036066</v>
      </c>
      <c r="O57">
        <f t="shared" si="21"/>
        <v>0.036196</v>
      </c>
      <c r="P57">
        <f t="shared" si="21"/>
        <v>0.036328</v>
      </c>
      <c r="Q57">
        <f t="shared" si="21"/>
        <v>0.036458</v>
      </c>
      <c r="R57">
        <f t="shared" si="21"/>
        <v>0.03659</v>
      </c>
      <c r="S57">
        <f t="shared" si="21"/>
        <v>0.03672</v>
      </c>
    </row>
    <row r="58" spans="1:19">
      <c r="A58" t="s">
        <v>23</v>
      </c>
      <c r="B58" t="s">
        <v>35</v>
      </c>
      <c r="C58" t="s">
        <v>1495</v>
      </c>
      <c r="D58" t="s">
        <v>287</v>
      </c>
      <c r="G58">
        <f t="shared" si="0"/>
        <v>0.216</v>
      </c>
      <c r="H58">
        <f t="shared" ref="H58:S58" si="22">H59</f>
        <v>0.01764</v>
      </c>
      <c r="I58">
        <f t="shared" si="22"/>
        <v>0.017705</v>
      </c>
      <c r="J58">
        <f t="shared" si="22"/>
        <v>0.017771</v>
      </c>
      <c r="K58">
        <f t="shared" si="22"/>
        <v>0.017836</v>
      </c>
      <c r="L58">
        <f t="shared" si="22"/>
        <v>0.017902</v>
      </c>
      <c r="M58">
        <f t="shared" si="22"/>
        <v>0.017967</v>
      </c>
      <c r="N58">
        <f t="shared" si="22"/>
        <v>0.018033</v>
      </c>
      <c r="O58">
        <f t="shared" si="22"/>
        <v>0.018098</v>
      </c>
      <c r="P58">
        <f t="shared" si="22"/>
        <v>0.018164</v>
      </c>
      <c r="Q58">
        <f t="shared" si="22"/>
        <v>0.018229</v>
      </c>
      <c r="R58">
        <f t="shared" si="22"/>
        <v>0.018295</v>
      </c>
      <c r="S58">
        <f t="shared" si="22"/>
        <v>0.01836</v>
      </c>
    </row>
    <row r="59" spans="1:19">
      <c r="A59" t="s">
        <v>26</v>
      </c>
      <c r="B59" t="s">
        <v>179</v>
      </c>
      <c r="C59" t="s">
        <v>1496</v>
      </c>
      <c r="D59" t="s">
        <v>289</v>
      </c>
      <c r="G59">
        <f t="shared" si="0"/>
        <v>0.216</v>
      </c>
      <c r="H59">
        <v>0.01764</v>
      </c>
      <c r="I59">
        <v>0.017705</v>
      </c>
      <c r="J59">
        <v>0.017771</v>
      </c>
      <c r="K59">
        <v>0.017836</v>
      </c>
      <c r="L59">
        <v>0.017902</v>
      </c>
      <c r="M59">
        <v>0.017967</v>
      </c>
      <c r="N59">
        <v>0.018033</v>
      </c>
      <c r="O59">
        <v>0.018098</v>
      </c>
      <c r="P59">
        <v>0.018164</v>
      </c>
      <c r="Q59">
        <v>0.018229</v>
      </c>
      <c r="R59">
        <v>0.018295</v>
      </c>
      <c r="S59">
        <v>0.01836</v>
      </c>
    </row>
    <row r="60" spans="1:19">
      <c r="A60" t="s">
        <v>23</v>
      </c>
      <c r="B60" t="s">
        <v>35</v>
      </c>
      <c r="C60" t="s">
        <v>1497</v>
      </c>
      <c r="D60" t="s">
        <v>299</v>
      </c>
      <c r="G60">
        <f t="shared" si="0"/>
        <v>0.216</v>
      </c>
      <c r="H60">
        <f t="shared" ref="H60:S60" si="23">H61</f>
        <v>0.01764</v>
      </c>
      <c r="I60">
        <f t="shared" si="23"/>
        <v>0.017705</v>
      </c>
      <c r="J60">
        <f t="shared" si="23"/>
        <v>0.017771</v>
      </c>
      <c r="K60">
        <f t="shared" si="23"/>
        <v>0.017836</v>
      </c>
      <c r="L60">
        <f t="shared" si="23"/>
        <v>0.017902</v>
      </c>
      <c r="M60">
        <f t="shared" si="23"/>
        <v>0.017967</v>
      </c>
      <c r="N60">
        <f t="shared" si="23"/>
        <v>0.018033</v>
      </c>
      <c r="O60">
        <f t="shared" si="23"/>
        <v>0.018098</v>
      </c>
      <c r="P60">
        <f t="shared" si="23"/>
        <v>0.018164</v>
      </c>
      <c r="Q60">
        <f t="shared" si="23"/>
        <v>0.018229</v>
      </c>
      <c r="R60">
        <f t="shared" si="23"/>
        <v>0.018295</v>
      </c>
      <c r="S60">
        <f t="shared" si="23"/>
        <v>0.01836</v>
      </c>
    </row>
    <row r="61" spans="1:19">
      <c r="A61" t="s">
        <v>26</v>
      </c>
      <c r="B61" t="s">
        <v>35</v>
      </c>
      <c r="C61" t="s">
        <v>1498</v>
      </c>
      <c r="D61" t="s">
        <v>301</v>
      </c>
      <c r="G61">
        <f t="shared" si="0"/>
        <v>0.216</v>
      </c>
      <c r="H61">
        <f t="shared" ref="H61:S61" si="24">H62</f>
        <v>0.01764</v>
      </c>
      <c r="I61">
        <f t="shared" si="24"/>
        <v>0.017705</v>
      </c>
      <c r="J61">
        <f t="shared" si="24"/>
        <v>0.017771</v>
      </c>
      <c r="K61">
        <f t="shared" si="24"/>
        <v>0.017836</v>
      </c>
      <c r="L61">
        <f t="shared" si="24"/>
        <v>0.017902</v>
      </c>
      <c r="M61">
        <f t="shared" si="24"/>
        <v>0.017967</v>
      </c>
      <c r="N61">
        <f t="shared" si="24"/>
        <v>0.018033</v>
      </c>
      <c r="O61">
        <f t="shared" si="24"/>
        <v>0.018098</v>
      </c>
      <c r="P61">
        <f t="shared" si="24"/>
        <v>0.018164</v>
      </c>
      <c r="Q61">
        <f t="shared" si="24"/>
        <v>0.018229</v>
      </c>
      <c r="R61">
        <f t="shared" si="24"/>
        <v>0.018295</v>
      </c>
      <c r="S61">
        <f t="shared" si="24"/>
        <v>0.01836</v>
      </c>
    </row>
    <row r="62" spans="1:19">
      <c r="A62" t="s">
        <v>60</v>
      </c>
      <c r="B62" t="s">
        <v>179</v>
      </c>
      <c r="C62" t="s">
        <v>1499</v>
      </c>
      <c r="D62" t="s">
        <v>303</v>
      </c>
      <c r="G62">
        <f t="shared" si="0"/>
        <v>0.216</v>
      </c>
      <c r="H62">
        <v>0.01764</v>
      </c>
      <c r="I62">
        <v>0.017705</v>
      </c>
      <c r="J62">
        <v>0.017771</v>
      </c>
      <c r="K62">
        <v>0.017836</v>
      </c>
      <c r="L62">
        <v>0.017902</v>
      </c>
      <c r="M62">
        <v>0.017967</v>
      </c>
      <c r="N62">
        <v>0.018033</v>
      </c>
      <c r="O62">
        <v>0.018098</v>
      </c>
      <c r="P62">
        <v>0.018164</v>
      </c>
      <c r="Q62">
        <v>0.018229</v>
      </c>
      <c r="R62">
        <v>0.018295</v>
      </c>
      <c r="S62">
        <v>0.01836</v>
      </c>
    </row>
    <row r="63" spans="1:19">
      <c r="A63" t="s">
        <v>19</v>
      </c>
      <c r="B63" t="s">
        <v>20</v>
      </c>
      <c r="C63" t="s">
        <v>1500</v>
      </c>
      <c r="D63" t="s">
        <v>309</v>
      </c>
      <c r="G63">
        <f t="shared" si="0"/>
        <v>141089826.9</v>
      </c>
      <c r="H63">
        <f t="shared" ref="H63:S63" si="25">H64+H66+H69</f>
        <v>10165640.0735</v>
      </c>
      <c r="I63">
        <f t="shared" si="25"/>
        <v>9831162.073773</v>
      </c>
      <c r="J63">
        <f t="shared" si="25"/>
        <v>11253786.074046</v>
      </c>
      <c r="K63">
        <f t="shared" si="25"/>
        <v>11476772.074319</v>
      </c>
      <c r="L63">
        <f t="shared" si="25"/>
        <v>11759230.074592</v>
      </c>
      <c r="M63">
        <f t="shared" si="25"/>
        <v>12123448.074865</v>
      </c>
      <c r="N63">
        <f t="shared" si="25"/>
        <v>12428196.075135</v>
      </c>
      <c r="O63">
        <f t="shared" si="25"/>
        <v>12227494.075408</v>
      </c>
      <c r="P63">
        <f t="shared" si="25"/>
        <v>11945036.075681</v>
      </c>
      <c r="Q63">
        <f t="shared" si="25"/>
        <v>12539630.075954</v>
      </c>
      <c r="R63">
        <f t="shared" si="25"/>
        <v>12398400.076227</v>
      </c>
      <c r="S63">
        <f t="shared" si="25"/>
        <v>12941032.0765</v>
      </c>
    </row>
    <row r="64" spans="1:19">
      <c r="A64" t="s">
        <v>23</v>
      </c>
      <c r="B64" t="s">
        <v>20</v>
      </c>
      <c r="C64" t="s">
        <v>1501</v>
      </c>
      <c r="D64" t="s">
        <v>311</v>
      </c>
      <c r="G64">
        <f t="shared" si="0"/>
        <v>0.3</v>
      </c>
      <c r="H64">
        <f t="shared" ref="H64:S64" si="26">H65</f>
        <v>0.0245</v>
      </c>
      <c r="I64">
        <f t="shared" si="26"/>
        <v>0.024591</v>
      </c>
      <c r="J64">
        <f t="shared" si="26"/>
        <v>0.024682</v>
      </c>
      <c r="K64">
        <f t="shared" si="26"/>
        <v>0.024773</v>
      </c>
      <c r="L64">
        <f t="shared" si="26"/>
        <v>0.024864</v>
      </c>
      <c r="M64">
        <f t="shared" si="26"/>
        <v>0.024955</v>
      </c>
      <c r="N64">
        <f t="shared" si="26"/>
        <v>0.025045</v>
      </c>
      <c r="O64">
        <f t="shared" si="26"/>
        <v>0.025136</v>
      </c>
      <c r="P64">
        <f t="shared" si="26"/>
        <v>0.025227</v>
      </c>
      <c r="Q64">
        <f t="shared" si="26"/>
        <v>0.025318</v>
      </c>
      <c r="R64">
        <f t="shared" si="26"/>
        <v>0.025409</v>
      </c>
      <c r="S64">
        <f t="shared" si="26"/>
        <v>0.0255</v>
      </c>
    </row>
    <row r="65" spans="1:19">
      <c r="A65" t="s">
        <v>26</v>
      </c>
      <c r="B65" t="s">
        <v>179</v>
      </c>
      <c r="C65" t="s">
        <v>1502</v>
      </c>
      <c r="D65" t="s">
        <v>313</v>
      </c>
      <c r="G65">
        <f t="shared" si="0"/>
        <v>0.3</v>
      </c>
      <c r="H65">
        <v>0.0245</v>
      </c>
      <c r="I65">
        <v>0.024591</v>
      </c>
      <c r="J65">
        <v>0.024682</v>
      </c>
      <c r="K65">
        <v>0.024773</v>
      </c>
      <c r="L65">
        <v>0.024864</v>
      </c>
      <c r="M65">
        <v>0.024955</v>
      </c>
      <c r="N65">
        <v>0.025045</v>
      </c>
      <c r="O65">
        <v>0.025136</v>
      </c>
      <c r="P65">
        <v>0.025227</v>
      </c>
      <c r="Q65">
        <v>0.025318</v>
      </c>
      <c r="R65">
        <v>0.025409</v>
      </c>
      <c r="S65">
        <v>0.0255</v>
      </c>
    </row>
    <row r="66" spans="1:19">
      <c r="A66" t="s">
        <v>23</v>
      </c>
      <c r="B66" t="s">
        <v>20</v>
      </c>
      <c r="C66" t="s">
        <v>1503</v>
      </c>
      <c r="D66" t="s">
        <v>323</v>
      </c>
      <c r="G66">
        <f t="shared" ref="G66:G129" si="27">H66+I66+J66+K66+L66+M66+N66+O66+P66+Q66+R66+S66</f>
        <v>0.3</v>
      </c>
      <c r="H66">
        <f t="shared" ref="H66:S66" si="28">H67</f>
        <v>0.0245</v>
      </c>
      <c r="I66">
        <f t="shared" si="28"/>
        <v>0.024591</v>
      </c>
      <c r="J66">
        <f t="shared" si="28"/>
        <v>0.024682</v>
      </c>
      <c r="K66">
        <f t="shared" si="28"/>
        <v>0.024773</v>
      </c>
      <c r="L66">
        <f t="shared" si="28"/>
        <v>0.024864</v>
      </c>
      <c r="M66">
        <f t="shared" si="28"/>
        <v>0.024955</v>
      </c>
      <c r="N66">
        <f t="shared" si="28"/>
        <v>0.025045</v>
      </c>
      <c r="O66">
        <f t="shared" si="28"/>
        <v>0.025136</v>
      </c>
      <c r="P66">
        <f t="shared" si="28"/>
        <v>0.025227</v>
      </c>
      <c r="Q66">
        <f t="shared" si="28"/>
        <v>0.025318</v>
      </c>
      <c r="R66">
        <f t="shared" si="28"/>
        <v>0.025409</v>
      </c>
      <c r="S66">
        <f t="shared" si="28"/>
        <v>0.0255</v>
      </c>
    </row>
    <row r="67" spans="1:19">
      <c r="A67" t="s">
        <v>26</v>
      </c>
      <c r="B67" t="s">
        <v>20</v>
      </c>
      <c r="C67" t="s">
        <v>1504</v>
      </c>
      <c r="D67" t="s">
        <v>325</v>
      </c>
      <c r="G67">
        <f t="shared" si="27"/>
        <v>0.3</v>
      </c>
      <c r="H67">
        <f t="shared" ref="H67:S67" si="29">H68</f>
        <v>0.0245</v>
      </c>
      <c r="I67">
        <f t="shared" si="29"/>
        <v>0.024591</v>
      </c>
      <c r="J67">
        <f t="shared" si="29"/>
        <v>0.024682</v>
      </c>
      <c r="K67">
        <f t="shared" si="29"/>
        <v>0.024773</v>
      </c>
      <c r="L67">
        <f t="shared" si="29"/>
        <v>0.024864</v>
      </c>
      <c r="M67">
        <f t="shared" si="29"/>
        <v>0.024955</v>
      </c>
      <c r="N67">
        <f t="shared" si="29"/>
        <v>0.025045</v>
      </c>
      <c r="O67">
        <f t="shared" si="29"/>
        <v>0.025136</v>
      </c>
      <c r="P67">
        <f t="shared" si="29"/>
        <v>0.025227</v>
      </c>
      <c r="Q67">
        <f t="shared" si="29"/>
        <v>0.025318</v>
      </c>
      <c r="R67">
        <f t="shared" si="29"/>
        <v>0.025409</v>
      </c>
      <c r="S67">
        <f t="shared" si="29"/>
        <v>0.0255</v>
      </c>
    </row>
    <row r="68" spans="1:19">
      <c r="A68" t="s">
        <v>60</v>
      </c>
      <c r="B68" t="s">
        <v>179</v>
      </c>
      <c r="C68" t="s">
        <v>1505</v>
      </c>
      <c r="D68" t="s">
        <v>327</v>
      </c>
      <c r="G68">
        <f t="shared" si="27"/>
        <v>0.3</v>
      </c>
      <c r="H68">
        <v>0.0245</v>
      </c>
      <c r="I68">
        <v>0.024591</v>
      </c>
      <c r="J68">
        <v>0.024682</v>
      </c>
      <c r="K68">
        <v>0.024773</v>
      </c>
      <c r="L68">
        <v>0.024864</v>
      </c>
      <c r="M68">
        <v>0.024955</v>
      </c>
      <c r="N68">
        <v>0.025045</v>
      </c>
      <c r="O68">
        <v>0.025136</v>
      </c>
      <c r="P68">
        <v>0.025227</v>
      </c>
      <c r="Q68">
        <v>0.025318</v>
      </c>
      <c r="R68">
        <v>0.025409</v>
      </c>
      <c r="S68">
        <v>0.0255</v>
      </c>
    </row>
    <row r="69" spans="1:19">
      <c r="A69" t="s">
        <v>23</v>
      </c>
      <c r="B69" t="s">
        <v>20</v>
      </c>
      <c r="C69" t="s">
        <v>1506</v>
      </c>
      <c r="D69" t="s">
        <v>333</v>
      </c>
      <c r="G69">
        <f t="shared" si="27"/>
        <v>141089826.3</v>
      </c>
      <c r="H69">
        <f t="shared" ref="H69:S69" si="30">H70</f>
        <v>10165640.0245</v>
      </c>
      <c r="I69">
        <f t="shared" si="30"/>
        <v>9831162.024591</v>
      </c>
      <c r="J69">
        <f t="shared" si="30"/>
        <v>11253786.024682</v>
      </c>
      <c r="K69">
        <f t="shared" si="30"/>
        <v>11476772.024773</v>
      </c>
      <c r="L69">
        <f t="shared" si="30"/>
        <v>11759230.024864</v>
      </c>
      <c r="M69">
        <f t="shared" si="30"/>
        <v>12123448.024955</v>
      </c>
      <c r="N69">
        <f t="shared" si="30"/>
        <v>12428196.025045</v>
      </c>
      <c r="O69">
        <f t="shared" si="30"/>
        <v>12227494.025136</v>
      </c>
      <c r="P69">
        <f t="shared" si="30"/>
        <v>11945036.025227</v>
      </c>
      <c r="Q69">
        <f t="shared" si="30"/>
        <v>12539630.025318</v>
      </c>
      <c r="R69">
        <f t="shared" si="30"/>
        <v>12398400.025409</v>
      </c>
      <c r="S69">
        <f t="shared" si="30"/>
        <v>12941032.0255</v>
      </c>
    </row>
    <row r="70" spans="1:19">
      <c r="A70" t="s">
        <v>26</v>
      </c>
      <c r="B70" t="s">
        <v>20</v>
      </c>
      <c r="C70" t="s">
        <v>1507</v>
      </c>
      <c r="D70" t="s">
        <v>335</v>
      </c>
      <c r="G70">
        <f t="shared" si="27"/>
        <v>141089826.3</v>
      </c>
      <c r="H70">
        <f t="shared" ref="H70:S70" si="31">H71+H72+H73</f>
        <v>10165640.0245</v>
      </c>
      <c r="I70">
        <f t="shared" si="31"/>
        <v>9831162.024591</v>
      </c>
      <c r="J70">
        <f t="shared" si="31"/>
        <v>11253786.024682</v>
      </c>
      <c r="K70">
        <f t="shared" si="31"/>
        <v>11476772.024773</v>
      </c>
      <c r="L70">
        <f t="shared" si="31"/>
        <v>11759230.024864</v>
      </c>
      <c r="M70">
        <f t="shared" si="31"/>
        <v>12123448.024955</v>
      </c>
      <c r="N70">
        <f t="shared" si="31"/>
        <v>12428196.025045</v>
      </c>
      <c r="O70">
        <f t="shared" si="31"/>
        <v>12227494.025136</v>
      </c>
      <c r="P70">
        <f t="shared" si="31"/>
        <v>11945036.025227</v>
      </c>
      <c r="Q70">
        <f t="shared" si="31"/>
        <v>12539630.025318</v>
      </c>
      <c r="R70">
        <f t="shared" si="31"/>
        <v>12398400.025409</v>
      </c>
      <c r="S70">
        <f t="shared" si="31"/>
        <v>12941032.0255</v>
      </c>
    </row>
    <row r="71" spans="1:19">
      <c r="A71" t="s">
        <v>60</v>
      </c>
      <c r="B71" t="s">
        <v>130</v>
      </c>
      <c r="C71" t="s">
        <v>1508</v>
      </c>
      <c r="D71" t="s">
        <v>1509</v>
      </c>
      <c r="G71">
        <f t="shared" si="27"/>
        <v>70544913</v>
      </c>
      <c r="H71">
        <v>5082820</v>
      </c>
      <c r="I71">
        <v>4915581</v>
      </c>
      <c r="J71">
        <v>5626893</v>
      </c>
      <c r="K71">
        <v>5738386</v>
      </c>
      <c r="L71">
        <v>5879615</v>
      </c>
      <c r="M71">
        <v>6061724</v>
      </c>
      <c r="N71">
        <v>6214098</v>
      </c>
      <c r="O71">
        <v>6113747</v>
      </c>
      <c r="P71">
        <v>5972518</v>
      </c>
      <c r="Q71">
        <v>6269815</v>
      </c>
      <c r="R71">
        <v>6199200</v>
      </c>
      <c r="S71">
        <v>6470516</v>
      </c>
    </row>
    <row r="72" spans="1:19">
      <c r="A72" t="s">
        <v>60</v>
      </c>
      <c r="B72" t="s">
        <v>143</v>
      </c>
      <c r="C72" t="s">
        <v>1510</v>
      </c>
      <c r="D72" t="s">
        <v>1511</v>
      </c>
      <c r="G72">
        <f t="shared" si="27"/>
        <v>70544913</v>
      </c>
      <c r="H72">
        <v>5082820</v>
      </c>
      <c r="I72">
        <v>4915581</v>
      </c>
      <c r="J72">
        <v>5626893</v>
      </c>
      <c r="K72">
        <v>5738386</v>
      </c>
      <c r="L72">
        <v>5879615</v>
      </c>
      <c r="M72">
        <v>6061724</v>
      </c>
      <c r="N72">
        <v>6214098</v>
      </c>
      <c r="O72">
        <v>6113747</v>
      </c>
      <c r="P72">
        <v>5972518</v>
      </c>
      <c r="Q72">
        <v>6269815</v>
      </c>
      <c r="R72">
        <v>6199200</v>
      </c>
      <c r="S72">
        <v>6470516</v>
      </c>
    </row>
    <row r="73" spans="1:19">
      <c r="A73" t="s">
        <v>60</v>
      </c>
      <c r="B73" t="s">
        <v>179</v>
      </c>
      <c r="C73" t="s">
        <v>1512</v>
      </c>
      <c r="D73" t="s">
        <v>1513</v>
      </c>
      <c r="G73">
        <f t="shared" si="27"/>
        <v>0.3</v>
      </c>
      <c r="H73">
        <v>0.0245</v>
      </c>
      <c r="I73">
        <v>0.024591</v>
      </c>
      <c r="J73">
        <v>0.024682</v>
      </c>
      <c r="K73">
        <v>0.024773</v>
      </c>
      <c r="L73">
        <v>0.024864</v>
      </c>
      <c r="M73">
        <v>0.024955</v>
      </c>
      <c r="N73">
        <v>0.025045</v>
      </c>
      <c r="O73">
        <v>0.025136</v>
      </c>
      <c r="P73">
        <v>0.025227</v>
      </c>
      <c r="Q73">
        <v>0.025318</v>
      </c>
      <c r="R73">
        <v>0.025409</v>
      </c>
      <c r="S73">
        <v>0.0255</v>
      </c>
    </row>
    <row r="74" spans="1:19">
      <c r="A74" t="s">
        <v>19</v>
      </c>
      <c r="B74" t="s">
        <v>20</v>
      </c>
      <c r="C74" t="s">
        <v>1514</v>
      </c>
      <c r="D74" t="s">
        <v>337</v>
      </c>
      <c r="G74">
        <f t="shared" si="27"/>
        <v>643320000.42</v>
      </c>
      <c r="H74">
        <f t="shared" ref="H74:S74" si="32">H75+H77+H78</f>
        <v>25200000.0343</v>
      </c>
      <c r="I74">
        <f t="shared" si="32"/>
        <v>23400000.034427</v>
      </c>
      <c r="J74">
        <f t="shared" si="32"/>
        <v>28080000.034555</v>
      </c>
      <c r="K74">
        <f t="shared" si="32"/>
        <v>57600000.034682</v>
      </c>
      <c r="L74">
        <f t="shared" si="32"/>
        <v>59040000.034809</v>
      </c>
      <c r="M74">
        <f t="shared" si="32"/>
        <v>61200000.034936</v>
      </c>
      <c r="N74">
        <f t="shared" si="32"/>
        <v>63360000.035064</v>
      </c>
      <c r="O74">
        <f t="shared" si="32"/>
        <v>62640000.035191</v>
      </c>
      <c r="P74">
        <f t="shared" si="32"/>
        <v>61200000.035318</v>
      </c>
      <c r="Q74">
        <f t="shared" si="32"/>
        <v>66960000.035445</v>
      </c>
      <c r="R74">
        <f t="shared" si="32"/>
        <v>66240000.035573</v>
      </c>
      <c r="S74">
        <f t="shared" si="32"/>
        <v>68400000.0357</v>
      </c>
    </row>
    <row r="75" spans="1:19">
      <c r="A75" t="s">
        <v>23</v>
      </c>
      <c r="B75" t="s">
        <v>20</v>
      </c>
      <c r="C75" t="s">
        <v>1515</v>
      </c>
      <c r="D75" t="s">
        <v>339</v>
      </c>
      <c r="G75">
        <f t="shared" si="27"/>
        <v>0.42</v>
      </c>
      <c r="H75">
        <f t="shared" ref="H75:S75" si="33">H76</f>
        <v>0.0343</v>
      </c>
      <c r="I75">
        <f t="shared" si="33"/>
        <v>0.034427</v>
      </c>
      <c r="J75">
        <f t="shared" si="33"/>
        <v>0.034555</v>
      </c>
      <c r="K75">
        <f t="shared" si="33"/>
        <v>0.034682</v>
      </c>
      <c r="L75">
        <f t="shared" si="33"/>
        <v>0.034809</v>
      </c>
      <c r="M75">
        <f t="shared" si="33"/>
        <v>0.034936</v>
      </c>
      <c r="N75">
        <f t="shared" si="33"/>
        <v>0.035064</v>
      </c>
      <c r="O75">
        <f t="shared" si="33"/>
        <v>0.035191</v>
      </c>
      <c r="P75">
        <f t="shared" si="33"/>
        <v>0.035318</v>
      </c>
      <c r="Q75">
        <f t="shared" si="33"/>
        <v>0.035445</v>
      </c>
      <c r="R75">
        <f t="shared" si="33"/>
        <v>0.035573</v>
      </c>
      <c r="S75">
        <f t="shared" si="33"/>
        <v>0.0357</v>
      </c>
    </row>
    <row r="76" spans="1:19">
      <c r="A76" t="s">
        <v>26</v>
      </c>
      <c r="B76" t="s">
        <v>179</v>
      </c>
      <c r="C76" t="s">
        <v>1516</v>
      </c>
      <c r="D76" t="s">
        <v>341</v>
      </c>
      <c r="G76">
        <f t="shared" si="27"/>
        <v>0.42</v>
      </c>
      <c r="H76">
        <v>0.0343</v>
      </c>
      <c r="I76">
        <v>0.034427</v>
      </c>
      <c r="J76">
        <v>0.034555</v>
      </c>
      <c r="K76">
        <v>0.034682</v>
      </c>
      <c r="L76">
        <v>0.034809</v>
      </c>
      <c r="M76">
        <v>0.034936</v>
      </c>
      <c r="N76">
        <v>0.035064</v>
      </c>
      <c r="O76">
        <v>0.035191</v>
      </c>
      <c r="P76">
        <v>0.035318</v>
      </c>
      <c r="Q76">
        <v>0.035445</v>
      </c>
      <c r="R76">
        <v>0.035573</v>
      </c>
      <c r="S76">
        <v>0.0357</v>
      </c>
    </row>
    <row r="77" spans="1:19">
      <c r="A77" t="s">
        <v>23</v>
      </c>
      <c r="B77" t="s">
        <v>20</v>
      </c>
      <c r="C77" t="s">
        <v>1517</v>
      </c>
      <c r="D77" t="s">
        <v>1518</v>
      </c>
      <c r="G77">
        <f t="shared" si="27"/>
        <v>360000000</v>
      </c>
      <c r="H77">
        <v>25200000</v>
      </c>
      <c r="I77">
        <v>23400000</v>
      </c>
      <c r="J77">
        <v>28080000</v>
      </c>
      <c r="K77">
        <v>28800000</v>
      </c>
      <c r="L77">
        <v>29520000</v>
      </c>
      <c r="M77">
        <v>30600000</v>
      </c>
      <c r="N77">
        <v>31680000</v>
      </c>
      <c r="O77">
        <v>31320000</v>
      </c>
      <c r="P77">
        <v>30600000</v>
      </c>
      <c r="Q77">
        <v>33480000</v>
      </c>
      <c r="R77">
        <v>33120000</v>
      </c>
      <c r="S77">
        <v>34200000</v>
      </c>
    </row>
    <row r="78" spans="1:19">
      <c r="A78" t="s">
        <v>23</v>
      </c>
      <c r="B78" t="s">
        <v>20</v>
      </c>
      <c r="C78" t="s">
        <v>1519</v>
      </c>
      <c r="D78" t="s">
        <v>179</v>
      </c>
      <c r="G78">
        <f t="shared" si="27"/>
        <v>283320000</v>
      </c>
      <c r="K78">
        <v>28800000</v>
      </c>
      <c r="L78">
        <v>29520000</v>
      </c>
      <c r="M78">
        <v>30600000</v>
      </c>
      <c r="N78">
        <v>31680000</v>
      </c>
      <c r="O78">
        <v>31320000</v>
      </c>
      <c r="P78">
        <v>30600000</v>
      </c>
      <c r="Q78">
        <v>33480000</v>
      </c>
      <c r="R78">
        <v>33120000</v>
      </c>
      <c r="S78">
        <v>34200000</v>
      </c>
    </row>
    <row r="79" spans="1:19">
      <c r="A79" t="s">
        <v>19</v>
      </c>
      <c r="B79" t="s">
        <v>35</v>
      </c>
      <c r="C79" t="s">
        <v>1520</v>
      </c>
      <c r="D79" t="s">
        <v>365</v>
      </c>
      <c r="G79">
        <f t="shared" si="27"/>
        <v>3864350000.54</v>
      </c>
      <c r="H79">
        <f t="shared" ref="H79:S79" si="34">H80+H82+H84+H86+H89</f>
        <v>0.0441</v>
      </c>
      <c r="I79">
        <f t="shared" si="34"/>
        <v>0.044265</v>
      </c>
      <c r="J79">
        <f t="shared" si="34"/>
        <v>0.044427</v>
      </c>
      <c r="K79">
        <f t="shared" si="34"/>
        <v>419000000.044592</v>
      </c>
      <c r="L79">
        <f t="shared" si="34"/>
        <v>429100000.044754</v>
      </c>
      <c r="M79">
        <f t="shared" si="34"/>
        <v>439250000.044919</v>
      </c>
      <c r="N79">
        <f t="shared" si="34"/>
        <v>444400000.045081</v>
      </c>
      <c r="O79">
        <f t="shared" si="34"/>
        <v>434350000.045246</v>
      </c>
      <c r="P79">
        <f t="shared" si="34"/>
        <v>424250000.045408</v>
      </c>
      <c r="Q79">
        <f t="shared" si="34"/>
        <v>419650000.045573</v>
      </c>
      <c r="R79">
        <f t="shared" si="34"/>
        <v>414600000.045735</v>
      </c>
      <c r="S79">
        <f t="shared" si="34"/>
        <v>439750000.0459</v>
      </c>
    </row>
    <row r="80" spans="1:19">
      <c r="A80" t="s">
        <v>23</v>
      </c>
      <c r="B80" t="s">
        <v>35</v>
      </c>
      <c r="C80" t="s">
        <v>1521</v>
      </c>
      <c r="D80" t="s">
        <v>367</v>
      </c>
      <c r="G80">
        <f t="shared" si="27"/>
        <v>0.18</v>
      </c>
      <c r="H80">
        <f t="shared" ref="H80:S80" si="35">H81</f>
        <v>0.0147</v>
      </c>
      <c r="I80">
        <f t="shared" si="35"/>
        <v>0.014755</v>
      </c>
      <c r="J80">
        <f t="shared" si="35"/>
        <v>0.014809</v>
      </c>
      <c r="K80">
        <f t="shared" si="35"/>
        <v>0.014864</v>
      </c>
      <c r="L80">
        <f t="shared" si="35"/>
        <v>0.014918</v>
      </c>
      <c r="M80">
        <f t="shared" si="35"/>
        <v>0.014973</v>
      </c>
      <c r="N80">
        <f t="shared" si="35"/>
        <v>0.015027</v>
      </c>
      <c r="O80">
        <f t="shared" si="35"/>
        <v>0.015082</v>
      </c>
      <c r="P80">
        <f t="shared" si="35"/>
        <v>0.015136</v>
      </c>
      <c r="Q80">
        <f t="shared" si="35"/>
        <v>0.015191</v>
      </c>
      <c r="R80">
        <f t="shared" si="35"/>
        <v>0.015245</v>
      </c>
      <c r="S80">
        <f t="shared" si="35"/>
        <v>0.0153</v>
      </c>
    </row>
    <row r="81" spans="1:19">
      <c r="A81" t="s">
        <v>26</v>
      </c>
      <c r="B81" t="s">
        <v>179</v>
      </c>
      <c r="C81" t="s">
        <v>1522</v>
      </c>
      <c r="D81" t="s">
        <v>369</v>
      </c>
      <c r="G81">
        <f t="shared" si="27"/>
        <v>0.18</v>
      </c>
      <c r="H81">
        <v>0.0147</v>
      </c>
      <c r="I81">
        <v>0.014755</v>
      </c>
      <c r="J81">
        <v>0.014809</v>
      </c>
      <c r="K81">
        <v>0.014864</v>
      </c>
      <c r="L81">
        <v>0.014918</v>
      </c>
      <c r="M81">
        <v>0.014973</v>
      </c>
      <c r="N81">
        <v>0.015027</v>
      </c>
      <c r="O81">
        <v>0.015082</v>
      </c>
      <c r="P81">
        <v>0.015136</v>
      </c>
      <c r="Q81">
        <v>0.015191</v>
      </c>
      <c r="R81">
        <v>0.015245</v>
      </c>
      <c r="S81">
        <v>0.0153</v>
      </c>
    </row>
    <row r="82" spans="1:19">
      <c r="A82" t="s">
        <v>23</v>
      </c>
      <c r="B82" t="s">
        <v>35</v>
      </c>
      <c r="C82" t="s">
        <v>1523</v>
      </c>
      <c r="D82" t="s">
        <v>371</v>
      </c>
      <c r="G82">
        <f t="shared" si="27"/>
        <v>0.18</v>
      </c>
      <c r="H82">
        <f t="shared" ref="H82:S82" si="36">H83</f>
        <v>0.0147</v>
      </c>
      <c r="I82">
        <f t="shared" si="36"/>
        <v>0.014755</v>
      </c>
      <c r="J82">
        <f t="shared" si="36"/>
        <v>0.014809</v>
      </c>
      <c r="K82">
        <f t="shared" si="36"/>
        <v>0.014864</v>
      </c>
      <c r="L82">
        <f t="shared" si="36"/>
        <v>0.014918</v>
      </c>
      <c r="M82">
        <f t="shared" si="36"/>
        <v>0.014973</v>
      </c>
      <c r="N82">
        <f t="shared" si="36"/>
        <v>0.015027</v>
      </c>
      <c r="O82">
        <f t="shared" si="36"/>
        <v>0.015082</v>
      </c>
      <c r="P82">
        <f t="shared" si="36"/>
        <v>0.015136</v>
      </c>
      <c r="Q82">
        <f t="shared" si="36"/>
        <v>0.015191</v>
      </c>
      <c r="R82">
        <f t="shared" si="36"/>
        <v>0.015245</v>
      </c>
      <c r="S82">
        <f t="shared" si="36"/>
        <v>0.0153</v>
      </c>
    </row>
    <row r="83" spans="1:19">
      <c r="A83" t="s">
        <v>26</v>
      </c>
      <c r="B83" t="s">
        <v>179</v>
      </c>
      <c r="C83" t="s">
        <v>1524</v>
      </c>
      <c r="D83" t="s">
        <v>369</v>
      </c>
      <c r="G83">
        <f t="shared" si="27"/>
        <v>0.18</v>
      </c>
      <c r="H83">
        <v>0.0147</v>
      </c>
      <c r="I83">
        <v>0.014755</v>
      </c>
      <c r="J83">
        <v>0.014809</v>
      </c>
      <c r="K83">
        <v>0.014864</v>
      </c>
      <c r="L83">
        <v>0.014918</v>
      </c>
      <c r="M83">
        <v>0.014973</v>
      </c>
      <c r="N83">
        <v>0.015027</v>
      </c>
      <c r="O83">
        <v>0.015082</v>
      </c>
      <c r="P83">
        <v>0.015136</v>
      </c>
      <c r="Q83">
        <v>0.015191</v>
      </c>
      <c r="R83">
        <v>0.015245</v>
      </c>
      <c r="S83">
        <v>0.0153</v>
      </c>
    </row>
    <row r="84" spans="1:19">
      <c r="A84" t="s">
        <v>23</v>
      </c>
      <c r="B84" t="s">
        <v>35</v>
      </c>
      <c r="C84" t="s">
        <v>1525</v>
      </c>
      <c r="D84" t="s">
        <v>374</v>
      </c>
      <c r="G84">
        <f t="shared" si="27"/>
        <v>0.18</v>
      </c>
      <c r="H84">
        <f t="shared" ref="H84:S84" si="37">H85</f>
        <v>0.0147</v>
      </c>
      <c r="I84">
        <f t="shared" si="37"/>
        <v>0.014755</v>
      </c>
      <c r="J84">
        <f t="shared" si="37"/>
        <v>0.014809</v>
      </c>
      <c r="K84">
        <f t="shared" si="37"/>
        <v>0.014864</v>
      </c>
      <c r="L84">
        <f t="shared" si="37"/>
        <v>0.014918</v>
      </c>
      <c r="M84">
        <f t="shared" si="37"/>
        <v>0.014973</v>
      </c>
      <c r="N84">
        <f t="shared" si="37"/>
        <v>0.015027</v>
      </c>
      <c r="O84">
        <f t="shared" si="37"/>
        <v>0.015082</v>
      </c>
      <c r="P84">
        <f t="shared" si="37"/>
        <v>0.015136</v>
      </c>
      <c r="Q84">
        <f t="shared" si="37"/>
        <v>0.015191</v>
      </c>
      <c r="R84">
        <f t="shared" si="37"/>
        <v>0.015245</v>
      </c>
      <c r="S84">
        <f t="shared" si="37"/>
        <v>0.0153</v>
      </c>
    </row>
    <row r="85" spans="1:19">
      <c r="A85" t="s">
        <v>26</v>
      </c>
      <c r="B85" t="s">
        <v>179</v>
      </c>
      <c r="C85" t="s">
        <v>1526</v>
      </c>
      <c r="D85" t="s">
        <v>369</v>
      </c>
      <c r="G85">
        <f t="shared" si="27"/>
        <v>0.18</v>
      </c>
      <c r="H85">
        <v>0.0147</v>
      </c>
      <c r="I85">
        <v>0.014755</v>
      </c>
      <c r="J85">
        <v>0.014809</v>
      </c>
      <c r="K85">
        <v>0.014864</v>
      </c>
      <c r="L85">
        <v>0.014918</v>
      </c>
      <c r="M85">
        <v>0.014973</v>
      </c>
      <c r="N85">
        <v>0.015027</v>
      </c>
      <c r="O85">
        <v>0.015082</v>
      </c>
      <c r="P85">
        <v>0.015136</v>
      </c>
      <c r="Q85">
        <v>0.015191</v>
      </c>
      <c r="R85">
        <v>0.015245</v>
      </c>
      <c r="S85">
        <v>0.0153</v>
      </c>
    </row>
    <row r="86" spans="1:19">
      <c r="A86" t="s">
        <v>23</v>
      </c>
      <c r="B86" t="s">
        <v>35</v>
      </c>
      <c r="C86" t="s">
        <v>1527</v>
      </c>
      <c r="D86" t="s">
        <v>381</v>
      </c>
      <c r="G86">
        <f t="shared" si="27"/>
        <v>3825000000</v>
      </c>
      <c r="H86">
        <f t="shared" ref="H86:S86" si="38">H87</f>
        <v>0</v>
      </c>
      <c r="I86">
        <f t="shared" si="38"/>
        <v>0</v>
      </c>
      <c r="J86">
        <f t="shared" si="38"/>
        <v>0</v>
      </c>
      <c r="K86">
        <f t="shared" si="38"/>
        <v>415000000</v>
      </c>
      <c r="L86">
        <f t="shared" si="38"/>
        <v>425000000</v>
      </c>
      <c r="M86">
        <f t="shared" si="38"/>
        <v>435000000</v>
      </c>
      <c r="N86">
        <f t="shared" si="38"/>
        <v>440000000</v>
      </c>
      <c r="O86">
        <f t="shared" si="38"/>
        <v>430000000</v>
      </c>
      <c r="P86">
        <f t="shared" si="38"/>
        <v>420000000</v>
      </c>
      <c r="Q86">
        <f t="shared" si="38"/>
        <v>415000000</v>
      </c>
      <c r="R86">
        <f t="shared" si="38"/>
        <v>410000000</v>
      </c>
      <c r="S86">
        <f t="shared" si="38"/>
        <v>435000000</v>
      </c>
    </row>
    <row r="87" spans="1:19">
      <c r="A87" t="s">
        <v>26</v>
      </c>
      <c r="B87" t="s">
        <v>35</v>
      </c>
      <c r="C87" t="s">
        <v>1528</v>
      </c>
      <c r="D87" t="s">
        <v>1529</v>
      </c>
      <c r="G87">
        <f t="shared" si="27"/>
        <v>3825000000</v>
      </c>
      <c r="H87">
        <f t="shared" ref="H87:S87" si="39">H88</f>
        <v>0</v>
      </c>
      <c r="I87">
        <f t="shared" si="39"/>
        <v>0</v>
      </c>
      <c r="J87">
        <f t="shared" si="39"/>
        <v>0</v>
      </c>
      <c r="K87">
        <f t="shared" si="39"/>
        <v>415000000</v>
      </c>
      <c r="L87">
        <f t="shared" si="39"/>
        <v>425000000</v>
      </c>
      <c r="M87">
        <f t="shared" si="39"/>
        <v>435000000</v>
      </c>
      <c r="N87">
        <f t="shared" si="39"/>
        <v>440000000</v>
      </c>
      <c r="O87">
        <f t="shared" si="39"/>
        <v>430000000</v>
      </c>
      <c r="P87">
        <f t="shared" si="39"/>
        <v>420000000</v>
      </c>
      <c r="Q87">
        <f t="shared" si="39"/>
        <v>415000000</v>
      </c>
      <c r="R87">
        <f t="shared" si="39"/>
        <v>410000000</v>
      </c>
      <c r="S87">
        <f t="shared" si="39"/>
        <v>435000000</v>
      </c>
    </row>
    <row r="88" spans="1:19">
      <c r="A88" t="s">
        <v>60</v>
      </c>
      <c r="B88" t="s">
        <v>179</v>
      </c>
      <c r="C88" t="s">
        <v>1530</v>
      </c>
      <c r="D88" t="s">
        <v>1531</v>
      </c>
      <c r="G88">
        <f t="shared" si="27"/>
        <v>3825000000</v>
      </c>
      <c r="K88">
        <v>415000000</v>
      </c>
      <c r="L88">
        <v>425000000</v>
      </c>
      <c r="M88">
        <v>435000000</v>
      </c>
      <c r="N88">
        <v>440000000</v>
      </c>
      <c r="O88">
        <v>430000000</v>
      </c>
      <c r="P88">
        <v>420000000</v>
      </c>
      <c r="Q88">
        <v>415000000</v>
      </c>
      <c r="R88">
        <v>410000000</v>
      </c>
      <c r="S88">
        <v>435000000</v>
      </c>
    </row>
    <row r="89" spans="1:19">
      <c r="A89" t="s">
        <v>23</v>
      </c>
      <c r="B89" t="s">
        <v>35</v>
      </c>
      <c r="C89" t="s">
        <v>1532</v>
      </c>
      <c r="D89" t="s">
        <v>179</v>
      </c>
      <c r="G89">
        <f t="shared" si="27"/>
        <v>39350000</v>
      </c>
      <c r="K89">
        <v>4000000</v>
      </c>
      <c r="L89">
        <v>4100000</v>
      </c>
      <c r="M89">
        <v>4250000</v>
      </c>
      <c r="N89">
        <v>4400000</v>
      </c>
      <c r="O89">
        <v>4350000</v>
      </c>
      <c r="P89">
        <v>4250000</v>
      </c>
      <c r="Q89">
        <v>4650000</v>
      </c>
      <c r="R89">
        <v>4600000</v>
      </c>
      <c r="S89">
        <v>4750000</v>
      </c>
    </row>
    <row r="90" spans="1:19">
      <c r="A90" t="s">
        <v>19</v>
      </c>
      <c r="B90" t="s">
        <v>20</v>
      </c>
      <c r="C90" t="s">
        <v>1533</v>
      </c>
      <c r="D90" t="s">
        <v>386</v>
      </c>
      <c r="G90">
        <f t="shared" si="27"/>
        <v>7054492192</v>
      </c>
      <c r="H90">
        <v>508282040</v>
      </c>
      <c r="I90">
        <v>491558171</v>
      </c>
      <c r="J90">
        <v>562689333</v>
      </c>
      <c r="K90">
        <v>573838656</v>
      </c>
      <c r="L90">
        <v>587961603</v>
      </c>
      <c r="M90">
        <v>606172464</v>
      </c>
      <c r="N90">
        <v>621409855</v>
      </c>
      <c r="O90">
        <v>611374834</v>
      </c>
      <c r="P90">
        <v>597251888</v>
      </c>
      <c r="Q90">
        <v>626981615</v>
      </c>
      <c r="R90">
        <v>619920065</v>
      </c>
      <c r="S90">
        <v>647051668</v>
      </c>
    </row>
    <row r="91" spans="1:19">
      <c r="A91" t="s">
        <v>19</v>
      </c>
      <c r="B91" t="s">
        <v>20</v>
      </c>
      <c r="C91" t="s">
        <v>1534</v>
      </c>
      <c r="D91" t="s">
        <v>392</v>
      </c>
      <c r="G91">
        <f t="shared" si="27"/>
        <v>7054492192</v>
      </c>
      <c r="H91">
        <v>508282040</v>
      </c>
      <c r="I91">
        <v>491558171</v>
      </c>
      <c r="J91">
        <v>562689333</v>
      </c>
      <c r="K91">
        <v>573838656</v>
      </c>
      <c r="L91">
        <v>587961603</v>
      </c>
      <c r="M91">
        <v>606172464</v>
      </c>
      <c r="N91">
        <v>621409855</v>
      </c>
      <c r="O91">
        <v>611374834</v>
      </c>
      <c r="P91">
        <v>597251888</v>
      </c>
      <c r="Q91">
        <v>626981615</v>
      </c>
      <c r="R91">
        <v>619920065</v>
      </c>
      <c r="S91">
        <v>647051668</v>
      </c>
    </row>
    <row r="92" spans="1:19">
      <c r="A92" t="s">
        <v>19</v>
      </c>
      <c r="B92" t="s">
        <v>393</v>
      </c>
      <c r="C92" t="s">
        <v>1535</v>
      </c>
      <c r="D92" t="s">
        <v>395</v>
      </c>
      <c r="G92">
        <f t="shared" si="27"/>
        <v>3837643562</v>
      </c>
      <c r="H92">
        <f t="shared" ref="H92:S92" si="40">H93+H109</f>
        <v>276505416</v>
      </c>
      <c r="I92">
        <f t="shared" si="40"/>
        <v>267407626</v>
      </c>
      <c r="J92">
        <f t="shared" si="40"/>
        <v>306102990</v>
      </c>
      <c r="K92">
        <f t="shared" si="40"/>
        <v>312168216</v>
      </c>
      <c r="L92">
        <f t="shared" si="40"/>
        <v>319851094</v>
      </c>
      <c r="M92">
        <f t="shared" si="40"/>
        <v>329757808</v>
      </c>
      <c r="N92">
        <f t="shared" si="40"/>
        <v>338046948</v>
      </c>
      <c r="O92">
        <f t="shared" si="40"/>
        <v>332587886</v>
      </c>
      <c r="P92">
        <f t="shared" si="40"/>
        <v>324905008</v>
      </c>
      <c r="Q92">
        <f t="shared" si="40"/>
        <v>341077978</v>
      </c>
      <c r="R92">
        <f t="shared" si="40"/>
        <v>337236500</v>
      </c>
      <c r="S92">
        <f t="shared" si="40"/>
        <v>351996092</v>
      </c>
    </row>
    <row r="93" spans="1:19">
      <c r="A93" t="s">
        <v>23</v>
      </c>
      <c r="B93" t="s">
        <v>393</v>
      </c>
      <c r="C93" t="s">
        <v>1536</v>
      </c>
      <c r="D93" t="s">
        <v>397</v>
      </c>
      <c r="G93">
        <f t="shared" si="27"/>
        <v>1918821781</v>
      </c>
      <c r="H93">
        <f t="shared" ref="H93:S93" si="41">H94+H97+H100+H107+H108</f>
        <v>138252708</v>
      </c>
      <c r="I93">
        <f t="shared" si="41"/>
        <v>133703813</v>
      </c>
      <c r="J93">
        <f t="shared" si="41"/>
        <v>153051495</v>
      </c>
      <c r="K93">
        <f t="shared" si="41"/>
        <v>156084108</v>
      </c>
      <c r="L93">
        <f t="shared" si="41"/>
        <v>159925547</v>
      </c>
      <c r="M93">
        <f t="shared" si="41"/>
        <v>164878904</v>
      </c>
      <c r="N93">
        <f t="shared" si="41"/>
        <v>169023474</v>
      </c>
      <c r="O93">
        <f t="shared" si="41"/>
        <v>166293943</v>
      </c>
      <c r="P93">
        <f t="shared" si="41"/>
        <v>162452504</v>
      </c>
      <c r="Q93">
        <f t="shared" si="41"/>
        <v>170538989</v>
      </c>
      <c r="R93">
        <f t="shared" si="41"/>
        <v>168618250</v>
      </c>
      <c r="S93">
        <f t="shared" si="41"/>
        <v>175998046</v>
      </c>
    </row>
    <row r="94" spans="1:19">
      <c r="A94" t="s">
        <v>26</v>
      </c>
      <c r="B94" t="s">
        <v>393</v>
      </c>
      <c r="C94" t="s">
        <v>1537</v>
      </c>
      <c r="D94" t="s">
        <v>399</v>
      </c>
      <c r="G94">
        <f t="shared" si="27"/>
        <v>141089826</v>
      </c>
      <c r="H94">
        <f t="shared" ref="H94:S94" si="42">H95+H96</f>
        <v>10165640</v>
      </c>
      <c r="I94">
        <f t="shared" si="42"/>
        <v>9831162</v>
      </c>
      <c r="J94">
        <f t="shared" si="42"/>
        <v>11253786</v>
      </c>
      <c r="K94">
        <f t="shared" si="42"/>
        <v>11476772</v>
      </c>
      <c r="L94">
        <f t="shared" si="42"/>
        <v>11759230</v>
      </c>
      <c r="M94">
        <f t="shared" si="42"/>
        <v>12123448</v>
      </c>
      <c r="N94">
        <f t="shared" si="42"/>
        <v>12428196</v>
      </c>
      <c r="O94">
        <f t="shared" si="42"/>
        <v>12227494</v>
      </c>
      <c r="P94">
        <f t="shared" si="42"/>
        <v>11945036</v>
      </c>
      <c r="Q94">
        <f t="shared" si="42"/>
        <v>12539630</v>
      </c>
      <c r="R94">
        <f t="shared" si="42"/>
        <v>12398400</v>
      </c>
      <c r="S94">
        <f t="shared" si="42"/>
        <v>12941032</v>
      </c>
    </row>
    <row r="95" spans="1:19">
      <c r="A95" t="s">
        <v>60</v>
      </c>
      <c r="B95" t="s">
        <v>393</v>
      </c>
      <c r="C95" t="s">
        <v>1538</v>
      </c>
      <c r="D95" t="s">
        <v>401</v>
      </c>
      <c r="G95">
        <f t="shared" si="27"/>
        <v>70544913</v>
      </c>
      <c r="H95">
        <v>5082820</v>
      </c>
      <c r="I95">
        <v>4915581</v>
      </c>
      <c r="J95">
        <v>5626893</v>
      </c>
      <c r="K95">
        <v>5738386</v>
      </c>
      <c r="L95">
        <v>5879615</v>
      </c>
      <c r="M95">
        <v>6061724</v>
      </c>
      <c r="N95">
        <v>6214098</v>
      </c>
      <c r="O95">
        <v>6113747</v>
      </c>
      <c r="P95">
        <v>5972518</v>
      </c>
      <c r="Q95">
        <v>6269815</v>
      </c>
      <c r="R95">
        <v>6199200</v>
      </c>
      <c r="S95">
        <v>6470516</v>
      </c>
    </row>
    <row r="96" spans="1:19">
      <c r="A96" t="s">
        <v>60</v>
      </c>
      <c r="B96" t="s">
        <v>393</v>
      </c>
      <c r="C96" t="s">
        <v>1539</v>
      </c>
      <c r="D96" t="s">
        <v>49</v>
      </c>
      <c r="G96">
        <f t="shared" si="27"/>
        <v>70544913</v>
      </c>
      <c r="H96">
        <v>5082820</v>
      </c>
      <c r="I96">
        <v>4915581</v>
      </c>
      <c r="J96">
        <v>5626893</v>
      </c>
      <c r="K96">
        <v>5738386</v>
      </c>
      <c r="L96">
        <v>5879615</v>
      </c>
      <c r="M96">
        <v>6061724</v>
      </c>
      <c r="N96">
        <v>6214098</v>
      </c>
      <c r="O96">
        <v>6113747</v>
      </c>
      <c r="P96">
        <v>5972518</v>
      </c>
      <c r="Q96">
        <v>6269815</v>
      </c>
      <c r="R96">
        <v>6199200</v>
      </c>
      <c r="S96">
        <v>6470516</v>
      </c>
    </row>
    <row r="97" spans="1:19">
      <c r="A97" t="s">
        <v>26</v>
      </c>
      <c r="B97" t="s">
        <v>393</v>
      </c>
      <c r="C97" t="s">
        <v>1540</v>
      </c>
      <c r="D97" t="s">
        <v>51</v>
      </c>
      <c r="G97">
        <f t="shared" si="27"/>
        <v>141089826</v>
      </c>
      <c r="H97">
        <f t="shared" ref="H97:S97" si="43">H98+H99</f>
        <v>10165640</v>
      </c>
      <c r="I97">
        <f t="shared" si="43"/>
        <v>9831162</v>
      </c>
      <c r="J97">
        <f t="shared" si="43"/>
        <v>11253786</v>
      </c>
      <c r="K97">
        <f t="shared" si="43"/>
        <v>11476772</v>
      </c>
      <c r="L97">
        <f t="shared" si="43"/>
        <v>11759230</v>
      </c>
      <c r="M97">
        <f t="shared" si="43"/>
        <v>12123448</v>
      </c>
      <c r="N97">
        <f t="shared" si="43"/>
        <v>12428196</v>
      </c>
      <c r="O97">
        <f t="shared" si="43"/>
        <v>12227494</v>
      </c>
      <c r="P97">
        <f t="shared" si="43"/>
        <v>11945036</v>
      </c>
      <c r="Q97">
        <f t="shared" si="43"/>
        <v>12539630</v>
      </c>
      <c r="R97">
        <f t="shared" si="43"/>
        <v>12398400</v>
      </c>
      <c r="S97">
        <f t="shared" si="43"/>
        <v>12941032</v>
      </c>
    </row>
    <row r="98" spans="1:19">
      <c r="A98" t="s">
        <v>60</v>
      </c>
      <c r="B98" t="s">
        <v>393</v>
      </c>
      <c r="C98" t="s">
        <v>1541</v>
      </c>
      <c r="D98" t="s">
        <v>405</v>
      </c>
      <c r="G98">
        <f t="shared" si="27"/>
        <v>70544913</v>
      </c>
      <c r="H98">
        <v>5082820</v>
      </c>
      <c r="I98">
        <v>4915581</v>
      </c>
      <c r="J98">
        <v>5626893</v>
      </c>
      <c r="K98">
        <v>5738386</v>
      </c>
      <c r="L98">
        <v>5879615</v>
      </c>
      <c r="M98">
        <v>6061724</v>
      </c>
      <c r="N98">
        <v>6214098</v>
      </c>
      <c r="O98">
        <v>6113747</v>
      </c>
      <c r="P98">
        <v>5972518</v>
      </c>
      <c r="Q98">
        <v>6269815</v>
      </c>
      <c r="R98">
        <v>6199200</v>
      </c>
      <c r="S98">
        <v>6470516</v>
      </c>
    </row>
    <row r="99" spans="1:19">
      <c r="A99" t="s">
        <v>60</v>
      </c>
      <c r="B99" t="s">
        <v>393</v>
      </c>
      <c r="C99" t="s">
        <v>1542</v>
      </c>
      <c r="D99" t="s">
        <v>407</v>
      </c>
      <c r="G99">
        <f t="shared" si="27"/>
        <v>70544913</v>
      </c>
      <c r="H99">
        <v>5082820</v>
      </c>
      <c r="I99">
        <v>4915581</v>
      </c>
      <c r="J99">
        <v>5626893</v>
      </c>
      <c r="K99">
        <v>5738386</v>
      </c>
      <c r="L99">
        <v>5879615</v>
      </c>
      <c r="M99">
        <v>6061724</v>
      </c>
      <c r="N99">
        <v>6214098</v>
      </c>
      <c r="O99">
        <v>6113747</v>
      </c>
      <c r="P99">
        <v>5972518</v>
      </c>
      <c r="Q99">
        <v>6269815</v>
      </c>
      <c r="R99">
        <v>6199200</v>
      </c>
      <c r="S99">
        <v>6470516</v>
      </c>
    </row>
    <row r="100" spans="1:19">
      <c r="A100" t="s">
        <v>26</v>
      </c>
      <c r="B100" t="s">
        <v>393</v>
      </c>
      <c r="C100" t="s">
        <v>1543</v>
      </c>
      <c r="D100" t="s">
        <v>409</v>
      </c>
      <c r="G100">
        <f t="shared" si="27"/>
        <v>225743705</v>
      </c>
      <c r="H100">
        <f t="shared" ref="H100:S100" si="44">H101+H104+H105+H106</f>
        <v>16265022</v>
      </c>
      <c r="I100">
        <f t="shared" si="44"/>
        <v>15729857</v>
      </c>
      <c r="J100">
        <f t="shared" si="44"/>
        <v>18006057</v>
      </c>
      <c r="K100">
        <f t="shared" si="44"/>
        <v>18362834</v>
      </c>
      <c r="L100">
        <f t="shared" si="44"/>
        <v>18814767</v>
      </c>
      <c r="M100">
        <f t="shared" si="44"/>
        <v>19397516</v>
      </c>
      <c r="N100">
        <f t="shared" si="44"/>
        <v>19885112</v>
      </c>
      <c r="O100">
        <f t="shared" si="44"/>
        <v>19563989</v>
      </c>
      <c r="P100">
        <f t="shared" si="44"/>
        <v>19112056</v>
      </c>
      <c r="Q100">
        <f t="shared" si="44"/>
        <v>20063407</v>
      </c>
      <c r="R100">
        <f t="shared" si="44"/>
        <v>19837438</v>
      </c>
      <c r="S100">
        <f t="shared" si="44"/>
        <v>20705650</v>
      </c>
    </row>
    <row r="101" spans="1:19">
      <c r="A101" t="s">
        <v>60</v>
      </c>
      <c r="B101" t="s">
        <v>393</v>
      </c>
      <c r="C101" t="s">
        <v>1544</v>
      </c>
      <c r="D101" t="s">
        <v>59</v>
      </c>
      <c r="G101">
        <f t="shared" si="27"/>
        <v>14108966</v>
      </c>
      <c r="H101">
        <f t="shared" ref="H101:S101" si="45">H102+H103</f>
        <v>1016562</v>
      </c>
      <c r="I101">
        <f t="shared" si="45"/>
        <v>983114</v>
      </c>
      <c r="J101">
        <f t="shared" si="45"/>
        <v>1125378</v>
      </c>
      <c r="K101">
        <f t="shared" si="45"/>
        <v>1147676</v>
      </c>
      <c r="L101">
        <f t="shared" si="45"/>
        <v>1175922</v>
      </c>
      <c r="M101">
        <f t="shared" si="45"/>
        <v>1212344</v>
      </c>
      <c r="N101">
        <f t="shared" si="45"/>
        <v>1242818</v>
      </c>
      <c r="O101">
        <f t="shared" si="45"/>
        <v>1222748</v>
      </c>
      <c r="P101">
        <f t="shared" si="45"/>
        <v>1194502</v>
      </c>
      <c r="Q101">
        <f t="shared" si="45"/>
        <v>1253962</v>
      </c>
      <c r="R101">
        <f t="shared" si="45"/>
        <v>1239838</v>
      </c>
      <c r="S101">
        <f t="shared" si="45"/>
        <v>1294102</v>
      </c>
    </row>
    <row r="102" spans="1:19">
      <c r="A102" t="s">
        <v>192</v>
      </c>
      <c r="B102" t="s">
        <v>393</v>
      </c>
      <c r="C102" t="s">
        <v>1545</v>
      </c>
      <c r="D102" t="s">
        <v>62</v>
      </c>
      <c r="G102">
        <f t="shared" si="27"/>
        <v>7054483</v>
      </c>
      <c r="H102">
        <v>508281</v>
      </c>
      <c r="I102">
        <v>491557</v>
      </c>
      <c r="J102">
        <v>562689</v>
      </c>
      <c r="K102">
        <v>573838</v>
      </c>
      <c r="L102">
        <v>587961</v>
      </c>
      <c r="M102">
        <v>606172</v>
      </c>
      <c r="N102">
        <v>621409</v>
      </c>
      <c r="O102">
        <v>611374</v>
      </c>
      <c r="P102">
        <v>597251</v>
      </c>
      <c r="Q102">
        <v>626981</v>
      </c>
      <c r="R102">
        <v>619919</v>
      </c>
      <c r="S102">
        <v>647051</v>
      </c>
    </row>
    <row r="103" spans="1:19">
      <c r="A103" t="s">
        <v>192</v>
      </c>
      <c r="B103" t="s">
        <v>393</v>
      </c>
      <c r="C103" t="s">
        <v>1546</v>
      </c>
      <c r="D103" t="s">
        <v>64</v>
      </c>
      <c r="G103">
        <f t="shared" si="27"/>
        <v>7054483</v>
      </c>
      <c r="H103">
        <v>508281</v>
      </c>
      <c r="I103">
        <v>491557</v>
      </c>
      <c r="J103">
        <v>562689</v>
      </c>
      <c r="K103">
        <v>573838</v>
      </c>
      <c r="L103">
        <v>587961</v>
      </c>
      <c r="M103">
        <v>606172</v>
      </c>
      <c r="N103">
        <v>621409</v>
      </c>
      <c r="O103">
        <v>611374</v>
      </c>
      <c r="P103">
        <v>597251</v>
      </c>
      <c r="Q103">
        <v>626981</v>
      </c>
      <c r="R103">
        <v>619919</v>
      </c>
      <c r="S103">
        <v>647051</v>
      </c>
    </row>
    <row r="104" spans="1:19">
      <c r="A104" t="s">
        <v>60</v>
      </c>
      <c r="B104" t="s">
        <v>393</v>
      </c>
      <c r="C104" t="s">
        <v>1547</v>
      </c>
      <c r="D104" t="s">
        <v>414</v>
      </c>
      <c r="G104">
        <f t="shared" si="27"/>
        <v>70544913</v>
      </c>
      <c r="H104">
        <v>5082820</v>
      </c>
      <c r="I104">
        <v>4915581</v>
      </c>
      <c r="J104">
        <v>5626893</v>
      </c>
      <c r="K104">
        <v>5738386</v>
      </c>
      <c r="L104">
        <v>5879615</v>
      </c>
      <c r="M104">
        <v>6061724</v>
      </c>
      <c r="N104">
        <v>6214098</v>
      </c>
      <c r="O104">
        <v>6113747</v>
      </c>
      <c r="P104">
        <v>5972518</v>
      </c>
      <c r="Q104">
        <v>6269815</v>
      </c>
      <c r="R104">
        <v>6199200</v>
      </c>
      <c r="S104">
        <v>6470516</v>
      </c>
    </row>
    <row r="105" spans="1:19">
      <c r="A105" t="s">
        <v>60</v>
      </c>
      <c r="B105" t="s">
        <v>393</v>
      </c>
      <c r="C105" t="s">
        <v>1548</v>
      </c>
      <c r="D105" t="s">
        <v>68</v>
      </c>
      <c r="G105">
        <f t="shared" si="27"/>
        <v>70544913</v>
      </c>
      <c r="H105">
        <v>5082820</v>
      </c>
      <c r="I105">
        <v>4915581</v>
      </c>
      <c r="J105">
        <v>5626893</v>
      </c>
      <c r="K105">
        <v>5738386</v>
      </c>
      <c r="L105">
        <v>5879615</v>
      </c>
      <c r="M105">
        <v>6061724</v>
      </c>
      <c r="N105">
        <v>6214098</v>
      </c>
      <c r="O105">
        <v>6113747</v>
      </c>
      <c r="P105">
        <v>5972518</v>
      </c>
      <c r="Q105">
        <v>6269815</v>
      </c>
      <c r="R105">
        <v>6199200</v>
      </c>
      <c r="S105">
        <v>6470516</v>
      </c>
    </row>
    <row r="106" spans="1:19">
      <c r="A106" t="s">
        <v>60</v>
      </c>
      <c r="B106" t="s">
        <v>393</v>
      </c>
      <c r="C106" t="s">
        <v>1549</v>
      </c>
      <c r="D106" t="s">
        <v>70</v>
      </c>
      <c r="G106">
        <f t="shared" si="27"/>
        <v>70544913</v>
      </c>
      <c r="H106">
        <v>5082820</v>
      </c>
      <c r="I106">
        <v>4915581</v>
      </c>
      <c r="J106">
        <v>5626893</v>
      </c>
      <c r="K106">
        <v>5738386</v>
      </c>
      <c r="L106">
        <v>5879615</v>
      </c>
      <c r="M106">
        <v>6061724</v>
      </c>
      <c r="N106">
        <v>6214098</v>
      </c>
      <c r="O106">
        <v>6113747</v>
      </c>
      <c r="P106">
        <v>5972518</v>
      </c>
      <c r="Q106">
        <v>6269815</v>
      </c>
      <c r="R106">
        <v>6199200</v>
      </c>
      <c r="S106">
        <v>6470516</v>
      </c>
    </row>
    <row r="107" spans="1:19">
      <c r="A107" t="s">
        <v>26</v>
      </c>
      <c r="B107" t="s">
        <v>393</v>
      </c>
      <c r="C107" t="s">
        <v>1550</v>
      </c>
      <c r="D107" t="s">
        <v>418</v>
      </c>
      <c r="G107">
        <f t="shared" si="27"/>
        <v>705449212</v>
      </c>
      <c r="H107">
        <v>50828203</v>
      </c>
      <c r="I107">
        <v>49155816</v>
      </c>
      <c r="J107">
        <v>56268933</v>
      </c>
      <c r="K107">
        <v>57383865</v>
      </c>
      <c r="L107">
        <v>58796160</v>
      </c>
      <c r="M107">
        <v>60617246</v>
      </c>
      <c r="N107">
        <v>62140985</v>
      </c>
      <c r="O107">
        <v>61137483</v>
      </c>
      <c r="P107">
        <v>59725188</v>
      </c>
      <c r="Q107">
        <v>62698161</v>
      </c>
      <c r="R107">
        <v>61992006</v>
      </c>
      <c r="S107">
        <v>64705166</v>
      </c>
    </row>
    <row r="108" spans="1:19">
      <c r="A108" t="s">
        <v>26</v>
      </c>
      <c r="B108" t="s">
        <v>393</v>
      </c>
      <c r="C108" t="s">
        <v>1551</v>
      </c>
      <c r="D108" t="s">
        <v>420</v>
      </c>
      <c r="G108">
        <f t="shared" si="27"/>
        <v>705449212</v>
      </c>
      <c r="H108">
        <v>50828203</v>
      </c>
      <c r="I108">
        <v>49155816</v>
      </c>
      <c r="J108">
        <v>56268933</v>
      </c>
      <c r="K108">
        <v>57383865</v>
      </c>
      <c r="L108">
        <v>58796160</v>
      </c>
      <c r="M108">
        <v>60617246</v>
      </c>
      <c r="N108">
        <v>62140985</v>
      </c>
      <c r="O108">
        <v>61137483</v>
      </c>
      <c r="P108">
        <v>59725188</v>
      </c>
      <c r="Q108">
        <v>62698161</v>
      </c>
      <c r="R108">
        <v>61992006</v>
      </c>
      <c r="S108">
        <v>64705166</v>
      </c>
    </row>
    <row r="109" spans="1:19">
      <c r="A109" t="s">
        <v>23</v>
      </c>
      <c r="B109" t="s">
        <v>393</v>
      </c>
      <c r="C109" t="s">
        <v>1552</v>
      </c>
      <c r="D109" t="s">
        <v>422</v>
      </c>
      <c r="G109">
        <f t="shared" si="27"/>
        <v>1918821781</v>
      </c>
      <c r="H109">
        <f t="shared" ref="H109:S109" si="46">H110+H113+H116+H123+H124</f>
        <v>138252708</v>
      </c>
      <c r="I109">
        <f t="shared" si="46"/>
        <v>133703813</v>
      </c>
      <c r="J109">
        <f t="shared" si="46"/>
        <v>153051495</v>
      </c>
      <c r="K109">
        <f t="shared" si="46"/>
        <v>156084108</v>
      </c>
      <c r="L109">
        <f t="shared" si="46"/>
        <v>159925547</v>
      </c>
      <c r="M109">
        <f t="shared" si="46"/>
        <v>164878904</v>
      </c>
      <c r="N109">
        <f t="shared" si="46"/>
        <v>169023474</v>
      </c>
      <c r="O109">
        <f t="shared" si="46"/>
        <v>166293943</v>
      </c>
      <c r="P109">
        <f t="shared" si="46"/>
        <v>162452504</v>
      </c>
      <c r="Q109">
        <f t="shared" si="46"/>
        <v>170538989</v>
      </c>
      <c r="R109">
        <f t="shared" si="46"/>
        <v>168618250</v>
      </c>
      <c r="S109">
        <f t="shared" si="46"/>
        <v>175998046</v>
      </c>
    </row>
    <row r="110" spans="1:19">
      <c r="A110" t="s">
        <v>26</v>
      </c>
      <c r="B110" t="s">
        <v>393</v>
      </c>
      <c r="C110" t="s">
        <v>1553</v>
      </c>
      <c r="D110" t="s">
        <v>399</v>
      </c>
      <c r="G110">
        <f t="shared" si="27"/>
        <v>141089826</v>
      </c>
      <c r="H110">
        <f t="shared" ref="H110:S110" si="47">H111+H112</f>
        <v>10165640</v>
      </c>
      <c r="I110">
        <f t="shared" si="47"/>
        <v>9831162</v>
      </c>
      <c r="J110">
        <f t="shared" si="47"/>
        <v>11253786</v>
      </c>
      <c r="K110">
        <f t="shared" si="47"/>
        <v>11476772</v>
      </c>
      <c r="L110">
        <f t="shared" si="47"/>
        <v>11759230</v>
      </c>
      <c r="M110">
        <f t="shared" si="47"/>
        <v>12123448</v>
      </c>
      <c r="N110">
        <f t="shared" si="47"/>
        <v>12428196</v>
      </c>
      <c r="O110">
        <f t="shared" si="47"/>
        <v>12227494</v>
      </c>
      <c r="P110">
        <f t="shared" si="47"/>
        <v>11945036</v>
      </c>
      <c r="Q110">
        <f t="shared" si="47"/>
        <v>12539630</v>
      </c>
      <c r="R110">
        <f t="shared" si="47"/>
        <v>12398400</v>
      </c>
      <c r="S110">
        <f t="shared" si="47"/>
        <v>12941032</v>
      </c>
    </row>
    <row r="111" spans="1:19">
      <c r="A111" t="s">
        <v>60</v>
      </c>
      <c r="B111" t="s">
        <v>393</v>
      </c>
      <c r="C111" t="s">
        <v>1554</v>
      </c>
      <c r="D111" t="s">
        <v>401</v>
      </c>
      <c r="G111">
        <f t="shared" si="27"/>
        <v>70544913</v>
      </c>
      <c r="H111">
        <v>5082820</v>
      </c>
      <c r="I111">
        <v>4915581</v>
      </c>
      <c r="J111">
        <v>5626893</v>
      </c>
      <c r="K111">
        <v>5738386</v>
      </c>
      <c r="L111">
        <v>5879615</v>
      </c>
      <c r="M111">
        <v>6061724</v>
      </c>
      <c r="N111">
        <v>6214098</v>
      </c>
      <c r="O111">
        <v>6113747</v>
      </c>
      <c r="P111">
        <v>5972518</v>
      </c>
      <c r="Q111">
        <v>6269815</v>
      </c>
      <c r="R111">
        <v>6199200</v>
      </c>
      <c r="S111">
        <v>6470516</v>
      </c>
    </row>
    <row r="112" spans="1:19">
      <c r="A112" t="s">
        <v>60</v>
      </c>
      <c r="B112" t="s">
        <v>393</v>
      </c>
      <c r="C112" t="s">
        <v>1555</v>
      </c>
      <c r="D112" t="s">
        <v>49</v>
      </c>
      <c r="G112">
        <f t="shared" si="27"/>
        <v>70544913</v>
      </c>
      <c r="H112">
        <v>5082820</v>
      </c>
      <c r="I112">
        <v>4915581</v>
      </c>
      <c r="J112">
        <v>5626893</v>
      </c>
      <c r="K112">
        <v>5738386</v>
      </c>
      <c r="L112">
        <v>5879615</v>
      </c>
      <c r="M112">
        <v>6061724</v>
      </c>
      <c r="N112">
        <v>6214098</v>
      </c>
      <c r="O112">
        <v>6113747</v>
      </c>
      <c r="P112">
        <v>5972518</v>
      </c>
      <c r="Q112">
        <v>6269815</v>
      </c>
      <c r="R112">
        <v>6199200</v>
      </c>
      <c r="S112">
        <v>6470516</v>
      </c>
    </row>
    <row r="113" spans="1:19">
      <c r="A113" t="s">
        <v>26</v>
      </c>
      <c r="B113" t="s">
        <v>393</v>
      </c>
      <c r="C113" t="s">
        <v>1556</v>
      </c>
      <c r="D113" t="s">
        <v>51</v>
      </c>
      <c r="G113">
        <f t="shared" si="27"/>
        <v>141089826</v>
      </c>
      <c r="H113">
        <f t="shared" ref="H113:S113" si="48">H114+H115</f>
        <v>10165640</v>
      </c>
      <c r="I113">
        <f t="shared" si="48"/>
        <v>9831162</v>
      </c>
      <c r="J113">
        <f t="shared" si="48"/>
        <v>11253786</v>
      </c>
      <c r="K113">
        <f t="shared" si="48"/>
        <v>11476772</v>
      </c>
      <c r="L113">
        <f t="shared" si="48"/>
        <v>11759230</v>
      </c>
      <c r="M113">
        <f t="shared" si="48"/>
        <v>12123448</v>
      </c>
      <c r="N113">
        <f t="shared" si="48"/>
        <v>12428196</v>
      </c>
      <c r="O113">
        <f t="shared" si="48"/>
        <v>12227494</v>
      </c>
      <c r="P113">
        <f t="shared" si="48"/>
        <v>11945036</v>
      </c>
      <c r="Q113">
        <f t="shared" si="48"/>
        <v>12539630</v>
      </c>
      <c r="R113">
        <f t="shared" si="48"/>
        <v>12398400</v>
      </c>
      <c r="S113">
        <f t="shared" si="48"/>
        <v>12941032</v>
      </c>
    </row>
    <row r="114" spans="1:19">
      <c r="A114" t="s">
        <v>60</v>
      </c>
      <c r="B114" t="s">
        <v>393</v>
      </c>
      <c r="C114" t="s">
        <v>1557</v>
      </c>
      <c r="D114" t="s">
        <v>405</v>
      </c>
      <c r="G114">
        <f t="shared" si="27"/>
        <v>70544913</v>
      </c>
      <c r="H114">
        <v>5082820</v>
      </c>
      <c r="I114">
        <v>4915581</v>
      </c>
      <c r="J114">
        <v>5626893</v>
      </c>
      <c r="K114">
        <v>5738386</v>
      </c>
      <c r="L114">
        <v>5879615</v>
      </c>
      <c r="M114">
        <v>6061724</v>
      </c>
      <c r="N114">
        <v>6214098</v>
      </c>
      <c r="O114">
        <v>6113747</v>
      </c>
      <c r="P114">
        <v>5972518</v>
      </c>
      <c r="Q114">
        <v>6269815</v>
      </c>
      <c r="R114">
        <v>6199200</v>
      </c>
      <c r="S114">
        <v>6470516</v>
      </c>
    </row>
    <row r="115" spans="1:19">
      <c r="A115" t="s">
        <v>60</v>
      </c>
      <c r="B115" t="s">
        <v>393</v>
      </c>
      <c r="C115" t="s">
        <v>1558</v>
      </c>
      <c r="D115" t="s">
        <v>407</v>
      </c>
      <c r="G115">
        <f t="shared" si="27"/>
        <v>70544913</v>
      </c>
      <c r="H115">
        <v>5082820</v>
      </c>
      <c r="I115">
        <v>4915581</v>
      </c>
      <c r="J115">
        <v>5626893</v>
      </c>
      <c r="K115">
        <v>5738386</v>
      </c>
      <c r="L115">
        <v>5879615</v>
      </c>
      <c r="M115">
        <v>6061724</v>
      </c>
      <c r="N115">
        <v>6214098</v>
      </c>
      <c r="O115">
        <v>6113747</v>
      </c>
      <c r="P115">
        <v>5972518</v>
      </c>
      <c r="Q115">
        <v>6269815</v>
      </c>
      <c r="R115">
        <v>6199200</v>
      </c>
      <c r="S115">
        <v>6470516</v>
      </c>
    </row>
    <row r="116" spans="1:19">
      <c r="A116" t="s">
        <v>26</v>
      </c>
      <c r="B116" t="s">
        <v>393</v>
      </c>
      <c r="C116" t="s">
        <v>1559</v>
      </c>
      <c r="D116" t="s">
        <v>409</v>
      </c>
      <c r="G116">
        <f t="shared" si="27"/>
        <v>225743705</v>
      </c>
      <c r="H116">
        <f t="shared" ref="H116:S116" si="49">H117+H120+H121+H122</f>
        <v>16265022</v>
      </c>
      <c r="I116">
        <f t="shared" si="49"/>
        <v>15729857</v>
      </c>
      <c r="J116">
        <f t="shared" si="49"/>
        <v>18006057</v>
      </c>
      <c r="K116">
        <f t="shared" si="49"/>
        <v>18362834</v>
      </c>
      <c r="L116">
        <f t="shared" si="49"/>
        <v>18814767</v>
      </c>
      <c r="M116">
        <f t="shared" si="49"/>
        <v>19397516</v>
      </c>
      <c r="N116">
        <f t="shared" si="49"/>
        <v>19885112</v>
      </c>
      <c r="O116">
        <f t="shared" si="49"/>
        <v>19563989</v>
      </c>
      <c r="P116">
        <f t="shared" si="49"/>
        <v>19112056</v>
      </c>
      <c r="Q116">
        <f t="shared" si="49"/>
        <v>20063407</v>
      </c>
      <c r="R116">
        <f t="shared" si="49"/>
        <v>19837438</v>
      </c>
      <c r="S116">
        <f t="shared" si="49"/>
        <v>20705650</v>
      </c>
    </row>
    <row r="117" spans="1:19">
      <c r="A117" t="s">
        <v>60</v>
      </c>
      <c r="B117" t="s">
        <v>393</v>
      </c>
      <c r="C117" t="s">
        <v>1560</v>
      </c>
      <c r="D117" t="s">
        <v>59</v>
      </c>
      <c r="G117">
        <f t="shared" si="27"/>
        <v>14108966</v>
      </c>
      <c r="H117">
        <f t="shared" ref="H117:S117" si="50">H118+H119</f>
        <v>1016562</v>
      </c>
      <c r="I117">
        <f t="shared" si="50"/>
        <v>983114</v>
      </c>
      <c r="J117">
        <f t="shared" si="50"/>
        <v>1125378</v>
      </c>
      <c r="K117">
        <f t="shared" si="50"/>
        <v>1147676</v>
      </c>
      <c r="L117">
        <f t="shared" si="50"/>
        <v>1175922</v>
      </c>
      <c r="M117">
        <f t="shared" si="50"/>
        <v>1212344</v>
      </c>
      <c r="N117">
        <f t="shared" si="50"/>
        <v>1242818</v>
      </c>
      <c r="O117">
        <f t="shared" si="50"/>
        <v>1222748</v>
      </c>
      <c r="P117">
        <f t="shared" si="50"/>
        <v>1194502</v>
      </c>
      <c r="Q117">
        <f t="shared" si="50"/>
        <v>1253962</v>
      </c>
      <c r="R117">
        <f t="shared" si="50"/>
        <v>1239838</v>
      </c>
      <c r="S117">
        <f t="shared" si="50"/>
        <v>1294102</v>
      </c>
    </row>
    <row r="118" spans="1:19">
      <c r="A118" t="s">
        <v>192</v>
      </c>
      <c r="B118" t="s">
        <v>393</v>
      </c>
      <c r="C118" t="s">
        <v>1561</v>
      </c>
      <c r="D118" t="s">
        <v>62</v>
      </c>
      <c r="G118">
        <f t="shared" si="27"/>
        <v>7054483</v>
      </c>
      <c r="H118">
        <v>508281</v>
      </c>
      <c r="I118">
        <v>491557</v>
      </c>
      <c r="J118">
        <v>562689</v>
      </c>
      <c r="K118">
        <v>573838</v>
      </c>
      <c r="L118">
        <v>587961</v>
      </c>
      <c r="M118">
        <v>606172</v>
      </c>
      <c r="N118">
        <v>621409</v>
      </c>
      <c r="O118">
        <v>611374</v>
      </c>
      <c r="P118">
        <v>597251</v>
      </c>
      <c r="Q118">
        <v>626981</v>
      </c>
      <c r="R118">
        <v>619919</v>
      </c>
      <c r="S118">
        <v>647051</v>
      </c>
    </row>
    <row r="119" spans="1:19">
      <c r="A119" t="s">
        <v>192</v>
      </c>
      <c r="B119" t="s">
        <v>393</v>
      </c>
      <c r="C119" t="s">
        <v>1562</v>
      </c>
      <c r="D119" t="s">
        <v>64</v>
      </c>
      <c r="G119">
        <f t="shared" si="27"/>
        <v>7054483</v>
      </c>
      <c r="H119">
        <v>508281</v>
      </c>
      <c r="I119">
        <v>491557</v>
      </c>
      <c r="J119">
        <v>562689</v>
      </c>
      <c r="K119">
        <v>573838</v>
      </c>
      <c r="L119">
        <v>587961</v>
      </c>
      <c r="M119">
        <v>606172</v>
      </c>
      <c r="N119">
        <v>621409</v>
      </c>
      <c r="O119">
        <v>611374</v>
      </c>
      <c r="P119">
        <v>597251</v>
      </c>
      <c r="Q119">
        <v>626981</v>
      </c>
      <c r="R119">
        <v>619919</v>
      </c>
      <c r="S119">
        <v>647051</v>
      </c>
    </row>
    <row r="120" spans="1:19">
      <c r="A120" t="s">
        <v>60</v>
      </c>
      <c r="B120" t="s">
        <v>393</v>
      </c>
      <c r="C120" t="s">
        <v>1563</v>
      </c>
      <c r="D120" t="s">
        <v>414</v>
      </c>
      <c r="G120">
        <f t="shared" si="27"/>
        <v>70544913</v>
      </c>
      <c r="H120">
        <v>5082820</v>
      </c>
      <c r="I120">
        <v>4915581</v>
      </c>
      <c r="J120">
        <v>5626893</v>
      </c>
      <c r="K120">
        <v>5738386</v>
      </c>
      <c r="L120">
        <v>5879615</v>
      </c>
      <c r="M120">
        <v>6061724</v>
      </c>
      <c r="N120">
        <v>6214098</v>
      </c>
      <c r="O120">
        <v>6113747</v>
      </c>
      <c r="P120">
        <v>5972518</v>
      </c>
      <c r="Q120">
        <v>6269815</v>
      </c>
      <c r="R120">
        <v>6199200</v>
      </c>
      <c r="S120">
        <v>6470516</v>
      </c>
    </row>
    <row r="121" spans="1:19">
      <c r="A121" t="s">
        <v>60</v>
      </c>
      <c r="B121" t="s">
        <v>393</v>
      </c>
      <c r="C121" t="s">
        <v>1564</v>
      </c>
      <c r="D121" t="s">
        <v>68</v>
      </c>
      <c r="G121">
        <f t="shared" si="27"/>
        <v>70544913</v>
      </c>
      <c r="H121">
        <v>5082820</v>
      </c>
      <c r="I121">
        <v>4915581</v>
      </c>
      <c r="J121">
        <v>5626893</v>
      </c>
      <c r="K121">
        <v>5738386</v>
      </c>
      <c r="L121">
        <v>5879615</v>
      </c>
      <c r="M121">
        <v>6061724</v>
      </c>
      <c r="N121">
        <v>6214098</v>
      </c>
      <c r="O121">
        <v>6113747</v>
      </c>
      <c r="P121">
        <v>5972518</v>
      </c>
      <c r="Q121">
        <v>6269815</v>
      </c>
      <c r="R121">
        <v>6199200</v>
      </c>
      <c r="S121">
        <v>6470516</v>
      </c>
    </row>
    <row r="122" spans="1:19">
      <c r="A122" t="s">
        <v>60</v>
      </c>
      <c r="B122" t="s">
        <v>393</v>
      </c>
      <c r="C122" t="s">
        <v>1565</v>
      </c>
      <c r="D122" t="s">
        <v>70</v>
      </c>
      <c r="G122">
        <f t="shared" si="27"/>
        <v>70544913</v>
      </c>
      <c r="H122">
        <v>5082820</v>
      </c>
      <c r="I122">
        <v>4915581</v>
      </c>
      <c r="J122">
        <v>5626893</v>
      </c>
      <c r="K122">
        <v>5738386</v>
      </c>
      <c r="L122">
        <v>5879615</v>
      </c>
      <c r="M122">
        <v>6061724</v>
      </c>
      <c r="N122">
        <v>6214098</v>
      </c>
      <c r="O122">
        <v>6113747</v>
      </c>
      <c r="P122">
        <v>5972518</v>
      </c>
      <c r="Q122">
        <v>6269815</v>
      </c>
      <c r="R122">
        <v>6199200</v>
      </c>
      <c r="S122">
        <v>6470516</v>
      </c>
    </row>
    <row r="123" spans="1:19">
      <c r="A123" t="s">
        <v>26</v>
      </c>
      <c r="B123" t="s">
        <v>393</v>
      </c>
      <c r="C123" t="s">
        <v>1566</v>
      </c>
      <c r="D123" t="s">
        <v>418</v>
      </c>
      <c r="G123">
        <f t="shared" si="27"/>
        <v>705449212</v>
      </c>
      <c r="H123">
        <v>50828203</v>
      </c>
      <c r="I123">
        <v>49155816</v>
      </c>
      <c r="J123">
        <v>56268933</v>
      </c>
      <c r="K123">
        <v>57383865</v>
      </c>
      <c r="L123">
        <v>58796160</v>
      </c>
      <c r="M123">
        <v>60617246</v>
      </c>
      <c r="N123">
        <v>62140985</v>
      </c>
      <c r="O123">
        <v>61137483</v>
      </c>
      <c r="P123">
        <v>59725188</v>
      </c>
      <c r="Q123">
        <v>62698161</v>
      </c>
      <c r="R123">
        <v>61992006</v>
      </c>
      <c r="S123">
        <v>64705166</v>
      </c>
    </row>
    <row r="124" spans="1:19">
      <c r="A124" t="s">
        <v>26</v>
      </c>
      <c r="B124" t="s">
        <v>393</v>
      </c>
      <c r="C124" t="s">
        <v>1567</v>
      </c>
      <c r="D124" t="s">
        <v>420</v>
      </c>
      <c r="G124">
        <f t="shared" si="27"/>
        <v>705449212</v>
      </c>
      <c r="H124">
        <v>50828203</v>
      </c>
      <c r="I124">
        <v>49155816</v>
      </c>
      <c r="J124">
        <v>56268933</v>
      </c>
      <c r="K124">
        <v>57383865</v>
      </c>
      <c r="L124">
        <v>58796160</v>
      </c>
      <c r="M124">
        <v>60617246</v>
      </c>
      <c r="N124">
        <v>62140985</v>
      </c>
      <c r="O124">
        <v>61137483</v>
      </c>
      <c r="P124">
        <v>59725188</v>
      </c>
      <c r="Q124">
        <v>62698161</v>
      </c>
      <c r="R124">
        <v>61992006</v>
      </c>
      <c r="S124">
        <v>64705166</v>
      </c>
    </row>
    <row r="125" spans="1:19">
      <c r="A125" t="s">
        <v>19</v>
      </c>
      <c r="B125" t="s">
        <v>438</v>
      </c>
      <c r="C125" t="s">
        <v>1568</v>
      </c>
      <c r="D125" t="s">
        <v>440</v>
      </c>
      <c r="G125">
        <f t="shared" si="27"/>
        <v>63542724565</v>
      </c>
      <c r="H125">
        <f t="shared" ref="H125:S125" si="51">H126</f>
        <v>4748714100</v>
      </c>
      <c r="I125">
        <f t="shared" si="51"/>
        <v>4911927905</v>
      </c>
      <c r="J125">
        <f t="shared" si="51"/>
        <v>5196954465</v>
      </c>
      <c r="K125">
        <f t="shared" si="51"/>
        <v>5263891930</v>
      </c>
      <c r="L125">
        <f t="shared" si="51"/>
        <v>5390978075</v>
      </c>
      <c r="M125">
        <f t="shared" si="51"/>
        <v>5521458620</v>
      </c>
      <c r="N125">
        <f t="shared" si="51"/>
        <v>5591790490</v>
      </c>
      <c r="O125">
        <f t="shared" si="51"/>
        <v>5468098735</v>
      </c>
      <c r="P125">
        <f t="shared" si="51"/>
        <v>5341012590</v>
      </c>
      <c r="Q125">
        <f t="shared" si="51"/>
        <v>5308019075</v>
      </c>
      <c r="R125">
        <f t="shared" si="51"/>
        <v>5244476000</v>
      </c>
      <c r="S125">
        <f t="shared" si="51"/>
        <v>5555402580</v>
      </c>
    </row>
    <row r="126" spans="1:19">
      <c r="A126" t="s">
        <v>23</v>
      </c>
      <c r="B126" t="s">
        <v>438</v>
      </c>
      <c r="C126" t="s">
        <v>1569</v>
      </c>
      <c r="D126" t="s">
        <v>442</v>
      </c>
      <c r="G126">
        <f t="shared" si="27"/>
        <v>63542724565</v>
      </c>
      <c r="H126">
        <f t="shared" ref="H126:S126" si="52">H127+H132+H147</f>
        <v>4748714100</v>
      </c>
      <c r="I126">
        <f t="shared" si="52"/>
        <v>4911927905</v>
      </c>
      <c r="J126">
        <f t="shared" si="52"/>
        <v>5196954465</v>
      </c>
      <c r="K126">
        <f t="shared" si="52"/>
        <v>5263891930</v>
      </c>
      <c r="L126">
        <f t="shared" si="52"/>
        <v>5390978075</v>
      </c>
      <c r="M126">
        <f t="shared" si="52"/>
        <v>5521458620</v>
      </c>
      <c r="N126">
        <f t="shared" si="52"/>
        <v>5591790490</v>
      </c>
      <c r="O126">
        <f t="shared" si="52"/>
        <v>5468098735</v>
      </c>
      <c r="P126">
        <f t="shared" si="52"/>
        <v>5341012590</v>
      </c>
      <c r="Q126">
        <f t="shared" si="52"/>
        <v>5308019075</v>
      </c>
      <c r="R126">
        <f t="shared" si="52"/>
        <v>5244476000</v>
      </c>
      <c r="S126">
        <f t="shared" si="52"/>
        <v>5555402580</v>
      </c>
    </row>
    <row r="127" spans="1:19">
      <c r="A127" t="s">
        <v>26</v>
      </c>
      <c r="B127" t="s">
        <v>438</v>
      </c>
      <c r="C127" t="s">
        <v>1570</v>
      </c>
      <c r="D127" t="s">
        <v>444</v>
      </c>
      <c r="G127">
        <f t="shared" si="27"/>
        <v>100000000</v>
      </c>
      <c r="H127">
        <f t="shared" ref="H127:S127" si="53">H128+H129+H130+H131</f>
        <v>7000000</v>
      </c>
      <c r="I127">
        <f t="shared" si="53"/>
        <v>6500000</v>
      </c>
      <c r="J127">
        <f t="shared" si="53"/>
        <v>7800000</v>
      </c>
      <c r="K127">
        <f t="shared" si="53"/>
        <v>8000000</v>
      </c>
      <c r="L127">
        <f t="shared" si="53"/>
        <v>8200000</v>
      </c>
      <c r="M127">
        <f t="shared" si="53"/>
        <v>8500000</v>
      </c>
      <c r="N127">
        <f t="shared" si="53"/>
        <v>8800000</v>
      </c>
      <c r="O127">
        <f t="shared" si="53"/>
        <v>8700000</v>
      </c>
      <c r="P127">
        <f t="shared" si="53"/>
        <v>8500000</v>
      </c>
      <c r="Q127">
        <f t="shared" si="53"/>
        <v>9300000</v>
      </c>
      <c r="R127">
        <f t="shared" si="53"/>
        <v>9200000</v>
      </c>
      <c r="S127">
        <f t="shared" si="53"/>
        <v>9500000</v>
      </c>
    </row>
    <row r="128" spans="1:19">
      <c r="A128" t="s">
        <v>60</v>
      </c>
      <c r="B128" t="s">
        <v>438</v>
      </c>
      <c r="C128" t="s">
        <v>1571</v>
      </c>
      <c r="D128" t="s">
        <v>446</v>
      </c>
      <c r="G128">
        <f t="shared" si="27"/>
        <v>40000000</v>
      </c>
      <c r="H128">
        <v>2800000</v>
      </c>
      <c r="I128">
        <v>2600000</v>
      </c>
      <c r="J128">
        <v>3120000</v>
      </c>
      <c r="K128">
        <v>3200000</v>
      </c>
      <c r="L128">
        <v>3280000</v>
      </c>
      <c r="M128">
        <v>3400000</v>
      </c>
      <c r="N128">
        <v>3520000</v>
      </c>
      <c r="O128">
        <v>3480000</v>
      </c>
      <c r="P128">
        <v>3400000</v>
      </c>
      <c r="Q128">
        <v>3720000</v>
      </c>
      <c r="R128">
        <v>3680000</v>
      </c>
      <c r="S128">
        <v>3800000</v>
      </c>
    </row>
    <row r="129" spans="1:19">
      <c r="A129" t="s">
        <v>60</v>
      </c>
      <c r="B129" t="s">
        <v>438</v>
      </c>
      <c r="C129" t="s">
        <v>1572</v>
      </c>
      <c r="D129" t="s">
        <v>448</v>
      </c>
      <c r="G129">
        <f t="shared" si="27"/>
        <v>30000000</v>
      </c>
      <c r="H129">
        <v>2100000</v>
      </c>
      <c r="I129">
        <v>1950000</v>
      </c>
      <c r="J129">
        <v>2340000</v>
      </c>
      <c r="K129">
        <v>2400000</v>
      </c>
      <c r="L129">
        <v>2460000</v>
      </c>
      <c r="M129">
        <v>2550000</v>
      </c>
      <c r="N129">
        <v>2640000</v>
      </c>
      <c r="O129">
        <v>2610000</v>
      </c>
      <c r="P129">
        <v>2550000</v>
      </c>
      <c r="Q129">
        <v>2790000</v>
      </c>
      <c r="R129">
        <v>2760000</v>
      </c>
      <c r="S129">
        <v>2850000</v>
      </c>
    </row>
    <row r="130" spans="1:19">
      <c r="A130" t="s">
        <v>60</v>
      </c>
      <c r="B130" t="s">
        <v>438</v>
      </c>
      <c r="C130" t="s">
        <v>1573</v>
      </c>
      <c r="D130" t="s">
        <v>450</v>
      </c>
      <c r="G130">
        <f t="shared" ref="G130:G150" si="54">H130+I130+J130+K130+L130+M130+N130+O130+P130+Q130+R130+S130</f>
        <v>20000000</v>
      </c>
      <c r="H130">
        <v>1400000</v>
      </c>
      <c r="I130">
        <v>1300000</v>
      </c>
      <c r="J130">
        <v>1560000</v>
      </c>
      <c r="K130">
        <v>1600000</v>
      </c>
      <c r="L130">
        <v>1640000</v>
      </c>
      <c r="M130">
        <v>1700000</v>
      </c>
      <c r="N130">
        <v>1760000</v>
      </c>
      <c r="O130">
        <v>1740000</v>
      </c>
      <c r="P130">
        <v>1700000</v>
      </c>
      <c r="Q130">
        <v>1860000</v>
      </c>
      <c r="R130">
        <v>1840000</v>
      </c>
      <c r="S130">
        <v>1900000</v>
      </c>
    </row>
    <row r="131" spans="1:19">
      <c r="A131" t="s">
        <v>60</v>
      </c>
      <c r="B131" t="s">
        <v>438</v>
      </c>
      <c r="C131" t="s">
        <v>1574</v>
      </c>
      <c r="D131" t="s">
        <v>452</v>
      </c>
      <c r="G131">
        <f t="shared" si="54"/>
        <v>10000000</v>
      </c>
      <c r="H131">
        <v>700000</v>
      </c>
      <c r="I131">
        <v>650000</v>
      </c>
      <c r="J131">
        <v>780000</v>
      </c>
      <c r="K131">
        <v>800000</v>
      </c>
      <c r="L131">
        <v>820000</v>
      </c>
      <c r="M131">
        <v>850000</v>
      </c>
      <c r="N131">
        <v>880000</v>
      </c>
      <c r="O131">
        <v>870000</v>
      </c>
      <c r="P131">
        <v>850000</v>
      </c>
      <c r="Q131">
        <v>930000</v>
      </c>
      <c r="R131">
        <v>920000</v>
      </c>
      <c r="S131">
        <v>950000</v>
      </c>
    </row>
    <row r="132" spans="1:19">
      <c r="A132" t="s">
        <v>26</v>
      </c>
      <c r="B132" t="s">
        <v>438</v>
      </c>
      <c r="C132" t="s">
        <v>1575</v>
      </c>
      <c r="D132" t="s">
        <v>454</v>
      </c>
      <c r="G132">
        <f t="shared" si="54"/>
        <v>63352724565</v>
      </c>
      <c r="H132">
        <f t="shared" ref="H132:S132" si="55">H133+H134+H135+H136+H137+H138+H139+H140+H141+H142+H143+H144+H145+H146</f>
        <v>4735414100</v>
      </c>
      <c r="I132">
        <f t="shared" si="55"/>
        <v>4899577905</v>
      </c>
      <c r="J132">
        <f t="shared" si="55"/>
        <v>5182134465</v>
      </c>
      <c r="K132">
        <f t="shared" si="55"/>
        <v>5248691930</v>
      </c>
      <c r="L132">
        <f t="shared" si="55"/>
        <v>5375398075</v>
      </c>
      <c r="M132">
        <f t="shared" si="55"/>
        <v>5505308620</v>
      </c>
      <c r="N132">
        <f t="shared" si="55"/>
        <v>5575070490</v>
      </c>
      <c r="O132">
        <f t="shared" si="55"/>
        <v>5451568735</v>
      </c>
      <c r="P132">
        <f t="shared" si="55"/>
        <v>5324862590</v>
      </c>
      <c r="Q132">
        <f t="shared" si="55"/>
        <v>5290349075</v>
      </c>
      <c r="R132">
        <f t="shared" si="55"/>
        <v>5226996000</v>
      </c>
      <c r="S132">
        <f t="shared" si="55"/>
        <v>5537352580</v>
      </c>
    </row>
    <row r="133" spans="1:19">
      <c r="A133" t="s">
        <v>60</v>
      </c>
      <c r="B133" t="s">
        <v>438</v>
      </c>
      <c r="C133" t="s">
        <v>1576</v>
      </c>
      <c r="D133" t="s">
        <v>456</v>
      </c>
      <c r="G133">
        <f t="shared" si="54"/>
        <v>20000000000</v>
      </c>
      <c r="H133">
        <v>1500000000</v>
      </c>
      <c r="I133">
        <v>1560000000</v>
      </c>
      <c r="J133">
        <v>1640000000</v>
      </c>
      <c r="K133">
        <v>1660000000</v>
      </c>
      <c r="L133">
        <v>1700000000</v>
      </c>
      <c r="M133">
        <v>1740000000</v>
      </c>
      <c r="N133">
        <v>1760000000</v>
      </c>
      <c r="O133">
        <v>1720000000</v>
      </c>
      <c r="P133">
        <v>1680000000</v>
      </c>
      <c r="Q133">
        <v>1660000000</v>
      </c>
      <c r="R133">
        <v>1640000000</v>
      </c>
      <c r="S133">
        <v>1740000000</v>
      </c>
    </row>
    <row r="134" spans="1:19">
      <c r="A134" t="s">
        <v>60</v>
      </c>
      <c r="B134" t="s">
        <v>438</v>
      </c>
      <c r="C134" t="s">
        <v>1577</v>
      </c>
      <c r="D134" t="s">
        <v>458</v>
      </c>
      <c r="G134">
        <f t="shared" si="54"/>
        <v>40000000</v>
      </c>
      <c r="H134">
        <v>2800000</v>
      </c>
      <c r="I134">
        <v>2600000</v>
      </c>
      <c r="J134">
        <v>3120000</v>
      </c>
      <c r="K134">
        <v>3200000</v>
      </c>
      <c r="L134">
        <v>3280000</v>
      </c>
      <c r="M134">
        <v>3400000</v>
      </c>
      <c r="N134">
        <v>3520000</v>
      </c>
      <c r="O134">
        <v>3480000</v>
      </c>
      <c r="P134">
        <v>3400000</v>
      </c>
      <c r="Q134">
        <v>3720000</v>
      </c>
      <c r="R134">
        <v>3680000</v>
      </c>
      <c r="S134">
        <v>3800000</v>
      </c>
    </row>
    <row r="135" spans="1:19">
      <c r="A135" t="s">
        <v>60</v>
      </c>
      <c r="B135" t="s">
        <v>438</v>
      </c>
      <c r="C135" t="s">
        <v>1578</v>
      </c>
      <c r="D135" t="s">
        <v>460</v>
      </c>
      <c r="G135">
        <f t="shared" si="54"/>
        <v>30000000</v>
      </c>
      <c r="H135">
        <v>2100000</v>
      </c>
      <c r="I135">
        <v>1950000</v>
      </c>
      <c r="J135">
        <v>2340000</v>
      </c>
      <c r="K135">
        <v>2400000</v>
      </c>
      <c r="L135">
        <v>2460000</v>
      </c>
      <c r="M135">
        <v>2550000</v>
      </c>
      <c r="N135">
        <v>2640000</v>
      </c>
      <c r="O135">
        <v>2610000</v>
      </c>
      <c r="P135">
        <v>2550000</v>
      </c>
      <c r="Q135">
        <v>2790000</v>
      </c>
      <c r="R135">
        <v>2760000</v>
      </c>
      <c r="S135">
        <v>2850000</v>
      </c>
    </row>
    <row r="136" spans="1:19">
      <c r="A136" t="s">
        <v>60</v>
      </c>
      <c r="B136" t="s">
        <v>438</v>
      </c>
      <c r="C136" t="s">
        <v>1579</v>
      </c>
      <c r="D136" t="s">
        <v>462</v>
      </c>
      <c r="G136">
        <f t="shared" si="54"/>
        <v>400000000</v>
      </c>
      <c r="H136">
        <v>28000000</v>
      </c>
      <c r="I136">
        <v>26000000</v>
      </c>
      <c r="J136">
        <v>31200000</v>
      </c>
      <c r="K136">
        <v>32000000</v>
      </c>
      <c r="L136">
        <v>32800000</v>
      </c>
      <c r="M136">
        <v>34000000</v>
      </c>
      <c r="N136">
        <v>35200000</v>
      </c>
      <c r="O136">
        <v>34800000</v>
      </c>
      <c r="P136">
        <v>34000000</v>
      </c>
      <c r="Q136">
        <v>37200000</v>
      </c>
      <c r="R136">
        <v>36800000</v>
      </c>
      <c r="S136">
        <v>38000000</v>
      </c>
    </row>
    <row r="137" spans="1:19">
      <c r="A137" t="s">
        <v>60</v>
      </c>
      <c r="B137" t="s">
        <v>438</v>
      </c>
      <c r="C137" t="s">
        <v>1580</v>
      </c>
      <c r="D137" t="s">
        <v>464</v>
      </c>
      <c r="G137">
        <f t="shared" si="54"/>
        <v>70544913</v>
      </c>
      <c r="H137">
        <v>5082820</v>
      </c>
      <c r="I137">
        <v>4915581</v>
      </c>
      <c r="J137">
        <v>5626893</v>
      </c>
      <c r="K137">
        <v>5738386</v>
      </c>
      <c r="L137">
        <v>5879615</v>
      </c>
      <c r="M137">
        <v>6061724</v>
      </c>
      <c r="N137">
        <v>6214098</v>
      </c>
      <c r="O137">
        <v>6113747</v>
      </c>
      <c r="P137">
        <v>5972518</v>
      </c>
      <c r="Q137">
        <v>6269815</v>
      </c>
      <c r="R137">
        <v>6199200</v>
      </c>
      <c r="S137">
        <v>6470516</v>
      </c>
    </row>
    <row r="138" spans="1:19">
      <c r="A138" t="s">
        <v>60</v>
      </c>
      <c r="B138" t="s">
        <v>438</v>
      </c>
      <c r="C138" t="s">
        <v>1581</v>
      </c>
      <c r="D138" t="s">
        <v>466</v>
      </c>
      <c r="G138">
        <f t="shared" si="54"/>
        <v>2500000000</v>
      </c>
      <c r="H138">
        <v>175000000</v>
      </c>
      <c r="I138">
        <v>162500000</v>
      </c>
      <c r="J138">
        <v>195000000</v>
      </c>
      <c r="K138">
        <v>200000000</v>
      </c>
      <c r="L138">
        <v>205000000</v>
      </c>
      <c r="M138">
        <v>212500000</v>
      </c>
      <c r="N138">
        <v>220000000</v>
      </c>
      <c r="O138">
        <v>217500000</v>
      </c>
      <c r="P138">
        <v>212500000</v>
      </c>
      <c r="Q138">
        <v>232500000</v>
      </c>
      <c r="R138">
        <v>230000000</v>
      </c>
      <c r="S138">
        <v>237500000</v>
      </c>
    </row>
    <row r="139" spans="1:19">
      <c r="A139" t="s">
        <v>60</v>
      </c>
      <c r="B139" t="s">
        <v>438</v>
      </c>
      <c r="C139" t="s">
        <v>1582</v>
      </c>
      <c r="D139" t="s">
        <v>468</v>
      </c>
      <c r="G139">
        <f t="shared" si="54"/>
        <v>20000000000</v>
      </c>
      <c r="H139">
        <v>1500000000</v>
      </c>
      <c r="I139">
        <v>1560000000</v>
      </c>
      <c r="J139">
        <v>1640000000</v>
      </c>
      <c r="K139">
        <v>1660000000</v>
      </c>
      <c r="L139">
        <v>1700000000</v>
      </c>
      <c r="M139">
        <v>1740000000</v>
      </c>
      <c r="N139">
        <v>1760000000</v>
      </c>
      <c r="O139">
        <v>1720000000</v>
      </c>
      <c r="P139">
        <v>1680000000</v>
      </c>
      <c r="Q139">
        <v>1660000000</v>
      </c>
      <c r="R139">
        <v>1640000000</v>
      </c>
      <c r="S139">
        <v>1740000000</v>
      </c>
    </row>
    <row r="140" spans="1:19">
      <c r="A140" t="s">
        <v>60</v>
      </c>
      <c r="B140" t="s">
        <v>438</v>
      </c>
      <c r="C140" t="s">
        <v>1583</v>
      </c>
      <c r="D140" t="s">
        <v>470</v>
      </c>
      <c r="G140">
        <f t="shared" si="54"/>
        <v>70544913</v>
      </c>
      <c r="H140">
        <v>5082820</v>
      </c>
      <c r="I140">
        <v>4915581</v>
      </c>
      <c r="J140">
        <v>5626893</v>
      </c>
      <c r="K140">
        <v>5738386</v>
      </c>
      <c r="L140">
        <v>5879615</v>
      </c>
      <c r="M140">
        <v>6061724</v>
      </c>
      <c r="N140">
        <v>6214098</v>
      </c>
      <c r="O140">
        <v>6113747</v>
      </c>
      <c r="P140">
        <v>5972518</v>
      </c>
      <c r="Q140">
        <v>6269815</v>
      </c>
      <c r="R140">
        <v>6199200</v>
      </c>
      <c r="S140">
        <v>6470516</v>
      </c>
    </row>
    <row r="141" spans="1:19">
      <c r="A141" t="s">
        <v>60</v>
      </c>
      <c r="B141" t="s">
        <v>438</v>
      </c>
      <c r="C141" t="s">
        <v>1584</v>
      </c>
      <c r="D141" t="s">
        <v>472</v>
      </c>
      <c r="G141">
        <f t="shared" si="54"/>
        <v>70544913</v>
      </c>
      <c r="H141">
        <v>5082820</v>
      </c>
      <c r="I141">
        <v>4915581</v>
      </c>
      <c r="J141">
        <v>5626893</v>
      </c>
      <c r="K141">
        <v>5738386</v>
      </c>
      <c r="L141">
        <v>5879615</v>
      </c>
      <c r="M141">
        <v>6061724</v>
      </c>
      <c r="N141">
        <v>6214098</v>
      </c>
      <c r="O141">
        <v>6113747</v>
      </c>
      <c r="P141">
        <v>5972518</v>
      </c>
      <c r="Q141">
        <v>6269815</v>
      </c>
      <c r="R141">
        <v>6199200</v>
      </c>
      <c r="S141">
        <v>6470516</v>
      </c>
    </row>
    <row r="142" spans="1:19">
      <c r="A142" t="s">
        <v>60</v>
      </c>
      <c r="B142" t="s">
        <v>438</v>
      </c>
      <c r="C142" t="s">
        <v>1585</v>
      </c>
      <c r="D142" t="s">
        <v>474</v>
      </c>
      <c r="G142">
        <f t="shared" si="54"/>
        <v>70544913</v>
      </c>
      <c r="H142">
        <v>5082820</v>
      </c>
      <c r="I142">
        <v>4915581</v>
      </c>
      <c r="J142">
        <v>5626893</v>
      </c>
      <c r="K142">
        <v>5738386</v>
      </c>
      <c r="L142">
        <v>5879615</v>
      </c>
      <c r="M142">
        <v>6061724</v>
      </c>
      <c r="N142">
        <v>6214098</v>
      </c>
      <c r="O142">
        <v>6113747</v>
      </c>
      <c r="P142">
        <v>5972518</v>
      </c>
      <c r="Q142">
        <v>6269815</v>
      </c>
      <c r="R142">
        <v>6199200</v>
      </c>
      <c r="S142">
        <v>6470516</v>
      </c>
    </row>
    <row r="143" spans="1:19">
      <c r="A143" t="s">
        <v>60</v>
      </c>
      <c r="B143" t="s">
        <v>438</v>
      </c>
      <c r="C143" t="s">
        <v>1586</v>
      </c>
      <c r="D143" t="s">
        <v>476</v>
      </c>
      <c r="G143">
        <f t="shared" si="54"/>
        <v>20000000000</v>
      </c>
      <c r="H143">
        <v>1500000000</v>
      </c>
      <c r="I143">
        <v>1560000000</v>
      </c>
      <c r="J143">
        <v>1640000000</v>
      </c>
      <c r="K143">
        <v>1660000000</v>
      </c>
      <c r="L143">
        <v>1700000000</v>
      </c>
      <c r="M143">
        <v>1740000000</v>
      </c>
      <c r="N143">
        <v>1760000000</v>
      </c>
      <c r="O143">
        <v>1720000000</v>
      </c>
      <c r="P143">
        <v>1680000000</v>
      </c>
      <c r="Q143">
        <v>1660000000</v>
      </c>
      <c r="R143">
        <v>1640000000</v>
      </c>
      <c r="S143">
        <v>1740000000</v>
      </c>
    </row>
    <row r="144" spans="1:19">
      <c r="A144" t="s">
        <v>60</v>
      </c>
      <c r="B144" t="s">
        <v>438</v>
      </c>
      <c r="C144" t="s">
        <v>1587</v>
      </c>
      <c r="D144" t="s">
        <v>478</v>
      </c>
      <c r="G144">
        <f t="shared" si="54"/>
        <v>20000000</v>
      </c>
      <c r="H144">
        <v>1400000</v>
      </c>
      <c r="I144">
        <v>1300000</v>
      </c>
      <c r="J144">
        <v>1560000</v>
      </c>
      <c r="K144">
        <v>1600000</v>
      </c>
      <c r="L144">
        <v>1640000</v>
      </c>
      <c r="M144">
        <v>1700000</v>
      </c>
      <c r="N144">
        <v>1760000</v>
      </c>
      <c r="O144">
        <v>1740000</v>
      </c>
      <c r="P144">
        <v>1700000</v>
      </c>
      <c r="Q144">
        <v>1860000</v>
      </c>
      <c r="R144">
        <v>1840000</v>
      </c>
      <c r="S144">
        <v>1900000</v>
      </c>
    </row>
    <row r="145" spans="1:19">
      <c r="A145" t="s">
        <v>60</v>
      </c>
      <c r="B145" t="s">
        <v>438</v>
      </c>
      <c r="C145" t="s">
        <v>1588</v>
      </c>
      <c r="D145" t="s">
        <v>480</v>
      </c>
      <c r="G145">
        <f t="shared" si="54"/>
        <v>10000000</v>
      </c>
      <c r="H145">
        <v>700000</v>
      </c>
      <c r="I145">
        <v>650000</v>
      </c>
      <c r="J145">
        <v>780000</v>
      </c>
      <c r="K145">
        <v>800000</v>
      </c>
      <c r="L145">
        <v>820000</v>
      </c>
      <c r="M145">
        <v>850000</v>
      </c>
      <c r="N145">
        <v>880000</v>
      </c>
      <c r="O145">
        <v>870000</v>
      </c>
      <c r="P145">
        <v>850000</v>
      </c>
      <c r="Q145">
        <v>930000</v>
      </c>
      <c r="R145">
        <v>920000</v>
      </c>
      <c r="S145">
        <v>950000</v>
      </c>
    </row>
    <row r="146" spans="1:19">
      <c r="A146" t="s">
        <v>60</v>
      </c>
      <c r="B146" t="s">
        <v>438</v>
      </c>
      <c r="C146" t="s">
        <v>1589</v>
      </c>
      <c r="D146" t="s">
        <v>482</v>
      </c>
      <c r="G146">
        <f t="shared" si="54"/>
        <v>70544913</v>
      </c>
      <c r="H146">
        <v>5082820</v>
      </c>
      <c r="I146">
        <v>4915581</v>
      </c>
      <c r="J146">
        <v>5626893</v>
      </c>
      <c r="K146">
        <v>5738386</v>
      </c>
      <c r="L146">
        <v>5879615</v>
      </c>
      <c r="M146">
        <v>6061724</v>
      </c>
      <c r="N146">
        <v>6214098</v>
      </c>
      <c r="O146">
        <v>6113747</v>
      </c>
      <c r="P146">
        <v>5972518</v>
      </c>
      <c r="Q146">
        <v>6269815</v>
      </c>
      <c r="R146">
        <v>6199200</v>
      </c>
      <c r="S146">
        <v>6470516</v>
      </c>
    </row>
    <row r="147" spans="1:19">
      <c r="A147" t="s">
        <v>26</v>
      </c>
      <c r="B147" t="s">
        <v>438</v>
      </c>
      <c r="C147" t="s">
        <v>1590</v>
      </c>
      <c r="D147" t="s">
        <v>484</v>
      </c>
      <c r="G147">
        <f t="shared" si="54"/>
        <v>90000000</v>
      </c>
      <c r="H147">
        <f t="shared" ref="H147:S147" si="56">H148+H149+H150</f>
        <v>6300000</v>
      </c>
      <c r="I147">
        <f t="shared" si="56"/>
        <v>5850000</v>
      </c>
      <c r="J147">
        <f t="shared" si="56"/>
        <v>7020000</v>
      </c>
      <c r="K147">
        <f t="shared" si="56"/>
        <v>7200000</v>
      </c>
      <c r="L147">
        <f t="shared" si="56"/>
        <v>7380000</v>
      </c>
      <c r="M147">
        <f t="shared" si="56"/>
        <v>7650000</v>
      </c>
      <c r="N147">
        <f t="shared" si="56"/>
        <v>7920000</v>
      </c>
      <c r="O147">
        <f t="shared" si="56"/>
        <v>7830000</v>
      </c>
      <c r="P147">
        <f t="shared" si="56"/>
        <v>7650000</v>
      </c>
      <c r="Q147">
        <f t="shared" si="56"/>
        <v>8370000</v>
      </c>
      <c r="R147">
        <f t="shared" si="56"/>
        <v>8280000</v>
      </c>
      <c r="S147">
        <f t="shared" si="56"/>
        <v>8550000</v>
      </c>
    </row>
    <row r="148" spans="1:19">
      <c r="A148" t="s">
        <v>60</v>
      </c>
      <c r="B148" t="s">
        <v>438</v>
      </c>
      <c r="C148" t="s">
        <v>1591</v>
      </c>
      <c r="D148" t="s">
        <v>486</v>
      </c>
      <c r="G148">
        <f t="shared" si="54"/>
        <v>40000000</v>
      </c>
      <c r="H148">
        <v>2800000</v>
      </c>
      <c r="I148">
        <v>2600000</v>
      </c>
      <c r="J148">
        <v>3120000</v>
      </c>
      <c r="K148">
        <v>3200000</v>
      </c>
      <c r="L148">
        <v>3280000</v>
      </c>
      <c r="M148">
        <v>3400000</v>
      </c>
      <c r="N148">
        <v>3520000</v>
      </c>
      <c r="O148">
        <v>3480000</v>
      </c>
      <c r="P148">
        <v>3400000</v>
      </c>
      <c r="Q148">
        <v>3720000</v>
      </c>
      <c r="R148">
        <v>3680000</v>
      </c>
      <c r="S148">
        <v>3800000</v>
      </c>
    </row>
    <row r="149" spans="1:19">
      <c r="A149" t="s">
        <v>60</v>
      </c>
      <c r="B149" t="s">
        <v>438</v>
      </c>
      <c r="C149" t="s">
        <v>1592</v>
      </c>
      <c r="D149" t="s">
        <v>488</v>
      </c>
      <c r="G149">
        <f t="shared" si="54"/>
        <v>30000000</v>
      </c>
      <c r="H149">
        <v>2100000</v>
      </c>
      <c r="I149">
        <v>1950000</v>
      </c>
      <c r="J149">
        <v>2340000</v>
      </c>
      <c r="K149">
        <v>2400000</v>
      </c>
      <c r="L149">
        <v>2460000</v>
      </c>
      <c r="M149">
        <v>2550000</v>
      </c>
      <c r="N149">
        <v>2640000</v>
      </c>
      <c r="O149">
        <v>2610000</v>
      </c>
      <c r="P149">
        <v>2550000</v>
      </c>
      <c r="Q149">
        <v>2790000</v>
      </c>
      <c r="R149">
        <v>2760000</v>
      </c>
      <c r="S149">
        <v>2850000</v>
      </c>
    </row>
    <row r="150" spans="1:19">
      <c r="A150" t="s">
        <v>60</v>
      </c>
      <c r="B150" t="s">
        <v>438</v>
      </c>
      <c r="C150" t="s">
        <v>1593</v>
      </c>
      <c r="D150" t="s">
        <v>490</v>
      </c>
      <c r="G150">
        <f t="shared" si="54"/>
        <v>20000000</v>
      </c>
      <c r="H150">
        <v>1400000</v>
      </c>
      <c r="I150">
        <v>1300000</v>
      </c>
      <c r="J150">
        <v>1560000</v>
      </c>
      <c r="K150">
        <v>1600000</v>
      </c>
      <c r="L150">
        <v>1640000</v>
      </c>
      <c r="M150">
        <v>1700000</v>
      </c>
      <c r="N150">
        <v>1760000</v>
      </c>
      <c r="O150">
        <v>1740000</v>
      </c>
      <c r="P150">
        <v>1700000</v>
      </c>
      <c r="Q150">
        <v>1860000</v>
      </c>
      <c r="R150">
        <v>1840000</v>
      </c>
      <c r="S150">
        <v>1900000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1568</v>
      </c>
      <c r="D2" t="s">
        <v>440</v>
      </c>
      <c r="G2">
        <f t="shared" ref="G2:G27" si="0">H2+I2+J2+K2+L2+M2+N2+O2+P2+Q2+R2+S2</f>
        <v>63395190015</v>
      </c>
      <c r="H2">
        <f t="shared" ref="H2:S2" si="1">H3</f>
        <v>4737847970</v>
      </c>
      <c r="I2">
        <f t="shared" si="1"/>
        <v>4901167495</v>
      </c>
      <c r="J2">
        <f t="shared" si="1"/>
        <v>5184972560</v>
      </c>
      <c r="K2">
        <f t="shared" si="1"/>
        <v>5251726005</v>
      </c>
      <c r="L2">
        <f t="shared" si="1"/>
        <v>5378516385</v>
      </c>
      <c r="M2">
        <f t="shared" si="1"/>
        <v>5508665020</v>
      </c>
      <c r="N2">
        <f t="shared" si="1"/>
        <v>5578776720</v>
      </c>
      <c r="O2">
        <f t="shared" si="1"/>
        <v>5455344595</v>
      </c>
      <c r="P2">
        <f t="shared" si="1"/>
        <v>5328554215</v>
      </c>
      <c r="Q2">
        <f t="shared" si="1"/>
        <v>5295383330</v>
      </c>
      <c r="R2">
        <f t="shared" si="1"/>
        <v>5231988140</v>
      </c>
      <c r="S2">
        <f t="shared" si="1"/>
        <v>5542247580</v>
      </c>
    </row>
    <row r="3" spans="1:19">
      <c r="A3" t="s">
        <v>19</v>
      </c>
      <c r="B3" t="s">
        <v>179</v>
      </c>
      <c r="C3" t="s">
        <v>1569</v>
      </c>
      <c r="D3" t="s">
        <v>442</v>
      </c>
      <c r="G3">
        <f t="shared" si="0"/>
        <v>63395190015</v>
      </c>
      <c r="H3">
        <f t="shared" ref="H3:S3" si="2">H4+H9+H24</f>
        <v>4737847970</v>
      </c>
      <c r="I3">
        <f t="shared" si="2"/>
        <v>4901167495</v>
      </c>
      <c r="J3">
        <f t="shared" si="2"/>
        <v>5184972560</v>
      </c>
      <c r="K3">
        <f t="shared" si="2"/>
        <v>5251726005</v>
      </c>
      <c r="L3">
        <f t="shared" si="2"/>
        <v>5378516385</v>
      </c>
      <c r="M3">
        <f t="shared" si="2"/>
        <v>5508665020</v>
      </c>
      <c r="N3">
        <f t="shared" si="2"/>
        <v>5578776720</v>
      </c>
      <c r="O3">
        <f t="shared" si="2"/>
        <v>5455344595</v>
      </c>
      <c r="P3">
        <f t="shared" si="2"/>
        <v>5328554215</v>
      </c>
      <c r="Q3">
        <f t="shared" si="2"/>
        <v>5295383330</v>
      </c>
      <c r="R3">
        <f t="shared" si="2"/>
        <v>5231988140</v>
      </c>
      <c r="S3">
        <f t="shared" si="2"/>
        <v>5542247580</v>
      </c>
    </row>
    <row r="4" spans="1:19">
      <c r="A4" t="s">
        <v>23</v>
      </c>
      <c r="B4" t="s">
        <v>179</v>
      </c>
      <c r="C4" t="s">
        <v>1570</v>
      </c>
      <c r="D4" t="s">
        <v>444</v>
      </c>
      <c r="G4">
        <f t="shared" si="0"/>
        <v>100000000</v>
      </c>
      <c r="H4">
        <f t="shared" ref="H4:S4" si="3">H5+H6+H7+H8</f>
        <v>7000000</v>
      </c>
      <c r="I4">
        <f t="shared" si="3"/>
        <v>6500000</v>
      </c>
      <c r="J4">
        <f t="shared" si="3"/>
        <v>7800000</v>
      </c>
      <c r="K4">
        <f t="shared" si="3"/>
        <v>8000000</v>
      </c>
      <c r="L4">
        <f t="shared" si="3"/>
        <v>8200000</v>
      </c>
      <c r="M4">
        <f t="shared" si="3"/>
        <v>8500000</v>
      </c>
      <c r="N4">
        <f t="shared" si="3"/>
        <v>8800000</v>
      </c>
      <c r="O4">
        <f t="shared" si="3"/>
        <v>8700000</v>
      </c>
      <c r="P4">
        <f t="shared" si="3"/>
        <v>8500000</v>
      </c>
      <c r="Q4">
        <f t="shared" si="3"/>
        <v>9300000</v>
      </c>
      <c r="R4">
        <f t="shared" si="3"/>
        <v>9200000</v>
      </c>
      <c r="S4">
        <f t="shared" si="3"/>
        <v>9500000</v>
      </c>
    </row>
    <row r="5" spans="1:19">
      <c r="A5" t="s">
        <v>26</v>
      </c>
      <c r="B5" t="s">
        <v>179</v>
      </c>
      <c r="C5" t="s">
        <v>1571</v>
      </c>
      <c r="D5" t="s">
        <v>446</v>
      </c>
      <c r="G5">
        <f t="shared" si="0"/>
        <v>40000000</v>
      </c>
      <c r="H5">
        <v>2800000</v>
      </c>
      <c r="I5">
        <v>2600000</v>
      </c>
      <c r="J5">
        <v>3120000</v>
      </c>
      <c r="K5">
        <v>3200000</v>
      </c>
      <c r="L5">
        <v>3280000</v>
      </c>
      <c r="M5">
        <v>3400000</v>
      </c>
      <c r="N5">
        <v>3520000</v>
      </c>
      <c r="O5">
        <v>3480000</v>
      </c>
      <c r="P5">
        <v>3400000</v>
      </c>
      <c r="Q5">
        <v>3720000</v>
      </c>
      <c r="R5">
        <v>3680000</v>
      </c>
      <c r="S5">
        <v>3800000</v>
      </c>
    </row>
    <row r="6" spans="1:19">
      <c r="A6" t="s">
        <v>26</v>
      </c>
      <c r="B6" t="s">
        <v>179</v>
      </c>
      <c r="C6" t="s">
        <v>1572</v>
      </c>
      <c r="D6" t="s">
        <v>448</v>
      </c>
      <c r="G6">
        <f t="shared" si="0"/>
        <v>30000000</v>
      </c>
      <c r="H6">
        <v>2100000</v>
      </c>
      <c r="I6">
        <v>1950000</v>
      </c>
      <c r="J6">
        <v>2340000</v>
      </c>
      <c r="K6">
        <v>2400000</v>
      </c>
      <c r="L6">
        <v>2460000</v>
      </c>
      <c r="M6">
        <v>2550000</v>
      </c>
      <c r="N6">
        <v>2640000</v>
      </c>
      <c r="O6">
        <v>2610000</v>
      </c>
      <c r="P6">
        <v>2550000</v>
      </c>
      <c r="Q6">
        <v>2790000</v>
      </c>
      <c r="R6">
        <v>2760000</v>
      </c>
      <c r="S6">
        <v>2850000</v>
      </c>
    </row>
    <row r="7" spans="1:19">
      <c r="A7" t="s">
        <v>26</v>
      </c>
      <c r="B7" t="s">
        <v>179</v>
      </c>
      <c r="C7" t="s">
        <v>1573</v>
      </c>
      <c r="D7" t="s">
        <v>450</v>
      </c>
      <c r="G7">
        <f t="shared" si="0"/>
        <v>20000000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26</v>
      </c>
      <c r="B8" t="s">
        <v>179</v>
      </c>
      <c r="C8" t="s">
        <v>1574</v>
      </c>
      <c r="D8" t="s">
        <v>452</v>
      </c>
      <c r="G8">
        <f t="shared" si="0"/>
        <v>10000000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23</v>
      </c>
      <c r="B9" t="s">
        <v>179</v>
      </c>
      <c r="C9" t="s">
        <v>1575</v>
      </c>
      <c r="D9" t="s">
        <v>454</v>
      </c>
      <c r="G9">
        <f t="shared" si="0"/>
        <v>63205190015</v>
      </c>
      <c r="H9">
        <f t="shared" ref="H9:S9" si="4">H10+H11+H12+H13+H14+H15+H16+H17+H18+H19+H20+H21+H22+H23</f>
        <v>4724547970</v>
      </c>
      <c r="I9">
        <f t="shared" si="4"/>
        <v>4888817495</v>
      </c>
      <c r="J9">
        <f t="shared" si="4"/>
        <v>5170152560</v>
      </c>
      <c r="K9">
        <f t="shared" si="4"/>
        <v>5236526005</v>
      </c>
      <c r="L9">
        <f t="shared" si="4"/>
        <v>5362936385</v>
      </c>
      <c r="M9">
        <f t="shared" si="4"/>
        <v>5492515020</v>
      </c>
      <c r="N9">
        <f t="shared" si="4"/>
        <v>5562056720</v>
      </c>
      <c r="O9">
        <f t="shared" si="4"/>
        <v>5438814595</v>
      </c>
      <c r="P9">
        <f t="shared" si="4"/>
        <v>5312404215</v>
      </c>
      <c r="Q9">
        <f t="shared" si="4"/>
        <v>5277713330</v>
      </c>
      <c r="R9">
        <f t="shared" si="4"/>
        <v>5214508140</v>
      </c>
      <c r="S9">
        <f t="shared" si="4"/>
        <v>5524197580</v>
      </c>
    </row>
    <row r="10" spans="1:19">
      <c r="A10" t="s">
        <v>26</v>
      </c>
      <c r="B10" t="s">
        <v>179</v>
      </c>
      <c r="C10" t="s">
        <v>1576</v>
      </c>
      <c r="D10" t="s">
        <v>456</v>
      </c>
      <c r="G10">
        <f t="shared" si="0"/>
        <v>20000000000</v>
      </c>
      <c r="H10">
        <v>1500000000</v>
      </c>
      <c r="I10">
        <v>1560000000</v>
      </c>
      <c r="J10">
        <v>1640000000</v>
      </c>
      <c r="K10">
        <v>1660000000</v>
      </c>
      <c r="L10">
        <v>1700000000</v>
      </c>
      <c r="M10">
        <v>1740000000</v>
      </c>
      <c r="N10">
        <v>1760000000</v>
      </c>
      <c r="O10">
        <v>1720000000</v>
      </c>
      <c r="P10">
        <v>1680000000</v>
      </c>
      <c r="Q10">
        <v>1660000000</v>
      </c>
      <c r="R10">
        <v>1640000000</v>
      </c>
      <c r="S10">
        <v>1740000000</v>
      </c>
    </row>
    <row r="11" spans="1:19">
      <c r="A11" t="s">
        <v>26</v>
      </c>
      <c r="B11" t="s">
        <v>179</v>
      </c>
      <c r="C11" t="s">
        <v>1577</v>
      </c>
      <c r="D11" t="s">
        <v>458</v>
      </c>
      <c r="G11">
        <f t="shared" si="0"/>
        <v>40000000</v>
      </c>
      <c r="H11">
        <v>2800000</v>
      </c>
      <c r="I11">
        <v>2600000</v>
      </c>
      <c r="J11">
        <v>3120000</v>
      </c>
      <c r="K11">
        <v>3200000</v>
      </c>
      <c r="L11">
        <v>3280000</v>
      </c>
      <c r="M11">
        <v>3400000</v>
      </c>
      <c r="N11">
        <v>3520000</v>
      </c>
      <c r="O11">
        <v>3480000</v>
      </c>
      <c r="P11">
        <v>3400000</v>
      </c>
      <c r="Q11">
        <v>3720000</v>
      </c>
      <c r="R11">
        <v>3680000</v>
      </c>
      <c r="S11">
        <v>3800000</v>
      </c>
    </row>
    <row r="12" spans="1:19">
      <c r="A12" t="s">
        <v>26</v>
      </c>
      <c r="B12" t="s">
        <v>179</v>
      </c>
      <c r="C12" t="s">
        <v>1578</v>
      </c>
      <c r="D12" t="s">
        <v>460</v>
      </c>
      <c r="G12">
        <f t="shared" si="0"/>
        <v>30000000</v>
      </c>
      <c r="H12">
        <v>2100000</v>
      </c>
      <c r="I12">
        <v>1950000</v>
      </c>
      <c r="J12">
        <v>2340000</v>
      </c>
      <c r="K12">
        <v>2400000</v>
      </c>
      <c r="L12">
        <v>2460000</v>
      </c>
      <c r="M12">
        <v>2550000</v>
      </c>
      <c r="N12">
        <v>2640000</v>
      </c>
      <c r="O12">
        <v>2610000</v>
      </c>
      <c r="P12">
        <v>2550000</v>
      </c>
      <c r="Q12">
        <v>2790000</v>
      </c>
      <c r="R12">
        <v>2760000</v>
      </c>
      <c r="S12">
        <v>2850000</v>
      </c>
    </row>
    <row r="13" spans="1:19">
      <c r="A13" t="s">
        <v>26</v>
      </c>
      <c r="B13" t="s">
        <v>179</v>
      </c>
      <c r="C13" t="s">
        <v>1579</v>
      </c>
      <c r="D13" t="s">
        <v>462</v>
      </c>
      <c r="G13">
        <f t="shared" si="0"/>
        <v>400000000</v>
      </c>
      <c r="H13">
        <v>28000000</v>
      </c>
      <c r="I13">
        <v>26000000</v>
      </c>
      <c r="J13">
        <v>31200000</v>
      </c>
      <c r="K13">
        <v>32000000</v>
      </c>
      <c r="L13">
        <v>32800000</v>
      </c>
      <c r="M13">
        <v>34000000</v>
      </c>
      <c r="N13">
        <v>35200000</v>
      </c>
      <c r="O13">
        <v>34800000</v>
      </c>
      <c r="P13">
        <v>34000000</v>
      </c>
      <c r="Q13">
        <v>37200000</v>
      </c>
      <c r="R13">
        <v>36800000</v>
      </c>
      <c r="S13">
        <v>38000000</v>
      </c>
    </row>
    <row r="14" spans="1:19">
      <c r="A14" t="s">
        <v>26</v>
      </c>
      <c r="B14" t="s">
        <v>179</v>
      </c>
      <c r="C14" t="s">
        <v>1580</v>
      </c>
      <c r="D14" t="s">
        <v>464</v>
      </c>
      <c r="G14">
        <f t="shared" si="0"/>
        <v>41038003</v>
      </c>
      <c r="H14">
        <v>2909594</v>
      </c>
      <c r="I14">
        <v>2763499</v>
      </c>
      <c r="J14">
        <v>3230512</v>
      </c>
      <c r="K14">
        <v>3305201</v>
      </c>
      <c r="L14">
        <v>3387277</v>
      </c>
      <c r="M14">
        <v>3503004</v>
      </c>
      <c r="N14">
        <v>3611344</v>
      </c>
      <c r="O14">
        <v>3562919</v>
      </c>
      <c r="P14">
        <v>3480843</v>
      </c>
      <c r="Q14">
        <v>3742666</v>
      </c>
      <c r="R14">
        <v>3701628</v>
      </c>
      <c r="S14">
        <v>3839516</v>
      </c>
    </row>
    <row r="15" spans="1:19">
      <c r="A15" t="s">
        <v>26</v>
      </c>
      <c r="B15" t="s">
        <v>179</v>
      </c>
      <c r="C15" t="s">
        <v>1581</v>
      </c>
      <c r="D15" t="s">
        <v>466</v>
      </c>
      <c r="G15">
        <f t="shared" si="0"/>
        <v>2500000000</v>
      </c>
      <c r="H15">
        <v>175000000</v>
      </c>
      <c r="I15">
        <v>162500000</v>
      </c>
      <c r="J15">
        <v>195000000</v>
      </c>
      <c r="K15">
        <v>200000000</v>
      </c>
      <c r="L15">
        <v>205000000</v>
      </c>
      <c r="M15">
        <v>212500000</v>
      </c>
      <c r="N15">
        <v>220000000</v>
      </c>
      <c r="O15">
        <v>217500000</v>
      </c>
      <c r="P15">
        <v>212500000</v>
      </c>
      <c r="Q15">
        <v>232500000</v>
      </c>
      <c r="R15">
        <v>230000000</v>
      </c>
      <c r="S15">
        <v>237500000</v>
      </c>
    </row>
    <row r="16" spans="1:19">
      <c r="A16" t="s">
        <v>26</v>
      </c>
      <c r="B16" t="s">
        <v>179</v>
      </c>
      <c r="C16" t="s">
        <v>1582</v>
      </c>
      <c r="D16" t="s">
        <v>468</v>
      </c>
      <c r="G16">
        <f t="shared" si="0"/>
        <v>20000000000</v>
      </c>
      <c r="H16">
        <v>1500000000</v>
      </c>
      <c r="I16">
        <v>1560000000</v>
      </c>
      <c r="J16">
        <v>1640000000</v>
      </c>
      <c r="K16">
        <v>1660000000</v>
      </c>
      <c r="L16">
        <v>1700000000</v>
      </c>
      <c r="M16">
        <v>1740000000</v>
      </c>
      <c r="N16">
        <v>1760000000</v>
      </c>
      <c r="O16">
        <v>1720000000</v>
      </c>
      <c r="P16">
        <v>1680000000</v>
      </c>
      <c r="Q16">
        <v>1660000000</v>
      </c>
      <c r="R16">
        <v>1640000000</v>
      </c>
      <c r="S16">
        <v>1740000000</v>
      </c>
    </row>
    <row r="17" spans="1:19">
      <c r="A17" t="s">
        <v>26</v>
      </c>
      <c r="B17" t="s">
        <v>179</v>
      </c>
      <c r="C17" t="s">
        <v>1583</v>
      </c>
      <c r="D17" t="s">
        <v>470</v>
      </c>
      <c r="G17">
        <f t="shared" si="0"/>
        <v>41038003</v>
      </c>
      <c r="H17">
        <v>2909594</v>
      </c>
      <c r="I17">
        <v>2763499</v>
      </c>
      <c r="J17">
        <v>3230512</v>
      </c>
      <c r="K17">
        <v>3305201</v>
      </c>
      <c r="L17">
        <v>3387277</v>
      </c>
      <c r="M17">
        <v>3503004</v>
      </c>
      <c r="N17">
        <v>3611344</v>
      </c>
      <c r="O17">
        <v>3562919</v>
      </c>
      <c r="P17">
        <v>3480843</v>
      </c>
      <c r="Q17">
        <v>3742666</v>
      </c>
      <c r="R17">
        <v>3701628</v>
      </c>
      <c r="S17">
        <v>3839516</v>
      </c>
    </row>
    <row r="18" spans="1:19">
      <c r="A18" t="s">
        <v>26</v>
      </c>
      <c r="B18" t="s">
        <v>179</v>
      </c>
      <c r="C18" t="s">
        <v>1584</v>
      </c>
      <c r="D18" t="s">
        <v>472</v>
      </c>
      <c r="G18">
        <f t="shared" si="0"/>
        <v>41038003</v>
      </c>
      <c r="H18">
        <v>2909594</v>
      </c>
      <c r="I18">
        <v>2763499</v>
      </c>
      <c r="J18">
        <v>3230512</v>
      </c>
      <c r="K18">
        <v>3305201</v>
      </c>
      <c r="L18">
        <v>3387277</v>
      </c>
      <c r="M18">
        <v>3503004</v>
      </c>
      <c r="N18">
        <v>3611344</v>
      </c>
      <c r="O18">
        <v>3562919</v>
      </c>
      <c r="P18">
        <v>3480843</v>
      </c>
      <c r="Q18">
        <v>3742666</v>
      </c>
      <c r="R18">
        <v>3701628</v>
      </c>
      <c r="S18">
        <v>3839516</v>
      </c>
    </row>
    <row r="19" spans="1:19">
      <c r="A19" t="s">
        <v>26</v>
      </c>
      <c r="B19" t="s">
        <v>179</v>
      </c>
      <c r="C19" t="s">
        <v>1585</v>
      </c>
      <c r="D19" t="s">
        <v>474</v>
      </c>
      <c r="G19">
        <f t="shared" si="0"/>
        <v>41038003</v>
      </c>
      <c r="H19">
        <v>2909594</v>
      </c>
      <c r="I19">
        <v>2763499</v>
      </c>
      <c r="J19">
        <v>3230512</v>
      </c>
      <c r="K19">
        <v>3305201</v>
      </c>
      <c r="L19">
        <v>3387277</v>
      </c>
      <c r="M19">
        <v>3503004</v>
      </c>
      <c r="N19">
        <v>3611344</v>
      </c>
      <c r="O19">
        <v>3562919</v>
      </c>
      <c r="P19">
        <v>3480843</v>
      </c>
      <c r="Q19">
        <v>3742666</v>
      </c>
      <c r="R19">
        <v>3701628</v>
      </c>
      <c r="S19">
        <v>3839516</v>
      </c>
    </row>
    <row r="20" spans="1:19">
      <c r="A20" t="s">
        <v>26</v>
      </c>
      <c r="B20" t="s">
        <v>179</v>
      </c>
      <c r="C20" t="s">
        <v>1586</v>
      </c>
      <c r="D20" t="s">
        <v>476</v>
      </c>
      <c r="G20">
        <f t="shared" si="0"/>
        <v>20000000000</v>
      </c>
      <c r="H20">
        <v>1500000000</v>
      </c>
      <c r="I20">
        <v>1560000000</v>
      </c>
      <c r="J20">
        <v>1640000000</v>
      </c>
      <c r="K20">
        <v>1660000000</v>
      </c>
      <c r="L20">
        <v>1700000000</v>
      </c>
      <c r="M20">
        <v>1740000000</v>
      </c>
      <c r="N20">
        <v>1760000000</v>
      </c>
      <c r="O20">
        <v>1720000000</v>
      </c>
      <c r="P20">
        <v>1680000000</v>
      </c>
      <c r="Q20">
        <v>1660000000</v>
      </c>
      <c r="R20">
        <v>1640000000</v>
      </c>
      <c r="S20">
        <v>1740000000</v>
      </c>
    </row>
    <row r="21" spans="1:19">
      <c r="A21" t="s">
        <v>26</v>
      </c>
      <c r="B21" t="s">
        <v>179</v>
      </c>
      <c r="C21" t="s">
        <v>1587</v>
      </c>
      <c r="D21" t="s">
        <v>478</v>
      </c>
      <c r="G21">
        <f t="shared" si="0"/>
        <v>20000000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26</v>
      </c>
      <c r="B22" t="s">
        <v>179</v>
      </c>
      <c r="C22" t="s">
        <v>1588</v>
      </c>
      <c r="D22" t="s">
        <v>480</v>
      </c>
      <c r="G22">
        <f t="shared" si="0"/>
        <v>10000000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26</v>
      </c>
      <c r="B23" t="s">
        <v>179</v>
      </c>
      <c r="C23" t="s">
        <v>1589</v>
      </c>
      <c r="D23" t="s">
        <v>482</v>
      </c>
      <c r="G23">
        <f t="shared" si="0"/>
        <v>41038003</v>
      </c>
      <c r="H23">
        <v>2909594</v>
      </c>
      <c r="I23">
        <v>2763499</v>
      </c>
      <c r="J23">
        <v>3230512</v>
      </c>
      <c r="K23">
        <v>3305201</v>
      </c>
      <c r="L23">
        <v>3387277</v>
      </c>
      <c r="M23">
        <v>3503004</v>
      </c>
      <c r="N23">
        <v>3611344</v>
      </c>
      <c r="O23">
        <v>3562919</v>
      </c>
      <c r="P23">
        <v>3480843</v>
      </c>
      <c r="Q23">
        <v>3742666</v>
      </c>
      <c r="R23">
        <v>3701628</v>
      </c>
      <c r="S23">
        <v>3839516</v>
      </c>
    </row>
    <row r="24" spans="1:19">
      <c r="A24" t="s">
        <v>23</v>
      </c>
      <c r="B24" t="s">
        <v>179</v>
      </c>
      <c r="C24" t="s">
        <v>1590</v>
      </c>
      <c r="D24" t="s">
        <v>484</v>
      </c>
      <c r="G24">
        <f t="shared" si="0"/>
        <v>90000000</v>
      </c>
      <c r="H24">
        <f t="shared" ref="H24:S24" si="5">H25+H26+H27</f>
        <v>6300000</v>
      </c>
      <c r="I24">
        <f t="shared" si="5"/>
        <v>5850000</v>
      </c>
      <c r="J24">
        <f t="shared" si="5"/>
        <v>7020000</v>
      </c>
      <c r="K24">
        <f t="shared" si="5"/>
        <v>7200000</v>
      </c>
      <c r="L24">
        <f t="shared" si="5"/>
        <v>7380000</v>
      </c>
      <c r="M24">
        <f t="shared" si="5"/>
        <v>7650000</v>
      </c>
      <c r="N24">
        <f t="shared" si="5"/>
        <v>7920000</v>
      </c>
      <c r="O24">
        <f t="shared" si="5"/>
        <v>7830000</v>
      </c>
      <c r="P24">
        <f t="shared" si="5"/>
        <v>7650000</v>
      </c>
      <c r="Q24">
        <f t="shared" si="5"/>
        <v>8370000</v>
      </c>
      <c r="R24">
        <f t="shared" si="5"/>
        <v>8280000</v>
      </c>
      <c r="S24">
        <f t="shared" si="5"/>
        <v>8550000</v>
      </c>
    </row>
    <row r="25" spans="1:19">
      <c r="A25" t="s">
        <v>26</v>
      </c>
      <c r="B25" t="s">
        <v>179</v>
      </c>
      <c r="C25" t="s">
        <v>1591</v>
      </c>
      <c r="D25" t="s">
        <v>486</v>
      </c>
      <c r="G25">
        <f t="shared" si="0"/>
        <v>40000000</v>
      </c>
      <c r="H25">
        <v>2800000</v>
      </c>
      <c r="I25">
        <v>2600000</v>
      </c>
      <c r="J25">
        <v>3120000</v>
      </c>
      <c r="K25">
        <v>3200000</v>
      </c>
      <c r="L25">
        <v>3280000</v>
      </c>
      <c r="M25">
        <v>3400000</v>
      </c>
      <c r="N25">
        <v>3520000</v>
      </c>
      <c r="O25">
        <v>3480000</v>
      </c>
      <c r="P25">
        <v>3400000</v>
      </c>
      <c r="Q25">
        <v>3720000</v>
      </c>
      <c r="R25">
        <v>3680000</v>
      </c>
      <c r="S25">
        <v>3800000</v>
      </c>
    </row>
    <row r="26" spans="1:19">
      <c r="A26" t="s">
        <v>26</v>
      </c>
      <c r="B26" t="s">
        <v>179</v>
      </c>
      <c r="C26" t="s">
        <v>1592</v>
      </c>
      <c r="D26" t="s">
        <v>488</v>
      </c>
      <c r="G26">
        <f t="shared" si="0"/>
        <v>30000000</v>
      </c>
      <c r="H26">
        <v>2100000</v>
      </c>
      <c r="I26">
        <v>1950000</v>
      </c>
      <c r="J26">
        <v>2340000</v>
      </c>
      <c r="K26">
        <v>2400000</v>
      </c>
      <c r="L26">
        <v>2460000</v>
      </c>
      <c r="M26">
        <v>2550000</v>
      </c>
      <c r="N26">
        <v>2640000</v>
      </c>
      <c r="O26">
        <v>2610000</v>
      </c>
      <c r="P26">
        <v>2550000</v>
      </c>
      <c r="Q26">
        <v>2790000</v>
      </c>
      <c r="R26">
        <v>2760000</v>
      </c>
      <c r="S26">
        <v>2850000</v>
      </c>
    </row>
    <row r="27" spans="1:19">
      <c r="A27" t="s">
        <v>26</v>
      </c>
      <c r="B27" t="s">
        <v>179</v>
      </c>
      <c r="C27" t="s">
        <v>1593</v>
      </c>
      <c r="D27" t="s">
        <v>490</v>
      </c>
      <c r="G27">
        <f t="shared" si="0"/>
        <v>20000000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1594</v>
      </c>
      <c r="D2" t="s">
        <v>22</v>
      </c>
      <c r="G2">
        <f t="shared" ref="G2:G65" si="0">H2+I2+J2+K2+L2+M2+N2+O2+P2+Q2+R2+S2</f>
        <v>28090594510</v>
      </c>
      <c r="H2">
        <f t="shared" ref="H2:S2" si="1">H3+H6+H7</f>
        <v>2039335908</v>
      </c>
      <c r="I2">
        <f t="shared" si="1"/>
        <v>1997537782</v>
      </c>
      <c r="J2">
        <f t="shared" si="1"/>
        <v>2252871998</v>
      </c>
      <c r="K2">
        <f t="shared" si="1"/>
        <v>2294193836</v>
      </c>
      <c r="L2">
        <f t="shared" si="1"/>
        <v>2350430086</v>
      </c>
      <c r="M2">
        <f t="shared" si="1"/>
        <v>2419870038</v>
      </c>
      <c r="N2">
        <f t="shared" si="1"/>
        <v>2474395236</v>
      </c>
      <c r="O2">
        <f t="shared" si="1"/>
        <v>2431362712</v>
      </c>
      <c r="P2">
        <f t="shared" si="1"/>
        <v>2375126464</v>
      </c>
      <c r="Q2">
        <f t="shared" si="1"/>
        <v>2465841058</v>
      </c>
      <c r="R2">
        <f t="shared" si="1"/>
        <v>2437722918</v>
      </c>
      <c r="S2">
        <f t="shared" si="1"/>
        <v>2551906474</v>
      </c>
    </row>
    <row r="3" spans="1:19">
      <c r="A3" t="s">
        <v>23</v>
      </c>
      <c r="B3" t="s">
        <v>20</v>
      </c>
      <c r="C3" t="s">
        <v>1595</v>
      </c>
      <c r="D3" t="s">
        <v>25</v>
      </c>
      <c r="G3">
        <f t="shared" si="0"/>
        <v>2553690388</v>
      </c>
      <c r="H3">
        <f t="shared" ref="H3:S3" si="2">H4+H5</f>
        <v>185394172</v>
      </c>
      <c r="I3">
        <f t="shared" si="2"/>
        <v>181594342</v>
      </c>
      <c r="J3">
        <f t="shared" si="2"/>
        <v>204806544</v>
      </c>
      <c r="K3">
        <f t="shared" si="2"/>
        <v>208563074</v>
      </c>
      <c r="L3">
        <f t="shared" si="2"/>
        <v>213675460</v>
      </c>
      <c r="M3">
        <f t="shared" si="2"/>
        <v>219988184</v>
      </c>
      <c r="N3">
        <f t="shared" si="2"/>
        <v>224945020</v>
      </c>
      <c r="O3">
        <f t="shared" si="2"/>
        <v>221032972</v>
      </c>
      <c r="P3">
        <f t="shared" si="2"/>
        <v>215920586</v>
      </c>
      <c r="Q3">
        <f t="shared" si="2"/>
        <v>224167366</v>
      </c>
      <c r="R3">
        <f t="shared" si="2"/>
        <v>221611172</v>
      </c>
      <c r="S3">
        <f t="shared" si="2"/>
        <v>231991496</v>
      </c>
    </row>
    <row r="4" spans="1:19">
      <c r="A4" t="s">
        <v>26</v>
      </c>
      <c r="B4" t="s">
        <v>20</v>
      </c>
      <c r="C4" t="s">
        <v>1596</v>
      </c>
      <c r="D4" t="s">
        <v>28</v>
      </c>
      <c r="G4">
        <f t="shared" si="0"/>
        <v>1276845194</v>
      </c>
      <c r="H4">
        <v>92697086</v>
      </c>
      <c r="I4">
        <v>90797171</v>
      </c>
      <c r="J4">
        <v>102403272</v>
      </c>
      <c r="K4">
        <v>104281537</v>
      </c>
      <c r="L4">
        <v>106837730</v>
      </c>
      <c r="M4">
        <v>109994092</v>
      </c>
      <c r="N4">
        <v>112472510</v>
      </c>
      <c r="O4">
        <v>110516486</v>
      </c>
      <c r="P4">
        <v>107960293</v>
      </c>
      <c r="Q4">
        <v>112083683</v>
      </c>
      <c r="R4">
        <v>110805586</v>
      </c>
      <c r="S4">
        <v>115995748</v>
      </c>
    </row>
    <row r="5" spans="1:19">
      <c r="A5" t="s">
        <v>26</v>
      </c>
      <c r="B5" t="s">
        <v>20</v>
      </c>
      <c r="C5" t="s">
        <v>1597</v>
      </c>
      <c r="D5" t="s">
        <v>30</v>
      </c>
      <c r="G5">
        <f t="shared" si="0"/>
        <v>1276845194</v>
      </c>
      <c r="H5">
        <v>92697086</v>
      </c>
      <c r="I5">
        <v>90797171</v>
      </c>
      <c r="J5">
        <v>102403272</v>
      </c>
      <c r="K5">
        <v>104281537</v>
      </c>
      <c r="L5">
        <v>106837730</v>
      </c>
      <c r="M5">
        <v>109994092</v>
      </c>
      <c r="N5">
        <v>112472510</v>
      </c>
      <c r="O5">
        <v>110516486</v>
      </c>
      <c r="P5">
        <v>107960293</v>
      </c>
      <c r="Q5">
        <v>112083683</v>
      </c>
      <c r="R5">
        <v>110805586</v>
      </c>
      <c r="S5">
        <v>115995748</v>
      </c>
    </row>
    <row r="6" spans="1:19">
      <c r="A6" t="s">
        <v>23</v>
      </c>
      <c r="B6" t="s">
        <v>20</v>
      </c>
      <c r="C6" t="s">
        <v>1598</v>
      </c>
      <c r="D6" t="s">
        <v>32</v>
      </c>
      <c r="G6">
        <f t="shared" si="0"/>
        <v>12768452061</v>
      </c>
      <c r="H6">
        <v>926970868</v>
      </c>
      <c r="I6">
        <v>907971720</v>
      </c>
      <c r="J6">
        <v>1024032727</v>
      </c>
      <c r="K6">
        <v>1042815381</v>
      </c>
      <c r="L6">
        <v>1068377313</v>
      </c>
      <c r="M6">
        <v>1099940927</v>
      </c>
      <c r="N6">
        <v>1124725108</v>
      </c>
      <c r="O6">
        <v>1105164870</v>
      </c>
      <c r="P6">
        <v>1079602939</v>
      </c>
      <c r="Q6">
        <v>1120836846</v>
      </c>
      <c r="R6">
        <v>1108055873</v>
      </c>
      <c r="S6">
        <v>1159957489</v>
      </c>
    </row>
    <row r="7" spans="1:19">
      <c r="A7" t="s">
        <v>23</v>
      </c>
      <c r="B7" t="s">
        <v>20</v>
      </c>
      <c r="C7" t="s">
        <v>1599</v>
      </c>
      <c r="D7" t="s">
        <v>34</v>
      </c>
      <c r="G7">
        <f t="shared" si="0"/>
        <v>12768452061</v>
      </c>
      <c r="H7">
        <v>926970868</v>
      </c>
      <c r="I7">
        <v>907971720</v>
      </c>
      <c r="J7">
        <v>1024032727</v>
      </c>
      <c r="K7">
        <v>1042815381</v>
      </c>
      <c r="L7">
        <v>1068377313</v>
      </c>
      <c r="M7">
        <v>1099940927</v>
      </c>
      <c r="N7">
        <v>1124725108</v>
      </c>
      <c r="O7">
        <v>1105164870</v>
      </c>
      <c r="P7">
        <v>1079602939</v>
      </c>
      <c r="Q7">
        <v>1120836846</v>
      </c>
      <c r="R7">
        <v>1108055873</v>
      </c>
      <c r="S7">
        <v>1159957489</v>
      </c>
    </row>
    <row r="8" spans="1:19">
      <c r="A8" t="s">
        <v>19</v>
      </c>
      <c r="B8" t="s">
        <v>35</v>
      </c>
      <c r="C8" t="s">
        <v>1600</v>
      </c>
      <c r="D8" t="s">
        <v>37</v>
      </c>
      <c r="G8">
        <f t="shared" si="0"/>
        <v>620000000</v>
      </c>
      <c r="H8">
        <v>43400000</v>
      </c>
      <c r="I8">
        <v>40300000</v>
      </c>
      <c r="J8">
        <v>48360000</v>
      </c>
      <c r="K8">
        <v>49600000</v>
      </c>
      <c r="L8">
        <v>50840000</v>
      </c>
      <c r="M8">
        <v>52700000</v>
      </c>
      <c r="N8">
        <v>54560000</v>
      </c>
      <c r="O8">
        <v>53940000</v>
      </c>
      <c r="P8">
        <v>52700000</v>
      </c>
      <c r="Q8">
        <v>57660000</v>
      </c>
      <c r="R8">
        <v>57040000</v>
      </c>
      <c r="S8">
        <v>58900000</v>
      </c>
    </row>
    <row r="9" spans="1:19">
      <c r="A9" t="s">
        <v>19</v>
      </c>
      <c r="B9" t="s">
        <v>20</v>
      </c>
      <c r="C9" t="s">
        <v>1601</v>
      </c>
      <c r="D9" t="s">
        <v>39</v>
      </c>
      <c r="G9">
        <f t="shared" si="0"/>
        <v>12768452061</v>
      </c>
      <c r="H9">
        <v>926970868</v>
      </c>
      <c r="I9">
        <v>907971720</v>
      </c>
      <c r="J9">
        <v>1024032727</v>
      </c>
      <c r="K9">
        <v>1042815381</v>
      </c>
      <c r="L9">
        <v>1068377313</v>
      </c>
      <c r="M9">
        <v>1099940927</v>
      </c>
      <c r="N9">
        <v>1124725108</v>
      </c>
      <c r="O9">
        <v>1105164870</v>
      </c>
      <c r="P9">
        <v>1079602939</v>
      </c>
      <c r="Q9">
        <v>1120836846</v>
      </c>
      <c r="R9">
        <v>1108055873</v>
      </c>
      <c r="S9">
        <v>1159957489</v>
      </c>
    </row>
    <row r="10" spans="1:19">
      <c r="A10" t="s">
        <v>19</v>
      </c>
      <c r="B10" t="s">
        <v>35</v>
      </c>
      <c r="C10" t="s">
        <v>1602</v>
      </c>
      <c r="D10" t="s">
        <v>41</v>
      </c>
      <c r="G10">
        <f t="shared" si="0"/>
        <v>12768452061</v>
      </c>
      <c r="H10">
        <v>926970868</v>
      </c>
      <c r="I10">
        <v>907971720</v>
      </c>
      <c r="J10">
        <v>1024032727</v>
      </c>
      <c r="K10">
        <v>1042815381</v>
      </c>
      <c r="L10">
        <v>1068377313</v>
      </c>
      <c r="M10">
        <v>1099940927</v>
      </c>
      <c r="N10">
        <v>1124725108</v>
      </c>
      <c r="O10">
        <v>1105164870</v>
      </c>
      <c r="P10">
        <v>1079602939</v>
      </c>
      <c r="Q10">
        <v>1120836846</v>
      </c>
      <c r="R10">
        <v>1108055873</v>
      </c>
      <c r="S10">
        <v>1159957489</v>
      </c>
    </row>
    <row r="11" spans="1:19">
      <c r="A11" t="s">
        <v>19</v>
      </c>
      <c r="B11" t="s">
        <v>35</v>
      </c>
      <c r="C11" t="s">
        <v>1603</v>
      </c>
      <c r="D11" t="s">
        <v>43</v>
      </c>
      <c r="G11">
        <f t="shared" si="0"/>
        <v>34730189502</v>
      </c>
      <c r="H11">
        <f t="shared" ref="H11:S11" si="3">H12+H15+H18+H25+H26</f>
        <v>2521360754</v>
      </c>
      <c r="I11">
        <f t="shared" si="3"/>
        <v>2469683069</v>
      </c>
      <c r="J11">
        <f t="shared" si="3"/>
        <v>2785369012</v>
      </c>
      <c r="K11">
        <f t="shared" si="3"/>
        <v>2836457827</v>
      </c>
      <c r="L11">
        <f t="shared" si="3"/>
        <v>2905986280</v>
      </c>
      <c r="M11">
        <f t="shared" si="3"/>
        <v>2991839314</v>
      </c>
      <c r="N11">
        <f t="shared" si="3"/>
        <v>3059252286</v>
      </c>
      <c r="O11">
        <f t="shared" si="3"/>
        <v>3006048438</v>
      </c>
      <c r="P11">
        <f t="shared" si="3"/>
        <v>2936519987</v>
      </c>
      <c r="Q11">
        <f t="shared" si="3"/>
        <v>3048676209</v>
      </c>
      <c r="R11">
        <f t="shared" si="3"/>
        <v>3013911964</v>
      </c>
      <c r="S11">
        <f t="shared" si="3"/>
        <v>3155084362</v>
      </c>
    </row>
    <row r="12" spans="1:19">
      <c r="A12" t="s">
        <v>23</v>
      </c>
      <c r="B12" t="s">
        <v>35</v>
      </c>
      <c r="C12" t="s">
        <v>1604</v>
      </c>
      <c r="D12" t="s">
        <v>45</v>
      </c>
      <c r="G12">
        <f t="shared" si="0"/>
        <v>2553690388</v>
      </c>
      <c r="H12">
        <f t="shared" ref="H12:S12" si="4">H13+H14</f>
        <v>185394172</v>
      </c>
      <c r="I12">
        <f t="shared" si="4"/>
        <v>181594342</v>
      </c>
      <c r="J12">
        <f t="shared" si="4"/>
        <v>204806544</v>
      </c>
      <c r="K12">
        <f t="shared" si="4"/>
        <v>208563074</v>
      </c>
      <c r="L12">
        <f t="shared" si="4"/>
        <v>213675460</v>
      </c>
      <c r="M12">
        <f t="shared" si="4"/>
        <v>219988184</v>
      </c>
      <c r="N12">
        <f t="shared" si="4"/>
        <v>224945020</v>
      </c>
      <c r="O12">
        <f t="shared" si="4"/>
        <v>221032972</v>
      </c>
      <c r="P12">
        <f t="shared" si="4"/>
        <v>215920586</v>
      </c>
      <c r="Q12">
        <f t="shared" si="4"/>
        <v>224167366</v>
      </c>
      <c r="R12">
        <f t="shared" si="4"/>
        <v>221611172</v>
      </c>
      <c r="S12">
        <f t="shared" si="4"/>
        <v>231991496</v>
      </c>
    </row>
    <row r="13" spans="1:19">
      <c r="A13" t="s">
        <v>26</v>
      </c>
      <c r="B13" t="s">
        <v>35</v>
      </c>
      <c r="C13" t="s">
        <v>1605</v>
      </c>
      <c r="D13" t="s">
        <v>47</v>
      </c>
      <c r="G13">
        <f t="shared" si="0"/>
        <v>1276845194</v>
      </c>
      <c r="H13">
        <v>92697086</v>
      </c>
      <c r="I13">
        <v>90797171</v>
      </c>
      <c r="J13">
        <v>102403272</v>
      </c>
      <c r="K13">
        <v>104281537</v>
      </c>
      <c r="L13">
        <v>106837730</v>
      </c>
      <c r="M13">
        <v>109994092</v>
      </c>
      <c r="N13">
        <v>112472510</v>
      </c>
      <c r="O13">
        <v>110516486</v>
      </c>
      <c r="P13">
        <v>107960293</v>
      </c>
      <c r="Q13">
        <v>112083683</v>
      </c>
      <c r="R13">
        <v>110805586</v>
      </c>
      <c r="S13">
        <v>115995748</v>
      </c>
    </row>
    <row r="14" spans="1:19">
      <c r="A14" t="s">
        <v>26</v>
      </c>
      <c r="B14" t="s">
        <v>35</v>
      </c>
      <c r="C14" t="s">
        <v>1606</v>
      </c>
      <c r="D14" t="s">
        <v>49</v>
      </c>
      <c r="G14">
        <f t="shared" si="0"/>
        <v>1276845194</v>
      </c>
      <c r="H14">
        <v>92697086</v>
      </c>
      <c r="I14">
        <v>90797171</v>
      </c>
      <c r="J14">
        <v>102403272</v>
      </c>
      <c r="K14">
        <v>104281537</v>
      </c>
      <c r="L14">
        <v>106837730</v>
      </c>
      <c r="M14">
        <v>109994092</v>
      </c>
      <c r="N14">
        <v>112472510</v>
      </c>
      <c r="O14">
        <v>110516486</v>
      </c>
      <c r="P14">
        <v>107960293</v>
      </c>
      <c r="Q14">
        <v>112083683</v>
      </c>
      <c r="R14">
        <v>110805586</v>
      </c>
      <c r="S14">
        <v>115995748</v>
      </c>
    </row>
    <row r="15" spans="1:19">
      <c r="A15" t="s">
        <v>23</v>
      </c>
      <c r="B15" t="s">
        <v>35</v>
      </c>
      <c r="C15" t="s">
        <v>1607</v>
      </c>
      <c r="D15" t="s">
        <v>51</v>
      </c>
      <c r="G15">
        <f t="shared" si="0"/>
        <v>2553690388</v>
      </c>
      <c r="H15">
        <f t="shared" ref="H15:S15" si="5">H16+H17</f>
        <v>185394172</v>
      </c>
      <c r="I15">
        <f t="shared" si="5"/>
        <v>181594342</v>
      </c>
      <c r="J15">
        <f t="shared" si="5"/>
        <v>204806544</v>
      </c>
      <c r="K15">
        <f t="shared" si="5"/>
        <v>208563074</v>
      </c>
      <c r="L15">
        <f t="shared" si="5"/>
        <v>213675460</v>
      </c>
      <c r="M15">
        <f t="shared" si="5"/>
        <v>219988184</v>
      </c>
      <c r="N15">
        <f t="shared" si="5"/>
        <v>224945020</v>
      </c>
      <c r="O15">
        <f t="shared" si="5"/>
        <v>221032972</v>
      </c>
      <c r="P15">
        <f t="shared" si="5"/>
        <v>215920586</v>
      </c>
      <c r="Q15">
        <f t="shared" si="5"/>
        <v>224167366</v>
      </c>
      <c r="R15">
        <f t="shared" si="5"/>
        <v>221611172</v>
      </c>
      <c r="S15">
        <f t="shared" si="5"/>
        <v>231991496</v>
      </c>
    </row>
    <row r="16" spans="1:19">
      <c r="A16" t="s">
        <v>26</v>
      </c>
      <c r="B16" t="s">
        <v>35</v>
      </c>
      <c r="C16" t="s">
        <v>1608</v>
      </c>
      <c r="D16" t="s">
        <v>53</v>
      </c>
      <c r="G16">
        <f t="shared" si="0"/>
        <v>1276845194</v>
      </c>
      <c r="H16">
        <v>92697086</v>
      </c>
      <c r="I16">
        <v>90797171</v>
      </c>
      <c r="J16">
        <v>102403272</v>
      </c>
      <c r="K16">
        <v>104281537</v>
      </c>
      <c r="L16">
        <v>106837730</v>
      </c>
      <c r="M16">
        <v>109994092</v>
      </c>
      <c r="N16">
        <v>112472510</v>
      </c>
      <c r="O16">
        <v>110516486</v>
      </c>
      <c r="P16">
        <v>107960293</v>
      </c>
      <c r="Q16">
        <v>112083683</v>
      </c>
      <c r="R16">
        <v>110805586</v>
      </c>
      <c r="S16">
        <v>115995748</v>
      </c>
    </row>
    <row r="17" spans="1:19">
      <c r="A17" t="s">
        <v>26</v>
      </c>
      <c r="B17" t="s">
        <v>35</v>
      </c>
      <c r="C17" t="s">
        <v>1609</v>
      </c>
      <c r="D17" t="s">
        <v>55</v>
      </c>
      <c r="G17">
        <f t="shared" si="0"/>
        <v>1276845194</v>
      </c>
      <c r="H17">
        <v>92697086</v>
      </c>
      <c r="I17">
        <v>90797171</v>
      </c>
      <c r="J17">
        <v>102403272</v>
      </c>
      <c r="K17">
        <v>104281537</v>
      </c>
      <c r="L17">
        <v>106837730</v>
      </c>
      <c r="M17">
        <v>109994092</v>
      </c>
      <c r="N17">
        <v>112472510</v>
      </c>
      <c r="O17">
        <v>110516486</v>
      </c>
      <c r="P17">
        <v>107960293</v>
      </c>
      <c r="Q17">
        <v>112083683</v>
      </c>
      <c r="R17">
        <v>110805586</v>
      </c>
      <c r="S17">
        <v>115995748</v>
      </c>
    </row>
    <row r="18" spans="1:19">
      <c r="A18" t="s">
        <v>23</v>
      </c>
      <c r="B18" t="s">
        <v>35</v>
      </c>
      <c r="C18" t="s">
        <v>1610</v>
      </c>
      <c r="D18" t="s">
        <v>57</v>
      </c>
      <c r="G18">
        <f t="shared" si="0"/>
        <v>4085904604</v>
      </c>
      <c r="H18">
        <f t="shared" ref="H18:S18" si="6">H19+H22+H23+H24</f>
        <v>296630674</v>
      </c>
      <c r="I18">
        <f t="shared" si="6"/>
        <v>290550945</v>
      </c>
      <c r="J18">
        <f t="shared" si="6"/>
        <v>327690470</v>
      </c>
      <c r="K18">
        <f t="shared" si="6"/>
        <v>333700917</v>
      </c>
      <c r="L18">
        <f t="shared" si="6"/>
        <v>341880734</v>
      </c>
      <c r="M18">
        <f t="shared" si="6"/>
        <v>351981092</v>
      </c>
      <c r="N18">
        <f t="shared" si="6"/>
        <v>359912030</v>
      </c>
      <c r="O18">
        <f t="shared" si="6"/>
        <v>353652754</v>
      </c>
      <c r="P18">
        <f t="shared" si="6"/>
        <v>345472937</v>
      </c>
      <c r="Q18">
        <f t="shared" si="6"/>
        <v>358667785</v>
      </c>
      <c r="R18">
        <f t="shared" si="6"/>
        <v>354577874</v>
      </c>
      <c r="S18">
        <f t="shared" si="6"/>
        <v>371186392</v>
      </c>
    </row>
    <row r="19" spans="1:19">
      <c r="A19" t="s">
        <v>26</v>
      </c>
      <c r="B19" t="s">
        <v>35</v>
      </c>
      <c r="C19" t="s">
        <v>1611</v>
      </c>
      <c r="D19" t="s">
        <v>59</v>
      </c>
      <c r="G19">
        <f t="shared" si="0"/>
        <v>255369022</v>
      </c>
      <c r="H19">
        <f t="shared" ref="H19:S19" si="7">H20+H21</f>
        <v>18539416</v>
      </c>
      <c r="I19">
        <f t="shared" si="7"/>
        <v>18159432</v>
      </c>
      <c r="J19">
        <f t="shared" si="7"/>
        <v>20480654</v>
      </c>
      <c r="K19">
        <f t="shared" si="7"/>
        <v>20856306</v>
      </c>
      <c r="L19">
        <f t="shared" si="7"/>
        <v>21367544</v>
      </c>
      <c r="M19">
        <f t="shared" si="7"/>
        <v>21998816</v>
      </c>
      <c r="N19">
        <f t="shared" si="7"/>
        <v>22494500</v>
      </c>
      <c r="O19">
        <f t="shared" si="7"/>
        <v>22103296</v>
      </c>
      <c r="P19">
        <f t="shared" si="7"/>
        <v>21592058</v>
      </c>
      <c r="Q19">
        <f t="shared" si="7"/>
        <v>22416736</v>
      </c>
      <c r="R19">
        <f t="shared" si="7"/>
        <v>22161116</v>
      </c>
      <c r="S19">
        <f t="shared" si="7"/>
        <v>23199148</v>
      </c>
    </row>
    <row r="20" spans="1:19">
      <c r="A20" t="s">
        <v>60</v>
      </c>
      <c r="B20" t="s">
        <v>35</v>
      </c>
      <c r="C20" t="s">
        <v>1612</v>
      </c>
      <c r="D20" t="s">
        <v>62</v>
      </c>
      <c r="G20">
        <f t="shared" si="0"/>
        <v>127684511</v>
      </c>
      <c r="H20">
        <v>9269708</v>
      </c>
      <c r="I20">
        <v>9079716</v>
      </c>
      <c r="J20">
        <v>10240327</v>
      </c>
      <c r="K20">
        <v>10428153</v>
      </c>
      <c r="L20">
        <v>10683772</v>
      </c>
      <c r="M20">
        <v>10999408</v>
      </c>
      <c r="N20">
        <v>11247250</v>
      </c>
      <c r="O20">
        <v>11051648</v>
      </c>
      <c r="P20">
        <v>10796029</v>
      </c>
      <c r="Q20">
        <v>11208368</v>
      </c>
      <c r="R20">
        <v>11080558</v>
      </c>
      <c r="S20">
        <v>11599574</v>
      </c>
    </row>
    <row r="21" spans="1:19">
      <c r="A21" t="s">
        <v>60</v>
      </c>
      <c r="B21" t="s">
        <v>35</v>
      </c>
      <c r="C21" t="s">
        <v>1613</v>
      </c>
      <c r="D21" t="s">
        <v>64</v>
      </c>
      <c r="G21">
        <f t="shared" si="0"/>
        <v>127684511</v>
      </c>
      <c r="H21">
        <v>9269708</v>
      </c>
      <c r="I21">
        <v>9079716</v>
      </c>
      <c r="J21">
        <v>10240327</v>
      </c>
      <c r="K21">
        <v>10428153</v>
      </c>
      <c r="L21">
        <v>10683772</v>
      </c>
      <c r="M21">
        <v>10999408</v>
      </c>
      <c r="N21">
        <v>11247250</v>
      </c>
      <c r="O21">
        <v>11051648</v>
      </c>
      <c r="P21">
        <v>10796029</v>
      </c>
      <c r="Q21">
        <v>11208368</v>
      </c>
      <c r="R21">
        <v>11080558</v>
      </c>
      <c r="S21">
        <v>11599574</v>
      </c>
    </row>
    <row r="22" spans="1:19">
      <c r="A22" t="s">
        <v>26</v>
      </c>
      <c r="B22" t="s">
        <v>35</v>
      </c>
      <c r="C22" t="s">
        <v>1614</v>
      </c>
      <c r="D22" t="s">
        <v>66</v>
      </c>
      <c r="G22">
        <f t="shared" si="0"/>
        <v>1276845194</v>
      </c>
      <c r="H22">
        <v>92697086</v>
      </c>
      <c r="I22">
        <v>90797171</v>
      </c>
      <c r="J22">
        <v>102403272</v>
      </c>
      <c r="K22">
        <v>104281537</v>
      </c>
      <c r="L22">
        <v>106837730</v>
      </c>
      <c r="M22">
        <v>109994092</v>
      </c>
      <c r="N22">
        <v>112472510</v>
      </c>
      <c r="O22">
        <v>110516486</v>
      </c>
      <c r="P22">
        <v>107960293</v>
      </c>
      <c r="Q22">
        <v>112083683</v>
      </c>
      <c r="R22">
        <v>110805586</v>
      </c>
      <c r="S22">
        <v>115995748</v>
      </c>
    </row>
    <row r="23" spans="1:19">
      <c r="A23" t="s">
        <v>26</v>
      </c>
      <c r="B23" t="s">
        <v>35</v>
      </c>
      <c r="C23" t="s">
        <v>1615</v>
      </c>
      <c r="D23" t="s">
        <v>68</v>
      </c>
      <c r="G23">
        <f t="shared" si="0"/>
        <v>1276845194</v>
      </c>
      <c r="H23">
        <v>92697086</v>
      </c>
      <c r="I23">
        <v>90797171</v>
      </c>
      <c r="J23">
        <v>102403272</v>
      </c>
      <c r="K23">
        <v>104281537</v>
      </c>
      <c r="L23">
        <v>106837730</v>
      </c>
      <c r="M23">
        <v>109994092</v>
      </c>
      <c r="N23">
        <v>112472510</v>
      </c>
      <c r="O23">
        <v>110516486</v>
      </c>
      <c r="P23">
        <v>107960293</v>
      </c>
      <c r="Q23">
        <v>112083683</v>
      </c>
      <c r="R23">
        <v>110805586</v>
      </c>
      <c r="S23">
        <v>115995748</v>
      </c>
    </row>
    <row r="24" spans="1:19">
      <c r="A24" t="s">
        <v>26</v>
      </c>
      <c r="B24" t="s">
        <v>35</v>
      </c>
      <c r="C24" t="s">
        <v>1616</v>
      </c>
      <c r="D24" t="s">
        <v>70</v>
      </c>
      <c r="G24">
        <f t="shared" si="0"/>
        <v>1276845194</v>
      </c>
      <c r="H24">
        <v>92697086</v>
      </c>
      <c r="I24">
        <v>90797171</v>
      </c>
      <c r="J24">
        <v>102403272</v>
      </c>
      <c r="K24">
        <v>104281537</v>
      </c>
      <c r="L24">
        <v>106837730</v>
      </c>
      <c r="M24">
        <v>109994092</v>
      </c>
      <c r="N24">
        <v>112472510</v>
      </c>
      <c r="O24">
        <v>110516486</v>
      </c>
      <c r="P24">
        <v>107960293</v>
      </c>
      <c r="Q24">
        <v>112083683</v>
      </c>
      <c r="R24">
        <v>110805586</v>
      </c>
      <c r="S24">
        <v>115995748</v>
      </c>
    </row>
    <row r="25" spans="1:19">
      <c r="A25" t="s">
        <v>23</v>
      </c>
      <c r="B25" t="s">
        <v>35</v>
      </c>
      <c r="C25" t="s">
        <v>1617</v>
      </c>
      <c r="D25" t="s">
        <v>72</v>
      </c>
      <c r="G25">
        <f t="shared" si="0"/>
        <v>12768452061</v>
      </c>
      <c r="H25">
        <v>926970868</v>
      </c>
      <c r="I25">
        <v>907971720</v>
      </c>
      <c r="J25">
        <v>1024032727</v>
      </c>
      <c r="K25">
        <v>1042815381</v>
      </c>
      <c r="L25">
        <v>1068377313</v>
      </c>
      <c r="M25">
        <v>1099940927</v>
      </c>
      <c r="N25">
        <v>1124725108</v>
      </c>
      <c r="O25">
        <v>1105164870</v>
      </c>
      <c r="P25">
        <v>1079602939</v>
      </c>
      <c r="Q25">
        <v>1120836846</v>
      </c>
      <c r="R25">
        <v>1108055873</v>
      </c>
      <c r="S25">
        <v>1159957489</v>
      </c>
    </row>
    <row r="26" spans="1:19">
      <c r="A26" t="s">
        <v>23</v>
      </c>
      <c r="B26" t="s">
        <v>35</v>
      </c>
      <c r="C26" t="s">
        <v>1618</v>
      </c>
      <c r="D26" t="s">
        <v>74</v>
      </c>
      <c r="G26">
        <f t="shared" si="0"/>
        <v>12768452061</v>
      </c>
      <c r="H26">
        <v>926970868</v>
      </c>
      <c r="I26">
        <v>907971720</v>
      </c>
      <c r="J26">
        <v>1024032727</v>
      </c>
      <c r="K26">
        <v>1042815381</v>
      </c>
      <c r="L26">
        <v>1068377313</v>
      </c>
      <c r="M26">
        <v>1099940927</v>
      </c>
      <c r="N26">
        <v>1124725108</v>
      </c>
      <c r="O26">
        <v>1105164870</v>
      </c>
      <c r="P26">
        <v>1079602939</v>
      </c>
      <c r="Q26">
        <v>1120836846</v>
      </c>
      <c r="R26">
        <v>1108055873</v>
      </c>
      <c r="S26">
        <v>1159957489</v>
      </c>
    </row>
    <row r="27" spans="1:19">
      <c r="A27" t="s">
        <v>19</v>
      </c>
      <c r="B27" t="s">
        <v>20</v>
      </c>
      <c r="C27" t="s">
        <v>1619</v>
      </c>
      <c r="D27" t="s">
        <v>76</v>
      </c>
      <c r="G27">
        <f t="shared" si="0"/>
        <v>20000000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77</v>
      </c>
      <c r="C28" t="s">
        <v>1620</v>
      </c>
      <c r="D28" t="s">
        <v>79</v>
      </c>
      <c r="G28">
        <f t="shared" si="0"/>
        <v>12768452061</v>
      </c>
      <c r="H28">
        <v>926970868</v>
      </c>
      <c r="I28">
        <v>907971720</v>
      </c>
      <c r="J28">
        <v>1024032727</v>
      </c>
      <c r="K28">
        <v>1042815381</v>
      </c>
      <c r="L28">
        <v>1068377313</v>
      </c>
      <c r="M28">
        <v>1099940927</v>
      </c>
      <c r="N28">
        <v>1124725108</v>
      </c>
      <c r="O28">
        <v>1105164870</v>
      </c>
      <c r="P28">
        <v>1079602939</v>
      </c>
      <c r="Q28">
        <v>1120836846</v>
      </c>
      <c r="R28">
        <v>1108055873</v>
      </c>
      <c r="S28">
        <v>1159957489</v>
      </c>
    </row>
    <row r="29" spans="1:19">
      <c r="A29" t="s">
        <v>19</v>
      </c>
      <c r="B29" t="s">
        <v>35</v>
      </c>
      <c r="C29" t="s">
        <v>1621</v>
      </c>
      <c r="D29" t="s">
        <v>81</v>
      </c>
      <c r="G29">
        <f t="shared" si="0"/>
        <v>50000000</v>
      </c>
      <c r="H29">
        <v>3500000</v>
      </c>
      <c r="I29">
        <v>3250000</v>
      </c>
      <c r="J29">
        <v>3900000</v>
      </c>
      <c r="K29">
        <v>4000000</v>
      </c>
      <c r="L29">
        <v>4100000</v>
      </c>
      <c r="M29">
        <v>4250000</v>
      </c>
      <c r="N29">
        <v>4400000</v>
      </c>
      <c r="O29">
        <v>4350000</v>
      </c>
      <c r="P29">
        <v>4250000</v>
      </c>
      <c r="Q29">
        <v>4650000</v>
      </c>
      <c r="R29">
        <v>4600000</v>
      </c>
      <c r="S29">
        <v>4750000</v>
      </c>
    </row>
    <row r="30" spans="1:19">
      <c r="A30" t="s">
        <v>19</v>
      </c>
      <c r="B30" t="s">
        <v>77</v>
      </c>
      <c r="C30" t="s">
        <v>1622</v>
      </c>
      <c r="D30" t="s">
        <v>83</v>
      </c>
      <c r="G30">
        <f t="shared" si="0"/>
        <v>12768452061</v>
      </c>
      <c r="H30">
        <v>926970868</v>
      </c>
      <c r="I30">
        <v>907971720</v>
      </c>
      <c r="J30">
        <v>1024032727</v>
      </c>
      <c r="K30">
        <v>1042815381</v>
      </c>
      <c r="L30">
        <v>1068377313</v>
      </c>
      <c r="M30">
        <v>1099940927</v>
      </c>
      <c r="N30">
        <v>1124725108</v>
      </c>
      <c r="O30">
        <v>1105164870</v>
      </c>
      <c r="P30">
        <v>1079602939</v>
      </c>
      <c r="Q30">
        <v>1120836846</v>
      </c>
      <c r="R30">
        <v>1108055873</v>
      </c>
      <c r="S30">
        <v>1159957489</v>
      </c>
    </row>
    <row r="31" spans="1:19">
      <c r="A31" t="s">
        <v>19</v>
      </c>
      <c r="B31" t="s">
        <v>84</v>
      </c>
      <c r="C31" t="s">
        <v>1623</v>
      </c>
      <c r="D31" t="s">
        <v>86</v>
      </c>
      <c r="G31">
        <f t="shared" si="0"/>
        <v>30000000000</v>
      </c>
      <c r="H31">
        <f t="shared" ref="H31:S31" si="8">H32+H34+H35</f>
        <v>2250000000</v>
      </c>
      <c r="I31">
        <f t="shared" si="8"/>
        <v>2340000000</v>
      </c>
      <c r="J31">
        <f t="shared" si="8"/>
        <v>2460000000</v>
      </c>
      <c r="K31">
        <f t="shared" si="8"/>
        <v>2490000000</v>
      </c>
      <c r="L31">
        <f t="shared" si="8"/>
        <v>2550000000</v>
      </c>
      <c r="M31">
        <f t="shared" si="8"/>
        <v>2610000000</v>
      </c>
      <c r="N31">
        <f t="shared" si="8"/>
        <v>2640000000</v>
      </c>
      <c r="O31">
        <f t="shared" si="8"/>
        <v>2580000000</v>
      </c>
      <c r="P31">
        <f t="shared" si="8"/>
        <v>2520000000</v>
      </c>
      <c r="Q31">
        <f t="shared" si="8"/>
        <v>2490000000</v>
      </c>
      <c r="R31">
        <f t="shared" si="8"/>
        <v>2460000000</v>
      </c>
      <c r="S31">
        <f t="shared" si="8"/>
        <v>2610000000</v>
      </c>
    </row>
    <row r="32" spans="1:19">
      <c r="A32" t="s">
        <v>23</v>
      </c>
      <c r="B32" t="s">
        <v>84</v>
      </c>
      <c r="C32" t="s">
        <v>1624</v>
      </c>
      <c r="D32" t="s">
        <v>117</v>
      </c>
      <c r="G32">
        <f t="shared" si="0"/>
        <v>10000000000</v>
      </c>
      <c r="H32">
        <f t="shared" ref="H32:S32" si="9">H33</f>
        <v>750000000</v>
      </c>
      <c r="I32">
        <f t="shared" si="9"/>
        <v>780000000</v>
      </c>
      <c r="J32">
        <f t="shared" si="9"/>
        <v>820000000</v>
      </c>
      <c r="K32">
        <f t="shared" si="9"/>
        <v>830000000</v>
      </c>
      <c r="L32">
        <f t="shared" si="9"/>
        <v>850000000</v>
      </c>
      <c r="M32">
        <f t="shared" si="9"/>
        <v>870000000</v>
      </c>
      <c r="N32">
        <f t="shared" si="9"/>
        <v>880000000</v>
      </c>
      <c r="O32">
        <f t="shared" si="9"/>
        <v>860000000</v>
      </c>
      <c r="P32">
        <f t="shared" si="9"/>
        <v>840000000</v>
      </c>
      <c r="Q32">
        <f t="shared" si="9"/>
        <v>830000000</v>
      </c>
      <c r="R32">
        <f t="shared" si="9"/>
        <v>820000000</v>
      </c>
      <c r="S32">
        <f t="shared" si="9"/>
        <v>870000000</v>
      </c>
    </row>
    <row r="33" spans="1:19">
      <c r="A33" t="s">
        <v>26</v>
      </c>
      <c r="B33" t="s">
        <v>84</v>
      </c>
      <c r="C33" t="s">
        <v>1625</v>
      </c>
      <c r="D33" t="s">
        <v>90</v>
      </c>
      <c r="G33">
        <f t="shared" si="0"/>
        <v>10000000000</v>
      </c>
      <c r="H33">
        <v>750000000</v>
      </c>
      <c r="I33">
        <v>780000000</v>
      </c>
      <c r="J33">
        <v>820000000</v>
      </c>
      <c r="K33">
        <v>830000000</v>
      </c>
      <c r="L33">
        <v>850000000</v>
      </c>
      <c r="M33">
        <v>870000000</v>
      </c>
      <c r="N33">
        <v>880000000</v>
      </c>
      <c r="O33">
        <v>860000000</v>
      </c>
      <c r="P33">
        <v>840000000</v>
      </c>
      <c r="Q33">
        <v>830000000</v>
      </c>
      <c r="R33">
        <v>820000000</v>
      </c>
      <c r="S33">
        <v>870000000</v>
      </c>
    </row>
    <row r="34" spans="1:19">
      <c r="A34" t="s">
        <v>23</v>
      </c>
      <c r="B34" t="s">
        <v>84</v>
      </c>
      <c r="C34" t="s">
        <v>1626</v>
      </c>
      <c r="D34" t="s">
        <v>102</v>
      </c>
      <c r="G34">
        <f t="shared" si="0"/>
        <v>10000000000</v>
      </c>
      <c r="H34">
        <v>750000000</v>
      </c>
      <c r="I34">
        <v>780000000</v>
      </c>
      <c r="J34">
        <v>820000000</v>
      </c>
      <c r="K34">
        <v>830000000</v>
      </c>
      <c r="L34">
        <v>850000000</v>
      </c>
      <c r="M34">
        <v>870000000</v>
      </c>
      <c r="N34">
        <v>880000000</v>
      </c>
      <c r="O34">
        <v>860000000</v>
      </c>
      <c r="P34">
        <v>840000000</v>
      </c>
      <c r="Q34">
        <v>830000000</v>
      </c>
      <c r="R34">
        <v>820000000</v>
      </c>
      <c r="S34">
        <v>870000000</v>
      </c>
    </row>
    <row r="35" spans="1:19">
      <c r="A35" t="s">
        <v>23</v>
      </c>
      <c r="B35" t="s">
        <v>84</v>
      </c>
      <c r="C35" t="s">
        <v>1627</v>
      </c>
      <c r="D35" t="s">
        <v>104</v>
      </c>
      <c r="G35">
        <f t="shared" si="0"/>
        <v>10000000000</v>
      </c>
      <c r="H35">
        <v>750000000</v>
      </c>
      <c r="I35">
        <v>780000000</v>
      </c>
      <c r="J35">
        <v>820000000</v>
      </c>
      <c r="K35">
        <v>830000000</v>
      </c>
      <c r="L35">
        <v>850000000</v>
      </c>
      <c r="M35">
        <v>870000000</v>
      </c>
      <c r="N35">
        <v>880000000</v>
      </c>
      <c r="O35">
        <v>860000000</v>
      </c>
      <c r="P35">
        <v>840000000</v>
      </c>
      <c r="Q35">
        <v>830000000</v>
      </c>
      <c r="R35">
        <v>820000000</v>
      </c>
      <c r="S35">
        <v>870000000</v>
      </c>
    </row>
    <row r="36" spans="1:19">
      <c r="A36" t="s">
        <v>19</v>
      </c>
      <c r="B36" t="s">
        <v>113</v>
      </c>
      <c r="C36" t="s">
        <v>1628</v>
      </c>
      <c r="D36" t="s">
        <v>115</v>
      </c>
      <c r="G36">
        <f t="shared" si="0"/>
        <v>30000000000</v>
      </c>
      <c r="H36">
        <f t="shared" ref="H36:S36" si="10">H37+H39+H40</f>
        <v>2250000000</v>
      </c>
      <c r="I36">
        <f t="shared" si="10"/>
        <v>2340000000</v>
      </c>
      <c r="J36">
        <f t="shared" si="10"/>
        <v>2460000000</v>
      </c>
      <c r="K36">
        <f t="shared" si="10"/>
        <v>2490000000</v>
      </c>
      <c r="L36">
        <f t="shared" si="10"/>
        <v>2550000000</v>
      </c>
      <c r="M36">
        <f t="shared" si="10"/>
        <v>2610000000</v>
      </c>
      <c r="N36">
        <f t="shared" si="10"/>
        <v>2640000000</v>
      </c>
      <c r="O36">
        <f t="shared" si="10"/>
        <v>2580000000</v>
      </c>
      <c r="P36">
        <f t="shared" si="10"/>
        <v>2520000000</v>
      </c>
      <c r="Q36">
        <f t="shared" si="10"/>
        <v>2490000000</v>
      </c>
      <c r="R36">
        <f t="shared" si="10"/>
        <v>2460000000</v>
      </c>
      <c r="S36">
        <f t="shared" si="10"/>
        <v>2610000000</v>
      </c>
    </row>
    <row r="37" spans="1:19">
      <c r="A37" t="s">
        <v>23</v>
      </c>
      <c r="B37" t="s">
        <v>113</v>
      </c>
      <c r="C37" t="s">
        <v>1629</v>
      </c>
      <c r="D37" t="s">
        <v>117</v>
      </c>
      <c r="G37">
        <f t="shared" si="0"/>
        <v>10000000000</v>
      </c>
      <c r="H37">
        <f t="shared" ref="H37:S37" si="11">H38</f>
        <v>750000000</v>
      </c>
      <c r="I37">
        <f t="shared" si="11"/>
        <v>780000000</v>
      </c>
      <c r="J37">
        <f t="shared" si="11"/>
        <v>820000000</v>
      </c>
      <c r="K37">
        <f t="shared" si="11"/>
        <v>830000000</v>
      </c>
      <c r="L37">
        <f t="shared" si="11"/>
        <v>850000000</v>
      </c>
      <c r="M37">
        <f t="shared" si="11"/>
        <v>870000000</v>
      </c>
      <c r="N37">
        <f t="shared" si="11"/>
        <v>880000000</v>
      </c>
      <c r="O37">
        <f t="shared" si="11"/>
        <v>860000000</v>
      </c>
      <c r="P37">
        <f t="shared" si="11"/>
        <v>840000000</v>
      </c>
      <c r="Q37">
        <f t="shared" si="11"/>
        <v>830000000</v>
      </c>
      <c r="R37">
        <f t="shared" si="11"/>
        <v>820000000</v>
      </c>
      <c r="S37">
        <f t="shared" si="11"/>
        <v>870000000</v>
      </c>
    </row>
    <row r="38" spans="1:19">
      <c r="A38" t="s">
        <v>26</v>
      </c>
      <c r="B38" t="s">
        <v>113</v>
      </c>
      <c r="C38" t="s">
        <v>1630</v>
      </c>
      <c r="D38" t="s">
        <v>90</v>
      </c>
      <c r="G38">
        <f t="shared" si="0"/>
        <v>10000000000</v>
      </c>
      <c r="H38">
        <v>750000000</v>
      </c>
      <c r="I38">
        <v>780000000</v>
      </c>
      <c r="J38">
        <v>820000000</v>
      </c>
      <c r="K38">
        <v>830000000</v>
      </c>
      <c r="L38">
        <v>850000000</v>
      </c>
      <c r="M38">
        <v>870000000</v>
      </c>
      <c r="N38">
        <v>880000000</v>
      </c>
      <c r="O38">
        <v>860000000</v>
      </c>
      <c r="P38">
        <v>840000000</v>
      </c>
      <c r="Q38">
        <v>830000000</v>
      </c>
      <c r="R38">
        <v>820000000</v>
      </c>
      <c r="S38">
        <v>870000000</v>
      </c>
    </row>
    <row r="39" spans="1:19">
      <c r="A39" t="s">
        <v>23</v>
      </c>
      <c r="B39" t="s">
        <v>113</v>
      </c>
      <c r="C39" t="s">
        <v>1631</v>
      </c>
      <c r="D39" t="s">
        <v>102</v>
      </c>
      <c r="G39">
        <f t="shared" si="0"/>
        <v>10000000000</v>
      </c>
      <c r="H39">
        <v>750000000</v>
      </c>
      <c r="I39">
        <v>780000000</v>
      </c>
      <c r="J39">
        <v>820000000</v>
      </c>
      <c r="K39">
        <v>830000000</v>
      </c>
      <c r="L39">
        <v>850000000</v>
      </c>
      <c r="M39">
        <v>870000000</v>
      </c>
      <c r="N39">
        <v>880000000</v>
      </c>
      <c r="O39">
        <v>860000000</v>
      </c>
      <c r="P39">
        <v>840000000</v>
      </c>
      <c r="Q39">
        <v>830000000</v>
      </c>
      <c r="R39">
        <v>820000000</v>
      </c>
      <c r="S39">
        <v>870000000</v>
      </c>
    </row>
    <row r="40" spans="1:19">
      <c r="A40" t="s">
        <v>23</v>
      </c>
      <c r="B40" t="s">
        <v>113</v>
      </c>
      <c r="C40" t="s">
        <v>1632</v>
      </c>
      <c r="D40" t="s">
        <v>104</v>
      </c>
      <c r="G40">
        <f t="shared" si="0"/>
        <v>10000000000</v>
      </c>
      <c r="H40">
        <v>750000000</v>
      </c>
      <c r="I40">
        <v>780000000</v>
      </c>
      <c r="J40">
        <v>820000000</v>
      </c>
      <c r="K40">
        <v>830000000</v>
      </c>
      <c r="L40">
        <v>850000000</v>
      </c>
      <c r="M40">
        <v>870000000</v>
      </c>
      <c r="N40">
        <v>880000000</v>
      </c>
      <c r="O40">
        <v>860000000</v>
      </c>
      <c r="P40">
        <v>840000000</v>
      </c>
      <c r="Q40">
        <v>830000000</v>
      </c>
      <c r="R40">
        <v>820000000</v>
      </c>
      <c r="S40">
        <v>870000000</v>
      </c>
    </row>
    <row r="41" spans="1:19">
      <c r="A41" t="s">
        <v>19</v>
      </c>
      <c r="B41" t="s">
        <v>130</v>
      </c>
      <c r="C41" t="s">
        <v>1633</v>
      </c>
      <c r="D41" t="s">
        <v>132</v>
      </c>
      <c r="G41">
        <f t="shared" si="0"/>
        <v>121276845194</v>
      </c>
      <c r="H41">
        <f t="shared" ref="H41:S41" si="12">H42+H45</f>
        <v>9092697086</v>
      </c>
      <c r="I41">
        <f t="shared" si="12"/>
        <v>9450797171</v>
      </c>
      <c r="J41">
        <f t="shared" si="12"/>
        <v>9942403272</v>
      </c>
      <c r="K41">
        <f t="shared" si="12"/>
        <v>10064281537</v>
      </c>
      <c r="L41">
        <f t="shared" si="12"/>
        <v>10306837730</v>
      </c>
      <c r="M41">
        <f t="shared" si="12"/>
        <v>10549994092</v>
      </c>
      <c r="N41">
        <f t="shared" si="12"/>
        <v>10672472510</v>
      </c>
      <c r="O41">
        <f t="shared" si="12"/>
        <v>10430516486</v>
      </c>
      <c r="P41">
        <f t="shared" si="12"/>
        <v>10187960293</v>
      </c>
      <c r="Q41">
        <f t="shared" si="12"/>
        <v>10072083683</v>
      </c>
      <c r="R41">
        <f t="shared" si="12"/>
        <v>9950805586</v>
      </c>
      <c r="S41">
        <f t="shared" si="12"/>
        <v>10555995748</v>
      </c>
    </row>
    <row r="42" spans="1:19">
      <c r="A42" t="s">
        <v>23</v>
      </c>
      <c r="B42" t="s">
        <v>130</v>
      </c>
      <c r="C42" t="s">
        <v>1634</v>
      </c>
      <c r="D42" t="s">
        <v>1635</v>
      </c>
      <c r="G42">
        <f t="shared" si="0"/>
        <v>61276845194</v>
      </c>
      <c r="H42">
        <f t="shared" ref="H42:S42" si="13">H43+H44</f>
        <v>4592697086</v>
      </c>
      <c r="I42">
        <f t="shared" si="13"/>
        <v>4770797171</v>
      </c>
      <c r="J42">
        <f t="shared" si="13"/>
        <v>5022403272</v>
      </c>
      <c r="K42">
        <f t="shared" si="13"/>
        <v>5084281537</v>
      </c>
      <c r="L42">
        <f t="shared" si="13"/>
        <v>5206837730</v>
      </c>
      <c r="M42">
        <f t="shared" si="13"/>
        <v>5329994092</v>
      </c>
      <c r="N42">
        <f t="shared" si="13"/>
        <v>5392472510</v>
      </c>
      <c r="O42">
        <f t="shared" si="13"/>
        <v>5270516486</v>
      </c>
      <c r="P42">
        <f t="shared" si="13"/>
        <v>5147960293</v>
      </c>
      <c r="Q42">
        <f t="shared" si="13"/>
        <v>5092083683</v>
      </c>
      <c r="R42">
        <f t="shared" si="13"/>
        <v>5030805586</v>
      </c>
      <c r="S42">
        <f t="shared" si="13"/>
        <v>5335995748</v>
      </c>
    </row>
    <row r="43" spans="1:19">
      <c r="A43" t="s">
        <v>26</v>
      </c>
      <c r="B43" t="s">
        <v>130</v>
      </c>
      <c r="C43" t="s">
        <v>1636</v>
      </c>
      <c r="D43" t="s">
        <v>1637</v>
      </c>
      <c r="G43">
        <f t="shared" si="0"/>
        <v>60000000000</v>
      </c>
      <c r="H43">
        <v>4500000000</v>
      </c>
      <c r="I43">
        <v>4680000000</v>
      </c>
      <c r="J43">
        <v>4920000000</v>
      </c>
      <c r="K43">
        <v>4980000000</v>
      </c>
      <c r="L43">
        <v>5100000000</v>
      </c>
      <c r="M43">
        <v>5220000000</v>
      </c>
      <c r="N43">
        <v>5280000000</v>
      </c>
      <c r="O43">
        <v>5160000000</v>
      </c>
      <c r="P43">
        <v>5040000000</v>
      </c>
      <c r="Q43">
        <v>4980000000</v>
      </c>
      <c r="R43">
        <v>4920000000</v>
      </c>
      <c r="S43">
        <v>5220000000</v>
      </c>
    </row>
    <row r="44" spans="1:19">
      <c r="A44" t="s">
        <v>26</v>
      </c>
      <c r="B44" t="s">
        <v>130</v>
      </c>
      <c r="C44" t="s">
        <v>1638</v>
      </c>
      <c r="D44" t="s">
        <v>1639</v>
      </c>
      <c r="G44">
        <f t="shared" si="0"/>
        <v>1276845194</v>
      </c>
      <c r="H44">
        <v>92697086</v>
      </c>
      <c r="I44">
        <v>90797171</v>
      </c>
      <c r="J44">
        <v>102403272</v>
      </c>
      <c r="K44">
        <v>104281537</v>
      </c>
      <c r="L44">
        <v>106837730</v>
      </c>
      <c r="M44">
        <v>109994092</v>
      </c>
      <c r="N44">
        <v>112472510</v>
      </c>
      <c r="O44">
        <v>110516486</v>
      </c>
      <c r="P44">
        <v>107960293</v>
      </c>
      <c r="Q44">
        <v>112083683</v>
      </c>
      <c r="R44">
        <v>110805586</v>
      </c>
      <c r="S44">
        <v>115995748</v>
      </c>
    </row>
    <row r="45" spans="1:19">
      <c r="A45" t="s">
        <v>23</v>
      </c>
      <c r="B45" t="s">
        <v>130</v>
      </c>
      <c r="C45" t="s">
        <v>1640</v>
      </c>
      <c r="D45" t="s">
        <v>1641</v>
      </c>
      <c r="G45">
        <f t="shared" si="0"/>
        <v>60000000000</v>
      </c>
      <c r="H45">
        <v>4500000000</v>
      </c>
      <c r="I45">
        <v>4680000000</v>
      </c>
      <c r="J45">
        <v>4920000000</v>
      </c>
      <c r="K45">
        <v>4980000000</v>
      </c>
      <c r="L45">
        <v>5100000000</v>
      </c>
      <c r="M45">
        <v>5220000000</v>
      </c>
      <c r="N45">
        <v>5280000000</v>
      </c>
      <c r="O45">
        <v>5160000000</v>
      </c>
      <c r="P45">
        <v>5040000000</v>
      </c>
      <c r="Q45">
        <v>4980000000</v>
      </c>
      <c r="R45">
        <v>4920000000</v>
      </c>
      <c r="S45">
        <v>5220000000</v>
      </c>
    </row>
    <row r="46" spans="1:19">
      <c r="A46" t="s">
        <v>19</v>
      </c>
      <c r="B46" t="s">
        <v>143</v>
      </c>
      <c r="C46" t="s">
        <v>1642</v>
      </c>
      <c r="D46" t="s">
        <v>142</v>
      </c>
      <c r="G46">
        <f t="shared" si="0"/>
        <v>121276845194</v>
      </c>
      <c r="H46">
        <f t="shared" ref="H46:S46" si="14">H47+H50</f>
        <v>9092697086</v>
      </c>
      <c r="I46">
        <f t="shared" si="14"/>
        <v>9450797171</v>
      </c>
      <c r="J46">
        <f t="shared" si="14"/>
        <v>9942403272</v>
      </c>
      <c r="K46">
        <f t="shared" si="14"/>
        <v>10064281537</v>
      </c>
      <c r="L46">
        <f t="shared" si="14"/>
        <v>10306837730</v>
      </c>
      <c r="M46">
        <f t="shared" si="14"/>
        <v>10549994092</v>
      </c>
      <c r="N46">
        <f t="shared" si="14"/>
        <v>10672472510</v>
      </c>
      <c r="O46">
        <f t="shared" si="14"/>
        <v>10430516486</v>
      </c>
      <c r="P46">
        <f t="shared" si="14"/>
        <v>10187960293</v>
      </c>
      <c r="Q46">
        <f t="shared" si="14"/>
        <v>10072083683</v>
      </c>
      <c r="R46">
        <f t="shared" si="14"/>
        <v>9950805586</v>
      </c>
      <c r="S46">
        <f t="shared" si="14"/>
        <v>10555995748</v>
      </c>
    </row>
    <row r="47" spans="1:19">
      <c r="A47" t="s">
        <v>23</v>
      </c>
      <c r="B47" t="s">
        <v>143</v>
      </c>
      <c r="C47" t="s">
        <v>1643</v>
      </c>
      <c r="D47" t="s">
        <v>1635</v>
      </c>
      <c r="G47">
        <f t="shared" si="0"/>
        <v>61276845194</v>
      </c>
      <c r="H47">
        <f t="shared" ref="H47:S47" si="15">H48+H49</f>
        <v>4592697086</v>
      </c>
      <c r="I47">
        <f t="shared" si="15"/>
        <v>4770797171</v>
      </c>
      <c r="J47">
        <f t="shared" si="15"/>
        <v>5022403272</v>
      </c>
      <c r="K47">
        <f t="shared" si="15"/>
        <v>5084281537</v>
      </c>
      <c r="L47">
        <f t="shared" si="15"/>
        <v>5206837730</v>
      </c>
      <c r="M47">
        <f t="shared" si="15"/>
        <v>5329994092</v>
      </c>
      <c r="N47">
        <f t="shared" si="15"/>
        <v>5392472510</v>
      </c>
      <c r="O47">
        <f t="shared" si="15"/>
        <v>5270516486</v>
      </c>
      <c r="P47">
        <f t="shared" si="15"/>
        <v>5147960293</v>
      </c>
      <c r="Q47">
        <f t="shared" si="15"/>
        <v>5092083683</v>
      </c>
      <c r="R47">
        <f t="shared" si="15"/>
        <v>5030805586</v>
      </c>
      <c r="S47">
        <f t="shared" si="15"/>
        <v>5335995748</v>
      </c>
    </row>
    <row r="48" spans="1:19">
      <c r="A48" t="s">
        <v>26</v>
      </c>
      <c r="B48" t="s">
        <v>143</v>
      </c>
      <c r="C48" t="s">
        <v>1644</v>
      </c>
      <c r="D48" t="s">
        <v>1637</v>
      </c>
      <c r="G48">
        <f t="shared" si="0"/>
        <v>60000000000</v>
      </c>
      <c r="H48">
        <v>4500000000</v>
      </c>
      <c r="I48">
        <v>4680000000</v>
      </c>
      <c r="J48">
        <v>4920000000</v>
      </c>
      <c r="K48">
        <v>4980000000</v>
      </c>
      <c r="L48">
        <v>5100000000</v>
      </c>
      <c r="M48">
        <v>5220000000</v>
      </c>
      <c r="N48">
        <v>5280000000</v>
      </c>
      <c r="O48">
        <v>5160000000</v>
      </c>
      <c r="P48">
        <v>5040000000</v>
      </c>
      <c r="Q48">
        <v>4980000000</v>
      </c>
      <c r="R48">
        <v>4920000000</v>
      </c>
      <c r="S48">
        <v>5220000000</v>
      </c>
    </row>
    <row r="49" spans="1:19">
      <c r="A49" t="s">
        <v>26</v>
      </c>
      <c r="B49" t="s">
        <v>143</v>
      </c>
      <c r="C49" t="s">
        <v>1645</v>
      </c>
      <c r="D49" t="s">
        <v>1639</v>
      </c>
      <c r="G49">
        <f t="shared" si="0"/>
        <v>1276845194</v>
      </c>
      <c r="H49">
        <v>92697086</v>
      </c>
      <c r="I49">
        <v>90797171</v>
      </c>
      <c r="J49">
        <v>102403272</v>
      </c>
      <c r="K49">
        <v>104281537</v>
      </c>
      <c r="L49">
        <v>106837730</v>
      </c>
      <c r="M49">
        <v>109994092</v>
      </c>
      <c r="N49">
        <v>112472510</v>
      </c>
      <c r="O49">
        <v>110516486</v>
      </c>
      <c r="P49">
        <v>107960293</v>
      </c>
      <c r="Q49">
        <v>112083683</v>
      </c>
      <c r="R49">
        <v>110805586</v>
      </c>
      <c r="S49">
        <v>115995748</v>
      </c>
    </row>
    <row r="50" spans="1:19">
      <c r="A50" t="s">
        <v>23</v>
      </c>
      <c r="B50" t="s">
        <v>143</v>
      </c>
      <c r="C50" t="s">
        <v>1646</v>
      </c>
      <c r="D50" t="s">
        <v>1641</v>
      </c>
      <c r="G50">
        <f t="shared" si="0"/>
        <v>60000000000</v>
      </c>
      <c r="H50">
        <v>4500000000</v>
      </c>
      <c r="I50">
        <v>4680000000</v>
      </c>
      <c r="J50">
        <v>4920000000</v>
      </c>
      <c r="K50">
        <v>4980000000</v>
      </c>
      <c r="L50">
        <v>5100000000</v>
      </c>
      <c r="M50">
        <v>5220000000</v>
      </c>
      <c r="N50">
        <v>5280000000</v>
      </c>
      <c r="O50">
        <v>5160000000</v>
      </c>
      <c r="P50">
        <v>5040000000</v>
      </c>
      <c r="Q50">
        <v>4980000000</v>
      </c>
      <c r="R50">
        <v>4920000000</v>
      </c>
      <c r="S50">
        <v>5220000000</v>
      </c>
    </row>
    <row r="51" spans="1:19">
      <c r="A51" t="s">
        <v>19</v>
      </c>
      <c r="B51" t="s">
        <v>84</v>
      </c>
      <c r="C51" t="s">
        <v>1647</v>
      </c>
      <c r="D51" t="s">
        <v>151</v>
      </c>
      <c r="G51">
        <f t="shared" si="0"/>
        <v>15000000000</v>
      </c>
      <c r="H51">
        <f t="shared" ref="H51:S51" si="16">H52</f>
        <v>1125000000</v>
      </c>
      <c r="I51">
        <f t="shared" si="16"/>
        <v>1170000000</v>
      </c>
      <c r="J51">
        <f t="shared" si="16"/>
        <v>1230000000</v>
      </c>
      <c r="K51">
        <f t="shared" si="16"/>
        <v>1245000000</v>
      </c>
      <c r="L51">
        <f t="shared" si="16"/>
        <v>1275000000</v>
      </c>
      <c r="M51">
        <f t="shared" si="16"/>
        <v>1305000000</v>
      </c>
      <c r="N51">
        <f t="shared" si="16"/>
        <v>1320000000</v>
      </c>
      <c r="O51">
        <f t="shared" si="16"/>
        <v>1290000000</v>
      </c>
      <c r="P51">
        <f t="shared" si="16"/>
        <v>1260000000</v>
      </c>
      <c r="Q51">
        <f t="shared" si="16"/>
        <v>1245000000</v>
      </c>
      <c r="R51">
        <f t="shared" si="16"/>
        <v>1230000000</v>
      </c>
      <c r="S51">
        <f t="shared" si="16"/>
        <v>1305000000</v>
      </c>
    </row>
    <row r="52" spans="1:19">
      <c r="A52" t="s">
        <v>23</v>
      </c>
      <c r="B52" t="s">
        <v>84</v>
      </c>
      <c r="C52" t="s">
        <v>1648</v>
      </c>
      <c r="D52" t="s">
        <v>959</v>
      </c>
      <c r="G52">
        <f t="shared" si="0"/>
        <v>15000000000</v>
      </c>
      <c r="H52">
        <v>1125000000</v>
      </c>
      <c r="I52">
        <v>1170000000</v>
      </c>
      <c r="J52">
        <v>1230000000</v>
      </c>
      <c r="K52">
        <v>1245000000</v>
      </c>
      <c r="L52">
        <v>1275000000</v>
      </c>
      <c r="M52">
        <v>1305000000</v>
      </c>
      <c r="N52">
        <v>1320000000</v>
      </c>
      <c r="O52">
        <v>1290000000</v>
      </c>
      <c r="P52">
        <v>1260000000</v>
      </c>
      <c r="Q52">
        <v>1245000000</v>
      </c>
      <c r="R52">
        <v>1230000000</v>
      </c>
      <c r="S52">
        <v>1305000000</v>
      </c>
    </row>
    <row r="53" spans="1:19">
      <c r="A53" t="s">
        <v>19</v>
      </c>
      <c r="B53" t="s">
        <v>113</v>
      </c>
      <c r="C53" t="s">
        <v>1649</v>
      </c>
      <c r="D53" t="s">
        <v>160</v>
      </c>
      <c r="G53">
        <f t="shared" si="0"/>
        <v>15000000000</v>
      </c>
      <c r="H53">
        <f t="shared" ref="H53:S53" si="17">H54</f>
        <v>1125000000</v>
      </c>
      <c r="I53">
        <f t="shared" si="17"/>
        <v>1170000000</v>
      </c>
      <c r="J53">
        <f t="shared" si="17"/>
        <v>1230000000</v>
      </c>
      <c r="K53">
        <f t="shared" si="17"/>
        <v>1245000000</v>
      </c>
      <c r="L53">
        <f t="shared" si="17"/>
        <v>1275000000</v>
      </c>
      <c r="M53">
        <f t="shared" si="17"/>
        <v>1305000000</v>
      </c>
      <c r="N53">
        <f t="shared" si="17"/>
        <v>1320000000</v>
      </c>
      <c r="O53">
        <f t="shared" si="17"/>
        <v>1290000000</v>
      </c>
      <c r="P53">
        <f t="shared" si="17"/>
        <v>1260000000</v>
      </c>
      <c r="Q53">
        <f t="shared" si="17"/>
        <v>1245000000</v>
      </c>
      <c r="R53">
        <f t="shared" si="17"/>
        <v>1230000000</v>
      </c>
      <c r="S53">
        <f t="shared" si="17"/>
        <v>1305000000</v>
      </c>
    </row>
    <row r="54" spans="1:19">
      <c r="A54" t="s">
        <v>23</v>
      </c>
      <c r="B54" t="s">
        <v>113</v>
      </c>
      <c r="C54" t="s">
        <v>1650</v>
      </c>
      <c r="D54" t="s">
        <v>962</v>
      </c>
      <c r="G54">
        <f t="shared" si="0"/>
        <v>15000000000</v>
      </c>
      <c r="H54">
        <v>1125000000</v>
      </c>
      <c r="I54">
        <v>1170000000</v>
      </c>
      <c r="J54">
        <v>1230000000</v>
      </c>
      <c r="K54">
        <v>1245000000</v>
      </c>
      <c r="L54">
        <v>1275000000</v>
      </c>
      <c r="M54">
        <v>1305000000</v>
      </c>
      <c r="N54">
        <v>1320000000</v>
      </c>
      <c r="O54">
        <v>1290000000</v>
      </c>
      <c r="P54">
        <v>1260000000</v>
      </c>
      <c r="Q54">
        <v>1245000000</v>
      </c>
      <c r="R54">
        <v>1230000000</v>
      </c>
      <c r="S54">
        <v>1305000000</v>
      </c>
    </row>
    <row r="55" spans="1:19">
      <c r="A55" t="s">
        <v>19</v>
      </c>
      <c r="B55" t="s">
        <v>130</v>
      </c>
      <c r="C55" t="s">
        <v>1651</v>
      </c>
      <c r="D55" t="s">
        <v>166</v>
      </c>
      <c r="G55">
        <f t="shared" si="0"/>
        <v>9000000000</v>
      </c>
      <c r="H55">
        <f t="shared" ref="H55:S55" si="18">H56</f>
        <v>675000000</v>
      </c>
      <c r="I55">
        <f t="shared" si="18"/>
        <v>702000000</v>
      </c>
      <c r="J55">
        <f t="shared" si="18"/>
        <v>738000000</v>
      </c>
      <c r="K55">
        <f t="shared" si="18"/>
        <v>747000000</v>
      </c>
      <c r="L55">
        <f t="shared" si="18"/>
        <v>765000000</v>
      </c>
      <c r="M55">
        <f t="shared" si="18"/>
        <v>783000000</v>
      </c>
      <c r="N55">
        <f t="shared" si="18"/>
        <v>792000000</v>
      </c>
      <c r="O55">
        <f t="shared" si="18"/>
        <v>774000000</v>
      </c>
      <c r="P55">
        <f t="shared" si="18"/>
        <v>756000000</v>
      </c>
      <c r="Q55">
        <f t="shared" si="18"/>
        <v>747000000</v>
      </c>
      <c r="R55">
        <f t="shared" si="18"/>
        <v>738000000</v>
      </c>
      <c r="S55">
        <f t="shared" si="18"/>
        <v>783000000</v>
      </c>
    </row>
    <row r="56" spans="1:19">
      <c r="A56" t="s">
        <v>23</v>
      </c>
      <c r="B56" t="s">
        <v>130</v>
      </c>
      <c r="C56" t="s">
        <v>1652</v>
      </c>
      <c r="D56" t="s">
        <v>965</v>
      </c>
      <c r="G56">
        <f t="shared" si="0"/>
        <v>9000000000</v>
      </c>
      <c r="H56">
        <v>675000000</v>
      </c>
      <c r="I56">
        <v>702000000</v>
      </c>
      <c r="J56">
        <v>738000000</v>
      </c>
      <c r="K56">
        <v>747000000</v>
      </c>
      <c r="L56">
        <v>765000000</v>
      </c>
      <c r="M56">
        <v>783000000</v>
      </c>
      <c r="N56">
        <v>792000000</v>
      </c>
      <c r="O56">
        <v>774000000</v>
      </c>
      <c r="P56">
        <v>756000000</v>
      </c>
      <c r="Q56">
        <v>747000000</v>
      </c>
      <c r="R56">
        <v>738000000</v>
      </c>
      <c r="S56">
        <v>783000000</v>
      </c>
    </row>
    <row r="57" spans="1:19">
      <c r="A57" t="s">
        <v>19</v>
      </c>
      <c r="B57" t="s">
        <v>143</v>
      </c>
      <c r="C57" t="s">
        <v>1653</v>
      </c>
      <c r="D57" t="s">
        <v>172</v>
      </c>
      <c r="G57">
        <f t="shared" si="0"/>
        <v>9000000000</v>
      </c>
      <c r="H57">
        <f t="shared" ref="H57:S57" si="19">H58</f>
        <v>675000000</v>
      </c>
      <c r="I57">
        <f t="shared" si="19"/>
        <v>702000000</v>
      </c>
      <c r="J57">
        <f t="shared" si="19"/>
        <v>738000000</v>
      </c>
      <c r="K57">
        <f t="shared" si="19"/>
        <v>747000000</v>
      </c>
      <c r="L57">
        <f t="shared" si="19"/>
        <v>765000000</v>
      </c>
      <c r="M57">
        <f t="shared" si="19"/>
        <v>783000000</v>
      </c>
      <c r="N57">
        <f t="shared" si="19"/>
        <v>792000000</v>
      </c>
      <c r="O57">
        <f t="shared" si="19"/>
        <v>774000000</v>
      </c>
      <c r="P57">
        <f t="shared" si="19"/>
        <v>756000000</v>
      </c>
      <c r="Q57">
        <f t="shared" si="19"/>
        <v>747000000</v>
      </c>
      <c r="R57">
        <f t="shared" si="19"/>
        <v>738000000</v>
      </c>
      <c r="S57">
        <f t="shared" si="19"/>
        <v>783000000</v>
      </c>
    </row>
    <row r="58" spans="1:19">
      <c r="A58" t="s">
        <v>23</v>
      </c>
      <c r="B58" t="s">
        <v>143</v>
      </c>
      <c r="C58" t="s">
        <v>1654</v>
      </c>
      <c r="D58" t="s">
        <v>968</v>
      </c>
      <c r="G58">
        <f t="shared" si="0"/>
        <v>9000000000</v>
      </c>
      <c r="H58">
        <v>675000000</v>
      </c>
      <c r="I58">
        <v>702000000</v>
      </c>
      <c r="J58">
        <v>738000000</v>
      </c>
      <c r="K58">
        <v>747000000</v>
      </c>
      <c r="L58">
        <v>765000000</v>
      </c>
      <c r="M58">
        <v>783000000</v>
      </c>
      <c r="N58">
        <v>792000000</v>
      </c>
      <c r="O58">
        <v>774000000</v>
      </c>
      <c r="P58">
        <v>756000000</v>
      </c>
      <c r="Q58">
        <v>747000000</v>
      </c>
      <c r="R58">
        <v>738000000</v>
      </c>
      <c r="S58">
        <v>783000000</v>
      </c>
    </row>
    <row r="59" spans="1:19">
      <c r="A59" t="s">
        <v>19</v>
      </c>
      <c r="B59" t="s">
        <v>20</v>
      </c>
      <c r="C59" t="s">
        <v>1655</v>
      </c>
      <c r="D59" t="s">
        <v>176</v>
      </c>
      <c r="G59">
        <f t="shared" si="0"/>
        <v>0.84</v>
      </c>
      <c r="H59">
        <f t="shared" ref="H59:S59" si="20">H60+H62</f>
        <v>0.0686</v>
      </c>
      <c r="I59">
        <f t="shared" si="20"/>
        <v>0.068854</v>
      </c>
      <c r="J59">
        <f t="shared" si="20"/>
        <v>0.06911</v>
      </c>
      <c r="K59">
        <f t="shared" si="20"/>
        <v>0.069364</v>
      </c>
      <c r="L59">
        <f t="shared" si="20"/>
        <v>0.069618</v>
      </c>
      <c r="M59">
        <f t="shared" si="20"/>
        <v>0.069872</v>
      </c>
      <c r="N59">
        <f t="shared" si="20"/>
        <v>0.070128</v>
      </c>
      <c r="O59">
        <f t="shared" si="20"/>
        <v>0.070382</v>
      </c>
      <c r="P59">
        <f t="shared" si="20"/>
        <v>0.070636</v>
      </c>
      <c r="Q59">
        <f t="shared" si="20"/>
        <v>0.07089</v>
      </c>
      <c r="R59">
        <f t="shared" si="20"/>
        <v>0.071146</v>
      </c>
      <c r="S59">
        <f t="shared" si="20"/>
        <v>0.0714</v>
      </c>
    </row>
    <row r="60" spans="1:19">
      <c r="A60" t="s">
        <v>23</v>
      </c>
      <c r="B60" t="s">
        <v>20</v>
      </c>
      <c r="C60" t="s">
        <v>1656</v>
      </c>
      <c r="D60" t="s">
        <v>178</v>
      </c>
      <c r="G60">
        <f t="shared" si="0"/>
        <v>0.42</v>
      </c>
      <c r="H60">
        <f t="shared" ref="H60:S60" si="21">H61</f>
        <v>0.0343</v>
      </c>
      <c r="I60">
        <f t="shared" si="21"/>
        <v>0.034427</v>
      </c>
      <c r="J60">
        <f t="shared" si="21"/>
        <v>0.034555</v>
      </c>
      <c r="K60">
        <f t="shared" si="21"/>
        <v>0.034682</v>
      </c>
      <c r="L60">
        <f t="shared" si="21"/>
        <v>0.034809</v>
      </c>
      <c r="M60">
        <f t="shared" si="21"/>
        <v>0.034936</v>
      </c>
      <c r="N60">
        <f t="shared" si="21"/>
        <v>0.035064</v>
      </c>
      <c r="O60">
        <f t="shared" si="21"/>
        <v>0.035191</v>
      </c>
      <c r="P60">
        <f t="shared" si="21"/>
        <v>0.035318</v>
      </c>
      <c r="Q60">
        <f t="shared" si="21"/>
        <v>0.035445</v>
      </c>
      <c r="R60">
        <f t="shared" si="21"/>
        <v>0.035573</v>
      </c>
      <c r="S60">
        <f t="shared" si="21"/>
        <v>0.0357</v>
      </c>
    </row>
    <row r="61" spans="1:19">
      <c r="A61" t="s">
        <v>26</v>
      </c>
      <c r="B61" t="s">
        <v>179</v>
      </c>
      <c r="C61" t="s">
        <v>1657</v>
      </c>
      <c r="D61" t="s">
        <v>1487</v>
      </c>
      <c r="G61">
        <f t="shared" si="0"/>
        <v>0.42</v>
      </c>
      <c r="H61">
        <v>0.0343</v>
      </c>
      <c r="I61">
        <v>0.034427</v>
      </c>
      <c r="J61">
        <v>0.034555</v>
      </c>
      <c r="K61">
        <v>0.034682</v>
      </c>
      <c r="L61">
        <v>0.034809</v>
      </c>
      <c r="M61">
        <v>0.034936</v>
      </c>
      <c r="N61">
        <v>0.035064</v>
      </c>
      <c r="O61">
        <v>0.035191</v>
      </c>
      <c r="P61">
        <v>0.035318</v>
      </c>
      <c r="Q61">
        <v>0.035445</v>
      </c>
      <c r="R61">
        <v>0.035573</v>
      </c>
      <c r="S61">
        <v>0.0357</v>
      </c>
    </row>
    <row r="62" spans="1:19">
      <c r="A62" t="s">
        <v>23</v>
      </c>
      <c r="B62" t="s">
        <v>20</v>
      </c>
      <c r="C62" t="s">
        <v>1658</v>
      </c>
      <c r="D62" t="s">
        <v>225</v>
      </c>
      <c r="G62">
        <f t="shared" si="0"/>
        <v>0.42</v>
      </c>
      <c r="H62">
        <f t="shared" ref="H62:S62" si="22">H63</f>
        <v>0.0343</v>
      </c>
      <c r="I62">
        <f t="shared" si="22"/>
        <v>0.034427</v>
      </c>
      <c r="J62">
        <f t="shared" si="22"/>
        <v>0.034555</v>
      </c>
      <c r="K62">
        <f t="shared" si="22"/>
        <v>0.034682</v>
      </c>
      <c r="L62">
        <f t="shared" si="22"/>
        <v>0.034809</v>
      </c>
      <c r="M62">
        <f t="shared" si="22"/>
        <v>0.034936</v>
      </c>
      <c r="N62">
        <f t="shared" si="22"/>
        <v>0.035064</v>
      </c>
      <c r="O62">
        <f t="shared" si="22"/>
        <v>0.035191</v>
      </c>
      <c r="P62">
        <f t="shared" si="22"/>
        <v>0.035318</v>
      </c>
      <c r="Q62">
        <f t="shared" si="22"/>
        <v>0.035445</v>
      </c>
      <c r="R62">
        <f t="shared" si="22"/>
        <v>0.035573</v>
      </c>
      <c r="S62">
        <f t="shared" si="22"/>
        <v>0.0357</v>
      </c>
    </row>
    <row r="63" spans="1:19">
      <c r="A63" t="s">
        <v>26</v>
      </c>
      <c r="B63" t="s">
        <v>20</v>
      </c>
      <c r="C63" t="s">
        <v>1659</v>
      </c>
      <c r="D63" t="s">
        <v>227</v>
      </c>
      <c r="G63">
        <f t="shared" si="0"/>
        <v>0.42</v>
      </c>
      <c r="H63">
        <f t="shared" ref="H63:S63" si="23">H64</f>
        <v>0.0343</v>
      </c>
      <c r="I63">
        <f t="shared" si="23"/>
        <v>0.034427</v>
      </c>
      <c r="J63">
        <f t="shared" si="23"/>
        <v>0.034555</v>
      </c>
      <c r="K63">
        <f t="shared" si="23"/>
        <v>0.034682</v>
      </c>
      <c r="L63">
        <f t="shared" si="23"/>
        <v>0.034809</v>
      </c>
      <c r="M63">
        <f t="shared" si="23"/>
        <v>0.034936</v>
      </c>
      <c r="N63">
        <f t="shared" si="23"/>
        <v>0.035064</v>
      </c>
      <c r="O63">
        <f t="shared" si="23"/>
        <v>0.035191</v>
      </c>
      <c r="P63">
        <f t="shared" si="23"/>
        <v>0.035318</v>
      </c>
      <c r="Q63">
        <f t="shared" si="23"/>
        <v>0.035445</v>
      </c>
      <c r="R63">
        <f t="shared" si="23"/>
        <v>0.035573</v>
      </c>
      <c r="S63">
        <f t="shared" si="23"/>
        <v>0.0357</v>
      </c>
    </row>
    <row r="64" spans="1:19">
      <c r="A64" t="s">
        <v>60</v>
      </c>
      <c r="B64" t="s">
        <v>179</v>
      </c>
      <c r="C64" t="s">
        <v>1660</v>
      </c>
      <c r="D64" t="s">
        <v>229</v>
      </c>
      <c r="G64">
        <f t="shared" si="0"/>
        <v>0.42</v>
      </c>
      <c r="H64">
        <v>0.0343</v>
      </c>
      <c r="I64">
        <v>0.034427</v>
      </c>
      <c r="J64">
        <v>0.034555</v>
      </c>
      <c r="K64">
        <v>0.034682</v>
      </c>
      <c r="L64">
        <v>0.034809</v>
      </c>
      <c r="M64">
        <v>0.034936</v>
      </c>
      <c r="N64">
        <v>0.035064</v>
      </c>
      <c r="O64">
        <v>0.035191</v>
      </c>
      <c r="P64">
        <v>0.035318</v>
      </c>
      <c r="Q64">
        <v>0.035445</v>
      </c>
      <c r="R64">
        <v>0.035573</v>
      </c>
      <c r="S64">
        <v>0.0357</v>
      </c>
    </row>
    <row r="65" spans="1:19">
      <c r="A65" t="s">
        <v>19</v>
      </c>
      <c r="B65" t="s">
        <v>35</v>
      </c>
      <c r="C65" t="s">
        <v>1661</v>
      </c>
      <c r="D65" t="s">
        <v>241</v>
      </c>
      <c r="G65">
        <f t="shared" si="0"/>
        <v>1276845194.6</v>
      </c>
      <c r="H65">
        <f t="shared" ref="H65:S65" si="24">H66+H68+H71</f>
        <v>92697086.049</v>
      </c>
      <c r="I65">
        <f t="shared" si="24"/>
        <v>90797171.049182</v>
      </c>
      <c r="J65">
        <f t="shared" si="24"/>
        <v>102403272.049364</v>
      </c>
      <c r="K65">
        <f t="shared" si="24"/>
        <v>104281537.049546</v>
      </c>
      <c r="L65">
        <f t="shared" si="24"/>
        <v>106837730.049728</v>
      </c>
      <c r="M65">
        <f t="shared" si="24"/>
        <v>109994092.04991</v>
      </c>
      <c r="N65">
        <f t="shared" si="24"/>
        <v>112472510.05009</v>
      </c>
      <c r="O65">
        <f t="shared" si="24"/>
        <v>110516486.050272</v>
      </c>
      <c r="P65">
        <f t="shared" si="24"/>
        <v>107960293.050454</v>
      </c>
      <c r="Q65">
        <f t="shared" si="24"/>
        <v>112083683.050636</v>
      </c>
      <c r="R65">
        <f t="shared" si="24"/>
        <v>110805586.050818</v>
      </c>
      <c r="S65">
        <f t="shared" si="24"/>
        <v>115995748.051</v>
      </c>
    </row>
    <row r="66" spans="1:19">
      <c r="A66" t="s">
        <v>23</v>
      </c>
      <c r="B66" t="s">
        <v>35</v>
      </c>
      <c r="C66" t="s">
        <v>1662</v>
      </c>
      <c r="D66" t="s">
        <v>243</v>
      </c>
      <c r="G66">
        <f t="shared" ref="G66:G129" si="25">H66+I66+J66+K66+L66+M66+N66+O66+P66+Q66+R66+S66</f>
        <v>0.3</v>
      </c>
      <c r="H66">
        <f t="shared" ref="H66:S66" si="26">H67</f>
        <v>0.0245</v>
      </c>
      <c r="I66">
        <f t="shared" si="26"/>
        <v>0.024591</v>
      </c>
      <c r="J66">
        <f t="shared" si="26"/>
        <v>0.024682</v>
      </c>
      <c r="K66">
        <f t="shared" si="26"/>
        <v>0.024773</v>
      </c>
      <c r="L66">
        <f t="shared" si="26"/>
        <v>0.024864</v>
      </c>
      <c r="M66">
        <f t="shared" si="26"/>
        <v>0.024955</v>
      </c>
      <c r="N66">
        <f t="shared" si="26"/>
        <v>0.025045</v>
      </c>
      <c r="O66">
        <f t="shared" si="26"/>
        <v>0.025136</v>
      </c>
      <c r="P66">
        <f t="shared" si="26"/>
        <v>0.025227</v>
      </c>
      <c r="Q66">
        <f t="shared" si="26"/>
        <v>0.025318</v>
      </c>
      <c r="R66">
        <f t="shared" si="26"/>
        <v>0.025409</v>
      </c>
      <c r="S66">
        <f t="shared" si="26"/>
        <v>0.0255</v>
      </c>
    </row>
    <row r="67" spans="1:19">
      <c r="A67" t="s">
        <v>26</v>
      </c>
      <c r="B67" t="s">
        <v>179</v>
      </c>
      <c r="C67" t="s">
        <v>1663</v>
      </c>
      <c r="D67" t="s">
        <v>1491</v>
      </c>
      <c r="G67">
        <f t="shared" si="25"/>
        <v>0.3</v>
      </c>
      <c r="H67">
        <v>0.0245</v>
      </c>
      <c r="I67">
        <v>0.024591</v>
      </c>
      <c r="J67">
        <v>0.024682</v>
      </c>
      <c r="K67">
        <v>0.024773</v>
      </c>
      <c r="L67">
        <v>0.024864</v>
      </c>
      <c r="M67">
        <v>0.024955</v>
      </c>
      <c r="N67">
        <v>0.025045</v>
      </c>
      <c r="O67">
        <v>0.025136</v>
      </c>
      <c r="P67">
        <v>0.025227</v>
      </c>
      <c r="Q67">
        <v>0.025318</v>
      </c>
      <c r="R67">
        <v>0.025409</v>
      </c>
      <c r="S67">
        <v>0.0255</v>
      </c>
    </row>
    <row r="68" spans="1:19">
      <c r="A68" t="s">
        <v>23</v>
      </c>
      <c r="B68" t="s">
        <v>35</v>
      </c>
      <c r="C68" t="s">
        <v>1664</v>
      </c>
      <c r="D68" t="s">
        <v>265</v>
      </c>
      <c r="G68">
        <f t="shared" si="25"/>
        <v>0.3</v>
      </c>
      <c r="H68">
        <f t="shared" ref="H68:S68" si="27">H69</f>
        <v>0.0245</v>
      </c>
      <c r="I68">
        <f t="shared" si="27"/>
        <v>0.024591</v>
      </c>
      <c r="J68">
        <f t="shared" si="27"/>
        <v>0.024682</v>
      </c>
      <c r="K68">
        <f t="shared" si="27"/>
        <v>0.024773</v>
      </c>
      <c r="L68">
        <f t="shared" si="27"/>
        <v>0.024864</v>
      </c>
      <c r="M68">
        <f t="shared" si="27"/>
        <v>0.024955</v>
      </c>
      <c r="N68">
        <f t="shared" si="27"/>
        <v>0.025045</v>
      </c>
      <c r="O68">
        <f t="shared" si="27"/>
        <v>0.025136</v>
      </c>
      <c r="P68">
        <f t="shared" si="27"/>
        <v>0.025227</v>
      </c>
      <c r="Q68">
        <f t="shared" si="27"/>
        <v>0.025318</v>
      </c>
      <c r="R68">
        <f t="shared" si="27"/>
        <v>0.025409</v>
      </c>
      <c r="S68">
        <f t="shared" si="27"/>
        <v>0.0255</v>
      </c>
    </row>
    <row r="69" spans="1:19">
      <c r="A69" t="s">
        <v>26</v>
      </c>
      <c r="B69" t="s">
        <v>35</v>
      </c>
      <c r="C69" t="s">
        <v>1665</v>
      </c>
      <c r="D69" t="s">
        <v>267</v>
      </c>
      <c r="G69">
        <f t="shared" si="25"/>
        <v>0.3</v>
      </c>
      <c r="H69">
        <f t="shared" ref="H69:S69" si="28">H70</f>
        <v>0.0245</v>
      </c>
      <c r="I69">
        <f t="shared" si="28"/>
        <v>0.024591</v>
      </c>
      <c r="J69">
        <f t="shared" si="28"/>
        <v>0.024682</v>
      </c>
      <c r="K69">
        <f t="shared" si="28"/>
        <v>0.024773</v>
      </c>
      <c r="L69">
        <f t="shared" si="28"/>
        <v>0.024864</v>
      </c>
      <c r="M69">
        <f t="shared" si="28"/>
        <v>0.024955</v>
      </c>
      <c r="N69">
        <f t="shared" si="28"/>
        <v>0.025045</v>
      </c>
      <c r="O69">
        <f t="shared" si="28"/>
        <v>0.025136</v>
      </c>
      <c r="P69">
        <f t="shared" si="28"/>
        <v>0.025227</v>
      </c>
      <c r="Q69">
        <f t="shared" si="28"/>
        <v>0.025318</v>
      </c>
      <c r="R69">
        <f t="shared" si="28"/>
        <v>0.025409</v>
      </c>
      <c r="S69">
        <f t="shared" si="28"/>
        <v>0.0255</v>
      </c>
    </row>
    <row r="70" spans="1:19">
      <c r="A70" t="s">
        <v>60</v>
      </c>
      <c r="B70" t="s">
        <v>179</v>
      </c>
      <c r="C70" t="s">
        <v>1666</v>
      </c>
      <c r="D70" t="s">
        <v>269</v>
      </c>
      <c r="G70">
        <f t="shared" si="25"/>
        <v>0.3</v>
      </c>
      <c r="H70">
        <v>0.0245</v>
      </c>
      <c r="I70">
        <v>0.024591</v>
      </c>
      <c r="J70">
        <v>0.024682</v>
      </c>
      <c r="K70">
        <v>0.024773</v>
      </c>
      <c r="L70">
        <v>0.024864</v>
      </c>
      <c r="M70">
        <v>0.024955</v>
      </c>
      <c r="N70">
        <v>0.025045</v>
      </c>
      <c r="O70">
        <v>0.025136</v>
      </c>
      <c r="P70">
        <v>0.025227</v>
      </c>
      <c r="Q70">
        <v>0.025318</v>
      </c>
      <c r="R70">
        <v>0.025409</v>
      </c>
      <c r="S70">
        <v>0.0255</v>
      </c>
    </row>
    <row r="71" spans="1:19">
      <c r="A71" t="s">
        <v>23</v>
      </c>
      <c r="B71" t="s">
        <v>35</v>
      </c>
      <c r="C71" t="s">
        <v>1667</v>
      </c>
      <c r="D71" t="s">
        <v>281</v>
      </c>
      <c r="G71">
        <f t="shared" si="25"/>
        <v>1276845194</v>
      </c>
      <c r="H71">
        <f t="shared" ref="H71:S71" si="29">H72</f>
        <v>92697086</v>
      </c>
      <c r="I71">
        <f t="shared" si="29"/>
        <v>90797171</v>
      </c>
      <c r="J71">
        <f t="shared" si="29"/>
        <v>102403272</v>
      </c>
      <c r="K71">
        <f t="shared" si="29"/>
        <v>104281537</v>
      </c>
      <c r="L71">
        <f t="shared" si="29"/>
        <v>106837730</v>
      </c>
      <c r="M71">
        <f t="shared" si="29"/>
        <v>109994092</v>
      </c>
      <c r="N71">
        <f t="shared" si="29"/>
        <v>112472510</v>
      </c>
      <c r="O71">
        <f t="shared" si="29"/>
        <v>110516486</v>
      </c>
      <c r="P71">
        <f t="shared" si="29"/>
        <v>107960293</v>
      </c>
      <c r="Q71">
        <f t="shared" si="29"/>
        <v>112083683</v>
      </c>
      <c r="R71">
        <f t="shared" si="29"/>
        <v>110805586</v>
      </c>
      <c r="S71">
        <f t="shared" si="29"/>
        <v>115995748</v>
      </c>
    </row>
    <row r="72" spans="1:19">
      <c r="A72" t="s">
        <v>26</v>
      </c>
      <c r="B72" t="s">
        <v>35</v>
      </c>
      <c r="C72" t="s">
        <v>1668</v>
      </c>
      <c r="D72" t="s">
        <v>1041</v>
      </c>
      <c r="G72">
        <f t="shared" si="25"/>
        <v>1276845194</v>
      </c>
      <c r="H72">
        <v>92697086</v>
      </c>
      <c r="I72">
        <v>90797171</v>
      </c>
      <c r="J72">
        <v>102403272</v>
      </c>
      <c r="K72">
        <v>104281537</v>
      </c>
      <c r="L72">
        <v>106837730</v>
      </c>
      <c r="M72">
        <v>109994092</v>
      </c>
      <c r="N72">
        <v>112472510</v>
      </c>
      <c r="O72">
        <v>110516486</v>
      </c>
      <c r="P72">
        <v>107960293</v>
      </c>
      <c r="Q72">
        <v>112083683</v>
      </c>
      <c r="R72">
        <v>110805586</v>
      </c>
      <c r="S72">
        <v>115995748</v>
      </c>
    </row>
    <row r="73" spans="1:19">
      <c r="A73" t="s">
        <v>19</v>
      </c>
      <c r="B73" t="s">
        <v>35</v>
      </c>
      <c r="C73" t="s">
        <v>1669</v>
      </c>
      <c r="D73" t="s">
        <v>285</v>
      </c>
      <c r="G73">
        <f t="shared" si="25"/>
        <v>0.864</v>
      </c>
      <c r="H73">
        <f t="shared" ref="H73:S73" si="30">H74+H80</f>
        <v>0.07056</v>
      </c>
      <c r="I73">
        <f t="shared" si="30"/>
        <v>0.07082</v>
      </c>
      <c r="J73">
        <f t="shared" si="30"/>
        <v>0.071084</v>
      </c>
      <c r="K73">
        <f t="shared" si="30"/>
        <v>0.071344</v>
      </c>
      <c r="L73">
        <f t="shared" si="30"/>
        <v>0.071608</v>
      </c>
      <c r="M73">
        <f t="shared" si="30"/>
        <v>0.071868</v>
      </c>
      <c r="N73">
        <f t="shared" si="30"/>
        <v>0.072132</v>
      </c>
      <c r="O73">
        <f t="shared" si="30"/>
        <v>0.072392</v>
      </c>
      <c r="P73">
        <f t="shared" si="30"/>
        <v>0.072656</v>
      </c>
      <c r="Q73">
        <f t="shared" si="30"/>
        <v>0.072916</v>
      </c>
      <c r="R73">
        <f t="shared" si="30"/>
        <v>0.07318</v>
      </c>
      <c r="S73">
        <f t="shared" si="30"/>
        <v>0.07344</v>
      </c>
    </row>
    <row r="74" spans="1:19">
      <c r="A74" t="s">
        <v>23</v>
      </c>
      <c r="B74" t="s">
        <v>35</v>
      </c>
      <c r="C74" t="s">
        <v>1670</v>
      </c>
      <c r="D74" t="s">
        <v>287</v>
      </c>
      <c r="G74">
        <f t="shared" si="25"/>
        <v>0.648</v>
      </c>
      <c r="H74">
        <f t="shared" ref="H74:S74" si="31">H75+H76+H78</f>
        <v>0.05292</v>
      </c>
      <c r="I74">
        <f t="shared" si="31"/>
        <v>0.053115</v>
      </c>
      <c r="J74">
        <f t="shared" si="31"/>
        <v>0.053313</v>
      </c>
      <c r="K74">
        <f t="shared" si="31"/>
        <v>0.053508</v>
      </c>
      <c r="L74">
        <f t="shared" si="31"/>
        <v>0.053706</v>
      </c>
      <c r="M74">
        <f t="shared" si="31"/>
        <v>0.053901</v>
      </c>
      <c r="N74">
        <f t="shared" si="31"/>
        <v>0.054099</v>
      </c>
      <c r="O74">
        <f t="shared" si="31"/>
        <v>0.054294</v>
      </c>
      <c r="P74">
        <f t="shared" si="31"/>
        <v>0.054492</v>
      </c>
      <c r="Q74">
        <f t="shared" si="31"/>
        <v>0.054687</v>
      </c>
      <c r="R74">
        <f t="shared" si="31"/>
        <v>0.054885</v>
      </c>
      <c r="S74">
        <f t="shared" si="31"/>
        <v>0.05508</v>
      </c>
    </row>
    <row r="75" spans="1:19">
      <c r="A75" t="s">
        <v>26</v>
      </c>
      <c r="B75" t="s">
        <v>179</v>
      </c>
      <c r="C75" t="s">
        <v>1671</v>
      </c>
      <c r="D75" t="s">
        <v>289</v>
      </c>
      <c r="G75">
        <f t="shared" si="25"/>
        <v>0.216</v>
      </c>
      <c r="H75">
        <v>0.01764</v>
      </c>
      <c r="I75">
        <v>0.017705</v>
      </c>
      <c r="J75">
        <v>0.017771</v>
      </c>
      <c r="K75">
        <v>0.017836</v>
      </c>
      <c r="L75">
        <v>0.017902</v>
      </c>
      <c r="M75">
        <v>0.017967</v>
      </c>
      <c r="N75">
        <v>0.018033</v>
      </c>
      <c r="O75">
        <v>0.018098</v>
      </c>
      <c r="P75">
        <v>0.018164</v>
      </c>
      <c r="Q75">
        <v>0.018229</v>
      </c>
      <c r="R75">
        <v>0.018295</v>
      </c>
      <c r="S75">
        <v>0.01836</v>
      </c>
    </row>
    <row r="76" spans="1:19">
      <c r="A76" t="s">
        <v>26</v>
      </c>
      <c r="B76" t="s">
        <v>35</v>
      </c>
      <c r="C76" t="s">
        <v>1672</v>
      </c>
      <c r="D76" t="s">
        <v>1673</v>
      </c>
      <c r="G76">
        <f t="shared" si="25"/>
        <v>0.216</v>
      </c>
      <c r="H76">
        <f t="shared" ref="H76:S76" si="32">H77</f>
        <v>0.01764</v>
      </c>
      <c r="I76">
        <f t="shared" si="32"/>
        <v>0.017705</v>
      </c>
      <c r="J76">
        <f t="shared" si="32"/>
        <v>0.017771</v>
      </c>
      <c r="K76">
        <f t="shared" si="32"/>
        <v>0.017836</v>
      </c>
      <c r="L76">
        <f t="shared" si="32"/>
        <v>0.017902</v>
      </c>
      <c r="M76">
        <f t="shared" si="32"/>
        <v>0.017967</v>
      </c>
      <c r="N76">
        <f t="shared" si="32"/>
        <v>0.018033</v>
      </c>
      <c r="O76">
        <f t="shared" si="32"/>
        <v>0.018098</v>
      </c>
      <c r="P76">
        <f t="shared" si="32"/>
        <v>0.018164</v>
      </c>
      <c r="Q76">
        <f t="shared" si="32"/>
        <v>0.018229</v>
      </c>
      <c r="R76">
        <f t="shared" si="32"/>
        <v>0.018295</v>
      </c>
      <c r="S76">
        <f t="shared" si="32"/>
        <v>0.01836</v>
      </c>
    </row>
    <row r="77" spans="1:19">
      <c r="A77" t="s">
        <v>60</v>
      </c>
      <c r="B77" t="s">
        <v>179</v>
      </c>
      <c r="C77" t="s">
        <v>1674</v>
      </c>
      <c r="D77" t="s">
        <v>1675</v>
      </c>
      <c r="G77">
        <f t="shared" si="25"/>
        <v>0.216</v>
      </c>
      <c r="H77">
        <v>0.01764</v>
      </c>
      <c r="I77">
        <v>0.017705</v>
      </c>
      <c r="J77">
        <v>0.017771</v>
      </c>
      <c r="K77">
        <v>0.017836</v>
      </c>
      <c r="L77">
        <v>0.017902</v>
      </c>
      <c r="M77">
        <v>0.017967</v>
      </c>
      <c r="N77">
        <v>0.018033</v>
      </c>
      <c r="O77">
        <v>0.018098</v>
      </c>
      <c r="P77">
        <v>0.018164</v>
      </c>
      <c r="Q77">
        <v>0.018229</v>
      </c>
      <c r="R77">
        <v>0.018295</v>
      </c>
      <c r="S77">
        <v>0.01836</v>
      </c>
    </row>
    <row r="78" spans="1:19">
      <c r="A78" t="s">
        <v>26</v>
      </c>
      <c r="B78" t="s">
        <v>35</v>
      </c>
      <c r="C78" t="s">
        <v>1676</v>
      </c>
      <c r="D78" t="s">
        <v>1677</v>
      </c>
      <c r="G78">
        <f t="shared" si="25"/>
        <v>0.216</v>
      </c>
      <c r="H78">
        <f t="shared" ref="H78:S78" si="33">H79</f>
        <v>0.01764</v>
      </c>
      <c r="I78">
        <f t="shared" si="33"/>
        <v>0.017705</v>
      </c>
      <c r="J78">
        <f t="shared" si="33"/>
        <v>0.017771</v>
      </c>
      <c r="K78">
        <f t="shared" si="33"/>
        <v>0.017836</v>
      </c>
      <c r="L78">
        <f t="shared" si="33"/>
        <v>0.017902</v>
      </c>
      <c r="M78">
        <f t="shared" si="33"/>
        <v>0.017967</v>
      </c>
      <c r="N78">
        <f t="shared" si="33"/>
        <v>0.018033</v>
      </c>
      <c r="O78">
        <f t="shared" si="33"/>
        <v>0.018098</v>
      </c>
      <c r="P78">
        <f t="shared" si="33"/>
        <v>0.018164</v>
      </c>
      <c r="Q78">
        <f t="shared" si="33"/>
        <v>0.018229</v>
      </c>
      <c r="R78">
        <f t="shared" si="33"/>
        <v>0.018295</v>
      </c>
      <c r="S78">
        <f t="shared" si="33"/>
        <v>0.01836</v>
      </c>
    </row>
    <row r="79" spans="1:19">
      <c r="A79" t="s">
        <v>60</v>
      </c>
      <c r="B79" t="s">
        <v>179</v>
      </c>
      <c r="C79" t="s">
        <v>1678</v>
      </c>
      <c r="D79" t="s">
        <v>1679</v>
      </c>
      <c r="G79">
        <f t="shared" si="25"/>
        <v>0.216</v>
      </c>
      <c r="H79">
        <v>0.01764</v>
      </c>
      <c r="I79">
        <v>0.017705</v>
      </c>
      <c r="J79">
        <v>0.017771</v>
      </c>
      <c r="K79">
        <v>0.017836</v>
      </c>
      <c r="L79">
        <v>0.017902</v>
      </c>
      <c r="M79">
        <v>0.017967</v>
      </c>
      <c r="N79">
        <v>0.018033</v>
      </c>
      <c r="O79">
        <v>0.018098</v>
      </c>
      <c r="P79">
        <v>0.018164</v>
      </c>
      <c r="Q79">
        <v>0.018229</v>
      </c>
      <c r="R79">
        <v>0.018295</v>
      </c>
      <c r="S79">
        <v>0.01836</v>
      </c>
    </row>
    <row r="80" spans="1:19">
      <c r="A80" t="s">
        <v>23</v>
      </c>
      <c r="B80" t="s">
        <v>35</v>
      </c>
      <c r="C80" t="s">
        <v>1680</v>
      </c>
      <c r="D80" t="s">
        <v>299</v>
      </c>
      <c r="G80">
        <f t="shared" si="25"/>
        <v>0.216</v>
      </c>
      <c r="H80">
        <f t="shared" ref="H80:S80" si="34">H81</f>
        <v>0.01764</v>
      </c>
      <c r="I80">
        <f t="shared" si="34"/>
        <v>0.017705</v>
      </c>
      <c r="J80">
        <f t="shared" si="34"/>
        <v>0.017771</v>
      </c>
      <c r="K80">
        <f t="shared" si="34"/>
        <v>0.017836</v>
      </c>
      <c r="L80">
        <f t="shared" si="34"/>
        <v>0.017902</v>
      </c>
      <c r="M80">
        <f t="shared" si="34"/>
        <v>0.017967</v>
      </c>
      <c r="N80">
        <f t="shared" si="34"/>
        <v>0.018033</v>
      </c>
      <c r="O80">
        <f t="shared" si="34"/>
        <v>0.018098</v>
      </c>
      <c r="P80">
        <f t="shared" si="34"/>
        <v>0.018164</v>
      </c>
      <c r="Q80">
        <f t="shared" si="34"/>
        <v>0.018229</v>
      </c>
      <c r="R80">
        <f t="shared" si="34"/>
        <v>0.018295</v>
      </c>
      <c r="S80">
        <f t="shared" si="34"/>
        <v>0.01836</v>
      </c>
    </row>
    <row r="81" spans="1:19">
      <c r="A81" t="s">
        <v>26</v>
      </c>
      <c r="B81" t="s">
        <v>35</v>
      </c>
      <c r="C81" t="s">
        <v>1681</v>
      </c>
      <c r="D81" t="s">
        <v>301</v>
      </c>
      <c r="G81">
        <f t="shared" si="25"/>
        <v>0.216</v>
      </c>
      <c r="H81">
        <f t="shared" ref="H81:S81" si="35">H82</f>
        <v>0.01764</v>
      </c>
      <c r="I81">
        <f t="shared" si="35"/>
        <v>0.017705</v>
      </c>
      <c r="J81">
        <f t="shared" si="35"/>
        <v>0.017771</v>
      </c>
      <c r="K81">
        <f t="shared" si="35"/>
        <v>0.017836</v>
      </c>
      <c r="L81">
        <f t="shared" si="35"/>
        <v>0.017902</v>
      </c>
      <c r="M81">
        <f t="shared" si="35"/>
        <v>0.017967</v>
      </c>
      <c r="N81">
        <f t="shared" si="35"/>
        <v>0.018033</v>
      </c>
      <c r="O81">
        <f t="shared" si="35"/>
        <v>0.018098</v>
      </c>
      <c r="P81">
        <f t="shared" si="35"/>
        <v>0.018164</v>
      </c>
      <c r="Q81">
        <f t="shared" si="35"/>
        <v>0.018229</v>
      </c>
      <c r="R81">
        <f t="shared" si="35"/>
        <v>0.018295</v>
      </c>
      <c r="S81">
        <f t="shared" si="35"/>
        <v>0.01836</v>
      </c>
    </row>
    <row r="82" spans="1:19">
      <c r="A82" t="s">
        <v>60</v>
      </c>
      <c r="B82" t="s">
        <v>179</v>
      </c>
      <c r="C82" t="s">
        <v>1682</v>
      </c>
      <c r="D82" t="s">
        <v>303</v>
      </c>
      <c r="G82">
        <f t="shared" si="25"/>
        <v>0.216</v>
      </c>
      <c r="H82">
        <v>0.01764</v>
      </c>
      <c r="I82">
        <v>0.017705</v>
      </c>
      <c r="J82">
        <v>0.017771</v>
      </c>
      <c r="K82">
        <v>0.017836</v>
      </c>
      <c r="L82">
        <v>0.017902</v>
      </c>
      <c r="M82">
        <v>0.017967</v>
      </c>
      <c r="N82">
        <v>0.018033</v>
      </c>
      <c r="O82">
        <v>0.018098</v>
      </c>
      <c r="P82">
        <v>0.018164</v>
      </c>
      <c r="Q82">
        <v>0.018229</v>
      </c>
      <c r="R82">
        <v>0.018295</v>
      </c>
      <c r="S82">
        <v>0.01836</v>
      </c>
    </row>
    <row r="83" spans="1:19">
      <c r="A83" t="s">
        <v>19</v>
      </c>
      <c r="B83" t="s">
        <v>20</v>
      </c>
      <c r="C83" t="s">
        <v>1683</v>
      </c>
      <c r="D83" t="s">
        <v>309</v>
      </c>
      <c r="G83">
        <f t="shared" si="25"/>
        <v>1.5</v>
      </c>
      <c r="H83">
        <f t="shared" ref="H83:S83" si="36">H84+H90+H93</f>
        <v>0.1225</v>
      </c>
      <c r="I83">
        <f t="shared" si="36"/>
        <v>0.122955</v>
      </c>
      <c r="J83">
        <f t="shared" si="36"/>
        <v>0.12341</v>
      </c>
      <c r="K83">
        <f t="shared" si="36"/>
        <v>0.123865</v>
      </c>
      <c r="L83">
        <f t="shared" si="36"/>
        <v>0.12432</v>
      </c>
      <c r="M83">
        <f t="shared" si="36"/>
        <v>0.124775</v>
      </c>
      <c r="N83">
        <f t="shared" si="36"/>
        <v>0.125225</v>
      </c>
      <c r="O83">
        <f t="shared" si="36"/>
        <v>0.12568</v>
      </c>
      <c r="P83">
        <f t="shared" si="36"/>
        <v>0.126135</v>
      </c>
      <c r="Q83">
        <f t="shared" si="36"/>
        <v>0.12659</v>
      </c>
      <c r="R83">
        <f t="shared" si="36"/>
        <v>0.127045</v>
      </c>
      <c r="S83">
        <f t="shared" si="36"/>
        <v>0.1275</v>
      </c>
    </row>
    <row r="84" spans="1:19">
      <c r="A84" t="s">
        <v>23</v>
      </c>
      <c r="B84" t="s">
        <v>20</v>
      </c>
      <c r="C84" t="s">
        <v>1684</v>
      </c>
      <c r="D84" t="s">
        <v>311</v>
      </c>
      <c r="G84">
        <f t="shared" si="25"/>
        <v>0.9</v>
      </c>
      <c r="H84">
        <f t="shared" ref="H84:S84" si="37">H85+H86+H88</f>
        <v>0.0735</v>
      </c>
      <c r="I84">
        <f t="shared" si="37"/>
        <v>0.073773</v>
      </c>
      <c r="J84">
        <f t="shared" si="37"/>
        <v>0.074046</v>
      </c>
      <c r="K84">
        <f t="shared" si="37"/>
        <v>0.074319</v>
      </c>
      <c r="L84">
        <f t="shared" si="37"/>
        <v>0.074592</v>
      </c>
      <c r="M84">
        <f t="shared" si="37"/>
        <v>0.074865</v>
      </c>
      <c r="N84">
        <f t="shared" si="37"/>
        <v>0.075135</v>
      </c>
      <c r="O84">
        <f t="shared" si="37"/>
        <v>0.075408</v>
      </c>
      <c r="P84">
        <f t="shared" si="37"/>
        <v>0.075681</v>
      </c>
      <c r="Q84">
        <f t="shared" si="37"/>
        <v>0.075954</v>
      </c>
      <c r="R84">
        <f t="shared" si="37"/>
        <v>0.076227</v>
      </c>
      <c r="S84">
        <f t="shared" si="37"/>
        <v>0.0765</v>
      </c>
    </row>
    <row r="85" spans="1:19">
      <c r="A85" t="s">
        <v>26</v>
      </c>
      <c r="B85" t="s">
        <v>179</v>
      </c>
      <c r="C85" t="s">
        <v>1685</v>
      </c>
      <c r="D85" t="s">
        <v>313</v>
      </c>
      <c r="G85">
        <f t="shared" si="25"/>
        <v>0.3</v>
      </c>
      <c r="H85">
        <v>0.0245</v>
      </c>
      <c r="I85">
        <v>0.024591</v>
      </c>
      <c r="J85">
        <v>0.024682</v>
      </c>
      <c r="K85">
        <v>0.024773</v>
      </c>
      <c r="L85">
        <v>0.024864</v>
      </c>
      <c r="M85">
        <v>0.024955</v>
      </c>
      <c r="N85">
        <v>0.025045</v>
      </c>
      <c r="O85">
        <v>0.025136</v>
      </c>
      <c r="P85">
        <v>0.025227</v>
      </c>
      <c r="Q85">
        <v>0.025318</v>
      </c>
      <c r="R85">
        <v>0.025409</v>
      </c>
      <c r="S85">
        <v>0.0255</v>
      </c>
    </row>
    <row r="86" spans="1:19">
      <c r="A86" t="s">
        <v>26</v>
      </c>
      <c r="B86" t="s">
        <v>20</v>
      </c>
      <c r="C86" t="s">
        <v>1686</v>
      </c>
      <c r="D86" t="s">
        <v>1687</v>
      </c>
      <c r="G86">
        <f t="shared" si="25"/>
        <v>0.3</v>
      </c>
      <c r="H86">
        <f t="shared" ref="H86:S86" si="38">H87</f>
        <v>0.0245</v>
      </c>
      <c r="I86">
        <f t="shared" si="38"/>
        <v>0.024591</v>
      </c>
      <c r="J86">
        <f t="shared" si="38"/>
        <v>0.024682</v>
      </c>
      <c r="K86">
        <f t="shared" si="38"/>
        <v>0.024773</v>
      </c>
      <c r="L86">
        <f t="shared" si="38"/>
        <v>0.024864</v>
      </c>
      <c r="M86">
        <f t="shared" si="38"/>
        <v>0.024955</v>
      </c>
      <c r="N86">
        <f t="shared" si="38"/>
        <v>0.025045</v>
      </c>
      <c r="O86">
        <f t="shared" si="38"/>
        <v>0.025136</v>
      </c>
      <c r="P86">
        <f t="shared" si="38"/>
        <v>0.025227</v>
      </c>
      <c r="Q86">
        <f t="shared" si="38"/>
        <v>0.025318</v>
      </c>
      <c r="R86">
        <f t="shared" si="38"/>
        <v>0.025409</v>
      </c>
      <c r="S86">
        <f t="shared" si="38"/>
        <v>0.0255</v>
      </c>
    </row>
    <row r="87" spans="1:19">
      <c r="A87" t="s">
        <v>60</v>
      </c>
      <c r="B87" t="s">
        <v>179</v>
      </c>
      <c r="C87" t="s">
        <v>1688</v>
      </c>
      <c r="D87" t="s">
        <v>1689</v>
      </c>
      <c r="G87">
        <f t="shared" si="25"/>
        <v>0.3</v>
      </c>
      <c r="H87">
        <v>0.0245</v>
      </c>
      <c r="I87">
        <v>0.024591</v>
      </c>
      <c r="J87">
        <v>0.024682</v>
      </c>
      <c r="K87">
        <v>0.024773</v>
      </c>
      <c r="L87">
        <v>0.024864</v>
      </c>
      <c r="M87">
        <v>0.024955</v>
      </c>
      <c r="N87">
        <v>0.025045</v>
      </c>
      <c r="O87">
        <v>0.025136</v>
      </c>
      <c r="P87">
        <v>0.025227</v>
      </c>
      <c r="Q87">
        <v>0.025318</v>
      </c>
      <c r="R87">
        <v>0.025409</v>
      </c>
      <c r="S87">
        <v>0.0255</v>
      </c>
    </row>
    <row r="88" spans="1:19">
      <c r="A88" t="s">
        <v>26</v>
      </c>
      <c r="B88" t="s">
        <v>20</v>
      </c>
      <c r="C88" t="s">
        <v>1690</v>
      </c>
      <c r="D88" t="s">
        <v>1691</v>
      </c>
      <c r="G88">
        <f t="shared" si="25"/>
        <v>0.3</v>
      </c>
      <c r="H88">
        <f t="shared" ref="H88:S88" si="39">H89</f>
        <v>0.0245</v>
      </c>
      <c r="I88">
        <f t="shared" si="39"/>
        <v>0.024591</v>
      </c>
      <c r="J88">
        <f t="shared" si="39"/>
        <v>0.024682</v>
      </c>
      <c r="K88">
        <f t="shared" si="39"/>
        <v>0.024773</v>
      </c>
      <c r="L88">
        <f t="shared" si="39"/>
        <v>0.024864</v>
      </c>
      <c r="M88">
        <f t="shared" si="39"/>
        <v>0.024955</v>
      </c>
      <c r="N88">
        <f t="shared" si="39"/>
        <v>0.025045</v>
      </c>
      <c r="O88">
        <f t="shared" si="39"/>
        <v>0.025136</v>
      </c>
      <c r="P88">
        <f t="shared" si="39"/>
        <v>0.025227</v>
      </c>
      <c r="Q88">
        <f t="shared" si="39"/>
        <v>0.025318</v>
      </c>
      <c r="R88">
        <f t="shared" si="39"/>
        <v>0.025409</v>
      </c>
      <c r="S88">
        <f t="shared" si="39"/>
        <v>0.0255</v>
      </c>
    </row>
    <row r="89" spans="1:19">
      <c r="A89" t="s">
        <v>60</v>
      </c>
      <c r="B89" t="s">
        <v>179</v>
      </c>
      <c r="C89" t="s">
        <v>1692</v>
      </c>
      <c r="D89" t="s">
        <v>1693</v>
      </c>
      <c r="G89">
        <f t="shared" si="25"/>
        <v>0.3</v>
      </c>
      <c r="H89">
        <v>0.0245</v>
      </c>
      <c r="I89">
        <v>0.024591</v>
      </c>
      <c r="J89">
        <v>0.024682</v>
      </c>
      <c r="K89">
        <v>0.024773</v>
      </c>
      <c r="L89">
        <v>0.024864</v>
      </c>
      <c r="M89">
        <v>0.024955</v>
      </c>
      <c r="N89">
        <v>0.025045</v>
      </c>
      <c r="O89">
        <v>0.025136</v>
      </c>
      <c r="P89">
        <v>0.025227</v>
      </c>
      <c r="Q89">
        <v>0.025318</v>
      </c>
      <c r="R89">
        <v>0.025409</v>
      </c>
      <c r="S89">
        <v>0.0255</v>
      </c>
    </row>
    <row r="90" spans="1:19">
      <c r="A90" t="s">
        <v>23</v>
      </c>
      <c r="B90" t="s">
        <v>20</v>
      </c>
      <c r="C90" t="s">
        <v>1694</v>
      </c>
      <c r="D90" t="s">
        <v>323</v>
      </c>
      <c r="G90">
        <f t="shared" si="25"/>
        <v>0.3</v>
      </c>
      <c r="H90">
        <f t="shared" ref="H90:S90" si="40">H91</f>
        <v>0.0245</v>
      </c>
      <c r="I90">
        <f t="shared" si="40"/>
        <v>0.024591</v>
      </c>
      <c r="J90">
        <f t="shared" si="40"/>
        <v>0.024682</v>
      </c>
      <c r="K90">
        <f t="shared" si="40"/>
        <v>0.024773</v>
      </c>
      <c r="L90">
        <f t="shared" si="40"/>
        <v>0.024864</v>
      </c>
      <c r="M90">
        <f t="shared" si="40"/>
        <v>0.024955</v>
      </c>
      <c r="N90">
        <f t="shared" si="40"/>
        <v>0.025045</v>
      </c>
      <c r="O90">
        <f t="shared" si="40"/>
        <v>0.025136</v>
      </c>
      <c r="P90">
        <f t="shared" si="40"/>
        <v>0.025227</v>
      </c>
      <c r="Q90">
        <f t="shared" si="40"/>
        <v>0.025318</v>
      </c>
      <c r="R90">
        <f t="shared" si="40"/>
        <v>0.025409</v>
      </c>
      <c r="S90">
        <f t="shared" si="40"/>
        <v>0.0255</v>
      </c>
    </row>
    <row r="91" spans="1:19">
      <c r="A91" t="s">
        <v>26</v>
      </c>
      <c r="B91" t="s">
        <v>20</v>
      </c>
      <c r="C91" t="s">
        <v>1695</v>
      </c>
      <c r="D91" t="s">
        <v>325</v>
      </c>
      <c r="G91">
        <f t="shared" si="25"/>
        <v>0.3</v>
      </c>
      <c r="H91">
        <f t="shared" ref="H91:S91" si="41">H92</f>
        <v>0.0245</v>
      </c>
      <c r="I91">
        <f t="shared" si="41"/>
        <v>0.024591</v>
      </c>
      <c r="J91">
        <f t="shared" si="41"/>
        <v>0.024682</v>
      </c>
      <c r="K91">
        <f t="shared" si="41"/>
        <v>0.024773</v>
      </c>
      <c r="L91">
        <f t="shared" si="41"/>
        <v>0.024864</v>
      </c>
      <c r="M91">
        <f t="shared" si="41"/>
        <v>0.024955</v>
      </c>
      <c r="N91">
        <f t="shared" si="41"/>
        <v>0.025045</v>
      </c>
      <c r="O91">
        <f t="shared" si="41"/>
        <v>0.025136</v>
      </c>
      <c r="P91">
        <f t="shared" si="41"/>
        <v>0.025227</v>
      </c>
      <c r="Q91">
        <f t="shared" si="41"/>
        <v>0.025318</v>
      </c>
      <c r="R91">
        <f t="shared" si="41"/>
        <v>0.025409</v>
      </c>
      <c r="S91">
        <f t="shared" si="41"/>
        <v>0.0255</v>
      </c>
    </row>
    <row r="92" spans="1:19">
      <c r="A92" t="s">
        <v>60</v>
      </c>
      <c r="B92" t="s">
        <v>179</v>
      </c>
      <c r="C92" t="s">
        <v>1696</v>
      </c>
      <c r="D92" t="s">
        <v>327</v>
      </c>
      <c r="G92">
        <f t="shared" si="25"/>
        <v>0.3</v>
      </c>
      <c r="H92">
        <v>0.0245</v>
      </c>
      <c r="I92">
        <v>0.024591</v>
      </c>
      <c r="J92">
        <v>0.024682</v>
      </c>
      <c r="K92">
        <v>0.024773</v>
      </c>
      <c r="L92">
        <v>0.024864</v>
      </c>
      <c r="M92">
        <v>0.024955</v>
      </c>
      <c r="N92">
        <v>0.025045</v>
      </c>
      <c r="O92">
        <v>0.025136</v>
      </c>
      <c r="P92">
        <v>0.025227</v>
      </c>
      <c r="Q92">
        <v>0.025318</v>
      </c>
      <c r="R92">
        <v>0.025409</v>
      </c>
      <c r="S92">
        <v>0.0255</v>
      </c>
    </row>
    <row r="93" spans="1:19">
      <c r="A93" t="s">
        <v>23</v>
      </c>
      <c r="B93" t="s">
        <v>20</v>
      </c>
      <c r="C93" t="s">
        <v>1697</v>
      </c>
      <c r="D93" t="s">
        <v>333</v>
      </c>
      <c r="G93">
        <f t="shared" si="25"/>
        <v>0.3</v>
      </c>
      <c r="H93">
        <f t="shared" ref="H93:S93" si="42">H94</f>
        <v>0.0245</v>
      </c>
      <c r="I93">
        <f t="shared" si="42"/>
        <v>0.024591</v>
      </c>
      <c r="J93">
        <f t="shared" si="42"/>
        <v>0.024682</v>
      </c>
      <c r="K93">
        <f t="shared" si="42"/>
        <v>0.024773</v>
      </c>
      <c r="L93">
        <f t="shared" si="42"/>
        <v>0.024864</v>
      </c>
      <c r="M93">
        <f t="shared" si="42"/>
        <v>0.024955</v>
      </c>
      <c r="N93">
        <f t="shared" si="42"/>
        <v>0.025045</v>
      </c>
      <c r="O93">
        <f t="shared" si="42"/>
        <v>0.025136</v>
      </c>
      <c r="P93">
        <f t="shared" si="42"/>
        <v>0.025227</v>
      </c>
      <c r="Q93">
        <f t="shared" si="42"/>
        <v>0.025318</v>
      </c>
      <c r="R93">
        <f t="shared" si="42"/>
        <v>0.025409</v>
      </c>
      <c r="S93">
        <f t="shared" si="42"/>
        <v>0.0255</v>
      </c>
    </row>
    <row r="94" spans="1:19">
      <c r="A94" t="s">
        <v>26</v>
      </c>
      <c r="B94" t="s">
        <v>20</v>
      </c>
      <c r="C94" t="s">
        <v>1698</v>
      </c>
      <c r="D94" t="s">
        <v>335</v>
      </c>
      <c r="G94">
        <f t="shared" si="25"/>
        <v>0.3</v>
      </c>
      <c r="H94">
        <v>0.0245</v>
      </c>
      <c r="I94">
        <v>0.024591</v>
      </c>
      <c r="J94">
        <v>0.024682</v>
      </c>
      <c r="K94">
        <v>0.024773</v>
      </c>
      <c r="L94">
        <v>0.024864</v>
      </c>
      <c r="M94">
        <v>0.024955</v>
      </c>
      <c r="N94">
        <v>0.025045</v>
      </c>
      <c r="O94">
        <v>0.025136</v>
      </c>
      <c r="P94">
        <v>0.025227</v>
      </c>
      <c r="Q94">
        <v>0.025318</v>
      </c>
      <c r="R94">
        <v>0.025409</v>
      </c>
      <c r="S94">
        <v>0.0255</v>
      </c>
    </row>
    <row r="95" spans="1:19">
      <c r="A95" t="s">
        <v>19</v>
      </c>
      <c r="B95" t="s">
        <v>20</v>
      </c>
      <c r="C95" t="s">
        <v>1699</v>
      </c>
      <c r="D95" t="s">
        <v>337</v>
      </c>
      <c r="G95">
        <f t="shared" si="25"/>
        <v>393500000.42</v>
      </c>
      <c r="H95">
        <f t="shared" ref="H95:S95" si="43">H96+H98</f>
        <v>0.0343</v>
      </c>
      <c r="I95">
        <f t="shared" si="43"/>
        <v>0.034427</v>
      </c>
      <c r="J95">
        <f t="shared" si="43"/>
        <v>0.034555</v>
      </c>
      <c r="K95">
        <f t="shared" si="43"/>
        <v>40000000.034682</v>
      </c>
      <c r="L95">
        <f t="shared" si="43"/>
        <v>41000000.034809</v>
      </c>
      <c r="M95">
        <f t="shared" si="43"/>
        <v>42500000.034936</v>
      </c>
      <c r="N95">
        <f t="shared" si="43"/>
        <v>44000000.035064</v>
      </c>
      <c r="O95">
        <f t="shared" si="43"/>
        <v>43500000.035191</v>
      </c>
      <c r="P95">
        <f t="shared" si="43"/>
        <v>42500000.035318</v>
      </c>
      <c r="Q95">
        <f t="shared" si="43"/>
        <v>46500000.035445</v>
      </c>
      <c r="R95">
        <f t="shared" si="43"/>
        <v>46000000.035573</v>
      </c>
      <c r="S95">
        <f t="shared" si="43"/>
        <v>47500000.0357</v>
      </c>
    </row>
    <row r="96" spans="1:19">
      <c r="A96" t="s">
        <v>23</v>
      </c>
      <c r="B96" t="s">
        <v>20</v>
      </c>
      <c r="C96" t="s">
        <v>1700</v>
      </c>
      <c r="D96" t="s">
        <v>1701</v>
      </c>
      <c r="G96">
        <f t="shared" si="25"/>
        <v>0.42</v>
      </c>
      <c r="H96">
        <f t="shared" ref="H96:S96" si="44">H97</f>
        <v>0.0343</v>
      </c>
      <c r="I96">
        <f t="shared" si="44"/>
        <v>0.034427</v>
      </c>
      <c r="J96">
        <f t="shared" si="44"/>
        <v>0.034555</v>
      </c>
      <c r="K96">
        <f t="shared" si="44"/>
        <v>0.034682</v>
      </c>
      <c r="L96">
        <f t="shared" si="44"/>
        <v>0.034809</v>
      </c>
      <c r="M96">
        <f t="shared" si="44"/>
        <v>0.034936</v>
      </c>
      <c r="N96">
        <f t="shared" si="44"/>
        <v>0.035064</v>
      </c>
      <c r="O96">
        <f t="shared" si="44"/>
        <v>0.035191</v>
      </c>
      <c r="P96">
        <f t="shared" si="44"/>
        <v>0.035318</v>
      </c>
      <c r="Q96">
        <f t="shared" si="44"/>
        <v>0.035445</v>
      </c>
      <c r="R96">
        <f t="shared" si="44"/>
        <v>0.035573</v>
      </c>
      <c r="S96">
        <f t="shared" si="44"/>
        <v>0.0357</v>
      </c>
    </row>
    <row r="97" spans="1:19">
      <c r="A97" t="s">
        <v>26</v>
      </c>
      <c r="B97" t="s">
        <v>179</v>
      </c>
      <c r="C97" t="s">
        <v>1702</v>
      </c>
      <c r="D97" t="s">
        <v>1074</v>
      </c>
      <c r="G97">
        <f t="shared" si="25"/>
        <v>0.42</v>
      </c>
      <c r="H97">
        <v>0.0343</v>
      </c>
      <c r="I97">
        <v>0.034427</v>
      </c>
      <c r="J97">
        <v>0.034555</v>
      </c>
      <c r="K97">
        <v>0.034682</v>
      </c>
      <c r="L97">
        <v>0.034809</v>
      </c>
      <c r="M97">
        <v>0.034936</v>
      </c>
      <c r="N97">
        <v>0.035064</v>
      </c>
      <c r="O97">
        <v>0.035191</v>
      </c>
      <c r="P97">
        <v>0.035318</v>
      </c>
      <c r="Q97">
        <v>0.035445</v>
      </c>
      <c r="R97">
        <v>0.035573</v>
      </c>
      <c r="S97">
        <v>0.0357</v>
      </c>
    </row>
    <row r="98" spans="1:19">
      <c r="A98" t="s">
        <v>23</v>
      </c>
      <c r="B98" t="s">
        <v>20</v>
      </c>
      <c r="C98" t="s">
        <v>1703</v>
      </c>
      <c r="D98" t="s">
        <v>179</v>
      </c>
      <c r="G98">
        <f t="shared" si="25"/>
        <v>393500000</v>
      </c>
      <c r="K98">
        <v>40000000</v>
      </c>
      <c r="L98">
        <v>41000000</v>
      </c>
      <c r="M98">
        <v>42500000</v>
      </c>
      <c r="N98">
        <v>44000000</v>
      </c>
      <c r="O98">
        <v>43500000</v>
      </c>
      <c r="P98">
        <v>42500000</v>
      </c>
      <c r="Q98">
        <v>46500000</v>
      </c>
      <c r="R98">
        <v>46000000</v>
      </c>
      <c r="S98">
        <v>47500000</v>
      </c>
    </row>
    <row r="99" spans="1:19">
      <c r="A99" t="s">
        <v>19</v>
      </c>
      <c r="B99" t="s">
        <v>35</v>
      </c>
      <c r="C99" t="s">
        <v>1704</v>
      </c>
      <c r="D99" t="s">
        <v>365</v>
      </c>
      <c r="G99">
        <f t="shared" si="25"/>
        <v>62960000.36</v>
      </c>
      <c r="H99">
        <f t="shared" ref="H99:S99" si="45">H100+H102+H104</f>
        <v>0.0294</v>
      </c>
      <c r="I99">
        <f t="shared" si="45"/>
        <v>0.02951</v>
      </c>
      <c r="J99">
        <f t="shared" si="45"/>
        <v>0.029618</v>
      </c>
      <c r="K99">
        <f t="shared" si="45"/>
        <v>6400000.029728</v>
      </c>
      <c r="L99">
        <f t="shared" si="45"/>
        <v>6560000.029836</v>
      </c>
      <c r="M99">
        <f t="shared" si="45"/>
        <v>6800000.029946</v>
      </c>
      <c r="N99">
        <f t="shared" si="45"/>
        <v>7040000.030054</v>
      </c>
      <c r="O99">
        <f t="shared" si="45"/>
        <v>6960000.030164</v>
      </c>
      <c r="P99">
        <f t="shared" si="45"/>
        <v>6800000.030272</v>
      </c>
      <c r="Q99">
        <f t="shared" si="45"/>
        <v>7440000.030382</v>
      </c>
      <c r="R99">
        <f t="shared" si="45"/>
        <v>7360000.03049</v>
      </c>
      <c r="S99">
        <f t="shared" si="45"/>
        <v>7600000.0306</v>
      </c>
    </row>
    <row r="100" spans="1:19">
      <c r="A100" t="s">
        <v>23</v>
      </c>
      <c r="B100" t="s">
        <v>35</v>
      </c>
      <c r="C100" t="s">
        <v>1705</v>
      </c>
      <c r="D100" t="s">
        <v>374</v>
      </c>
      <c r="G100">
        <f t="shared" si="25"/>
        <v>0.18</v>
      </c>
      <c r="H100">
        <f t="shared" ref="H100:S100" si="46">H101</f>
        <v>0.0147</v>
      </c>
      <c r="I100">
        <f t="shared" si="46"/>
        <v>0.014755</v>
      </c>
      <c r="J100">
        <f t="shared" si="46"/>
        <v>0.014809</v>
      </c>
      <c r="K100">
        <f t="shared" si="46"/>
        <v>0.014864</v>
      </c>
      <c r="L100">
        <f t="shared" si="46"/>
        <v>0.014918</v>
      </c>
      <c r="M100">
        <f t="shared" si="46"/>
        <v>0.014973</v>
      </c>
      <c r="N100">
        <f t="shared" si="46"/>
        <v>0.015027</v>
      </c>
      <c r="O100">
        <f t="shared" si="46"/>
        <v>0.015082</v>
      </c>
      <c r="P100">
        <f t="shared" si="46"/>
        <v>0.015136</v>
      </c>
      <c r="Q100">
        <f t="shared" si="46"/>
        <v>0.015191</v>
      </c>
      <c r="R100">
        <f t="shared" si="46"/>
        <v>0.015245</v>
      </c>
      <c r="S100">
        <f t="shared" si="46"/>
        <v>0.0153</v>
      </c>
    </row>
    <row r="101" spans="1:19">
      <c r="A101" t="s">
        <v>26</v>
      </c>
      <c r="B101" t="s">
        <v>179</v>
      </c>
      <c r="C101" t="s">
        <v>1706</v>
      </c>
      <c r="D101" t="s">
        <v>369</v>
      </c>
      <c r="G101">
        <f t="shared" si="25"/>
        <v>0.18</v>
      </c>
      <c r="H101">
        <v>0.0147</v>
      </c>
      <c r="I101">
        <v>0.014755</v>
      </c>
      <c r="J101">
        <v>0.014809</v>
      </c>
      <c r="K101">
        <v>0.014864</v>
      </c>
      <c r="L101">
        <v>0.014918</v>
      </c>
      <c r="M101">
        <v>0.014973</v>
      </c>
      <c r="N101">
        <v>0.015027</v>
      </c>
      <c r="O101">
        <v>0.015082</v>
      </c>
      <c r="P101">
        <v>0.015136</v>
      </c>
      <c r="Q101">
        <v>0.015191</v>
      </c>
      <c r="R101">
        <v>0.015245</v>
      </c>
      <c r="S101">
        <v>0.0153</v>
      </c>
    </row>
    <row r="102" spans="1:19">
      <c r="A102" t="s">
        <v>23</v>
      </c>
      <c r="B102" t="s">
        <v>35</v>
      </c>
      <c r="C102" t="s">
        <v>1707</v>
      </c>
      <c r="D102" t="s">
        <v>1708</v>
      </c>
      <c r="G102">
        <f t="shared" si="25"/>
        <v>0.18</v>
      </c>
      <c r="H102">
        <f t="shared" ref="H102:S102" si="47">H103</f>
        <v>0.0147</v>
      </c>
      <c r="I102">
        <f t="shared" si="47"/>
        <v>0.014755</v>
      </c>
      <c r="J102">
        <f t="shared" si="47"/>
        <v>0.014809</v>
      </c>
      <c r="K102">
        <f t="shared" si="47"/>
        <v>0.014864</v>
      </c>
      <c r="L102">
        <f t="shared" si="47"/>
        <v>0.014918</v>
      </c>
      <c r="M102">
        <f t="shared" si="47"/>
        <v>0.014973</v>
      </c>
      <c r="N102">
        <f t="shared" si="47"/>
        <v>0.015027</v>
      </c>
      <c r="O102">
        <f t="shared" si="47"/>
        <v>0.015082</v>
      </c>
      <c r="P102">
        <f t="shared" si="47"/>
        <v>0.015136</v>
      </c>
      <c r="Q102">
        <f t="shared" si="47"/>
        <v>0.015191</v>
      </c>
      <c r="R102">
        <f t="shared" si="47"/>
        <v>0.015245</v>
      </c>
      <c r="S102">
        <f t="shared" si="47"/>
        <v>0.0153</v>
      </c>
    </row>
    <row r="103" spans="1:19">
      <c r="A103" t="s">
        <v>26</v>
      </c>
      <c r="B103" t="s">
        <v>179</v>
      </c>
      <c r="C103" t="s">
        <v>1709</v>
      </c>
      <c r="D103" t="s">
        <v>369</v>
      </c>
      <c r="G103">
        <f t="shared" si="25"/>
        <v>0.18</v>
      </c>
      <c r="H103">
        <v>0.0147</v>
      </c>
      <c r="I103">
        <v>0.014755</v>
      </c>
      <c r="J103">
        <v>0.014809</v>
      </c>
      <c r="K103">
        <v>0.014864</v>
      </c>
      <c r="L103">
        <v>0.014918</v>
      </c>
      <c r="M103">
        <v>0.014973</v>
      </c>
      <c r="N103">
        <v>0.015027</v>
      </c>
      <c r="O103">
        <v>0.015082</v>
      </c>
      <c r="P103">
        <v>0.015136</v>
      </c>
      <c r="Q103">
        <v>0.015191</v>
      </c>
      <c r="R103">
        <v>0.015245</v>
      </c>
      <c r="S103">
        <v>0.0153</v>
      </c>
    </row>
    <row r="104" spans="1:19">
      <c r="A104" t="s">
        <v>23</v>
      </c>
      <c r="B104" t="s">
        <v>35</v>
      </c>
      <c r="C104" t="s">
        <v>1710</v>
      </c>
      <c r="D104" t="s">
        <v>179</v>
      </c>
      <c r="G104">
        <f t="shared" si="25"/>
        <v>62960000</v>
      </c>
      <c r="K104">
        <v>6400000</v>
      </c>
      <c r="L104">
        <v>6560000</v>
      </c>
      <c r="M104">
        <v>6800000</v>
      </c>
      <c r="N104">
        <v>7040000</v>
      </c>
      <c r="O104">
        <v>6960000</v>
      </c>
      <c r="P104">
        <v>6800000</v>
      </c>
      <c r="Q104">
        <v>7440000</v>
      </c>
      <c r="R104">
        <v>7360000</v>
      </c>
      <c r="S104">
        <v>7600000</v>
      </c>
    </row>
    <row r="105" spans="1:19">
      <c r="A105" t="s">
        <v>19</v>
      </c>
      <c r="B105" t="s">
        <v>20</v>
      </c>
      <c r="C105" t="s">
        <v>1711</v>
      </c>
      <c r="D105" t="s">
        <v>386</v>
      </c>
      <c r="G105">
        <f t="shared" si="25"/>
        <v>12768452061</v>
      </c>
      <c r="H105">
        <v>926970868</v>
      </c>
      <c r="I105">
        <v>907971720</v>
      </c>
      <c r="J105">
        <v>1024032727</v>
      </c>
      <c r="K105">
        <v>1042815381</v>
      </c>
      <c r="L105">
        <v>1068377313</v>
      </c>
      <c r="M105">
        <v>1099940927</v>
      </c>
      <c r="N105">
        <v>1124725108</v>
      </c>
      <c r="O105">
        <v>1105164870</v>
      </c>
      <c r="P105">
        <v>1079602939</v>
      </c>
      <c r="Q105">
        <v>1120836846</v>
      </c>
      <c r="R105">
        <v>1108055873</v>
      </c>
      <c r="S105">
        <v>1159957489</v>
      </c>
    </row>
    <row r="106" spans="1:19">
      <c r="A106" t="s">
        <v>19</v>
      </c>
      <c r="B106" t="s">
        <v>20</v>
      </c>
      <c r="C106" t="s">
        <v>1712</v>
      </c>
      <c r="D106" t="s">
        <v>392</v>
      </c>
      <c r="G106">
        <f t="shared" si="25"/>
        <v>12768452061</v>
      </c>
      <c r="H106">
        <v>926970868</v>
      </c>
      <c r="I106">
        <v>907971720</v>
      </c>
      <c r="J106">
        <v>1024032727</v>
      </c>
      <c r="K106">
        <v>1042815381</v>
      </c>
      <c r="L106">
        <v>1068377313</v>
      </c>
      <c r="M106">
        <v>1099940927</v>
      </c>
      <c r="N106">
        <v>1124725108</v>
      </c>
      <c r="O106">
        <v>1105164870</v>
      </c>
      <c r="P106">
        <v>1079602939</v>
      </c>
      <c r="Q106">
        <v>1120836846</v>
      </c>
      <c r="R106">
        <v>1108055873</v>
      </c>
      <c r="S106">
        <v>1159957489</v>
      </c>
    </row>
    <row r="107" spans="1:19">
      <c r="A107" t="s">
        <v>19</v>
      </c>
      <c r="B107" t="s">
        <v>393</v>
      </c>
      <c r="C107" t="s">
        <v>1713</v>
      </c>
      <c r="D107" t="s">
        <v>395</v>
      </c>
      <c r="G107">
        <f t="shared" si="25"/>
        <v>6946037690</v>
      </c>
      <c r="H107">
        <f t="shared" ref="H107:S107" si="48">H108+H124</f>
        <v>504272136</v>
      </c>
      <c r="I107">
        <f t="shared" si="48"/>
        <v>493936592</v>
      </c>
      <c r="J107">
        <f t="shared" si="48"/>
        <v>557073794</v>
      </c>
      <c r="K107">
        <f t="shared" si="48"/>
        <v>567291546</v>
      </c>
      <c r="L107">
        <f t="shared" si="48"/>
        <v>581197232</v>
      </c>
      <c r="M107">
        <f t="shared" si="48"/>
        <v>598367840</v>
      </c>
      <c r="N107">
        <f t="shared" si="48"/>
        <v>611850436</v>
      </c>
      <c r="O107">
        <f t="shared" si="48"/>
        <v>601209672</v>
      </c>
      <c r="P107">
        <f t="shared" si="48"/>
        <v>587303986</v>
      </c>
      <c r="Q107">
        <f t="shared" si="48"/>
        <v>609735228</v>
      </c>
      <c r="R107">
        <f t="shared" si="48"/>
        <v>602782376</v>
      </c>
      <c r="S107">
        <f t="shared" si="48"/>
        <v>631016852</v>
      </c>
    </row>
    <row r="108" spans="1:19">
      <c r="A108" t="s">
        <v>23</v>
      </c>
      <c r="B108" t="s">
        <v>393</v>
      </c>
      <c r="C108" t="s">
        <v>1714</v>
      </c>
      <c r="D108" t="s">
        <v>397</v>
      </c>
      <c r="G108">
        <f t="shared" si="25"/>
        <v>3473018845</v>
      </c>
      <c r="H108">
        <f t="shared" ref="H108:S108" si="49">H109+H112+H115+H122+H123</f>
        <v>252136068</v>
      </c>
      <c r="I108">
        <f t="shared" si="49"/>
        <v>246968296</v>
      </c>
      <c r="J108">
        <f t="shared" si="49"/>
        <v>278536897</v>
      </c>
      <c r="K108">
        <f t="shared" si="49"/>
        <v>283645773</v>
      </c>
      <c r="L108">
        <f t="shared" si="49"/>
        <v>290598616</v>
      </c>
      <c r="M108">
        <f t="shared" si="49"/>
        <v>299183920</v>
      </c>
      <c r="N108">
        <f t="shared" si="49"/>
        <v>305925218</v>
      </c>
      <c r="O108">
        <f t="shared" si="49"/>
        <v>300604836</v>
      </c>
      <c r="P108">
        <f t="shared" si="49"/>
        <v>293651993</v>
      </c>
      <c r="Q108">
        <f t="shared" si="49"/>
        <v>304867614</v>
      </c>
      <c r="R108">
        <f t="shared" si="49"/>
        <v>301391188</v>
      </c>
      <c r="S108">
        <f t="shared" si="49"/>
        <v>315508426</v>
      </c>
    </row>
    <row r="109" spans="1:19">
      <c r="A109" t="s">
        <v>26</v>
      </c>
      <c r="B109" t="s">
        <v>393</v>
      </c>
      <c r="C109" t="s">
        <v>1715</v>
      </c>
      <c r="D109" t="s">
        <v>399</v>
      </c>
      <c r="G109">
        <f t="shared" si="25"/>
        <v>255369022</v>
      </c>
      <c r="H109">
        <f t="shared" ref="H109:S109" si="50">H110+H111</f>
        <v>18539416</v>
      </c>
      <c r="I109">
        <f t="shared" si="50"/>
        <v>18159432</v>
      </c>
      <c r="J109">
        <f t="shared" si="50"/>
        <v>20480654</v>
      </c>
      <c r="K109">
        <f t="shared" si="50"/>
        <v>20856306</v>
      </c>
      <c r="L109">
        <f t="shared" si="50"/>
        <v>21367544</v>
      </c>
      <c r="M109">
        <f t="shared" si="50"/>
        <v>21998816</v>
      </c>
      <c r="N109">
        <f t="shared" si="50"/>
        <v>22494500</v>
      </c>
      <c r="O109">
        <f t="shared" si="50"/>
        <v>22103296</v>
      </c>
      <c r="P109">
        <f t="shared" si="50"/>
        <v>21592058</v>
      </c>
      <c r="Q109">
        <f t="shared" si="50"/>
        <v>22416736</v>
      </c>
      <c r="R109">
        <f t="shared" si="50"/>
        <v>22161116</v>
      </c>
      <c r="S109">
        <f t="shared" si="50"/>
        <v>23199148</v>
      </c>
    </row>
    <row r="110" spans="1:19">
      <c r="A110" t="s">
        <v>60</v>
      </c>
      <c r="B110" t="s">
        <v>393</v>
      </c>
      <c r="C110" t="s">
        <v>1716</v>
      </c>
      <c r="D110" t="s">
        <v>401</v>
      </c>
      <c r="G110">
        <f t="shared" si="25"/>
        <v>127684511</v>
      </c>
      <c r="H110">
        <v>9269708</v>
      </c>
      <c r="I110">
        <v>9079716</v>
      </c>
      <c r="J110">
        <v>10240327</v>
      </c>
      <c r="K110">
        <v>10428153</v>
      </c>
      <c r="L110">
        <v>10683772</v>
      </c>
      <c r="M110">
        <v>10999408</v>
      </c>
      <c r="N110">
        <v>11247250</v>
      </c>
      <c r="O110">
        <v>11051648</v>
      </c>
      <c r="P110">
        <v>10796029</v>
      </c>
      <c r="Q110">
        <v>11208368</v>
      </c>
      <c r="R110">
        <v>11080558</v>
      </c>
      <c r="S110">
        <v>11599574</v>
      </c>
    </row>
    <row r="111" spans="1:19">
      <c r="A111" t="s">
        <v>60</v>
      </c>
      <c r="B111" t="s">
        <v>393</v>
      </c>
      <c r="C111" t="s">
        <v>1717</v>
      </c>
      <c r="D111" t="s">
        <v>49</v>
      </c>
      <c r="G111">
        <f t="shared" si="25"/>
        <v>127684511</v>
      </c>
      <c r="H111">
        <v>9269708</v>
      </c>
      <c r="I111">
        <v>9079716</v>
      </c>
      <c r="J111">
        <v>10240327</v>
      </c>
      <c r="K111">
        <v>10428153</v>
      </c>
      <c r="L111">
        <v>10683772</v>
      </c>
      <c r="M111">
        <v>10999408</v>
      </c>
      <c r="N111">
        <v>11247250</v>
      </c>
      <c r="O111">
        <v>11051648</v>
      </c>
      <c r="P111">
        <v>10796029</v>
      </c>
      <c r="Q111">
        <v>11208368</v>
      </c>
      <c r="R111">
        <v>11080558</v>
      </c>
      <c r="S111">
        <v>11599574</v>
      </c>
    </row>
    <row r="112" spans="1:19">
      <c r="A112" t="s">
        <v>26</v>
      </c>
      <c r="B112" t="s">
        <v>393</v>
      </c>
      <c r="C112" t="s">
        <v>1718</v>
      </c>
      <c r="D112" t="s">
        <v>51</v>
      </c>
      <c r="G112">
        <f t="shared" si="25"/>
        <v>255369022</v>
      </c>
      <c r="H112">
        <f t="shared" ref="H112:S112" si="51">H113+H114</f>
        <v>18539416</v>
      </c>
      <c r="I112">
        <f t="shared" si="51"/>
        <v>18159432</v>
      </c>
      <c r="J112">
        <f t="shared" si="51"/>
        <v>20480654</v>
      </c>
      <c r="K112">
        <f t="shared" si="51"/>
        <v>20856306</v>
      </c>
      <c r="L112">
        <f t="shared" si="51"/>
        <v>21367544</v>
      </c>
      <c r="M112">
        <f t="shared" si="51"/>
        <v>21998816</v>
      </c>
      <c r="N112">
        <f t="shared" si="51"/>
        <v>22494500</v>
      </c>
      <c r="O112">
        <f t="shared" si="51"/>
        <v>22103296</v>
      </c>
      <c r="P112">
        <f t="shared" si="51"/>
        <v>21592058</v>
      </c>
      <c r="Q112">
        <f t="shared" si="51"/>
        <v>22416736</v>
      </c>
      <c r="R112">
        <f t="shared" si="51"/>
        <v>22161116</v>
      </c>
      <c r="S112">
        <f t="shared" si="51"/>
        <v>23199148</v>
      </c>
    </row>
    <row r="113" spans="1:19">
      <c r="A113" t="s">
        <v>60</v>
      </c>
      <c r="B113" t="s">
        <v>393</v>
      </c>
      <c r="C113" t="s">
        <v>1719</v>
      </c>
      <c r="D113" t="s">
        <v>405</v>
      </c>
      <c r="G113">
        <f t="shared" si="25"/>
        <v>127684511</v>
      </c>
      <c r="H113">
        <v>9269708</v>
      </c>
      <c r="I113">
        <v>9079716</v>
      </c>
      <c r="J113">
        <v>10240327</v>
      </c>
      <c r="K113">
        <v>10428153</v>
      </c>
      <c r="L113">
        <v>10683772</v>
      </c>
      <c r="M113">
        <v>10999408</v>
      </c>
      <c r="N113">
        <v>11247250</v>
      </c>
      <c r="O113">
        <v>11051648</v>
      </c>
      <c r="P113">
        <v>10796029</v>
      </c>
      <c r="Q113">
        <v>11208368</v>
      </c>
      <c r="R113">
        <v>11080558</v>
      </c>
      <c r="S113">
        <v>11599574</v>
      </c>
    </row>
    <row r="114" spans="1:19">
      <c r="A114" t="s">
        <v>60</v>
      </c>
      <c r="B114" t="s">
        <v>393</v>
      </c>
      <c r="C114" t="s">
        <v>1720</v>
      </c>
      <c r="D114" t="s">
        <v>407</v>
      </c>
      <c r="G114">
        <f t="shared" si="25"/>
        <v>127684511</v>
      </c>
      <c r="H114">
        <v>9269708</v>
      </c>
      <c r="I114">
        <v>9079716</v>
      </c>
      <c r="J114">
        <v>10240327</v>
      </c>
      <c r="K114">
        <v>10428153</v>
      </c>
      <c r="L114">
        <v>10683772</v>
      </c>
      <c r="M114">
        <v>10999408</v>
      </c>
      <c r="N114">
        <v>11247250</v>
      </c>
      <c r="O114">
        <v>11051648</v>
      </c>
      <c r="P114">
        <v>10796029</v>
      </c>
      <c r="Q114">
        <v>11208368</v>
      </c>
      <c r="R114">
        <v>11080558</v>
      </c>
      <c r="S114">
        <v>11599574</v>
      </c>
    </row>
    <row r="115" spans="1:19">
      <c r="A115" t="s">
        <v>26</v>
      </c>
      <c r="B115" t="s">
        <v>393</v>
      </c>
      <c r="C115" t="s">
        <v>1721</v>
      </c>
      <c r="D115" t="s">
        <v>409</v>
      </c>
      <c r="G115">
        <f t="shared" si="25"/>
        <v>408590413</v>
      </c>
      <c r="H115">
        <f t="shared" ref="H115:S115" si="52">H116+H119+H120+H121</f>
        <v>29663064</v>
      </c>
      <c r="I115">
        <f t="shared" si="52"/>
        <v>29055090</v>
      </c>
      <c r="J115">
        <f t="shared" si="52"/>
        <v>32769045</v>
      </c>
      <c r="K115">
        <f t="shared" si="52"/>
        <v>33370087</v>
      </c>
      <c r="L115">
        <f t="shared" si="52"/>
        <v>34188068</v>
      </c>
      <c r="M115">
        <f t="shared" si="52"/>
        <v>35198104</v>
      </c>
      <c r="N115">
        <f t="shared" si="52"/>
        <v>35991198</v>
      </c>
      <c r="O115">
        <f t="shared" si="52"/>
        <v>35365272</v>
      </c>
      <c r="P115">
        <f t="shared" si="52"/>
        <v>34547291</v>
      </c>
      <c r="Q115">
        <f t="shared" si="52"/>
        <v>35866776</v>
      </c>
      <c r="R115">
        <f t="shared" si="52"/>
        <v>35457784</v>
      </c>
      <c r="S115">
        <f t="shared" si="52"/>
        <v>37118634</v>
      </c>
    </row>
    <row r="116" spans="1:19">
      <c r="A116" t="s">
        <v>60</v>
      </c>
      <c r="B116" t="s">
        <v>393</v>
      </c>
      <c r="C116" t="s">
        <v>1722</v>
      </c>
      <c r="D116" t="s">
        <v>59</v>
      </c>
      <c r="G116">
        <f t="shared" si="25"/>
        <v>25536880</v>
      </c>
      <c r="H116">
        <f t="shared" ref="H116:S116" si="53">H117+H118</f>
        <v>1853940</v>
      </c>
      <c r="I116">
        <f t="shared" si="53"/>
        <v>1815942</v>
      </c>
      <c r="J116">
        <f t="shared" si="53"/>
        <v>2048064</v>
      </c>
      <c r="K116">
        <f t="shared" si="53"/>
        <v>2085628</v>
      </c>
      <c r="L116">
        <f t="shared" si="53"/>
        <v>2136752</v>
      </c>
      <c r="M116">
        <f t="shared" si="53"/>
        <v>2199880</v>
      </c>
      <c r="N116">
        <f t="shared" si="53"/>
        <v>2249448</v>
      </c>
      <c r="O116">
        <f t="shared" si="53"/>
        <v>2210328</v>
      </c>
      <c r="P116">
        <f t="shared" si="53"/>
        <v>2159204</v>
      </c>
      <c r="Q116">
        <f t="shared" si="53"/>
        <v>2241672</v>
      </c>
      <c r="R116">
        <f t="shared" si="53"/>
        <v>2216110</v>
      </c>
      <c r="S116">
        <f t="shared" si="53"/>
        <v>2319912</v>
      </c>
    </row>
    <row r="117" spans="1:19">
      <c r="A117" t="s">
        <v>192</v>
      </c>
      <c r="B117" t="s">
        <v>393</v>
      </c>
      <c r="C117" t="s">
        <v>1723</v>
      </c>
      <c r="D117" t="s">
        <v>62</v>
      </c>
      <c r="G117">
        <f t="shared" si="25"/>
        <v>12768440</v>
      </c>
      <c r="H117">
        <v>926970</v>
      </c>
      <c r="I117">
        <v>907971</v>
      </c>
      <c r="J117">
        <v>1024032</v>
      </c>
      <c r="K117">
        <v>1042814</v>
      </c>
      <c r="L117">
        <v>1068376</v>
      </c>
      <c r="M117">
        <v>1099940</v>
      </c>
      <c r="N117">
        <v>1124724</v>
      </c>
      <c r="O117">
        <v>1105164</v>
      </c>
      <c r="P117">
        <v>1079602</v>
      </c>
      <c r="Q117">
        <v>1120836</v>
      </c>
      <c r="R117">
        <v>1108055</v>
      </c>
      <c r="S117">
        <v>1159956</v>
      </c>
    </row>
    <row r="118" spans="1:19">
      <c r="A118" t="s">
        <v>192</v>
      </c>
      <c r="B118" t="s">
        <v>393</v>
      </c>
      <c r="C118" t="s">
        <v>1724</v>
      </c>
      <c r="D118" t="s">
        <v>64</v>
      </c>
      <c r="G118">
        <f t="shared" si="25"/>
        <v>12768440</v>
      </c>
      <c r="H118">
        <v>926970</v>
      </c>
      <c r="I118">
        <v>907971</v>
      </c>
      <c r="J118">
        <v>1024032</v>
      </c>
      <c r="K118">
        <v>1042814</v>
      </c>
      <c r="L118">
        <v>1068376</v>
      </c>
      <c r="M118">
        <v>1099940</v>
      </c>
      <c r="N118">
        <v>1124724</v>
      </c>
      <c r="O118">
        <v>1105164</v>
      </c>
      <c r="P118">
        <v>1079602</v>
      </c>
      <c r="Q118">
        <v>1120836</v>
      </c>
      <c r="R118">
        <v>1108055</v>
      </c>
      <c r="S118">
        <v>1159956</v>
      </c>
    </row>
    <row r="119" spans="1:19">
      <c r="A119" t="s">
        <v>60</v>
      </c>
      <c r="B119" t="s">
        <v>393</v>
      </c>
      <c r="C119" t="s">
        <v>1725</v>
      </c>
      <c r="D119" t="s">
        <v>414</v>
      </c>
      <c r="G119">
        <f t="shared" si="25"/>
        <v>127684511</v>
      </c>
      <c r="H119">
        <v>9269708</v>
      </c>
      <c r="I119">
        <v>9079716</v>
      </c>
      <c r="J119">
        <v>10240327</v>
      </c>
      <c r="K119">
        <v>10428153</v>
      </c>
      <c r="L119">
        <v>10683772</v>
      </c>
      <c r="M119">
        <v>10999408</v>
      </c>
      <c r="N119">
        <v>11247250</v>
      </c>
      <c r="O119">
        <v>11051648</v>
      </c>
      <c r="P119">
        <v>10796029</v>
      </c>
      <c r="Q119">
        <v>11208368</v>
      </c>
      <c r="R119">
        <v>11080558</v>
      </c>
      <c r="S119">
        <v>11599574</v>
      </c>
    </row>
    <row r="120" spans="1:19">
      <c r="A120" t="s">
        <v>60</v>
      </c>
      <c r="B120" t="s">
        <v>393</v>
      </c>
      <c r="C120" t="s">
        <v>1726</v>
      </c>
      <c r="D120" t="s">
        <v>68</v>
      </c>
      <c r="G120">
        <f t="shared" si="25"/>
        <v>127684511</v>
      </c>
      <c r="H120">
        <v>9269708</v>
      </c>
      <c r="I120">
        <v>9079716</v>
      </c>
      <c r="J120">
        <v>10240327</v>
      </c>
      <c r="K120">
        <v>10428153</v>
      </c>
      <c r="L120">
        <v>10683772</v>
      </c>
      <c r="M120">
        <v>10999408</v>
      </c>
      <c r="N120">
        <v>11247250</v>
      </c>
      <c r="O120">
        <v>11051648</v>
      </c>
      <c r="P120">
        <v>10796029</v>
      </c>
      <c r="Q120">
        <v>11208368</v>
      </c>
      <c r="R120">
        <v>11080558</v>
      </c>
      <c r="S120">
        <v>11599574</v>
      </c>
    </row>
    <row r="121" spans="1:19">
      <c r="A121" t="s">
        <v>60</v>
      </c>
      <c r="B121" t="s">
        <v>393</v>
      </c>
      <c r="C121" t="s">
        <v>1727</v>
      </c>
      <c r="D121" t="s">
        <v>70</v>
      </c>
      <c r="G121">
        <f t="shared" si="25"/>
        <v>127684511</v>
      </c>
      <c r="H121">
        <v>9269708</v>
      </c>
      <c r="I121">
        <v>9079716</v>
      </c>
      <c r="J121">
        <v>10240327</v>
      </c>
      <c r="K121">
        <v>10428153</v>
      </c>
      <c r="L121">
        <v>10683772</v>
      </c>
      <c r="M121">
        <v>10999408</v>
      </c>
      <c r="N121">
        <v>11247250</v>
      </c>
      <c r="O121">
        <v>11051648</v>
      </c>
      <c r="P121">
        <v>10796029</v>
      </c>
      <c r="Q121">
        <v>11208368</v>
      </c>
      <c r="R121">
        <v>11080558</v>
      </c>
      <c r="S121">
        <v>11599574</v>
      </c>
    </row>
    <row r="122" spans="1:19">
      <c r="A122" t="s">
        <v>26</v>
      </c>
      <c r="B122" t="s">
        <v>393</v>
      </c>
      <c r="C122" t="s">
        <v>1728</v>
      </c>
      <c r="D122" t="s">
        <v>418</v>
      </c>
      <c r="G122">
        <f t="shared" si="25"/>
        <v>1276845194</v>
      </c>
      <c r="H122">
        <v>92697086</v>
      </c>
      <c r="I122">
        <v>90797171</v>
      </c>
      <c r="J122">
        <v>102403272</v>
      </c>
      <c r="K122">
        <v>104281537</v>
      </c>
      <c r="L122">
        <v>106837730</v>
      </c>
      <c r="M122">
        <v>109994092</v>
      </c>
      <c r="N122">
        <v>112472510</v>
      </c>
      <c r="O122">
        <v>110516486</v>
      </c>
      <c r="P122">
        <v>107960293</v>
      </c>
      <c r="Q122">
        <v>112083683</v>
      </c>
      <c r="R122">
        <v>110805586</v>
      </c>
      <c r="S122">
        <v>115995748</v>
      </c>
    </row>
    <row r="123" spans="1:19">
      <c r="A123" t="s">
        <v>26</v>
      </c>
      <c r="B123" t="s">
        <v>393</v>
      </c>
      <c r="C123" t="s">
        <v>1729</v>
      </c>
      <c r="D123" t="s">
        <v>420</v>
      </c>
      <c r="G123">
        <f t="shared" si="25"/>
        <v>1276845194</v>
      </c>
      <c r="H123">
        <v>92697086</v>
      </c>
      <c r="I123">
        <v>90797171</v>
      </c>
      <c r="J123">
        <v>102403272</v>
      </c>
      <c r="K123">
        <v>104281537</v>
      </c>
      <c r="L123">
        <v>106837730</v>
      </c>
      <c r="M123">
        <v>109994092</v>
      </c>
      <c r="N123">
        <v>112472510</v>
      </c>
      <c r="O123">
        <v>110516486</v>
      </c>
      <c r="P123">
        <v>107960293</v>
      </c>
      <c r="Q123">
        <v>112083683</v>
      </c>
      <c r="R123">
        <v>110805586</v>
      </c>
      <c r="S123">
        <v>115995748</v>
      </c>
    </row>
    <row r="124" spans="1:19">
      <c r="A124" t="s">
        <v>23</v>
      </c>
      <c r="B124" t="s">
        <v>393</v>
      </c>
      <c r="C124" t="s">
        <v>1730</v>
      </c>
      <c r="D124" t="s">
        <v>422</v>
      </c>
      <c r="G124">
        <f t="shared" si="25"/>
        <v>3473018845</v>
      </c>
      <c r="H124">
        <f t="shared" ref="H124:S124" si="54">H125+H128+H131+H138+H139</f>
        <v>252136068</v>
      </c>
      <c r="I124">
        <f t="shared" si="54"/>
        <v>246968296</v>
      </c>
      <c r="J124">
        <f t="shared" si="54"/>
        <v>278536897</v>
      </c>
      <c r="K124">
        <f t="shared" si="54"/>
        <v>283645773</v>
      </c>
      <c r="L124">
        <f t="shared" si="54"/>
        <v>290598616</v>
      </c>
      <c r="M124">
        <f t="shared" si="54"/>
        <v>299183920</v>
      </c>
      <c r="N124">
        <f t="shared" si="54"/>
        <v>305925218</v>
      </c>
      <c r="O124">
        <f t="shared" si="54"/>
        <v>300604836</v>
      </c>
      <c r="P124">
        <f t="shared" si="54"/>
        <v>293651993</v>
      </c>
      <c r="Q124">
        <f t="shared" si="54"/>
        <v>304867614</v>
      </c>
      <c r="R124">
        <f t="shared" si="54"/>
        <v>301391188</v>
      </c>
      <c r="S124">
        <f t="shared" si="54"/>
        <v>315508426</v>
      </c>
    </row>
    <row r="125" spans="1:19">
      <c r="A125" t="s">
        <v>26</v>
      </c>
      <c r="B125" t="s">
        <v>393</v>
      </c>
      <c r="C125" t="s">
        <v>1731</v>
      </c>
      <c r="D125" t="s">
        <v>399</v>
      </c>
      <c r="G125">
        <f t="shared" si="25"/>
        <v>255369022</v>
      </c>
      <c r="H125">
        <f t="shared" ref="H125:S125" si="55">H126+H127</f>
        <v>18539416</v>
      </c>
      <c r="I125">
        <f t="shared" si="55"/>
        <v>18159432</v>
      </c>
      <c r="J125">
        <f t="shared" si="55"/>
        <v>20480654</v>
      </c>
      <c r="K125">
        <f t="shared" si="55"/>
        <v>20856306</v>
      </c>
      <c r="L125">
        <f t="shared" si="55"/>
        <v>21367544</v>
      </c>
      <c r="M125">
        <f t="shared" si="55"/>
        <v>21998816</v>
      </c>
      <c r="N125">
        <f t="shared" si="55"/>
        <v>22494500</v>
      </c>
      <c r="O125">
        <f t="shared" si="55"/>
        <v>22103296</v>
      </c>
      <c r="P125">
        <f t="shared" si="55"/>
        <v>21592058</v>
      </c>
      <c r="Q125">
        <f t="shared" si="55"/>
        <v>22416736</v>
      </c>
      <c r="R125">
        <f t="shared" si="55"/>
        <v>22161116</v>
      </c>
      <c r="S125">
        <f t="shared" si="55"/>
        <v>23199148</v>
      </c>
    </row>
    <row r="126" spans="1:19">
      <c r="A126" t="s">
        <v>60</v>
      </c>
      <c r="B126" t="s">
        <v>393</v>
      </c>
      <c r="C126" t="s">
        <v>1732</v>
      </c>
      <c r="D126" t="s">
        <v>401</v>
      </c>
      <c r="G126">
        <f t="shared" si="25"/>
        <v>127684511</v>
      </c>
      <c r="H126">
        <v>9269708</v>
      </c>
      <c r="I126">
        <v>9079716</v>
      </c>
      <c r="J126">
        <v>10240327</v>
      </c>
      <c r="K126">
        <v>10428153</v>
      </c>
      <c r="L126">
        <v>10683772</v>
      </c>
      <c r="M126">
        <v>10999408</v>
      </c>
      <c r="N126">
        <v>11247250</v>
      </c>
      <c r="O126">
        <v>11051648</v>
      </c>
      <c r="P126">
        <v>10796029</v>
      </c>
      <c r="Q126">
        <v>11208368</v>
      </c>
      <c r="R126">
        <v>11080558</v>
      </c>
      <c r="S126">
        <v>11599574</v>
      </c>
    </row>
    <row r="127" spans="1:19">
      <c r="A127" t="s">
        <v>60</v>
      </c>
      <c r="B127" t="s">
        <v>393</v>
      </c>
      <c r="C127" t="s">
        <v>1733</v>
      </c>
      <c r="D127" t="s">
        <v>49</v>
      </c>
      <c r="G127">
        <f t="shared" si="25"/>
        <v>127684511</v>
      </c>
      <c r="H127">
        <v>9269708</v>
      </c>
      <c r="I127">
        <v>9079716</v>
      </c>
      <c r="J127">
        <v>10240327</v>
      </c>
      <c r="K127">
        <v>10428153</v>
      </c>
      <c r="L127">
        <v>10683772</v>
      </c>
      <c r="M127">
        <v>10999408</v>
      </c>
      <c r="N127">
        <v>11247250</v>
      </c>
      <c r="O127">
        <v>11051648</v>
      </c>
      <c r="P127">
        <v>10796029</v>
      </c>
      <c r="Q127">
        <v>11208368</v>
      </c>
      <c r="R127">
        <v>11080558</v>
      </c>
      <c r="S127">
        <v>11599574</v>
      </c>
    </row>
    <row r="128" spans="1:19">
      <c r="A128" t="s">
        <v>26</v>
      </c>
      <c r="B128" t="s">
        <v>393</v>
      </c>
      <c r="C128" t="s">
        <v>1734</v>
      </c>
      <c r="D128" t="s">
        <v>51</v>
      </c>
      <c r="G128">
        <f t="shared" si="25"/>
        <v>255369022</v>
      </c>
      <c r="H128">
        <f t="shared" ref="H128:S128" si="56">H129+H130</f>
        <v>18539416</v>
      </c>
      <c r="I128">
        <f t="shared" si="56"/>
        <v>18159432</v>
      </c>
      <c r="J128">
        <f t="shared" si="56"/>
        <v>20480654</v>
      </c>
      <c r="K128">
        <f t="shared" si="56"/>
        <v>20856306</v>
      </c>
      <c r="L128">
        <f t="shared" si="56"/>
        <v>21367544</v>
      </c>
      <c r="M128">
        <f t="shared" si="56"/>
        <v>21998816</v>
      </c>
      <c r="N128">
        <f t="shared" si="56"/>
        <v>22494500</v>
      </c>
      <c r="O128">
        <f t="shared" si="56"/>
        <v>22103296</v>
      </c>
      <c r="P128">
        <f t="shared" si="56"/>
        <v>21592058</v>
      </c>
      <c r="Q128">
        <f t="shared" si="56"/>
        <v>22416736</v>
      </c>
      <c r="R128">
        <f t="shared" si="56"/>
        <v>22161116</v>
      </c>
      <c r="S128">
        <f t="shared" si="56"/>
        <v>23199148</v>
      </c>
    </row>
    <row r="129" spans="1:19">
      <c r="A129" t="s">
        <v>60</v>
      </c>
      <c r="B129" t="s">
        <v>393</v>
      </c>
      <c r="C129" t="s">
        <v>1735</v>
      </c>
      <c r="D129" t="s">
        <v>405</v>
      </c>
      <c r="G129">
        <f t="shared" si="25"/>
        <v>127684511</v>
      </c>
      <c r="H129">
        <v>9269708</v>
      </c>
      <c r="I129">
        <v>9079716</v>
      </c>
      <c r="J129">
        <v>10240327</v>
      </c>
      <c r="K129">
        <v>10428153</v>
      </c>
      <c r="L129">
        <v>10683772</v>
      </c>
      <c r="M129">
        <v>10999408</v>
      </c>
      <c r="N129">
        <v>11247250</v>
      </c>
      <c r="O129">
        <v>11051648</v>
      </c>
      <c r="P129">
        <v>10796029</v>
      </c>
      <c r="Q129">
        <v>11208368</v>
      </c>
      <c r="R129">
        <v>11080558</v>
      </c>
      <c r="S129">
        <v>11599574</v>
      </c>
    </row>
    <row r="130" spans="1:19">
      <c r="A130" t="s">
        <v>60</v>
      </c>
      <c r="B130" t="s">
        <v>393</v>
      </c>
      <c r="C130" t="s">
        <v>1736</v>
      </c>
      <c r="D130" t="s">
        <v>407</v>
      </c>
      <c r="G130">
        <f t="shared" ref="G130:G165" si="57">H130+I130+J130+K130+L130+M130+N130+O130+P130+Q130+R130+S130</f>
        <v>127684511</v>
      </c>
      <c r="H130">
        <v>9269708</v>
      </c>
      <c r="I130">
        <v>9079716</v>
      </c>
      <c r="J130">
        <v>10240327</v>
      </c>
      <c r="K130">
        <v>10428153</v>
      </c>
      <c r="L130">
        <v>10683772</v>
      </c>
      <c r="M130">
        <v>10999408</v>
      </c>
      <c r="N130">
        <v>11247250</v>
      </c>
      <c r="O130">
        <v>11051648</v>
      </c>
      <c r="P130">
        <v>10796029</v>
      </c>
      <c r="Q130">
        <v>11208368</v>
      </c>
      <c r="R130">
        <v>11080558</v>
      </c>
      <c r="S130">
        <v>11599574</v>
      </c>
    </row>
    <row r="131" spans="1:19">
      <c r="A131" t="s">
        <v>26</v>
      </c>
      <c r="B131" t="s">
        <v>393</v>
      </c>
      <c r="C131" t="s">
        <v>1737</v>
      </c>
      <c r="D131" t="s">
        <v>409</v>
      </c>
      <c r="G131">
        <f t="shared" si="57"/>
        <v>408590413</v>
      </c>
      <c r="H131">
        <f t="shared" ref="H131:S131" si="58">H132+H135+H136+H137</f>
        <v>29663064</v>
      </c>
      <c r="I131">
        <f t="shared" si="58"/>
        <v>29055090</v>
      </c>
      <c r="J131">
        <f t="shared" si="58"/>
        <v>32769045</v>
      </c>
      <c r="K131">
        <f t="shared" si="58"/>
        <v>33370087</v>
      </c>
      <c r="L131">
        <f t="shared" si="58"/>
        <v>34188068</v>
      </c>
      <c r="M131">
        <f t="shared" si="58"/>
        <v>35198104</v>
      </c>
      <c r="N131">
        <f t="shared" si="58"/>
        <v>35991198</v>
      </c>
      <c r="O131">
        <f t="shared" si="58"/>
        <v>35365272</v>
      </c>
      <c r="P131">
        <f t="shared" si="58"/>
        <v>34547291</v>
      </c>
      <c r="Q131">
        <f t="shared" si="58"/>
        <v>35866776</v>
      </c>
      <c r="R131">
        <f t="shared" si="58"/>
        <v>35457784</v>
      </c>
      <c r="S131">
        <f t="shared" si="58"/>
        <v>37118634</v>
      </c>
    </row>
    <row r="132" spans="1:19">
      <c r="A132" t="s">
        <v>60</v>
      </c>
      <c r="B132" t="s">
        <v>393</v>
      </c>
      <c r="C132" t="s">
        <v>1738</v>
      </c>
      <c r="D132" t="s">
        <v>59</v>
      </c>
      <c r="G132">
        <f t="shared" si="57"/>
        <v>25536880</v>
      </c>
      <c r="H132">
        <f t="shared" ref="H132:S132" si="59">H133+H134</f>
        <v>1853940</v>
      </c>
      <c r="I132">
        <f t="shared" si="59"/>
        <v>1815942</v>
      </c>
      <c r="J132">
        <f t="shared" si="59"/>
        <v>2048064</v>
      </c>
      <c r="K132">
        <f t="shared" si="59"/>
        <v>2085628</v>
      </c>
      <c r="L132">
        <f t="shared" si="59"/>
        <v>2136752</v>
      </c>
      <c r="M132">
        <f t="shared" si="59"/>
        <v>2199880</v>
      </c>
      <c r="N132">
        <f t="shared" si="59"/>
        <v>2249448</v>
      </c>
      <c r="O132">
        <f t="shared" si="59"/>
        <v>2210328</v>
      </c>
      <c r="P132">
        <f t="shared" si="59"/>
        <v>2159204</v>
      </c>
      <c r="Q132">
        <f t="shared" si="59"/>
        <v>2241672</v>
      </c>
      <c r="R132">
        <f t="shared" si="59"/>
        <v>2216110</v>
      </c>
      <c r="S132">
        <f t="shared" si="59"/>
        <v>2319912</v>
      </c>
    </row>
    <row r="133" spans="1:19">
      <c r="A133" t="s">
        <v>192</v>
      </c>
      <c r="B133" t="s">
        <v>393</v>
      </c>
      <c r="C133" t="s">
        <v>1739</v>
      </c>
      <c r="D133" t="s">
        <v>62</v>
      </c>
      <c r="G133">
        <f t="shared" si="57"/>
        <v>12768440</v>
      </c>
      <c r="H133">
        <v>926970</v>
      </c>
      <c r="I133">
        <v>907971</v>
      </c>
      <c r="J133">
        <v>1024032</v>
      </c>
      <c r="K133">
        <v>1042814</v>
      </c>
      <c r="L133">
        <v>1068376</v>
      </c>
      <c r="M133">
        <v>1099940</v>
      </c>
      <c r="N133">
        <v>1124724</v>
      </c>
      <c r="O133">
        <v>1105164</v>
      </c>
      <c r="P133">
        <v>1079602</v>
      </c>
      <c r="Q133">
        <v>1120836</v>
      </c>
      <c r="R133">
        <v>1108055</v>
      </c>
      <c r="S133">
        <v>1159956</v>
      </c>
    </row>
    <row r="134" spans="1:19">
      <c r="A134" t="s">
        <v>192</v>
      </c>
      <c r="B134" t="s">
        <v>393</v>
      </c>
      <c r="C134" t="s">
        <v>1740</v>
      </c>
      <c r="D134" t="s">
        <v>64</v>
      </c>
      <c r="G134">
        <f t="shared" si="57"/>
        <v>12768440</v>
      </c>
      <c r="H134">
        <v>926970</v>
      </c>
      <c r="I134">
        <v>907971</v>
      </c>
      <c r="J134">
        <v>1024032</v>
      </c>
      <c r="K134">
        <v>1042814</v>
      </c>
      <c r="L134">
        <v>1068376</v>
      </c>
      <c r="M134">
        <v>1099940</v>
      </c>
      <c r="N134">
        <v>1124724</v>
      </c>
      <c r="O134">
        <v>1105164</v>
      </c>
      <c r="P134">
        <v>1079602</v>
      </c>
      <c r="Q134">
        <v>1120836</v>
      </c>
      <c r="R134">
        <v>1108055</v>
      </c>
      <c r="S134">
        <v>1159956</v>
      </c>
    </row>
    <row r="135" spans="1:19">
      <c r="A135" t="s">
        <v>60</v>
      </c>
      <c r="B135" t="s">
        <v>393</v>
      </c>
      <c r="C135" t="s">
        <v>1741</v>
      </c>
      <c r="D135" t="s">
        <v>414</v>
      </c>
      <c r="G135">
        <f t="shared" si="57"/>
        <v>127684511</v>
      </c>
      <c r="H135">
        <v>9269708</v>
      </c>
      <c r="I135">
        <v>9079716</v>
      </c>
      <c r="J135">
        <v>10240327</v>
      </c>
      <c r="K135">
        <v>10428153</v>
      </c>
      <c r="L135">
        <v>10683772</v>
      </c>
      <c r="M135">
        <v>10999408</v>
      </c>
      <c r="N135">
        <v>11247250</v>
      </c>
      <c r="O135">
        <v>11051648</v>
      </c>
      <c r="P135">
        <v>10796029</v>
      </c>
      <c r="Q135">
        <v>11208368</v>
      </c>
      <c r="R135">
        <v>11080558</v>
      </c>
      <c r="S135">
        <v>11599574</v>
      </c>
    </row>
    <row r="136" spans="1:19">
      <c r="A136" t="s">
        <v>60</v>
      </c>
      <c r="B136" t="s">
        <v>393</v>
      </c>
      <c r="C136" t="s">
        <v>1742</v>
      </c>
      <c r="D136" t="s">
        <v>68</v>
      </c>
      <c r="G136">
        <f t="shared" si="57"/>
        <v>127684511</v>
      </c>
      <c r="H136">
        <v>9269708</v>
      </c>
      <c r="I136">
        <v>9079716</v>
      </c>
      <c r="J136">
        <v>10240327</v>
      </c>
      <c r="K136">
        <v>10428153</v>
      </c>
      <c r="L136">
        <v>10683772</v>
      </c>
      <c r="M136">
        <v>10999408</v>
      </c>
      <c r="N136">
        <v>11247250</v>
      </c>
      <c r="O136">
        <v>11051648</v>
      </c>
      <c r="P136">
        <v>10796029</v>
      </c>
      <c r="Q136">
        <v>11208368</v>
      </c>
      <c r="R136">
        <v>11080558</v>
      </c>
      <c r="S136">
        <v>11599574</v>
      </c>
    </row>
    <row r="137" spans="1:19">
      <c r="A137" t="s">
        <v>60</v>
      </c>
      <c r="B137" t="s">
        <v>393</v>
      </c>
      <c r="C137" t="s">
        <v>1743</v>
      </c>
      <c r="D137" t="s">
        <v>70</v>
      </c>
      <c r="G137">
        <f t="shared" si="57"/>
        <v>127684511</v>
      </c>
      <c r="H137">
        <v>9269708</v>
      </c>
      <c r="I137">
        <v>9079716</v>
      </c>
      <c r="J137">
        <v>10240327</v>
      </c>
      <c r="K137">
        <v>10428153</v>
      </c>
      <c r="L137">
        <v>10683772</v>
      </c>
      <c r="M137">
        <v>10999408</v>
      </c>
      <c r="N137">
        <v>11247250</v>
      </c>
      <c r="O137">
        <v>11051648</v>
      </c>
      <c r="P137">
        <v>10796029</v>
      </c>
      <c r="Q137">
        <v>11208368</v>
      </c>
      <c r="R137">
        <v>11080558</v>
      </c>
      <c r="S137">
        <v>11599574</v>
      </c>
    </row>
    <row r="138" spans="1:19">
      <c r="A138" t="s">
        <v>26</v>
      </c>
      <c r="B138" t="s">
        <v>393</v>
      </c>
      <c r="C138" t="s">
        <v>1744</v>
      </c>
      <c r="D138" t="s">
        <v>418</v>
      </c>
      <c r="G138">
        <f t="shared" si="57"/>
        <v>1276845194</v>
      </c>
      <c r="H138">
        <v>92697086</v>
      </c>
      <c r="I138">
        <v>90797171</v>
      </c>
      <c r="J138">
        <v>102403272</v>
      </c>
      <c r="K138">
        <v>104281537</v>
      </c>
      <c r="L138">
        <v>106837730</v>
      </c>
      <c r="M138">
        <v>109994092</v>
      </c>
      <c r="N138">
        <v>112472510</v>
      </c>
      <c r="O138">
        <v>110516486</v>
      </c>
      <c r="P138">
        <v>107960293</v>
      </c>
      <c r="Q138">
        <v>112083683</v>
      </c>
      <c r="R138">
        <v>110805586</v>
      </c>
      <c r="S138">
        <v>115995748</v>
      </c>
    </row>
    <row r="139" spans="1:19">
      <c r="A139" t="s">
        <v>26</v>
      </c>
      <c r="B139" t="s">
        <v>393</v>
      </c>
      <c r="C139" t="s">
        <v>1745</v>
      </c>
      <c r="D139" t="s">
        <v>420</v>
      </c>
      <c r="G139">
        <f t="shared" si="57"/>
        <v>1276845194</v>
      </c>
      <c r="H139">
        <v>92697086</v>
      </c>
      <c r="I139">
        <v>90797171</v>
      </c>
      <c r="J139">
        <v>102403272</v>
      </c>
      <c r="K139">
        <v>104281537</v>
      </c>
      <c r="L139">
        <v>106837730</v>
      </c>
      <c r="M139">
        <v>109994092</v>
      </c>
      <c r="N139">
        <v>112472510</v>
      </c>
      <c r="O139">
        <v>110516486</v>
      </c>
      <c r="P139">
        <v>107960293</v>
      </c>
      <c r="Q139">
        <v>112083683</v>
      </c>
      <c r="R139">
        <v>110805586</v>
      </c>
      <c r="S139">
        <v>115995748</v>
      </c>
    </row>
    <row r="140" spans="1:19">
      <c r="A140" t="s">
        <v>19</v>
      </c>
      <c r="B140" t="s">
        <v>438</v>
      </c>
      <c r="C140" t="s">
        <v>1746</v>
      </c>
      <c r="D140" t="s">
        <v>440</v>
      </c>
      <c r="G140">
        <f t="shared" si="57"/>
        <v>65808422555</v>
      </c>
      <c r="H140">
        <f t="shared" ref="H140:S140" si="60">H141</f>
        <v>4758248540</v>
      </c>
      <c r="I140">
        <f t="shared" si="60"/>
        <v>4671448580</v>
      </c>
      <c r="J140">
        <f t="shared" si="60"/>
        <v>5254461635</v>
      </c>
      <c r="K140">
        <f t="shared" si="60"/>
        <v>5355740765</v>
      </c>
      <c r="L140">
        <f t="shared" si="60"/>
        <v>5487358860</v>
      </c>
      <c r="M140">
        <f t="shared" si="60"/>
        <v>5654447040</v>
      </c>
      <c r="N140">
        <f t="shared" si="60"/>
        <v>5791196250</v>
      </c>
      <c r="O140">
        <f t="shared" si="60"/>
        <v>5695048240</v>
      </c>
      <c r="P140">
        <f t="shared" si="60"/>
        <v>5563430145</v>
      </c>
      <c r="Q140">
        <f t="shared" si="60"/>
        <v>5816851840</v>
      </c>
      <c r="R140">
        <f t="shared" si="60"/>
        <v>5751042790</v>
      </c>
      <c r="S140">
        <f t="shared" si="60"/>
        <v>6009147870</v>
      </c>
    </row>
    <row r="141" spans="1:19">
      <c r="A141" t="s">
        <v>23</v>
      </c>
      <c r="B141" t="s">
        <v>438</v>
      </c>
      <c r="C141" t="s">
        <v>1747</v>
      </c>
      <c r="D141" t="s">
        <v>442</v>
      </c>
      <c r="G141">
        <f t="shared" si="57"/>
        <v>65808422555</v>
      </c>
      <c r="H141">
        <f t="shared" ref="H141:S141" si="61">H142+H147+H162</f>
        <v>4758248540</v>
      </c>
      <c r="I141">
        <f t="shared" si="61"/>
        <v>4671448580</v>
      </c>
      <c r="J141">
        <f t="shared" si="61"/>
        <v>5254461635</v>
      </c>
      <c r="K141">
        <f t="shared" si="61"/>
        <v>5355740765</v>
      </c>
      <c r="L141">
        <f t="shared" si="61"/>
        <v>5487358860</v>
      </c>
      <c r="M141">
        <f t="shared" si="61"/>
        <v>5654447040</v>
      </c>
      <c r="N141">
        <f t="shared" si="61"/>
        <v>5791196250</v>
      </c>
      <c r="O141">
        <f t="shared" si="61"/>
        <v>5695048240</v>
      </c>
      <c r="P141">
        <f t="shared" si="61"/>
        <v>5563430145</v>
      </c>
      <c r="Q141">
        <f t="shared" si="61"/>
        <v>5816851840</v>
      </c>
      <c r="R141">
        <f t="shared" si="61"/>
        <v>5751042790</v>
      </c>
      <c r="S141">
        <f t="shared" si="61"/>
        <v>6009147870</v>
      </c>
    </row>
    <row r="142" spans="1:19">
      <c r="A142" t="s">
        <v>26</v>
      </c>
      <c r="B142" t="s">
        <v>438</v>
      </c>
      <c r="C142" t="s">
        <v>1748</v>
      </c>
      <c r="D142" t="s">
        <v>444</v>
      </c>
      <c r="G142">
        <f t="shared" si="57"/>
        <v>130000000</v>
      </c>
      <c r="H142">
        <f t="shared" ref="H142:S142" si="62">H143+H144+H145+H146</f>
        <v>9100000</v>
      </c>
      <c r="I142">
        <f t="shared" si="62"/>
        <v>8450000</v>
      </c>
      <c r="J142">
        <f t="shared" si="62"/>
        <v>10140000</v>
      </c>
      <c r="K142">
        <f t="shared" si="62"/>
        <v>10400000</v>
      </c>
      <c r="L142">
        <f t="shared" si="62"/>
        <v>10660000</v>
      </c>
      <c r="M142">
        <f t="shared" si="62"/>
        <v>11050000</v>
      </c>
      <c r="N142">
        <f t="shared" si="62"/>
        <v>11440000</v>
      </c>
      <c r="O142">
        <f t="shared" si="62"/>
        <v>11310000</v>
      </c>
      <c r="P142">
        <f t="shared" si="62"/>
        <v>11050000</v>
      </c>
      <c r="Q142">
        <f t="shared" si="62"/>
        <v>12090000</v>
      </c>
      <c r="R142">
        <f t="shared" si="62"/>
        <v>11960000</v>
      </c>
      <c r="S142">
        <f t="shared" si="62"/>
        <v>12350000</v>
      </c>
    </row>
    <row r="143" spans="1:19">
      <c r="A143" t="s">
        <v>60</v>
      </c>
      <c r="B143" t="s">
        <v>438</v>
      </c>
      <c r="C143" t="s">
        <v>1749</v>
      </c>
      <c r="D143" t="s">
        <v>446</v>
      </c>
      <c r="G143">
        <f t="shared" si="57"/>
        <v>50000000</v>
      </c>
      <c r="H143">
        <v>3500000</v>
      </c>
      <c r="I143">
        <v>3250000</v>
      </c>
      <c r="J143">
        <v>3900000</v>
      </c>
      <c r="K143">
        <v>4000000</v>
      </c>
      <c r="L143">
        <v>4100000</v>
      </c>
      <c r="M143">
        <v>4250000</v>
      </c>
      <c r="N143">
        <v>4400000</v>
      </c>
      <c r="O143">
        <v>4350000</v>
      </c>
      <c r="P143">
        <v>4250000</v>
      </c>
      <c r="Q143">
        <v>4650000</v>
      </c>
      <c r="R143">
        <v>4600000</v>
      </c>
      <c r="S143">
        <v>4750000</v>
      </c>
    </row>
    <row r="144" spans="1:19">
      <c r="A144" t="s">
        <v>60</v>
      </c>
      <c r="B144" t="s">
        <v>438</v>
      </c>
      <c r="C144" t="s">
        <v>1750</v>
      </c>
      <c r="D144" t="s">
        <v>448</v>
      </c>
      <c r="G144">
        <f t="shared" si="57"/>
        <v>40000000</v>
      </c>
      <c r="H144">
        <v>2800000</v>
      </c>
      <c r="I144">
        <v>2600000</v>
      </c>
      <c r="J144">
        <v>3120000</v>
      </c>
      <c r="K144">
        <v>3200000</v>
      </c>
      <c r="L144">
        <v>3280000</v>
      </c>
      <c r="M144">
        <v>3400000</v>
      </c>
      <c r="N144">
        <v>3520000</v>
      </c>
      <c r="O144">
        <v>3480000</v>
      </c>
      <c r="P144">
        <v>3400000</v>
      </c>
      <c r="Q144">
        <v>3720000</v>
      </c>
      <c r="R144">
        <v>3680000</v>
      </c>
      <c r="S144">
        <v>3800000</v>
      </c>
    </row>
    <row r="145" spans="1:19">
      <c r="A145" t="s">
        <v>60</v>
      </c>
      <c r="B145" t="s">
        <v>438</v>
      </c>
      <c r="C145" t="s">
        <v>1751</v>
      </c>
      <c r="D145" t="s">
        <v>450</v>
      </c>
      <c r="G145">
        <f t="shared" si="57"/>
        <v>20000000</v>
      </c>
      <c r="H145">
        <v>1400000</v>
      </c>
      <c r="I145">
        <v>1300000</v>
      </c>
      <c r="J145">
        <v>1560000</v>
      </c>
      <c r="K145">
        <v>1600000</v>
      </c>
      <c r="L145">
        <v>1640000</v>
      </c>
      <c r="M145">
        <v>1700000</v>
      </c>
      <c r="N145">
        <v>1760000</v>
      </c>
      <c r="O145">
        <v>1740000</v>
      </c>
      <c r="P145">
        <v>1700000</v>
      </c>
      <c r="Q145">
        <v>1860000</v>
      </c>
      <c r="R145">
        <v>1840000</v>
      </c>
      <c r="S145">
        <v>1900000</v>
      </c>
    </row>
    <row r="146" spans="1:19">
      <c r="A146" t="s">
        <v>60</v>
      </c>
      <c r="B146" t="s">
        <v>438</v>
      </c>
      <c r="C146" t="s">
        <v>1752</v>
      </c>
      <c r="D146" t="s">
        <v>452</v>
      </c>
      <c r="G146">
        <f t="shared" si="57"/>
        <v>20000000</v>
      </c>
      <c r="H146">
        <v>1400000</v>
      </c>
      <c r="I146">
        <v>1300000</v>
      </c>
      <c r="J146">
        <v>1560000</v>
      </c>
      <c r="K146">
        <v>1600000</v>
      </c>
      <c r="L146">
        <v>1640000</v>
      </c>
      <c r="M146">
        <v>1700000</v>
      </c>
      <c r="N146">
        <v>1760000</v>
      </c>
      <c r="O146">
        <v>1740000</v>
      </c>
      <c r="P146">
        <v>1700000</v>
      </c>
      <c r="Q146">
        <v>1860000</v>
      </c>
      <c r="R146">
        <v>1840000</v>
      </c>
      <c r="S146">
        <v>1900000</v>
      </c>
    </row>
    <row r="147" spans="1:19">
      <c r="A147" t="s">
        <v>26</v>
      </c>
      <c r="B147" t="s">
        <v>438</v>
      </c>
      <c r="C147" t="s">
        <v>1753</v>
      </c>
      <c r="D147" t="s">
        <v>454</v>
      </c>
      <c r="G147">
        <f t="shared" si="57"/>
        <v>65568422555</v>
      </c>
      <c r="H147">
        <f t="shared" ref="H147:S147" si="63">H148+H149+H150+H151+H152+H153+H154+H155+H156+H157+H158+H159+H160+H161</f>
        <v>4741448540</v>
      </c>
      <c r="I147">
        <f t="shared" si="63"/>
        <v>4655848580</v>
      </c>
      <c r="J147">
        <f t="shared" si="63"/>
        <v>5235741635</v>
      </c>
      <c r="K147">
        <f t="shared" si="63"/>
        <v>5336540765</v>
      </c>
      <c r="L147">
        <f t="shared" si="63"/>
        <v>5467678860</v>
      </c>
      <c r="M147">
        <f t="shared" si="63"/>
        <v>5634047040</v>
      </c>
      <c r="N147">
        <f t="shared" si="63"/>
        <v>5770076250</v>
      </c>
      <c r="O147">
        <f t="shared" si="63"/>
        <v>5674168240</v>
      </c>
      <c r="P147">
        <f t="shared" si="63"/>
        <v>5543030145</v>
      </c>
      <c r="Q147">
        <f t="shared" si="63"/>
        <v>5794531840</v>
      </c>
      <c r="R147">
        <f t="shared" si="63"/>
        <v>5728962790</v>
      </c>
      <c r="S147">
        <f t="shared" si="63"/>
        <v>5986347870</v>
      </c>
    </row>
    <row r="148" spans="1:19">
      <c r="A148" t="s">
        <v>60</v>
      </c>
      <c r="B148" t="s">
        <v>438</v>
      </c>
      <c r="C148" t="s">
        <v>1754</v>
      </c>
      <c r="D148" t="s">
        <v>456</v>
      </c>
      <c r="G148">
        <f t="shared" si="57"/>
        <v>10000000000</v>
      </c>
      <c r="H148">
        <v>750000000</v>
      </c>
      <c r="I148">
        <v>780000000</v>
      </c>
      <c r="J148">
        <v>820000000</v>
      </c>
      <c r="K148">
        <v>830000000</v>
      </c>
      <c r="L148">
        <v>850000000</v>
      </c>
      <c r="M148">
        <v>870000000</v>
      </c>
      <c r="N148">
        <v>880000000</v>
      </c>
      <c r="O148">
        <v>860000000</v>
      </c>
      <c r="P148">
        <v>840000000</v>
      </c>
      <c r="Q148">
        <v>830000000</v>
      </c>
      <c r="R148">
        <v>820000000</v>
      </c>
      <c r="S148">
        <v>870000000</v>
      </c>
    </row>
    <row r="149" spans="1:19">
      <c r="A149" t="s">
        <v>60</v>
      </c>
      <c r="B149" t="s">
        <v>438</v>
      </c>
      <c r="C149" t="s">
        <v>1755</v>
      </c>
      <c r="D149" t="s">
        <v>458</v>
      </c>
      <c r="G149">
        <f t="shared" si="57"/>
        <v>50000000</v>
      </c>
      <c r="H149">
        <v>3500000</v>
      </c>
      <c r="I149">
        <v>3250000</v>
      </c>
      <c r="J149">
        <v>3900000</v>
      </c>
      <c r="K149">
        <v>4000000</v>
      </c>
      <c r="L149">
        <v>4100000</v>
      </c>
      <c r="M149">
        <v>4250000</v>
      </c>
      <c r="N149">
        <v>4400000</v>
      </c>
      <c r="O149">
        <v>4350000</v>
      </c>
      <c r="P149">
        <v>4250000</v>
      </c>
      <c r="Q149">
        <v>4650000</v>
      </c>
      <c r="R149">
        <v>4600000</v>
      </c>
      <c r="S149">
        <v>4750000</v>
      </c>
    </row>
    <row r="150" spans="1:19">
      <c r="A150" t="s">
        <v>60</v>
      </c>
      <c r="B150" t="s">
        <v>438</v>
      </c>
      <c r="C150" t="s">
        <v>1756</v>
      </c>
      <c r="D150" t="s">
        <v>460</v>
      </c>
      <c r="G150">
        <f t="shared" si="57"/>
        <v>40000000</v>
      </c>
      <c r="H150">
        <v>2800000</v>
      </c>
      <c r="I150">
        <v>2600000</v>
      </c>
      <c r="J150">
        <v>3120000</v>
      </c>
      <c r="K150">
        <v>3200000</v>
      </c>
      <c r="L150">
        <v>3280000</v>
      </c>
      <c r="M150">
        <v>3400000</v>
      </c>
      <c r="N150">
        <v>3520000</v>
      </c>
      <c r="O150">
        <v>3480000</v>
      </c>
      <c r="P150">
        <v>3400000</v>
      </c>
      <c r="Q150">
        <v>3720000</v>
      </c>
      <c r="R150">
        <v>3680000</v>
      </c>
      <c r="S150">
        <v>3800000</v>
      </c>
    </row>
    <row r="151" spans="1:19">
      <c r="A151" t="s">
        <v>60</v>
      </c>
      <c r="B151" t="s">
        <v>438</v>
      </c>
      <c r="C151" t="s">
        <v>1757</v>
      </c>
      <c r="D151" t="s">
        <v>462</v>
      </c>
      <c r="G151">
        <f t="shared" si="57"/>
        <v>4800000000</v>
      </c>
      <c r="H151">
        <v>336000000</v>
      </c>
      <c r="I151">
        <v>312000000</v>
      </c>
      <c r="J151">
        <v>374400000</v>
      </c>
      <c r="K151">
        <v>384000000</v>
      </c>
      <c r="L151">
        <v>393600000</v>
      </c>
      <c r="M151">
        <v>408000000</v>
      </c>
      <c r="N151">
        <v>422400000</v>
      </c>
      <c r="O151">
        <v>417600000</v>
      </c>
      <c r="P151">
        <v>408000000</v>
      </c>
      <c r="Q151">
        <v>446400000</v>
      </c>
      <c r="R151">
        <v>441600000</v>
      </c>
      <c r="S151">
        <v>456000000</v>
      </c>
    </row>
    <row r="152" spans="1:19">
      <c r="A152" t="s">
        <v>60</v>
      </c>
      <c r="B152" t="s">
        <v>438</v>
      </c>
      <c r="C152" t="s">
        <v>1758</v>
      </c>
      <c r="D152" t="s">
        <v>464</v>
      </c>
      <c r="G152">
        <f t="shared" si="57"/>
        <v>127684511</v>
      </c>
      <c r="H152">
        <v>9269708</v>
      </c>
      <c r="I152">
        <v>9079716</v>
      </c>
      <c r="J152">
        <v>10240327</v>
      </c>
      <c r="K152">
        <v>10428153</v>
      </c>
      <c r="L152">
        <v>10683772</v>
      </c>
      <c r="M152">
        <v>10999408</v>
      </c>
      <c r="N152">
        <v>11247250</v>
      </c>
      <c r="O152">
        <v>11051648</v>
      </c>
      <c r="P152">
        <v>10796029</v>
      </c>
      <c r="Q152">
        <v>11208368</v>
      </c>
      <c r="R152">
        <v>11080558</v>
      </c>
      <c r="S152">
        <v>11599574</v>
      </c>
    </row>
    <row r="153" spans="1:19">
      <c r="A153" t="s">
        <v>60</v>
      </c>
      <c r="B153" t="s">
        <v>438</v>
      </c>
      <c r="C153" t="s">
        <v>1759</v>
      </c>
      <c r="D153" t="s">
        <v>466</v>
      </c>
      <c r="G153">
        <f t="shared" si="57"/>
        <v>30000000000</v>
      </c>
      <c r="H153">
        <v>2100000000</v>
      </c>
      <c r="I153">
        <v>1950000000</v>
      </c>
      <c r="J153">
        <v>2340000000</v>
      </c>
      <c r="K153">
        <v>2400000000</v>
      </c>
      <c r="L153">
        <v>2460000000</v>
      </c>
      <c r="M153">
        <v>2550000000</v>
      </c>
      <c r="N153">
        <v>2640000000</v>
      </c>
      <c r="O153">
        <v>2610000000</v>
      </c>
      <c r="P153">
        <v>2550000000</v>
      </c>
      <c r="Q153">
        <v>2790000000</v>
      </c>
      <c r="R153">
        <v>2760000000</v>
      </c>
      <c r="S153">
        <v>2850000000</v>
      </c>
    </row>
    <row r="154" spans="1:19">
      <c r="A154" t="s">
        <v>60</v>
      </c>
      <c r="B154" t="s">
        <v>438</v>
      </c>
      <c r="C154" t="s">
        <v>1760</v>
      </c>
      <c r="D154" t="s">
        <v>468</v>
      </c>
      <c r="G154">
        <f t="shared" si="57"/>
        <v>10000000000</v>
      </c>
      <c r="H154">
        <v>750000000</v>
      </c>
      <c r="I154">
        <v>780000000</v>
      </c>
      <c r="J154">
        <v>820000000</v>
      </c>
      <c r="K154">
        <v>830000000</v>
      </c>
      <c r="L154">
        <v>850000000</v>
      </c>
      <c r="M154">
        <v>870000000</v>
      </c>
      <c r="N154">
        <v>880000000</v>
      </c>
      <c r="O154">
        <v>860000000</v>
      </c>
      <c r="P154">
        <v>840000000</v>
      </c>
      <c r="Q154">
        <v>830000000</v>
      </c>
      <c r="R154">
        <v>820000000</v>
      </c>
      <c r="S154">
        <v>870000000</v>
      </c>
    </row>
    <row r="155" spans="1:19">
      <c r="A155" t="s">
        <v>60</v>
      </c>
      <c r="B155" t="s">
        <v>438</v>
      </c>
      <c r="C155" t="s">
        <v>1761</v>
      </c>
      <c r="D155" t="s">
        <v>470</v>
      </c>
      <c r="G155">
        <f t="shared" si="57"/>
        <v>127684511</v>
      </c>
      <c r="H155">
        <v>9269708</v>
      </c>
      <c r="I155">
        <v>9079716</v>
      </c>
      <c r="J155">
        <v>10240327</v>
      </c>
      <c r="K155">
        <v>10428153</v>
      </c>
      <c r="L155">
        <v>10683772</v>
      </c>
      <c r="M155">
        <v>10999408</v>
      </c>
      <c r="N155">
        <v>11247250</v>
      </c>
      <c r="O155">
        <v>11051648</v>
      </c>
      <c r="P155">
        <v>10796029</v>
      </c>
      <c r="Q155">
        <v>11208368</v>
      </c>
      <c r="R155">
        <v>11080558</v>
      </c>
      <c r="S155">
        <v>11599574</v>
      </c>
    </row>
    <row r="156" spans="1:19">
      <c r="A156" t="s">
        <v>60</v>
      </c>
      <c r="B156" t="s">
        <v>438</v>
      </c>
      <c r="C156" t="s">
        <v>1762</v>
      </c>
      <c r="D156" t="s">
        <v>472</v>
      </c>
      <c r="G156">
        <f t="shared" si="57"/>
        <v>127684511</v>
      </c>
      <c r="H156">
        <v>9269708</v>
      </c>
      <c r="I156">
        <v>9079716</v>
      </c>
      <c r="J156">
        <v>10240327</v>
      </c>
      <c r="K156">
        <v>10428153</v>
      </c>
      <c r="L156">
        <v>10683772</v>
      </c>
      <c r="M156">
        <v>10999408</v>
      </c>
      <c r="N156">
        <v>11247250</v>
      </c>
      <c r="O156">
        <v>11051648</v>
      </c>
      <c r="P156">
        <v>10796029</v>
      </c>
      <c r="Q156">
        <v>11208368</v>
      </c>
      <c r="R156">
        <v>11080558</v>
      </c>
      <c r="S156">
        <v>11599574</v>
      </c>
    </row>
    <row r="157" spans="1:19">
      <c r="A157" t="s">
        <v>60</v>
      </c>
      <c r="B157" t="s">
        <v>438</v>
      </c>
      <c r="C157" t="s">
        <v>1763</v>
      </c>
      <c r="D157" t="s">
        <v>474</v>
      </c>
      <c r="G157">
        <f t="shared" si="57"/>
        <v>127684511</v>
      </c>
      <c r="H157">
        <v>9269708</v>
      </c>
      <c r="I157">
        <v>9079716</v>
      </c>
      <c r="J157">
        <v>10240327</v>
      </c>
      <c r="K157">
        <v>10428153</v>
      </c>
      <c r="L157">
        <v>10683772</v>
      </c>
      <c r="M157">
        <v>10999408</v>
      </c>
      <c r="N157">
        <v>11247250</v>
      </c>
      <c r="O157">
        <v>11051648</v>
      </c>
      <c r="P157">
        <v>10796029</v>
      </c>
      <c r="Q157">
        <v>11208368</v>
      </c>
      <c r="R157">
        <v>11080558</v>
      </c>
      <c r="S157">
        <v>11599574</v>
      </c>
    </row>
    <row r="158" spans="1:19">
      <c r="A158" t="s">
        <v>60</v>
      </c>
      <c r="B158" t="s">
        <v>438</v>
      </c>
      <c r="C158" t="s">
        <v>1764</v>
      </c>
      <c r="D158" t="s">
        <v>476</v>
      </c>
      <c r="G158">
        <f t="shared" si="57"/>
        <v>10000000000</v>
      </c>
      <c r="H158">
        <v>750000000</v>
      </c>
      <c r="I158">
        <v>780000000</v>
      </c>
      <c r="J158">
        <v>820000000</v>
      </c>
      <c r="K158">
        <v>830000000</v>
      </c>
      <c r="L158">
        <v>850000000</v>
      </c>
      <c r="M158">
        <v>870000000</v>
      </c>
      <c r="N158">
        <v>880000000</v>
      </c>
      <c r="O158">
        <v>860000000</v>
      </c>
      <c r="P158">
        <v>840000000</v>
      </c>
      <c r="Q158">
        <v>830000000</v>
      </c>
      <c r="R158">
        <v>820000000</v>
      </c>
      <c r="S158">
        <v>870000000</v>
      </c>
    </row>
    <row r="159" spans="1:19">
      <c r="A159" t="s">
        <v>60</v>
      </c>
      <c r="B159" t="s">
        <v>438</v>
      </c>
      <c r="C159" t="s">
        <v>1765</v>
      </c>
      <c r="D159" t="s">
        <v>478</v>
      </c>
      <c r="G159">
        <f t="shared" si="57"/>
        <v>20000000</v>
      </c>
      <c r="H159">
        <v>1400000</v>
      </c>
      <c r="I159">
        <v>1300000</v>
      </c>
      <c r="J159">
        <v>1560000</v>
      </c>
      <c r="K159">
        <v>1600000</v>
      </c>
      <c r="L159">
        <v>1640000</v>
      </c>
      <c r="M159">
        <v>1700000</v>
      </c>
      <c r="N159">
        <v>1760000</v>
      </c>
      <c r="O159">
        <v>1740000</v>
      </c>
      <c r="P159">
        <v>1700000</v>
      </c>
      <c r="Q159">
        <v>1860000</v>
      </c>
      <c r="R159">
        <v>1840000</v>
      </c>
      <c r="S159">
        <v>1900000</v>
      </c>
    </row>
    <row r="160" spans="1:19">
      <c r="A160" t="s">
        <v>60</v>
      </c>
      <c r="B160" t="s">
        <v>438</v>
      </c>
      <c r="C160" t="s">
        <v>1766</v>
      </c>
      <c r="D160" t="s">
        <v>480</v>
      </c>
      <c r="G160">
        <f t="shared" si="57"/>
        <v>20000000</v>
      </c>
      <c r="H160">
        <v>1400000</v>
      </c>
      <c r="I160">
        <v>1300000</v>
      </c>
      <c r="J160">
        <v>1560000</v>
      </c>
      <c r="K160">
        <v>1600000</v>
      </c>
      <c r="L160">
        <v>1640000</v>
      </c>
      <c r="M160">
        <v>1700000</v>
      </c>
      <c r="N160">
        <v>1760000</v>
      </c>
      <c r="O160">
        <v>1740000</v>
      </c>
      <c r="P160">
        <v>1700000</v>
      </c>
      <c r="Q160">
        <v>1860000</v>
      </c>
      <c r="R160">
        <v>1840000</v>
      </c>
      <c r="S160">
        <v>1900000</v>
      </c>
    </row>
    <row r="161" spans="1:19">
      <c r="A161" t="s">
        <v>60</v>
      </c>
      <c r="B161" t="s">
        <v>438</v>
      </c>
      <c r="C161" t="s">
        <v>1767</v>
      </c>
      <c r="D161" t="s">
        <v>482</v>
      </c>
      <c r="G161">
        <f t="shared" si="57"/>
        <v>127684511</v>
      </c>
      <c r="H161">
        <v>9269708</v>
      </c>
      <c r="I161">
        <v>9079716</v>
      </c>
      <c r="J161">
        <v>10240327</v>
      </c>
      <c r="K161">
        <v>10428153</v>
      </c>
      <c r="L161">
        <v>10683772</v>
      </c>
      <c r="M161">
        <v>10999408</v>
      </c>
      <c r="N161">
        <v>11247250</v>
      </c>
      <c r="O161">
        <v>11051648</v>
      </c>
      <c r="P161">
        <v>10796029</v>
      </c>
      <c r="Q161">
        <v>11208368</v>
      </c>
      <c r="R161">
        <v>11080558</v>
      </c>
      <c r="S161">
        <v>11599574</v>
      </c>
    </row>
    <row r="162" spans="1:19">
      <c r="A162" t="s">
        <v>26</v>
      </c>
      <c r="B162" t="s">
        <v>438</v>
      </c>
      <c r="C162" t="s">
        <v>1768</v>
      </c>
      <c r="D162" t="s">
        <v>484</v>
      </c>
      <c r="G162">
        <f t="shared" si="57"/>
        <v>110000000</v>
      </c>
      <c r="H162">
        <f t="shared" ref="H162:S162" si="64">H163+H164+H165</f>
        <v>7700000</v>
      </c>
      <c r="I162">
        <f t="shared" si="64"/>
        <v>7150000</v>
      </c>
      <c r="J162">
        <f t="shared" si="64"/>
        <v>8580000</v>
      </c>
      <c r="K162">
        <f t="shared" si="64"/>
        <v>8800000</v>
      </c>
      <c r="L162">
        <f t="shared" si="64"/>
        <v>9020000</v>
      </c>
      <c r="M162">
        <f t="shared" si="64"/>
        <v>9350000</v>
      </c>
      <c r="N162">
        <f t="shared" si="64"/>
        <v>9680000</v>
      </c>
      <c r="O162">
        <f t="shared" si="64"/>
        <v>9570000</v>
      </c>
      <c r="P162">
        <f t="shared" si="64"/>
        <v>9350000</v>
      </c>
      <c r="Q162">
        <f t="shared" si="64"/>
        <v>10230000</v>
      </c>
      <c r="R162">
        <f t="shared" si="64"/>
        <v>10120000</v>
      </c>
      <c r="S162">
        <f t="shared" si="64"/>
        <v>10450000</v>
      </c>
    </row>
    <row r="163" spans="1:19">
      <c r="A163" t="s">
        <v>60</v>
      </c>
      <c r="B163" t="s">
        <v>438</v>
      </c>
      <c r="C163" t="s">
        <v>1769</v>
      </c>
      <c r="D163" t="s">
        <v>486</v>
      </c>
      <c r="G163">
        <f t="shared" si="57"/>
        <v>50000000</v>
      </c>
      <c r="H163">
        <v>3500000</v>
      </c>
      <c r="I163">
        <v>3250000</v>
      </c>
      <c r="J163">
        <v>3900000</v>
      </c>
      <c r="K163">
        <v>4000000</v>
      </c>
      <c r="L163">
        <v>4100000</v>
      </c>
      <c r="M163">
        <v>4250000</v>
      </c>
      <c r="N163">
        <v>4400000</v>
      </c>
      <c r="O163">
        <v>4350000</v>
      </c>
      <c r="P163">
        <v>4250000</v>
      </c>
      <c r="Q163">
        <v>4650000</v>
      </c>
      <c r="R163">
        <v>4600000</v>
      </c>
      <c r="S163">
        <v>4750000</v>
      </c>
    </row>
    <row r="164" spans="1:19">
      <c r="A164" t="s">
        <v>60</v>
      </c>
      <c r="B164" t="s">
        <v>438</v>
      </c>
      <c r="C164" t="s">
        <v>1770</v>
      </c>
      <c r="D164" t="s">
        <v>488</v>
      </c>
      <c r="G164">
        <f t="shared" si="57"/>
        <v>40000000</v>
      </c>
      <c r="H164">
        <v>2800000</v>
      </c>
      <c r="I164">
        <v>2600000</v>
      </c>
      <c r="J164">
        <v>3120000</v>
      </c>
      <c r="K164">
        <v>3200000</v>
      </c>
      <c r="L164">
        <v>3280000</v>
      </c>
      <c r="M164">
        <v>3400000</v>
      </c>
      <c r="N164">
        <v>3520000</v>
      </c>
      <c r="O164">
        <v>3480000</v>
      </c>
      <c r="P164">
        <v>3400000</v>
      </c>
      <c r="Q164">
        <v>3720000</v>
      </c>
      <c r="R164">
        <v>3680000</v>
      </c>
      <c r="S164">
        <v>3800000</v>
      </c>
    </row>
    <row r="165" spans="1:19">
      <c r="A165" t="s">
        <v>60</v>
      </c>
      <c r="B165" t="s">
        <v>438</v>
      </c>
      <c r="C165" t="s">
        <v>1771</v>
      </c>
      <c r="D165" t="s">
        <v>490</v>
      </c>
      <c r="G165">
        <f t="shared" si="57"/>
        <v>20000000</v>
      </c>
      <c r="H165">
        <v>1400000</v>
      </c>
      <c r="I165">
        <v>1300000</v>
      </c>
      <c r="J165">
        <v>1560000</v>
      </c>
      <c r="K165">
        <v>1600000</v>
      </c>
      <c r="L165">
        <v>1640000</v>
      </c>
      <c r="M165">
        <v>1700000</v>
      </c>
      <c r="N165">
        <v>1760000</v>
      </c>
      <c r="O165">
        <v>1740000</v>
      </c>
      <c r="P165">
        <v>1700000</v>
      </c>
      <c r="Q165">
        <v>1860000</v>
      </c>
      <c r="R165">
        <v>1840000</v>
      </c>
      <c r="S165">
        <v>1900000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1746</v>
      </c>
      <c r="D2" t="s">
        <v>440</v>
      </c>
      <c r="G2">
        <f t="shared" ref="G2:G27" si="0">H2+I2+J2+K2+L2+M2+N2+O2+P2+Q2+R2+S2</f>
        <v>65376557190</v>
      </c>
      <c r="H2">
        <f t="shared" ref="H2:S2" si="1">H3</f>
        <v>4726544905</v>
      </c>
      <c r="I2">
        <f t="shared" si="1"/>
        <v>4639959560</v>
      </c>
      <c r="J2">
        <f t="shared" si="1"/>
        <v>5219520185</v>
      </c>
      <c r="K2">
        <f t="shared" si="1"/>
        <v>5320236115</v>
      </c>
      <c r="L2">
        <f t="shared" si="1"/>
        <v>5450989230</v>
      </c>
      <c r="M2">
        <f t="shared" si="1"/>
        <v>5617081720</v>
      </c>
      <c r="N2">
        <f t="shared" si="1"/>
        <v>5753137035</v>
      </c>
      <c r="O2">
        <f t="shared" si="1"/>
        <v>5657723295</v>
      </c>
      <c r="P2">
        <f t="shared" si="1"/>
        <v>5526970180</v>
      </c>
      <c r="Q2">
        <f t="shared" si="1"/>
        <v>5779648015</v>
      </c>
      <c r="R2">
        <f t="shared" si="1"/>
        <v>5714271460</v>
      </c>
      <c r="S2">
        <f t="shared" si="1"/>
        <v>5970475490</v>
      </c>
    </row>
    <row r="3" spans="1:19">
      <c r="A3" t="s">
        <v>19</v>
      </c>
      <c r="B3" t="s">
        <v>179</v>
      </c>
      <c r="C3" t="s">
        <v>1747</v>
      </c>
      <c r="D3" t="s">
        <v>442</v>
      </c>
      <c r="G3">
        <f t="shared" si="0"/>
        <v>65376557190</v>
      </c>
      <c r="H3">
        <f t="shared" ref="H3:S3" si="2">H4+H9+H24</f>
        <v>4726544905</v>
      </c>
      <c r="I3">
        <f t="shared" si="2"/>
        <v>4639959560</v>
      </c>
      <c r="J3">
        <f t="shared" si="2"/>
        <v>5219520185</v>
      </c>
      <c r="K3">
        <f t="shared" si="2"/>
        <v>5320236115</v>
      </c>
      <c r="L3">
        <f t="shared" si="2"/>
        <v>5450989230</v>
      </c>
      <c r="M3">
        <f t="shared" si="2"/>
        <v>5617081720</v>
      </c>
      <c r="N3">
        <f t="shared" si="2"/>
        <v>5753137035</v>
      </c>
      <c r="O3">
        <f t="shared" si="2"/>
        <v>5657723295</v>
      </c>
      <c r="P3">
        <f t="shared" si="2"/>
        <v>5526970180</v>
      </c>
      <c r="Q3">
        <f t="shared" si="2"/>
        <v>5779648015</v>
      </c>
      <c r="R3">
        <f t="shared" si="2"/>
        <v>5714271460</v>
      </c>
      <c r="S3">
        <f t="shared" si="2"/>
        <v>5970475490</v>
      </c>
    </row>
    <row r="4" spans="1:19">
      <c r="A4" t="s">
        <v>23</v>
      </c>
      <c r="B4" t="s">
        <v>179</v>
      </c>
      <c r="C4" t="s">
        <v>1748</v>
      </c>
      <c r="D4" t="s">
        <v>444</v>
      </c>
      <c r="G4">
        <f t="shared" si="0"/>
        <v>130000000</v>
      </c>
      <c r="H4">
        <f t="shared" ref="H4:S4" si="3">H5+H6+H7+H8</f>
        <v>9100000</v>
      </c>
      <c r="I4">
        <f t="shared" si="3"/>
        <v>8450000</v>
      </c>
      <c r="J4">
        <f t="shared" si="3"/>
        <v>10140000</v>
      </c>
      <c r="K4">
        <f t="shared" si="3"/>
        <v>10400000</v>
      </c>
      <c r="L4">
        <f t="shared" si="3"/>
        <v>10660000</v>
      </c>
      <c r="M4">
        <f t="shared" si="3"/>
        <v>11050000</v>
      </c>
      <c r="N4">
        <f t="shared" si="3"/>
        <v>11440000</v>
      </c>
      <c r="O4">
        <f t="shared" si="3"/>
        <v>11310000</v>
      </c>
      <c r="P4">
        <f t="shared" si="3"/>
        <v>11050000</v>
      </c>
      <c r="Q4">
        <f t="shared" si="3"/>
        <v>12090000</v>
      </c>
      <c r="R4">
        <f t="shared" si="3"/>
        <v>11960000</v>
      </c>
      <c r="S4">
        <f t="shared" si="3"/>
        <v>12350000</v>
      </c>
    </row>
    <row r="5" spans="1:19">
      <c r="A5" t="s">
        <v>26</v>
      </c>
      <c r="B5" t="s">
        <v>179</v>
      </c>
      <c r="C5" t="s">
        <v>1749</v>
      </c>
      <c r="D5" t="s">
        <v>446</v>
      </c>
      <c r="G5">
        <f t="shared" si="0"/>
        <v>50000000</v>
      </c>
      <c r="H5">
        <v>3500000</v>
      </c>
      <c r="I5">
        <v>3250000</v>
      </c>
      <c r="J5">
        <v>3900000</v>
      </c>
      <c r="K5">
        <v>4000000</v>
      </c>
      <c r="L5">
        <v>4100000</v>
      </c>
      <c r="M5">
        <v>4250000</v>
      </c>
      <c r="N5">
        <v>4400000</v>
      </c>
      <c r="O5">
        <v>4350000</v>
      </c>
      <c r="P5">
        <v>4250000</v>
      </c>
      <c r="Q5">
        <v>4650000</v>
      </c>
      <c r="R5">
        <v>4600000</v>
      </c>
      <c r="S5">
        <v>4750000</v>
      </c>
    </row>
    <row r="6" spans="1:19">
      <c r="A6" t="s">
        <v>26</v>
      </c>
      <c r="B6" t="s">
        <v>179</v>
      </c>
      <c r="C6" t="s">
        <v>1750</v>
      </c>
      <c r="D6" t="s">
        <v>448</v>
      </c>
      <c r="G6">
        <f t="shared" si="0"/>
        <v>40000000</v>
      </c>
      <c r="H6">
        <v>2800000</v>
      </c>
      <c r="I6">
        <v>2600000</v>
      </c>
      <c r="J6">
        <v>3120000</v>
      </c>
      <c r="K6">
        <v>3200000</v>
      </c>
      <c r="L6">
        <v>3280000</v>
      </c>
      <c r="M6">
        <v>3400000</v>
      </c>
      <c r="N6">
        <v>3520000</v>
      </c>
      <c r="O6">
        <v>3480000</v>
      </c>
      <c r="P6">
        <v>3400000</v>
      </c>
      <c r="Q6">
        <v>3720000</v>
      </c>
      <c r="R6">
        <v>3680000</v>
      </c>
      <c r="S6">
        <v>3800000</v>
      </c>
    </row>
    <row r="7" spans="1:19">
      <c r="A7" t="s">
        <v>26</v>
      </c>
      <c r="B7" t="s">
        <v>179</v>
      </c>
      <c r="C7" t="s">
        <v>1751</v>
      </c>
      <c r="D7" t="s">
        <v>450</v>
      </c>
      <c r="G7">
        <f t="shared" si="0"/>
        <v>20000000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26</v>
      </c>
      <c r="B8" t="s">
        <v>179</v>
      </c>
      <c r="C8" t="s">
        <v>1752</v>
      </c>
      <c r="D8" t="s">
        <v>452</v>
      </c>
      <c r="G8">
        <f t="shared" si="0"/>
        <v>20000000</v>
      </c>
      <c r="H8">
        <v>1400000</v>
      </c>
      <c r="I8">
        <v>1300000</v>
      </c>
      <c r="J8">
        <v>1560000</v>
      </c>
      <c r="K8">
        <v>1600000</v>
      </c>
      <c r="L8">
        <v>1640000</v>
      </c>
      <c r="M8">
        <v>1700000</v>
      </c>
      <c r="N8">
        <v>1760000</v>
      </c>
      <c r="O8">
        <v>1740000</v>
      </c>
      <c r="P8">
        <v>1700000</v>
      </c>
      <c r="Q8">
        <v>1860000</v>
      </c>
      <c r="R8">
        <v>1840000</v>
      </c>
      <c r="S8">
        <v>1900000</v>
      </c>
    </row>
    <row r="9" spans="1:19">
      <c r="A9" t="s">
        <v>23</v>
      </c>
      <c r="B9" t="s">
        <v>179</v>
      </c>
      <c r="C9" t="s">
        <v>1753</v>
      </c>
      <c r="D9" t="s">
        <v>454</v>
      </c>
      <c r="G9">
        <f t="shared" si="0"/>
        <v>65136557190</v>
      </c>
      <c r="H9">
        <f t="shared" ref="H9:S9" si="4">H10+H11+H12+H13+H14+H15+H16+H17+H18+H19+H20+H21+H22+H23</f>
        <v>4709744905</v>
      </c>
      <c r="I9">
        <f t="shared" si="4"/>
        <v>4624359560</v>
      </c>
      <c r="J9">
        <f t="shared" si="4"/>
        <v>5200800185</v>
      </c>
      <c r="K9">
        <f t="shared" si="4"/>
        <v>5301036115</v>
      </c>
      <c r="L9">
        <f t="shared" si="4"/>
        <v>5431309230</v>
      </c>
      <c r="M9">
        <f t="shared" si="4"/>
        <v>5596681720</v>
      </c>
      <c r="N9">
        <f t="shared" si="4"/>
        <v>5732017035</v>
      </c>
      <c r="O9">
        <f t="shared" si="4"/>
        <v>5636843295</v>
      </c>
      <c r="P9">
        <f t="shared" si="4"/>
        <v>5506570180</v>
      </c>
      <c r="Q9">
        <f t="shared" si="4"/>
        <v>5757328015</v>
      </c>
      <c r="R9">
        <f t="shared" si="4"/>
        <v>5692191460</v>
      </c>
      <c r="S9">
        <f t="shared" si="4"/>
        <v>5947675490</v>
      </c>
    </row>
    <row r="10" spans="1:19">
      <c r="A10" t="s">
        <v>26</v>
      </c>
      <c r="B10" t="s">
        <v>179</v>
      </c>
      <c r="C10" t="s">
        <v>1754</v>
      </c>
      <c r="D10" t="s">
        <v>456</v>
      </c>
      <c r="G10">
        <f t="shared" si="0"/>
        <v>10000000000</v>
      </c>
      <c r="H10">
        <v>750000000</v>
      </c>
      <c r="I10">
        <v>780000000</v>
      </c>
      <c r="J10">
        <v>820000000</v>
      </c>
      <c r="K10">
        <v>830000000</v>
      </c>
      <c r="L10">
        <v>850000000</v>
      </c>
      <c r="M10">
        <v>870000000</v>
      </c>
      <c r="N10">
        <v>880000000</v>
      </c>
      <c r="O10">
        <v>860000000</v>
      </c>
      <c r="P10">
        <v>840000000</v>
      </c>
      <c r="Q10">
        <v>830000000</v>
      </c>
      <c r="R10">
        <v>820000000</v>
      </c>
      <c r="S10">
        <v>870000000</v>
      </c>
    </row>
    <row r="11" spans="1:19">
      <c r="A11" t="s">
        <v>26</v>
      </c>
      <c r="B11" t="s">
        <v>179</v>
      </c>
      <c r="C11" t="s">
        <v>1755</v>
      </c>
      <c r="D11" t="s">
        <v>458</v>
      </c>
      <c r="G11">
        <f t="shared" si="0"/>
        <v>50000000</v>
      </c>
      <c r="H11">
        <v>3500000</v>
      </c>
      <c r="I11">
        <v>3250000</v>
      </c>
      <c r="J11">
        <v>3900000</v>
      </c>
      <c r="K11">
        <v>4000000</v>
      </c>
      <c r="L11">
        <v>4100000</v>
      </c>
      <c r="M11">
        <v>4250000</v>
      </c>
      <c r="N11">
        <v>4400000</v>
      </c>
      <c r="O11">
        <v>4350000</v>
      </c>
      <c r="P11">
        <v>4250000</v>
      </c>
      <c r="Q11">
        <v>4650000</v>
      </c>
      <c r="R11">
        <v>4600000</v>
      </c>
      <c r="S11">
        <v>4750000</v>
      </c>
    </row>
    <row r="12" spans="1:19">
      <c r="A12" t="s">
        <v>26</v>
      </c>
      <c r="B12" t="s">
        <v>179</v>
      </c>
      <c r="C12" t="s">
        <v>1756</v>
      </c>
      <c r="D12" t="s">
        <v>460</v>
      </c>
      <c r="G12">
        <f t="shared" si="0"/>
        <v>40000000</v>
      </c>
      <c r="H12">
        <v>2800000</v>
      </c>
      <c r="I12">
        <v>2600000</v>
      </c>
      <c r="J12">
        <v>3120000</v>
      </c>
      <c r="K12">
        <v>3200000</v>
      </c>
      <c r="L12">
        <v>3280000</v>
      </c>
      <c r="M12">
        <v>3400000</v>
      </c>
      <c r="N12">
        <v>3520000</v>
      </c>
      <c r="O12">
        <v>3480000</v>
      </c>
      <c r="P12">
        <v>3400000</v>
      </c>
      <c r="Q12">
        <v>3720000</v>
      </c>
      <c r="R12">
        <v>3680000</v>
      </c>
      <c r="S12">
        <v>3800000</v>
      </c>
    </row>
    <row r="13" spans="1:19">
      <c r="A13" t="s">
        <v>26</v>
      </c>
      <c r="B13" t="s">
        <v>179</v>
      </c>
      <c r="C13" t="s">
        <v>1757</v>
      </c>
      <c r="D13" t="s">
        <v>462</v>
      </c>
      <c r="G13">
        <f t="shared" si="0"/>
        <v>4800000000</v>
      </c>
      <c r="H13">
        <v>336000000</v>
      </c>
      <c r="I13">
        <v>312000000</v>
      </c>
      <c r="J13">
        <v>374400000</v>
      </c>
      <c r="K13">
        <v>384000000</v>
      </c>
      <c r="L13">
        <v>393600000</v>
      </c>
      <c r="M13">
        <v>408000000</v>
      </c>
      <c r="N13">
        <v>422400000</v>
      </c>
      <c r="O13">
        <v>417600000</v>
      </c>
      <c r="P13">
        <v>408000000</v>
      </c>
      <c r="Q13">
        <v>446400000</v>
      </c>
      <c r="R13">
        <v>441600000</v>
      </c>
      <c r="S13">
        <v>456000000</v>
      </c>
    </row>
    <row r="14" spans="1:19">
      <c r="A14" t="s">
        <v>26</v>
      </c>
      <c r="B14" t="s">
        <v>179</v>
      </c>
      <c r="C14" t="s">
        <v>1758</v>
      </c>
      <c r="D14" t="s">
        <v>464</v>
      </c>
      <c r="G14">
        <f t="shared" si="0"/>
        <v>41311438</v>
      </c>
      <c r="H14">
        <v>2928981</v>
      </c>
      <c r="I14">
        <v>2781912</v>
      </c>
      <c r="J14">
        <v>3252037</v>
      </c>
      <c r="K14">
        <v>3327223</v>
      </c>
      <c r="L14">
        <v>3409846</v>
      </c>
      <c r="M14">
        <v>3526344</v>
      </c>
      <c r="N14">
        <v>3635407</v>
      </c>
      <c r="O14">
        <v>3586659</v>
      </c>
      <c r="P14">
        <v>3504036</v>
      </c>
      <c r="Q14">
        <v>3767603</v>
      </c>
      <c r="R14">
        <v>3726292</v>
      </c>
      <c r="S14">
        <v>3865098</v>
      </c>
    </row>
    <row r="15" spans="1:19">
      <c r="A15" t="s">
        <v>26</v>
      </c>
      <c r="B15" t="s">
        <v>179</v>
      </c>
      <c r="C15" t="s">
        <v>1759</v>
      </c>
      <c r="D15" t="s">
        <v>466</v>
      </c>
      <c r="G15">
        <f t="shared" si="0"/>
        <v>30000000000</v>
      </c>
      <c r="H15">
        <v>2100000000</v>
      </c>
      <c r="I15">
        <v>1950000000</v>
      </c>
      <c r="J15">
        <v>2340000000</v>
      </c>
      <c r="K15">
        <v>2400000000</v>
      </c>
      <c r="L15">
        <v>2460000000</v>
      </c>
      <c r="M15">
        <v>2550000000</v>
      </c>
      <c r="N15">
        <v>2640000000</v>
      </c>
      <c r="O15">
        <v>2610000000</v>
      </c>
      <c r="P15">
        <v>2550000000</v>
      </c>
      <c r="Q15">
        <v>2790000000</v>
      </c>
      <c r="R15">
        <v>2760000000</v>
      </c>
      <c r="S15">
        <v>2850000000</v>
      </c>
    </row>
    <row r="16" spans="1:19">
      <c r="A16" t="s">
        <v>26</v>
      </c>
      <c r="B16" t="s">
        <v>179</v>
      </c>
      <c r="C16" t="s">
        <v>1760</v>
      </c>
      <c r="D16" t="s">
        <v>468</v>
      </c>
      <c r="G16">
        <f t="shared" si="0"/>
        <v>10000000000</v>
      </c>
      <c r="H16">
        <v>750000000</v>
      </c>
      <c r="I16">
        <v>780000000</v>
      </c>
      <c r="J16">
        <v>820000000</v>
      </c>
      <c r="K16">
        <v>830000000</v>
      </c>
      <c r="L16">
        <v>850000000</v>
      </c>
      <c r="M16">
        <v>870000000</v>
      </c>
      <c r="N16">
        <v>880000000</v>
      </c>
      <c r="O16">
        <v>860000000</v>
      </c>
      <c r="P16">
        <v>840000000</v>
      </c>
      <c r="Q16">
        <v>830000000</v>
      </c>
      <c r="R16">
        <v>820000000</v>
      </c>
      <c r="S16">
        <v>870000000</v>
      </c>
    </row>
    <row r="17" spans="1:19">
      <c r="A17" t="s">
        <v>26</v>
      </c>
      <c r="B17" t="s">
        <v>179</v>
      </c>
      <c r="C17" t="s">
        <v>1761</v>
      </c>
      <c r="D17" t="s">
        <v>470</v>
      </c>
      <c r="G17">
        <f t="shared" si="0"/>
        <v>41311438</v>
      </c>
      <c r="H17">
        <v>2928981</v>
      </c>
      <c r="I17">
        <v>2781912</v>
      </c>
      <c r="J17">
        <v>3252037</v>
      </c>
      <c r="K17">
        <v>3327223</v>
      </c>
      <c r="L17">
        <v>3409846</v>
      </c>
      <c r="M17">
        <v>3526344</v>
      </c>
      <c r="N17">
        <v>3635407</v>
      </c>
      <c r="O17">
        <v>3586659</v>
      </c>
      <c r="P17">
        <v>3504036</v>
      </c>
      <c r="Q17">
        <v>3767603</v>
      </c>
      <c r="R17">
        <v>3726292</v>
      </c>
      <c r="S17">
        <v>3865098</v>
      </c>
    </row>
    <row r="18" spans="1:19">
      <c r="A18" t="s">
        <v>26</v>
      </c>
      <c r="B18" t="s">
        <v>179</v>
      </c>
      <c r="C18" t="s">
        <v>1762</v>
      </c>
      <c r="D18" t="s">
        <v>472</v>
      </c>
      <c r="G18">
        <f t="shared" si="0"/>
        <v>41311438</v>
      </c>
      <c r="H18">
        <v>2928981</v>
      </c>
      <c r="I18">
        <v>2781912</v>
      </c>
      <c r="J18">
        <v>3252037</v>
      </c>
      <c r="K18">
        <v>3327223</v>
      </c>
      <c r="L18">
        <v>3409846</v>
      </c>
      <c r="M18">
        <v>3526344</v>
      </c>
      <c r="N18">
        <v>3635407</v>
      </c>
      <c r="O18">
        <v>3586659</v>
      </c>
      <c r="P18">
        <v>3504036</v>
      </c>
      <c r="Q18">
        <v>3767603</v>
      </c>
      <c r="R18">
        <v>3726292</v>
      </c>
      <c r="S18">
        <v>3865098</v>
      </c>
    </row>
    <row r="19" spans="1:19">
      <c r="A19" t="s">
        <v>26</v>
      </c>
      <c r="B19" t="s">
        <v>179</v>
      </c>
      <c r="C19" t="s">
        <v>1763</v>
      </c>
      <c r="D19" t="s">
        <v>474</v>
      </c>
      <c r="G19">
        <f t="shared" si="0"/>
        <v>41311438</v>
      </c>
      <c r="H19">
        <v>2928981</v>
      </c>
      <c r="I19">
        <v>2781912</v>
      </c>
      <c r="J19">
        <v>3252037</v>
      </c>
      <c r="K19">
        <v>3327223</v>
      </c>
      <c r="L19">
        <v>3409846</v>
      </c>
      <c r="M19">
        <v>3526344</v>
      </c>
      <c r="N19">
        <v>3635407</v>
      </c>
      <c r="O19">
        <v>3586659</v>
      </c>
      <c r="P19">
        <v>3504036</v>
      </c>
      <c r="Q19">
        <v>3767603</v>
      </c>
      <c r="R19">
        <v>3726292</v>
      </c>
      <c r="S19">
        <v>3865098</v>
      </c>
    </row>
    <row r="20" spans="1:19">
      <c r="A20" t="s">
        <v>26</v>
      </c>
      <c r="B20" t="s">
        <v>179</v>
      </c>
      <c r="C20" t="s">
        <v>1764</v>
      </c>
      <c r="D20" t="s">
        <v>476</v>
      </c>
      <c r="G20">
        <f t="shared" si="0"/>
        <v>10000000000</v>
      </c>
      <c r="H20">
        <v>750000000</v>
      </c>
      <c r="I20">
        <v>780000000</v>
      </c>
      <c r="J20">
        <v>820000000</v>
      </c>
      <c r="K20">
        <v>830000000</v>
      </c>
      <c r="L20">
        <v>850000000</v>
      </c>
      <c r="M20">
        <v>870000000</v>
      </c>
      <c r="N20">
        <v>880000000</v>
      </c>
      <c r="O20">
        <v>860000000</v>
      </c>
      <c r="P20">
        <v>840000000</v>
      </c>
      <c r="Q20">
        <v>830000000</v>
      </c>
      <c r="R20">
        <v>820000000</v>
      </c>
      <c r="S20">
        <v>870000000</v>
      </c>
    </row>
    <row r="21" spans="1:19">
      <c r="A21" t="s">
        <v>26</v>
      </c>
      <c r="B21" t="s">
        <v>179</v>
      </c>
      <c r="C21" t="s">
        <v>1765</v>
      </c>
      <c r="D21" t="s">
        <v>478</v>
      </c>
      <c r="G21">
        <f t="shared" si="0"/>
        <v>20000000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26</v>
      </c>
      <c r="B22" t="s">
        <v>179</v>
      </c>
      <c r="C22" t="s">
        <v>1766</v>
      </c>
      <c r="D22" t="s">
        <v>480</v>
      </c>
      <c r="G22">
        <f t="shared" si="0"/>
        <v>20000000</v>
      </c>
      <c r="H22">
        <v>1400000</v>
      </c>
      <c r="I22">
        <v>1300000</v>
      </c>
      <c r="J22">
        <v>1560000</v>
      </c>
      <c r="K22">
        <v>1600000</v>
      </c>
      <c r="L22">
        <v>1640000</v>
      </c>
      <c r="M22">
        <v>1700000</v>
      </c>
      <c r="N22">
        <v>1760000</v>
      </c>
      <c r="O22">
        <v>1740000</v>
      </c>
      <c r="P22">
        <v>1700000</v>
      </c>
      <c r="Q22">
        <v>1860000</v>
      </c>
      <c r="R22">
        <v>1840000</v>
      </c>
      <c r="S22">
        <v>1900000</v>
      </c>
    </row>
    <row r="23" spans="1:19">
      <c r="A23" t="s">
        <v>26</v>
      </c>
      <c r="B23" t="s">
        <v>179</v>
      </c>
      <c r="C23" t="s">
        <v>1767</v>
      </c>
      <c r="D23" t="s">
        <v>482</v>
      </c>
      <c r="G23">
        <f t="shared" si="0"/>
        <v>41311438</v>
      </c>
      <c r="H23">
        <v>2928981</v>
      </c>
      <c r="I23">
        <v>2781912</v>
      </c>
      <c r="J23">
        <v>3252037</v>
      </c>
      <c r="K23">
        <v>3327223</v>
      </c>
      <c r="L23">
        <v>3409846</v>
      </c>
      <c r="M23">
        <v>3526344</v>
      </c>
      <c r="N23">
        <v>3635407</v>
      </c>
      <c r="O23">
        <v>3586659</v>
      </c>
      <c r="P23">
        <v>3504036</v>
      </c>
      <c r="Q23">
        <v>3767603</v>
      </c>
      <c r="R23">
        <v>3726292</v>
      </c>
      <c r="S23">
        <v>3865098</v>
      </c>
    </row>
    <row r="24" spans="1:19">
      <c r="A24" t="s">
        <v>23</v>
      </c>
      <c r="B24" t="s">
        <v>179</v>
      </c>
      <c r="C24" t="s">
        <v>1768</v>
      </c>
      <c r="D24" t="s">
        <v>484</v>
      </c>
      <c r="G24">
        <f t="shared" si="0"/>
        <v>110000000</v>
      </c>
      <c r="H24">
        <f t="shared" ref="H24:S24" si="5">H25+H26+H27</f>
        <v>7700000</v>
      </c>
      <c r="I24">
        <f t="shared" si="5"/>
        <v>7150000</v>
      </c>
      <c r="J24">
        <f t="shared" si="5"/>
        <v>8580000</v>
      </c>
      <c r="K24">
        <f t="shared" si="5"/>
        <v>8800000</v>
      </c>
      <c r="L24">
        <f t="shared" si="5"/>
        <v>9020000</v>
      </c>
      <c r="M24">
        <f t="shared" si="5"/>
        <v>9350000</v>
      </c>
      <c r="N24">
        <f t="shared" si="5"/>
        <v>9680000</v>
      </c>
      <c r="O24">
        <f t="shared" si="5"/>
        <v>9570000</v>
      </c>
      <c r="P24">
        <f t="shared" si="5"/>
        <v>9350000</v>
      </c>
      <c r="Q24">
        <f t="shared" si="5"/>
        <v>10230000</v>
      </c>
      <c r="R24">
        <f t="shared" si="5"/>
        <v>10120000</v>
      </c>
      <c r="S24">
        <f t="shared" si="5"/>
        <v>10450000</v>
      </c>
    </row>
    <row r="25" spans="1:19">
      <c r="A25" t="s">
        <v>26</v>
      </c>
      <c r="B25" t="s">
        <v>179</v>
      </c>
      <c r="C25" t="s">
        <v>1769</v>
      </c>
      <c r="D25" t="s">
        <v>486</v>
      </c>
      <c r="G25">
        <f t="shared" si="0"/>
        <v>50000000</v>
      </c>
      <c r="H25">
        <v>3500000</v>
      </c>
      <c r="I25">
        <v>3250000</v>
      </c>
      <c r="J25">
        <v>3900000</v>
      </c>
      <c r="K25">
        <v>4000000</v>
      </c>
      <c r="L25">
        <v>4100000</v>
      </c>
      <c r="M25">
        <v>4250000</v>
      </c>
      <c r="N25">
        <v>4400000</v>
      </c>
      <c r="O25">
        <v>4350000</v>
      </c>
      <c r="P25">
        <v>4250000</v>
      </c>
      <c r="Q25">
        <v>4650000</v>
      </c>
      <c r="R25">
        <v>4600000</v>
      </c>
      <c r="S25">
        <v>4750000</v>
      </c>
    </row>
    <row r="26" spans="1:19">
      <c r="A26" t="s">
        <v>26</v>
      </c>
      <c r="B26" t="s">
        <v>179</v>
      </c>
      <c r="C26" t="s">
        <v>1770</v>
      </c>
      <c r="D26" t="s">
        <v>488</v>
      </c>
      <c r="G26">
        <f t="shared" si="0"/>
        <v>40000000</v>
      </c>
      <c r="H26">
        <v>2800000</v>
      </c>
      <c r="I26">
        <v>2600000</v>
      </c>
      <c r="J26">
        <v>3120000</v>
      </c>
      <c r="K26">
        <v>3200000</v>
      </c>
      <c r="L26">
        <v>3280000</v>
      </c>
      <c r="M26">
        <v>3400000</v>
      </c>
      <c r="N26">
        <v>3520000</v>
      </c>
      <c r="O26">
        <v>3480000</v>
      </c>
      <c r="P26">
        <v>3400000</v>
      </c>
      <c r="Q26">
        <v>3720000</v>
      </c>
      <c r="R26">
        <v>3680000</v>
      </c>
      <c r="S26">
        <v>3800000</v>
      </c>
    </row>
    <row r="27" spans="1:19">
      <c r="A27" t="s">
        <v>26</v>
      </c>
      <c r="B27" t="s">
        <v>179</v>
      </c>
      <c r="C27" t="s">
        <v>1771</v>
      </c>
      <c r="D27" t="s">
        <v>490</v>
      </c>
      <c r="G27">
        <f t="shared" si="0"/>
        <v>20000000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1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1772</v>
      </c>
      <c r="D2" t="s">
        <v>22</v>
      </c>
      <c r="G2">
        <f t="shared" ref="G2:G65" si="0">H2+I2+J2+K2+L2+M2+N2+O2+P2+Q2+R2+S2</f>
        <v>4443182862</v>
      </c>
      <c r="H2">
        <f t="shared" ref="H2:S2" si="1">H3+H6+H7</f>
        <v>319586982</v>
      </c>
      <c r="I2">
        <f t="shared" si="1"/>
        <v>308457518</v>
      </c>
      <c r="J2">
        <f t="shared" si="1"/>
        <v>353911552</v>
      </c>
      <c r="K2">
        <f t="shared" si="1"/>
        <v>361047480</v>
      </c>
      <c r="L2">
        <f t="shared" si="1"/>
        <v>369941844</v>
      </c>
      <c r="M2">
        <f t="shared" si="1"/>
        <v>381524874</v>
      </c>
      <c r="N2">
        <f t="shared" si="1"/>
        <v>391349652</v>
      </c>
      <c r="O2">
        <f t="shared" si="1"/>
        <v>385144142</v>
      </c>
      <c r="P2">
        <f t="shared" si="1"/>
        <v>376249776</v>
      </c>
      <c r="Q2">
        <f t="shared" si="1"/>
        <v>396001680</v>
      </c>
      <c r="R2">
        <f t="shared" si="1"/>
        <v>391554578</v>
      </c>
      <c r="S2">
        <f t="shared" si="1"/>
        <v>408412784</v>
      </c>
    </row>
    <row r="3" spans="1:19">
      <c r="A3" t="s">
        <v>23</v>
      </c>
      <c r="B3" t="s">
        <v>20</v>
      </c>
      <c r="C3" t="s">
        <v>1773</v>
      </c>
      <c r="D3" t="s">
        <v>25</v>
      </c>
      <c r="G3">
        <f t="shared" si="0"/>
        <v>403925686</v>
      </c>
      <c r="H3">
        <f t="shared" ref="H3:S3" si="2">H4+H5</f>
        <v>29053360</v>
      </c>
      <c r="I3">
        <f t="shared" si="2"/>
        <v>28041590</v>
      </c>
      <c r="J3">
        <f t="shared" si="2"/>
        <v>32173776</v>
      </c>
      <c r="K3">
        <f t="shared" si="2"/>
        <v>32822496</v>
      </c>
      <c r="L3">
        <f t="shared" si="2"/>
        <v>33631074</v>
      </c>
      <c r="M3">
        <f t="shared" si="2"/>
        <v>34684078</v>
      </c>
      <c r="N3">
        <f t="shared" si="2"/>
        <v>35577238</v>
      </c>
      <c r="O3">
        <f t="shared" si="2"/>
        <v>35013102</v>
      </c>
      <c r="P3">
        <f t="shared" si="2"/>
        <v>34204522</v>
      </c>
      <c r="Q3">
        <f t="shared" si="2"/>
        <v>36000150</v>
      </c>
      <c r="R3">
        <f t="shared" si="2"/>
        <v>35595868</v>
      </c>
      <c r="S3">
        <f t="shared" si="2"/>
        <v>37128432</v>
      </c>
    </row>
    <row r="4" spans="1:19">
      <c r="A4" t="s">
        <v>26</v>
      </c>
      <c r="B4" t="s">
        <v>20</v>
      </c>
      <c r="C4" t="s">
        <v>1774</v>
      </c>
      <c r="D4" t="s">
        <v>28</v>
      </c>
      <c r="G4">
        <f t="shared" si="0"/>
        <v>201962843</v>
      </c>
      <c r="H4">
        <v>14526680</v>
      </c>
      <c r="I4">
        <v>14020795</v>
      </c>
      <c r="J4">
        <v>16086888</v>
      </c>
      <c r="K4">
        <v>16411248</v>
      </c>
      <c r="L4">
        <v>16815537</v>
      </c>
      <c r="M4">
        <v>17342039</v>
      </c>
      <c r="N4">
        <v>17788619</v>
      </c>
      <c r="O4">
        <v>17506551</v>
      </c>
      <c r="P4">
        <v>17102261</v>
      </c>
      <c r="Q4">
        <v>18000075</v>
      </c>
      <c r="R4">
        <v>17797934</v>
      </c>
      <c r="S4">
        <v>18564216</v>
      </c>
    </row>
    <row r="5" spans="1:19">
      <c r="A5" t="s">
        <v>26</v>
      </c>
      <c r="B5" t="s">
        <v>20</v>
      </c>
      <c r="C5" t="s">
        <v>1775</v>
      </c>
      <c r="D5" t="s">
        <v>30</v>
      </c>
      <c r="G5">
        <f t="shared" si="0"/>
        <v>201962843</v>
      </c>
      <c r="H5">
        <v>14526680</v>
      </c>
      <c r="I5">
        <v>14020795</v>
      </c>
      <c r="J5">
        <v>16086888</v>
      </c>
      <c r="K5">
        <v>16411248</v>
      </c>
      <c r="L5">
        <v>16815537</v>
      </c>
      <c r="M5">
        <v>17342039</v>
      </c>
      <c r="N5">
        <v>17788619</v>
      </c>
      <c r="O5">
        <v>17506551</v>
      </c>
      <c r="P5">
        <v>17102261</v>
      </c>
      <c r="Q5">
        <v>18000075</v>
      </c>
      <c r="R5">
        <v>17797934</v>
      </c>
      <c r="S5">
        <v>18564216</v>
      </c>
    </row>
    <row r="6" spans="1:19">
      <c r="A6" t="s">
        <v>23</v>
      </c>
      <c r="B6" t="s">
        <v>20</v>
      </c>
      <c r="C6" t="s">
        <v>1776</v>
      </c>
      <c r="D6" t="s">
        <v>32</v>
      </c>
      <c r="G6">
        <f t="shared" si="0"/>
        <v>2019628588</v>
      </c>
      <c r="H6">
        <v>145266811</v>
      </c>
      <c r="I6">
        <v>140207964</v>
      </c>
      <c r="J6">
        <v>160868888</v>
      </c>
      <c r="K6">
        <v>164112492</v>
      </c>
      <c r="L6">
        <v>168155385</v>
      </c>
      <c r="M6">
        <v>173420398</v>
      </c>
      <c r="N6">
        <v>177886207</v>
      </c>
      <c r="O6">
        <v>175065520</v>
      </c>
      <c r="P6">
        <v>171022627</v>
      </c>
      <c r="Q6">
        <v>180000765</v>
      </c>
      <c r="R6">
        <v>177979355</v>
      </c>
      <c r="S6">
        <v>185642176</v>
      </c>
    </row>
    <row r="7" spans="1:19">
      <c r="A7" t="s">
        <v>23</v>
      </c>
      <c r="B7" t="s">
        <v>20</v>
      </c>
      <c r="C7" t="s">
        <v>1777</v>
      </c>
      <c r="D7" t="s">
        <v>34</v>
      </c>
      <c r="G7">
        <f t="shared" si="0"/>
        <v>2019628588</v>
      </c>
      <c r="H7">
        <v>145266811</v>
      </c>
      <c r="I7">
        <v>140207964</v>
      </c>
      <c r="J7">
        <v>160868888</v>
      </c>
      <c r="K7">
        <v>164112492</v>
      </c>
      <c r="L7">
        <v>168155385</v>
      </c>
      <c r="M7">
        <v>173420398</v>
      </c>
      <c r="N7">
        <v>177886207</v>
      </c>
      <c r="O7">
        <v>175065520</v>
      </c>
      <c r="P7">
        <v>171022627</v>
      </c>
      <c r="Q7">
        <v>180000765</v>
      </c>
      <c r="R7">
        <v>177979355</v>
      </c>
      <c r="S7">
        <v>185642176</v>
      </c>
    </row>
    <row r="8" spans="1:19">
      <c r="A8" t="s">
        <v>19</v>
      </c>
      <c r="B8" t="s">
        <v>35</v>
      </c>
      <c r="C8" t="s">
        <v>1778</v>
      </c>
      <c r="D8" t="s">
        <v>37</v>
      </c>
      <c r="G8">
        <f t="shared" si="0"/>
        <v>200000000</v>
      </c>
      <c r="H8">
        <v>14000000</v>
      </c>
      <c r="I8">
        <v>13000000</v>
      </c>
      <c r="J8">
        <v>15600000</v>
      </c>
      <c r="K8">
        <v>16000000</v>
      </c>
      <c r="L8">
        <v>16400000</v>
      </c>
      <c r="M8">
        <v>17000000</v>
      </c>
      <c r="N8">
        <v>17600000</v>
      </c>
      <c r="O8">
        <v>17400000</v>
      </c>
      <c r="P8">
        <v>17000000</v>
      </c>
      <c r="Q8">
        <v>18600000</v>
      </c>
      <c r="R8">
        <v>18400000</v>
      </c>
      <c r="S8">
        <v>19000000</v>
      </c>
    </row>
    <row r="9" spans="1:19">
      <c r="A9" t="s">
        <v>19</v>
      </c>
      <c r="B9" t="s">
        <v>20</v>
      </c>
      <c r="C9" t="s">
        <v>1779</v>
      </c>
      <c r="D9" t="s">
        <v>39</v>
      </c>
      <c r="G9">
        <f t="shared" si="0"/>
        <v>2019628588</v>
      </c>
      <c r="H9">
        <v>145266811</v>
      </c>
      <c r="I9">
        <v>140207964</v>
      </c>
      <c r="J9">
        <v>160868888</v>
      </c>
      <c r="K9">
        <v>164112492</v>
      </c>
      <c r="L9">
        <v>168155385</v>
      </c>
      <c r="M9">
        <v>173420398</v>
      </c>
      <c r="N9">
        <v>177886207</v>
      </c>
      <c r="O9">
        <v>175065520</v>
      </c>
      <c r="P9">
        <v>171022627</v>
      </c>
      <c r="Q9">
        <v>180000765</v>
      </c>
      <c r="R9">
        <v>177979355</v>
      </c>
      <c r="S9">
        <v>185642176</v>
      </c>
    </row>
    <row r="10" spans="1:19">
      <c r="A10" t="s">
        <v>19</v>
      </c>
      <c r="B10" t="s">
        <v>35</v>
      </c>
      <c r="C10" t="s">
        <v>1780</v>
      </c>
      <c r="D10" t="s">
        <v>41</v>
      </c>
      <c r="G10">
        <f t="shared" si="0"/>
        <v>2019628588</v>
      </c>
      <c r="H10">
        <v>145266811</v>
      </c>
      <c r="I10">
        <v>140207964</v>
      </c>
      <c r="J10">
        <v>160868888</v>
      </c>
      <c r="K10">
        <v>164112492</v>
      </c>
      <c r="L10">
        <v>168155385</v>
      </c>
      <c r="M10">
        <v>173420398</v>
      </c>
      <c r="N10">
        <v>177886207</v>
      </c>
      <c r="O10">
        <v>175065520</v>
      </c>
      <c r="P10">
        <v>171022627</v>
      </c>
      <c r="Q10">
        <v>180000765</v>
      </c>
      <c r="R10">
        <v>177979355</v>
      </c>
      <c r="S10">
        <v>185642176</v>
      </c>
    </row>
    <row r="11" spans="1:19">
      <c r="A11" t="s">
        <v>19</v>
      </c>
      <c r="B11" t="s">
        <v>35</v>
      </c>
      <c r="C11" t="s">
        <v>1781</v>
      </c>
      <c r="D11" t="s">
        <v>43</v>
      </c>
      <c r="G11">
        <f t="shared" si="0"/>
        <v>5493389617</v>
      </c>
      <c r="H11">
        <f t="shared" ref="H11:S11" si="3">H12+H15+H18+H25+H26</f>
        <v>395125716</v>
      </c>
      <c r="I11">
        <f t="shared" si="3"/>
        <v>381365649</v>
      </c>
      <c r="J11">
        <f t="shared" si="3"/>
        <v>437563368</v>
      </c>
      <c r="K11">
        <f t="shared" si="3"/>
        <v>446385968</v>
      </c>
      <c r="L11">
        <f t="shared" si="3"/>
        <v>457382633</v>
      </c>
      <c r="M11">
        <f t="shared" si="3"/>
        <v>471703475</v>
      </c>
      <c r="N11">
        <f t="shared" si="3"/>
        <v>483850469</v>
      </c>
      <c r="O11">
        <f t="shared" si="3"/>
        <v>476178205</v>
      </c>
      <c r="P11">
        <f t="shared" si="3"/>
        <v>465181531</v>
      </c>
      <c r="Q11">
        <f t="shared" si="3"/>
        <v>489602067</v>
      </c>
      <c r="R11">
        <f t="shared" si="3"/>
        <v>484103832</v>
      </c>
      <c r="S11">
        <f t="shared" si="3"/>
        <v>504946704</v>
      </c>
    </row>
    <row r="12" spans="1:19">
      <c r="A12" t="s">
        <v>23</v>
      </c>
      <c r="B12" t="s">
        <v>35</v>
      </c>
      <c r="C12" t="s">
        <v>1782</v>
      </c>
      <c r="D12" t="s">
        <v>45</v>
      </c>
      <c r="G12">
        <f t="shared" si="0"/>
        <v>403925686</v>
      </c>
      <c r="H12">
        <f t="shared" ref="H12:S12" si="4">H13+H14</f>
        <v>29053360</v>
      </c>
      <c r="I12">
        <f t="shared" si="4"/>
        <v>28041590</v>
      </c>
      <c r="J12">
        <f t="shared" si="4"/>
        <v>32173776</v>
      </c>
      <c r="K12">
        <f t="shared" si="4"/>
        <v>32822496</v>
      </c>
      <c r="L12">
        <f t="shared" si="4"/>
        <v>33631074</v>
      </c>
      <c r="M12">
        <f t="shared" si="4"/>
        <v>34684078</v>
      </c>
      <c r="N12">
        <f t="shared" si="4"/>
        <v>35577238</v>
      </c>
      <c r="O12">
        <f t="shared" si="4"/>
        <v>35013102</v>
      </c>
      <c r="P12">
        <f t="shared" si="4"/>
        <v>34204522</v>
      </c>
      <c r="Q12">
        <f t="shared" si="4"/>
        <v>36000150</v>
      </c>
      <c r="R12">
        <f t="shared" si="4"/>
        <v>35595868</v>
      </c>
      <c r="S12">
        <f t="shared" si="4"/>
        <v>37128432</v>
      </c>
    </row>
    <row r="13" spans="1:19">
      <c r="A13" t="s">
        <v>26</v>
      </c>
      <c r="B13" t="s">
        <v>35</v>
      </c>
      <c r="C13" t="s">
        <v>1783</v>
      </c>
      <c r="D13" t="s">
        <v>47</v>
      </c>
      <c r="G13">
        <f t="shared" si="0"/>
        <v>201962843</v>
      </c>
      <c r="H13">
        <v>14526680</v>
      </c>
      <c r="I13">
        <v>14020795</v>
      </c>
      <c r="J13">
        <v>16086888</v>
      </c>
      <c r="K13">
        <v>16411248</v>
      </c>
      <c r="L13">
        <v>16815537</v>
      </c>
      <c r="M13">
        <v>17342039</v>
      </c>
      <c r="N13">
        <v>17788619</v>
      </c>
      <c r="O13">
        <v>17506551</v>
      </c>
      <c r="P13">
        <v>17102261</v>
      </c>
      <c r="Q13">
        <v>18000075</v>
      </c>
      <c r="R13">
        <v>17797934</v>
      </c>
      <c r="S13">
        <v>18564216</v>
      </c>
    </row>
    <row r="14" spans="1:19">
      <c r="A14" t="s">
        <v>26</v>
      </c>
      <c r="B14" t="s">
        <v>35</v>
      </c>
      <c r="C14" t="s">
        <v>1784</v>
      </c>
      <c r="D14" t="s">
        <v>49</v>
      </c>
      <c r="G14">
        <f t="shared" si="0"/>
        <v>201962843</v>
      </c>
      <c r="H14">
        <v>14526680</v>
      </c>
      <c r="I14">
        <v>14020795</v>
      </c>
      <c r="J14">
        <v>16086888</v>
      </c>
      <c r="K14">
        <v>16411248</v>
      </c>
      <c r="L14">
        <v>16815537</v>
      </c>
      <c r="M14">
        <v>17342039</v>
      </c>
      <c r="N14">
        <v>17788619</v>
      </c>
      <c r="O14">
        <v>17506551</v>
      </c>
      <c r="P14">
        <v>17102261</v>
      </c>
      <c r="Q14">
        <v>18000075</v>
      </c>
      <c r="R14">
        <v>17797934</v>
      </c>
      <c r="S14">
        <v>18564216</v>
      </c>
    </row>
    <row r="15" spans="1:19">
      <c r="A15" t="s">
        <v>23</v>
      </c>
      <c r="B15" t="s">
        <v>35</v>
      </c>
      <c r="C15" t="s">
        <v>1785</v>
      </c>
      <c r="D15" t="s">
        <v>51</v>
      </c>
      <c r="G15">
        <f t="shared" si="0"/>
        <v>403925686</v>
      </c>
      <c r="H15">
        <f t="shared" ref="H15:S15" si="5">H16+H17</f>
        <v>29053360</v>
      </c>
      <c r="I15">
        <f t="shared" si="5"/>
        <v>28041590</v>
      </c>
      <c r="J15">
        <f t="shared" si="5"/>
        <v>32173776</v>
      </c>
      <c r="K15">
        <f t="shared" si="5"/>
        <v>32822496</v>
      </c>
      <c r="L15">
        <f t="shared" si="5"/>
        <v>33631074</v>
      </c>
      <c r="M15">
        <f t="shared" si="5"/>
        <v>34684078</v>
      </c>
      <c r="N15">
        <f t="shared" si="5"/>
        <v>35577238</v>
      </c>
      <c r="O15">
        <f t="shared" si="5"/>
        <v>35013102</v>
      </c>
      <c r="P15">
        <f t="shared" si="5"/>
        <v>34204522</v>
      </c>
      <c r="Q15">
        <f t="shared" si="5"/>
        <v>36000150</v>
      </c>
      <c r="R15">
        <f t="shared" si="5"/>
        <v>35595868</v>
      </c>
      <c r="S15">
        <f t="shared" si="5"/>
        <v>37128432</v>
      </c>
    </row>
    <row r="16" spans="1:19">
      <c r="A16" t="s">
        <v>26</v>
      </c>
      <c r="B16" t="s">
        <v>35</v>
      </c>
      <c r="C16" t="s">
        <v>1786</v>
      </c>
      <c r="D16" t="s">
        <v>53</v>
      </c>
      <c r="G16">
        <f t="shared" si="0"/>
        <v>201962843</v>
      </c>
      <c r="H16">
        <v>14526680</v>
      </c>
      <c r="I16">
        <v>14020795</v>
      </c>
      <c r="J16">
        <v>16086888</v>
      </c>
      <c r="K16">
        <v>16411248</v>
      </c>
      <c r="L16">
        <v>16815537</v>
      </c>
      <c r="M16">
        <v>17342039</v>
      </c>
      <c r="N16">
        <v>17788619</v>
      </c>
      <c r="O16">
        <v>17506551</v>
      </c>
      <c r="P16">
        <v>17102261</v>
      </c>
      <c r="Q16">
        <v>18000075</v>
      </c>
      <c r="R16">
        <v>17797934</v>
      </c>
      <c r="S16">
        <v>18564216</v>
      </c>
    </row>
    <row r="17" spans="1:19">
      <c r="A17" t="s">
        <v>26</v>
      </c>
      <c r="B17" t="s">
        <v>35</v>
      </c>
      <c r="C17" t="s">
        <v>1787</v>
      </c>
      <c r="D17" t="s">
        <v>55</v>
      </c>
      <c r="G17">
        <f t="shared" si="0"/>
        <v>201962843</v>
      </c>
      <c r="H17">
        <v>14526680</v>
      </c>
      <c r="I17">
        <v>14020795</v>
      </c>
      <c r="J17">
        <v>16086888</v>
      </c>
      <c r="K17">
        <v>16411248</v>
      </c>
      <c r="L17">
        <v>16815537</v>
      </c>
      <c r="M17">
        <v>17342039</v>
      </c>
      <c r="N17">
        <v>17788619</v>
      </c>
      <c r="O17">
        <v>17506551</v>
      </c>
      <c r="P17">
        <v>17102261</v>
      </c>
      <c r="Q17">
        <v>18000075</v>
      </c>
      <c r="R17">
        <v>17797934</v>
      </c>
      <c r="S17">
        <v>18564216</v>
      </c>
    </row>
    <row r="18" spans="1:19">
      <c r="A18" t="s">
        <v>23</v>
      </c>
      <c r="B18" t="s">
        <v>35</v>
      </c>
      <c r="C18" t="s">
        <v>1788</v>
      </c>
      <c r="D18" t="s">
        <v>57</v>
      </c>
      <c r="G18">
        <f t="shared" si="0"/>
        <v>646281069</v>
      </c>
      <c r="H18">
        <f t="shared" ref="H18:S18" si="6">H19+H22+H23+H24</f>
        <v>46485374</v>
      </c>
      <c r="I18">
        <f t="shared" si="6"/>
        <v>44866541</v>
      </c>
      <c r="J18">
        <f t="shared" si="6"/>
        <v>51478040</v>
      </c>
      <c r="K18">
        <f t="shared" si="6"/>
        <v>52515992</v>
      </c>
      <c r="L18">
        <f t="shared" si="6"/>
        <v>53809715</v>
      </c>
      <c r="M18">
        <f t="shared" si="6"/>
        <v>55494523</v>
      </c>
      <c r="N18">
        <f t="shared" si="6"/>
        <v>56923579</v>
      </c>
      <c r="O18">
        <f t="shared" si="6"/>
        <v>56020961</v>
      </c>
      <c r="P18">
        <f t="shared" si="6"/>
        <v>54727233</v>
      </c>
      <c r="Q18">
        <f t="shared" si="6"/>
        <v>57600237</v>
      </c>
      <c r="R18">
        <f t="shared" si="6"/>
        <v>56953386</v>
      </c>
      <c r="S18">
        <f t="shared" si="6"/>
        <v>59405488</v>
      </c>
    </row>
    <row r="19" spans="1:19">
      <c r="A19" t="s">
        <v>26</v>
      </c>
      <c r="B19" t="s">
        <v>35</v>
      </c>
      <c r="C19" t="s">
        <v>1789</v>
      </c>
      <c r="D19" t="s">
        <v>59</v>
      </c>
      <c r="G19">
        <f t="shared" si="0"/>
        <v>40392540</v>
      </c>
      <c r="H19">
        <f t="shared" ref="H19:S19" si="7">H20+H21</f>
        <v>2905334</v>
      </c>
      <c r="I19">
        <f t="shared" si="7"/>
        <v>2804156</v>
      </c>
      <c r="J19">
        <f t="shared" si="7"/>
        <v>3217376</v>
      </c>
      <c r="K19">
        <f t="shared" si="7"/>
        <v>3282248</v>
      </c>
      <c r="L19">
        <f t="shared" si="7"/>
        <v>3363104</v>
      </c>
      <c r="M19">
        <f t="shared" si="7"/>
        <v>3468406</v>
      </c>
      <c r="N19">
        <f t="shared" si="7"/>
        <v>3557722</v>
      </c>
      <c r="O19">
        <f t="shared" si="7"/>
        <v>3501308</v>
      </c>
      <c r="P19">
        <f t="shared" si="7"/>
        <v>3420450</v>
      </c>
      <c r="Q19">
        <f t="shared" si="7"/>
        <v>3600012</v>
      </c>
      <c r="R19">
        <f t="shared" si="7"/>
        <v>3559584</v>
      </c>
      <c r="S19">
        <f t="shared" si="7"/>
        <v>3712840</v>
      </c>
    </row>
    <row r="20" spans="1:19">
      <c r="A20" t="s">
        <v>60</v>
      </c>
      <c r="B20" t="s">
        <v>35</v>
      </c>
      <c r="C20" t="s">
        <v>1790</v>
      </c>
      <c r="D20" t="s">
        <v>62</v>
      </c>
      <c r="G20">
        <f t="shared" si="0"/>
        <v>20196270</v>
      </c>
      <c r="H20">
        <v>1452667</v>
      </c>
      <c r="I20">
        <v>1402078</v>
      </c>
      <c r="J20">
        <v>1608688</v>
      </c>
      <c r="K20">
        <v>1641124</v>
      </c>
      <c r="L20">
        <v>1681552</v>
      </c>
      <c r="M20">
        <v>1734203</v>
      </c>
      <c r="N20">
        <v>1778861</v>
      </c>
      <c r="O20">
        <v>1750654</v>
      </c>
      <c r="P20">
        <v>1710225</v>
      </c>
      <c r="Q20">
        <v>1800006</v>
      </c>
      <c r="R20">
        <v>1779792</v>
      </c>
      <c r="S20">
        <v>1856420</v>
      </c>
    </row>
    <row r="21" spans="1:19">
      <c r="A21" t="s">
        <v>60</v>
      </c>
      <c r="B21" t="s">
        <v>35</v>
      </c>
      <c r="C21" t="s">
        <v>1791</v>
      </c>
      <c r="D21" t="s">
        <v>64</v>
      </c>
      <c r="G21">
        <f t="shared" si="0"/>
        <v>20196270</v>
      </c>
      <c r="H21">
        <v>1452667</v>
      </c>
      <c r="I21">
        <v>1402078</v>
      </c>
      <c r="J21">
        <v>1608688</v>
      </c>
      <c r="K21">
        <v>1641124</v>
      </c>
      <c r="L21">
        <v>1681552</v>
      </c>
      <c r="M21">
        <v>1734203</v>
      </c>
      <c r="N21">
        <v>1778861</v>
      </c>
      <c r="O21">
        <v>1750654</v>
      </c>
      <c r="P21">
        <v>1710225</v>
      </c>
      <c r="Q21">
        <v>1800006</v>
      </c>
      <c r="R21">
        <v>1779792</v>
      </c>
      <c r="S21">
        <v>1856420</v>
      </c>
    </row>
    <row r="22" spans="1:19">
      <c r="A22" t="s">
        <v>26</v>
      </c>
      <c r="B22" t="s">
        <v>35</v>
      </c>
      <c r="C22" t="s">
        <v>1792</v>
      </c>
      <c r="D22" t="s">
        <v>66</v>
      </c>
      <c r="G22">
        <f t="shared" si="0"/>
        <v>201962843</v>
      </c>
      <c r="H22">
        <v>14526680</v>
      </c>
      <c r="I22">
        <v>14020795</v>
      </c>
      <c r="J22">
        <v>16086888</v>
      </c>
      <c r="K22">
        <v>16411248</v>
      </c>
      <c r="L22">
        <v>16815537</v>
      </c>
      <c r="M22">
        <v>17342039</v>
      </c>
      <c r="N22">
        <v>17788619</v>
      </c>
      <c r="O22">
        <v>17506551</v>
      </c>
      <c r="P22">
        <v>17102261</v>
      </c>
      <c r="Q22">
        <v>18000075</v>
      </c>
      <c r="R22">
        <v>17797934</v>
      </c>
      <c r="S22">
        <v>18564216</v>
      </c>
    </row>
    <row r="23" spans="1:19">
      <c r="A23" t="s">
        <v>26</v>
      </c>
      <c r="B23" t="s">
        <v>35</v>
      </c>
      <c r="C23" t="s">
        <v>1793</v>
      </c>
      <c r="D23" t="s">
        <v>68</v>
      </c>
      <c r="G23">
        <f t="shared" si="0"/>
        <v>201962843</v>
      </c>
      <c r="H23">
        <v>14526680</v>
      </c>
      <c r="I23">
        <v>14020795</v>
      </c>
      <c r="J23">
        <v>16086888</v>
      </c>
      <c r="K23">
        <v>16411248</v>
      </c>
      <c r="L23">
        <v>16815537</v>
      </c>
      <c r="M23">
        <v>17342039</v>
      </c>
      <c r="N23">
        <v>17788619</v>
      </c>
      <c r="O23">
        <v>17506551</v>
      </c>
      <c r="P23">
        <v>17102261</v>
      </c>
      <c r="Q23">
        <v>18000075</v>
      </c>
      <c r="R23">
        <v>17797934</v>
      </c>
      <c r="S23">
        <v>18564216</v>
      </c>
    </row>
    <row r="24" spans="1:19">
      <c r="A24" t="s">
        <v>26</v>
      </c>
      <c r="B24" t="s">
        <v>35</v>
      </c>
      <c r="C24" t="s">
        <v>1794</v>
      </c>
      <c r="D24" t="s">
        <v>70</v>
      </c>
      <c r="G24">
        <f t="shared" si="0"/>
        <v>201962843</v>
      </c>
      <c r="H24">
        <v>14526680</v>
      </c>
      <c r="I24">
        <v>14020795</v>
      </c>
      <c r="J24">
        <v>16086888</v>
      </c>
      <c r="K24">
        <v>16411248</v>
      </c>
      <c r="L24">
        <v>16815537</v>
      </c>
      <c r="M24">
        <v>17342039</v>
      </c>
      <c r="N24">
        <v>17788619</v>
      </c>
      <c r="O24">
        <v>17506551</v>
      </c>
      <c r="P24">
        <v>17102261</v>
      </c>
      <c r="Q24">
        <v>18000075</v>
      </c>
      <c r="R24">
        <v>17797934</v>
      </c>
      <c r="S24">
        <v>18564216</v>
      </c>
    </row>
    <row r="25" spans="1:19">
      <c r="A25" t="s">
        <v>23</v>
      </c>
      <c r="B25" t="s">
        <v>35</v>
      </c>
      <c r="C25" t="s">
        <v>1795</v>
      </c>
      <c r="D25" t="s">
        <v>72</v>
      </c>
      <c r="G25">
        <f t="shared" si="0"/>
        <v>2019628588</v>
      </c>
      <c r="H25">
        <v>145266811</v>
      </c>
      <c r="I25">
        <v>140207964</v>
      </c>
      <c r="J25">
        <v>160868888</v>
      </c>
      <c r="K25">
        <v>164112492</v>
      </c>
      <c r="L25">
        <v>168155385</v>
      </c>
      <c r="M25">
        <v>173420398</v>
      </c>
      <c r="N25">
        <v>177886207</v>
      </c>
      <c r="O25">
        <v>175065520</v>
      </c>
      <c r="P25">
        <v>171022627</v>
      </c>
      <c r="Q25">
        <v>180000765</v>
      </c>
      <c r="R25">
        <v>177979355</v>
      </c>
      <c r="S25">
        <v>185642176</v>
      </c>
    </row>
    <row r="26" spans="1:19">
      <c r="A26" t="s">
        <v>23</v>
      </c>
      <c r="B26" t="s">
        <v>35</v>
      </c>
      <c r="C26" t="s">
        <v>1796</v>
      </c>
      <c r="D26" t="s">
        <v>74</v>
      </c>
      <c r="G26">
        <f t="shared" si="0"/>
        <v>2019628588</v>
      </c>
      <c r="H26">
        <v>145266811</v>
      </c>
      <c r="I26">
        <v>140207964</v>
      </c>
      <c r="J26">
        <v>160868888</v>
      </c>
      <c r="K26">
        <v>164112492</v>
      </c>
      <c r="L26">
        <v>168155385</v>
      </c>
      <c r="M26">
        <v>173420398</v>
      </c>
      <c r="N26">
        <v>177886207</v>
      </c>
      <c r="O26">
        <v>175065520</v>
      </c>
      <c r="P26">
        <v>171022627</v>
      </c>
      <c r="Q26">
        <v>180000765</v>
      </c>
      <c r="R26">
        <v>177979355</v>
      </c>
      <c r="S26">
        <v>185642176</v>
      </c>
    </row>
    <row r="27" spans="1:19">
      <c r="A27" t="s">
        <v>19</v>
      </c>
      <c r="B27" t="s">
        <v>20</v>
      </c>
      <c r="C27" t="s">
        <v>1797</v>
      </c>
      <c r="D27" t="s">
        <v>76</v>
      </c>
      <c r="G27">
        <f t="shared" si="0"/>
        <v>10000000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  <row r="28" spans="1:19">
      <c r="A28" t="s">
        <v>19</v>
      </c>
      <c r="B28" t="s">
        <v>77</v>
      </c>
      <c r="C28" t="s">
        <v>1798</v>
      </c>
      <c r="D28" t="s">
        <v>79</v>
      </c>
      <c r="G28">
        <f t="shared" si="0"/>
        <v>2019628588</v>
      </c>
      <c r="H28">
        <v>145266811</v>
      </c>
      <c r="I28">
        <v>140207964</v>
      </c>
      <c r="J28">
        <v>160868888</v>
      </c>
      <c r="K28">
        <v>164112492</v>
      </c>
      <c r="L28">
        <v>168155385</v>
      </c>
      <c r="M28">
        <v>173420398</v>
      </c>
      <c r="N28">
        <v>177886207</v>
      </c>
      <c r="O28">
        <v>175065520</v>
      </c>
      <c r="P28">
        <v>171022627</v>
      </c>
      <c r="Q28">
        <v>180000765</v>
      </c>
      <c r="R28">
        <v>177979355</v>
      </c>
      <c r="S28">
        <v>185642176</v>
      </c>
    </row>
    <row r="29" spans="1:19">
      <c r="A29" t="s">
        <v>19</v>
      </c>
      <c r="B29" t="s">
        <v>35</v>
      </c>
      <c r="C29" t="s">
        <v>1799</v>
      </c>
      <c r="D29" t="s">
        <v>81</v>
      </c>
      <c r="G29">
        <f t="shared" si="0"/>
        <v>20000000</v>
      </c>
      <c r="H29">
        <v>1400000</v>
      </c>
      <c r="I29">
        <v>1300000</v>
      </c>
      <c r="J29">
        <v>1560000</v>
      </c>
      <c r="K29">
        <v>1600000</v>
      </c>
      <c r="L29">
        <v>1640000</v>
      </c>
      <c r="M29">
        <v>1700000</v>
      </c>
      <c r="N29">
        <v>1760000</v>
      </c>
      <c r="O29">
        <v>1740000</v>
      </c>
      <c r="P29">
        <v>1700000</v>
      </c>
      <c r="Q29">
        <v>1860000</v>
      </c>
      <c r="R29">
        <v>1840000</v>
      </c>
      <c r="S29">
        <v>1900000</v>
      </c>
    </row>
    <row r="30" spans="1:19">
      <c r="A30" t="s">
        <v>19</v>
      </c>
      <c r="B30" t="s">
        <v>77</v>
      </c>
      <c r="C30" t="s">
        <v>1800</v>
      </c>
      <c r="D30" t="s">
        <v>83</v>
      </c>
      <c r="G30">
        <f t="shared" si="0"/>
        <v>2019628588</v>
      </c>
      <c r="H30">
        <v>145266811</v>
      </c>
      <c r="I30">
        <v>140207964</v>
      </c>
      <c r="J30">
        <v>160868888</v>
      </c>
      <c r="K30">
        <v>164112492</v>
      </c>
      <c r="L30">
        <v>168155385</v>
      </c>
      <c r="M30">
        <v>173420398</v>
      </c>
      <c r="N30">
        <v>177886207</v>
      </c>
      <c r="O30">
        <v>175065520</v>
      </c>
      <c r="P30">
        <v>171022627</v>
      </c>
      <c r="Q30">
        <v>180000765</v>
      </c>
      <c r="R30">
        <v>177979355</v>
      </c>
      <c r="S30">
        <v>185642176</v>
      </c>
    </row>
    <row r="31" spans="1:19">
      <c r="A31" t="s">
        <v>19</v>
      </c>
      <c r="B31" t="s">
        <v>84</v>
      </c>
      <c r="C31" t="s">
        <v>1801</v>
      </c>
      <c r="D31" t="s">
        <v>86</v>
      </c>
      <c r="G31">
        <f t="shared" si="0"/>
        <v>15000000000</v>
      </c>
      <c r="H31">
        <f t="shared" ref="H31:S31" si="8">H32+H34+H35</f>
        <v>1125000000</v>
      </c>
      <c r="I31">
        <f t="shared" si="8"/>
        <v>1170000000</v>
      </c>
      <c r="J31">
        <f t="shared" si="8"/>
        <v>1230000000</v>
      </c>
      <c r="K31">
        <f t="shared" si="8"/>
        <v>1245000000</v>
      </c>
      <c r="L31">
        <f t="shared" si="8"/>
        <v>1275000000</v>
      </c>
      <c r="M31">
        <f t="shared" si="8"/>
        <v>1305000000</v>
      </c>
      <c r="N31">
        <f t="shared" si="8"/>
        <v>1320000000</v>
      </c>
      <c r="O31">
        <f t="shared" si="8"/>
        <v>1290000000</v>
      </c>
      <c r="P31">
        <f t="shared" si="8"/>
        <v>1260000000</v>
      </c>
      <c r="Q31">
        <f t="shared" si="8"/>
        <v>1245000000</v>
      </c>
      <c r="R31">
        <f t="shared" si="8"/>
        <v>1230000000</v>
      </c>
      <c r="S31">
        <f t="shared" si="8"/>
        <v>1305000000</v>
      </c>
    </row>
    <row r="32" spans="1:19">
      <c r="A32" t="s">
        <v>23</v>
      </c>
      <c r="B32" t="s">
        <v>84</v>
      </c>
      <c r="C32" t="s">
        <v>1802</v>
      </c>
      <c r="D32" t="s">
        <v>117</v>
      </c>
      <c r="G32">
        <f t="shared" si="0"/>
        <v>5000000000</v>
      </c>
      <c r="H32">
        <f t="shared" ref="H32:S32" si="9">H33</f>
        <v>375000000</v>
      </c>
      <c r="I32">
        <f t="shared" si="9"/>
        <v>390000000</v>
      </c>
      <c r="J32">
        <f t="shared" si="9"/>
        <v>410000000</v>
      </c>
      <c r="K32">
        <f t="shared" si="9"/>
        <v>415000000</v>
      </c>
      <c r="L32">
        <f t="shared" si="9"/>
        <v>425000000</v>
      </c>
      <c r="M32">
        <f t="shared" si="9"/>
        <v>435000000</v>
      </c>
      <c r="N32">
        <f t="shared" si="9"/>
        <v>440000000</v>
      </c>
      <c r="O32">
        <f t="shared" si="9"/>
        <v>430000000</v>
      </c>
      <c r="P32">
        <f t="shared" si="9"/>
        <v>420000000</v>
      </c>
      <c r="Q32">
        <f t="shared" si="9"/>
        <v>415000000</v>
      </c>
      <c r="R32">
        <f t="shared" si="9"/>
        <v>410000000</v>
      </c>
      <c r="S32">
        <f t="shared" si="9"/>
        <v>435000000</v>
      </c>
    </row>
    <row r="33" spans="1:19">
      <c r="A33" t="s">
        <v>26</v>
      </c>
      <c r="B33" t="s">
        <v>84</v>
      </c>
      <c r="C33" t="s">
        <v>1803</v>
      </c>
      <c r="D33" t="s">
        <v>90</v>
      </c>
      <c r="G33">
        <f t="shared" si="0"/>
        <v>5000000000</v>
      </c>
      <c r="H33">
        <v>375000000</v>
      </c>
      <c r="I33">
        <v>390000000</v>
      </c>
      <c r="J33">
        <v>410000000</v>
      </c>
      <c r="K33">
        <v>415000000</v>
      </c>
      <c r="L33">
        <v>425000000</v>
      </c>
      <c r="M33">
        <v>435000000</v>
      </c>
      <c r="N33">
        <v>440000000</v>
      </c>
      <c r="O33">
        <v>430000000</v>
      </c>
      <c r="P33">
        <v>420000000</v>
      </c>
      <c r="Q33">
        <v>415000000</v>
      </c>
      <c r="R33">
        <v>410000000</v>
      </c>
      <c r="S33">
        <v>435000000</v>
      </c>
    </row>
    <row r="34" spans="1:19">
      <c r="A34" t="s">
        <v>23</v>
      </c>
      <c r="B34" t="s">
        <v>84</v>
      </c>
      <c r="C34" t="s">
        <v>1804</v>
      </c>
      <c r="D34" t="s">
        <v>102</v>
      </c>
      <c r="G34">
        <f t="shared" si="0"/>
        <v>5000000000</v>
      </c>
      <c r="H34">
        <v>375000000</v>
      </c>
      <c r="I34">
        <v>390000000</v>
      </c>
      <c r="J34">
        <v>410000000</v>
      </c>
      <c r="K34">
        <v>415000000</v>
      </c>
      <c r="L34">
        <v>425000000</v>
      </c>
      <c r="M34">
        <v>435000000</v>
      </c>
      <c r="N34">
        <v>440000000</v>
      </c>
      <c r="O34">
        <v>430000000</v>
      </c>
      <c r="P34">
        <v>420000000</v>
      </c>
      <c r="Q34">
        <v>415000000</v>
      </c>
      <c r="R34">
        <v>410000000</v>
      </c>
      <c r="S34">
        <v>435000000</v>
      </c>
    </row>
    <row r="35" spans="1:19">
      <c r="A35" t="s">
        <v>23</v>
      </c>
      <c r="B35" t="s">
        <v>84</v>
      </c>
      <c r="C35" t="s">
        <v>1805</v>
      </c>
      <c r="D35" t="s">
        <v>104</v>
      </c>
      <c r="G35">
        <f t="shared" si="0"/>
        <v>5000000000</v>
      </c>
      <c r="H35">
        <v>375000000</v>
      </c>
      <c r="I35">
        <v>390000000</v>
      </c>
      <c r="J35">
        <v>410000000</v>
      </c>
      <c r="K35">
        <v>415000000</v>
      </c>
      <c r="L35">
        <v>425000000</v>
      </c>
      <c r="M35">
        <v>435000000</v>
      </c>
      <c r="N35">
        <v>440000000</v>
      </c>
      <c r="O35">
        <v>430000000</v>
      </c>
      <c r="P35">
        <v>420000000</v>
      </c>
      <c r="Q35">
        <v>415000000</v>
      </c>
      <c r="R35">
        <v>410000000</v>
      </c>
      <c r="S35">
        <v>435000000</v>
      </c>
    </row>
    <row r="36" spans="1:19">
      <c r="A36" t="s">
        <v>19</v>
      </c>
      <c r="B36" t="s">
        <v>113</v>
      </c>
      <c r="C36" t="s">
        <v>1806</v>
      </c>
      <c r="D36" t="s">
        <v>115</v>
      </c>
      <c r="G36">
        <f t="shared" si="0"/>
        <v>15000000000</v>
      </c>
      <c r="H36">
        <f t="shared" ref="H36:S36" si="10">H37+H39+H40</f>
        <v>1125000000</v>
      </c>
      <c r="I36">
        <f t="shared" si="10"/>
        <v>1170000000</v>
      </c>
      <c r="J36">
        <f t="shared" si="10"/>
        <v>1230000000</v>
      </c>
      <c r="K36">
        <f t="shared" si="10"/>
        <v>1245000000</v>
      </c>
      <c r="L36">
        <f t="shared" si="10"/>
        <v>1275000000</v>
      </c>
      <c r="M36">
        <f t="shared" si="10"/>
        <v>1305000000</v>
      </c>
      <c r="N36">
        <f t="shared" si="10"/>
        <v>1320000000</v>
      </c>
      <c r="O36">
        <f t="shared" si="10"/>
        <v>1290000000</v>
      </c>
      <c r="P36">
        <f t="shared" si="10"/>
        <v>1260000000</v>
      </c>
      <c r="Q36">
        <f t="shared" si="10"/>
        <v>1245000000</v>
      </c>
      <c r="R36">
        <f t="shared" si="10"/>
        <v>1230000000</v>
      </c>
      <c r="S36">
        <f t="shared" si="10"/>
        <v>1305000000</v>
      </c>
    </row>
    <row r="37" spans="1:19">
      <c r="A37" t="s">
        <v>23</v>
      </c>
      <c r="B37" t="s">
        <v>113</v>
      </c>
      <c r="C37" t="s">
        <v>1807</v>
      </c>
      <c r="D37" t="s">
        <v>117</v>
      </c>
      <c r="G37">
        <f t="shared" si="0"/>
        <v>5000000000</v>
      </c>
      <c r="H37">
        <f t="shared" ref="H37:S37" si="11">H38</f>
        <v>375000000</v>
      </c>
      <c r="I37">
        <f t="shared" si="11"/>
        <v>390000000</v>
      </c>
      <c r="J37">
        <f t="shared" si="11"/>
        <v>410000000</v>
      </c>
      <c r="K37">
        <f t="shared" si="11"/>
        <v>415000000</v>
      </c>
      <c r="L37">
        <f t="shared" si="11"/>
        <v>425000000</v>
      </c>
      <c r="M37">
        <f t="shared" si="11"/>
        <v>435000000</v>
      </c>
      <c r="N37">
        <f t="shared" si="11"/>
        <v>440000000</v>
      </c>
      <c r="O37">
        <f t="shared" si="11"/>
        <v>430000000</v>
      </c>
      <c r="P37">
        <f t="shared" si="11"/>
        <v>420000000</v>
      </c>
      <c r="Q37">
        <f t="shared" si="11"/>
        <v>415000000</v>
      </c>
      <c r="R37">
        <f t="shared" si="11"/>
        <v>410000000</v>
      </c>
      <c r="S37">
        <f t="shared" si="11"/>
        <v>435000000</v>
      </c>
    </row>
    <row r="38" spans="1:19">
      <c r="A38" t="s">
        <v>26</v>
      </c>
      <c r="B38" t="s">
        <v>113</v>
      </c>
      <c r="C38" t="s">
        <v>1808</v>
      </c>
      <c r="D38" t="s">
        <v>90</v>
      </c>
      <c r="G38">
        <f t="shared" si="0"/>
        <v>5000000000</v>
      </c>
      <c r="H38">
        <v>375000000</v>
      </c>
      <c r="I38">
        <v>390000000</v>
      </c>
      <c r="J38">
        <v>410000000</v>
      </c>
      <c r="K38">
        <v>415000000</v>
      </c>
      <c r="L38">
        <v>425000000</v>
      </c>
      <c r="M38">
        <v>435000000</v>
      </c>
      <c r="N38">
        <v>440000000</v>
      </c>
      <c r="O38">
        <v>430000000</v>
      </c>
      <c r="P38">
        <v>420000000</v>
      </c>
      <c r="Q38">
        <v>415000000</v>
      </c>
      <c r="R38">
        <v>410000000</v>
      </c>
      <c r="S38">
        <v>435000000</v>
      </c>
    </row>
    <row r="39" spans="1:19">
      <c r="A39" t="s">
        <v>23</v>
      </c>
      <c r="B39" t="s">
        <v>113</v>
      </c>
      <c r="C39" t="s">
        <v>1809</v>
      </c>
      <c r="D39" t="s">
        <v>102</v>
      </c>
      <c r="G39">
        <f t="shared" si="0"/>
        <v>5000000000</v>
      </c>
      <c r="H39">
        <v>375000000</v>
      </c>
      <c r="I39">
        <v>390000000</v>
      </c>
      <c r="J39">
        <v>410000000</v>
      </c>
      <c r="K39">
        <v>415000000</v>
      </c>
      <c r="L39">
        <v>425000000</v>
      </c>
      <c r="M39">
        <v>435000000</v>
      </c>
      <c r="N39">
        <v>440000000</v>
      </c>
      <c r="O39">
        <v>430000000</v>
      </c>
      <c r="P39">
        <v>420000000</v>
      </c>
      <c r="Q39">
        <v>415000000</v>
      </c>
      <c r="R39">
        <v>410000000</v>
      </c>
      <c r="S39">
        <v>435000000</v>
      </c>
    </row>
    <row r="40" spans="1:19">
      <c r="A40" t="s">
        <v>23</v>
      </c>
      <c r="B40" t="s">
        <v>113</v>
      </c>
      <c r="C40" t="s">
        <v>1810</v>
      </c>
      <c r="D40" t="s">
        <v>104</v>
      </c>
      <c r="G40">
        <f t="shared" si="0"/>
        <v>5000000000</v>
      </c>
      <c r="H40">
        <v>375000000</v>
      </c>
      <c r="I40">
        <v>390000000</v>
      </c>
      <c r="J40">
        <v>410000000</v>
      </c>
      <c r="K40">
        <v>415000000</v>
      </c>
      <c r="L40">
        <v>425000000</v>
      </c>
      <c r="M40">
        <v>435000000</v>
      </c>
      <c r="N40">
        <v>440000000</v>
      </c>
      <c r="O40">
        <v>430000000</v>
      </c>
      <c r="P40">
        <v>420000000</v>
      </c>
      <c r="Q40">
        <v>415000000</v>
      </c>
      <c r="R40">
        <v>410000000</v>
      </c>
      <c r="S40">
        <v>435000000</v>
      </c>
    </row>
    <row r="41" spans="1:19">
      <c r="A41" t="s">
        <v>19</v>
      </c>
      <c r="B41" t="s">
        <v>130</v>
      </c>
      <c r="C41" t="s">
        <v>1811</v>
      </c>
      <c r="D41" t="s">
        <v>132</v>
      </c>
      <c r="G41">
        <f t="shared" si="0"/>
        <v>3000000000</v>
      </c>
      <c r="H41">
        <f t="shared" ref="H41:S41" si="12">H42</f>
        <v>225000000</v>
      </c>
      <c r="I41">
        <f t="shared" si="12"/>
        <v>234000000</v>
      </c>
      <c r="J41">
        <f t="shared" si="12"/>
        <v>246000000</v>
      </c>
      <c r="K41">
        <f t="shared" si="12"/>
        <v>249000000</v>
      </c>
      <c r="L41">
        <f t="shared" si="12"/>
        <v>255000000</v>
      </c>
      <c r="M41">
        <f t="shared" si="12"/>
        <v>261000000</v>
      </c>
      <c r="N41">
        <f t="shared" si="12"/>
        <v>264000000</v>
      </c>
      <c r="O41">
        <f t="shared" si="12"/>
        <v>258000000</v>
      </c>
      <c r="P41">
        <f t="shared" si="12"/>
        <v>252000000</v>
      </c>
      <c r="Q41">
        <f t="shared" si="12"/>
        <v>249000000</v>
      </c>
      <c r="R41">
        <f t="shared" si="12"/>
        <v>246000000</v>
      </c>
      <c r="S41">
        <f t="shared" si="12"/>
        <v>261000000</v>
      </c>
    </row>
    <row r="42" spans="1:19">
      <c r="A42" t="s">
        <v>23</v>
      </c>
      <c r="B42" t="s">
        <v>130</v>
      </c>
      <c r="C42" t="s">
        <v>1812</v>
      </c>
      <c r="D42" t="s">
        <v>134</v>
      </c>
      <c r="G42">
        <f t="shared" si="0"/>
        <v>3000000000</v>
      </c>
      <c r="H42">
        <v>225000000</v>
      </c>
      <c r="I42">
        <v>234000000</v>
      </c>
      <c r="J42">
        <v>246000000</v>
      </c>
      <c r="K42">
        <v>249000000</v>
      </c>
      <c r="L42">
        <v>255000000</v>
      </c>
      <c r="M42">
        <v>261000000</v>
      </c>
      <c r="N42">
        <v>264000000</v>
      </c>
      <c r="O42">
        <v>258000000</v>
      </c>
      <c r="P42">
        <v>252000000</v>
      </c>
      <c r="Q42">
        <v>249000000</v>
      </c>
      <c r="R42">
        <v>246000000</v>
      </c>
      <c r="S42">
        <v>261000000</v>
      </c>
    </row>
    <row r="43" spans="1:19">
      <c r="A43" t="s">
        <v>19</v>
      </c>
      <c r="B43" t="s">
        <v>143</v>
      </c>
      <c r="C43" t="s">
        <v>1813</v>
      </c>
      <c r="D43" t="s">
        <v>142</v>
      </c>
      <c r="G43">
        <f t="shared" si="0"/>
        <v>3000000000</v>
      </c>
      <c r="H43">
        <f t="shared" ref="H43:S43" si="13">H44</f>
        <v>225000000</v>
      </c>
      <c r="I43">
        <f t="shared" si="13"/>
        <v>234000000</v>
      </c>
      <c r="J43">
        <f t="shared" si="13"/>
        <v>246000000</v>
      </c>
      <c r="K43">
        <f t="shared" si="13"/>
        <v>249000000</v>
      </c>
      <c r="L43">
        <f t="shared" si="13"/>
        <v>255000000</v>
      </c>
      <c r="M43">
        <f t="shared" si="13"/>
        <v>261000000</v>
      </c>
      <c r="N43">
        <f t="shared" si="13"/>
        <v>264000000</v>
      </c>
      <c r="O43">
        <f t="shared" si="13"/>
        <v>258000000</v>
      </c>
      <c r="P43">
        <f t="shared" si="13"/>
        <v>252000000</v>
      </c>
      <c r="Q43">
        <f t="shared" si="13"/>
        <v>249000000</v>
      </c>
      <c r="R43">
        <f t="shared" si="13"/>
        <v>246000000</v>
      </c>
      <c r="S43">
        <f t="shared" si="13"/>
        <v>261000000</v>
      </c>
    </row>
    <row r="44" spans="1:19">
      <c r="A44" t="s">
        <v>23</v>
      </c>
      <c r="B44" t="s">
        <v>143</v>
      </c>
      <c r="C44" t="s">
        <v>1814</v>
      </c>
      <c r="D44" t="s">
        <v>145</v>
      </c>
      <c r="G44">
        <f t="shared" si="0"/>
        <v>3000000000</v>
      </c>
      <c r="H44">
        <v>225000000</v>
      </c>
      <c r="I44">
        <v>234000000</v>
      </c>
      <c r="J44">
        <v>246000000</v>
      </c>
      <c r="K44">
        <v>249000000</v>
      </c>
      <c r="L44">
        <v>255000000</v>
      </c>
      <c r="M44">
        <v>261000000</v>
      </c>
      <c r="N44">
        <v>264000000</v>
      </c>
      <c r="O44">
        <v>258000000</v>
      </c>
      <c r="P44">
        <v>252000000</v>
      </c>
      <c r="Q44">
        <v>249000000</v>
      </c>
      <c r="R44">
        <v>246000000</v>
      </c>
      <c r="S44">
        <v>261000000</v>
      </c>
    </row>
    <row r="45" spans="1:19">
      <c r="A45" t="s">
        <v>19</v>
      </c>
      <c r="B45" t="s">
        <v>20</v>
      </c>
      <c r="C45" t="s">
        <v>1815</v>
      </c>
      <c r="D45" t="s">
        <v>176</v>
      </c>
      <c r="G45">
        <f t="shared" si="0"/>
        <v>0.42</v>
      </c>
      <c r="H45">
        <f t="shared" ref="H45:S45" si="14">H46</f>
        <v>0.0343</v>
      </c>
      <c r="I45">
        <f t="shared" si="14"/>
        <v>0.034427</v>
      </c>
      <c r="J45">
        <f t="shared" si="14"/>
        <v>0.034555</v>
      </c>
      <c r="K45">
        <f t="shared" si="14"/>
        <v>0.034682</v>
      </c>
      <c r="L45">
        <f t="shared" si="14"/>
        <v>0.034809</v>
      </c>
      <c r="M45">
        <f t="shared" si="14"/>
        <v>0.034936</v>
      </c>
      <c r="N45">
        <f t="shared" si="14"/>
        <v>0.035064</v>
      </c>
      <c r="O45">
        <f t="shared" si="14"/>
        <v>0.035191</v>
      </c>
      <c r="P45">
        <f t="shared" si="14"/>
        <v>0.035318</v>
      </c>
      <c r="Q45">
        <f t="shared" si="14"/>
        <v>0.035445</v>
      </c>
      <c r="R45">
        <f t="shared" si="14"/>
        <v>0.035573</v>
      </c>
      <c r="S45">
        <f t="shared" si="14"/>
        <v>0.0357</v>
      </c>
    </row>
    <row r="46" spans="1:19">
      <c r="A46" t="s">
        <v>23</v>
      </c>
      <c r="B46" t="s">
        <v>20</v>
      </c>
      <c r="C46" t="s">
        <v>1816</v>
      </c>
      <c r="D46" t="s">
        <v>178</v>
      </c>
      <c r="G46">
        <f t="shared" si="0"/>
        <v>0.42</v>
      </c>
      <c r="H46">
        <f t="shared" ref="H46:S46" si="15">H47</f>
        <v>0.0343</v>
      </c>
      <c r="I46">
        <f t="shared" si="15"/>
        <v>0.034427</v>
      </c>
      <c r="J46">
        <f t="shared" si="15"/>
        <v>0.034555</v>
      </c>
      <c r="K46">
        <f t="shared" si="15"/>
        <v>0.034682</v>
      </c>
      <c r="L46">
        <f t="shared" si="15"/>
        <v>0.034809</v>
      </c>
      <c r="M46">
        <f t="shared" si="15"/>
        <v>0.034936</v>
      </c>
      <c r="N46">
        <f t="shared" si="15"/>
        <v>0.035064</v>
      </c>
      <c r="O46">
        <f t="shared" si="15"/>
        <v>0.035191</v>
      </c>
      <c r="P46">
        <f t="shared" si="15"/>
        <v>0.035318</v>
      </c>
      <c r="Q46">
        <f t="shared" si="15"/>
        <v>0.035445</v>
      </c>
      <c r="R46">
        <f t="shared" si="15"/>
        <v>0.035573</v>
      </c>
      <c r="S46">
        <f t="shared" si="15"/>
        <v>0.0357</v>
      </c>
    </row>
    <row r="47" spans="1:19">
      <c r="A47" t="s">
        <v>26</v>
      </c>
      <c r="B47" t="s">
        <v>179</v>
      </c>
      <c r="C47" t="s">
        <v>1817</v>
      </c>
      <c r="D47" t="s">
        <v>1487</v>
      </c>
      <c r="G47">
        <f t="shared" si="0"/>
        <v>0.42</v>
      </c>
      <c r="H47">
        <v>0.0343</v>
      </c>
      <c r="I47">
        <v>0.034427</v>
      </c>
      <c r="J47">
        <v>0.034555</v>
      </c>
      <c r="K47">
        <v>0.034682</v>
      </c>
      <c r="L47">
        <v>0.034809</v>
      </c>
      <c r="M47">
        <v>0.034936</v>
      </c>
      <c r="N47">
        <v>0.035064</v>
      </c>
      <c r="O47">
        <v>0.035191</v>
      </c>
      <c r="P47">
        <v>0.035318</v>
      </c>
      <c r="Q47">
        <v>0.035445</v>
      </c>
      <c r="R47">
        <v>0.035573</v>
      </c>
      <c r="S47">
        <v>0.0357</v>
      </c>
    </row>
    <row r="48" spans="1:19">
      <c r="A48" t="s">
        <v>19</v>
      </c>
      <c r="B48" t="s">
        <v>35</v>
      </c>
      <c r="C48" t="s">
        <v>1818</v>
      </c>
      <c r="D48" t="s">
        <v>241</v>
      </c>
      <c r="G48">
        <f t="shared" si="0"/>
        <v>0.6</v>
      </c>
      <c r="H48">
        <f t="shared" ref="H48:S48" si="16">H49+H51</f>
        <v>0.049</v>
      </c>
      <c r="I48">
        <f t="shared" si="16"/>
        <v>0.049182</v>
      </c>
      <c r="J48">
        <f t="shared" si="16"/>
        <v>0.049364</v>
      </c>
      <c r="K48">
        <f t="shared" si="16"/>
        <v>0.049546</v>
      </c>
      <c r="L48">
        <f t="shared" si="16"/>
        <v>0.049728</v>
      </c>
      <c r="M48">
        <f t="shared" si="16"/>
        <v>0.04991</v>
      </c>
      <c r="N48">
        <f t="shared" si="16"/>
        <v>0.05009</v>
      </c>
      <c r="O48">
        <f t="shared" si="16"/>
        <v>0.050272</v>
      </c>
      <c r="P48">
        <f t="shared" si="16"/>
        <v>0.050454</v>
      </c>
      <c r="Q48">
        <f t="shared" si="16"/>
        <v>0.050636</v>
      </c>
      <c r="R48">
        <f t="shared" si="16"/>
        <v>0.050818</v>
      </c>
      <c r="S48">
        <f t="shared" si="16"/>
        <v>0.051</v>
      </c>
    </row>
    <row r="49" spans="1:19">
      <c r="A49" t="s">
        <v>23</v>
      </c>
      <c r="B49" t="s">
        <v>35</v>
      </c>
      <c r="C49" t="s">
        <v>1819</v>
      </c>
      <c r="D49" t="s">
        <v>243</v>
      </c>
      <c r="G49">
        <f t="shared" si="0"/>
        <v>0.3</v>
      </c>
      <c r="H49">
        <f t="shared" ref="H49:S49" si="17">H50</f>
        <v>0.0245</v>
      </c>
      <c r="I49">
        <f t="shared" si="17"/>
        <v>0.024591</v>
      </c>
      <c r="J49">
        <f t="shared" si="17"/>
        <v>0.024682</v>
      </c>
      <c r="K49">
        <f t="shared" si="17"/>
        <v>0.024773</v>
      </c>
      <c r="L49">
        <f t="shared" si="17"/>
        <v>0.024864</v>
      </c>
      <c r="M49">
        <f t="shared" si="17"/>
        <v>0.024955</v>
      </c>
      <c r="N49">
        <f t="shared" si="17"/>
        <v>0.025045</v>
      </c>
      <c r="O49">
        <f t="shared" si="17"/>
        <v>0.025136</v>
      </c>
      <c r="P49">
        <f t="shared" si="17"/>
        <v>0.025227</v>
      </c>
      <c r="Q49">
        <f t="shared" si="17"/>
        <v>0.025318</v>
      </c>
      <c r="R49">
        <f t="shared" si="17"/>
        <v>0.025409</v>
      </c>
      <c r="S49">
        <f t="shared" si="17"/>
        <v>0.0255</v>
      </c>
    </row>
    <row r="50" spans="1:19">
      <c r="A50" t="s">
        <v>26</v>
      </c>
      <c r="B50" t="s">
        <v>179</v>
      </c>
      <c r="C50" t="s">
        <v>1820</v>
      </c>
      <c r="D50" t="s">
        <v>1491</v>
      </c>
      <c r="G50">
        <f t="shared" si="0"/>
        <v>0.3</v>
      </c>
      <c r="H50">
        <v>0.0245</v>
      </c>
      <c r="I50">
        <v>0.024591</v>
      </c>
      <c r="J50">
        <v>0.024682</v>
      </c>
      <c r="K50">
        <v>0.024773</v>
      </c>
      <c r="L50">
        <v>0.024864</v>
      </c>
      <c r="M50">
        <v>0.024955</v>
      </c>
      <c r="N50">
        <v>0.025045</v>
      </c>
      <c r="O50">
        <v>0.025136</v>
      </c>
      <c r="P50">
        <v>0.025227</v>
      </c>
      <c r="Q50">
        <v>0.025318</v>
      </c>
      <c r="R50">
        <v>0.025409</v>
      </c>
      <c r="S50">
        <v>0.0255</v>
      </c>
    </row>
    <row r="51" spans="1:19">
      <c r="A51" t="s">
        <v>23</v>
      </c>
      <c r="B51" t="s">
        <v>35</v>
      </c>
      <c r="C51" t="s">
        <v>1821</v>
      </c>
      <c r="D51" t="s">
        <v>281</v>
      </c>
      <c r="G51">
        <f t="shared" si="0"/>
        <v>0.3</v>
      </c>
      <c r="H51">
        <f t="shared" ref="H51:S51" si="18">H52</f>
        <v>0.0245</v>
      </c>
      <c r="I51">
        <f t="shared" si="18"/>
        <v>0.024591</v>
      </c>
      <c r="J51">
        <f t="shared" si="18"/>
        <v>0.024682</v>
      </c>
      <c r="K51">
        <f t="shared" si="18"/>
        <v>0.024773</v>
      </c>
      <c r="L51">
        <f t="shared" si="18"/>
        <v>0.024864</v>
      </c>
      <c r="M51">
        <f t="shared" si="18"/>
        <v>0.024955</v>
      </c>
      <c r="N51">
        <f t="shared" si="18"/>
        <v>0.025045</v>
      </c>
      <c r="O51">
        <f t="shared" si="18"/>
        <v>0.025136</v>
      </c>
      <c r="P51">
        <f t="shared" si="18"/>
        <v>0.025227</v>
      </c>
      <c r="Q51">
        <f t="shared" si="18"/>
        <v>0.025318</v>
      </c>
      <c r="R51">
        <f t="shared" si="18"/>
        <v>0.025409</v>
      </c>
      <c r="S51">
        <f t="shared" si="18"/>
        <v>0.0255</v>
      </c>
    </row>
    <row r="52" spans="1:19">
      <c r="A52" t="s">
        <v>26</v>
      </c>
      <c r="B52" t="s">
        <v>35</v>
      </c>
      <c r="C52" t="s">
        <v>1822</v>
      </c>
      <c r="D52" t="s">
        <v>283</v>
      </c>
      <c r="G52">
        <f t="shared" si="0"/>
        <v>0.3</v>
      </c>
      <c r="H52">
        <v>0.0245</v>
      </c>
      <c r="I52">
        <v>0.024591</v>
      </c>
      <c r="J52">
        <v>0.024682</v>
      </c>
      <c r="K52">
        <v>0.024773</v>
      </c>
      <c r="L52">
        <v>0.024864</v>
      </c>
      <c r="M52">
        <v>0.024955</v>
      </c>
      <c r="N52">
        <v>0.025045</v>
      </c>
      <c r="O52">
        <v>0.025136</v>
      </c>
      <c r="P52">
        <v>0.025227</v>
      </c>
      <c r="Q52">
        <v>0.025318</v>
      </c>
      <c r="R52">
        <v>0.025409</v>
      </c>
      <c r="S52">
        <v>0.0255</v>
      </c>
    </row>
    <row r="53" spans="1:19">
      <c r="A53" t="s">
        <v>19</v>
      </c>
      <c r="B53" t="s">
        <v>35</v>
      </c>
      <c r="C53" t="s">
        <v>1823</v>
      </c>
      <c r="D53" t="s">
        <v>285</v>
      </c>
      <c r="G53">
        <f t="shared" si="0"/>
        <v>0.216</v>
      </c>
      <c r="H53">
        <f t="shared" ref="H53:S53" si="19">H54</f>
        <v>0.01764</v>
      </c>
      <c r="I53">
        <f t="shared" si="19"/>
        <v>0.017705</v>
      </c>
      <c r="J53">
        <f t="shared" si="19"/>
        <v>0.017771</v>
      </c>
      <c r="K53">
        <f t="shared" si="19"/>
        <v>0.017836</v>
      </c>
      <c r="L53">
        <f t="shared" si="19"/>
        <v>0.017902</v>
      </c>
      <c r="M53">
        <f t="shared" si="19"/>
        <v>0.017967</v>
      </c>
      <c r="N53">
        <f t="shared" si="19"/>
        <v>0.018033</v>
      </c>
      <c r="O53">
        <f t="shared" si="19"/>
        <v>0.018098</v>
      </c>
      <c r="P53">
        <f t="shared" si="19"/>
        <v>0.018164</v>
      </c>
      <c r="Q53">
        <f t="shared" si="19"/>
        <v>0.018229</v>
      </c>
      <c r="R53">
        <f t="shared" si="19"/>
        <v>0.018295</v>
      </c>
      <c r="S53">
        <f t="shared" si="19"/>
        <v>0.01836</v>
      </c>
    </row>
    <row r="54" spans="1:19">
      <c r="A54" t="s">
        <v>23</v>
      </c>
      <c r="B54" t="s">
        <v>35</v>
      </c>
      <c r="C54" t="s">
        <v>1824</v>
      </c>
      <c r="D54" t="s">
        <v>287</v>
      </c>
      <c r="G54">
        <f t="shared" si="0"/>
        <v>0.216</v>
      </c>
      <c r="H54">
        <f t="shared" ref="H54:S54" si="20">H55</f>
        <v>0.01764</v>
      </c>
      <c r="I54">
        <f t="shared" si="20"/>
        <v>0.017705</v>
      </c>
      <c r="J54">
        <f t="shared" si="20"/>
        <v>0.017771</v>
      </c>
      <c r="K54">
        <f t="shared" si="20"/>
        <v>0.017836</v>
      </c>
      <c r="L54">
        <f t="shared" si="20"/>
        <v>0.017902</v>
      </c>
      <c r="M54">
        <f t="shared" si="20"/>
        <v>0.017967</v>
      </c>
      <c r="N54">
        <f t="shared" si="20"/>
        <v>0.018033</v>
      </c>
      <c r="O54">
        <f t="shared" si="20"/>
        <v>0.018098</v>
      </c>
      <c r="P54">
        <f t="shared" si="20"/>
        <v>0.018164</v>
      </c>
      <c r="Q54">
        <f t="shared" si="20"/>
        <v>0.018229</v>
      </c>
      <c r="R54">
        <f t="shared" si="20"/>
        <v>0.018295</v>
      </c>
      <c r="S54">
        <f t="shared" si="20"/>
        <v>0.01836</v>
      </c>
    </row>
    <row r="55" spans="1:19">
      <c r="A55" t="s">
        <v>26</v>
      </c>
      <c r="B55" t="s">
        <v>179</v>
      </c>
      <c r="C55" t="s">
        <v>1825</v>
      </c>
      <c r="D55" t="s">
        <v>289</v>
      </c>
      <c r="G55">
        <f t="shared" si="0"/>
        <v>0.216</v>
      </c>
      <c r="H55">
        <v>0.01764</v>
      </c>
      <c r="I55">
        <v>0.017705</v>
      </c>
      <c r="J55">
        <v>0.017771</v>
      </c>
      <c r="K55">
        <v>0.017836</v>
      </c>
      <c r="L55">
        <v>0.017902</v>
      </c>
      <c r="M55">
        <v>0.017967</v>
      </c>
      <c r="N55">
        <v>0.018033</v>
      </c>
      <c r="O55">
        <v>0.018098</v>
      </c>
      <c r="P55">
        <v>0.018164</v>
      </c>
      <c r="Q55">
        <v>0.018229</v>
      </c>
      <c r="R55">
        <v>0.018295</v>
      </c>
      <c r="S55">
        <v>0.01836</v>
      </c>
    </row>
    <row r="56" spans="1:19">
      <c r="A56" t="s">
        <v>19</v>
      </c>
      <c r="B56" t="s">
        <v>20</v>
      </c>
      <c r="C56" t="s">
        <v>1826</v>
      </c>
      <c r="D56" t="s">
        <v>309</v>
      </c>
      <c r="G56">
        <f t="shared" si="0"/>
        <v>0.3</v>
      </c>
      <c r="H56">
        <f t="shared" ref="H56:S56" si="21">H57</f>
        <v>0.0245</v>
      </c>
      <c r="I56">
        <f t="shared" si="21"/>
        <v>0.024591</v>
      </c>
      <c r="J56">
        <f t="shared" si="21"/>
        <v>0.024682</v>
      </c>
      <c r="K56">
        <f t="shared" si="21"/>
        <v>0.024773</v>
      </c>
      <c r="L56">
        <f t="shared" si="21"/>
        <v>0.024864</v>
      </c>
      <c r="M56">
        <f t="shared" si="21"/>
        <v>0.024955</v>
      </c>
      <c r="N56">
        <f t="shared" si="21"/>
        <v>0.025045</v>
      </c>
      <c r="O56">
        <f t="shared" si="21"/>
        <v>0.025136</v>
      </c>
      <c r="P56">
        <f t="shared" si="21"/>
        <v>0.025227</v>
      </c>
      <c r="Q56">
        <f t="shared" si="21"/>
        <v>0.025318</v>
      </c>
      <c r="R56">
        <f t="shared" si="21"/>
        <v>0.025409</v>
      </c>
      <c r="S56">
        <f t="shared" si="21"/>
        <v>0.0255</v>
      </c>
    </row>
    <row r="57" spans="1:19">
      <c r="A57" t="s">
        <v>23</v>
      </c>
      <c r="B57" t="s">
        <v>20</v>
      </c>
      <c r="C57" t="s">
        <v>1827</v>
      </c>
      <c r="D57" t="s">
        <v>311</v>
      </c>
      <c r="G57">
        <f t="shared" si="0"/>
        <v>0.3</v>
      </c>
      <c r="H57">
        <f t="shared" ref="H57:S57" si="22">H58</f>
        <v>0.0245</v>
      </c>
      <c r="I57">
        <f t="shared" si="22"/>
        <v>0.024591</v>
      </c>
      <c r="J57">
        <f t="shared" si="22"/>
        <v>0.024682</v>
      </c>
      <c r="K57">
        <f t="shared" si="22"/>
        <v>0.024773</v>
      </c>
      <c r="L57">
        <f t="shared" si="22"/>
        <v>0.024864</v>
      </c>
      <c r="M57">
        <f t="shared" si="22"/>
        <v>0.024955</v>
      </c>
      <c r="N57">
        <f t="shared" si="22"/>
        <v>0.025045</v>
      </c>
      <c r="O57">
        <f t="shared" si="22"/>
        <v>0.025136</v>
      </c>
      <c r="P57">
        <f t="shared" si="22"/>
        <v>0.025227</v>
      </c>
      <c r="Q57">
        <f t="shared" si="22"/>
        <v>0.025318</v>
      </c>
      <c r="R57">
        <f t="shared" si="22"/>
        <v>0.025409</v>
      </c>
      <c r="S57">
        <f t="shared" si="22"/>
        <v>0.0255</v>
      </c>
    </row>
    <row r="58" spans="1:19">
      <c r="A58" t="s">
        <v>26</v>
      </c>
      <c r="B58" t="s">
        <v>179</v>
      </c>
      <c r="C58" t="s">
        <v>1828</v>
      </c>
      <c r="D58" t="s">
        <v>313</v>
      </c>
      <c r="G58">
        <f t="shared" si="0"/>
        <v>0.3</v>
      </c>
      <c r="H58">
        <v>0.0245</v>
      </c>
      <c r="I58">
        <v>0.024591</v>
      </c>
      <c r="J58">
        <v>0.024682</v>
      </c>
      <c r="K58">
        <v>0.024773</v>
      </c>
      <c r="L58">
        <v>0.024864</v>
      </c>
      <c r="M58">
        <v>0.024955</v>
      </c>
      <c r="N58">
        <v>0.025045</v>
      </c>
      <c r="O58">
        <v>0.025136</v>
      </c>
      <c r="P58">
        <v>0.025227</v>
      </c>
      <c r="Q58">
        <v>0.025318</v>
      </c>
      <c r="R58">
        <v>0.025409</v>
      </c>
      <c r="S58">
        <v>0.0255</v>
      </c>
    </row>
    <row r="59" spans="1:19">
      <c r="A59" t="s">
        <v>19</v>
      </c>
      <c r="B59" t="s">
        <v>20</v>
      </c>
      <c r="C59" t="s">
        <v>1829</v>
      </c>
      <c r="D59" t="s">
        <v>337</v>
      </c>
      <c r="G59">
        <f t="shared" si="0"/>
        <v>125920000</v>
      </c>
      <c r="H59">
        <f t="shared" ref="H59:S59" si="23">H60</f>
        <v>0</v>
      </c>
      <c r="I59">
        <f t="shared" si="23"/>
        <v>0</v>
      </c>
      <c r="J59">
        <f t="shared" si="23"/>
        <v>0</v>
      </c>
      <c r="K59">
        <f t="shared" si="23"/>
        <v>12800000</v>
      </c>
      <c r="L59">
        <f t="shared" si="23"/>
        <v>13120000</v>
      </c>
      <c r="M59">
        <f t="shared" si="23"/>
        <v>13600000</v>
      </c>
      <c r="N59">
        <f t="shared" si="23"/>
        <v>14080000</v>
      </c>
      <c r="O59">
        <f t="shared" si="23"/>
        <v>13920000</v>
      </c>
      <c r="P59">
        <f t="shared" si="23"/>
        <v>13600000</v>
      </c>
      <c r="Q59">
        <f t="shared" si="23"/>
        <v>14880000</v>
      </c>
      <c r="R59">
        <f t="shared" si="23"/>
        <v>14720000</v>
      </c>
      <c r="S59">
        <f t="shared" si="23"/>
        <v>15200000</v>
      </c>
    </row>
    <row r="60" spans="1:19">
      <c r="A60" t="s">
        <v>23</v>
      </c>
      <c r="B60" t="s">
        <v>20</v>
      </c>
      <c r="C60" t="s">
        <v>1830</v>
      </c>
      <c r="D60" t="s">
        <v>337</v>
      </c>
      <c r="G60">
        <f t="shared" si="0"/>
        <v>125920000</v>
      </c>
      <c r="K60">
        <v>12800000</v>
      </c>
      <c r="L60">
        <v>13120000</v>
      </c>
      <c r="M60">
        <v>13600000</v>
      </c>
      <c r="N60">
        <v>14080000</v>
      </c>
      <c r="O60">
        <v>13920000</v>
      </c>
      <c r="P60">
        <v>13600000</v>
      </c>
      <c r="Q60">
        <v>14880000</v>
      </c>
      <c r="R60">
        <v>14720000</v>
      </c>
      <c r="S60">
        <v>15200000</v>
      </c>
    </row>
    <row r="61" spans="1:19">
      <c r="A61" t="s">
        <v>19</v>
      </c>
      <c r="B61" t="s">
        <v>35</v>
      </c>
      <c r="C61" t="s">
        <v>1831</v>
      </c>
      <c r="D61" t="s">
        <v>365</v>
      </c>
      <c r="G61">
        <f t="shared" si="0"/>
        <v>2310740000.54</v>
      </c>
      <c r="H61">
        <f t="shared" ref="H61:S61" si="24">H62+H64+H66+H68+H70</f>
        <v>0.0441</v>
      </c>
      <c r="I61">
        <f t="shared" si="24"/>
        <v>0.044265</v>
      </c>
      <c r="J61">
        <f t="shared" si="24"/>
        <v>0.044427</v>
      </c>
      <c r="K61">
        <f t="shared" si="24"/>
        <v>250600000.044592</v>
      </c>
      <c r="L61">
        <f t="shared" si="24"/>
        <v>256640000.044754</v>
      </c>
      <c r="M61">
        <f t="shared" si="24"/>
        <v>262700000.044919</v>
      </c>
      <c r="N61">
        <f t="shared" si="24"/>
        <v>265760000.045081</v>
      </c>
      <c r="O61">
        <f t="shared" si="24"/>
        <v>259740000.045246</v>
      </c>
      <c r="P61">
        <f t="shared" si="24"/>
        <v>253700000.045408</v>
      </c>
      <c r="Q61">
        <f t="shared" si="24"/>
        <v>250860000.045573</v>
      </c>
      <c r="R61">
        <f t="shared" si="24"/>
        <v>247840000.045735</v>
      </c>
      <c r="S61">
        <f t="shared" si="24"/>
        <v>262900000.0459</v>
      </c>
    </row>
    <row r="62" spans="1:19">
      <c r="A62" t="s">
        <v>23</v>
      </c>
      <c r="B62" t="s">
        <v>35</v>
      </c>
      <c r="C62" t="s">
        <v>1832</v>
      </c>
      <c r="D62" t="s">
        <v>367</v>
      </c>
      <c r="G62">
        <f t="shared" si="0"/>
        <v>0.18</v>
      </c>
      <c r="H62">
        <f t="shared" ref="H62:S62" si="25">H63</f>
        <v>0.0147</v>
      </c>
      <c r="I62">
        <f t="shared" si="25"/>
        <v>0.014755</v>
      </c>
      <c r="J62">
        <f t="shared" si="25"/>
        <v>0.014809</v>
      </c>
      <c r="K62">
        <f t="shared" si="25"/>
        <v>0.014864</v>
      </c>
      <c r="L62">
        <f t="shared" si="25"/>
        <v>0.014918</v>
      </c>
      <c r="M62">
        <f t="shared" si="25"/>
        <v>0.014973</v>
      </c>
      <c r="N62">
        <f t="shared" si="25"/>
        <v>0.015027</v>
      </c>
      <c r="O62">
        <f t="shared" si="25"/>
        <v>0.015082</v>
      </c>
      <c r="P62">
        <f t="shared" si="25"/>
        <v>0.015136</v>
      </c>
      <c r="Q62">
        <f t="shared" si="25"/>
        <v>0.015191</v>
      </c>
      <c r="R62">
        <f t="shared" si="25"/>
        <v>0.015245</v>
      </c>
      <c r="S62">
        <f t="shared" si="25"/>
        <v>0.0153</v>
      </c>
    </row>
    <row r="63" spans="1:19">
      <c r="A63" t="s">
        <v>26</v>
      </c>
      <c r="B63" t="s">
        <v>179</v>
      </c>
      <c r="C63" t="s">
        <v>1833</v>
      </c>
      <c r="D63" t="s">
        <v>369</v>
      </c>
      <c r="G63">
        <f t="shared" si="0"/>
        <v>0.18</v>
      </c>
      <c r="H63">
        <v>0.0147</v>
      </c>
      <c r="I63">
        <v>0.014755</v>
      </c>
      <c r="J63">
        <v>0.014809</v>
      </c>
      <c r="K63">
        <v>0.014864</v>
      </c>
      <c r="L63">
        <v>0.014918</v>
      </c>
      <c r="M63">
        <v>0.014973</v>
      </c>
      <c r="N63">
        <v>0.015027</v>
      </c>
      <c r="O63">
        <v>0.015082</v>
      </c>
      <c r="P63">
        <v>0.015136</v>
      </c>
      <c r="Q63">
        <v>0.015191</v>
      </c>
      <c r="R63">
        <v>0.015245</v>
      </c>
      <c r="S63">
        <v>0.0153</v>
      </c>
    </row>
    <row r="64" spans="1:19">
      <c r="A64" t="s">
        <v>23</v>
      </c>
      <c r="B64" t="s">
        <v>35</v>
      </c>
      <c r="C64" t="s">
        <v>1834</v>
      </c>
      <c r="D64" t="s">
        <v>371</v>
      </c>
      <c r="G64">
        <f t="shared" si="0"/>
        <v>0.18</v>
      </c>
      <c r="H64">
        <f t="shared" ref="H64:S64" si="26">H65</f>
        <v>0.0147</v>
      </c>
      <c r="I64">
        <f t="shared" si="26"/>
        <v>0.014755</v>
      </c>
      <c r="J64">
        <f t="shared" si="26"/>
        <v>0.014809</v>
      </c>
      <c r="K64">
        <f t="shared" si="26"/>
        <v>0.014864</v>
      </c>
      <c r="L64">
        <f t="shared" si="26"/>
        <v>0.014918</v>
      </c>
      <c r="M64">
        <f t="shared" si="26"/>
        <v>0.014973</v>
      </c>
      <c r="N64">
        <f t="shared" si="26"/>
        <v>0.015027</v>
      </c>
      <c r="O64">
        <f t="shared" si="26"/>
        <v>0.015082</v>
      </c>
      <c r="P64">
        <f t="shared" si="26"/>
        <v>0.015136</v>
      </c>
      <c r="Q64">
        <f t="shared" si="26"/>
        <v>0.015191</v>
      </c>
      <c r="R64">
        <f t="shared" si="26"/>
        <v>0.015245</v>
      </c>
      <c r="S64">
        <f t="shared" si="26"/>
        <v>0.0153</v>
      </c>
    </row>
    <row r="65" spans="1:19">
      <c r="A65" t="s">
        <v>26</v>
      </c>
      <c r="B65" t="s">
        <v>179</v>
      </c>
      <c r="C65" t="s">
        <v>1835</v>
      </c>
      <c r="D65" t="s">
        <v>369</v>
      </c>
      <c r="G65">
        <f t="shared" si="0"/>
        <v>0.18</v>
      </c>
      <c r="H65">
        <v>0.0147</v>
      </c>
      <c r="I65">
        <v>0.014755</v>
      </c>
      <c r="J65">
        <v>0.014809</v>
      </c>
      <c r="K65">
        <v>0.014864</v>
      </c>
      <c r="L65">
        <v>0.014918</v>
      </c>
      <c r="M65">
        <v>0.014973</v>
      </c>
      <c r="N65">
        <v>0.015027</v>
      </c>
      <c r="O65">
        <v>0.015082</v>
      </c>
      <c r="P65">
        <v>0.015136</v>
      </c>
      <c r="Q65">
        <v>0.015191</v>
      </c>
      <c r="R65">
        <v>0.015245</v>
      </c>
      <c r="S65">
        <v>0.0153</v>
      </c>
    </row>
    <row r="66" spans="1:19">
      <c r="A66" t="s">
        <v>23</v>
      </c>
      <c r="B66" t="s">
        <v>35</v>
      </c>
      <c r="C66" t="s">
        <v>1836</v>
      </c>
      <c r="D66" t="s">
        <v>374</v>
      </c>
      <c r="G66">
        <f t="shared" ref="G66:G129" si="27">H66+I66+J66+K66+L66+M66+N66+O66+P66+Q66+R66+S66</f>
        <v>0.18</v>
      </c>
      <c r="H66">
        <f t="shared" ref="H66:S66" si="28">H67</f>
        <v>0.0147</v>
      </c>
      <c r="I66">
        <f t="shared" si="28"/>
        <v>0.014755</v>
      </c>
      <c r="J66">
        <f t="shared" si="28"/>
        <v>0.014809</v>
      </c>
      <c r="K66">
        <f t="shared" si="28"/>
        <v>0.014864</v>
      </c>
      <c r="L66">
        <f t="shared" si="28"/>
        <v>0.014918</v>
      </c>
      <c r="M66">
        <f t="shared" si="28"/>
        <v>0.014973</v>
      </c>
      <c r="N66">
        <f t="shared" si="28"/>
        <v>0.015027</v>
      </c>
      <c r="O66">
        <f t="shared" si="28"/>
        <v>0.015082</v>
      </c>
      <c r="P66">
        <f t="shared" si="28"/>
        <v>0.015136</v>
      </c>
      <c r="Q66">
        <f t="shared" si="28"/>
        <v>0.015191</v>
      </c>
      <c r="R66">
        <f t="shared" si="28"/>
        <v>0.015245</v>
      </c>
      <c r="S66">
        <f t="shared" si="28"/>
        <v>0.0153</v>
      </c>
    </row>
    <row r="67" spans="1:19">
      <c r="A67" t="s">
        <v>26</v>
      </c>
      <c r="B67" t="s">
        <v>179</v>
      </c>
      <c r="C67" t="s">
        <v>1837</v>
      </c>
      <c r="D67" t="s">
        <v>369</v>
      </c>
      <c r="G67">
        <f t="shared" si="27"/>
        <v>0.18</v>
      </c>
      <c r="H67">
        <v>0.0147</v>
      </c>
      <c r="I67">
        <v>0.014755</v>
      </c>
      <c r="J67">
        <v>0.014809</v>
      </c>
      <c r="K67">
        <v>0.014864</v>
      </c>
      <c r="L67">
        <v>0.014918</v>
      </c>
      <c r="M67">
        <v>0.014973</v>
      </c>
      <c r="N67">
        <v>0.015027</v>
      </c>
      <c r="O67">
        <v>0.015082</v>
      </c>
      <c r="P67">
        <v>0.015136</v>
      </c>
      <c r="Q67">
        <v>0.015191</v>
      </c>
      <c r="R67">
        <v>0.015245</v>
      </c>
      <c r="S67">
        <v>0.0153</v>
      </c>
    </row>
    <row r="68" spans="1:19">
      <c r="A68" t="s">
        <v>23</v>
      </c>
      <c r="B68" t="s">
        <v>35</v>
      </c>
      <c r="C68" t="s">
        <v>1838</v>
      </c>
      <c r="D68" t="s">
        <v>381</v>
      </c>
      <c r="G68">
        <f t="shared" si="27"/>
        <v>2295000000</v>
      </c>
      <c r="H68">
        <f t="shared" ref="H68:S68" si="29">H69</f>
        <v>0</v>
      </c>
      <c r="I68">
        <f t="shared" si="29"/>
        <v>0</v>
      </c>
      <c r="J68">
        <f t="shared" si="29"/>
        <v>0</v>
      </c>
      <c r="K68">
        <f t="shared" si="29"/>
        <v>249000000</v>
      </c>
      <c r="L68">
        <f t="shared" si="29"/>
        <v>255000000</v>
      </c>
      <c r="M68">
        <f t="shared" si="29"/>
        <v>261000000</v>
      </c>
      <c r="N68">
        <f t="shared" si="29"/>
        <v>264000000</v>
      </c>
      <c r="O68">
        <f t="shared" si="29"/>
        <v>258000000</v>
      </c>
      <c r="P68">
        <f t="shared" si="29"/>
        <v>252000000</v>
      </c>
      <c r="Q68">
        <f t="shared" si="29"/>
        <v>249000000</v>
      </c>
      <c r="R68">
        <f t="shared" si="29"/>
        <v>246000000</v>
      </c>
      <c r="S68">
        <f t="shared" si="29"/>
        <v>261000000</v>
      </c>
    </row>
    <row r="69" spans="1:19">
      <c r="A69" t="s">
        <v>26</v>
      </c>
      <c r="B69" t="s">
        <v>179</v>
      </c>
      <c r="C69" t="s">
        <v>1839</v>
      </c>
      <c r="D69" t="s">
        <v>383</v>
      </c>
      <c r="G69">
        <f t="shared" si="27"/>
        <v>2295000000</v>
      </c>
      <c r="K69">
        <v>249000000</v>
      </c>
      <c r="L69">
        <v>255000000</v>
      </c>
      <c r="M69">
        <v>261000000</v>
      </c>
      <c r="N69">
        <v>264000000</v>
      </c>
      <c r="O69">
        <v>258000000</v>
      </c>
      <c r="P69">
        <v>252000000</v>
      </c>
      <c r="Q69">
        <v>249000000</v>
      </c>
      <c r="R69">
        <v>246000000</v>
      </c>
      <c r="S69">
        <v>261000000</v>
      </c>
    </row>
    <row r="70" spans="1:19">
      <c r="A70" t="s">
        <v>23</v>
      </c>
      <c r="B70" t="s">
        <v>35</v>
      </c>
      <c r="C70" t="s">
        <v>1840</v>
      </c>
      <c r="D70" t="s">
        <v>179</v>
      </c>
      <c r="G70">
        <f t="shared" si="27"/>
        <v>15740000</v>
      </c>
      <c r="K70">
        <v>1600000</v>
      </c>
      <c r="L70">
        <v>1640000</v>
      </c>
      <c r="M70">
        <v>1700000</v>
      </c>
      <c r="N70">
        <v>1760000</v>
      </c>
      <c r="O70">
        <v>1740000</v>
      </c>
      <c r="P70">
        <v>1700000</v>
      </c>
      <c r="Q70">
        <v>1860000</v>
      </c>
      <c r="R70">
        <v>1840000</v>
      </c>
      <c r="S70">
        <v>1900000</v>
      </c>
    </row>
    <row r="71" spans="1:19">
      <c r="A71" t="s">
        <v>19</v>
      </c>
      <c r="B71" t="s">
        <v>20</v>
      </c>
      <c r="C71" t="s">
        <v>1841</v>
      </c>
      <c r="D71" t="s">
        <v>386</v>
      </c>
      <c r="G71">
        <f t="shared" si="27"/>
        <v>2019628588</v>
      </c>
      <c r="H71">
        <v>145266811</v>
      </c>
      <c r="I71">
        <v>140207964</v>
      </c>
      <c r="J71">
        <v>160868888</v>
      </c>
      <c r="K71">
        <v>164112492</v>
      </c>
      <c r="L71">
        <v>168155385</v>
      </c>
      <c r="M71">
        <v>173420398</v>
      </c>
      <c r="N71">
        <v>177886207</v>
      </c>
      <c r="O71">
        <v>175065520</v>
      </c>
      <c r="P71">
        <v>171022627</v>
      </c>
      <c r="Q71">
        <v>180000765</v>
      </c>
      <c r="R71">
        <v>177979355</v>
      </c>
      <c r="S71">
        <v>185642176</v>
      </c>
    </row>
    <row r="72" spans="1:19">
      <c r="A72" t="s">
        <v>19</v>
      </c>
      <c r="B72" t="s">
        <v>20</v>
      </c>
      <c r="C72" t="s">
        <v>1842</v>
      </c>
      <c r="D72" t="s">
        <v>392</v>
      </c>
      <c r="G72">
        <f t="shared" si="27"/>
        <v>2019628588</v>
      </c>
      <c r="H72">
        <v>145266811</v>
      </c>
      <c r="I72">
        <v>140207964</v>
      </c>
      <c r="J72">
        <v>160868888</v>
      </c>
      <c r="K72">
        <v>164112492</v>
      </c>
      <c r="L72">
        <v>168155385</v>
      </c>
      <c r="M72">
        <v>173420398</v>
      </c>
      <c r="N72">
        <v>177886207</v>
      </c>
      <c r="O72">
        <v>175065520</v>
      </c>
      <c r="P72">
        <v>171022627</v>
      </c>
      <c r="Q72">
        <v>180000765</v>
      </c>
      <c r="R72">
        <v>177979355</v>
      </c>
      <c r="S72">
        <v>185642176</v>
      </c>
    </row>
    <row r="73" spans="1:19">
      <c r="A73" t="s">
        <v>19</v>
      </c>
      <c r="B73" t="s">
        <v>393</v>
      </c>
      <c r="C73" t="s">
        <v>1843</v>
      </c>
      <c r="D73" t="s">
        <v>395</v>
      </c>
      <c r="G73">
        <f t="shared" si="27"/>
        <v>1098677604</v>
      </c>
      <c r="H73">
        <f t="shared" ref="H73:S73" si="30">H74+H90</f>
        <v>79025122</v>
      </c>
      <c r="I73">
        <f t="shared" si="30"/>
        <v>76273100</v>
      </c>
      <c r="J73">
        <f t="shared" si="30"/>
        <v>87512656</v>
      </c>
      <c r="K73">
        <f t="shared" si="30"/>
        <v>89277172</v>
      </c>
      <c r="L73">
        <f t="shared" si="30"/>
        <v>91476492</v>
      </c>
      <c r="M73">
        <f t="shared" si="30"/>
        <v>94340674</v>
      </c>
      <c r="N73">
        <f t="shared" si="30"/>
        <v>96770070</v>
      </c>
      <c r="O73">
        <f t="shared" si="30"/>
        <v>95235616</v>
      </c>
      <c r="P73">
        <f t="shared" si="30"/>
        <v>93036278</v>
      </c>
      <c r="Q73">
        <f t="shared" si="30"/>
        <v>97920380</v>
      </c>
      <c r="R73">
        <f t="shared" si="30"/>
        <v>96820736</v>
      </c>
      <c r="S73">
        <f t="shared" si="30"/>
        <v>100989308</v>
      </c>
    </row>
    <row r="74" spans="1:19">
      <c r="A74" t="s">
        <v>23</v>
      </c>
      <c r="B74" t="s">
        <v>393</v>
      </c>
      <c r="C74" t="s">
        <v>1844</v>
      </c>
      <c r="D74" t="s">
        <v>397</v>
      </c>
      <c r="G74">
        <f t="shared" si="27"/>
        <v>549338802</v>
      </c>
      <c r="H74">
        <f t="shared" ref="H74:S74" si="31">H75+H78+H81+H88+H89</f>
        <v>39512561</v>
      </c>
      <c r="I74">
        <f t="shared" si="31"/>
        <v>38136550</v>
      </c>
      <c r="J74">
        <f t="shared" si="31"/>
        <v>43756328</v>
      </c>
      <c r="K74">
        <f t="shared" si="31"/>
        <v>44638586</v>
      </c>
      <c r="L74">
        <f t="shared" si="31"/>
        <v>45738246</v>
      </c>
      <c r="M74">
        <f t="shared" si="31"/>
        <v>47170337</v>
      </c>
      <c r="N74">
        <f t="shared" si="31"/>
        <v>48385035</v>
      </c>
      <c r="O74">
        <f t="shared" si="31"/>
        <v>47617808</v>
      </c>
      <c r="P74">
        <f t="shared" si="31"/>
        <v>46518139</v>
      </c>
      <c r="Q74">
        <f t="shared" si="31"/>
        <v>48960190</v>
      </c>
      <c r="R74">
        <f t="shared" si="31"/>
        <v>48410368</v>
      </c>
      <c r="S74">
        <f t="shared" si="31"/>
        <v>50494654</v>
      </c>
    </row>
    <row r="75" spans="1:19">
      <c r="A75" t="s">
        <v>26</v>
      </c>
      <c r="B75" t="s">
        <v>393</v>
      </c>
      <c r="C75" t="s">
        <v>1845</v>
      </c>
      <c r="D75" t="s">
        <v>399</v>
      </c>
      <c r="G75">
        <f t="shared" si="27"/>
        <v>40392540</v>
      </c>
      <c r="H75">
        <f t="shared" ref="H75:S75" si="32">H76+H77</f>
        <v>2905334</v>
      </c>
      <c r="I75">
        <f t="shared" si="32"/>
        <v>2804156</v>
      </c>
      <c r="J75">
        <f t="shared" si="32"/>
        <v>3217376</v>
      </c>
      <c r="K75">
        <f t="shared" si="32"/>
        <v>3282248</v>
      </c>
      <c r="L75">
        <f t="shared" si="32"/>
        <v>3363104</v>
      </c>
      <c r="M75">
        <f t="shared" si="32"/>
        <v>3468406</v>
      </c>
      <c r="N75">
        <f t="shared" si="32"/>
        <v>3557722</v>
      </c>
      <c r="O75">
        <f t="shared" si="32"/>
        <v>3501308</v>
      </c>
      <c r="P75">
        <f t="shared" si="32"/>
        <v>3420450</v>
      </c>
      <c r="Q75">
        <f t="shared" si="32"/>
        <v>3600012</v>
      </c>
      <c r="R75">
        <f t="shared" si="32"/>
        <v>3559584</v>
      </c>
      <c r="S75">
        <f t="shared" si="32"/>
        <v>3712840</v>
      </c>
    </row>
    <row r="76" spans="1:19">
      <c r="A76" t="s">
        <v>60</v>
      </c>
      <c r="B76" t="s">
        <v>393</v>
      </c>
      <c r="C76" t="s">
        <v>1846</v>
      </c>
      <c r="D76" t="s">
        <v>401</v>
      </c>
      <c r="G76">
        <f t="shared" si="27"/>
        <v>20196270</v>
      </c>
      <c r="H76">
        <v>1452667</v>
      </c>
      <c r="I76">
        <v>1402078</v>
      </c>
      <c r="J76">
        <v>1608688</v>
      </c>
      <c r="K76">
        <v>1641124</v>
      </c>
      <c r="L76">
        <v>1681552</v>
      </c>
      <c r="M76">
        <v>1734203</v>
      </c>
      <c r="N76">
        <v>1778861</v>
      </c>
      <c r="O76">
        <v>1750654</v>
      </c>
      <c r="P76">
        <v>1710225</v>
      </c>
      <c r="Q76">
        <v>1800006</v>
      </c>
      <c r="R76">
        <v>1779792</v>
      </c>
      <c r="S76">
        <v>1856420</v>
      </c>
    </row>
    <row r="77" spans="1:19">
      <c r="A77" t="s">
        <v>60</v>
      </c>
      <c r="B77" t="s">
        <v>393</v>
      </c>
      <c r="C77" t="s">
        <v>1847</v>
      </c>
      <c r="D77" t="s">
        <v>49</v>
      </c>
      <c r="G77">
        <f t="shared" si="27"/>
        <v>20196270</v>
      </c>
      <c r="H77">
        <v>1452667</v>
      </c>
      <c r="I77">
        <v>1402078</v>
      </c>
      <c r="J77">
        <v>1608688</v>
      </c>
      <c r="K77">
        <v>1641124</v>
      </c>
      <c r="L77">
        <v>1681552</v>
      </c>
      <c r="M77">
        <v>1734203</v>
      </c>
      <c r="N77">
        <v>1778861</v>
      </c>
      <c r="O77">
        <v>1750654</v>
      </c>
      <c r="P77">
        <v>1710225</v>
      </c>
      <c r="Q77">
        <v>1800006</v>
      </c>
      <c r="R77">
        <v>1779792</v>
      </c>
      <c r="S77">
        <v>1856420</v>
      </c>
    </row>
    <row r="78" spans="1:19">
      <c r="A78" t="s">
        <v>26</v>
      </c>
      <c r="B78" t="s">
        <v>393</v>
      </c>
      <c r="C78" t="s">
        <v>1848</v>
      </c>
      <c r="D78" t="s">
        <v>51</v>
      </c>
      <c r="G78">
        <f t="shared" si="27"/>
        <v>40392540</v>
      </c>
      <c r="H78">
        <f t="shared" ref="H78:S78" si="33">H79+H80</f>
        <v>2905334</v>
      </c>
      <c r="I78">
        <f t="shared" si="33"/>
        <v>2804156</v>
      </c>
      <c r="J78">
        <f t="shared" si="33"/>
        <v>3217376</v>
      </c>
      <c r="K78">
        <f t="shared" si="33"/>
        <v>3282248</v>
      </c>
      <c r="L78">
        <f t="shared" si="33"/>
        <v>3363104</v>
      </c>
      <c r="M78">
        <f t="shared" si="33"/>
        <v>3468406</v>
      </c>
      <c r="N78">
        <f t="shared" si="33"/>
        <v>3557722</v>
      </c>
      <c r="O78">
        <f t="shared" si="33"/>
        <v>3501308</v>
      </c>
      <c r="P78">
        <f t="shared" si="33"/>
        <v>3420450</v>
      </c>
      <c r="Q78">
        <f t="shared" si="33"/>
        <v>3600012</v>
      </c>
      <c r="R78">
        <f t="shared" si="33"/>
        <v>3559584</v>
      </c>
      <c r="S78">
        <f t="shared" si="33"/>
        <v>3712840</v>
      </c>
    </row>
    <row r="79" spans="1:19">
      <c r="A79" t="s">
        <v>60</v>
      </c>
      <c r="B79" t="s">
        <v>393</v>
      </c>
      <c r="C79" t="s">
        <v>1849</v>
      </c>
      <c r="D79" t="s">
        <v>405</v>
      </c>
      <c r="G79">
        <f t="shared" si="27"/>
        <v>20196270</v>
      </c>
      <c r="H79">
        <v>1452667</v>
      </c>
      <c r="I79">
        <v>1402078</v>
      </c>
      <c r="J79">
        <v>1608688</v>
      </c>
      <c r="K79">
        <v>1641124</v>
      </c>
      <c r="L79">
        <v>1681552</v>
      </c>
      <c r="M79">
        <v>1734203</v>
      </c>
      <c r="N79">
        <v>1778861</v>
      </c>
      <c r="O79">
        <v>1750654</v>
      </c>
      <c r="P79">
        <v>1710225</v>
      </c>
      <c r="Q79">
        <v>1800006</v>
      </c>
      <c r="R79">
        <v>1779792</v>
      </c>
      <c r="S79">
        <v>1856420</v>
      </c>
    </row>
    <row r="80" spans="1:19">
      <c r="A80" t="s">
        <v>60</v>
      </c>
      <c r="B80" t="s">
        <v>393</v>
      </c>
      <c r="C80" t="s">
        <v>1850</v>
      </c>
      <c r="D80" t="s">
        <v>407</v>
      </c>
      <c r="G80">
        <f t="shared" si="27"/>
        <v>20196270</v>
      </c>
      <c r="H80">
        <v>1452667</v>
      </c>
      <c r="I80">
        <v>1402078</v>
      </c>
      <c r="J80">
        <v>1608688</v>
      </c>
      <c r="K80">
        <v>1641124</v>
      </c>
      <c r="L80">
        <v>1681552</v>
      </c>
      <c r="M80">
        <v>1734203</v>
      </c>
      <c r="N80">
        <v>1778861</v>
      </c>
      <c r="O80">
        <v>1750654</v>
      </c>
      <c r="P80">
        <v>1710225</v>
      </c>
      <c r="Q80">
        <v>1800006</v>
      </c>
      <c r="R80">
        <v>1779792</v>
      </c>
      <c r="S80">
        <v>1856420</v>
      </c>
    </row>
    <row r="81" spans="1:19">
      <c r="A81" t="s">
        <v>26</v>
      </c>
      <c r="B81" t="s">
        <v>393</v>
      </c>
      <c r="C81" t="s">
        <v>1851</v>
      </c>
      <c r="D81" t="s">
        <v>409</v>
      </c>
      <c r="G81">
        <f t="shared" si="27"/>
        <v>64628036</v>
      </c>
      <c r="H81">
        <f t="shared" ref="H81:S81" si="34">H82+H85+H86+H87</f>
        <v>4648533</v>
      </c>
      <c r="I81">
        <f t="shared" si="34"/>
        <v>4486648</v>
      </c>
      <c r="J81">
        <f t="shared" si="34"/>
        <v>5147800</v>
      </c>
      <c r="K81">
        <f t="shared" si="34"/>
        <v>5251594</v>
      </c>
      <c r="L81">
        <f t="shared" si="34"/>
        <v>5380964</v>
      </c>
      <c r="M81">
        <f t="shared" si="34"/>
        <v>5549447</v>
      </c>
      <c r="N81">
        <f t="shared" si="34"/>
        <v>5692353</v>
      </c>
      <c r="O81">
        <f t="shared" si="34"/>
        <v>5602090</v>
      </c>
      <c r="P81">
        <f t="shared" si="34"/>
        <v>5472717</v>
      </c>
      <c r="Q81">
        <f t="shared" si="34"/>
        <v>5760016</v>
      </c>
      <c r="R81">
        <f t="shared" si="34"/>
        <v>5695332</v>
      </c>
      <c r="S81">
        <f t="shared" si="34"/>
        <v>5940542</v>
      </c>
    </row>
    <row r="82" spans="1:19">
      <c r="A82" t="s">
        <v>60</v>
      </c>
      <c r="B82" t="s">
        <v>393</v>
      </c>
      <c r="C82" t="s">
        <v>1852</v>
      </c>
      <c r="D82" t="s">
        <v>59</v>
      </c>
      <c r="G82">
        <f t="shared" si="27"/>
        <v>4039226</v>
      </c>
      <c r="H82">
        <f t="shared" ref="H82:S82" si="35">H83+H84</f>
        <v>290532</v>
      </c>
      <c r="I82">
        <f t="shared" si="35"/>
        <v>280414</v>
      </c>
      <c r="J82">
        <f t="shared" si="35"/>
        <v>321736</v>
      </c>
      <c r="K82">
        <f t="shared" si="35"/>
        <v>328222</v>
      </c>
      <c r="L82">
        <f t="shared" si="35"/>
        <v>336308</v>
      </c>
      <c r="M82">
        <f t="shared" si="35"/>
        <v>346838</v>
      </c>
      <c r="N82">
        <f t="shared" si="35"/>
        <v>355770</v>
      </c>
      <c r="O82">
        <f t="shared" si="35"/>
        <v>350128</v>
      </c>
      <c r="P82">
        <f t="shared" si="35"/>
        <v>342042</v>
      </c>
      <c r="Q82">
        <f t="shared" si="35"/>
        <v>359998</v>
      </c>
      <c r="R82">
        <f t="shared" si="35"/>
        <v>355956</v>
      </c>
      <c r="S82">
        <f t="shared" si="35"/>
        <v>371282</v>
      </c>
    </row>
    <row r="83" spans="1:19">
      <c r="A83" t="s">
        <v>192</v>
      </c>
      <c r="B83" t="s">
        <v>393</v>
      </c>
      <c r="C83" t="s">
        <v>1853</v>
      </c>
      <c r="D83" t="s">
        <v>62</v>
      </c>
      <c r="G83">
        <f t="shared" si="27"/>
        <v>2019613</v>
      </c>
      <c r="H83">
        <v>145266</v>
      </c>
      <c r="I83">
        <v>140207</v>
      </c>
      <c r="J83">
        <v>160868</v>
      </c>
      <c r="K83">
        <v>164111</v>
      </c>
      <c r="L83">
        <v>168154</v>
      </c>
      <c r="M83">
        <v>173419</v>
      </c>
      <c r="N83">
        <v>177885</v>
      </c>
      <c r="O83">
        <v>175064</v>
      </c>
      <c r="P83">
        <v>171021</v>
      </c>
      <c r="Q83">
        <v>179999</v>
      </c>
      <c r="R83">
        <v>177978</v>
      </c>
      <c r="S83">
        <v>185641</v>
      </c>
    </row>
    <row r="84" spans="1:19">
      <c r="A84" t="s">
        <v>192</v>
      </c>
      <c r="B84" t="s">
        <v>393</v>
      </c>
      <c r="C84" t="s">
        <v>1854</v>
      </c>
      <c r="D84" t="s">
        <v>64</v>
      </c>
      <c r="G84">
        <f t="shared" si="27"/>
        <v>2019613</v>
      </c>
      <c r="H84">
        <v>145266</v>
      </c>
      <c r="I84">
        <v>140207</v>
      </c>
      <c r="J84">
        <v>160868</v>
      </c>
      <c r="K84">
        <v>164111</v>
      </c>
      <c r="L84">
        <v>168154</v>
      </c>
      <c r="M84">
        <v>173419</v>
      </c>
      <c r="N84">
        <v>177885</v>
      </c>
      <c r="O84">
        <v>175064</v>
      </c>
      <c r="P84">
        <v>171021</v>
      </c>
      <c r="Q84">
        <v>179999</v>
      </c>
      <c r="R84">
        <v>177978</v>
      </c>
      <c r="S84">
        <v>185641</v>
      </c>
    </row>
    <row r="85" spans="1:19">
      <c r="A85" t="s">
        <v>60</v>
      </c>
      <c r="B85" t="s">
        <v>393</v>
      </c>
      <c r="C85" t="s">
        <v>1855</v>
      </c>
      <c r="D85" t="s">
        <v>414</v>
      </c>
      <c r="G85">
        <f t="shared" si="27"/>
        <v>20196270</v>
      </c>
      <c r="H85">
        <v>1452667</v>
      </c>
      <c r="I85">
        <v>1402078</v>
      </c>
      <c r="J85">
        <v>1608688</v>
      </c>
      <c r="K85">
        <v>1641124</v>
      </c>
      <c r="L85">
        <v>1681552</v>
      </c>
      <c r="M85">
        <v>1734203</v>
      </c>
      <c r="N85">
        <v>1778861</v>
      </c>
      <c r="O85">
        <v>1750654</v>
      </c>
      <c r="P85">
        <v>1710225</v>
      </c>
      <c r="Q85">
        <v>1800006</v>
      </c>
      <c r="R85">
        <v>1779792</v>
      </c>
      <c r="S85">
        <v>1856420</v>
      </c>
    </row>
    <row r="86" spans="1:19">
      <c r="A86" t="s">
        <v>60</v>
      </c>
      <c r="B86" t="s">
        <v>393</v>
      </c>
      <c r="C86" t="s">
        <v>1856</v>
      </c>
      <c r="D86" t="s">
        <v>68</v>
      </c>
      <c r="G86">
        <f t="shared" si="27"/>
        <v>20196270</v>
      </c>
      <c r="H86">
        <v>1452667</v>
      </c>
      <c r="I86">
        <v>1402078</v>
      </c>
      <c r="J86">
        <v>1608688</v>
      </c>
      <c r="K86">
        <v>1641124</v>
      </c>
      <c r="L86">
        <v>1681552</v>
      </c>
      <c r="M86">
        <v>1734203</v>
      </c>
      <c r="N86">
        <v>1778861</v>
      </c>
      <c r="O86">
        <v>1750654</v>
      </c>
      <c r="P86">
        <v>1710225</v>
      </c>
      <c r="Q86">
        <v>1800006</v>
      </c>
      <c r="R86">
        <v>1779792</v>
      </c>
      <c r="S86">
        <v>1856420</v>
      </c>
    </row>
    <row r="87" spans="1:19">
      <c r="A87" t="s">
        <v>60</v>
      </c>
      <c r="B87" t="s">
        <v>393</v>
      </c>
      <c r="C87" t="s">
        <v>1857</v>
      </c>
      <c r="D87" t="s">
        <v>70</v>
      </c>
      <c r="G87">
        <f t="shared" si="27"/>
        <v>20196270</v>
      </c>
      <c r="H87">
        <v>1452667</v>
      </c>
      <c r="I87">
        <v>1402078</v>
      </c>
      <c r="J87">
        <v>1608688</v>
      </c>
      <c r="K87">
        <v>1641124</v>
      </c>
      <c r="L87">
        <v>1681552</v>
      </c>
      <c r="M87">
        <v>1734203</v>
      </c>
      <c r="N87">
        <v>1778861</v>
      </c>
      <c r="O87">
        <v>1750654</v>
      </c>
      <c r="P87">
        <v>1710225</v>
      </c>
      <c r="Q87">
        <v>1800006</v>
      </c>
      <c r="R87">
        <v>1779792</v>
      </c>
      <c r="S87">
        <v>1856420</v>
      </c>
    </row>
    <row r="88" spans="1:19">
      <c r="A88" t="s">
        <v>26</v>
      </c>
      <c r="B88" t="s">
        <v>393</v>
      </c>
      <c r="C88" t="s">
        <v>1858</v>
      </c>
      <c r="D88" t="s">
        <v>418</v>
      </c>
      <c r="G88">
        <f t="shared" si="27"/>
        <v>201962843</v>
      </c>
      <c r="H88">
        <v>14526680</v>
      </c>
      <c r="I88">
        <v>14020795</v>
      </c>
      <c r="J88">
        <v>16086888</v>
      </c>
      <c r="K88">
        <v>16411248</v>
      </c>
      <c r="L88">
        <v>16815537</v>
      </c>
      <c r="M88">
        <v>17342039</v>
      </c>
      <c r="N88">
        <v>17788619</v>
      </c>
      <c r="O88">
        <v>17506551</v>
      </c>
      <c r="P88">
        <v>17102261</v>
      </c>
      <c r="Q88">
        <v>18000075</v>
      </c>
      <c r="R88">
        <v>17797934</v>
      </c>
      <c r="S88">
        <v>18564216</v>
      </c>
    </row>
    <row r="89" spans="1:19">
      <c r="A89" t="s">
        <v>26</v>
      </c>
      <c r="B89" t="s">
        <v>393</v>
      </c>
      <c r="C89" t="s">
        <v>1859</v>
      </c>
      <c r="D89" t="s">
        <v>420</v>
      </c>
      <c r="G89">
        <f t="shared" si="27"/>
        <v>201962843</v>
      </c>
      <c r="H89">
        <v>14526680</v>
      </c>
      <c r="I89">
        <v>14020795</v>
      </c>
      <c r="J89">
        <v>16086888</v>
      </c>
      <c r="K89">
        <v>16411248</v>
      </c>
      <c r="L89">
        <v>16815537</v>
      </c>
      <c r="M89">
        <v>17342039</v>
      </c>
      <c r="N89">
        <v>17788619</v>
      </c>
      <c r="O89">
        <v>17506551</v>
      </c>
      <c r="P89">
        <v>17102261</v>
      </c>
      <c r="Q89">
        <v>18000075</v>
      </c>
      <c r="R89">
        <v>17797934</v>
      </c>
      <c r="S89">
        <v>18564216</v>
      </c>
    </row>
    <row r="90" spans="1:19">
      <c r="A90" t="s">
        <v>23</v>
      </c>
      <c r="B90" t="s">
        <v>393</v>
      </c>
      <c r="C90" t="s">
        <v>1860</v>
      </c>
      <c r="D90" t="s">
        <v>422</v>
      </c>
      <c r="G90">
        <f t="shared" si="27"/>
        <v>549338802</v>
      </c>
      <c r="H90">
        <f t="shared" ref="H90:S90" si="36">H91+H94+H97+H104+H105</f>
        <v>39512561</v>
      </c>
      <c r="I90">
        <f t="shared" si="36"/>
        <v>38136550</v>
      </c>
      <c r="J90">
        <f t="shared" si="36"/>
        <v>43756328</v>
      </c>
      <c r="K90">
        <f t="shared" si="36"/>
        <v>44638586</v>
      </c>
      <c r="L90">
        <f t="shared" si="36"/>
        <v>45738246</v>
      </c>
      <c r="M90">
        <f t="shared" si="36"/>
        <v>47170337</v>
      </c>
      <c r="N90">
        <f t="shared" si="36"/>
        <v>48385035</v>
      </c>
      <c r="O90">
        <f t="shared" si="36"/>
        <v>47617808</v>
      </c>
      <c r="P90">
        <f t="shared" si="36"/>
        <v>46518139</v>
      </c>
      <c r="Q90">
        <f t="shared" si="36"/>
        <v>48960190</v>
      </c>
      <c r="R90">
        <f t="shared" si="36"/>
        <v>48410368</v>
      </c>
      <c r="S90">
        <f t="shared" si="36"/>
        <v>50494654</v>
      </c>
    </row>
    <row r="91" spans="1:19">
      <c r="A91" t="s">
        <v>26</v>
      </c>
      <c r="B91" t="s">
        <v>393</v>
      </c>
      <c r="C91" t="s">
        <v>1861</v>
      </c>
      <c r="D91" t="s">
        <v>399</v>
      </c>
      <c r="G91">
        <f t="shared" si="27"/>
        <v>40392540</v>
      </c>
      <c r="H91">
        <f t="shared" ref="H91:S91" si="37">H92+H93</f>
        <v>2905334</v>
      </c>
      <c r="I91">
        <f t="shared" si="37"/>
        <v>2804156</v>
      </c>
      <c r="J91">
        <f t="shared" si="37"/>
        <v>3217376</v>
      </c>
      <c r="K91">
        <f t="shared" si="37"/>
        <v>3282248</v>
      </c>
      <c r="L91">
        <f t="shared" si="37"/>
        <v>3363104</v>
      </c>
      <c r="M91">
        <f t="shared" si="37"/>
        <v>3468406</v>
      </c>
      <c r="N91">
        <f t="shared" si="37"/>
        <v>3557722</v>
      </c>
      <c r="O91">
        <f t="shared" si="37"/>
        <v>3501308</v>
      </c>
      <c r="P91">
        <f t="shared" si="37"/>
        <v>3420450</v>
      </c>
      <c r="Q91">
        <f t="shared" si="37"/>
        <v>3600012</v>
      </c>
      <c r="R91">
        <f t="shared" si="37"/>
        <v>3559584</v>
      </c>
      <c r="S91">
        <f t="shared" si="37"/>
        <v>3712840</v>
      </c>
    </row>
    <row r="92" spans="1:19">
      <c r="A92" t="s">
        <v>60</v>
      </c>
      <c r="B92" t="s">
        <v>393</v>
      </c>
      <c r="C92" t="s">
        <v>1862</v>
      </c>
      <c r="D92" t="s">
        <v>401</v>
      </c>
      <c r="G92">
        <f t="shared" si="27"/>
        <v>20196270</v>
      </c>
      <c r="H92">
        <v>1452667</v>
      </c>
      <c r="I92">
        <v>1402078</v>
      </c>
      <c r="J92">
        <v>1608688</v>
      </c>
      <c r="K92">
        <v>1641124</v>
      </c>
      <c r="L92">
        <v>1681552</v>
      </c>
      <c r="M92">
        <v>1734203</v>
      </c>
      <c r="N92">
        <v>1778861</v>
      </c>
      <c r="O92">
        <v>1750654</v>
      </c>
      <c r="P92">
        <v>1710225</v>
      </c>
      <c r="Q92">
        <v>1800006</v>
      </c>
      <c r="R92">
        <v>1779792</v>
      </c>
      <c r="S92">
        <v>1856420</v>
      </c>
    </row>
    <row r="93" spans="1:19">
      <c r="A93" t="s">
        <v>60</v>
      </c>
      <c r="B93" t="s">
        <v>393</v>
      </c>
      <c r="C93" t="s">
        <v>1863</v>
      </c>
      <c r="D93" t="s">
        <v>49</v>
      </c>
      <c r="G93">
        <f t="shared" si="27"/>
        <v>20196270</v>
      </c>
      <c r="H93">
        <v>1452667</v>
      </c>
      <c r="I93">
        <v>1402078</v>
      </c>
      <c r="J93">
        <v>1608688</v>
      </c>
      <c r="K93">
        <v>1641124</v>
      </c>
      <c r="L93">
        <v>1681552</v>
      </c>
      <c r="M93">
        <v>1734203</v>
      </c>
      <c r="N93">
        <v>1778861</v>
      </c>
      <c r="O93">
        <v>1750654</v>
      </c>
      <c r="P93">
        <v>1710225</v>
      </c>
      <c r="Q93">
        <v>1800006</v>
      </c>
      <c r="R93">
        <v>1779792</v>
      </c>
      <c r="S93">
        <v>1856420</v>
      </c>
    </row>
    <row r="94" spans="1:19">
      <c r="A94" t="s">
        <v>26</v>
      </c>
      <c r="B94" t="s">
        <v>393</v>
      </c>
      <c r="C94" t="s">
        <v>1864</v>
      </c>
      <c r="D94" t="s">
        <v>51</v>
      </c>
      <c r="G94">
        <f t="shared" si="27"/>
        <v>40392540</v>
      </c>
      <c r="H94">
        <f t="shared" ref="H94:S94" si="38">H95+H96</f>
        <v>2905334</v>
      </c>
      <c r="I94">
        <f t="shared" si="38"/>
        <v>2804156</v>
      </c>
      <c r="J94">
        <f t="shared" si="38"/>
        <v>3217376</v>
      </c>
      <c r="K94">
        <f t="shared" si="38"/>
        <v>3282248</v>
      </c>
      <c r="L94">
        <f t="shared" si="38"/>
        <v>3363104</v>
      </c>
      <c r="M94">
        <f t="shared" si="38"/>
        <v>3468406</v>
      </c>
      <c r="N94">
        <f t="shared" si="38"/>
        <v>3557722</v>
      </c>
      <c r="O94">
        <f t="shared" si="38"/>
        <v>3501308</v>
      </c>
      <c r="P94">
        <f t="shared" si="38"/>
        <v>3420450</v>
      </c>
      <c r="Q94">
        <f t="shared" si="38"/>
        <v>3600012</v>
      </c>
      <c r="R94">
        <f t="shared" si="38"/>
        <v>3559584</v>
      </c>
      <c r="S94">
        <f t="shared" si="38"/>
        <v>3712840</v>
      </c>
    </row>
    <row r="95" spans="1:19">
      <c r="A95" t="s">
        <v>60</v>
      </c>
      <c r="B95" t="s">
        <v>393</v>
      </c>
      <c r="C95" t="s">
        <v>1865</v>
      </c>
      <c r="D95" t="s">
        <v>405</v>
      </c>
      <c r="G95">
        <f t="shared" si="27"/>
        <v>20196270</v>
      </c>
      <c r="H95">
        <v>1452667</v>
      </c>
      <c r="I95">
        <v>1402078</v>
      </c>
      <c r="J95">
        <v>1608688</v>
      </c>
      <c r="K95">
        <v>1641124</v>
      </c>
      <c r="L95">
        <v>1681552</v>
      </c>
      <c r="M95">
        <v>1734203</v>
      </c>
      <c r="N95">
        <v>1778861</v>
      </c>
      <c r="O95">
        <v>1750654</v>
      </c>
      <c r="P95">
        <v>1710225</v>
      </c>
      <c r="Q95">
        <v>1800006</v>
      </c>
      <c r="R95">
        <v>1779792</v>
      </c>
      <c r="S95">
        <v>1856420</v>
      </c>
    </row>
    <row r="96" spans="1:19">
      <c r="A96" t="s">
        <v>60</v>
      </c>
      <c r="B96" t="s">
        <v>393</v>
      </c>
      <c r="C96" t="s">
        <v>1866</v>
      </c>
      <c r="D96" t="s">
        <v>407</v>
      </c>
      <c r="G96">
        <f t="shared" si="27"/>
        <v>20196270</v>
      </c>
      <c r="H96">
        <v>1452667</v>
      </c>
      <c r="I96">
        <v>1402078</v>
      </c>
      <c r="J96">
        <v>1608688</v>
      </c>
      <c r="K96">
        <v>1641124</v>
      </c>
      <c r="L96">
        <v>1681552</v>
      </c>
      <c r="M96">
        <v>1734203</v>
      </c>
      <c r="N96">
        <v>1778861</v>
      </c>
      <c r="O96">
        <v>1750654</v>
      </c>
      <c r="P96">
        <v>1710225</v>
      </c>
      <c r="Q96">
        <v>1800006</v>
      </c>
      <c r="R96">
        <v>1779792</v>
      </c>
      <c r="S96">
        <v>1856420</v>
      </c>
    </row>
    <row r="97" spans="1:19">
      <c r="A97" t="s">
        <v>26</v>
      </c>
      <c r="B97" t="s">
        <v>393</v>
      </c>
      <c r="C97" t="s">
        <v>1867</v>
      </c>
      <c r="D97" t="s">
        <v>409</v>
      </c>
      <c r="G97">
        <f t="shared" si="27"/>
        <v>64628036</v>
      </c>
      <c r="H97">
        <f t="shared" ref="H97:S97" si="39">H98+H101+H102+H103</f>
        <v>4648533</v>
      </c>
      <c r="I97">
        <f t="shared" si="39"/>
        <v>4486648</v>
      </c>
      <c r="J97">
        <f t="shared" si="39"/>
        <v>5147800</v>
      </c>
      <c r="K97">
        <f t="shared" si="39"/>
        <v>5251594</v>
      </c>
      <c r="L97">
        <f t="shared" si="39"/>
        <v>5380964</v>
      </c>
      <c r="M97">
        <f t="shared" si="39"/>
        <v>5549447</v>
      </c>
      <c r="N97">
        <f t="shared" si="39"/>
        <v>5692353</v>
      </c>
      <c r="O97">
        <f t="shared" si="39"/>
        <v>5602090</v>
      </c>
      <c r="P97">
        <f t="shared" si="39"/>
        <v>5472717</v>
      </c>
      <c r="Q97">
        <f t="shared" si="39"/>
        <v>5760016</v>
      </c>
      <c r="R97">
        <f t="shared" si="39"/>
        <v>5695332</v>
      </c>
      <c r="S97">
        <f t="shared" si="39"/>
        <v>5940542</v>
      </c>
    </row>
    <row r="98" spans="1:19">
      <c r="A98" t="s">
        <v>60</v>
      </c>
      <c r="B98" t="s">
        <v>393</v>
      </c>
      <c r="C98" t="s">
        <v>1868</v>
      </c>
      <c r="D98" t="s">
        <v>59</v>
      </c>
      <c r="G98">
        <f t="shared" si="27"/>
        <v>4039226</v>
      </c>
      <c r="H98">
        <f t="shared" ref="H98:S98" si="40">H99+H100</f>
        <v>290532</v>
      </c>
      <c r="I98">
        <f t="shared" si="40"/>
        <v>280414</v>
      </c>
      <c r="J98">
        <f t="shared" si="40"/>
        <v>321736</v>
      </c>
      <c r="K98">
        <f t="shared" si="40"/>
        <v>328222</v>
      </c>
      <c r="L98">
        <f t="shared" si="40"/>
        <v>336308</v>
      </c>
      <c r="M98">
        <f t="shared" si="40"/>
        <v>346838</v>
      </c>
      <c r="N98">
        <f t="shared" si="40"/>
        <v>355770</v>
      </c>
      <c r="O98">
        <f t="shared" si="40"/>
        <v>350128</v>
      </c>
      <c r="P98">
        <f t="shared" si="40"/>
        <v>342042</v>
      </c>
      <c r="Q98">
        <f t="shared" si="40"/>
        <v>359998</v>
      </c>
      <c r="R98">
        <f t="shared" si="40"/>
        <v>355956</v>
      </c>
      <c r="S98">
        <f t="shared" si="40"/>
        <v>371282</v>
      </c>
    </row>
    <row r="99" spans="1:19">
      <c r="A99" t="s">
        <v>192</v>
      </c>
      <c r="B99" t="s">
        <v>393</v>
      </c>
      <c r="C99" t="s">
        <v>1869</v>
      </c>
      <c r="D99" t="s">
        <v>62</v>
      </c>
      <c r="G99">
        <f t="shared" si="27"/>
        <v>2019613</v>
      </c>
      <c r="H99">
        <v>145266</v>
      </c>
      <c r="I99">
        <v>140207</v>
      </c>
      <c r="J99">
        <v>160868</v>
      </c>
      <c r="K99">
        <v>164111</v>
      </c>
      <c r="L99">
        <v>168154</v>
      </c>
      <c r="M99">
        <v>173419</v>
      </c>
      <c r="N99">
        <v>177885</v>
      </c>
      <c r="O99">
        <v>175064</v>
      </c>
      <c r="P99">
        <v>171021</v>
      </c>
      <c r="Q99">
        <v>179999</v>
      </c>
      <c r="R99">
        <v>177978</v>
      </c>
      <c r="S99">
        <v>185641</v>
      </c>
    </row>
    <row r="100" spans="1:19">
      <c r="A100" t="s">
        <v>192</v>
      </c>
      <c r="B100" t="s">
        <v>393</v>
      </c>
      <c r="C100" t="s">
        <v>1870</v>
      </c>
      <c r="D100" t="s">
        <v>64</v>
      </c>
      <c r="G100">
        <f t="shared" si="27"/>
        <v>2019613</v>
      </c>
      <c r="H100">
        <v>145266</v>
      </c>
      <c r="I100">
        <v>140207</v>
      </c>
      <c r="J100">
        <v>160868</v>
      </c>
      <c r="K100">
        <v>164111</v>
      </c>
      <c r="L100">
        <v>168154</v>
      </c>
      <c r="M100">
        <v>173419</v>
      </c>
      <c r="N100">
        <v>177885</v>
      </c>
      <c r="O100">
        <v>175064</v>
      </c>
      <c r="P100">
        <v>171021</v>
      </c>
      <c r="Q100">
        <v>179999</v>
      </c>
      <c r="R100">
        <v>177978</v>
      </c>
      <c r="S100">
        <v>185641</v>
      </c>
    </row>
    <row r="101" spans="1:19">
      <c r="A101" t="s">
        <v>60</v>
      </c>
      <c r="B101" t="s">
        <v>393</v>
      </c>
      <c r="C101" t="s">
        <v>1871</v>
      </c>
      <c r="D101" t="s">
        <v>414</v>
      </c>
      <c r="G101">
        <f t="shared" si="27"/>
        <v>20196270</v>
      </c>
      <c r="H101">
        <v>1452667</v>
      </c>
      <c r="I101">
        <v>1402078</v>
      </c>
      <c r="J101">
        <v>1608688</v>
      </c>
      <c r="K101">
        <v>1641124</v>
      </c>
      <c r="L101">
        <v>1681552</v>
      </c>
      <c r="M101">
        <v>1734203</v>
      </c>
      <c r="N101">
        <v>1778861</v>
      </c>
      <c r="O101">
        <v>1750654</v>
      </c>
      <c r="P101">
        <v>1710225</v>
      </c>
      <c r="Q101">
        <v>1800006</v>
      </c>
      <c r="R101">
        <v>1779792</v>
      </c>
      <c r="S101">
        <v>1856420</v>
      </c>
    </row>
    <row r="102" spans="1:19">
      <c r="A102" t="s">
        <v>60</v>
      </c>
      <c r="B102" t="s">
        <v>393</v>
      </c>
      <c r="C102" t="s">
        <v>1872</v>
      </c>
      <c r="D102" t="s">
        <v>68</v>
      </c>
      <c r="G102">
        <f t="shared" si="27"/>
        <v>20196270</v>
      </c>
      <c r="H102">
        <v>1452667</v>
      </c>
      <c r="I102">
        <v>1402078</v>
      </c>
      <c r="J102">
        <v>1608688</v>
      </c>
      <c r="K102">
        <v>1641124</v>
      </c>
      <c r="L102">
        <v>1681552</v>
      </c>
      <c r="M102">
        <v>1734203</v>
      </c>
      <c r="N102">
        <v>1778861</v>
      </c>
      <c r="O102">
        <v>1750654</v>
      </c>
      <c r="P102">
        <v>1710225</v>
      </c>
      <c r="Q102">
        <v>1800006</v>
      </c>
      <c r="R102">
        <v>1779792</v>
      </c>
      <c r="S102">
        <v>1856420</v>
      </c>
    </row>
    <row r="103" spans="1:19">
      <c r="A103" t="s">
        <v>60</v>
      </c>
      <c r="B103" t="s">
        <v>393</v>
      </c>
      <c r="C103" t="s">
        <v>1873</v>
      </c>
      <c r="D103" t="s">
        <v>70</v>
      </c>
      <c r="G103">
        <f t="shared" si="27"/>
        <v>20196270</v>
      </c>
      <c r="H103">
        <v>1452667</v>
      </c>
      <c r="I103">
        <v>1402078</v>
      </c>
      <c r="J103">
        <v>1608688</v>
      </c>
      <c r="K103">
        <v>1641124</v>
      </c>
      <c r="L103">
        <v>1681552</v>
      </c>
      <c r="M103">
        <v>1734203</v>
      </c>
      <c r="N103">
        <v>1778861</v>
      </c>
      <c r="O103">
        <v>1750654</v>
      </c>
      <c r="P103">
        <v>1710225</v>
      </c>
      <c r="Q103">
        <v>1800006</v>
      </c>
      <c r="R103">
        <v>1779792</v>
      </c>
      <c r="S103">
        <v>1856420</v>
      </c>
    </row>
    <row r="104" spans="1:19">
      <c r="A104" t="s">
        <v>26</v>
      </c>
      <c r="B104" t="s">
        <v>393</v>
      </c>
      <c r="C104" t="s">
        <v>1874</v>
      </c>
      <c r="D104" t="s">
        <v>418</v>
      </c>
      <c r="G104">
        <f t="shared" si="27"/>
        <v>201962843</v>
      </c>
      <c r="H104">
        <v>14526680</v>
      </c>
      <c r="I104">
        <v>14020795</v>
      </c>
      <c r="J104">
        <v>16086888</v>
      </c>
      <c r="K104">
        <v>16411248</v>
      </c>
      <c r="L104">
        <v>16815537</v>
      </c>
      <c r="M104">
        <v>17342039</v>
      </c>
      <c r="N104">
        <v>17788619</v>
      </c>
      <c r="O104">
        <v>17506551</v>
      </c>
      <c r="P104">
        <v>17102261</v>
      </c>
      <c r="Q104">
        <v>18000075</v>
      </c>
      <c r="R104">
        <v>17797934</v>
      </c>
      <c r="S104">
        <v>18564216</v>
      </c>
    </row>
    <row r="105" spans="1:19">
      <c r="A105" t="s">
        <v>26</v>
      </c>
      <c r="B105" t="s">
        <v>393</v>
      </c>
      <c r="C105" t="s">
        <v>1875</v>
      </c>
      <c r="D105" t="s">
        <v>420</v>
      </c>
      <c r="G105">
        <f t="shared" si="27"/>
        <v>201962843</v>
      </c>
      <c r="H105">
        <v>14526680</v>
      </c>
      <c r="I105">
        <v>14020795</v>
      </c>
      <c r="J105">
        <v>16086888</v>
      </c>
      <c r="K105">
        <v>16411248</v>
      </c>
      <c r="L105">
        <v>16815537</v>
      </c>
      <c r="M105">
        <v>17342039</v>
      </c>
      <c r="N105">
        <v>17788619</v>
      </c>
      <c r="O105">
        <v>17506551</v>
      </c>
      <c r="P105">
        <v>17102261</v>
      </c>
      <c r="Q105">
        <v>18000075</v>
      </c>
      <c r="R105">
        <v>17797934</v>
      </c>
      <c r="S105">
        <v>18564216</v>
      </c>
    </row>
    <row r="106" spans="1:19">
      <c r="A106" t="s">
        <v>19</v>
      </c>
      <c r="B106" t="s">
        <v>438</v>
      </c>
      <c r="C106" t="s">
        <v>1876</v>
      </c>
      <c r="D106" t="s">
        <v>440</v>
      </c>
      <c r="G106">
        <f t="shared" si="27"/>
        <v>16940981350</v>
      </c>
      <c r="H106">
        <f t="shared" ref="H106:S106" si="41">H107</f>
        <v>1261063335</v>
      </c>
      <c r="I106">
        <f t="shared" si="41"/>
        <v>1296610390</v>
      </c>
      <c r="J106">
        <f t="shared" si="41"/>
        <v>1381563440</v>
      </c>
      <c r="K106">
        <f t="shared" si="41"/>
        <v>1400405620</v>
      </c>
      <c r="L106">
        <f t="shared" si="41"/>
        <v>1434287760</v>
      </c>
      <c r="M106">
        <f t="shared" si="41"/>
        <v>1470071015</v>
      </c>
      <c r="N106">
        <f t="shared" si="41"/>
        <v>1490814305</v>
      </c>
      <c r="O106">
        <f t="shared" si="41"/>
        <v>1458833270</v>
      </c>
      <c r="P106">
        <f t="shared" si="41"/>
        <v>1424951125</v>
      </c>
      <c r="Q106">
        <f t="shared" si="41"/>
        <v>1425120030</v>
      </c>
      <c r="R106">
        <f t="shared" si="41"/>
        <v>1408178960</v>
      </c>
      <c r="S106">
        <f t="shared" si="41"/>
        <v>1489082100</v>
      </c>
    </row>
    <row r="107" spans="1:19">
      <c r="A107" t="s">
        <v>23</v>
      </c>
      <c r="B107" t="s">
        <v>438</v>
      </c>
      <c r="C107" t="s">
        <v>1877</v>
      </c>
      <c r="D107" t="s">
        <v>442</v>
      </c>
      <c r="G107">
        <f t="shared" si="27"/>
        <v>16940981350</v>
      </c>
      <c r="H107">
        <f t="shared" ref="H107:S107" si="42">H108+H113+H128</f>
        <v>1261063335</v>
      </c>
      <c r="I107">
        <f t="shared" si="42"/>
        <v>1296610390</v>
      </c>
      <c r="J107">
        <f t="shared" si="42"/>
        <v>1381563440</v>
      </c>
      <c r="K107">
        <f t="shared" si="42"/>
        <v>1400405620</v>
      </c>
      <c r="L107">
        <f t="shared" si="42"/>
        <v>1434287760</v>
      </c>
      <c r="M107">
        <f t="shared" si="42"/>
        <v>1470071015</v>
      </c>
      <c r="N107">
        <f t="shared" si="42"/>
        <v>1490814305</v>
      </c>
      <c r="O107">
        <f t="shared" si="42"/>
        <v>1458833270</v>
      </c>
      <c r="P107">
        <f t="shared" si="42"/>
        <v>1424951125</v>
      </c>
      <c r="Q107">
        <f t="shared" si="42"/>
        <v>1425120030</v>
      </c>
      <c r="R107">
        <f t="shared" si="42"/>
        <v>1408178960</v>
      </c>
      <c r="S107">
        <f t="shared" si="42"/>
        <v>1489082100</v>
      </c>
    </row>
    <row r="108" spans="1:19">
      <c r="A108" t="s">
        <v>26</v>
      </c>
      <c r="B108" t="s">
        <v>438</v>
      </c>
      <c r="C108" t="s">
        <v>1878</v>
      </c>
      <c r="D108" t="s">
        <v>444</v>
      </c>
      <c r="G108">
        <f t="shared" si="27"/>
        <v>50000000</v>
      </c>
      <c r="H108">
        <f t="shared" ref="H108:S108" si="43">H109+H110+H111+H112</f>
        <v>3500000</v>
      </c>
      <c r="I108">
        <f t="shared" si="43"/>
        <v>3250000</v>
      </c>
      <c r="J108">
        <f t="shared" si="43"/>
        <v>3900000</v>
      </c>
      <c r="K108">
        <f t="shared" si="43"/>
        <v>4000000</v>
      </c>
      <c r="L108">
        <f t="shared" si="43"/>
        <v>4100000</v>
      </c>
      <c r="M108">
        <f t="shared" si="43"/>
        <v>4250000</v>
      </c>
      <c r="N108">
        <f t="shared" si="43"/>
        <v>4400000</v>
      </c>
      <c r="O108">
        <f t="shared" si="43"/>
        <v>4350000</v>
      </c>
      <c r="P108">
        <f t="shared" si="43"/>
        <v>4250000</v>
      </c>
      <c r="Q108">
        <f t="shared" si="43"/>
        <v>4650000</v>
      </c>
      <c r="R108">
        <f t="shared" si="43"/>
        <v>4600000</v>
      </c>
      <c r="S108">
        <f t="shared" si="43"/>
        <v>4750000</v>
      </c>
    </row>
    <row r="109" spans="1:19">
      <c r="A109" t="s">
        <v>60</v>
      </c>
      <c r="B109" t="s">
        <v>438</v>
      </c>
      <c r="C109" t="s">
        <v>1879</v>
      </c>
      <c r="D109" t="s">
        <v>446</v>
      </c>
      <c r="G109">
        <f t="shared" si="27"/>
        <v>20000000</v>
      </c>
      <c r="H109">
        <v>1400000</v>
      </c>
      <c r="I109">
        <v>1300000</v>
      </c>
      <c r="J109">
        <v>1560000</v>
      </c>
      <c r="K109">
        <v>1600000</v>
      </c>
      <c r="L109">
        <v>1640000</v>
      </c>
      <c r="M109">
        <v>1700000</v>
      </c>
      <c r="N109">
        <v>1760000</v>
      </c>
      <c r="O109">
        <v>1740000</v>
      </c>
      <c r="P109">
        <v>1700000</v>
      </c>
      <c r="Q109">
        <v>1860000</v>
      </c>
      <c r="R109">
        <v>1840000</v>
      </c>
      <c r="S109">
        <v>1900000</v>
      </c>
    </row>
    <row r="110" spans="1:19">
      <c r="A110" t="s">
        <v>60</v>
      </c>
      <c r="B110" t="s">
        <v>438</v>
      </c>
      <c r="C110" t="s">
        <v>1880</v>
      </c>
      <c r="D110" t="s">
        <v>448</v>
      </c>
      <c r="G110">
        <f t="shared" si="27"/>
        <v>10000000</v>
      </c>
      <c r="H110">
        <v>700000</v>
      </c>
      <c r="I110">
        <v>650000</v>
      </c>
      <c r="J110">
        <v>780000</v>
      </c>
      <c r="K110">
        <v>800000</v>
      </c>
      <c r="L110">
        <v>820000</v>
      </c>
      <c r="M110">
        <v>850000</v>
      </c>
      <c r="N110">
        <v>880000</v>
      </c>
      <c r="O110">
        <v>870000</v>
      </c>
      <c r="P110">
        <v>850000</v>
      </c>
      <c r="Q110">
        <v>930000</v>
      </c>
      <c r="R110">
        <v>920000</v>
      </c>
      <c r="S110">
        <v>950000</v>
      </c>
    </row>
    <row r="111" spans="1:19">
      <c r="A111" t="s">
        <v>60</v>
      </c>
      <c r="B111" t="s">
        <v>438</v>
      </c>
      <c r="C111" t="s">
        <v>1881</v>
      </c>
      <c r="D111" t="s">
        <v>450</v>
      </c>
      <c r="G111">
        <f t="shared" si="27"/>
        <v>10000000</v>
      </c>
      <c r="H111">
        <v>700000</v>
      </c>
      <c r="I111">
        <v>650000</v>
      </c>
      <c r="J111">
        <v>780000</v>
      </c>
      <c r="K111">
        <v>800000</v>
      </c>
      <c r="L111">
        <v>820000</v>
      </c>
      <c r="M111">
        <v>850000</v>
      </c>
      <c r="N111">
        <v>880000</v>
      </c>
      <c r="O111">
        <v>870000</v>
      </c>
      <c r="P111">
        <v>850000</v>
      </c>
      <c r="Q111">
        <v>930000</v>
      </c>
      <c r="R111">
        <v>920000</v>
      </c>
      <c r="S111">
        <v>950000</v>
      </c>
    </row>
    <row r="112" spans="1:19">
      <c r="A112" t="s">
        <v>60</v>
      </c>
      <c r="B112" t="s">
        <v>438</v>
      </c>
      <c r="C112" t="s">
        <v>1882</v>
      </c>
      <c r="D112" t="s">
        <v>452</v>
      </c>
      <c r="G112">
        <f t="shared" si="27"/>
        <v>10000000</v>
      </c>
      <c r="H112">
        <v>700000</v>
      </c>
      <c r="I112">
        <v>650000</v>
      </c>
      <c r="J112">
        <v>780000</v>
      </c>
      <c r="K112">
        <v>800000</v>
      </c>
      <c r="L112">
        <v>820000</v>
      </c>
      <c r="M112">
        <v>850000</v>
      </c>
      <c r="N112">
        <v>880000</v>
      </c>
      <c r="O112">
        <v>870000</v>
      </c>
      <c r="P112">
        <v>850000</v>
      </c>
      <c r="Q112">
        <v>930000</v>
      </c>
      <c r="R112">
        <v>920000</v>
      </c>
      <c r="S112">
        <v>950000</v>
      </c>
    </row>
    <row r="113" spans="1:19">
      <c r="A113" t="s">
        <v>26</v>
      </c>
      <c r="B113" t="s">
        <v>438</v>
      </c>
      <c r="C113" t="s">
        <v>1883</v>
      </c>
      <c r="D113" t="s">
        <v>454</v>
      </c>
      <c r="G113">
        <f t="shared" si="27"/>
        <v>16850981350</v>
      </c>
      <c r="H113">
        <f t="shared" ref="H113:S113" si="44">H114+H115+H116+H117+H118+H119+H120+H121+H122+H123+H124+H125+H126+H127</f>
        <v>1254763335</v>
      </c>
      <c r="I113">
        <f t="shared" si="44"/>
        <v>1290760390</v>
      </c>
      <c r="J113">
        <f t="shared" si="44"/>
        <v>1374543440</v>
      </c>
      <c r="K113">
        <f t="shared" si="44"/>
        <v>1393205620</v>
      </c>
      <c r="L113">
        <f t="shared" si="44"/>
        <v>1426907760</v>
      </c>
      <c r="M113">
        <f t="shared" si="44"/>
        <v>1462421015</v>
      </c>
      <c r="N113">
        <f t="shared" si="44"/>
        <v>1482894305</v>
      </c>
      <c r="O113">
        <f t="shared" si="44"/>
        <v>1451003270</v>
      </c>
      <c r="P113">
        <f t="shared" si="44"/>
        <v>1417301125</v>
      </c>
      <c r="Q113">
        <f t="shared" si="44"/>
        <v>1416750030</v>
      </c>
      <c r="R113">
        <f t="shared" si="44"/>
        <v>1399898960</v>
      </c>
      <c r="S113">
        <f t="shared" si="44"/>
        <v>1480532100</v>
      </c>
    </row>
    <row r="114" spans="1:19">
      <c r="A114" t="s">
        <v>60</v>
      </c>
      <c r="B114" t="s">
        <v>438</v>
      </c>
      <c r="C114" t="s">
        <v>1884</v>
      </c>
      <c r="D114" t="s">
        <v>456</v>
      </c>
      <c r="G114">
        <f t="shared" si="27"/>
        <v>5000000000</v>
      </c>
      <c r="H114">
        <v>375000000</v>
      </c>
      <c r="I114">
        <v>390000000</v>
      </c>
      <c r="J114">
        <v>410000000</v>
      </c>
      <c r="K114">
        <v>415000000</v>
      </c>
      <c r="L114">
        <v>425000000</v>
      </c>
      <c r="M114">
        <v>435000000</v>
      </c>
      <c r="N114">
        <v>440000000</v>
      </c>
      <c r="O114">
        <v>430000000</v>
      </c>
      <c r="P114">
        <v>420000000</v>
      </c>
      <c r="Q114">
        <v>415000000</v>
      </c>
      <c r="R114">
        <v>410000000</v>
      </c>
      <c r="S114">
        <v>435000000</v>
      </c>
    </row>
    <row r="115" spans="1:19">
      <c r="A115" t="s">
        <v>60</v>
      </c>
      <c r="B115" t="s">
        <v>438</v>
      </c>
      <c r="C115" t="s">
        <v>1885</v>
      </c>
      <c r="D115" t="s">
        <v>458</v>
      </c>
      <c r="G115">
        <f t="shared" si="27"/>
        <v>20000000</v>
      </c>
      <c r="H115">
        <v>1400000</v>
      </c>
      <c r="I115">
        <v>1300000</v>
      </c>
      <c r="J115">
        <v>1560000</v>
      </c>
      <c r="K115">
        <v>1600000</v>
      </c>
      <c r="L115">
        <v>1640000</v>
      </c>
      <c r="M115">
        <v>1700000</v>
      </c>
      <c r="N115">
        <v>1760000</v>
      </c>
      <c r="O115">
        <v>1740000</v>
      </c>
      <c r="P115">
        <v>1700000</v>
      </c>
      <c r="Q115">
        <v>1860000</v>
      </c>
      <c r="R115">
        <v>1840000</v>
      </c>
      <c r="S115">
        <v>1900000</v>
      </c>
    </row>
    <row r="116" spans="1:19">
      <c r="A116" t="s">
        <v>60</v>
      </c>
      <c r="B116" t="s">
        <v>438</v>
      </c>
      <c r="C116" t="s">
        <v>1886</v>
      </c>
      <c r="D116" t="s">
        <v>460</v>
      </c>
      <c r="G116">
        <f t="shared" si="27"/>
        <v>10000000</v>
      </c>
      <c r="H116">
        <v>700000</v>
      </c>
      <c r="I116">
        <v>650000</v>
      </c>
      <c r="J116">
        <v>780000</v>
      </c>
      <c r="K116">
        <v>800000</v>
      </c>
      <c r="L116">
        <v>820000</v>
      </c>
      <c r="M116">
        <v>850000</v>
      </c>
      <c r="N116">
        <v>880000</v>
      </c>
      <c r="O116">
        <v>870000</v>
      </c>
      <c r="P116">
        <v>850000</v>
      </c>
      <c r="Q116">
        <v>930000</v>
      </c>
      <c r="R116">
        <v>920000</v>
      </c>
      <c r="S116">
        <v>950000</v>
      </c>
    </row>
    <row r="117" spans="1:19">
      <c r="A117" t="s">
        <v>60</v>
      </c>
      <c r="B117" t="s">
        <v>438</v>
      </c>
      <c r="C117" t="s">
        <v>1887</v>
      </c>
      <c r="D117" t="s">
        <v>462</v>
      </c>
      <c r="G117">
        <f t="shared" si="27"/>
        <v>200000000</v>
      </c>
      <c r="H117">
        <v>14000000</v>
      </c>
      <c r="I117">
        <v>13000000</v>
      </c>
      <c r="J117">
        <v>15600000</v>
      </c>
      <c r="K117">
        <v>16000000</v>
      </c>
      <c r="L117">
        <v>16400000</v>
      </c>
      <c r="M117">
        <v>17000000</v>
      </c>
      <c r="N117">
        <v>17600000</v>
      </c>
      <c r="O117">
        <v>17400000</v>
      </c>
      <c r="P117">
        <v>17000000</v>
      </c>
      <c r="Q117">
        <v>18600000</v>
      </c>
      <c r="R117">
        <v>18400000</v>
      </c>
      <c r="S117">
        <v>19000000</v>
      </c>
    </row>
    <row r="118" spans="1:19">
      <c r="A118" t="s">
        <v>60</v>
      </c>
      <c r="B118" t="s">
        <v>438</v>
      </c>
      <c r="C118" t="s">
        <v>1888</v>
      </c>
      <c r="D118" t="s">
        <v>464</v>
      </c>
      <c r="G118">
        <f t="shared" si="27"/>
        <v>20196270</v>
      </c>
      <c r="H118">
        <v>1452667</v>
      </c>
      <c r="I118">
        <v>1402078</v>
      </c>
      <c r="J118">
        <v>1608688</v>
      </c>
      <c r="K118">
        <v>1641124</v>
      </c>
      <c r="L118">
        <v>1681552</v>
      </c>
      <c r="M118">
        <v>1734203</v>
      </c>
      <c r="N118">
        <v>1778861</v>
      </c>
      <c r="O118">
        <v>1750654</v>
      </c>
      <c r="P118">
        <v>1710225</v>
      </c>
      <c r="Q118">
        <v>1800006</v>
      </c>
      <c r="R118">
        <v>1779792</v>
      </c>
      <c r="S118">
        <v>1856420</v>
      </c>
    </row>
    <row r="119" spans="1:19">
      <c r="A119" t="s">
        <v>60</v>
      </c>
      <c r="B119" t="s">
        <v>438</v>
      </c>
      <c r="C119" t="s">
        <v>1889</v>
      </c>
      <c r="D119" t="s">
        <v>466</v>
      </c>
      <c r="G119">
        <f t="shared" si="27"/>
        <v>1500000000</v>
      </c>
      <c r="H119">
        <v>105000000</v>
      </c>
      <c r="I119">
        <v>97500000</v>
      </c>
      <c r="J119">
        <v>117000000</v>
      </c>
      <c r="K119">
        <v>120000000</v>
      </c>
      <c r="L119">
        <v>123000000</v>
      </c>
      <c r="M119">
        <v>127500000</v>
      </c>
      <c r="N119">
        <v>132000000</v>
      </c>
      <c r="O119">
        <v>130500000</v>
      </c>
      <c r="P119">
        <v>127500000</v>
      </c>
      <c r="Q119">
        <v>139500000</v>
      </c>
      <c r="R119">
        <v>138000000</v>
      </c>
      <c r="S119">
        <v>142500000</v>
      </c>
    </row>
    <row r="120" spans="1:19">
      <c r="A120" t="s">
        <v>60</v>
      </c>
      <c r="B120" t="s">
        <v>438</v>
      </c>
      <c r="C120" t="s">
        <v>1890</v>
      </c>
      <c r="D120" t="s">
        <v>468</v>
      </c>
      <c r="G120">
        <f t="shared" si="27"/>
        <v>5000000000</v>
      </c>
      <c r="H120">
        <v>375000000</v>
      </c>
      <c r="I120">
        <v>390000000</v>
      </c>
      <c r="J120">
        <v>410000000</v>
      </c>
      <c r="K120">
        <v>415000000</v>
      </c>
      <c r="L120">
        <v>425000000</v>
      </c>
      <c r="M120">
        <v>435000000</v>
      </c>
      <c r="N120">
        <v>440000000</v>
      </c>
      <c r="O120">
        <v>430000000</v>
      </c>
      <c r="P120">
        <v>420000000</v>
      </c>
      <c r="Q120">
        <v>415000000</v>
      </c>
      <c r="R120">
        <v>410000000</v>
      </c>
      <c r="S120">
        <v>435000000</v>
      </c>
    </row>
    <row r="121" spans="1:19">
      <c r="A121" t="s">
        <v>60</v>
      </c>
      <c r="B121" t="s">
        <v>438</v>
      </c>
      <c r="C121" t="s">
        <v>1891</v>
      </c>
      <c r="D121" t="s">
        <v>470</v>
      </c>
      <c r="G121">
        <f t="shared" si="27"/>
        <v>20196270</v>
      </c>
      <c r="H121">
        <v>1452667</v>
      </c>
      <c r="I121">
        <v>1402078</v>
      </c>
      <c r="J121">
        <v>1608688</v>
      </c>
      <c r="K121">
        <v>1641124</v>
      </c>
      <c r="L121">
        <v>1681552</v>
      </c>
      <c r="M121">
        <v>1734203</v>
      </c>
      <c r="N121">
        <v>1778861</v>
      </c>
      <c r="O121">
        <v>1750654</v>
      </c>
      <c r="P121">
        <v>1710225</v>
      </c>
      <c r="Q121">
        <v>1800006</v>
      </c>
      <c r="R121">
        <v>1779792</v>
      </c>
      <c r="S121">
        <v>1856420</v>
      </c>
    </row>
    <row r="122" spans="1:19">
      <c r="A122" t="s">
        <v>60</v>
      </c>
      <c r="B122" t="s">
        <v>438</v>
      </c>
      <c r="C122" t="s">
        <v>1892</v>
      </c>
      <c r="D122" t="s">
        <v>472</v>
      </c>
      <c r="G122">
        <f t="shared" si="27"/>
        <v>20196270</v>
      </c>
      <c r="H122">
        <v>1452667</v>
      </c>
      <c r="I122">
        <v>1402078</v>
      </c>
      <c r="J122">
        <v>1608688</v>
      </c>
      <c r="K122">
        <v>1641124</v>
      </c>
      <c r="L122">
        <v>1681552</v>
      </c>
      <c r="M122">
        <v>1734203</v>
      </c>
      <c r="N122">
        <v>1778861</v>
      </c>
      <c r="O122">
        <v>1750654</v>
      </c>
      <c r="P122">
        <v>1710225</v>
      </c>
      <c r="Q122">
        <v>1800006</v>
      </c>
      <c r="R122">
        <v>1779792</v>
      </c>
      <c r="S122">
        <v>1856420</v>
      </c>
    </row>
    <row r="123" spans="1:19">
      <c r="A123" t="s">
        <v>60</v>
      </c>
      <c r="B123" t="s">
        <v>438</v>
      </c>
      <c r="C123" t="s">
        <v>1893</v>
      </c>
      <c r="D123" t="s">
        <v>474</v>
      </c>
      <c r="G123">
        <f t="shared" si="27"/>
        <v>20196270</v>
      </c>
      <c r="H123">
        <v>1452667</v>
      </c>
      <c r="I123">
        <v>1402078</v>
      </c>
      <c r="J123">
        <v>1608688</v>
      </c>
      <c r="K123">
        <v>1641124</v>
      </c>
      <c r="L123">
        <v>1681552</v>
      </c>
      <c r="M123">
        <v>1734203</v>
      </c>
      <c r="N123">
        <v>1778861</v>
      </c>
      <c r="O123">
        <v>1750654</v>
      </c>
      <c r="P123">
        <v>1710225</v>
      </c>
      <c r="Q123">
        <v>1800006</v>
      </c>
      <c r="R123">
        <v>1779792</v>
      </c>
      <c r="S123">
        <v>1856420</v>
      </c>
    </row>
    <row r="124" spans="1:19">
      <c r="A124" t="s">
        <v>60</v>
      </c>
      <c r="B124" t="s">
        <v>438</v>
      </c>
      <c r="C124" t="s">
        <v>1894</v>
      </c>
      <c r="D124" t="s">
        <v>476</v>
      </c>
      <c r="G124">
        <f t="shared" si="27"/>
        <v>5000000000</v>
      </c>
      <c r="H124">
        <v>375000000</v>
      </c>
      <c r="I124">
        <v>390000000</v>
      </c>
      <c r="J124">
        <v>410000000</v>
      </c>
      <c r="K124">
        <v>415000000</v>
      </c>
      <c r="L124">
        <v>425000000</v>
      </c>
      <c r="M124">
        <v>435000000</v>
      </c>
      <c r="N124">
        <v>440000000</v>
      </c>
      <c r="O124">
        <v>430000000</v>
      </c>
      <c r="P124">
        <v>420000000</v>
      </c>
      <c r="Q124">
        <v>415000000</v>
      </c>
      <c r="R124">
        <v>410000000</v>
      </c>
      <c r="S124">
        <v>435000000</v>
      </c>
    </row>
    <row r="125" spans="1:19">
      <c r="A125" t="s">
        <v>60</v>
      </c>
      <c r="B125" t="s">
        <v>438</v>
      </c>
      <c r="C125" t="s">
        <v>1895</v>
      </c>
      <c r="D125" t="s">
        <v>478</v>
      </c>
      <c r="G125">
        <f t="shared" si="27"/>
        <v>10000000</v>
      </c>
      <c r="H125">
        <v>700000</v>
      </c>
      <c r="I125">
        <v>650000</v>
      </c>
      <c r="J125">
        <v>780000</v>
      </c>
      <c r="K125">
        <v>800000</v>
      </c>
      <c r="L125">
        <v>820000</v>
      </c>
      <c r="M125">
        <v>850000</v>
      </c>
      <c r="N125">
        <v>880000</v>
      </c>
      <c r="O125">
        <v>870000</v>
      </c>
      <c r="P125">
        <v>850000</v>
      </c>
      <c r="Q125">
        <v>930000</v>
      </c>
      <c r="R125">
        <v>920000</v>
      </c>
      <c r="S125">
        <v>950000</v>
      </c>
    </row>
    <row r="126" spans="1:19">
      <c r="A126" t="s">
        <v>60</v>
      </c>
      <c r="B126" t="s">
        <v>438</v>
      </c>
      <c r="C126" t="s">
        <v>1896</v>
      </c>
      <c r="D126" t="s">
        <v>480</v>
      </c>
      <c r="G126">
        <f t="shared" si="27"/>
        <v>10000000</v>
      </c>
      <c r="H126">
        <v>700000</v>
      </c>
      <c r="I126">
        <v>650000</v>
      </c>
      <c r="J126">
        <v>780000</v>
      </c>
      <c r="K126">
        <v>800000</v>
      </c>
      <c r="L126">
        <v>820000</v>
      </c>
      <c r="M126">
        <v>850000</v>
      </c>
      <c r="N126">
        <v>880000</v>
      </c>
      <c r="O126">
        <v>870000</v>
      </c>
      <c r="P126">
        <v>850000</v>
      </c>
      <c r="Q126">
        <v>930000</v>
      </c>
      <c r="R126">
        <v>920000</v>
      </c>
      <c r="S126">
        <v>950000</v>
      </c>
    </row>
    <row r="127" spans="1:19">
      <c r="A127" t="s">
        <v>60</v>
      </c>
      <c r="B127" t="s">
        <v>438</v>
      </c>
      <c r="C127" t="s">
        <v>1897</v>
      </c>
      <c r="D127" t="s">
        <v>482</v>
      </c>
      <c r="G127">
        <f t="shared" si="27"/>
        <v>20196270</v>
      </c>
      <c r="H127">
        <v>1452667</v>
      </c>
      <c r="I127">
        <v>1402078</v>
      </c>
      <c r="J127">
        <v>1608688</v>
      </c>
      <c r="K127">
        <v>1641124</v>
      </c>
      <c r="L127">
        <v>1681552</v>
      </c>
      <c r="M127">
        <v>1734203</v>
      </c>
      <c r="N127">
        <v>1778861</v>
      </c>
      <c r="O127">
        <v>1750654</v>
      </c>
      <c r="P127">
        <v>1710225</v>
      </c>
      <c r="Q127">
        <v>1800006</v>
      </c>
      <c r="R127">
        <v>1779792</v>
      </c>
      <c r="S127">
        <v>1856420</v>
      </c>
    </row>
    <row r="128" spans="1:19">
      <c r="A128" t="s">
        <v>26</v>
      </c>
      <c r="B128" t="s">
        <v>438</v>
      </c>
      <c r="C128" t="s">
        <v>1898</v>
      </c>
      <c r="D128" t="s">
        <v>484</v>
      </c>
      <c r="G128">
        <f t="shared" si="27"/>
        <v>40000000</v>
      </c>
      <c r="H128">
        <f t="shared" ref="H128:S128" si="45">H129+H130+H131</f>
        <v>2800000</v>
      </c>
      <c r="I128">
        <f t="shared" si="45"/>
        <v>2600000</v>
      </c>
      <c r="J128">
        <f t="shared" si="45"/>
        <v>3120000</v>
      </c>
      <c r="K128">
        <f t="shared" si="45"/>
        <v>3200000</v>
      </c>
      <c r="L128">
        <f t="shared" si="45"/>
        <v>3280000</v>
      </c>
      <c r="M128">
        <f t="shared" si="45"/>
        <v>3400000</v>
      </c>
      <c r="N128">
        <f t="shared" si="45"/>
        <v>3520000</v>
      </c>
      <c r="O128">
        <f t="shared" si="45"/>
        <v>3480000</v>
      </c>
      <c r="P128">
        <f t="shared" si="45"/>
        <v>3400000</v>
      </c>
      <c r="Q128">
        <f t="shared" si="45"/>
        <v>3720000</v>
      </c>
      <c r="R128">
        <f t="shared" si="45"/>
        <v>3680000</v>
      </c>
      <c r="S128">
        <f t="shared" si="45"/>
        <v>3800000</v>
      </c>
    </row>
    <row r="129" spans="1:19">
      <c r="A129" t="s">
        <v>60</v>
      </c>
      <c r="B129" t="s">
        <v>438</v>
      </c>
      <c r="C129" t="s">
        <v>1899</v>
      </c>
      <c r="D129" t="s">
        <v>486</v>
      </c>
      <c r="G129">
        <f t="shared" si="27"/>
        <v>20000000</v>
      </c>
      <c r="H129">
        <v>1400000</v>
      </c>
      <c r="I129">
        <v>1300000</v>
      </c>
      <c r="J129">
        <v>1560000</v>
      </c>
      <c r="K129">
        <v>1600000</v>
      </c>
      <c r="L129">
        <v>1640000</v>
      </c>
      <c r="M129">
        <v>1700000</v>
      </c>
      <c r="N129">
        <v>1760000</v>
      </c>
      <c r="O129">
        <v>1740000</v>
      </c>
      <c r="P129">
        <v>1700000</v>
      </c>
      <c r="Q129">
        <v>1860000</v>
      </c>
      <c r="R129">
        <v>1840000</v>
      </c>
      <c r="S129">
        <v>1900000</v>
      </c>
    </row>
    <row r="130" spans="1:19">
      <c r="A130" t="s">
        <v>60</v>
      </c>
      <c r="B130" t="s">
        <v>438</v>
      </c>
      <c r="C130" t="s">
        <v>1900</v>
      </c>
      <c r="D130" t="s">
        <v>488</v>
      </c>
      <c r="G130">
        <f>H130+I130+J130+K130+L130+M130+N130+O130+P130+Q130+R130+S130</f>
        <v>10000000</v>
      </c>
      <c r="H130">
        <v>700000</v>
      </c>
      <c r="I130">
        <v>650000</v>
      </c>
      <c r="J130">
        <v>780000</v>
      </c>
      <c r="K130">
        <v>800000</v>
      </c>
      <c r="L130">
        <v>820000</v>
      </c>
      <c r="M130">
        <v>850000</v>
      </c>
      <c r="N130">
        <v>880000</v>
      </c>
      <c r="O130">
        <v>870000</v>
      </c>
      <c r="P130">
        <v>850000</v>
      </c>
      <c r="Q130">
        <v>930000</v>
      </c>
      <c r="R130">
        <v>920000</v>
      </c>
      <c r="S130">
        <v>950000</v>
      </c>
    </row>
    <row r="131" spans="1:19">
      <c r="A131" t="s">
        <v>60</v>
      </c>
      <c r="B131" t="s">
        <v>438</v>
      </c>
      <c r="C131" t="s">
        <v>1901</v>
      </c>
      <c r="D131" t="s">
        <v>490</v>
      </c>
      <c r="G131">
        <f>H131+I131+J131+K131+L131+M131+N131+O131+P131+Q131+R131+S131</f>
        <v>10000000</v>
      </c>
      <c r="H131">
        <v>700000</v>
      </c>
      <c r="I131">
        <v>650000</v>
      </c>
      <c r="J131">
        <v>780000</v>
      </c>
      <c r="K131">
        <v>800000</v>
      </c>
      <c r="L131">
        <v>820000</v>
      </c>
      <c r="M131">
        <v>850000</v>
      </c>
      <c r="N131">
        <v>880000</v>
      </c>
      <c r="O131">
        <v>870000</v>
      </c>
      <c r="P131">
        <v>850000</v>
      </c>
      <c r="Q131">
        <v>930000</v>
      </c>
      <c r="R131">
        <v>920000</v>
      </c>
      <c r="S131">
        <v>950000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1876</v>
      </c>
      <c r="D2" t="s">
        <v>440</v>
      </c>
      <c r="G2">
        <f t="shared" ref="G2:G27" si="0">H2+I2+J2+K2+L2+M2+N2+O2+P2+Q2+R2+S2</f>
        <v>16894525505</v>
      </c>
      <c r="H2">
        <f t="shared" ref="H2:S2" si="1">H3</f>
        <v>1257665860</v>
      </c>
      <c r="I2">
        <f t="shared" si="1"/>
        <v>1293271745</v>
      </c>
      <c r="J2">
        <f t="shared" si="1"/>
        <v>1377812250</v>
      </c>
      <c r="K2">
        <f t="shared" si="1"/>
        <v>1396591485</v>
      </c>
      <c r="L2">
        <f t="shared" si="1"/>
        <v>1430380535</v>
      </c>
      <c r="M2">
        <f t="shared" si="1"/>
        <v>1466054295</v>
      </c>
      <c r="N2">
        <f t="shared" si="1"/>
        <v>1486718245</v>
      </c>
      <c r="O2">
        <f t="shared" si="1"/>
        <v>1454813905</v>
      </c>
      <c r="P2">
        <f t="shared" si="1"/>
        <v>1421024855</v>
      </c>
      <c r="Q2">
        <f t="shared" si="1"/>
        <v>1421092725</v>
      </c>
      <c r="R2">
        <f t="shared" si="1"/>
        <v>1404198200</v>
      </c>
      <c r="S2">
        <f t="shared" si="1"/>
        <v>1484901405</v>
      </c>
    </row>
    <row r="3" spans="1:19">
      <c r="A3" t="s">
        <v>19</v>
      </c>
      <c r="B3" t="s">
        <v>179</v>
      </c>
      <c r="C3" t="s">
        <v>1877</v>
      </c>
      <c r="D3" t="s">
        <v>442</v>
      </c>
      <c r="G3">
        <f t="shared" si="0"/>
        <v>16894525505</v>
      </c>
      <c r="H3">
        <f t="shared" ref="H3:S3" si="2">H4+H9+H24</f>
        <v>1257665860</v>
      </c>
      <c r="I3">
        <f t="shared" si="2"/>
        <v>1293271745</v>
      </c>
      <c r="J3">
        <f t="shared" si="2"/>
        <v>1377812250</v>
      </c>
      <c r="K3">
        <f t="shared" si="2"/>
        <v>1396591485</v>
      </c>
      <c r="L3">
        <f t="shared" si="2"/>
        <v>1430380535</v>
      </c>
      <c r="M3">
        <f t="shared" si="2"/>
        <v>1466054295</v>
      </c>
      <c r="N3">
        <f t="shared" si="2"/>
        <v>1486718245</v>
      </c>
      <c r="O3">
        <f t="shared" si="2"/>
        <v>1454813905</v>
      </c>
      <c r="P3">
        <f t="shared" si="2"/>
        <v>1421024855</v>
      </c>
      <c r="Q3">
        <f t="shared" si="2"/>
        <v>1421092725</v>
      </c>
      <c r="R3">
        <f t="shared" si="2"/>
        <v>1404198200</v>
      </c>
      <c r="S3">
        <f t="shared" si="2"/>
        <v>1484901405</v>
      </c>
    </row>
    <row r="4" spans="1:19">
      <c r="A4" t="s">
        <v>23</v>
      </c>
      <c r="B4" t="s">
        <v>179</v>
      </c>
      <c r="C4" t="s">
        <v>1878</v>
      </c>
      <c r="D4" t="s">
        <v>444</v>
      </c>
      <c r="G4">
        <f t="shared" si="0"/>
        <v>50000000</v>
      </c>
      <c r="H4">
        <f t="shared" ref="H4:S4" si="3">H5+H6+H7+H8</f>
        <v>3500000</v>
      </c>
      <c r="I4">
        <f t="shared" si="3"/>
        <v>3250000</v>
      </c>
      <c r="J4">
        <f t="shared" si="3"/>
        <v>3900000</v>
      </c>
      <c r="K4">
        <f t="shared" si="3"/>
        <v>4000000</v>
      </c>
      <c r="L4">
        <f t="shared" si="3"/>
        <v>4100000</v>
      </c>
      <c r="M4">
        <f t="shared" si="3"/>
        <v>4250000</v>
      </c>
      <c r="N4">
        <f t="shared" si="3"/>
        <v>4400000</v>
      </c>
      <c r="O4">
        <f t="shared" si="3"/>
        <v>4350000</v>
      </c>
      <c r="P4">
        <f t="shared" si="3"/>
        <v>4250000</v>
      </c>
      <c r="Q4">
        <f t="shared" si="3"/>
        <v>4650000</v>
      </c>
      <c r="R4">
        <f t="shared" si="3"/>
        <v>4600000</v>
      </c>
      <c r="S4">
        <f t="shared" si="3"/>
        <v>4750000</v>
      </c>
    </row>
    <row r="5" spans="1:19">
      <c r="A5" t="s">
        <v>26</v>
      </c>
      <c r="B5" t="s">
        <v>179</v>
      </c>
      <c r="C5" t="s">
        <v>1879</v>
      </c>
      <c r="D5" t="s">
        <v>446</v>
      </c>
      <c r="G5">
        <f t="shared" si="0"/>
        <v>20000000</v>
      </c>
      <c r="H5">
        <v>1400000</v>
      </c>
      <c r="I5">
        <v>1300000</v>
      </c>
      <c r="J5">
        <v>1560000</v>
      </c>
      <c r="K5">
        <v>1600000</v>
      </c>
      <c r="L5">
        <v>1640000</v>
      </c>
      <c r="M5">
        <v>1700000</v>
      </c>
      <c r="N5">
        <v>1760000</v>
      </c>
      <c r="O5">
        <v>1740000</v>
      </c>
      <c r="P5">
        <v>1700000</v>
      </c>
      <c r="Q5">
        <v>1860000</v>
      </c>
      <c r="R5">
        <v>1840000</v>
      </c>
      <c r="S5">
        <v>1900000</v>
      </c>
    </row>
    <row r="6" spans="1:19">
      <c r="A6" t="s">
        <v>26</v>
      </c>
      <c r="B6" t="s">
        <v>179</v>
      </c>
      <c r="C6" t="s">
        <v>1880</v>
      </c>
      <c r="D6" t="s">
        <v>448</v>
      </c>
      <c r="G6">
        <f t="shared" si="0"/>
        <v>10000000</v>
      </c>
      <c r="H6">
        <v>700000</v>
      </c>
      <c r="I6">
        <v>650000</v>
      </c>
      <c r="J6">
        <v>780000</v>
      </c>
      <c r="K6">
        <v>800000</v>
      </c>
      <c r="L6">
        <v>820000</v>
      </c>
      <c r="M6">
        <v>850000</v>
      </c>
      <c r="N6">
        <v>880000</v>
      </c>
      <c r="O6">
        <v>870000</v>
      </c>
      <c r="P6">
        <v>850000</v>
      </c>
      <c r="Q6">
        <v>930000</v>
      </c>
      <c r="R6">
        <v>920000</v>
      </c>
      <c r="S6">
        <v>950000</v>
      </c>
    </row>
    <row r="7" spans="1:19">
      <c r="A7" t="s">
        <v>26</v>
      </c>
      <c r="B7" t="s">
        <v>179</v>
      </c>
      <c r="C7" t="s">
        <v>1881</v>
      </c>
      <c r="D7" t="s">
        <v>450</v>
      </c>
      <c r="G7">
        <f t="shared" si="0"/>
        <v>10000000</v>
      </c>
      <c r="H7">
        <v>700000</v>
      </c>
      <c r="I7">
        <v>650000</v>
      </c>
      <c r="J7">
        <v>780000</v>
      </c>
      <c r="K7">
        <v>800000</v>
      </c>
      <c r="L7">
        <v>820000</v>
      </c>
      <c r="M7">
        <v>850000</v>
      </c>
      <c r="N7">
        <v>880000</v>
      </c>
      <c r="O7">
        <v>870000</v>
      </c>
      <c r="P7">
        <v>850000</v>
      </c>
      <c r="Q7">
        <v>930000</v>
      </c>
      <c r="R7">
        <v>920000</v>
      </c>
      <c r="S7">
        <v>950000</v>
      </c>
    </row>
    <row r="8" spans="1:19">
      <c r="A8" t="s">
        <v>26</v>
      </c>
      <c r="B8" t="s">
        <v>179</v>
      </c>
      <c r="C8" t="s">
        <v>1882</v>
      </c>
      <c r="D8" t="s">
        <v>452</v>
      </c>
      <c r="G8">
        <f t="shared" si="0"/>
        <v>10000000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23</v>
      </c>
      <c r="B9" t="s">
        <v>179</v>
      </c>
      <c r="C9" t="s">
        <v>1883</v>
      </c>
      <c r="D9" t="s">
        <v>454</v>
      </c>
      <c r="G9">
        <f t="shared" si="0"/>
        <v>16804525505</v>
      </c>
      <c r="H9">
        <f t="shared" ref="H9:S9" si="4">H10+H11+H12+H13+H14+H15+H16+H17+H18+H19+H20+H21+H22+H23</f>
        <v>1251365860</v>
      </c>
      <c r="I9">
        <f t="shared" si="4"/>
        <v>1287421745</v>
      </c>
      <c r="J9">
        <f t="shared" si="4"/>
        <v>1370792250</v>
      </c>
      <c r="K9">
        <f t="shared" si="4"/>
        <v>1389391485</v>
      </c>
      <c r="L9">
        <f t="shared" si="4"/>
        <v>1423000535</v>
      </c>
      <c r="M9">
        <f t="shared" si="4"/>
        <v>1458404295</v>
      </c>
      <c r="N9">
        <f t="shared" si="4"/>
        <v>1478798245</v>
      </c>
      <c r="O9">
        <f t="shared" si="4"/>
        <v>1446983905</v>
      </c>
      <c r="P9">
        <f t="shared" si="4"/>
        <v>1413374855</v>
      </c>
      <c r="Q9">
        <f t="shared" si="4"/>
        <v>1412722725</v>
      </c>
      <c r="R9">
        <f t="shared" si="4"/>
        <v>1395918200</v>
      </c>
      <c r="S9">
        <f t="shared" si="4"/>
        <v>1476351405</v>
      </c>
    </row>
    <row r="10" spans="1:19">
      <c r="A10" t="s">
        <v>26</v>
      </c>
      <c r="B10" t="s">
        <v>179</v>
      </c>
      <c r="C10" t="s">
        <v>1884</v>
      </c>
      <c r="D10" t="s">
        <v>456</v>
      </c>
      <c r="G10">
        <f t="shared" si="0"/>
        <v>5000000000</v>
      </c>
      <c r="H10">
        <v>375000000</v>
      </c>
      <c r="I10">
        <v>390000000</v>
      </c>
      <c r="J10">
        <v>410000000</v>
      </c>
      <c r="K10">
        <v>415000000</v>
      </c>
      <c r="L10">
        <v>425000000</v>
      </c>
      <c r="M10">
        <v>435000000</v>
      </c>
      <c r="N10">
        <v>440000000</v>
      </c>
      <c r="O10">
        <v>430000000</v>
      </c>
      <c r="P10">
        <v>420000000</v>
      </c>
      <c r="Q10">
        <v>415000000</v>
      </c>
      <c r="R10">
        <v>410000000</v>
      </c>
      <c r="S10">
        <v>435000000</v>
      </c>
    </row>
    <row r="11" spans="1:19">
      <c r="A11" t="s">
        <v>26</v>
      </c>
      <c r="B11" t="s">
        <v>179</v>
      </c>
      <c r="C11" t="s">
        <v>1885</v>
      </c>
      <c r="D11" t="s">
        <v>458</v>
      </c>
      <c r="G11">
        <f t="shared" si="0"/>
        <v>20000000</v>
      </c>
      <c r="H11">
        <v>1400000</v>
      </c>
      <c r="I11">
        <v>1300000</v>
      </c>
      <c r="J11">
        <v>1560000</v>
      </c>
      <c r="K11">
        <v>1600000</v>
      </c>
      <c r="L11">
        <v>1640000</v>
      </c>
      <c r="M11">
        <v>1700000</v>
      </c>
      <c r="N11">
        <v>1760000</v>
      </c>
      <c r="O11">
        <v>1740000</v>
      </c>
      <c r="P11">
        <v>1700000</v>
      </c>
      <c r="Q11">
        <v>1860000</v>
      </c>
      <c r="R11">
        <v>1840000</v>
      </c>
      <c r="S11">
        <v>1900000</v>
      </c>
    </row>
    <row r="12" spans="1:19">
      <c r="A12" t="s">
        <v>26</v>
      </c>
      <c r="B12" t="s">
        <v>179</v>
      </c>
      <c r="C12" t="s">
        <v>1886</v>
      </c>
      <c r="D12" t="s">
        <v>460</v>
      </c>
      <c r="G12">
        <f t="shared" si="0"/>
        <v>10000000</v>
      </c>
      <c r="H12">
        <v>700000</v>
      </c>
      <c r="I12">
        <v>650000</v>
      </c>
      <c r="J12">
        <v>780000</v>
      </c>
      <c r="K12">
        <v>800000</v>
      </c>
      <c r="L12">
        <v>820000</v>
      </c>
      <c r="M12">
        <v>850000</v>
      </c>
      <c r="N12">
        <v>880000</v>
      </c>
      <c r="O12">
        <v>870000</v>
      </c>
      <c r="P12">
        <v>850000</v>
      </c>
      <c r="Q12">
        <v>930000</v>
      </c>
      <c r="R12">
        <v>920000</v>
      </c>
      <c r="S12">
        <v>950000</v>
      </c>
    </row>
    <row r="13" spans="1:19">
      <c r="A13" t="s">
        <v>26</v>
      </c>
      <c r="B13" t="s">
        <v>179</v>
      </c>
      <c r="C13" t="s">
        <v>1887</v>
      </c>
      <c r="D13" t="s">
        <v>462</v>
      </c>
      <c r="G13">
        <f t="shared" si="0"/>
        <v>200000000</v>
      </c>
      <c r="H13">
        <v>14000000</v>
      </c>
      <c r="I13">
        <v>13000000</v>
      </c>
      <c r="J13">
        <v>15600000</v>
      </c>
      <c r="K13">
        <v>16000000</v>
      </c>
      <c r="L13">
        <v>16400000</v>
      </c>
      <c r="M13">
        <v>17000000</v>
      </c>
      <c r="N13">
        <v>17600000</v>
      </c>
      <c r="O13">
        <v>17400000</v>
      </c>
      <c r="P13">
        <v>17000000</v>
      </c>
      <c r="Q13">
        <v>18600000</v>
      </c>
      <c r="R13">
        <v>18400000</v>
      </c>
      <c r="S13">
        <v>19000000</v>
      </c>
    </row>
    <row r="14" spans="1:19">
      <c r="A14" t="s">
        <v>26</v>
      </c>
      <c r="B14" t="s">
        <v>179</v>
      </c>
      <c r="C14" t="s">
        <v>1888</v>
      </c>
      <c r="D14" t="s">
        <v>464</v>
      </c>
      <c r="G14">
        <f t="shared" si="0"/>
        <v>10905101</v>
      </c>
      <c r="H14">
        <v>773172</v>
      </c>
      <c r="I14">
        <v>734349</v>
      </c>
      <c r="J14">
        <v>858450</v>
      </c>
      <c r="K14">
        <v>878297</v>
      </c>
      <c r="L14">
        <v>900107</v>
      </c>
      <c r="M14">
        <v>930859</v>
      </c>
      <c r="N14">
        <v>959649</v>
      </c>
      <c r="O14">
        <v>946781</v>
      </c>
      <c r="P14">
        <v>924971</v>
      </c>
      <c r="Q14">
        <v>994545</v>
      </c>
      <c r="R14">
        <v>983640</v>
      </c>
      <c r="S14">
        <v>1020281</v>
      </c>
    </row>
    <row r="15" spans="1:19">
      <c r="A15" t="s">
        <v>26</v>
      </c>
      <c r="B15" t="s">
        <v>179</v>
      </c>
      <c r="C15" t="s">
        <v>1889</v>
      </c>
      <c r="D15" t="s">
        <v>466</v>
      </c>
      <c r="G15">
        <f t="shared" si="0"/>
        <v>1500000000</v>
      </c>
      <c r="H15">
        <v>105000000</v>
      </c>
      <c r="I15">
        <v>97500000</v>
      </c>
      <c r="J15">
        <v>117000000</v>
      </c>
      <c r="K15">
        <v>120000000</v>
      </c>
      <c r="L15">
        <v>123000000</v>
      </c>
      <c r="M15">
        <v>127500000</v>
      </c>
      <c r="N15">
        <v>132000000</v>
      </c>
      <c r="O15">
        <v>130500000</v>
      </c>
      <c r="P15">
        <v>127500000</v>
      </c>
      <c r="Q15">
        <v>139500000</v>
      </c>
      <c r="R15">
        <v>138000000</v>
      </c>
      <c r="S15">
        <v>142500000</v>
      </c>
    </row>
    <row r="16" spans="1:19">
      <c r="A16" t="s">
        <v>26</v>
      </c>
      <c r="B16" t="s">
        <v>179</v>
      </c>
      <c r="C16" t="s">
        <v>1890</v>
      </c>
      <c r="D16" t="s">
        <v>468</v>
      </c>
      <c r="G16">
        <f t="shared" si="0"/>
        <v>5000000000</v>
      </c>
      <c r="H16">
        <v>375000000</v>
      </c>
      <c r="I16">
        <v>390000000</v>
      </c>
      <c r="J16">
        <v>410000000</v>
      </c>
      <c r="K16">
        <v>415000000</v>
      </c>
      <c r="L16">
        <v>425000000</v>
      </c>
      <c r="M16">
        <v>435000000</v>
      </c>
      <c r="N16">
        <v>440000000</v>
      </c>
      <c r="O16">
        <v>430000000</v>
      </c>
      <c r="P16">
        <v>420000000</v>
      </c>
      <c r="Q16">
        <v>415000000</v>
      </c>
      <c r="R16">
        <v>410000000</v>
      </c>
      <c r="S16">
        <v>435000000</v>
      </c>
    </row>
    <row r="17" spans="1:19">
      <c r="A17" t="s">
        <v>26</v>
      </c>
      <c r="B17" t="s">
        <v>179</v>
      </c>
      <c r="C17" t="s">
        <v>1891</v>
      </c>
      <c r="D17" t="s">
        <v>470</v>
      </c>
      <c r="G17">
        <f t="shared" si="0"/>
        <v>10905101</v>
      </c>
      <c r="H17">
        <v>773172</v>
      </c>
      <c r="I17">
        <v>734349</v>
      </c>
      <c r="J17">
        <v>858450</v>
      </c>
      <c r="K17">
        <v>878297</v>
      </c>
      <c r="L17">
        <v>900107</v>
      </c>
      <c r="M17">
        <v>930859</v>
      </c>
      <c r="N17">
        <v>959649</v>
      </c>
      <c r="O17">
        <v>946781</v>
      </c>
      <c r="P17">
        <v>924971</v>
      </c>
      <c r="Q17">
        <v>994545</v>
      </c>
      <c r="R17">
        <v>983640</v>
      </c>
      <c r="S17">
        <v>1020281</v>
      </c>
    </row>
    <row r="18" spans="1:19">
      <c r="A18" t="s">
        <v>26</v>
      </c>
      <c r="B18" t="s">
        <v>179</v>
      </c>
      <c r="C18" t="s">
        <v>1892</v>
      </c>
      <c r="D18" t="s">
        <v>472</v>
      </c>
      <c r="G18">
        <f t="shared" si="0"/>
        <v>10905101</v>
      </c>
      <c r="H18">
        <v>773172</v>
      </c>
      <c r="I18">
        <v>734349</v>
      </c>
      <c r="J18">
        <v>858450</v>
      </c>
      <c r="K18">
        <v>878297</v>
      </c>
      <c r="L18">
        <v>900107</v>
      </c>
      <c r="M18">
        <v>930859</v>
      </c>
      <c r="N18">
        <v>959649</v>
      </c>
      <c r="O18">
        <v>946781</v>
      </c>
      <c r="P18">
        <v>924971</v>
      </c>
      <c r="Q18">
        <v>994545</v>
      </c>
      <c r="R18">
        <v>983640</v>
      </c>
      <c r="S18">
        <v>1020281</v>
      </c>
    </row>
    <row r="19" spans="1:19">
      <c r="A19" t="s">
        <v>26</v>
      </c>
      <c r="B19" t="s">
        <v>179</v>
      </c>
      <c r="C19" t="s">
        <v>1893</v>
      </c>
      <c r="D19" t="s">
        <v>474</v>
      </c>
      <c r="G19">
        <f t="shared" si="0"/>
        <v>10905101</v>
      </c>
      <c r="H19">
        <v>773172</v>
      </c>
      <c r="I19">
        <v>734349</v>
      </c>
      <c r="J19">
        <v>858450</v>
      </c>
      <c r="K19">
        <v>878297</v>
      </c>
      <c r="L19">
        <v>900107</v>
      </c>
      <c r="M19">
        <v>930859</v>
      </c>
      <c r="N19">
        <v>959649</v>
      </c>
      <c r="O19">
        <v>946781</v>
      </c>
      <c r="P19">
        <v>924971</v>
      </c>
      <c r="Q19">
        <v>994545</v>
      </c>
      <c r="R19">
        <v>983640</v>
      </c>
      <c r="S19">
        <v>1020281</v>
      </c>
    </row>
    <row r="20" spans="1:19">
      <c r="A20" t="s">
        <v>26</v>
      </c>
      <c r="B20" t="s">
        <v>179</v>
      </c>
      <c r="C20" t="s">
        <v>1894</v>
      </c>
      <c r="D20" t="s">
        <v>476</v>
      </c>
      <c r="G20">
        <f t="shared" si="0"/>
        <v>5000000000</v>
      </c>
      <c r="H20">
        <v>375000000</v>
      </c>
      <c r="I20">
        <v>390000000</v>
      </c>
      <c r="J20">
        <v>410000000</v>
      </c>
      <c r="K20">
        <v>415000000</v>
      </c>
      <c r="L20">
        <v>425000000</v>
      </c>
      <c r="M20">
        <v>435000000</v>
      </c>
      <c r="N20">
        <v>440000000</v>
      </c>
      <c r="O20">
        <v>430000000</v>
      </c>
      <c r="P20">
        <v>420000000</v>
      </c>
      <c r="Q20">
        <v>415000000</v>
      </c>
      <c r="R20">
        <v>410000000</v>
      </c>
      <c r="S20">
        <v>435000000</v>
      </c>
    </row>
    <row r="21" spans="1:19">
      <c r="A21" t="s">
        <v>26</v>
      </c>
      <c r="B21" t="s">
        <v>179</v>
      </c>
      <c r="C21" t="s">
        <v>1895</v>
      </c>
      <c r="D21" t="s">
        <v>478</v>
      </c>
      <c r="G21">
        <f t="shared" si="0"/>
        <v>10000000</v>
      </c>
      <c r="H21">
        <v>700000</v>
      </c>
      <c r="I21">
        <v>650000</v>
      </c>
      <c r="J21">
        <v>780000</v>
      </c>
      <c r="K21">
        <v>800000</v>
      </c>
      <c r="L21">
        <v>820000</v>
      </c>
      <c r="M21">
        <v>850000</v>
      </c>
      <c r="N21">
        <v>880000</v>
      </c>
      <c r="O21">
        <v>870000</v>
      </c>
      <c r="P21">
        <v>850000</v>
      </c>
      <c r="Q21">
        <v>930000</v>
      </c>
      <c r="R21">
        <v>920000</v>
      </c>
      <c r="S21">
        <v>950000</v>
      </c>
    </row>
    <row r="22" spans="1:19">
      <c r="A22" t="s">
        <v>26</v>
      </c>
      <c r="B22" t="s">
        <v>179</v>
      </c>
      <c r="C22" t="s">
        <v>1896</v>
      </c>
      <c r="D22" t="s">
        <v>480</v>
      </c>
      <c r="G22">
        <f t="shared" si="0"/>
        <v>10000000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26</v>
      </c>
      <c r="B23" t="s">
        <v>179</v>
      </c>
      <c r="C23" t="s">
        <v>1897</v>
      </c>
      <c r="D23" t="s">
        <v>482</v>
      </c>
      <c r="G23">
        <f t="shared" si="0"/>
        <v>10905101</v>
      </c>
      <c r="H23">
        <v>773172</v>
      </c>
      <c r="I23">
        <v>734349</v>
      </c>
      <c r="J23">
        <v>858450</v>
      </c>
      <c r="K23">
        <v>878297</v>
      </c>
      <c r="L23">
        <v>900107</v>
      </c>
      <c r="M23">
        <v>930859</v>
      </c>
      <c r="N23">
        <v>959649</v>
      </c>
      <c r="O23">
        <v>946781</v>
      </c>
      <c r="P23">
        <v>924971</v>
      </c>
      <c r="Q23">
        <v>994545</v>
      </c>
      <c r="R23">
        <v>983640</v>
      </c>
      <c r="S23">
        <v>1020281</v>
      </c>
    </row>
    <row r="24" spans="1:19">
      <c r="A24" t="s">
        <v>23</v>
      </c>
      <c r="B24" t="s">
        <v>179</v>
      </c>
      <c r="C24" t="s">
        <v>1898</v>
      </c>
      <c r="D24" t="s">
        <v>484</v>
      </c>
      <c r="G24">
        <f t="shared" si="0"/>
        <v>40000000</v>
      </c>
      <c r="H24">
        <f t="shared" ref="H24:S24" si="5">H25+H26+H27</f>
        <v>2800000</v>
      </c>
      <c r="I24">
        <f t="shared" si="5"/>
        <v>2600000</v>
      </c>
      <c r="J24">
        <f t="shared" si="5"/>
        <v>3120000</v>
      </c>
      <c r="K24">
        <f t="shared" si="5"/>
        <v>3200000</v>
      </c>
      <c r="L24">
        <f t="shared" si="5"/>
        <v>3280000</v>
      </c>
      <c r="M24">
        <f t="shared" si="5"/>
        <v>3400000</v>
      </c>
      <c r="N24">
        <f t="shared" si="5"/>
        <v>3520000</v>
      </c>
      <c r="O24">
        <f t="shared" si="5"/>
        <v>3480000</v>
      </c>
      <c r="P24">
        <f t="shared" si="5"/>
        <v>3400000</v>
      </c>
      <c r="Q24">
        <f t="shared" si="5"/>
        <v>3720000</v>
      </c>
      <c r="R24">
        <f t="shared" si="5"/>
        <v>3680000</v>
      </c>
      <c r="S24">
        <f t="shared" si="5"/>
        <v>3800000</v>
      </c>
    </row>
    <row r="25" spans="1:19">
      <c r="A25" t="s">
        <v>26</v>
      </c>
      <c r="B25" t="s">
        <v>179</v>
      </c>
      <c r="C25" t="s">
        <v>1899</v>
      </c>
      <c r="D25" t="s">
        <v>486</v>
      </c>
      <c r="G25">
        <f t="shared" si="0"/>
        <v>20000000</v>
      </c>
      <c r="H25">
        <v>1400000</v>
      </c>
      <c r="I25">
        <v>1300000</v>
      </c>
      <c r="J25">
        <v>1560000</v>
      </c>
      <c r="K25">
        <v>1600000</v>
      </c>
      <c r="L25">
        <v>1640000</v>
      </c>
      <c r="M25">
        <v>1700000</v>
      </c>
      <c r="N25">
        <v>1760000</v>
      </c>
      <c r="O25">
        <v>1740000</v>
      </c>
      <c r="P25">
        <v>1700000</v>
      </c>
      <c r="Q25">
        <v>1860000</v>
      </c>
      <c r="R25">
        <v>1840000</v>
      </c>
      <c r="S25">
        <v>1900000</v>
      </c>
    </row>
    <row r="26" spans="1:19">
      <c r="A26" t="s">
        <v>26</v>
      </c>
      <c r="B26" t="s">
        <v>179</v>
      </c>
      <c r="C26" t="s">
        <v>1900</v>
      </c>
      <c r="D26" t="s">
        <v>488</v>
      </c>
      <c r="G26">
        <f t="shared" si="0"/>
        <v>10000000</v>
      </c>
      <c r="H26">
        <v>700000</v>
      </c>
      <c r="I26">
        <v>650000</v>
      </c>
      <c r="J26">
        <v>780000</v>
      </c>
      <c r="K26">
        <v>800000</v>
      </c>
      <c r="L26">
        <v>820000</v>
      </c>
      <c r="M26">
        <v>850000</v>
      </c>
      <c r="N26">
        <v>880000</v>
      </c>
      <c r="O26">
        <v>870000</v>
      </c>
      <c r="P26">
        <v>850000</v>
      </c>
      <c r="Q26">
        <v>930000</v>
      </c>
      <c r="R26">
        <v>920000</v>
      </c>
      <c r="S26">
        <v>950000</v>
      </c>
    </row>
    <row r="27" spans="1:19">
      <c r="A27" t="s">
        <v>26</v>
      </c>
      <c r="B27" t="s">
        <v>179</v>
      </c>
      <c r="C27" t="s">
        <v>1901</v>
      </c>
      <c r="D27" t="s">
        <v>490</v>
      </c>
      <c r="G27">
        <f t="shared" si="0"/>
        <v>10000000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1902</v>
      </c>
      <c r="D2" t="s">
        <v>22</v>
      </c>
      <c r="G2">
        <f t="shared" ref="G2:G65" si="0">H2+I2+J2+K2+L2+M2+N2+O2+P2+Q2+R2+S2</f>
        <v>96413671294</v>
      </c>
      <c r="H2">
        <f t="shared" ref="H2:S2" si="1">H3+H10+H13</f>
        <v>7066258260</v>
      </c>
      <c r="I2">
        <f t="shared" si="1"/>
        <v>7091350664</v>
      </c>
      <c r="J2">
        <f t="shared" si="1"/>
        <v>7774205398</v>
      </c>
      <c r="K2">
        <f t="shared" si="1"/>
        <v>7903564922</v>
      </c>
      <c r="L2">
        <f t="shared" si="1"/>
        <v>8096393886</v>
      </c>
      <c r="M2">
        <f t="shared" si="1"/>
        <v>8322168018</v>
      </c>
      <c r="N2">
        <f t="shared" si="1"/>
        <v>8484472716</v>
      </c>
      <c r="O2">
        <f t="shared" si="1"/>
        <v>8324588968</v>
      </c>
      <c r="P2">
        <f t="shared" si="1"/>
        <v>8131760006</v>
      </c>
      <c r="Q2">
        <f t="shared" si="1"/>
        <v>8331851874</v>
      </c>
      <c r="R2">
        <f t="shared" si="1"/>
        <v>8235437268</v>
      </c>
      <c r="S2">
        <f t="shared" si="1"/>
        <v>8651619314</v>
      </c>
    </row>
    <row r="3" spans="1:19">
      <c r="A3" t="s">
        <v>23</v>
      </c>
      <c r="B3" t="s">
        <v>20</v>
      </c>
      <c r="C3" t="s">
        <v>1903</v>
      </c>
      <c r="D3" t="s">
        <v>25</v>
      </c>
      <c r="G3">
        <f t="shared" si="0"/>
        <v>8764879174</v>
      </c>
      <c r="H3">
        <f t="shared" ref="H3:S3" si="2">H4+H7</f>
        <v>642387112</v>
      </c>
      <c r="I3">
        <f t="shared" si="2"/>
        <v>644668240</v>
      </c>
      <c r="J3">
        <f t="shared" si="2"/>
        <v>706745944</v>
      </c>
      <c r="K3">
        <f t="shared" si="2"/>
        <v>718505898</v>
      </c>
      <c r="L3">
        <f t="shared" si="2"/>
        <v>736035806</v>
      </c>
      <c r="M3">
        <f t="shared" si="2"/>
        <v>756560726</v>
      </c>
      <c r="N3">
        <f t="shared" si="2"/>
        <v>771315698</v>
      </c>
      <c r="O3">
        <f t="shared" si="2"/>
        <v>756780812</v>
      </c>
      <c r="P3">
        <f t="shared" si="2"/>
        <v>739250906</v>
      </c>
      <c r="Q3">
        <f t="shared" si="2"/>
        <v>757441076</v>
      </c>
      <c r="R3">
        <f t="shared" si="2"/>
        <v>748676112</v>
      </c>
      <c r="S3">
        <f t="shared" si="2"/>
        <v>786510844</v>
      </c>
    </row>
    <row r="4" spans="1:19">
      <c r="A4" t="s">
        <v>26</v>
      </c>
      <c r="B4" t="s">
        <v>20</v>
      </c>
      <c r="C4" t="s">
        <v>1904</v>
      </c>
      <c r="D4" t="s">
        <v>28</v>
      </c>
      <c r="G4">
        <f t="shared" si="0"/>
        <v>4382439587</v>
      </c>
      <c r="H4">
        <f>B01企业金融业务状况表!H4+B02金融市场业务状况表!H4</f>
        <v>321193556</v>
      </c>
      <c r="I4">
        <f>B01企业金融业务状况表!I4+B02金融市场业务状况表!I4</f>
        <v>322334120</v>
      </c>
      <c r="J4">
        <f>B01企业金融业务状况表!J4+B02金融市场业务状况表!J4</f>
        <v>353372972</v>
      </c>
      <c r="K4">
        <f>B01企业金融业务状况表!K4+B02金融市场业务状况表!K4</f>
        <v>359252949</v>
      </c>
      <c r="L4">
        <f>B01企业金融业务状况表!L4+B02金融市场业务状况表!L4</f>
        <v>368017903</v>
      </c>
      <c r="M4">
        <f>B01企业金融业务状况表!M4+B02金融市场业务状况表!M4</f>
        <v>378280363</v>
      </c>
      <c r="N4">
        <f>B01企业金融业务状况表!N4+B02金融市场业务状况表!N4</f>
        <v>385657849</v>
      </c>
      <c r="O4">
        <f>B01企业金融业务状况表!O4+B02金融市场业务状况表!O4</f>
        <v>378390406</v>
      </c>
      <c r="P4">
        <f>B01企业金融业务状况表!P4+B02金融市场业务状况表!P4</f>
        <v>369625453</v>
      </c>
      <c r="Q4">
        <f>B01企业金融业务状况表!Q4+B02金融市场业务状况表!Q4</f>
        <v>378720538</v>
      </c>
      <c r="R4">
        <f>B01企业金融业务状况表!R4+B02金融市场业务状况表!R4</f>
        <v>374338056</v>
      </c>
      <c r="S4">
        <f>B01企业金融业务状况表!S4+B02金融市场业务状况表!S4</f>
        <v>393255422</v>
      </c>
    </row>
    <row r="5" spans="1:19">
      <c r="A5" t="s">
        <v>19</v>
      </c>
      <c r="B5" t="s">
        <v>20</v>
      </c>
      <c r="C5" t="s">
        <v>1905</v>
      </c>
      <c r="D5" t="s">
        <v>176</v>
      </c>
      <c r="G5">
        <f t="shared" si="0"/>
        <v>35527292.18</v>
      </c>
      <c r="H5">
        <f>B01企业金融业务状况表!H85+B02金融市场业务状况表!H105</f>
        <v>2527536.9947</v>
      </c>
      <c r="I5">
        <f>B01企业金融业务状况表!I85+B02金融市场业务状况表!I105</f>
        <v>2403560.998383</v>
      </c>
      <c r="J5">
        <f>B01企业金融业务状况表!J85+B02金融市场业务状况表!J105</f>
        <v>2805769.002095</v>
      </c>
      <c r="K5">
        <f>B01企业金融业务状况表!K85+B02金融市场业务状况表!K105</f>
        <v>2868529.005778</v>
      </c>
      <c r="L5">
        <f>B01企业金融业务状况表!L85+B02金融市场业务状况表!L105</f>
        <v>2939617.009461</v>
      </c>
      <c r="M5">
        <f>B01企业金融业务状况表!M85+B02金融市场业务状况表!M105</f>
        <v>3037929.013144</v>
      </c>
      <c r="N5">
        <f>B01企业金融业务状况表!N85+B02金融市场业务状况表!N105</f>
        <v>3127921.016856</v>
      </c>
      <c r="O5">
        <f>B01企业金融业务状况表!O85+B02金融市场业务状况表!O105</f>
        <v>3084049.020539</v>
      </c>
      <c r="P5">
        <f>B01企业金融业务状况表!P85+B02金融市场业务状况表!P105</f>
        <v>3012961.024222</v>
      </c>
      <c r="Q5">
        <f>B01企业金融业务状况表!Q85+B02金融市场业务状况表!Q105</f>
        <v>3222409.027905</v>
      </c>
      <c r="R5">
        <f>B01企业金融业务状况表!R85+B02金融市场业务状况表!R105</f>
        <v>3186865.031617</v>
      </c>
      <c r="S5">
        <f>B01企业金融业务状况表!S85+B02金融市场业务状况表!S105</f>
        <v>3310145.0353</v>
      </c>
    </row>
    <row r="6" spans="1:19">
      <c r="A6" t="s">
        <v>19</v>
      </c>
      <c r="B6" t="s">
        <v>35</v>
      </c>
      <c r="C6" t="s">
        <v>1906</v>
      </c>
      <c r="D6" t="s">
        <v>241</v>
      </c>
      <c r="G6">
        <f t="shared" si="0"/>
        <v>15300000007.8</v>
      </c>
      <c r="H6">
        <f>B01企业金融业务状况表!H118+B02金融市场业务状况表!H140</f>
        <v>0.637</v>
      </c>
      <c r="I6">
        <f>B01企业金融业务状况表!I118+B02金融市场业务状况表!I140</f>
        <v>0.639366</v>
      </c>
      <c r="J6">
        <f>B01企业金融业务状况表!J118+B02金融市场业务状况表!J140</f>
        <v>0.641732</v>
      </c>
      <c r="K6">
        <f>B01企业金融业务状况表!K118+B02金融市场业务状况表!K140</f>
        <v>1660000000.6441</v>
      </c>
      <c r="L6">
        <f>B01企业金融业务状况表!L118+B02金融市场业务状况表!L140</f>
        <v>1700000000.64646</v>
      </c>
      <c r="M6">
        <f>B01企业金融业务状况表!M118+B02金融市场业务状况表!M140</f>
        <v>1740000000.64883</v>
      </c>
      <c r="N6">
        <f>B01企业金融业务状况表!N118+B02金融市场业务状况表!N140</f>
        <v>1760000000.65117</v>
      </c>
      <c r="O6">
        <f>B01企业金融业务状况表!O118+B02金融市场业务状况表!O140</f>
        <v>1720000000.65354</v>
      </c>
      <c r="P6">
        <f>B01企业金融业务状况表!P118+B02金融市场业务状况表!P140</f>
        <v>1680000000.6559</v>
      </c>
      <c r="Q6">
        <f>B01企业金融业务状况表!Q118+B02金融市场业务状况表!Q140</f>
        <v>1660000000.65827</v>
      </c>
      <c r="R6">
        <f>B01企业金融业务状况表!R118+B02金融市场业务状况表!R140</f>
        <v>1640000000.66063</v>
      </c>
      <c r="S6">
        <f>B01企业金融业务状况表!S118+B02金融市场业务状况表!S140</f>
        <v>1740000000.663</v>
      </c>
    </row>
    <row r="7" spans="1:19">
      <c r="A7" t="s">
        <v>26</v>
      </c>
      <c r="B7" t="s">
        <v>20</v>
      </c>
      <c r="C7" t="s">
        <v>1907</v>
      </c>
      <c r="D7" t="s">
        <v>30</v>
      </c>
      <c r="G7">
        <f t="shared" si="0"/>
        <v>4382439587</v>
      </c>
      <c r="H7">
        <f>B01企业金融业务状况表!H5+B02金融市场业务状况表!H5</f>
        <v>321193556</v>
      </c>
      <c r="I7">
        <f>B01企业金融业务状况表!I5+B02金融市场业务状况表!I5</f>
        <v>322334120</v>
      </c>
      <c r="J7">
        <f>B01企业金融业务状况表!J5+B02金融市场业务状况表!J5</f>
        <v>353372972</v>
      </c>
      <c r="K7">
        <f>B01企业金融业务状况表!K5+B02金融市场业务状况表!K5</f>
        <v>359252949</v>
      </c>
      <c r="L7">
        <f>B01企业金融业务状况表!L5+B02金融市场业务状况表!L5</f>
        <v>368017903</v>
      </c>
      <c r="M7">
        <f>B01企业金融业务状况表!M5+B02金融市场业务状况表!M5</f>
        <v>378280363</v>
      </c>
      <c r="N7">
        <f>B01企业金融业务状况表!N5+B02金融市场业务状况表!N5</f>
        <v>385657849</v>
      </c>
      <c r="O7">
        <f>B01企业金融业务状况表!O5+B02金融市场业务状况表!O5</f>
        <v>378390406</v>
      </c>
      <c r="P7">
        <f>B01企业金融业务状况表!P5+B02金融市场业务状况表!P5</f>
        <v>369625453</v>
      </c>
      <c r="Q7">
        <f>B01企业金融业务状况表!Q5+B02金融市场业务状况表!Q5</f>
        <v>378720538</v>
      </c>
      <c r="R7">
        <f>B01企业金融业务状况表!R5+B02金融市场业务状况表!R5</f>
        <v>374338056</v>
      </c>
      <c r="S7">
        <f>B01企业金融业务状况表!S5+B02金融市场业务状况表!S5</f>
        <v>393255422</v>
      </c>
    </row>
    <row r="8" spans="1:19">
      <c r="A8" t="s">
        <v>19</v>
      </c>
      <c r="B8" t="s">
        <v>35</v>
      </c>
      <c r="C8" t="s">
        <v>1908</v>
      </c>
      <c r="D8" t="s">
        <v>285</v>
      </c>
      <c r="G8">
        <f t="shared" si="0"/>
        <v>2.16</v>
      </c>
      <c r="H8">
        <f>B01企业金融业务状况表!H140+B02金融市场业务状况表!H179</f>
        <v>0.1764</v>
      </c>
      <c r="I8">
        <f>B01企业金融业务状况表!I140+B02金融市场业务状况表!I179</f>
        <v>0.17705</v>
      </c>
      <c r="J8">
        <f>B01企业金融业务状况表!J140+B02金融市场业务状况表!J179</f>
        <v>0.17771</v>
      </c>
      <c r="K8">
        <f>B01企业金融业务状况表!K140+B02金融市场业务状况表!K179</f>
        <v>0.17836</v>
      </c>
      <c r="L8">
        <f>B01企业金融业务状况表!L140+B02金融市场业务状况表!L179</f>
        <v>0.17902</v>
      </c>
      <c r="M8">
        <f>B01企业金融业务状况表!M140+B02金融市场业务状况表!M179</f>
        <v>0.17967</v>
      </c>
      <c r="N8">
        <f>B01企业金融业务状况表!N140+B02金融市场业务状况表!N179</f>
        <v>0.18033</v>
      </c>
      <c r="O8">
        <f>B01企业金融业务状况表!O140+B02金融市场业务状况表!O179</f>
        <v>0.18098</v>
      </c>
      <c r="P8">
        <f>B01企业金融业务状况表!P140+B02金融市场业务状况表!P179</f>
        <v>0.18164</v>
      </c>
      <c r="Q8">
        <f>B01企业金融业务状况表!Q140+B02金融市场业务状况表!Q179</f>
        <v>0.18229</v>
      </c>
      <c r="R8">
        <f>B01企业金融业务状况表!R140+B02金融市场业务状况表!R179</f>
        <v>0.18295</v>
      </c>
      <c r="S8">
        <f>B01企业金融业务状况表!S140+B02金融市场业务状况表!S179</f>
        <v>0.1836</v>
      </c>
    </row>
    <row r="9" spans="1:19">
      <c r="A9" t="s">
        <v>19</v>
      </c>
      <c r="B9" t="s">
        <v>35</v>
      </c>
      <c r="C9" t="s">
        <v>1909</v>
      </c>
      <c r="D9" t="s">
        <v>309</v>
      </c>
      <c r="G9">
        <f t="shared" si="0"/>
        <v>3.6</v>
      </c>
      <c r="H9">
        <f>B01企业金融业务状况表!H152+B02金融市场业务状况表!H191</f>
        <v>0.294</v>
      </c>
      <c r="I9">
        <f>B01企业金融业务状况表!I152+B02金融市场业务状况表!I191</f>
        <v>0.295092</v>
      </c>
      <c r="J9">
        <f>B01企业金融业务状况表!J152+B02金融市场业务状况表!J191</f>
        <v>0.296184</v>
      </c>
      <c r="K9">
        <f>B01企业金融业务状况表!K152+B02金融市场业务状况表!K191</f>
        <v>0.297276</v>
      </c>
      <c r="L9">
        <f>B01企业金融业务状况表!L152+B02金融市场业务状况表!L191</f>
        <v>0.298368</v>
      </c>
      <c r="M9">
        <f>B01企业金融业务状况表!M152+B02金融市场业务状况表!M191</f>
        <v>0.29946</v>
      </c>
      <c r="N9">
        <f>B01企业金融业务状况表!N152+B02金融市场业务状况表!N191</f>
        <v>0.30054</v>
      </c>
      <c r="O9">
        <f>B01企业金融业务状况表!O152+B02金融市场业务状况表!O191</f>
        <v>0.301632</v>
      </c>
      <c r="P9">
        <f>B01企业金融业务状况表!P152+B02金融市场业务状况表!P191</f>
        <v>0.302724</v>
      </c>
      <c r="Q9">
        <f>B01企业金融业务状况表!Q152+B02金融市场业务状况表!Q191</f>
        <v>0.303816</v>
      </c>
      <c r="R9">
        <f>B01企业金融业务状况表!R152+B02金融市场业务状况表!R191</f>
        <v>0.304908</v>
      </c>
      <c r="S9">
        <f>B01企业金融业务状况表!S152+B02金融市场业务状况表!S191</f>
        <v>0.306</v>
      </c>
    </row>
    <row r="10" spans="1:19">
      <c r="A10" t="s">
        <v>23</v>
      </c>
      <c r="B10" t="s">
        <v>20</v>
      </c>
      <c r="C10" t="s">
        <v>1910</v>
      </c>
      <c r="D10" t="s">
        <v>497</v>
      </c>
      <c r="G10">
        <f t="shared" si="0"/>
        <v>43824396060</v>
      </c>
      <c r="H10">
        <f>B01企业金融业务状况表!H6+B02金融市场业务状况表!H6</f>
        <v>3211935574</v>
      </c>
      <c r="I10">
        <f>B01企业金融业务状况表!I6+B02金融市场业务状况表!I6</f>
        <v>3223341212</v>
      </c>
      <c r="J10">
        <f>B01企业金融业务状况表!J6+B02金融市场业务状况表!J6</f>
        <v>3533729727</v>
      </c>
      <c r="K10">
        <f>B01企业金融业务状况表!K6+B02金融市场业务状况表!K6</f>
        <v>3592529512</v>
      </c>
      <c r="L10">
        <f>B01企业金融业务状况表!L6+B02金融市场业务状况表!L6</f>
        <v>3680179040</v>
      </c>
      <c r="M10">
        <f>B01企业金融业务状况表!M6+B02金融市场业务状况表!M6</f>
        <v>3782803646</v>
      </c>
      <c r="N10">
        <f>B01企业金融业务状况表!N6+B02金融市场业务状况表!N6</f>
        <v>3856578509</v>
      </c>
      <c r="O10">
        <f>B01企业金融业务状况表!O6+B02金融市场业务状况表!O6</f>
        <v>3783904078</v>
      </c>
      <c r="P10">
        <f>B01企业金融业务状况表!P6+B02金融市场业务状况表!P6</f>
        <v>3696254550</v>
      </c>
      <c r="Q10">
        <f>B01企业金融业务状况表!Q6+B02金融市场业务状况表!Q6</f>
        <v>3787205399</v>
      </c>
      <c r="R10">
        <f>B01企业金融业务状况表!R6+B02金融市场业务状况表!R6</f>
        <v>3743380578</v>
      </c>
      <c r="S10">
        <f>B01企业金融业务状况表!S6+B02金融市场业务状况表!S6</f>
        <v>3932554235</v>
      </c>
    </row>
    <row r="11" spans="1:19">
      <c r="A11" t="s">
        <v>19</v>
      </c>
      <c r="B11" t="s">
        <v>20</v>
      </c>
      <c r="C11" t="s">
        <v>1911</v>
      </c>
      <c r="D11" t="s">
        <v>337</v>
      </c>
      <c r="G11">
        <f t="shared" si="0"/>
        <v>3371626420.84</v>
      </c>
      <c r="H11">
        <f>B01企业金融业务状况表!H166+B02金融市场业务状况表!H205</f>
        <v>234782891.0686</v>
      </c>
      <c r="I11">
        <f>B01企业金融业务状况表!I166+B02金融市场业务状况表!I205</f>
        <v>220133773.068854</v>
      </c>
      <c r="J11">
        <f>B01企业金融业务状况表!J166+B02金融市场业务状况表!J205</f>
        <v>261216387.06911</v>
      </c>
      <c r="K11">
        <f>B01企业金融业务状况表!K166+B02金融市场业务状况表!K205</f>
        <v>271570109.069364</v>
      </c>
      <c r="L11">
        <f>B01企业金融业务状况表!L166+B02金融市场业务状况表!L205</f>
        <v>278335960.069618</v>
      </c>
      <c r="M11">
        <f>B01企业金融业务状况表!M166+B02金融市场业务状况表!M205</f>
        <v>288172618.069872</v>
      </c>
      <c r="N11">
        <f>B01企业金融业务状况表!N166+B02金融市场业务状况表!N205</f>
        <v>297697153.070128</v>
      </c>
      <c r="O11">
        <f>B01企业金融业务状况表!O166+B02金融市场业务状况表!O205</f>
        <v>294002133.070382</v>
      </c>
      <c r="P11">
        <f>B01企业金融业务状况表!P166+B02金融市场业务状况表!P205</f>
        <v>287236285.070636</v>
      </c>
      <c r="Q11">
        <f>B01企业金融业务状况表!Q166+B02金融市场业务状况表!Q205</f>
        <v>311490663.07089</v>
      </c>
      <c r="R11">
        <f>B01企业金融业务状况表!R166+B02金融市场业务状况表!R205</f>
        <v>308107727.071146</v>
      </c>
      <c r="S11">
        <f>B01企业金融业务状况表!S166+B02金融市场业务状况表!S205</f>
        <v>318880721.0714</v>
      </c>
    </row>
    <row r="12" spans="1:19">
      <c r="A12" t="s">
        <v>19</v>
      </c>
      <c r="B12" t="s">
        <v>35</v>
      </c>
      <c r="C12" t="s">
        <v>1912</v>
      </c>
      <c r="D12" t="s">
        <v>365</v>
      </c>
      <c r="G12">
        <f t="shared" si="0"/>
        <v>4700921461.72</v>
      </c>
      <c r="H12">
        <f>B01企业金融业务状况表!H181+B02金融市场业务状况表!H207</f>
        <v>334142977.0588</v>
      </c>
      <c r="I12">
        <f>B01企业金融业务状况表!I181+B02金融市场业务状况表!I207</f>
        <v>317345911.05902</v>
      </c>
      <c r="J12">
        <f>B01企业金融业务状况表!J181+B02金融市场业务状况表!J207</f>
        <v>371001290.059236</v>
      </c>
      <c r="K12">
        <f>B01企业金融业务状况表!K181+B02金融市场业务状况表!K207</f>
        <v>379367039.059456</v>
      </c>
      <c r="L12">
        <f>B01企业金融业务状况表!L181+B02金融市场业务状况表!L207</f>
        <v>388773202.059672</v>
      </c>
      <c r="M12">
        <f>B01企业金融业务状况表!M181+B02金融市场业务状况表!M207</f>
        <v>401842065.059892</v>
      </c>
      <c r="N12">
        <f>B01企业金融业务状况表!N181+B02金融市场业务状况表!N207</f>
        <v>413870515.060108</v>
      </c>
      <c r="O12">
        <f>B01企业金融业务状况表!O181+B02金融市场业务状况表!O207</f>
        <v>408127119.060328</v>
      </c>
      <c r="P12">
        <f>B01企业金融业务状况表!P181+B02金融市场业务状况表!P207</f>
        <v>398720957.060544</v>
      </c>
      <c r="Q12">
        <f>B01企业金融业务状况表!Q181+B02金融市场业务状况表!Q207</f>
        <v>426982214.060764</v>
      </c>
      <c r="R12">
        <f>B01企业金融业务状况表!R181+B02金融市场业务状况表!R207</f>
        <v>422279099.06098</v>
      </c>
      <c r="S12">
        <f>B01企业金融业务状况表!S181+B02金融市场业务状况表!S207</f>
        <v>438469073.0612</v>
      </c>
    </row>
    <row r="13" spans="1:19">
      <c r="A13" t="s">
        <v>23</v>
      </c>
      <c r="B13" t="s">
        <v>20</v>
      </c>
      <c r="C13" t="s">
        <v>1913</v>
      </c>
      <c r="D13" t="s">
        <v>34</v>
      </c>
      <c r="G13">
        <f t="shared" si="0"/>
        <v>43824396060</v>
      </c>
      <c r="H13">
        <f>B01企业金融业务状况表!H7+B02金融市场业务状况表!H7</f>
        <v>3211935574</v>
      </c>
      <c r="I13">
        <f>B01企业金融业务状况表!I7+B02金融市场业务状况表!I7</f>
        <v>3223341212</v>
      </c>
      <c r="J13">
        <f>B01企业金融业务状况表!J7+B02金融市场业务状况表!J7</f>
        <v>3533729727</v>
      </c>
      <c r="K13">
        <f>B01企业金融业务状况表!K7+B02金融市场业务状况表!K7</f>
        <v>3592529512</v>
      </c>
      <c r="L13">
        <f>B01企业金融业务状况表!L7+B02金融市场业务状况表!L7</f>
        <v>3680179040</v>
      </c>
      <c r="M13">
        <f>B01企业金融业务状况表!M7+B02金融市场业务状况表!M7</f>
        <v>3782803646</v>
      </c>
      <c r="N13">
        <f>B01企业金融业务状况表!N7+B02金融市场业务状况表!N7</f>
        <v>3856578509</v>
      </c>
      <c r="O13">
        <f>B01企业金融业务状况表!O7+B02金融市场业务状况表!O7</f>
        <v>3783904078</v>
      </c>
      <c r="P13">
        <f>B01企业金融业务状况表!P7+B02金融市场业务状况表!P7</f>
        <v>3696254550</v>
      </c>
      <c r="Q13">
        <f>B01企业金融业务状况表!Q7+B02金融市场业务状况表!Q7</f>
        <v>3787205399</v>
      </c>
      <c r="R13">
        <f>B01企业金融业务状况表!R7+B02金融市场业务状况表!R7</f>
        <v>3743380578</v>
      </c>
      <c r="S13">
        <f>B01企业金融业务状况表!S7+B02金融市场业务状况表!S7</f>
        <v>3932554235</v>
      </c>
    </row>
    <row r="14" spans="1:19">
      <c r="A14" t="s">
        <v>19</v>
      </c>
      <c r="B14" t="s">
        <v>35</v>
      </c>
      <c r="C14" t="s">
        <v>1914</v>
      </c>
      <c r="D14" t="s">
        <v>37</v>
      </c>
      <c r="G14">
        <f t="shared" si="0"/>
        <v>3650000000</v>
      </c>
      <c r="H14">
        <f>B01企业金融业务状况表!H8+B02金融市场业务状况表!H8</f>
        <v>255500000</v>
      </c>
      <c r="I14">
        <f>B01企业金融业务状况表!I8+B02金融市场业务状况表!I8</f>
        <v>237250000</v>
      </c>
      <c r="J14">
        <f>B01企业金融业务状况表!J8+B02金融市场业务状况表!J8</f>
        <v>284700000</v>
      </c>
      <c r="K14">
        <f>B01企业金融业务状况表!K8+B02金融市场业务状况表!K8</f>
        <v>292000000</v>
      </c>
      <c r="L14">
        <f>B01企业金融业务状况表!L8+B02金融市场业务状况表!L8</f>
        <v>299300000</v>
      </c>
      <c r="M14">
        <f>B01企业金融业务状况表!M8+B02金融市场业务状况表!M8</f>
        <v>310250000</v>
      </c>
      <c r="N14">
        <f>B01企业金融业务状况表!N8+B02金融市场业务状况表!N8</f>
        <v>321200000</v>
      </c>
      <c r="O14">
        <f>B01企业金融业务状况表!O8+B02金融市场业务状况表!O8</f>
        <v>317550000</v>
      </c>
      <c r="P14">
        <f>B01企业金融业务状况表!P8+B02金融市场业务状况表!P8</f>
        <v>310250000</v>
      </c>
      <c r="Q14">
        <f>B01企业金融业务状况表!Q8+B02金融市场业务状况表!Q8</f>
        <v>339450000</v>
      </c>
      <c r="R14">
        <f>B01企业金融业务状况表!R8+B02金融市场业务状况表!R8</f>
        <v>335800000</v>
      </c>
      <c r="S14">
        <f>B01企业金融业务状况表!S8+B02金融市场业务状况表!S8</f>
        <v>346750000</v>
      </c>
    </row>
    <row r="15" spans="1:19">
      <c r="A15" t="s">
        <v>19</v>
      </c>
      <c r="B15" t="s">
        <v>20</v>
      </c>
      <c r="C15" t="s">
        <v>1915</v>
      </c>
      <c r="D15" t="s">
        <v>39</v>
      </c>
      <c r="G15">
        <f t="shared" si="0"/>
        <v>43824396060</v>
      </c>
      <c r="H15">
        <f>B01企业金融业务状况表!H9+B02金融市场业务状况表!H9</f>
        <v>3211935574</v>
      </c>
      <c r="I15">
        <f>B01企业金融业务状况表!I9+B02金融市场业务状况表!I9</f>
        <v>3223341212</v>
      </c>
      <c r="J15">
        <f>B01企业金融业务状况表!J9+B02金融市场业务状况表!J9</f>
        <v>3533729727</v>
      </c>
      <c r="K15">
        <f>B01企业金融业务状况表!K9+B02金融市场业务状况表!K9</f>
        <v>3592529512</v>
      </c>
      <c r="L15">
        <f>B01企业金融业务状况表!L9+B02金融市场业务状况表!L9</f>
        <v>3680179040</v>
      </c>
      <c r="M15">
        <f>B01企业金融业务状况表!M9+B02金融市场业务状况表!M9</f>
        <v>3782803646</v>
      </c>
      <c r="N15">
        <f>B01企业金融业务状况表!N9+B02金融市场业务状况表!N9</f>
        <v>3856578509</v>
      </c>
      <c r="O15">
        <f>B01企业金融业务状况表!O9+B02金融市场业务状况表!O9</f>
        <v>3783904078</v>
      </c>
      <c r="P15">
        <f>B01企业金融业务状况表!P9+B02金融市场业务状况表!P9</f>
        <v>3696254550</v>
      </c>
      <c r="Q15">
        <f>B01企业金融业务状况表!Q9+B02金融市场业务状况表!Q9</f>
        <v>3787205399</v>
      </c>
      <c r="R15">
        <f>B01企业金融业务状况表!R9+B02金融市场业务状况表!R9</f>
        <v>3743380578</v>
      </c>
      <c r="S15">
        <f>B01企业金融业务状况表!S9+B02金融市场业务状况表!S9</f>
        <v>3932554235</v>
      </c>
    </row>
    <row r="16" spans="1:19">
      <c r="A16" t="s">
        <v>19</v>
      </c>
      <c r="B16" t="s">
        <v>35</v>
      </c>
      <c r="C16" t="s">
        <v>1916</v>
      </c>
      <c r="D16" t="s">
        <v>41</v>
      </c>
      <c r="G16">
        <f t="shared" si="0"/>
        <v>39533474599</v>
      </c>
      <c r="H16">
        <f>B01企业金融业务状况表!H10+B02金融市场业务状况表!H10</f>
        <v>2906492597</v>
      </c>
      <c r="I16">
        <f>B01企业金融业务状况表!I10+B02金融市场业务状况表!I10</f>
        <v>2932645301</v>
      </c>
      <c r="J16">
        <f>B01企业金融业务状况表!J10+B02金融市场业务状况表!J10</f>
        <v>3194708437</v>
      </c>
      <c r="K16">
        <f>B01企业金融业务状况表!K10+B02金融市场业务状况表!K10</f>
        <v>3245962473</v>
      </c>
      <c r="L16">
        <f>B01企业金融业务状况表!L10+B02金融市场业务状况表!L10</f>
        <v>3325025838</v>
      </c>
      <c r="M16">
        <f>B01企业金融业务状况表!M10+B02金融市场业务状况表!M10</f>
        <v>3415811581</v>
      </c>
      <c r="N16">
        <f>B01企业金融业务状况表!N10+B02金融市场业务状况表!N10</f>
        <v>3478787994</v>
      </c>
      <c r="O16">
        <f>B01企业金融业务状况表!O10+B02金融市场业务状况表!O10</f>
        <v>3411446959</v>
      </c>
      <c r="P16">
        <f>B01企业金融业务状况表!P10+B02金融市场业务状况表!P10</f>
        <v>3332383593</v>
      </c>
      <c r="Q16">
        <f>B01企业金融业务状况表!Q10+B02金融市场业务状况表!Q10</f>
        <v>3398353185</v>
      </c>
      <c r="R16">
        <f>B01企业金融业务状况表!R10+B02金融市场业务状况表!R10</f>
        <v>3358821479</v>
      </c>
      <c r="S16">
        <f>B01企业金融业务状况表!S10+B02金融市场业务状况表!S10</f>
        <v>3533035162</v>
      </c>
    </row>
    <row r="17" spans="1:19">
      <c r="A17" t="s">
        <v>19</v>
      </c>
      <c r="B17" t="s">
        <v>35</v>
      </c>
      <c r="C17" t="s">
        <v>1917</v>
      </c>
      <c r="D17" t="s">
        <v>43</v>
      </c>
      <c r="G17">
        <f t="shared" si="0"/>
        <v>109193050801</v>
      </c>
      <c r="H17">
        <f t="shared" ref="H17:S17" si="3">H18+H21+H24+H31+H32</f>
        <v>8021999857</v>
      </c>
      <c r="I17">
        <f t="shared" si="3"/>
        <v>8084825209</v>
      </c>
      <c r="J17">
        <f t="shared" si="3"/>
        <v>8819242943</v>
      </c>
      <c r="K17">
        <f t="shared" si="3"/>
        <v>8961977916</v>
      </c>
      <c r="L17">
        <f t="shared" si="3"/>
        <v>9180354273</v>
      </c>
      <c r="M17">
        <f t="shared" si="3"/>
        <v>9432277491</v>
      </c>
      <c r="N17">
        <f t="shared" si="3"/>
        <v>9608559332</v>
      </c>
      <c r="O17">
        <f t="shared" si="3"/>
        <v>9423729721</v>
      </c>
      <c r="P17">
        <f t="shared" si="3"/>
        <v>9205353362</v>
      </c>
      <c r="Q17">
        <f t="shared" si="3"/>
        <v>9398086651</v>
      </c>
      <c r="R17">
        <f t="shared" si="3"/>
        <v>9288898415</v>
      </c>
      <c r="S17">
        <f t="shared" si="3"/>
        <v>9767745631</v>
      </c>
    </row>
    <row r="18" spans="1:19">
      <c r="A18" t="s">
        <v>23</v>
      </c>
      <c r="B18" t="s">
        <v>35</v>
      </c>
      <c r="C18" t="s">
        <v>1918</v>
      </c>
      <c r="D18" t="s">
        <v>45</v>
      </c>
      <c r="G18">
        <f t="shared" si="0"/>
        <v>8686694894</v>
      </c>
      <c r="H18">
        <f t="shared" ref="H18:S18" si="4">H19+H20</f>
        <v>635898518</v>
      </c>
      <c r="I18">
        <f t="shared" si="4"/>
        <v>637229058</v>
      </c>
      <c r="J18">
        <f t="shared" si="4"/>
        <v>699781686</v>
      </c>
      <c r="K18">
        <f t="shared" si="4"/>
        <v>711592492</v>
      </c>
      <c r="L18">
        <f t="shared" si="4"/>
        <v>728965166</v>
      </c>
      <c r="M18">
        <f t="shared" si="4"/>
        <v>749462314</v>
      </c>
      <c r="N18">
        <f t="shared" si="4"/>
        <v>764397596</v>
      </c>
      <c r="O18">
        <f t="shared" si="4"/>
        <v>750149390</v>
      </c>
      <c r="P18">
        <f t="shared" si="4"/>
        <v>732776716</v>
      </c>
      <c r="Q18">
        <f t="shared" si="4"/>
        <v>752210634</v>
      </c>
      <c r="R18">
        <f t="shared" si="4"/>
        <v>743524294</v>
      </c>
      <c r="S18">
        <f t="shared" si="4"/>
        <v>780707030</v>
      </c>
    </row>
    <row r="19" spans="1:19">
      <c r="A19" t="s">
        <v>26</v>
      </c>
      <c r="B19" t="s">
        <v>35</v>
      </c>
      <c r="C19" t="s">
        <v>1919</v>
      </c>
      <c r="D19" t="s">
        <v>47</v>
      </c>
      <c r="G19">
        <f t="shared" si="0"/>
        <v>4478347447</v>
      </c>
      <c r="H19">
        <f>B01企业金融业务状况表!H13+B02金融市场业务状况表!H13</f>
        <v>327399259</v>
      </c>
      <c r="I19">
        <f>B01企业金融业务状况表!I13+B02金融市场业务状况表!I13</f>
        <v>327389529</v>
      </c>
      <c r="J19">
        <f>B01企业金融业务状况表!J13+B02金融市场业务状况表!J13</f>
        <v>360420843</v>
      </c>
      <c r="K19">
        <f>B01企业金融业务状况表!K13+B02金融市场业务状况表!K13</f>
        <v>366596246</v>
      </c>
      <c r="L19">
        <f>B01企业金融业务状况表!L13+B02金融市场业务状况表!L13</f>
        <v>375552583</v>
      </c>
      <c r="M19">
        <f>B01企业金融业务状况表!M13+B02金融市场业务状况表!M13</f>
        <v>386206157</v>
      </c>
      <c r="N19">
        <f>B01企业金融业务状况表!N13+B02金融市场业务状况表!N13</f>
        <v>394078798</v>
      </c>
      <c r="O19">
        <f>B01企业金融业务状况表!O13+B02金融市场业务状况表!O13</f>
        <v>386819695</v>
      </c>
      <c r="P19">
        <f>B01企业金融业务状况表!P13+B02金融市场业务状况表!P13</f>
        <v>377863358</v>
      </c>
      <c r="Q19">
        <f>B01企业金融业务状况表!Q13+B02金融市场业务状况表!Q13</f>
        <v>388660317</v>
      </c>
      <c r="R19">
        <f>B01企业金融业务状况表!R13+B02金融市场业务状况表!R13</f>
        <v>384182147</v>
      </c>
      <c r="S19">
        <f>B01企业金融业务状况表!S13+B02金融市场业务状况表!S13</f>
        <v>403178515</v>
      </c>
    </row>
    <row r="20" spans="1:19">
      <c r="A20" t="s">
        <v>26</v>
      </c>
      <c r="B20" t="s">
        <v>35</v>
      </c>
      <c r="C20" t="s">
        <v>1920</v>
      </c>
      <c r="D20" t="s">
        <v>49</v>
      </c>
      <c r="G20">
        <f t="shared" si="0"/>
        <v>4208347447</v>
      </c>
      <c r="H20">
        <f>B01企业金融业务状况表!H14+B02金融市场业务状况表!H14</f>
        <v>308499259</v>
      </c>
      <c r="I20">
        <f>B01企业金融业务状况表!I14+B02金融市场业务状况表!I14</f>
        <v>309839529</v>
      </c>
      <c r="J20">
        <f>B01企业金融业务状况表!J14+B02金融市场业务状况表!J14</f>
        <v>339360843</v>
      </c>
      <c r="K20">
        <f>B01企业金融业务状况表!K14+B02金融市场业务状况表!K14</f>
        <v>344996246</v>
      </c>
      <c r="L20">
        <f>B01企业金融业务状况表!L14+B02金融市场业务状况表!L14</f>
        <v>353412583</v>
      </c>
      <c r="M20">
        <f>B01企业金融业务状况表!M14+B02金融市场业务状况表!M14</f>
        <v>363256157</v>
      </c>
      <c r="N20">
        <f>B01企业金融业务状况表!N14+B02金融市场业务状况表!N14</f>
        <v>370318798</v>
      </c>
      <c r="O20">
        <f>B01企业金融业务状况表!O14+B02金融市场业务状况表!O14</f>
        <v>363329695</v>
      </c>
      <c r="P20">
        <f>B01企业金融业务状况表!P14+B02金融市场业务状况表!P14</f>
        <v>354913358</v>
      </c>
      <c r="Q20">
        <f>B01企业金融业务状况表!Q14+B02金融市场业务状况表!Q14</f>
        <v>363550317</v>
      </c>
      <c r="R20">
        <f>B01企业金融业务状况表!R14+B02金融市场业务状况表!R14</f>
        <v>359342147</v>
      </c>
      <c r="S20">
        <f>B01企业金融业务状况表!S14+B02金融市场业务状况表!S14</f>
        <v>377528515</v>
      </c>
    </row>
    <row r="21" spans="1:19">
      <c r="A21" t="s">
        <v>23</v>
      </c>
      <c r="B21" t="s">
        <v>35</v>
      </c>
      <c r="C21" t="s">
        <v>1921</v>
      </c>
      <c r="D21" t="s">
        <v>51</v>
      </c>
      <c r="G21">
        <f t="shared" si="0"/>
        <v>8416694894</v>
      </c>
      <c r="H21">
        <f t="shared" ref="H21:S21" si="5">H22+H23</f>
        <v>616998518</v>
      </c>
      <c r="I21">
        <f t="shared" si="5"/>
        <v>619679058</v>
      </c>
      <c r="J21">
        <f t="shared" si="5"/>
        <v>678721686</v>
      </c>
      <c r="K21">
        <f t="shared" si="5"/>
        <v>689992492</v>
      </c>
      <c r="L21">
        <f t="shared" si="5"/>
        <v>706825166</v>
      </c>
      <c r="M21">
        <f t="shared" si="5"/>
        <v>726512314</v>
      </c>
      <c r="N21">
        <f t="shared" si="5"/>
        <v>740637596</v>
      </c>
      <c r="O21">
        <f t="shared" si="5"/>
        <v>726659390</v>
      </c>
      <c r="P21">
        <f t="shared" si="5"/>
        <v>709826716</v>
      </c>
      <c r="Q21">
        <f t="shared" si="5"/>
        <v>727100634</v>
      </c>
      <c r="R21">
        <f t="shared" si="5"/>
        <v>718684294</v>
      </c>
      <c r="S21">
        <f t="shared" si="5"/>
        <v>755057030</v>
      </c>
    </row>
    <row r="22" spans="1:19">
      <c r="A22" t="s">
        <v>26</v>
      </c>
      <c r="B22" t="s">
        <v>35</v>
      </c>
      <c r="C22" t="s">
        <v>1922</v>
      </c>
      <c r="D22" t="s">
        <v>53</v>
      </c>
      <c r="G22">
        <f t="shared" si="0"/>
        <v>4258347447</v>
      </c>
      <c r="H22">
        <f>B01企业金融业务状况表!H16+B02金融市场业务状况表!H16</f>
        <v>311999259</v>
      </c>
      <c r="I22">
        <f>B01企业金融业务状况表!I16+B02金融市场业务状况表!I16</f>
        <v>313089529</v>
      </c>
      <c r="J22">
        <f>B01企业金融业务状况表!J16+B02金融市场业务状况表!J16</f>
        <v>343260843</v>
      </c>
      <c r="K22">
        <f>B01企业金融业务状况表!K16+B02金融市场业务状况表!K16</f>
        <v>348996246</v>
      </c>
      <c r="L22">
        <f>B01企业金融业务状况表!L16+B02金融市场业务状况表!L16</f>
        <v>357512583</v>
      </c>
      <c r="M22">
        <f>B01企业金融业务状况表!M16+B02金融市场业务状况表!M16</f>
        <v>367506157</v>
      </c>
      <c r="N22">
        <f>B01企业金融业务状况表!N16+B02金融市场业务状况表!N16</f>
        <v>374718798</v>
      </c>
      <c r="O22">
        <f>B01企业金融业务状况表!O16+B02金融市场业务状况表!O16</f>
        <v>367679695</v>
      </c>
      <c r="P22">
        <f>B01企业金融业务状况表!P16+B02金融市场业务状况表!P16</f>
        <v>359163358</v>
      </c>
      <c r="Q22">
        <f>B01企业金融业务状况表!Q16+B02金融市场业务状况表!Q16</f>
        <v>368200317</v>
      </c>
      <c r="R22">
        <f>B01企业金融业务状况表!R16+B02金融市场业务状况表!R16</f>
        <v>363942147</v>
      </c>
      <c r="S22">
        <f>B01企业金融业务状况表!S16+B02金融市场业务状况表!S16</f>
        <v>382278515</v>
      </c>
    </row>
    <row r="23" spans="1:19">
      <c r="A23" t="s">
        <v>26</v>
      </c>
      <c r="B23" t="s">
        <v>35</v>
      </c>
      <c r="C23" t="s">
        <v>1923</v>
      </c>
      <c r="D23" t="s">
        <v>55</v>
      </c>
      <c r="G23">
        <f t="shared" si="0"/>
        <v>4158347447</v>
      </c>
      <c r="H23">
        <f>B01企业金融业务状况表!H17+B02金融市场业务状况表!H17</f>
        <v>304999259</v>
      </c>
      <c r="I23">
        <f>B01企业金融业务状况表!I17+B02金融市场业务状况表!I17</f>
        <v>306589529</v>
      </c>
      <c r="J23">
        <f>B01企业金融业务状况表!J17+B02金融市场业务状况表!J17</f>
        <v>335460843</v>
      </c>
      <c r="K23">
        <f>B01企业金融业务状况表!K17+B02金融市场业务状况表!K17</f>
        <v>340996246</v>
      </c>
      <c r="L23">
        <f>B01企业金融业务状况表!L17+B02金融市场业务状况表!L17</f>
        <v>349312583</v>
      </c>
      <c r="M23">
        <f>B01企业金融业务状况表!M17+B02金融市场业务状况表!M17</f>
        <v>359006157</v>
      </c>
      <c r="N23">
        <f>B01企业金融业务状况表!N17+B02金融市场业务状况表!N17</f>
        <v>365918798</v>
      </c>
      <c r="O23">
        <f>B01企业金融业务状况表!O17+B02金融市场业务状况表!O17</f>
        <v>358979695</v>
      </c>
      <c r="P23">
        <f>B01企业金融业务状况表!P17+B02金融市场业务状况表!P17</f>
        <v>350663358</v>
      </c>
      <c r="Q23">
        <f>B01企业金融业务状况表!Q17+B02金融市场业务状况表!Q17</f>
        <v>358900317</v>
      </c>
      <c r="R23">
        <f>B01企业金融业务状况表!R17+B02金融市场业务状况表!R17</f>
        <v>354742147</v>
      </c>
      <c r="S23">
        <f>B01企业金融业务状况表!S17+B02金融市场业务状况表!S17</f>
        <v>372778515</v>
      </c>
    </row>
    <row r="24" spans="1:19">
      <c r="A24" t="s">
        <v>23</v>
      </c>
      <c r="B24" t="s">
        <v>35</v>
      </c>
      <c r="C24" t="s">
        <v>1924</v>
      </c>
      <c r="D24" t="s">
        <v>57</v>
      </c>
      <c r="G24">
        <f t="shared" si="0"/>
        <v>13052711815</v>
      </c>
      <c r="H24">
        <f t="shared" ref="H24:S24" si="6">H25+H28+H29+H30</f>
        <v>958217627</v>
      </c>
      <c r="I24">
        <f t="shared" si="6"/>
        <v>964576491</v>
      </c>
      <c r="J24">
        <f t="shared" si="6"/>
        <v>1053662697</v>
      </c>
      <c r="K24">
        <f t="shared" si="6"/>
        <v>1070867986</v>
      </c>
      <c r="L24">
        <f t="shared" si="6"/>
        <v>1096972265</v>
      </c>
      <c r="M24">
        <f t="shared" si="6"/>
        <v>1127229701</v>
      </c>
      <c r="N24">
        <f t="shared" si="6"/>
        <v>1148588152</v>
      </c>
      <c r="O24">
        <f t="shared" si="6"/>
        <v>1126637023</v>
      </c>
      <c r="P24">
        <f t="shared" si="6"/>
        <v>1100532744</v>
      </c>
      <c r="Q24">
        <f t="shared" si="6"/>
        <v>1124859013</v>
      </c>
      <c r="R24">
        <f t="shared" si="6"/>
        <v>1111806869</v>
      </c>
      <c r="S24">
        <f t="shared" si="6"/>
        <v>1168761247</v>
      </c>
    </row>
    <row r="25" spans="1:19">
      <c r="A25" t="s">
        <v>26</v>
      </c>
      <c r="B25" t="s">
        <v>35</v>
      </c>
      <c r="C25" t="s">
        <v>1925</v>
      </c>
      <c r="D25" t="s">
        <v>59</v>
      </c>
      <c r="G25">
        <f t="shared" si="0"/>
        <v>1007669474</v>
      </c>
      <c r="H25">
        <f t="shared" ref="H25:S25" si="7">H26+H27</f>
        <v>73319850</v>
      </c>
      <c r="I25">
        <f t="shared" si="7"/>
        <v>72757904</v>
      </c>
      <c r="J25">
        <f t="shared" si="7"/>
        <v>80820168</v>
      </c>
      <c r="K25">
        <f t="shared" si="7"/>
        <v>82279248</v>
      </c>
      <c r="L25">
        <f t="shared" si="7"/>
        <v>84294516</v>
      </c>
      <c r="M25">
        <f t="shared" si="7"/>
        <v>86761230</v>
      </c>
      <c r="N25">
        <f t="shared" si="7"/>
        <v>88671758</v>
      </c>
      <c r="O25">
        <f t="shared" si="7"/>
        <v>87107938</v>
      </c>
      <c r="P25">
        <f t="shared" si="7"/>
        <v>85092670</v>
      </c>
      <c r="Q25">
        <f t="shared" si="7"/>
        <v>88148062</v>
      </c>
      <c r="R25">
        <f t="shared" si="7"/>
        <v>87140428</v>
      </c>
      <c r="S25">
        <f t="shared" si="7"/>
        <v>91275702</v>
      </c>
    </row>
    <row r="26" spans="1:19">
      <c r="A26" t="s">
        <v>60</v>
      </c>
      <c r="B26" t="s">
        <v>35</v>
      </c>
      <c r="C26" t="s">
        <v>1926</v>
      </c>
      <c r="D26" t="s">
        <v>62</v>
      </c>
      <c r="G26">
        <f t="shared" si="0"/>
        <v>523834737</v>
      </c>
      <c r="H26">
        <f>B01企业金融业务状况表!H20+B02金融市场业务状况表!H20</f>
        <v>38059925</v>
      </c>
      <c r="I26">
        <f>B01企业金融业务状况表!I20+B02金融市场业务状况表!I20</f>
        <v>37678952</v>
      </c>
      <c r="J26">
        <f>B01企业金融业务状况表!J20+B02金融市场业务状况表!J20</f>
        <v>41970084</v>
      </c>
      <c r="K26">
        <f>B01企业金融业务状况表!K20+B02金融市场业务状况表!K20</f>
        <v>42739624</v>
      </c>
      <c r="L26">
        <f>B01企业金融业务状况表!L20+B02金融市场业务状况表!L20</f>
        <v>43787258</v>
      </c>
      <c r="M26">
        <f>B01企业金融业务状况表!M20+B02金融市场业务状况表!M20</f>
        <v>45080615</v>
      </c>
      <c r="N26">
        <f>B01企业金融业务状况表!N20+B02金融市场业务状况表!N20</f>
        <v>46095879</v>
      </c>
      <c r="O26">
        <f>B01企业金融业务状况表!O20+B02金融市场业务状况表!O20</f>
        <v>45293969</v>
      </c>
      <c r="P26">
        <f>B01企业金融业务状况表!P20+B02金融市场业务状况表!P20</f>
        <v>44246335</v>
      </c>
      <c r="Q26">
        <f>B01企业金融业务状况表!Q20+B02金融市场业务状况表!Q20</f>
        <v>45934031</v>
      </c>
      <c r="R26">
        <f>B01企业金融业务状况表!R20+B02金融市场业务状况表!R20</f>
        <v>45410214</v>
      </c>
      <c r="S26">
        <f>B01企业金融业务状况表!S20+B02金融市场业务状况表!S20</f>
        <v>47537851</v>
      </c>
    </row>
    <row r="27" spans="1:19">
      <c r="A27" t="s">
        <v>60</v>
      </c>
      <c r="B27" t="s">
        <v>35</v>
      </c>
      <c r="C27" t="s">
        <v>1927</v>
      </c>
      <c r="D27" t="s">
        <v>64</v>
      </c>
      <c r="G27">
        <f t="shared" si="0"/>
        <v>483834737</v>
      </c>
      <c r="H27">
        <f>B01企业金融业务状况表!H21+B02金融市场业务状况表!H21</f>
        <v>35259925</v>
      </c>
      <c r="I27">
        <f>B01企业金融业务状况表!I21+B02金融市场业务状况表!I21</f>
        <v>35078952</v>
      </c>
      <c r="J27">
        <f>B01企业金融业务状况表!J21+B02金融市场业务状况表!J21</f>
        <v>38850084</v>
      </c>
      <c r="K27">
        <f>B01企业金融业务状况表!K21+B02金融市场业务状况表!K21</f>
        <v>39539624</v>
      </c>
      <c r="L27">
        <f>B01企业金融业务状况表!L21+B02金融市场业务状况表!L21</f>
        <v>40507258</v>
      </c>
      <c r="M27">
        <f>B01企业金融业务状况表!M21+B02金融市场业务状况表!M21</f>
        <v>41680615</v>
      </c>
      <c r="N27">
        <f>B01企业金融业务状况表!N21+B02金融市场业务状况表!N21</f>
        <v>42575879</v>
      </c>
      <c r="O27">
        <f>B01企业金融业务状况表!O21+B02金融市场业务状况表!O21</f>
        <v>41813969</v>
      </c>
      <c r="P27">
        <f>B01企业金融业务状况表!P21+B02金融市场业务状况表!P21</f>
        <v>40846335</v>
      </c>
      <c r="Q27">
        <f>B01企业金融业务状况表!Q21+B02金融市场业务状况表!Q21</f>
        <v>42214031</v>
      </c>
      <c r="R27">
        <f>B01企业金融业务状况表!R21+B02金融市场业务状况表!R21</f>
        <v>41730214</v>
      </c>
      <c r="S27">
        <f>B01企业金融业务状况表!S21+B02金融市场业务状况表!S21</f>
        <v>43737851</v>
      </c>
    </row>
    <row r="28" spans="1:19">
      <c r="A28" t="s">
        <v>26</v>
      </c>
      <c r="B28" t="s">
        <v>35</v>
      </c>
      <c r="C28" t="s">
        <v>1928</v>
      </c>
      <c r="D28" t="s">
        <v>66</v>
      </c>
      <c r="G28">
        <f t="shared" si="0"/>
        <v>4028347447</v>
      </c>
      <c r="H28">
        <f>B01企业金融业务状况表!H22+B02金融市场业务状况表!H22</f>
        <v>295899259</v>
      </c>
      <c r="I28">
        <f>B01企业金融业务状况表!I22+B02金融市场业务状况表!I22</f>
        <v>298139529</v>
      </c>
      <c r="J28">
        <f>B01企业金融业务状况表!J22+B02金融市场业务状况表!J22</f>
        <v>325320843</v>
      </c>
      <c r="K28">
        <f>B01企业金融业务状况表!K22+B02金融市场业务状况表!K22</f>
        <v>330596246</v>
      </c>
      <c r="L28">
        <f>B01企业金融业务状况表!L22+B02金融市场业务状况表!L22</f>
        <v>338652583</v>
      </c>
      <c r="M28">
        <f>B01企业金融业务状况表!M22+B02金融市场业务状况表!M22</f>
        <v>347956157</v>
      </c>
      <c r="N28">
        <f>B01企业金融业务状况表!N22+B02金融市场业务状况表!N22</f>
        <v>354478798</v>
      </c>
      <c r="O28">
        <f>B01企业金融业务状况表!O22+B02金融市场业务状况表!O22</f>
        <v>347669695</v>
      </c>
      <c r="P28">
        <f>B01企业金融业务状况表!P22+B02金融市场业务状况表!P22</f>
        <v>339613358</v>
      </c>
      <c r="Q28">
        <f>B01企业金融业务状况表!Q22+B02金融市场业务状况表!Q22</f>
        <v>346810317</v>
      </c>
      <c r="R28">
        <f>B01企业金融业务状况表!R22+B02金融市场业务状况表!R22</f>
        <v>342782147</v>
      </c>
      <c r="S28">
        <f>B01企业金融业务状况表!S22+B02金融市场业务状况表!S22</f>
        <v>360428515</v>
      </c>
    </row>
    <row r="29" spans="1:19">
      <c r="A29" t="s">
        <v>26</v>
      </c>
      <c r="B29" t="s">
        <v>35</v>
      </c>
      <c r="C29" t="s">
        <v>1929</v>
      </c>
      <c r="D29" t="s">
        <v>68</v>
      </c>
      <c r="G29">
        <f t="shared" si="0"/>
        <v>4008347447</v>
      </c>
      <c r="H29">
        <f>B01企业金融业务状况表!H23+B02金融市场业务状况表!H23</f>
        <v>294499259</v>
      </c>
      <c r="I29">
        <f>B01企业金融业务状况表!I23+B02金融市场业务状况表!I23</f>
        <v>296839529</v>
      </c>
      <c r="J29">
        <f>B01企业金融业务状况表!J23+B02金融市场业务状况表!J23</f>
        <v>323760843</v>
      </c>
      <c r="K29">
        <f>B01企业金融业务状况表!K23+B02金融市场业务状况表!K23</f>
        <v>328996246</v>
      </c>
      <c r="L29">
        <f>B01企业金融业务状况表!L23+B02金融市场业务状况表!L23</f>
        <v>337012583</v>
      </c>
      <c r="M29">
        <f>B01企业金融业务状况表!M23+B02金融市场业务状况表!M23</f>
        <v>346256157</v>
      </c>
      <c r="N29">
        <f>B01企业金融业务状况表!N23+B02金融市场业务状况表!N23</f>
        <v>352718798</v>
      </c>
      <c r="O29">
        <f>B01企业金融业务状况表!O23+B02金融市场业务状况表!O23</f>
        <v>345929695</v>
      </c>
      <c r="P29">
        <f>B01企业金融业务状况表!P23+B02金融市场业务状况表!P23</f>
        <v>337913358</v>
      </c>
      <c r="Q29">
        <f>B01企业金融业务状况表!Q23+B02金融市场业务状况表!Q23</f>
        <v>344950317</v>
      </c>
      <c r="R29">
        <f>B01企业金融业务状况表!R23+B02金融市场业务状况表!R23</f>
        <v>340942147</v>
      </c>
      <c r="S29">
        <f>B01企业金融业务状况表!S23+B02金融市场业务状况表!S23</f>
        <v>358528515</v>
      </c>
    </row>
    <row r="30" spans="1:19">
      <c r="A30" t="s">
        <v>26</v>
      </c>
      <c r="B30" t="s">
        <v>35</v>
      </c>
      <c r="C30" t="s">
        <v>1930</v>
      </c>
      <c r="D30" t="s">
        <v>70</v>
      </c>
      <c r="G30">
        <f t="shared" si="0"/>
        <v>4008347447</v>
      </c>
      <c r="H30">
        <f>B01企业金融业务状况表!H24+B02金融市场业务状况表!H24</f>
        <v>294499259</v>
      </c>
      <c r="I30">
        <f>B01企业金融业务状况表!I24+B02金融市场业务状况表!I24</f>
        <v>296839529</v>
      </c>
      <c r="J30">
        <f>B01企业金融业务状况表!J24+B02金融市场业务状况表!J24</f>
        <v>323760843</v>
      </c>
      <c r="K30">
        <f>B01企业金融业务状况表!K24+B02金融市场业务状况表!K24</f>
        <v>328996246</v>
      </c>
      <c r="L30">
        <f>B01企业金融业务状况表!L24+B02金融市场业务状况表!L24</f>
        <v>337012583</v>
      </c>
      <c r="M30">
        <f>B01企业金融业务状况表!M24+B02金融市场业务状况表!M24</f>
        <v>346256157</v>
      </c>
      <c r="N30">
        <f>B01企业金融业务状况表!N24+B02金融市场业务状况表!N24</f>
        <v>352718798</v>
      </c>
      <c r="O30">
        <f>B01企业金融业务状况表!O24+B02金融市场业务状况表!O24</f>
        <v>345929695</v>
      </c>
      <c r="P30">
        <f>B01企业金融业务状况表!P24+B02金融市场业务状况表!P24</f>
        <v>337913358</v>
      </c>
      <c r="Q30">
        <f>B01企业金融业务状况表!Q24+B02金融市场业务状况表!Q24</f>
        <v>344950317</v>
      </c>
      <c r="R30">
        <f>B01企业金融业务状况表!R24+B02金融市场业务状况表!R24</f>
        <v>340942147</v>
      </c>
      <c r="S30">
        <f>B01企业金融业务状况表!S24+B02金融市场业务状况表!S24</f>
        <v>358528515</v>
      </c>
    </row>
    <row r="31" spans="1:19">
      <c r="A31" t="s">
        <v>23</v>
      </c>
      <c r="B31" t="s">
        <v>35</v>
      </c>
      <c r="C31" t="s">
        <v>1931</v>
      </c>
      <c r="D31" t="s">
        <v>72</v>
      </c>
      <c r="G31">
        <f t="shared" si="0"/>
        <v>39523474599</v>
      </c>
      <c r="H31">
        <f>B01企业金融业务状况表!H25+B02金融市场业务状况表!H25</f>
        <v>2905792597</v>
      </c>
      <c r="I31">
        <f>B01企业金融业务状况表!I25+B02金融市场业务状况表!I25</f>
        <v>2931995301</v>
      </c>
      <c r="J31">
        <f>B01企业金融业务状况表!J25+B02金融市场业务状况表!J25</f>
        <v>3193928437</v>
      </c>
      <c r="K31">
        <f>B01企业金融业务状况表!K25+B02金融市场业务状况表!K25</f>
        <v>3245162473</v>
      </c>
      <c r="L31">
        <f>B01企业金融业务状况表!L25+B02金融市场业务状况表!L25</f>
        <v>3324205838</v>
      </c>
      <c r="M31">
        <f>B01企业金融业务状况表!M25+B02金融市场业务状况表!M25</f>
        <v>3414961581</v>
      </c>
      <c r="N31">
        <f>B01企业金融业务状况表!N25+B02金融市场业务状况表!N25</f>
        <v>3477907994</v>
      </c>
      <c r="O31">
        <f>B01企业金融业务状况表!O25+B02金融市场业务状况表!O25</f>
        <v>3410576959</v>
      </c>
      <c r="P31">
        <f>B01企业金融业务状况表!P25+B02金融市场业务状况表!P25</f>
        <v>3331533593</v>
      </c>
      <c r="Q31">
        <f>B01企业金融业务状况表!Q25+B02金融市场业务状况表!Q25</f>
        <v>3397423185</v>
      </c>
      <c r="R31">
        <f>B01企业金融业务状况表!R25+B02金融市场业务状况表!R25</f>
        <v>3357901479</v>
      </c>
      <c r="S31">
        <f>B01企业金融业务状况表!S25+B02金融市场业务状况表!S25</f>
        <v>3532085162</v>
      </c>
    </row>
    <row r="32" spans="1:19">
      <c r="A32" t="s">
        <v>23</v>
      </c>
      <c r="B32" t="s">
        <v>35</v>
      </c>
      <c r="C32" t="s">
        <v>1932</v>
      </c>
      <c r="D32" t="s">
        <v>74</v>
      </c>
      <c r="G32">
        <f t="shared" si="0"/>
        <v>39513474599</v>
      </c>
      <c r="H32">
        <f>B01企业金融业务状况表!H26+B02金融市场业务状况表!H26</f>
        <v>2905092597</v>
      </c>
      <c r="I32">
        <f>B01企业金融业务状况表!I26+B02金融市场业务状况表!I26</f>
        <v>2931345301</v>
      </c>
      <c r="J32">
        <f>B01企业金融业务状况表!J26+B02金融市场业务状况表!J26</f>
        <v>3193148437</v>
      </c>
      <c r="K32">
        <f>B01企业金融业务状况表!K26+B02金融市场业务状况表!K26</f>
        <v>3244362473</v>
      </c>
      <c r="L32">
        <f>B01企业金融业务状况表!L26+B02金融市场业务状况表!L26</f>
        <v>3323385838</v>
      </c>
      <c r="M32">
        <f>B01企业金融业务状况表!M26+B02金融市场业务状况表!M26</f>
        <v>3414111581</v>
      </c>
      <c r="N32">
        <f>B01企业金融业务状况表!N26+B02金融市场业务状况表!N26</f>
        <v>3477027994</v>
      </c>
      <c r="O32">
        <f>B01企业金融业务状况表!O26+B02金融市场业务状况表!O26</f>
        <v>3409706959</v>
      </c>
      <c r="P32">
        <f>B01企业金融业务状况表!P26+B02金融市场业务状况表!P26</f>
        <v>3330683593</v>
      </c>
      <c r="Q32">
        <f>B01企业金融业务状况表!Q26+B02金融市场业务状况表!Q26</f>
        <v>3396493185</v>
      </c>
      <c r="R32">
        <f>B01企业金融业务状况表!R26+B02金融市场业务状况表!R26</f>
        <v>3356981479</v>
      </c>
      <c r="S32">
        <f>B01企业金融业务状况表!S26+B02金融市场业务状况表!S26</f>
        <v>3531135162</v>
      </c>
    </row>
    <row r="33" spans="1:19">
      <c r="A33" t="s">
        <v>19</v>
      </c>
      <c r="B33" t="s">
        <v>20</v>
      </c>
      <c r="C33" t="s">
        <v>1933</v>
      </c>
      <c r="D33" t="s">
        <v>76</v>
      </c>
      <c r="G33">
        <f t="shared" si="0"/>
        <v>80000000</v>
      </c>
      <c r="H33">
        <f>B01企业金融业务状况表!H27+B02金融市场业务状况表!H27</f>
        <v>5600000</v>
      </c>
      <c r="I33">
        <f>B01企业金融业务状况表!I27+B02金融市场业务状况表!I27</f>
        <v>5200000</v>
      </c>
      <c r="J33">
        <f>B01企业金融业务状况表!J27+B02金融市场业务状况表!J27</f>
        <v>6240000</v>
      </c>
      <c r="K33">
        <f>B01企业金融业务状况表!K27+B02金融市场业务状况表!K27</f>
        <v>6400000</v>
      </c>
      <c r="L33">
        <f>B01企业金融业务状况表!L27+B02金融市场业务状况表!L27</f>
        <v>6560000</v>
      </c>
      <c r="M33">
        <f>B01企业金融业务状况表!M27+B02金融市场业务状况表!M27</f>
        <v>6800000</v>
      </c>
      <c r="N33">
        <f>B01企业金融业务状况表!N27+B02金融市场业务状况表!N27</f>
        <v>7040000</v>
      </c>
      <c r="O33">
        <f>B01企业金融业务状况表!O27+B02金融市场业务状况表!O27</f>
        <v>6960000</v>
      </c>
      <c r="P33">
        <f>B01企业金融业务状况表!P27+B02金融市场业务状况表!P27</f>
        <v>6800000</v>
      </c>
      <c r="Q33">
        <f>B01企业金融业务状况表!Q27+B02金融市场业务状况表!Q27</f>
        <v>7440000</v>
      </c>
      <c r="R33">
        <f>B01企业金融业务状况表!R27+B02金融市场业务状况表!R27</f>
        <v>7360000</v>
      </c>
      <c r="S33">
        <f>B01企业金融业务状况表!S27+B02金融市场业务状况表!S27</f>
        <v>7600000</v>
      </c>
    </row>
    <row r="34" spans="1:19">
      <c r="A34" t="s">
        <v>19</v>
      </c>
      <c r="B34" t="s">
        <v>77</v>
      </c>
      <c r="C34" t="s">
        <v>1934</v>
      </c>
      <c r="D34" t="s">
        <v>79</v>
      </c>
      <c r="G34">
        <f t="shared" si="0"/>
        <v>43824396060</v>
      </c>
      <c r="H34">
        <f>B01企业金融业务状况表!H28+B02金融市场业务状况表!H28</f>
        <v>3211935574</v>
      </c>
      <c r="I34">
        <f>B01企业金融业务状况表!I28+B02金融市场业务状况表!I28</f>
        <v>3223341212</v>
      </c>
      <c r="J34">
        <f>B01企业金融业务状况表!J28+B02金融市场业务状况表!J28</f>
        <v>3533729727</v>
      </c>
      <c r="K34">
        <f>B01企业金融业务状况表!K28+B02金融市场业务状况表!K28</f>
        <v>3592529512</v>
      </c>
      <c r="L34">
        <f>B01企业金融业务状况表!L28+B02金融市场业务状况表!L28</f>
        <v>3680179040</v>
      </c>
      <c r="M34">
        <f>B01企业金融业务状况表!M28+B02金融市场业务状况表!M28</f>
        <v>3782803646</v>
      </c>
      <c r="N34">
        <f>B01企业金融业务状况表!N28+B02金融市场业务状况表!N28</f>
        <v>3856578509</v>
      </c>
      <c r="O34">
        <f>B01企业金融业务状况表!O28+B02金融市场业务状况表!O28</f>
        <v>3783904078</v>
      </c>
      <c r="P34">
        <f>B01企业金融业务状况表!P28+B02金融市场业务状况表!P28</f>
        <v>3696254550</v>
      </c>
      <c r="Q34">
        <f>B01企业金融业务状况表!Q28+B02金融市场业务状况表!Q28</f>
        <v>3787205399</v>
      </c>
      <c r="R34">
        <f>B01企业金融业务状况表!R28+B02金融市场业务状况表!R28</f>
        <v>3743380578</v>
      </c>
      <c r="S34">
        <f>B01企业金融业务状况表!S28+B02金融市场业务状况表!S28</f>
        <v>3932554235</v>
      </c>
    </row>
    <row r="35" spans="1:19">
      <c r="A35" t="s">
        <v>19</v>
      </c>
      <c r="B35" t="s">
        <v>35</v>
      </c>
      <c r="C35" t="s">
        <v>1935</v>
      </c>
      <c r="D35" t="s">
        <v>81</v>
      </c>
      <c r="G35">
        <f t="shared" si="0"/>
        <v>340000000</v>
      </c>
      <c r="H35">
        <f>B01企业金融业务状况表!H29+B02金融市场业务状况表!H29</f>
        <v>23800000</v>
      </c>
      <c r="I35">
        <f>B01企业金融业务状况表!I29+B02金融市场业务状况表!I29</f>
        <v>22100000</v>
      </c>
      <c r="J35">
        <f>B01企业金融业务状况表!J29+B02金融市场业务状况表!J29</f>
        <v>26520000</v>
      </c>
      <c r="K35">
        <f>B01企业金融业务状况表!K29+B02金融市场业务状况表!K29</f>
        <v>27200000</v>
      </c>
      <c r="L35">
        <f>B01企业金融业务状况表!L29+B02金融市场业务状况表!L29</f>
        <v>27880000</v>
      </c>
      <c r="M35">
        <f>B01企业金融业务状况表!M29+B02金融市场业务状况表!M29</f>
        <v>28900000</v>
      </c>
      <c r="N35">
        <f>B01企业金融业务状况表!N29+B02金融市场业务状况表!N29</f>
        <v>29920000</v>
      </c>
      <c r="O35">
        <f>B01企业金融业务状况表!O29+B02金融市场业务状况表!O29</f>
        <v>29580000</v>
      </c>
      <c r="P35">
        <f>B01企业金融业务状况表!P29+B02金融市场业务状况表!P29</f>
        <v>28900000</v>
      </c>
      <c r="Q35">
        <f>B01企业金融业务状况表!Q29+B02金融市场业务状况表!Q29</f>
        <v>31620000</v>
      </c>
      <c r="R35">
        <f>B01企业金融业务状况表!R29+B02金融市场业务状况表!R29</f>
        <v>31280000</v>
      </c>
      <c r="S35">
        <f>B01企业金融业务状况表!S29+B02金融市场业务状况表!S29</f>
        <v>32300000</v>
      </c>
    </row>
    <row r="36" spans="1:19">
      <c r="A36" t="s">
        <v>19</v>
      </c>
      <c r="B36" t="s">
        <v>77</v>
      </c>
      <c r="C36" t="s">
        <v>1936</v>
      </c>
      <c r="D36" t="s">
        <v>83</v>
      </c>
      <c r="G36">
        <f t="shared" si="0"/>
        <v>43824396060</v>
      </c>
      <c r="H36">
        <f>B01企业金融业务状况表!H30+B02金融市场业务状况表!H30</f>
        <v>3211935574</v>
      </c>
      <c r="I36">
        <f>B01企业金融业务状况表!I30+B02金融市场业务状况表!I30</f>
        <v>3223341212</v>
      </c>
      <c r="J36">
        <f>B01企业金融业务状况表!J30+B02金融市场业务状况表!J30</f>
        <v>3533729727</v>
      </c>
      <c r="K36">
        <f>B01企业金融业务状况表!K30+B02金融市场业务状况表!K30</f>
        <v>3592529512</v>
      </c>
      <c r="L36">
        <f>B01企业金融业务状况表!L30+B02金融市场业务状况表!L30</f>
        <v>3680179040</v>
      </c>
      <c r="M36">
        <f>B01企业金融业务状况表!M30+B02金融市场业务状况表!M30</f>
        <v>3782803646</v>
      </c>
      <c r="N36">
        <f>B01企业金融业务状况表!N30+B02金融市场业务状况表!N30</f>
        <v>3856578509</v>
      </c>
      <c r="O36">
        <f>B01企业金融业务状况表!O30+B02金融市场业务状况表!O30</f>
        <v>3783904078</v>
      </c>
      <c r="P36">
        <f>B01企业金融业务状况表!P30+B02金融市场业务状况表!P30</f>
        <v>3696254550</v>
      </c>
      <c r="Q36">
        <f>B01企业金融业务状况表!Q30+B02金融市场业务状况表!Q30</f>
        <v>3787205399</v>
      </c>
      <c r="R36">
        <f>B01企业金融业务状况表!R30+B02金融市场业务状况表!R30</f>
        <v>3743380578</v>
      </c>
      <c r="S36">
        <f>B01企业金融业务状况表!S30+B02金融市场业务状况表!S30</f>
        <v>3932554235</v>
      </c>
    </row>
    <row r="37" spans="1:19">
      <c r="A37" t="s">
        <v>19</v>
      </c>
      <c r="B37" t="s">
        <v>84</v>
      </c>
      <c r="C37" t="s">
        <v>1937</v>
      </c>
      <c r="D37" t="s">
        <v>86</v>
      </c>
      <c r="G37">
        <f t="shared" si="0"/>
        <v>14832636444</v>
      </c>
      <c r="H37">
        <f t="shared" ref="H37:S37" si="8">H38+H41+H42+H43</f>
        <v>1103697259</v>
      </c>
      <c r="I37">
        <f t="shared" si="8"/>
        <v>1140925529</v>
      </c>
      <c r="J37">
        <f t="shared" si="8"/>
        <v>1210300843</v>
      </c>
      <c r="K37">
        <f t="shared" si="8"/>
        <v>1226578246</v>
      </c>
      <c r="L37">
        <f t="shared" si="8"/>
        <v>1256260583</v>
      </c>
      <c r="M37">
        <f t="shared" si="8"/>
        <v>1287379157</v>
      </c>
      <c r="N37">
        <f t="shared" si="8"/>
        <v>1305123798</v>
      </c>
      <c r="O37">
        <f t="shared" si="8"/>
        <v>1276908695</v>
      </c>
      <c r="P37">
        <f t="shared" si="8"/>
        <v>1247257358</v>
      </c>
      <c r="Q37">
        <f t="shared" si="8"/>
        <v>1245528317</v>
      </c>
      <c r="R37">
        <f t="shared" si="8"/>
        <v>1230718144</v>
      </c>
      <c r="S37">
        <f t="shared" si="8"/>
        <v>1301958515</v>
      </c>
    </row>
    <row r="38" spans="1:19">
      <c r="A38" t="s">
        <v>23</v>
      </c>
      <c r="B38" t="s">
        <v>84</v>
      </c>
      <c r="C38" t="s">
        <v>1938</v>
      </c>
      <c r="D38" t="s">
        <v>88</v>
      </c>
      <c r="G38">
        <f t="shared" si="0"/>
        <v>14451066447</v>
      </c>
      <c r="H38">
        <f t="shared" ref="H38:S38" si="9">H39+H40</f>
        <v>1077957259</v>
      </c>
      <c r="I38">
        <f t="shared" si="9"/>
        <v>1112245529</v>
      </c>
      <c r="J38">
        <f t="shared" si="9"/>
        <v>1180300843</v>
      </c>
      <c r="K38">
        <f t="shared" si="9"/>
        <v>1195918246</v>
      </c>
      <c r="L38">
        <f t="shared" si="9"/>
        <v>1224820583</v>
      </c>
      <c r="M38">
        <f t="shared" si="9"/>
        <v>1254889157</v>
      </c>
      <c r="N38">
        <f t="shared" si="9"/>
        <v>1271673798</v>
      </c>
      <c r="O38">
        <f t="shared" si="9"/>
        <v>1243938695</v>
      </c>
      <c r="P38">
        <f t="shared" si="9"/>
        <v>1215037358</v>
      </c>
      <c r="Q38">
        <f t="shared" si="9"/>
        <v>1211088317</v>
      </c>
      <c r="R38">
        <f t="shared" si="9"/>
        <v>1196638147</v>
      </c>
      <c r="S38">
        <f t="shared" si="9"/>
        <v>1266558515</v>
      </c>
    </row>
    <row r="39" spans="1:19">
      <c r="A39" t="s">
        <v>26</v>
      </c>
      <c r="B39" t="s">
        <v>84</v>
      </c>
      <c r="C39" t="s">
        <v>1939</v>
      </c>
      <c r="D39" t="s">
        <v>90</v>
      </c>
      <c r="G39">
        <f t="shared" si="0"/>
        <v>12719000</v>
      </c>
      <c r="H39">
        <v>858000</v>
      </c>
      <c r="I39">
        <v>956000</v>
      </c>
      <c r="J39">
        <v>1000000</v>
      </c>
      <c r="K39">
        <v>1022000</v>
      </c>
      <c r="L39">
        <v>1048000</v>
      </c>
      <c r="M39">
        <v>1083000</v>
      </c>
      <c r="N39">
        <v>1115000</v>
      </c>
      <c r="O39">
        <v>1099000</v>
      </c>
      <c r="P39">
        <v>1074000</v>
      </c>
      <c r="Q39">
        <v>1148000</v>
      </c>
      <c r="R39">
        <v>1136000</v>
      </c>
      <c r="S39">
        <v>1180000</v>
      </c>
    </row>
    <row r="40" spans="1:19">
      <c r="A40" t="s">
        <v>26</v>
      </c>
      <c r="B40" t="s">
        <v>84</v>
      </c>
      <c r="C40" t="s">
        <v>1940</v>
      </c>
      <c r="D40" t="s">
        <v>96</v>
      </c>
      <c r="G40">
        <f t="shared" si="0"/>
        <v>14438347447</v>
      </c>
      <c r="H40">
        <f>B01企业金融业务状况表!H36+B02金融市场业务状况表!H33</f>
        <v>1077099259</v>
      </c>
      <c r="I40">
        <f>B01企业金融业务状况表!I36+B02金融市场业务状况表!I33</f>
        <v>1111289529</v>
      </c>
      <c r="J40">
        <f>B01企业金融业务状况表!J36+B02金融市场业务状况表!J33</f>
        <v>1179300843</v>
      </c>
      <c r="K40">
        <f>B01企业金融业务状况表!K36+B02金融市场业务状况表!K33</f>
        <v>1194896246</v>
      </c>
      <c r="L40">
        <f>B01企业金融业务状况表!L36+B02金融市场业务状况表!L33</f>
        <v>1223772583</v>
      </c>
      <c r="M40">
        <f>B01企业金融业务状况表!M36+B02金融市场业务状况表!M33</f>
        <v>1253806157</v>
      </c>
      <c r="N40">
        <f>B01企业金融业务状况表!N36+B02金融市场业务状况表!N33</f>
        <v>1270558798</v>
      </c>
      <c r="O40">
        <f>B01企业金融业务状况表!O36+B02金融市场业务状况表!O33</f>
        <v>1242839695</v>
      </c>
      <c r="P40">
        <f>B01企业金融业务状况表!P36+B02金融市场业务状况表!P33</f>
        <v>1213963358</v>
      </c>
      <c r="Q40">
        <f>B01企业金融业务状况表!Q36+B02金融市场业务状况表!Q33</f>
        <v>1209940317</v>
      </c>
      <c r="R40">
        <f>B01企业金融业务状况表!R36+B02金融市场业务状况表!R33</f>
        <v>1195502147</v>
      </c>
      <c r="S40">
        <f>B01企业金融业务状况表!S36+B02金融市场业务状况表!S33</f>
        <v>1265378515</v>
      </c>
    </row>
    <row r="41" spans="1:19">
      <c r="A41" t="s">
        <v>23</v>
      </c>
      <c r="B41" t="s">
        <v>84</v>
      </c>
      <c r="C41" t="s">
        <v>1941</v>
      </c>
      <c r="D41" t="s">
        <v>102</v>
      </c>
      <c r="G41">
        <f t="shared" si="0"/>
        <v>127189999</v>
      </c>
      <c r="H41">
        <v>8580000</v>
      </c>
      <c r="I41">
        <v>9560000</v>
      </c>
      <c r="J41">
        <v>10000000</v>
      </c>
      <c r="K41">
        <v>10220000</v>
      </c>
      <c r="L41">
        <v>10480000</v>
      </c>
      <c r="M41">
        <v>10830000</v>
      </c>
      <c r="N41">
        <v>11150000</v>
      </c>
      <c r="O41">
        <v>10990000</v>
      </c>
      <c r="P41">
        <v>10740000</v>
      </c>
      <c r="Q41">
        <v>11480000</v>
      </c>
      <c r="R41">
        <v>11359999</v>
      </c>
      <c r="S41">
        <v>11800000</v>
      </c>
    </row>
    <row r="42" spans="1:19">
      <c r="A42" t="s">
        <v>23</v>
      </c>
      <c r="B42" t="s">
        <v>84</v>
      </c>
      <c r="C42" t="s">
        <v>1942</v>
      </c>
      <c r="D42" t="s">
        <v>104</v>
      </c>
      <c r="G42">
        <f t="shared" si="0"/>
        <v>127189999</v>
      </c>
      <c r="H42">
        <v>8580000</v>
      </c>
      <c r="I42">
        <v>9560000</v>
      </c>
      <c r="J42">
        <v>10000000</v>
      </c>
      <c r="K42">
        <v>10220000</v>
      </c>
      <c r="L42">
        <v>10480000</v>
      </c>
      <c r="M42">
        <v>10830000</v>
      </c>
      <c r="N42">
        <v>11150000</v>
      </c>
      <c r="O42">
        <v>10990000</v>
      </c>
      <c r="P42">
        <v>10740000</v>
      </c>
      <c r="Q42">
        <v>11480000</v>
      </c>
      <c r="R42">
        <v>11359999</v>
      </c>
      <c r="S42">
        <v>11800000</v>
      </c>
    </row>
    <row r="43" spans="1:19">
      <c r="A43" t="s">
        <v>23</v>
      </c>
      <c r="B43" t="s">
        <v>84</v>
      </c>
      <c r="C43" t="s">
        <v>1943</v>
      </c>
      <c r="D43" t="s">
        <v>112</v>
      </c>
      <c r="G43">
        <f t="shared" si="0"/>
        <v>127189999</v>
      </c>
      <c r="H43">
        <v>8580000</v>
      </c>
      <c r="I43">
        <v>9560000</v>
      </c>
      <c r="J43">
        <v>10000000</v>
      </c>
      <c r="K43">
        <v>10220000</v>
      </c>
      <c r="L43">
        <v>10480000</v>
      </c>
      <c r="M43">
        <v>10830000</v>
      </c>
      <c r="N43">
        <v>11150000</v>
      </c>
      <c r="O43">
        <v>10990000</v>
      </c>
      <c r="P43">
        <v>10740000</v>
      </c>
      <c r="Q43">
        <v>11480000</v>
      </c>
      <c r="R43">
        <v>11359999</v>
      </c>
      <c r="S43">
        <v>11800000</v>
      </c>
    </row>
    <row r="44" spans="1:19">
      <c r="A44" t="s">
        <v>19</v>
      </c>
      <c r="B44" t="s">
        <v>113</v>
      </c>
      <c r="C44" t="s">
        <v>1944</v>
      </c>
      <c r="D44" t="s">
        <v>115</v>
      </c>
      <c r="G44">
        <f t="shared" si="0"/>
        <v>4421454840</v>
      </c>
      <c r="H44">
        <f t="shared" ref="H44:S44" si="10">H45+H48+H49+H50</f>
        <v>322516115</v>
      </c>
      <c r="I44">
        <f t="shared" si="10"/>
        <v>327934445</v>
      </c>
      <c r="J44">
        <f t="shared" si="10"/>
        <v>356315267</v>
      </c>
      <c r="K44">
        <f t="shared" si="10"/>
        <v>362249584</v>
      </c>
      <c r="L44">
        <f t="shared" si="10"/>
        <v>371109645</v>
      </c>
      <c r="M44">
        <f t="shared" si="10"/>
        <v>381473995</v>
      </c>
      <c r="N44">
        <f t="shared" si="10"/>
        <v>388943606</v>
      </c>
      <c r="O44">
        <f t="shared" si="10"/>
        <v>381618835</v>
      </c>
      <c r="P44">
        <f t="shared" si="10"/>
        <v>372789774</v>
      </c>
      <c r="Q44">
        <f t="shared" si="10"/>
        <v>382084359</v>
      </c>
      <c r="R44">
        <f t="shared" si="10"/>
        <v>377685322</v>
      </c>
      <c r="S44">
        <f t="shared" si="10"/>
        <v>396733893</v>
      </c>
    </row>
    <row r="45" spans="1:19">
      <c r="A45" t="s">
        <v>23</v>
      </c>
      <c r="B45" t="s">
        <v>113</v>
      </c>
      <c r="C45" t="s">
        <v>1945</v>
      </c>
      <c r="D45" t="s">
        <v>117</v>
      </c>
      <c r="G45">
        <f t="shared" si="0"/>
        <v>4039884843</v>
      </c>
      <c r="H45">
        <f t="shared" ref="H45:S45" si="11">H46+H47</f>
        <v>296776115</v>
      </c>
      <c r="I45">
        <f t="shared" si="11"/>
        <v>299254445</v>
      </c>
      <c r="J45">
        <f t="shared" si="11"/>
        <v>326315267</v>
      </c>
      <c r="K45">
        <f t="shared" si="11"/>
        <v>331589584</v>
      </c>
      <c r="L45">
        <f t="shared" si="11"/>
        <v>339669645</v>
      </c>
      <c r="M45">
        <f t="shared" si="11"/>
        <v>348983995</v>
      </c>
      <c r="N45">
        <f t="shared" si="11"/>
        <v>355493606</v>
      </c>
      <c r="O45">
        <f t="shared" si="11"/>
        <v>348648835</v>
      </c>
      <c r="P45">
        <f t="shared" si="11"/>
        <v>340569774</v>
      </c>
      <c r="Q45">
        <f t="shared" si="11"/>
        <v>347644359</v>
      </c>
      <c r="R45">
        <f t="shared" si="11"/>
        <v>343605325</v>
      </c>
      <c r="S45">
        <f t="shared" si="11"/>
        <v>361333893</v>
      </c>
    </row>
    <row r="46" spans="1:19">
      <c r="A46" t="s">
        <v>26</v>
      </c>
      <c r="B46" t="s">
        <v>113</v>
      </c>
      <c r="C46" t="s">
        <v>1946</v>
      </c>
      <c r="D46" t="s">
        <v>90</v>
      </c>
      <c r="G46">
        <f t="shared" si="0"/>
        <v>12719000</v>
      </c>
      <c r="H46">
        <v>858000</v>
      </c>
      <c r="I46">
        <v>956000</v>
      </c>
      <c r="J46">
        <v>1000000</v>
      </c>
      <c r="K46">
        <v>1022000</v>
      </c>
      <c r="L46">
        <v>1048000</v>
      </c>
      <c r="M46">
        <v>1083000</v>
      </c>
      <c r="N46">
        <v>1115000</v>
      </c>
      <c r="O46">
        <v>1099000</v>
      </c>
      <c r="P46">
        <v>1074000</v>
      </c>
      <c r="Q46">
        <v>1148000</v>
      </c>
      <c r="R46">
        <v>1136000</v>
      </c>
      <c r="S46">
        <v>1180000</v>
      </c>
    </row>
    <row r="47" spans="1:19">
      <c r="A47" t="s">
        <v>26</v>
      </c>
      <c r="B47" t="s">
        <v>113</v>
      </c>
      <c r="C47" t="s">
        <v>1947</v>
      </c>
      <c r="D47" t="s">
        <v>96</v>
      </c>
      <c r="G47">
        <f t="shared" si="0"/>
        <v>4027165843</v>
      </c>
      <c r="H47">
        <f>B01企业金融业务状况表!H50+B02金融市场业务状况表!H36</f>
        <v>295918115</v>
      </c>
      <c r="I47">
        <f>B01企业金融业务状况表!I50+B02金融市场业务状况表!I36</f>
        <v>298298445</v>
      </c>
      <c r="J47">
        <f>B01企业金融业务状况表!J50+B02金融市场业务状况表!J36</f>
        <v>325315267</v>
      </c>
      <c r="K47">
        <f>B01企业金融业务状况表!K50+B02金融市场业务状况表!K36</f>
        <v>330567584</v>
      </c>
      <c r="L47">
        <f>B01企业金融业务状况表!L50+B02金融市场业务状况表!L36</f>
        <v>338621645</v>
      </c>
      <c r="M47">
        <f>B01企业金融业务状况表!M50+B02金融市场业务状况表!M36</f>
        <v>347900995</v>
      </c>
      <c r="N47">
        <f>B01企业金融业务状况表!N50+B02金融市场业务状况表!N36</f>
        <v>354378606</v>
      </c>
      <c r="O47">
        <f>B01企业金融业务状况表!O50+B02金融市场业务状况表!O36</f>
        <v>347549835</v>
      </c>
      <c r="P47">
        <f>B01企业金融业务状况表!P50+B02金融市场业务状况表!P36</f>
        <v>339495774</v>
      </c>
      <c r="Q47">
        <f>B01企业金融业务状况表!Q50+B02金融市场业务状况表!Q36</f>
        <v>346496359</v>
      </c>
      <c r="R47">
        <f>B01企业金融业务状况表!R50+B02金融市场业务状况表!R36</f>
        <v>342469325</v>
      </c>
      <c r="S47">
        <f>B01企业金融业务状况表!S50+B02金融市场业务状况表!S36</f>
        <v>360153893</v>
      </c>
    </row>
    <row r="48" spans="1:19">
      <c r="A48" t="s">
        <v>23</v>
      </c>
      <c r="B48" t="s">
        <v>113</v>
      </c>
      <c r="C48" t="s">
        <v>1948</v>
      </c>
      <c r="D48" t="s">
        <v>102</v>
      </c>
      <c r="G48">
        <f t="shared" si="0"/>
        <v>127189999</v>
      </c>
      <c r="H48">
        <v>8580000</v>
      </c>
      <c r="I48">
        <v>9560000</v>
      </c>
      <c r="J48">
        <v>10000000</v>
      </c>
      <c r="K48">
        <v>10220000</v>
      </c>
      <c r="L48">
        <v>10480000</v>
      </c>
      <c r="M48">
        <v>10830000</v>
      </c>
      <c r="N48">
        <v>11150000</v>
      </c>
      <c r="O48">
        <v>10990000</v>
      </c>
      <c r="P48">
        <v>10740000</v>
      </c>
      <c r="Q48">
        <v>11480000</v>
      </c>
      <c r="R48">
        <v>11359999</v>
      </c>
      <c r="S48">
        <v>11800000</v>
      </c>
    </row>
    <row r="49" spans="1:19">
      <c r="A49" t="s">
        <v>23</v>
      </c>
      <c r="B49" t="s">
        <v>113</v>
      </c>
      <c r="C49" t="s">
        <v>1949</v>
      </c>
      <c r="D49" t="s">
        <v>104</v>
      </c>
      <c r="G49">
        <f t="shared" si="0"/>
        <v>127189999</v>
      </c>
      <c r="H49">
        <v>8580000</v>
      </c>
      <c r="I49">
        <v>9560000</v>
      </c>
      <c r="J49">
        <v>10000000</v>
      </c>
      <c r="K49">
        <v>10220000</v>
      </c>
      <c r="L49">
        <v>10480000</v>
      </c>
      <c r="M49">
        <v>10830000</v>
      </c>
      <c r="N49">
        <v>11150000</v>
      </c>
      <c r="O49">
        <v>10990000</v>
      </c>
      <c r="P49">
        <v>10740000</v>
      </c>
      <c r="Q49">
        <v>11480000</v>
      </c>
      <c r="R49">
        <v>11359999</v>
      </c>
      <c r="S49">
        <v>11800000</v>
      </c>
    </row>
    <row r="50" spans="1:19">
      <c r="A50" t="s">
        <v>23</v>
      </c>
      <c r="B50" t="s">
        <v>113</v>
      </c>
      <c r="C50" t="s">
        <v>1950</v>
      </c>
      <c r="D50" t="s">
        <v>112</v>
      </c>
      <c r="G50">
        <f t="shared" si="0"/>
        <v>127189999</v>
      </c>
      <c r="H50">
        <v>8580000</v>
      </c>
      <c r="I50">
        <v>9560000</v>
      </c>
      <c r="J50">
        <v>10000000</v>
      </c>
      <c r="K50">
        <v>10220000</v>
      </c>
      <c r="L50">
        <v>10480000</v>
      </c>
      <c r="M50">
        <v>10830000</v>
      </c>
      <c r="N50">
        <v>11150000</v>
      </c>
      <c r="O50">
        <v>10990000</v>
      </c>
      <c r="P50">
        <v>10740000</v>
      </c>
      <c r="Q50">
        <v>11480000</v>
      </c>
      <c r="R50">
        <v>11359999</v>
      </c>
      <c r="S50">
        <v>11800000</v>
      </c>
    </row>
    <row r="51" spans="1:19">
      <c r="A51" t="s">
        <v>19</v>
      </c>
      <c r="B51" t="s">
        <v>130</v>
      </c>
      <c r="C51" t="s">
        <v>1951</v>
      </c>
      <c r="D51" t="s">
        <v>132</v>
      </c>
      <c r="G51">
        <f t="shared" si="0"/>
        <v>254379998</v>
      </c>
      <c r="H51">
        <f t="shared" ref="H51:S51" si="12">H52+H53</f>
        <v>17160000</v>
      </c>
      <c r="I51">
        <f t="shared" si="12"/>
        <v>19120000</v>
      </c>
      <c r="J51">
        <f t="shared" si="12"/>
        <v>20000000</v>
      </c>
      <c r="K51">
        <f t="shared" si="12"/>
        <v>20440000</v>
      </c>
      <c r="L51">
        <f t="shared" si="12"/>
        <v>20960000</v>
      </c>
      <c r="M51">
        <f t="shared" si="12"/>
        <v>21660000</v>
      </c>
      <c r="N51">
        <f t="shared" si="12"/>
        <v>22300000</v>
      </c>
      <c r="O51">
        <f t="shared" si="12"/>
        <v>21980000</v>
      </c>
      <c r="P51">
        <f t="shared" si="12"/>
        <v>21480000</v>
      </c>
      <c r="Q51">
        <f t="shared" si="12"/>
        <v>22960000</v>
      </c>
      <c r="R51">
        <f t="shared" si="12"/>
        <v>22719998</v>
      </c>
      <c r="S51">
        <f t="shared" si="12"/>
        <v>23600000</v>
      </c>
    </row>
    <row r="52" spans="1:19">
      <c r="A52" t="s">
        <v>23</v>
      </c>
      <c r="B52" t="s">
        <v>130</v>
      </c>
      <c r="C52" t="s">
        <v>1952</v>
      </c>
      <c r="D52" t="s">
        <v>134</v>
      </c>
      <c r="G52">
        <f t="shared" si="0"/>
        <v>127189999</v>
      </c>
      <c r="H52">
        <v>8580000</v>
      </c>
      <c r="I52">
        <v>9560000</v>
      </c>
      <c r="J52">
        <v>10000000</v>
      </c>
      <c r="K52">
        <v>10220000</v>
      </c>
      <c r="L52">
        <v>10480000</v>
      </c>
      <c r="M52">
        <v>10830000</v>
      </c>
      <c r="N52">
        <v>11150000</v>
      </c>
      <c r="O52">
        <v>10990000</v>
      </c>
      <c r="P52">
        <v>10740000</v>
      </c>
      <c r="Q52">
        <v>11480000</v>
      </c>
      <c r="R52">
        <v>11359999</v>
      </c>
      <c r="S52">
        <v>11800000</v>
      </c>
    </row>
    <row r="53" spans="1:19">
      <c r="A53" t="s">
        <v>23</v>
      </c>
      <c r="B53" t="s">
        <v>130</v>
      </c>
      <c r="C53" t="s">
        <v>1953</v>
      </c>
      <c r="D53" t="s">
        <v>140</v>
      </c>
      <c r="G53">
        <f t="shared" si="0"/>
        <v>127189999</v>
      </c>
      <c r="H53">
        <v>8580000</v>
      </c>
      <c r="I53">
        <v>9560000</v>
      </c>
      <c r="J53">
        <v>10000000</v>
      </c>
      <c r="K53">
        <v>10220000</v>
      </c>
      <c r="L53">
        <v>10480000</v>
      </c>
      <c r="M53">
        <v>10830000</v>
      </c>
      <c r="N53">
        <v>11150000</v>
      </c>
      <c r="O53">
        <v>10990000</v>
      </c>
      <c r="P53">
        <v>10740000</v>
      </c>
      <c r="Q53">
        <v>11480000</v>
      </c>
      <c r="R53">
        <v>11359999</v>
      </c>
      <c r="S53">
        <v>11800000</v>
      </c>
    </row>
    <row r="54" spans="1:19">
      <c r="A54" t="s">
        <v>19</v>
      </c>
      <c r="B54" t="s">
        <v>130</v>
      </c>
      <c r="C54" t="s">
        <v>1954</v>
      </c>
      <c r="D54" t="s">
        <v>142</v>
      </c>
      <c r="G54">
        <f t="shared" si="0"/>
        <v>254379998</v>
      </c>
      <c r="H54">
        <f t="shared" ref="H54:S54" si="13">H55+H56</f>
        <v>17160000</v>
      </c>
      <c r="I54">
        <f t="shared" si="13"/>
        <v>19120000</v>
      </c>
      <c r="J54">
        <f t="shared" si="13"/>
        <v>20000000</v>
      </c>
      <c r="K54">
        <f t="shared" si="13"/>
        <v>20440000</v>
      </c>
      <c r="L54">
        <f t="shared" si="13"/>
        <v>20960000</v>
      </c>
      <c r="M54">
        <f t="shared" si="13"/>
        <v>21660000</v>
      </c>
      <c r="N54">
        <f t="shared" si="13"/>
        <v>22300000</v>
      </c>
      <c r="O54">
        <f t="shared" si="13"/>
        <v>21980000</v>
      </c>
      <c r="P54">
        <f t="shared" si="13"/>
        <v>21480000</v>
      </c>
      <c r="Q54">
        <f t="shared" si="13"/>
        <v>22960000</v>
      </c>
      <c r="R54">
        <f t="shared" si="13"/>
        <v>22719998</v>
      </c>
      <c r="S54">
        <f t="shared" si="13"/>
        <v>23600000</v>
      </c>
    </row>
    <row r="55" spans="1:19">
      <c r="A55" t="s">
        <v>23</v>
      </c>
      <c r="B55" t="s">
        <v>143</v>
      </c>
      <c r="C55" t="s">
        <v>1955</v>
      </c>
      <c r="D55" t="s">
        <v>145</v>
      </c>
      <c r="G55">
        <f t="shared" si="0"/>
        <v>127189999</v>
      </c>
      <c r="H55">
        <v>8580000</v>
      </c>
      <c r="I55">
        <v>9560000</v>
      </c>
      <c r="J55">
        <v>10000000</v>
      </c>
      <c r="K55">
        <v>10220000</v>
      </c>
      <c r="L55">
        <v>10480000</v>
      </c>
      <c r="M55">
        <v>10830000</v>
      </c>
      <c r="N55">
        <v>11150000</v>
      </c>
      <c r="O55">
        <v>10990000</v>
      </c>
      <c r="P55">
        <v>10740000</v>
      </c>
      <c r="Q55">
        <v>11480000</v>
      </c>
      <c r="R55">
        <v>11359999</v>
      </c>
      <c r="S55">
        <v>11800000</v>
      </c>
    </row>
    <row r="56" spans="1:19">
      <c r="A56" t="s">
        <v>23</v>
      </c>
      <c r="B56" t="s">
        <v>143</v>
      </c>
      <c r="C56" t="s">
        <v>1956</v>
      </c>
      <c r="D56" t="s">
        <v>149</v>
      </c>
      <c r="G56">
        <f t="shared" si="0"/>
        <v>127189999</v>
      </c>
      <c r="H56">
        <v>8580000</v>
      </c>
      <c r="I56">
        <v>9560000</v>
      </c>
      <c r="J56">
        <v>10000000</v>
      </c>
      <c r="K56">
        <v>10220000</v>
      </c>
      <c r="L56">
        <v>10480000</v>
      </c>
      <c r="M56">
        <v>10830000</v>
      </c>
      <c r="N56">
        <v>11150000</v>
      </c>
      <c r="O56">
        <v>10990000</v>
      </c>
      <c r="P56">
        <v>10740000</v>
      </c>
      <c r="Q56">
        <v>11480000</v>
      </c>
      <c r="R56">
        <v>11359999</v>
      </c>
      <c r="S56">
        <v>11800000</v>
      </c>
    </row>
    <row r="57" spans="1:19">
      <c r="A57" t="s">
        <v>19</v>
      </c>
      <c r="B57" t="s">
        <v>393</v>
      </c>
      <c r="C57" t="s">
        <v>1957</v>
      </c>
      <c r="D57" t="s">
        <v>395</v>
      </c>
      <c r="G57">
        <f t="shared" si="0"/>
        <v>23334609966</v>
      </c>
      <c r="H57">
        <f t="shared" ref="H57:S57" si="14">H58+H74</f>
        <v>1709119954</v>
      </c>
      <c r="I57">
        <f t="shared" si="14"/>
        <v>1714205020</v>
      </c>
      <c r="J57">
        <f t="shared" si="14"/>
        <v>1880536580</v>
      </c>
      <c r="K57">
        <f t="shared" si="14"/>
        <v>1912075568</v>
      </c>
      <c r="L57">
        <f t="shared" si="14"/>
        <v>1958742844</v>
      </c>
      <c r="M57">
        <f t="shared" si="14"/>
        <v>2013615482</v>
      </c>
      <c r="N57">
        <f t="shared" si="14"/>
        <v>2053359846</v>
      </c>
      <c r="O57">
        <f t="shared" si="14"/>
        <v>2014897930</v>
      </c>
      <c r="P57">
        <f t="shared" si="14"/>
        <v>1968230654</v>
      </c>
      <c r="Q57">
        <f t="shared" si="14"/>
        <v>2018745310</v>
      </c>
      <c r="R57">
        <f t="shared" si="14"/>
        <v>1995411668</v>
      </c>
      <c r="S57">
        <f t="shared" si="14"/>
        <v>2095669110</v>
      </c>
    </row>
    <row r="58" spans="1:19">
      <c r="A58" t="s">
        <v>23</v>
      </c>
      <c r="B58" t="s">
        <v>393</v>
      </c>
      <c r="C58" t="s">
        <v>1958</v>
      </c>
      <c r="D58" t="s">
        <v>397</v>
      </c>
      <c r="G58">
        <f t="shared" si="0"/>
        <v>11972304983</v>
      </c>
      <c r="H58">
        <f t="shared" ref="H58:S58" si="15">H59+H62+H65+H72+H73</f>
        <v>875909977</v>
      </c>
      <c r="I58">
        <f t="shared" si="15"/>
        <v>876927510</v>
      </c>
      <c r="J58">
        <f t="shared" si="15"/>
        <v>964058290</v>
      </c>
      <c r="K58">
        <f t="shared" si="15"/>
        <v>980437784</v>
      </c>
      <c r="L58">
        <f t="shared" si="15"/>
        <v>1004381422</v>
      </c>
      <c r="M58">
        <f t="shared" si="15"/>
        <v>1032732741</v>
      </c>
      <c r="N58">
        <f t="shared" si="15"/>
        <v>1053519923</v>
      </c>
      <c r="O58">
        <f t="shared" si="15"/>
        <v>1033983965</v>
      </c>
      <c r="P58">
        <f t="shared" si="15"/>
        <v>1010040327</v>
      </c>
      <c r="Q58">
        <f t="shared" si="15"/>
        <v>1037737655</v>
      </c>
      <c r="R58">
        <f t="shared" si="15"/>
        <v>1025765834</v>
      </c>
      <c r="S58">
        <f t="shared" si="15"/>
        <v>1076809555</v>
      </c>
    </row>
    <row r="59" spans="1:19">
      <c r="A59" t="s">
        <v>26</v>
      </c>
      <c r="B59" t="s">
        <v>393</v>
      </c>
      <c r="C59" t="s">
        <v>1959</v>
      </c>
      <c r="D59" t="s">
        <v>399</v>
      </c>
      <c r="G59">
        <f t="shared" si="0"/>
        <v>1237669474</v>
      </c>
      <c r="H59">
        <f t="shared" ref="H59:S59" si="16">H60+H61</f>
        <v>89419850</v>
      </c>
      <c r="I59">
        <f t="shared" si="16"/>
        <v>87707904</v>
      </c>
      <c r="J59">
        <f t="shared" si="16"/>
        <v>98760168</v>
      </c>
      <c r="K59">
        <f t="shared" si="16"/>
        <v>100679248</v>
      </c>
      <c r="L59">
        <f t="shared" si="16"/>
        <v>103154516</v>
      </c>
      <c r="M59">
        <f t="shared" si="16"/>
        <v>106311230</v>
      </c>
      <c r="N59">
        <f t="shared" si="16"/>
        <v>108911758</v>
      </c>
      <c r="O59">
        <f t="shared" si="16"/>
        <v>107117938</v>
      </c>
      <c r="P59">
        <f t="shared" si="16"/>
        <v>104642670</v>
      </c>
      <c r="Q59">
        <f t="shared" si="16"/>
        <v>109538062</v>
      </c>
      <c r="R59">
        <f t="shared" si="16"/>
        <v>108300428</v>
      </c>
      <c r="S59">
        <f t="shared" si="16"/>
        <v>113125702</v>
      </c>
    </row>
    <row r="60" spans="1:19">
      <c r="A60" t="s">
        <v>60</v>
      </c>
      <c r="B60" t="s">
        <v>393</v>
      </c>
      <c r="C60" t="s">
        <v>1960</v>
      </c>
      <c r="D60" t="s">
        <v>401</v>
      </c>
      <c r="G60">
        <f t="shared" si="0"/>
        <v>713834737</v>
      </c>
      <c r="H60">
        <f>B01企业金融业务状况表!H200+B02金融市场业务状况表!H243</f>
        <v>51359925</v>
      </c>
      <c r="I60">
        <f>B01企业金融业务状况表!I200+B02金融市场业务状况表!I243</f>
        <v>50028952</v>
      </c>
      <c r="J60">
        <f>B01企业金融业务状况表!J200+B02金融市场业务状况表!J243</f>
        <v>56790084</v>
      </c>
      <c r="K60">
        <f>B01企业金融业务状况表!K200+B02金融市场业务状况表!K243</f>
        <v>57939624</v>
      </c>
      <c r="L60">
        <f>B01企业金融业务状况表!L200+B02金融市场业务状况表!L243</f>
        <v>59367258</v>
      </c>
      <c r="M60">
        <f>B01企业金融业务状况表!M200+B02金融市场业务状况表!M243</f>
        <v>61230615</v>
      </c>
      <c r="N60">
        <f>B01企业金融业务状况表!N200+B02金融市场业务状况表!N243</f>
        <v>62815879</v>
      </c>
      <c r="O60">
        <f>B01企业金融业务状况表!O200+B02金融市场业务状况表!O243</f>
        <v>61823969</v>
      </c>
      <c r="P60">
        <f>B01企业金融业务状况表!P200+B02金融市场业务状况表!P243</f>
        <v>60396335</v>
      </c>
      <c r="Q60">
        <f>B01企业金融业务状况表!Q200+B02金融市场业务状况表!Q243</f>
        <v>63604031</v>
      </c>
      <c r="R60">
        <f>B01企业金融业务状况表!R200+B02金融市场业务状况表!R243</f>
        <v>62890214</v>
      </c>
      <c r="S60">
        <f>B01企业金融业务状况表!S200+B02金融市场业务状况表!S243</f>
        <v>65587851</v>
      </c>
    </row>
    <row r="61" spans="1:19">
      <c r="A61" t="s">
        <v>60</v>
      </c>
      <c r="B61" t="s">
        <v>393</v>
      </c>
      <c r="C61" t="s">
        <v>1961</v>
      </c>
      <c r="D61" t="s">
        <v>49</v>
      </c>
      <c r="G61">
        <f t="shared" si="0"/>
        <v>523834737</v>
      </c>
      <c r="H61">
        <f>B01企业金融业务状况表!H201+B02金融市场业务状况表!H244</f>
        <v>38059925</v>
      </c>
      <c r="I61">
        <f>B01企业金融业务状况表!I201+B02金融市场业务状况表!I244</f>
        <v>37678952</v>
      </c>
      <c r="J61">
        <f>B01企业金融业务状况表!J201+B02金融市场业务状况表!J244</f>
        <v>41970084</v>
      </c>
      <c r="K61">
        <f>B01企业金融业务状况表!K201+B02金融市场业务状况表!K244</f>
        <v>42739624</v>
      </c>
      <c r="L61">
        <f>B01企业金融业务状况表!L201+B02金融市场业务状况表!L244</f>
        <v>43787258</v>
      </c>
      <c r="M61">
        <f>B01企业金融业务状况表!M201+B02金融市场业务状况表!M244</f>
        <v>45080615</v>
      </c>
      <c r="N61">
        <f>B01企业金融业务状况表!N201+B02金融市场业务状况表!N244</f>
        <v>46095879</v>
      </c>
      <c r="O61">
        <f>B01企业金融业务状况表!O201+B02金融市场业务状况表!O244</f>
        <v>45293969</v>
      </c>
      <c r="P61">
        <f>B01企业金融业务状况表!P201+B02金融市场业务状况表!P244</f>
        <v>44246335</v>
      </c>
      <c r="Q61">
        <f>B01企业金融业务状况表!Q201+B02金融市场业务状况表!Q244</f>
        <v>45934031</v>
      </c>
      <c r="R61">
        <f>B01企业金融业务状况表!R201+B02金融市场业务状况表!R244</f>
        <v>45410214</v>
      </c>
      <c r="S61">
        <f>B01企业金融业务状况表!S201+B02金融市场业务状况表!S244</f>
        <v>47537851</v>
      </c>
    </row>
    <row r="62" spans="1:19">
      <c r="A62" t="s">
        <v>26</v>
      </c>
      <c r="B62" t="s">
        <v>393</v>
      </c>
      <c r="C62" t="s">
        <v>1962</v>
      </c>
      <c r="D62" t="s">
        <v>51</v>
      </c>
      <c r="G62">
        <f t="shared" si="0"/>
        <v>1147669474</v>
      </c>
      <c r="H62">
        <f t="shared" ref="H62:S62" si="17">H63+H64</f>
        <v>83119850</v>
      </c>
      <c r="I62">
        <f t="shared" si="17"/>
        <v>81857904</v>
      </c>
      <c r="J62">
        <f t="shared" si="17"/>
        <v>91740168</v>
      </c>
      <c r="K62">
        <f t="shared" si="17"/>
        <v>93479248</v>
      </c>
      <c r="L62">
        <f t="shared" si="17"/>
        <v>95774516</v>
      </c>
      <c r="M62">
        <f t="shared" si="17"/>
        <v>98661230</v>
      </c>
      <c r="N62">
        <f t="shared" si="17"/>
        <v>100991758</v>
      </c>
      <c r="O62">
        <f t="shared" si="17"/>
        <v>99287938</v>
      </c>
      <c r="P62">
        <f t="shared" si="17"/>
        <v>96992670</v>
      </c>
      <c r="Q62">
        <f t="shared" si="17"/>
        <v>101168062</v>
      </c>
      <c r="R62">
        <f t="shared" si="17"/>
        <v>100020428</v>
      </c>
      <c r="S62">
        <f t="shared" si="17"/>
        <v>104575702</v>
      </c>
    </row>
    <row r="63" spans="1:19">
      <c r="A63" t="s">
        <v>60</v>
      </c>
      <c r="B63" t="s">
        <v>393</v>
      </c>
      <c r="C63" t="s">
        <v>1963</v>
      </c>
      <c r="D63" t="s">
        <v>405</v>
      </c>
      <c r="G63">
        <f t="shared" si="0"/>
        <v>613834737</v>
      </c>
      <c r="H63">
        <f>B01企业金融业务状况表!H203+B02金融市场业务状况表!H246</f>
        <v>44359925</v>
      </c>
      <c r="I63">
        <f>B01企业金融业务状况表!I203+B02金融市场业务状况表!I246</f>
        <v>43528952</v>
      </c>
      <c r="J63">
        <f>B01企业金融业务状况表!J203+B02金融市场业务状况表!J246</f>
        <v>48990084</v>
      </c>
      <c r="K63">
        <f>B01企业金融业务状况表!K203+B02金融市场业务状况表!K246</f>
        <v>49939624</v>
      </c>
      <c r="L63">
        <f>B01企业金融业务状况表!L203+B02金融市场业务状况表!L246</f>
        <v>51167258</v>
      </c>
      <c r="M63">
        <f>B01企业金融业务状况表!M203+B02金融市场业务状况表!M246</f>
        <v>52730615</v>
      </c>
      <c r="N63">
        <f>B01企业金融业务状况表!N203+B02金融市场业务状况表!N246</f>
        <v>54015879</v>
      </c>
      <c r="O63">
        <f>B01企业金融业务状况表!O203+B02金融市场业务状况表!O246</f>
        <v>53123969</v>
      </c>
      <c r="P63">
        <f>B01企业金融业务状况表!P203+B02金融市场业务状况表!P246</f>
        <v>51896335</v>
      </c>
      <c r="Q63">
        <f>B01企业金融业务状况表!Q203+B02金融市场业务状况表!Q246</f>
        <v>54304031</v>
      </c>
      <c r="R63">
        <f>B01企业金融业务状况表!R203+B02金融市场业务状况表!R246</f>
        <v>53690214</v>
      </c>
      <c r="S63">
        <f>B01企业金融业务状况表!S203+B02金融市场业务状况表!S246</f>
        <v>56087851</v>
      </c>
    </row>
    <row r="64" spans="1:19">
      <c r="A64" t="s">
        <v>60</v>
      </c>
      <c r="B64" t="s">
        <v>393</v>
      </c>
      <c r="C64" t="s">
        <v>1964</v>
      </c>
      <c r="D64" t="s">
        <v>407</v>
      </c>
      <c r="G64">
        <f t="shared" si="0"/>
        <v>533834737</v>
      </c>
      <c r="H64">
        <f>B01企业金融业务状况表!H204+B02金融市场业务状况表!H247</f>
        <v>38759925</v>
      </c>
      <c r="I64">
        <f>B01企业金融业务状况表!I204+B02金融市场业务状况表!I247</f>
        <v>38328952</v>
      </c>
      <c r="J64">
        <f>B01企业金融业务状况表!J204+B02金融市场业务状况表!J247</f>
        <v>42750084</v>
      </c>
      <c r="K64">
        <f>B01企业金融业务状况表!K204+B02金融市场业务状况表!K247</f>
        <v>43539624</v>
      </c>
      <c r="L64">
        <f>B01企业金融业务状况表!L204+B02金融市场业务状况表!L247</f>
        <v>44607258</v>
      </c>
      <c r="M64">
        <f>B01企业金融业务状况表!M204+B02金融市场业务状况表!M247</f>
        <v>45930615</v>
      </c>
      <c r="N64">
        <f>B01企业金融业务状况表!N204+B02金融市场业务状况表!N247</f>
        <v>46975879</v>
      </c>
      <c r="O64">
        <f>B01企业金融业务状况表!O204+B02金融市场业务状况表!O247</f>
        <v>46163969</v>
      </c>
      <c r="P64">
        <f>B01企业金融业务状况表!P204+B02金融市场业务状况表!P247</f>
        <v>45096335</v>
      </c>
      <c r="Q64">
        <f>B01企业金融业务状况表!Q204+B02金融市场业务状况表!Q247</f>
        <v>46864031</v>
      </c>
      <c r="R64">
        <f>B01企业金融业务状况表!R204+B02金融市场业务状况表!R247</f>
        <v>46330214</v>
      </c>
      <c r="S64">
        <f>B01企业金融业务状况表!S204+B02金融市场业务状况表!S247</f>
        <v>48487851</v>
      </c>
    </row>
    <row r="65" spans="1:19">
      <c r="A65" t="s">
        <v>26</v>
      </c>
      <c r="B65" t="s">
        <v>393</v>
      </c>
      <c r="C65" t="s">
        <v>1965</v>
      </c>
      <c r="D65" t="s">
        <v>409</v>
      </c>
      <c r="G65">
        <f t="shared" si="0"/>
        <v>1530271141</v>
      </c>
      <c r="H65">
        <f t="shared" ref="H65:S65" si="18">H66+H69+H70+H71</f>
        <v>111571759</v>
      </c>
      <c r="I65">
        <f t="shared" si="18"/>
        <v>111082644</v>
      </c>
      <c r="J65">
        <f t="shared" si="18"/>
        <v>122916268</v>
      </c>
      <c r="K65">
        <f t="shared" si="18"/>
        <v>125086796</v>
      </c>
      <c r="L65">
        <f t="shared" si="18"/>
        <v>128147224</v>
      </c>
      <c r="M65">
        <f t="shared" si="18"/>
        <v>131847967</v>
      </c>
      <c r="N65">
        <f t="shared" si="18"/>
        <v>134658811</v>
      </c>
      <c r="O65">
        <f t="shared" si="18"/>
        <v>132238699</v>
      </c>
      <c r="P65">
        <f t="shared" si="18"/>
        <v>129178271</v>
      </c>
      <c r="Q65">
        <f t="shared" si="18"/>
        <v>133410897</v>
      </c>
      <c r="R65">
        <f t="shared" si="18"/>
        <v>131880684</v>
      </c>
      <c r="S65">
        <f t="shared" si="18"/>
        <v>138251121</v>
      </c>
    </row>
    <row r="66" spans="1:19">
      <c r="A66" t="s">
        <v>60</v>
      </c>
      <c r="B66" t="s">
        <v>393</v>
      </c>
      <c r="C66" t="s">
        <v>1966</v>
      </c>
      <c r="D66" t="s">
        <v>59</v>
      </c>
      <c r="G66">
        <f t="shared" ref="G66:G115" si="19">H66+I66+J66+K66+L66+M66+N66+O66+P66+Q66+R66+S66</f>
        <v>218766930</v>
      </c>
      <c r="H66">
        <f t="shared" ref="H66:S66" si="20">H67+H68</f>
        <v>15591984</v>
      </c>
      <c r="I66">
        <f t="shared" si="20"/>
        <v>14945788</v>
      </c>
      <c r="J66">
        <f t="shared" si="20"/>
        <v>17286016</v>
      </c>
      <c r="K66">
        <f t="shared" si="20"/>
        <v>17667924</v>
      </c>
      <c r="L66">
        <f t="shared" si="20"/>
        <v>18105450</v>
      </c>
      <c r="M66">
        <f t="shared" si="20"/>
        <v>18706122</v>
      </c>
      <c r="N66">
        <f t="shared" si="20"/>
        <v>19251174</v>
      </c>
      <c r="O66">
        <f t="shared" si="20"/>
        <v>18976792</v>
      </c>
      <c r="P66">
        <f t="shared" si="20"/>
        <v>18539266</v>
      </c>
      <c r="Q66">
        <f t="shared" si="20"/>
        <v>19788804</v>
      </c>
      <c r="R66">
        <f t="shared" si="20"/>
        <v>19570042</v>
      </c>
      <c r="S66">
        <f t="shared" si="20"/>
        <v>20337568</v>
      </c>
    </row>
    <row r="67" spans="1:19">
      <c r="A67" t="s">
        <v>192</v>
      </c>
      <c r="B67" t="s">
        <v>393</v>
      </c>
      <c r="C67" t="s">
        <v>1967</v>
      </c>
      <c r="D67" t="s">
        <v>62</v>
      </c>
      <c r="G67">
        <f t="shared" si="19"/>
        <v>129383465</v>
      </c>
      <c r="H67">
        <f>B01企业金融业务状况表!H207+B02金融市场业务状况表!H250</f>
        <v>9195992</v>
      </c>
      <c r="I67">
        <f>B01企业金融业务状况表!I207+B02金融市场业务状况表!I250</f>
        <v>8772894</v>
      </c>
      <c r="J67">
        <f>B01企业金融业务状况表!J207+B02金融市场业务状况表!J250</f>
        <v>10203008</v>
      </c>
      <c r="K67">
        <f>B01企业金融业务状况表!K207+B02金融市场业务状况表!K250</f>
        <v>10433962</v>
      </c>
      <c r="L67">
        <f>B01企业金融业务状况表!L207+B02金融市场业务状况表!L250</f>
        <v>10692725</v>
      </c>
      <c r="M67">
        <f>B01企业金融业务状况表!M207+B02金融市场业务状况表!M250</f>
        <v>11053061</v>
      </c>
      <c r="N67">
        <f>B01企业金融业务状况表!N207+B02金融市场业务状况表!N250</f>
        <v>11385587</v>
      </c>
      <c r="O67">
        <f>B01企业金融业务状况表!O207+B02金融市场业务状况表!O250</f>
        <v>11228396</v>
      </c>
      <c r="P67">
        <f>B01企业金融业务状况表!P207+B02金融市场业务状况表!P250</f>
        <v>10969633</v>
      </c>
      <c r="Q67">
        <f>B01企业金融业务状况表!Q207+B02金融市场业务状况表!Q250</f>
        <v>11754402</v>
      </c>
      <c r="R67">
        <f>B01企业金融业务状况表!R207+B02金融市场业务状况表!R250</f>
        <v>11625021</v>
      </c>
      <c r="S67">
        <f>B01企业金融业务状况表!S207+B02金融市场业务状况表!S250</f>
        <v>12068784</v>
      </c>
    </row>
    <row r="68" spans="1:19">
      <c r="A68" t="s">
        <v>192</v>
      </c>
      <c r="B68" t="s">
        <v>393</v>
      </c>
      <c r="C68" t="s">
        <v>1968</v>
      </c>
      <c r="D68" t="s">
        <v>64</v>
      </c>
      <c r="G68">
        <f t="shared" si="19"/>
        <v>89383465</v>
      </c>
      <c r="H68">
        <f>B01企业金融业务状况表!H208+B02金融市场业务状况表!H251</f>
        <v>6395992</v>
      </c>
      <c r="I68">
        <f>B01企业金融业务状况表!I208+B02金融市场业务状况表!I251</f>
        <v>6172894</v>
      </c>
      <c r="J68">
        <f>B01企业金融业务状况表!J208+B02金融市场业务状况表!J251</f>
        <v>7083008</v>
      </c>
      <c r="K68">
        <f>B01企业金融业务状况表!K208+B02金融市场业务状况表!K251</f>
        <v>7233962</v>
      </c>
      <c r="L68">
        <f>B01企业金融业务状况表!L208+B02金融市场业务状况表!L251</f>
        <v>7412725</v>
      </c>
      <c r="M68">
        <f>B01企业金融业务状况表!M208+B02金融市场业务状况表!M251</f>
        <v>7653061</v>
      </c>
      <c r="N68">
        <f>B01企业金融业务状况表!N208+B02金融市场业务状况表!N251</f>
        <v>7865587</v>
      </c>
      <c r="O68">
        <f>B01企业金融业务状况表!O208+B02金融市场业务状况表!O251</f>
        <v>7748396</v>
      </c>
      <c r="P68">
        <f>B01企业金融业务状况表!P208+B02金融市场业务状况表!P251</f>
        <v>7569633</v>
      </c>
      <c r="Q68">
        <f>B01企业金融业务状况表!Q208+B02金融市场业务状况表!Q251</f>
        <v>8034402</v>
      </c>
      <c r="R68">
        <f>B01企业金融业务状况表!R208+B02金融市场业务状况表!R251</f>
        <v>7945021</v>
      </c>
      <c r="S68">
        <f>B01企业金融业务状况表!S208+B02金融市场业务状况表!S251</f>
        <v>8268784</v>
      </c>
    </row>
    <row r="69" spans="1:19">
      <c r="A69" t="s">
        <v>60</v>
      </c>
      <c r="B69" t="s">
        <v>393</v>
      </c>
      <c r="C69" t="s">
        <v>1969</v>
      </c>
      <c r="D69" t="s">
        <v>414</v>
      </c>
      <c r="G69">
        <f t="shared" si="19"/>
        <v>443834737</v>
      </c>
      <c r="H69">
        <f>B01企业金融业务状况表!H209+B02金融市场业务状况表!H252</f>
        <v>32459925</v>
      </c>
      <c r="I69">
        <f>B01企业金融业务状况表!I209+B02金融市场业务状况表!I252</f>
        <v>32478952</v>
      </c>
      <c r="J69">
        <f>B01企业金融业务状况表!J209+B02金融市场业务状况表!J252</f>
        <v>35730084</v>
      </c>
      <c r="K69">
        <f>B01企业金融业务状况表!K209+B02金融市场业务状况表!K252</f>
        <v>36339624</v>
      </c>
      <c r="L69">
        <f>B01企业金融业务状况表!L209+B02金融市场业务状况表!L252</f>
        <v>37227258</v>
      </c>
      <c r="M69">
        <f>B01企业金融业务状况表!M209+B02金融市场业务状况表!M252</f>
        <v>38280615</v>
      </c>
      <c r="N69">
        <f>B01企业金融业务状况表!N209+B02金融市场业务状况表!N252</f>
        <v>39055879</v>
      </c>
      <c r="O69">
        <f>B01企业金融业务状况表!O209+B02金融市场业务状况表!O252</f>
        <v>38333969</v>
      </c>
      <c r="P69">
        <f>B01企业金融业务状况表!P209+B02金融市场业务状况表!P252</f>
        <v>37446335</v>
      </c>
      <c r="Q69">
        <f>B01企业金融业务状况表!Q209+B02金融市场业务状况表!Q252</f>
        <v>38494031</v>
      </c>
      <c r="R69">
        <f>B01企业金融业务状况表!R209+B02金融市场业务状况表!R252</f>
        <v>38050214</v>
      </c>
      <c r="S69">
        <f>B01企业金融业务状况表!S209+B02金融市场业务状况表!S252</f>
        <v>39937851</v>
      </c>
    </row>
    <row r="70" spans="1:19">
      <c r="A70" t="s">
        <v>60</v>
      </c>
      <c r="B70" t="s">
        <v>393</v>
      </c>
      <c r="C70" t="s">
        <v>1970</v>
      </c>
      <c r="D70" t="s">
        <v>68</v>
      </c>
      <c r="G70">
        <f t="shared" si="19"/>
        <v>433834737</v>
      </c>
      <c r="H70">
        <f>B01企业金融业务状况表!H210+B02金融市场业务状况表!H253</f>
        <v>31759925</v>
      </c>
      <c r="I70">
        <f>B01企业金融业务状况表!I210+B02金融市场业务状况表!I253</f>
        <v>31828952</v>
      </c>
      <c r="J70">
        <f>B01企业金融业务状况表!J210+B02金融市场业务状况表!J253</f>
        <v>34950084</v>
      </c>
      <c r="K70">
        <f>B01企业金融业务状况表!K210+B02金融市场业务状况表!K253</f>
        <v>35539624</v>
      </c>
      <c r="L70">
        <f>B01企业金融业务状况表!L210+B02金融市场业务状况表!L253</f>
        <v>36407258</v>
      </c>
      <c r="M70">
        <f>B01企业金融业务状况表!M210+B02金融市场业务状况表!M253</f>
        <v>37430615</v>
      </c>
      <c r="N70">
        <f>B01企业金融业务状况表!N210+B02金融市场业务状况表!N253</f>
        <v>38175879</v>
      </c>
      <c r="O70">
        <f>B01企业金融业务状况表!O210+B02金融市场业务状况表!O253</f>
        <v>37463969</v>
      </c>
      <c r="P70">
        <f>B01企业金融业务状况表!P210+B02金融市场业务状况表!P253</f>
        <v>36596335</v>
      </c>
      <c r="Q70">
        <f>B01企业金融业务状况表!Q210+B02金融市场业务状况表!Q253</f>
        <v>37564031</v>
      </c>
      <c r="R70">
        <f>B01企业金融业务状况表!R210+B02金融市场业务状况表!R253</f>
        <v>37130214</v>
      </c>
      <c r="S70">
        <f>B01企业金融业务状况表!S210+B02金融市场业务状况表!S253</f>
        <v>38987851</v>
      </c>
    </row>
    <row r="71" spans="1:19">
      <c r="A71" t="s">
        <v>60</v>
      </c>
      <c r="B71" t="s">
        <v>393</v>
      </c>
      <c r="C71" t="s">
        <v>1971</v>
      </c>
      <c r="D71" t="s">
        <v>70</v>
      </c>
      <c r="G71">
        <f t="shared" si="19"/>
        <v>433834737</v>
      </c>
      <c r="H71">
        <f>B01企业金融业务状况表!H211+B02金融市场业务状况表!H254</f>
        <v>31759925</v>
      </c>
      <c r="I71">
        <f>B01企业金融业务状况表!I211+B02金融市场业务状况表!I254</f>
        <v>31828952</v>
      </c>
      <c r="J71">
        <f>B01企业金融业务状况表!J211+B02金融市场业务状况表!J254</f>
        <v>34950084</v>
      </c>
      <c r="K71">
        <f>B01企业金融业务状况表!K211+B02金融市场业务状况表!K254</f>
        <v>35539624</v>
      </c>
      <c r="L71">
        <f>B01企业金融业务状况表!L211+B02金融市场业务状况表!L254</f>
        <v>36407258</v>
      </c>
      <c r="M71">
        <f>B01企业金融业务状况表!M211+B02金融市场业务状况表!M254</f>
        <v>37430615</v>
      </c>
      <c r="N71">
        <f>B01企业金融业务状况表!N211+B02金融市场业务状况表!N254</f>
        <v>38175879</v>
      </c>
      <c r="O71">
        <f>B01企业金融业务状况表!O211+B02金融市场业务状况表!O254</f>
        <v>37463969</v>
      </c>
      <c r="P71">
        <f>B01企业金融业务状况表!P211+B02金融市场业务状况表!P254</f>
        <v>36596335</v>
      </c>
      <c r="Q71">
        <f>B01企业金融业务状况表!Q211+B02金融市场业务状况表!Q254</f>
        <v>37564031</v>
      </c>
      <c r="R71">
        <f>B01企业金融业务状况表!R211+B02金融市场业务状况表!R254</f>
        <v>37130214</v>
      </c>
      <c r="S71">
        <f>B01企业金融业务状况表!S211+B02金融市场业务状况表!S254</f>
        <v>38987851</v>
      </c>
    </row>
    <row r="72" spans="1:19">
      <c r="A72" t="s">
        <v>26</v>
      </c>
      <c r="B72" t="s">
        <v>393</v>
      </c>
      <c r="C72" t="s">
        <v>1972</v>
      </c>
      <c r="D72" t="s">
        <v>418</v>
      </c>
      <c r="G72">
        <f t="shared" si="19"/>
        <v>4028347447</v>
      </c>
      <c r="H72">
        <f>B01企业金融业务状况表!H212+B02金融市场业务状况表!H255</f>
        <v>295899259</v>
      </c>
      <c r="I72">
        <f>B01企业金融业务状况表!I212+B02金融市场业务状况表!I255</f>
        <v>298139529</v>
      </c>
      <c r="J72">
        <f>B01企业金融业务状况表!J212+B02金融市场业务状况表!J255</f>
        <v>325320843</v>
      </c>
      <c r="K72">
        <f>B01企业金融业务状况表!K212+B02金融市场业务状况表!K255</f>
        <v>330596246</v>
      </c>
      <c r="L72">
        <f>B01企业金融业务状况表!L212+B02金融市场业务状况表!L255</f>
        <v>338652583</v>
      </c>
      <c r="M72">
        <f>B01企业金融业务状况表!M212+B02金融市场业务状况表!M255</f>
        <v>347956157</v>
      </c>
      <c r="N72">
        <f>B01企业金融业务状况表!N212+B02金融市场业务状况表!N255</f>
        <v>354478798</v>
      </c>
      <c r="O72">
        <f>B01企业金融业务状况表!O212+B02金融市场业务状况表!O255</f>
        <v>347669695</v>
      </c>
      <c r="P72">
        <f>B01企业金融业务状况表!P212+B02金融市场业务状况表!P255</f>
        <v>339613358</v>
      </c>
      <c r="Q72">
        <f>B01企业金融业务状况表!Q212+B02金融市场业务状况表!Q255</f>
        <v>346810317</v>
      </c>
      <c r="R72">
        <f>B01企业金融业务状况表!R212+B02金融市场业务状况表!R255</f>
        <v>342782147</v>
      </c>
      <c r="S72">
        <f>B01企业金融业务状况表!S212+B02金融市场业务状况表!S255</f>
        <v>360428515</v>
      </c>
    </row>
    <row r="73" spans="1:19">
      <c r="A73" t="s">
        <v>26</v>
      </c>
      <c r="B73" t="s">
        <v>393</v>
      </c>
      <c r="C73" t="s">
        <v>1973</v>
      </c>
      <c r="D73" t="s">
        <v>420</v>
      </c>
      <c r="G73">
        <f t="shared" si="19"/>
        <v>4028347447</v>
      </c>
      <c r="H73">
        <f>B01企业金融业务状况表!H213+B02金融市场业务状况表!H256</f>
        <v>295899259</v>
      </c>
      <c r="I73">
        <f>B01企业金融业务状况表!I213+B02金融市场业务状况表!I256</f>
        <v>298139529</v>
      </c>
      <c r="J73">
        <f>B01企业金融业务状况表!J213+B02金融市场业务状况表!J256</f>
        <v>325320843</v>
      </c>
      <c r="K73">
        <f>B01企业金融业务状况表!K213+B02金融市场业务状况表!K256</f>
        <v>330596246</v>
      </c>
      <c r="L73">
        <f>B01企业金融业务状况表!L213+B02金融市场业务状况表!L256</f>
        <v>338652583</v>
      </c>
      <c r="M73">
        <f>B01企业金融业务状况表!M213+B02金融市场业务状况表!M256</f>
        <v>347956157</v>
      </c>
      <c r="N73">
        <f>B01企业金融业务状况表!N213+B02金融市场业务状况表!N256</f>
        <v>354478798</v>
      </c>
      <c r="O73">
        <f>B01企业金融业务状况表!O213+B02金融市场业务状况表!O256</f>
        <v>347669695</v>
      </c>
      <c r="P73">
        <f>B01企业金融业务状况表!P213+B02金融市场业务状况表!P256</f>
        <v>339613358</v>
      </c>
      <c r="Q73">
        <f>B01企业金融业务状况表!Q213+B02金融市场业务状况表!Q256</f>
        <v>346810317</v>
      </c>
      <c r="R73">
        <f>B01企业金融业务状况表!R213+B02金融市场业务状况表!R256</f>
        <v>342782147</v>
      </c>
      <c r="S73">
        <f>B01企业金融业务状况表!S213+B02金融市场业务状况表!S256</f>
        <v>360428515</v>
      </c>
    </row>
    <row r="74" spans="1:19">
      <c r="A74" t="s">
        <v>23</v>
      </c>
      <c r="B74" t="s">
        <v>393</v>
      </c>
      <c r="C74" t="s">
        <v>1974</v>
      </c>
      <c r="D74" t="s">
        <v>422</v>
      </c>
      <c r="G74">
        <f t="shared" si="19"/>
        <v>11362304983</v>
      </c>
      <c r="H74">
        <f t="shared" ref="H74:S74" si="21">H75+H78+H81+H88+H89</f>
        <v>833209977</v>
      </c>
      <c r="I74">
        <f t="shared" si="21"/>
        <v>837277510</v>
      </c>
      <c r="J74">
        <f t="shared" si="21"/>
        <v>916478290</v>
      </c>
      <c r="K74">
        <f t="shared" si="21"/>
        <v>931637784</v>
      </c>
      <c r="L74">
        <f t="shared" si="21"/>
        <v>954361422</v>
      </c>
      <c r="M74">
        <f t="shared" si="21"/>
        <v>980882741</v>
      </c>
      <c r="N74">
        <f t="shared" si="21"/>
        <v>999839923</v>
      </c>
      <c r="O74">
        <f t="shared" si="21"/>
        <v>980913965</v>
      </c>
      <c r="P74">
        <f t="shared" si="21"/>
        <v>958190327</v>
      </c>
      <c r="Q74">
        <f t="shared" si="21"/>
        <v>981007655</v>
      </c>
      <c r="R74">
        <f t="shared" si="21"/>
        <v>969645834</v>
      </c>
      <c r="S74">
        <f t="shared" si="21"/>
        <v>1018859555</v>
      </c>
    </row>
    <row r="75" spans="1:19">
      <c r="A75" t="s">
        <v>26</v>
      </c>
      <c r="B75" t="s">
        <v>393</v>
      </c>
      <c r="C75" t="s">
        <v>1975</v>
      </c>
      <c r="D75" t="s">
        <v>399</v>
      </c>
      <c r="G75">
        <f t="shared" si="19"/>
        <v>967669474</v>
      </c>
      <c r="H75">
        <f t="shared" ref="H75:S75" si="22">H76+H77</f>
        <v>70519850</v>
      </c>
      <c r="I75">
        <f t="shared" si="22"/>
        <v>70157904</v>
      </c>
      <c r="J75">
        <f t="shared" si="22"/>
        <v>77700168</v>
      </c>
      <c r="K75">
        <f t="shared" si="22"/>
        <v>79079248</v>
      </c>
      <c r="L75">
        <f t="shared" si="22"/>
        <v>81014516</v>
      </c>
      <c r="M75">
        <f t="shared" si="22"/>
        <v>83361230</v>
      </c>
      <c r="N75">
        <f t="shared" si="22"/>
        <v>85151758</v>
      </c>
      <c r="O75">
        <f t="shared" si="22"/>
        <v>83627938</v>
      </c>
      <c r="P75">
        <f t="shared" si="22"/>
        <v>81692670</v>
      </c>
      <c r="Q75">
        <f t="shared" si="22"/>
        <v>84428062</v>
      </c>
      <c r="R75">
        <f t="shared" si="22"/>
        <v>83460428</v>
      </c>
      <c r="S75">
        <f t="shared" si="22"/>
        <v>87475702</v>
      </c>
    </row>
    <row r="76" spans="1:19">
      <c r="A76" t="s">
        <v>60</v>
      </c>
      <c r="B76" t="s">
        <v>393</v>
      </c>
      <c r="C76" t="s">
        <v>1976</v>
      </c>
      <c r="D76" t="s">
        <v>401</v>
      </c>
      <c r="G76">
        <f t="shared" si="19"/>
        <v>523834737</v>
      </c>
      <c r="H76">
        <f>B01企业金融业务状况表!H216+B02金融市场业务状况表!H259</f>
        <v>38059925</v>
      </c>
      <c r="I76">
        <f>B01企业金融业务状况表!I216+B02金融市场业务状况表!I259</f>
        <v>37678952</v>
      </c>
      <c r="J76">
        <f>B01企业金融业务状况表!J216+B02金融市场业务状况表!J259</f>
        <v>41970084</v>
      </c>
      <c r="K76">
        <f>B01企业金融业务状况表!K216+B02金融市场业务状况表!K259</f>
        <v>42739624</v>
      </c>
      <c r="L76">
        <f>B01企业金融业务状况表!L216+B02金融市场业务状况表!L259</f>
        <v>43787258</v>
      </c>
      <c r="M76">
        <f>B01企业金融业务状况表!M216+B02金融市场业务状况表!M259</f>
        <v>45080615</v>
      </c>
      <c r="N76">
        <f>B01企业金融业务状况表!N216+B02金融市场业务状况表!N259</f>
        <v>46095879</v>
      </c>
      <c r="O76">
        <f>B01企业金融业务状况表!O216+B02金融市场业务状况表!O259</f>
        <v>45293969</v>
      </c>
      <c r="P76">
        <f>B01企业金融业务状况表!P216+B02金融市场业务状况表!P259</f>
        <v>44246335</v>
      </c>
      <c r="Q76">
        <f>B01企业金融业务状况表!Q216+B02金融市场业务状况表!Q259</f>
        <v>45934031</v>
      </c>
      <c r="R76">
        <f>B01企业金融业务状况表!R216+B02金融市场业务状况表!R259</f>
        <v>45410214</v>
      </c>
      <c r="S76">
        <f>B01企业金融业务状况表!S216+B02金融市场业务状况表!S259</f>
        <v>47537851</v>
      </c>
    </row>
    <row r="77" spans="1:19">
      <c r="A77" t="s">
        <v>60</v>
      </c>
      <c r="B77" t="s">
        <v>393</v>
      </c>
      <c r="C77" t="s">
        <v>1977</v>
      </c>
      <c r="D77" t="s">
        <v>49</v>
      </c>
      <c r="G77">
        <f t="shared" si="19"/>
        <v>443834737</v>
      </c>
      <c r="H77">
        <f>B01企业金融业务状况表!H217+B02金融市场业务状况表!H260</f>
        <v>32459925</v>
      </c>
      <c r="I77">
        <f>B01企业金融业务状况表!I217+B02金融市场业务状况表!I260</f>
        <v>32478952</v>
      </c>
      <c r="J77">
        <f>B01企业金融业务状况表!J217+B02金融市场业务状况表!J260</f>
        <v>35730084</v>
      </c>
      <c r="K77">
        <f>B01企业金融业务状况表!K217+B02金融市场业务状况表!K260</f>
        <v>36339624</v>
      </c>
      <c r="L77">
        <f>B01企业金融业务状况表!L217+B02金融市场业务状况表!L260</f>
        <v>37227258</v>
      </c>
      <c r="M77">
        <f>B01企业金融业务状况表!M217+B02金融市场业务状况表!M260</f>
        <v>38280615</v>
      </c>
      <c r="N77">
        <f>B01企业金融业务状况表!N217+B02金融市场业务状况表!N260</f>
        <v>39055879</v>
      </c>
      <c r="O77">
        <f>B01企业金融业务状况表!O217+B02金融市场业务状况表!O260</f>
        <v>38333969</v>
      </c>
      <c r="P77">
        <f>B01企业金融业务状况表!P217+B02金融市场业务状况表!P260</f>
        <v>37446335</v>
      </c>
      <c r="Q77">
        <f>B01企业金融业务状况表!Q217+B02金融市场业务状况表!Q260</f>
        <v>38494031</v>
      </c>
      <c r="R77">
        <f>B01企业金融业务状况表!R217+B02金融市场业务状况表!R260</f>
        <v>38050214</v>
      </c>
      <c r="S77">
        <f>B01企业金融业务状况表!S217+B02金融市场业务状况表!S260</f>
        <v>39937851</v>
      </c>
    </row>
    <row r="78" spans="1:19">
      <c r="A78" t="s">
        <v>26</v>
      </c>
      <c r="B78" t="s">
        <v>393</v>
      </c>
      <c r="C78" t="s">
        <v>1978</v>
      </c>
      <c r="D78" t="s">
        <v>51</v>
      </c>
      <c r="G78">
        <f t="shared" si="19"/>
        <v>927669474</v>
      </c>
      <c r="H78">
        <f t="shared" ref="H78:S78" si="23">H79+H80</f>
        <v>67719850</v>
      </c>
      <c r="I78">
        <f t="shared" si="23"/>
        <v>67557904</v>
      </c>
      <c r="J78">
        <f t="shared" si="23"/>
        <v>74580168</v>
      </c>
      <c r="K78">
        <f t="shared" si="23"/>
        <v>75879248</v>
      </c>
      <c r="L78">
        <f t="shared" si="23"/>
        <v>77734516</v>
      </c>
      <c r="M78">
        <f t="shared" si="23"/>
        <v>79961230</v>
      </c>
      <c r="N78">
        <f t="shared" si="23"/>
        <v>81631758</v>
      </c>
      <c r="O78">
        <f t="shared" si="23"/>
        <v>80147938</v>
      </c>
      <c r="P78">
        <f t="shared" si="23"/>
        <v>78292670</v>
      </c>
      <c r="Q78">
        <f t="shared" si="23"/>
        <v>80708062</v>
      </c>
      <c r="R78">
        <f t="shared" si="23"/>
        <v>79780428</v>
      </c>
      <c r="S78">
        <f t="shared" si="23"/>
        <v>83675702</v>
      </c>
    </row>
    <row r="79" spans="1:19">
      <c r="A79" t="s">
        <v>60</v>
      </c>
      <c r="B79" t="s">
        <v>393</v>
      </c>
      <c r="C79" t="s">
        <v>1979</v>
      </c>
      <c r="D79" t="s">
        <v>405</v>
      </c>
      <c r="G79">
        <f t="shared" si="19"/>
        <v>483834737</v>
      </c>
      <c r="H79">
        <f>B01企业金融业务状况表!H219+B02金融市场业务状况表!H262</f>
        <v>35259925</v>
      </c>
      <c r="I79">
        <f>B01企业金融业务状况表!I219+B02金融市场业务状况表!I262</f>
        <v>35078952</v>
      </c>
      <c r="J79">
        <f>B01企业金融业务状况表!J219+B02金融市场业务状况表!J262</f>
        <v>38850084</v>
      </c>
      <c r="K79">
        <f>B01企业金融业务状况表!K219+B02金融市场业务状况表!K262</f>
        <v>39539624</v>
      </c>
      <c r="L79">
        <f>B01企业金融业务状况表!L219+B02金融市场业务状况表!L262</f>
        <v>40507258</v>
      </c>
      <c r="M79">
        <f>B01企业金融业务状况表!M219+B02金融市场业务状况表!M262</f>
        <v>41680615</v>
      </c>
      <c r="N79">
        <f>B01企业金融业务状况表!N219+B02金融市场业务状况表!N262</f>
        <v>42575879</v>
      </c>
      <c r="O79">
        <f>B01企业金融业务状况表!O219+B02金融市场业务状况表!O262</f>
        <v>41813969</v>
      </c>
      <c r="P79">
        <f>B01企业金融业务状况表!P219+B02金融市场业务状况表!P262</f>
        <v>40846335</v>
      </c>
      <c r="Q79">
        <f>B01企业金融业务状况表!Q219+B02金融市场业务状况表!Q262</f>
        <v>42214031</v>
      </c>
      <c r="R79">
        <f>B01企业金融业务状况表!R219+B02金融市场业务状况表!R262</f>
        <v>41730214</v>
      </c>
      <c r="S79">
        <f>B01企业金融业务状况表!S219+B02金融市场业务状况表!S262</f>
        <v>43737851</v>
      </c>
    </row>
    <row r="80" spans="1:19">
      <c r="A80" t="s">
        <v>60</v>
      </c>
      <c r="B80" t="s">
        <v>393</v>
      </c>
      <c r="C80" t="s">
        <v>1980</v>
      </c>
      <c r="D80" t="s">
        <v>407</v>
      </c>
      <c r="G80">
        <f t="shared" si="19"/>
        <v>443834737</v>
      </c>
      <c r="H80">
        <f>B01企业金融业务状况表!H220+B02金融市场业务状况表!H263</f>
        <v>32459925</v>
      </c>
      <c r="I80">
        <f>B01企业金融业务状况表!I220+B02金融市场业务状况表!I263</f>
        <v>32478952</v>
      </c>
      <c r="J80">
        <f>B01企业金融业务状况表!J220+B02金融市场业务状况表!J263</f>
        <v>35730084</v>
      </c>
      <c r="K80">
        <f>B01企业金融业务状况表!K220+B02金融市场业务状况表!K263</f>
        <v>36339624</v>
      </c>
      <c r="L80">
        <f>B01企业金融业务状况表!L220+B02金融市场业务状况表!L263</f>
        <v>37227258</v>
      </c>
      <c r="M80">
        <f>B01企业金融业务状况表!M220+B02金融市场业务状况表!M263</f>
        <v>38280615</v>
      </c>
      <c r="N80">
        <f>B01企业金融业务状况表!N220+B02金融市场业务状况表!N263</f>
        <v>39055879</v>
      </c>
      <c r="O80">
        <f>B01企业金融业务状况表!O220+B02金融市场业务状况表!O263</f>
        <v>38333969</v>
      </c>
      <c r="P80">
        <f>B01企业金融业务状况表!P220+B02金融市场业务状况表!P263</f>
        <v>37446335</v>
      </c>
      <c r="Q80">
        <f>B01企业金融业务状况表!Q220+B02金融市场业务状况表!Q263</f>
        <v>38494031</v>
      </c>
      <c r="R80">
        <f>B01企业金融业务状况表!R220+B02金融市场业务状况表!R263</f>
        <v>38050214</v>
      </c>
      <c r="S80">
        <f>B01企业金融业务状况表!S220+B02金融市场业务状况表!S263</f>
        <v>39937851</v>
      </c>
    </row>
    <row r="81" spans="1:19">
      <c r="A81" t="s">
        <v>26</v>
      </c>
      <c r="B81" t="s">
        <v>393</v>
      </c>
      <c r="C81" t="s">
        <v>1981</v>
      </c>
      <c r="D81" t="s">
        <v>409</v>
      </c>
      <c r="G81">
        <f t="shared" si="19"/>
        <v>1410271141</v>
      </c>
      <c r="H81">
        <f t="shared" ref="H81:S81" si="24">H82+H85+H86+H87</f>
        <v>103171759</v>
      </c>
      <c r="I81">
        <f t="shared" si="24"/>
        <v>103282644</v>
      </c>
      <c r="J81">
        <f t="shared" si="24"/>
        <v>113556268</v>
      </c>
      <c r="K81">
        <f t="shared" si="24"/>
        <v>115486796</v>
      </c>
      <c r="L81">
        <f t="shared" si="24"/>
        <v>118307224</v>
      </c>
      <c r="M81">
        <f t="shared" si="24"/>
        <v>121647967</v>
      </c>
      <c r="N81">
        <f t="shared" si="24"/>
        <v>124098811</v>
      </c>
      <c r="O81">
        <f t="shared" si="24"/>
        <v>121798699</v>
      </c>
      <c r="P81">
        <f t="shared" si="24"/>
        <v>118978271</v>
      </c>
      <c r="Q81">
        <f t="shared" si="24"/>
        <v>122250897</v>
      </c>
      <c r="R81">
        <f t="shared" si="24"/>
        <v>120840684</v>
      </c>
      <c r="S81">
        <f t="shared" si="24"/>
        <v>126851121</v>
      </c>
    </row>
    <row r="82" spans="1:19">
      <c r="A82" t="s">
        <v>60</v>
      </c>
      <c r="B82" t="s">
        <v>393</v>
      </c>
      <c r="C82" t="s">
        <v>1982</v>
      </c>
      <c r="D82" t="s">
        <v>59</v>
      </c>
      <c r="G82">
        <f t="shared" si="19"/>
        <v>158766930</v>
      </c>
      <c r="H82">
        <f t="shared" ref="H82:S82" si="25">H83+H84</f>
        <v>11391984</v>
      </c>
      <c r="I82">
        <f t="shared" si="25"/>
        <v>11045788</v>
      </c>
      <c r="J82">
        <f t="shared" si="25"/>
        <v>12606016</v>
      </c>
      <c r="K82">
        <f t="shared" si="25"/>
        <v>12867924</v>
      </c>
      <c r="L82">
        <f t="shared" si="25"/>
        <v>13185450</v>
      </c>
      <c r="M82">
        <f t="shared" si="25"/>
        <v>13606122</v>
      </c>
      <c r="N82">
        <f t="shared" si="25"/>
        <v>13971174</v>
      </c>
      <c r="O82">
        <f t="shared" si="25"/>
        <v>13756792</v>
      </c>
      <c r="P82">
        <f t="shared" si="25"/>
        <v>13439266</v>
      </c>
      <c r="Q82">
        <f t="shared" si="25"/>
        <v>14208804</v>
      </c>
      <c r="R82">
        <f t="shared" si="25"/>
        <v>14050042</v>
      </c>
      <c r="S82">
        <f t="shared" si="25"/>
        <v>14637568</v>
      </c>
    </row>
    <row r="83" spans="1:19">
      <c r="A83" t="s">
        <v>192</v>
      </c>
      <c r="B83" t="s">
        <v>393</v>
      </c>
      <c r="C83" t="s">
        <v>1983</v>
      </c>
      <c r="D83" t="s">
        <v>62</v>
      </c>
      <c r="G83">
        <f t="shared" si="19"/>
        <v>89383465</v>
      </c>
      <c r="H83">
        <f>B01企业金融业务状况表!H223+B02金融市场业务状况表!H266</f>
        <v>6395992</v>
      </c>
      <c r="I83">
        <f>B01企业金融业务状况表!I223+B02金融市场业务状况表!I266</f>
        <v>6172894</v>
      </c>
      <c r="J83">
        <f>B01企业金融业务状况表!J223+B02金融市场业务状况表!J266</f>
        <v>7083008</v>
      </c>
      <c r="K83">
        <f>B01企业金融业务状况表!K223+B02金融市场业务状况表!K266</f>
        <v>7233962</v>
      </c>
      <c r="L83">
        <f>B01企业金融业务状况表!L223+B02金融市场业务状况表!L266</f>
        <v>7412725</v>
      </c>
      <c r="M83">
        <f>B01企业金融业务状况表!M223+B02金融市场业务状况表!M266</f>
        <v>7653061</v>
      </c>
      <c r="N83">
        <f>B01企业金融业务状况表!N223+B02金融市场业务状况表!N266</f>
        <v>7865587</v>
      </c>
      <c r="O83">
        <f>B01企业金融业务状况表!O223+B02金融市场业务状况表!O266</f>
        <v>7748396</v>
      </c>
      <c r="P83">
        <f>B01企业金融业务状况表!P223+B02金融市场业务状况表!P266</f>
        <v>7569633</v>
      </c>
      <c r="Q83">
        <f>B01企业金融业务状况表!Q223+B02金融市场业务状况表!Q266</f>
        <v>8034402</v>
      </c>
      <c r="R83">
        <f>B01企业金融业务状况表!R223+B02金融市场业务状况表!R266</f>
        <v>7945021</v>
      </c>
      <c r="S83">
        <f>B01企业金融业务状况表!S223+B02金融市场业务状况表!S266</f>
        <v>8268784</v>
      </c>
    </row>
    <row r="84" spans="1:19">
      <c r="A84" t="s">
        <v>192</v>
      </c>
      <c r="B84" t="s">
        <v>393</v>
      </c>
      <c r="C84" t="s">
        <v>1984</v>
      </c>
      <c r="D84" t="s">
        <v>64</v>
      </c>
      <c r="G84">
        <f t="shared" si="19"/>
        <v>69383465</v>
      </c>
      <c r="H84">
        <f>B01企业金融业务状况表!H224+B02金融市场业务状况表!H267</f>
        <v>4995992</v>
      </c>
      <c r="I84">
        <f>B01企业金融业务状况表!I224+B02金融市场业务状况表!I267</f>
        <v>4872894</v>
      </c>
      <c r="J84">
        <f>B01企业金融业务状况表!J224+B02金融市场业务状况表!J267</f>
        <v>5523008</v>
      </c>
      <c r="K84">
        <f>B01企业金融业务状况表!K224+B02金融市场业务状况表!K267</f>
        <v>5633962</v>
      </c>
      <c r="L84">
        <f>B01企业金融业务状况表!L224+B02金融市场业务状况表!L267</f>
        <v>5772725</v>
      </c>
      <c r="M84">
        <f>B01企业金融业务状况表!M224+B02金融市场业务状况表!M267</f>
        <v>5953061</v>
      </c>
      <c r="N84">
        <f>B01企业金融业务状况表!N224+B02金融市场业务状况表!N267</f>
        <v>6105587</v>
      </c>
      <c r="O84">
        <f>B01企业金融业务状况表!O224+B02金融市场业务状况表!O267</f>
        <v>6008396</v>
      </c>
      <c r="P84">
        <f>B01企业金融业务状况表!P224+B02金融市场业务状况表!P267</f>
        <v>5869633</v>
      </c>
      <c r="Q84">
        <f>B01企业金融业务状况表!Q224+B02金融市场业务状况表!Q267</f>
        <v>6174402</v>
      </c>
      <c r="R84">
        <f>B01企业金融业务状况表!R224+B02金融市场业务状况表!R267</f>
        <v>6105021</v>
      </c>
      <c r="S84">
        <f>B01企业金融业务状况表!S224+B02金融市场业务状况表!S267</f>
        <v>6368784</v>
      </c>
    </row>
    <row r="85" spans="1:19">
      <c r="A85" t="s">
        <v>60</v>
      </c>
      <c r="B85" t="s">
        <v>393</v>
      </c>
      <c r="C85" t="s">
        <v>1985</v>
      </c>
      <c r="D85" t="s">
        <v>414</v>
      </c>
      <c r="G85">
        <f t="shared" si="19"/>
        <v>423834737</v>
      </c>
      <c r="H85">
        <f>B01企业金融业务状况表!H225+B02金融市场业务状况表!H268</f>
        <v>31059925</v>
      </c>
      <c r="I85">
        <f>B01企业金融业务状况表!I225+B02金融市场业务状况表!I268</f>
        <v>31178952</v>
      </c>
      <c r="J85">
        <f>B01企业金融业务状况表!J225+B02金融市场业务状况表!J268</f>
        <v>34170084</v>
      </c>
      <c r="K85">
        <f>B01企业金融业务状况表!K225+B02金融市场业务状况表!K268</f>
        <v>34739624</v>
      </c>
      <c r="L85">
        <f>B01企业金融业务状况表!L225+B02金融市场业务状况表!L268</f>
        <v>35587258</v>
      </c>
      <c r="M85">
        <f>B01企业金融业务状况表!M225+B02金融市场业务状况表!M268</f>
        <v>36580615</v>
      </c>
      <c r="N85">
        <f>B01企业金融业务状况表!N225+B02金融市场业务状况表!N268</f>
        <v>37295879</v>
      </c>
      <c r="O85">
        <f>B01企业金融业务状况表!O225+B02金融市场业务状况表!O268</f>
        <v>36593969</v>
      </c>
      <c r="P85">
        <f>B01企业金融业务状况表!P225+B02金融市场业务状况表!P268</f>
        <v>35746335</v>
      </c>
      <c r="Q85">
        <f>B01企业金融业务状况表!Q225+B02金融市场业务状况表!Q268</f>
        <v>36634031</v>
      </c>
      <c r="R85">
        <f>B01企业金融业务状况表!R225+B02金融市场业务状况表!R268</f>
        <v>36210214</v>
      </c>
      <c r="S85">
        <f>B01企业金融业务状况表!S225+B02金融市场业务状况表!S268</f>
        <v>38037851</v>
      </c>
    </row>
    <row r="86" spans="1:19">
      <c r="A86" t="s">
        <v>60</v>
      </c>
      <c r="B86" t="s">
        <v>393</v>
      </c>
      <c r="C86" t="s">
        <v>1986</v>
      </c>
      <c r="D86" t="s">
        <v>68</v>
      </c>
      <c r="G86">
        <f t="shared" si="19"/>
        <v>413834737</v>
      </c>
      <c r="H86">
        <f>B01企业金融业务状况表!H226+B02金融市场业务状况表!H269</f>
        <v>30359925</v>
      </c>
      <c r="I86">
        <f>B01企业金融业务状况表!I226+B02金融市场业务状况表!I269</f>
        <v>30528952</v>
      </c>
      <c r="J86">
        <f>B01企业金融业务状况表!J226+B02金融市场业务状况表!J269</f>
        <v>33390084</v>
      </c>
      <c r="K86">
        <f>B01企业金融业务状况表!K226+B02金融市场业务状况表!K269</f>
        <v>33939624</v>
      </c>
      <c r="L86">
        <f>B01企业金融业务状况表!L226+B02金融市场业务状况表!L269</f>
        <v>34767258</v>
      </c>
      <c r="M86">
        <f>B01企业金融业务状况表!M226+B02金融市场业务状况表!M269</f>
        <v>35730615</v>
      </c>
      <c r="N86">
        <f>B01企业金融业务状况表!N226+B02金融市场业务状况表!N269</f>
        <v>36415879</v>
      </c>
      <c r="O86">
        <f>B01企业金融业务状况表!O226+B02金融市场业务状况表!O269</f>
        <v>35723969</v>
      </c>
      <c r="P86">
        <f>B01企业金融业务状况表!P226+B02金融市场业务状况表!P269</f>
        <v>34896335</v>
      </c>
      <c r="Q86">
        <f>B01企业金融业务状况表!Q226+B02金融市场业务状况表!Q269</f>
        <v>35704031</v>
      </c>
      <c r="R86">
        <f>B01企业金融业务状况表!R226+B02金融市场业务状况表!R269</f>
        <v>35290214</v>
      </c>
      <c r="S86">
        <f>B01企业金融业务状况表!S226+B02金融市场业务状况表!S269</f>
        <v>37087851</v>
      </c>
    </row>
    <row r="87" spans="1:19">
      <c r="A87" t="s">
        <v>60</v>
      </c>
      <c r="B87" t="s">
        <v>393</v>
      </c>
      <c r="C87" t="s">
        <v>1987</v>
      </c>
      <c r="D87" t="s">
        <v>70</v>
      </c>
      <c r="G87">
        <f t="shared" si="19"/>
        <v>413834737</v>
      </c>
      <c r="H87">
        <f>B01企业金融业务状况表!H227+B02金融市场业务状况表!H270</f>
        <v>30359925</v>
      </c>
      <c r="I87">
        <f>B01企业金融业务状况表!I227+B02金融市场业务状况表!I270</f>
        <v>30528952</v>
      </c>
      <c r="J87">
        <f>B01企业金融业务状况表!J227+B02金融市场业务状况表!J270</f>
        <v>33390084</v>
      </c>
      <c r="K87">
        <f>B01企业金融业务状况表!K227+B02金融市场业务状况表!K270</f>
        <v>33939624</v>
      </c>
      <c r="L87">
        <f>B01企业金融业务状况表!L227+B02金融市场业务状况表!L270</f>
        <v>34767258</v>
      </c>
      <c r="M87">
        <f>B01企业金融业务状况表!M227+B02金融市场业务状况表!M270</f>
        <v>35730615</v>
      </c>
      <c r="N87">
        <f>B01企业金融业务状况表!N227+B02金融市场业务状况表!N270</f>
        <v>36415879</v>
      </c>
      <c r="O87">
        <f>B01企业金融业务状况表!O227+B02金融市场业务状况表!O270</f>
        <v>35723969</v>
      </c>
      <c r="P87">
        <f>B01企业金融业务状况表!P227+B02金融市场业务状况表!P270</f>
        <v>34896335</v>
      </c>
      <c r="Q87">
        <f>B01企业金融业务状况表!Q227+B02金融市场业务状况表!Q270</f>
        <v>35704031</v>
      </c>
      <c r="R87">
        <f>B01企业金融业务状况表!R227+B02金融市场业务状况表!R270</f>
        <v>35290214</v>
      </c>
      <c r="S87">
        <f>B01企业金融业务状况表!S227+B02金融市场业务状况表!S270</f>
        <v>37087851</v>
      </c>
    </row>
    <row r="88" spans="1:19">
      <c r="A88" t="s">
        <v>26</v>
      </c>
      <c r="B88" t="s">
        <v>393</v>
      </c>
      <c r="C88" t="s">
        <v>1988</v>
      </c>
      <c r="D88" t="s">
        <v>418</v>
      </c>
      <c r="G88">
        <f t="shared" si="19"/>
        <v>4028347447</v>
      </c>
      <c r="H88">
        <f>B01企业金融业务状况表!H228+B02金融市场业务状况表!H271</f>
        <v>295899259</v>
      </c>
      <c r="I88">
        <f>B01企业金融业务状况表!I228+B02金融市场业务状况表!I271</f>
        <v>298139529</v>
      </c>
      <c r="J88">
        <f>B01企业金融业务状况表!J228+B02金融市场业务状况表!J271</f>
        <v>325320843</v>
      </c>
      <c r="K88">
        <f>B01企业金融业务状况表!K228+B02金融市场业务状况表!K271</f>
        <v>330596246</v>
      </c>
      <c r="L88">
        <f>B01企业金融业务状况表!L228+B02金融市场业务状况表!L271</f>
        <v>338652583</v>
      </c>
      <c r="M88">
        <f>B01企业金融业务状况表!M228+B02金融市场业务状况表!M271</f>
        <v>347956157</v>
      </c>
      <c r="N88">
        <f>B01企业金融业务状况表!N228+B02金融市场业务状况表!N271</f>
        <v>354478798</v>
      </c>
      <c r="O88">
        <f>B01企业金融业务状况表!O228+B02金融市场业务状况表!O271</f>
        <v>347669695</v>
      </c>
      <c r="P88">
        <f>B01企业金融业务状况表!P228+B02金融市场业务状况表!P271</f>
        <v>339613358</v>
      </c>
      <c r="Q88">
        <f>B01企业金融业务状况表!Q228+B02金融市场业务状况表!Q271</f>
        <v>346810317</v>
      </c>
      <c r="R88">
        <f>B01企业金融业务状况表!R228+B02金融市场业务状况表!R271</f>
        <v>342782147</v>
      </c>
      <c r="S88">
        <f>B01企业金融业务状况表!S228+B02金融市场业务状况表!S271</f>
        <v>360428515</v>
      </c>
    </row>
    <row r="89" spans="1:19">
      <c r="A89" t="s">
        <v>26</v>
      </c>
      <c r="B89" t="s">
        <v>393</v>
      </c>
      <c r="C89" t="s">
        <v>1989</v>
      </c>
      <c r="D89" t="s">
        <v>420</v>
      </c>
      <c r="G89">
        <f t="shared" si="19"/>
        <v>4028347447</v>
      </c>
      <c r="H89">
        <f>B01企业金融业务状况表!H229+B02金融市场业务状况表!H272</f>
        <v>295899259</v>
      </c>
      <c r="I89">
        <f>B01企业金融业务状况表!I229+B02金融市场业务状况表!I272</f>
        <v>298139529</v>
      </c>
      <c r="J89">
        <f>B01企业金融业务状况表!J229+B02金融市场业务状况表!J272</f>
        <v>325320843</v>
      </c>
      <c r="K89">
        <f>B01企业金融业务状况表!K229+B02金融市场业务状况表!K272</f>
        <v>330596246</v>
      </c>
      <c r="L89">
        <f>B01企业金融业务状况表!L229+B02金融市场业务状况表!L272</f>
        <v>338652583</v>
      </c>
      <c r="M89">
        <f>B01企业金融业务状况表!M229+B02金融市场业务状况表!M272</f>
        <v>347956157</v>
      </c>
      <c r="N89">
        <f>B01企业金融业务状况表!N229+B02金融市场业务状况表!N272</f>
        <v>354478798</v>
      </c>
      <c r="O89">
        <f>B01企业金融业务状况表!O229+B02金融市场业务状况表!O272</f>
        <v>347669695</v>
      </c>
      <c r="P89">
        <f>B01企业金融业务状况表!P229+B02金融市场业务状况表!P272</f>
        <v>339613358</v>
      </c>
      <c r="Q89">
        <f>B01企业金融业务状况表!Q229+B02金融市场业务状况表!Q272</f>
        <v>346810317</v>
      </c>
      <c r="R89">
        <f>B01企业金融业务状况表!R229+B02金融市场业务状况表!R272</f>
        <v>342782147</v>
      </c>
      <c r="S89">
        <f>B01企业金融业务状况表!S229+B02金融市场业务状况表!S272</f>
        <v>360428515</v>
      </c>
    </row>
    <row r="90" spans="1:19">
      <c r="A90" t="s">
        <v>19</v>
      </c>
      <c r="B90" t="s">
        <v>438</v>
      </c>
      <c r="C90" t="s">
        <v>1990</v>
      </c>
      <c r="D90" t="s">
        <v>440</v>
      </c>
      <c r="G90">
        <f t="shared" si="19"/>
        <v>15993271054</v>
      </c>
      <c r="H90">
        <f t="shared" ref="H90:S90" si="26">H91</f>
        <v>1131727388</v>
      </c>
      <c r="I90">
        <f t="shared" si="26"/>
        <v>1071075234</v>
      </c>
      <c r="J90">
        <f t="shared" si="26"/>
        <v>1257272124</v>
      </c>
      <c r="K90">
        <f t="shared" si="26"/>
        <v>1286816041</v>
      </c>
      <c r="L90">
        <f t="shared" si="26"/>
        <v>1318803215</v>
      </c>
      <c r="M90">
        <f t="shared" si="26"/>
        <v>1364340719</v>
      </c>
      <c r="N90">
        <f t="shared" si="26"/>
        <v>1407435016</v>
      </c>
      <c r="O90">
        <f t="shared" si="26"/>
        <v>1388998222</v>
      </c>
      <c r="P90">
        <f t="shared" si="26"/>
        <v>1357011048</v>
      </c>
      <c r="Q90">
        <f t="shared" si="26"/>
        <v>1462970689</v>
      </c>
      <c r="R90">
        <f t="shared" si="26"/>
        <v>1446977081</v>
      </c>
      <c r="S90">
        <f t="shared" si="26"/>
        <v>1499844277</v>
      </c>
    </row>
    <row r="91" spans="1:19">
      <c r="A91" t="s">
        <v>23</v>
      </c>
      <c r="B91" t="s">
        <v>438</v>
      </c>
      <c r="C91" t="s">
        <v>1991</v>
      </c>
      <c r="D91" t="s">
        <v>442</v>
      </c>
      <c r="G91">
        <f t="shared" si="19"/>
        <v>15993271054</v>
      </c>
      <c r="H91">
        <f t="shared" ref="H91:S91" si="27">H92+H97+H112</f>
        <v>1131727388</v>
      </c>
      <c r="I91">
        <f t="shared" si="27"/>
        <v>1071075234</v>
      </c>
      <c r="J91">
        <f t="shared" si="27"/>
        <v>1257272124</v>
      </c>
      <c r="K91">
        <f t="shared" si="27"/>
        <v>1286816041</v>
      </c>
      <c r="L91">
        <f t="shared" si="27"/>
        <v>1318803215</v>
      </c>
      <c r="M91">
        <f t="shared" si="27"/>
        <v>1364340719</v>
      </c>
      <c r="N91">
        <f t="shared" si="27"/>
        <v>1407435016</v>
      </c>
      <c r="O91">
        <f t="shared" si="27"/>
        <v>1388998222</v>
      </c>
      <c r="P91">
        <f t="shared" si="27"/>
        <v>1357011048</v>
      </c>
      <c r="Q91">
        <f t="shared" si="27"/>
        <v>1462970689</v>
      </c>
      <c r="R91">
        <f t="shared" si="27"/>
        <v>1446977081</v>
      </c>
      <c r="S91">
        <f t="shared" si="27"/>
        <v>1499844277</v>
      </c>
    </row>
    <row r="92" spans="1:19">
      <c r="A92" t="s">
        <v>26</v>
      </c>
      <c r="B92" t="s">
        <v>438</v>
      </c>
      <c r="C92" t="s">
        <v>1992</v>
      </c>
      <c r="D92" t="s">
        <v>444</v>
      </c>
      <c r="G92">
        <f t="shared" si="19"/>
        <v>287636792</v>
      </c>
      <c r="H92">
        <f t="shared" ref="H92:S92" si="28">H93+H94+H95+H96</f>
        <v>20337712</v>
      </c>
      <c r="I92">
        <f t="shared" si="28"/>
        <v>19167832</v>
      </c>
      <c r="J92">
        <f t="shared" si="28"/>
        <v>22608848</v>
      </c>
      <c r="K92">
        <f t="shared" si="28"/>
        <v>23142676</v>
      </c>
      <c r="L92">
        <f t="shared" si="28"/>
        <v>23718124</v>
      </c>
      <c r="M92">
        <f t="shared" si="28"/>
        <v>24539676</v>
      </c>
      <c r="N92">
        <f t="shared" si="28"/>
        <v>25319616</v>
      </c>
      <c r="O92">
        <f t="shared" si="28"/>
        <v>24990280</v>
      </c>
      <c r="P92">
        <f t="shared" si="28"/>
        <v>24414832</v>
      </c>
      <c r="Q92">
        <f t="shared" si="28"/>
        <v>26342084</v>
      </c>
      <c r="R92">
        <f t="shared" si="28"/>
        <v>26054356</v>
      </c>
      <c r="S92">
        <f t="shared" si="28"/>
        <v>27000756</v>
      </c>
    </row>
    <row r="93" spans="1:19">
      <c r="A93" t="s">
        <v>60</v>
      </c>
      <c r="B93" t="s">
        <v>438</v>
      </c>
      <c r="C93" t="s">
        <v>1993</v>
      </c>
      <c r="D93" t="s">
        <v>446</v>
      </c>
      <c r="G93">
        <f t="shared" si="19"/>
        <v>84409198</v>
      </c>
      <c r="H93">
        <f>B01企业金融业务状况表!H233+B02金融市场业务状况表!H276</f>
        <v>5959428</v>
      </c>
      <c r="I93">
        <f>B01企业金融业务状况表!I233+B02金融市场业务状况表!I276</f>
        <v>5604458</v>
      </c>
      <c r="J93">
        <f>B01企业金融业务状况表!J233+B02金融市场业务状况表!J276</f>
        <v>6627212</v>
      </c>
      <c r="K93">
        <f>B01企业金融业务状况表!K233+B02金融市场业务状况表!K276</f>
        <v>6785669</v>
      </c>
      <c r="L93">
        <f>B01企业金融业务状况表!L233+B02金融市场业务状况表!L276</f>
        <v>6954531</v>
      </c>
      <c r="M93">
        <f>B01企业金融业务状况表!M233+B02金融市场业务状况表!M276</f>
        <v>7197419</v>
      </c>
      <c r="N93">
        <f>B01企业金融业务状况表!N233+B02金融市场业务状况表!N276</f>
        <v>7429904</v>
      </c>
      <c r="O93">
        <f>B01企业金融业务状况表!O233+B02金融市场业务状况表!O276</f>
        <v>7335070</v>
      </c>
      <c r="P93">
        <f>B01企业金融业务状况表!P233+B02金融市场业务状况表!P276</f>
        <v>7166208</v>
      </c>
      <c r="Q93">
        <f>B01企业金融业务状况表!Q233+B02金融市场业务状况表!Q276</f>
        <v>7748021</v>
      </c>
      <c r="R93">
        <f>B01企业金融业务状况表!R233+B02金融市场业务状况表!R276</f>
        <v>7663589</v>
      </c>
      <c r="S93">
        <f>B01企业金融业务状况表!S233+B02金融市场业务状况表!S276</f>
        <v>7937689</v>
      </c>
    </row>
    <row r="94" spans="1:19">
      <c r="A94" t="s">
        <v>60</v>
      </c>
      <c r="B94" t="s">
        <v>438</v>
      </c>
      <c r="C94" t="s">
        <v>1994</v>
      </c>
      <c r="D94" t="s">
        <v>448</v>
      </c>
      <c r="G94">
        <f t="shared" si="19"/>
        <v>74409198</v>
      </c>
      <c r="H94">
        <f>B01企业金融业务状况表!H234+B02金融市场业务状况表!H277</f>
        <v>5259428</v>
      </c>
      <c r="I94">
        <f>B01企业金融业务状况表!I234+B02金融市场业务状况表!I277</f>
        <v>4954458</v>
      </c>
      <c r="J94">
        <f>B01企业金融业务状况表!J234+B02金融市场业务状况表!J277</f>
        <v>5847212</v>
      </c>
      <c r="K94">
        <f>B01企业金融业务状况表!K234+B02金融市场业务状况表!K277</f>
        <v>5985669</v>
      </c>
      <c r="L94">
        <f>B01企业金融业务状况表!L234+B02金融市场业务状况表!L277</f>
        <v>6134531</v>
      </c>
      <c r="M94">
        <f>B01企业金融业务状况表!M234+B02金融市场业务状况表!M277</f>
        <v>6347419</v>
      </c>
      <c r="N94">
        <f>B01企业金融业务状况表!N234+B02金融市场业务状况表!N277</f>
        <v>6549904</v>
      </c>
      <c r="O94">
        <f>B01企业金融业务状况表!O234+B02金融市场业务状况表!O277</f>
        <v>6465070</v>
      </c>
      <c r="P94">
        <f>B01企业金融业务状况表!P234+B02金融市场业务状况表!P277</f>
        <v>6316208</v>
      </c>
      <c r="Q94">
        <f>B01企业金融业务状况表!Q234+B02金融市场业务状况表!Q277</f>
        <v>6818021</v>
      </c>
      <c r="R94">
        <f>B01企业金融业务状况表!R234+B02金融市场业务状况表!R277</f>
        <v>6743589</v>
      </c>
      <c r="S94">
        <f>B01企业金融业务状况表!S234+B02金融市场业务状况表!S277</f>
        <v>6987689</v>
      </c>
    </row>
    <row r="95" spans="1:19">
      <c r="A95" t="s">
        <v>60</v>
      </c>
      <c r="B95" t="s">
        <v>438</v>
      </c>
      <c r="C95" t="s">
        <v>1995</v>
      </c>
      <c r="D95" t="s">
        <v>450</v>
      </c>
      <c r="G95">
        <f t="shared" si="19"/>
        <v>64409198</v>
      </c>
      <c r="H95">
        <f>B01企业金融业务状况表!H235+B02金融市场业务状况表!H278</f>
        <v>4559428</v>
      </c>
      <c r="I95">
        <f>B01企业金融业务状况表!I235+B02金融市场业务状况表!I278</f>
        <v>4304458</v>
      </c>
      <c r="J95">
        <f>B01企业金融业务状况表!J235+B02金融市场业务状况表!J278</f>
        <v>5067212</v>
      </c>
      <c r="K95">
        <f>B01企业金融业务状况表!K235+B02金融市场业务状况表!K278</f>
        <v>5185669</v>
      </c>
      <c r="L95">
        <f>B01企业金融业务状况表!L235+B02金融市场业务状况表!L278</f>
        <v>5314531</v>
      </c>
      <c r="M95">
        <f>B01企业金融业务状况表!M235+B02金融市场业务状况表!M278</f>
        <v>5497419</v>
      </c>
      <c r="N95">
        <f>B01企业金融业务状况表!N235+B02金融市场业务状况表!N278</f>
        <v>5669904</v>
      </c>
      <c r="O95">
        <f>B01企业金融业务状况表!O235+B02金融市场业务状况表!O278</f>
        <v>5595070</v>
      </c>
      <c r="P95">
        <f>B01企业金融业务状况表!P235+B02金融市场业务状况表!P278</f>
        <v>5466208</v>
      </c>
      <c r="Q95">
        <f>B01企业金融业务状况表!Q235+B02金融市场业务状况表!Q278</f>
        <v>5888021</v>
      </c>
      <c r="R95">
        <f>B01企业金融业务状况表!R235+B02金融市场业务状况表!R278</f>
        <v>5823589</v>
      </c>
      <c r="S95">
        <f>B01企业金融业务状况表!S235+B02金融市场业务状况表!S278</f>
        <v>6037689</v>
      </c>
    </row>
    <row r="96" spans="1:19">
      <c r="A96" t="s">
        <v>60</v>
      </c>
      <c r="B96" t="s">
        <v>438</v>
      </c>
      <c r="C96" t="s">
        <v>1996</v>
      </c>
      <c r="D96" t="s">
        <v>452</v>
      </c>
      <c r="G96">
        <f t="shared" si="19"/>
        <v>64409198</v>
      </c>
      <c r="H96">
        <f>B01企业金融业务状况表!H236+B02金融市场业务状况表!H279</f>
        <v>4559428</v>
      </c>
      <c r="I96">
        <f>B01企业金融业务状况表!I236+B02金融市场业务状况表!I279</f>
        <v>4304458</v>
      </c>
      <c r="J96">
        <f>B01企业金融业务状况表!J236+B02金融市场业务状况表!J279</f>
        <v>5067212</v>
      </c>
      <c r="K96">
        <f>B01企业金融业务状况表!K236+B02金融市场业务状况表!K279</f>
        <v>5185669</v>
      </c>
      <c r="L96">
        <f>B01企业金融业务状况表!L236+B02金融市场业务状况表!L279</f>
        <v>5314531</v>
      </c>
      <c r="M96">
        <f>B01企业金融业务状况表!M236+B02金融市场业务状况表!M279</f>
        <v>5497419</v>
      </c>
      <c r="N96">
        <f>B01企业金融业务状况表!N236+B02金融市场业务状况表!N279</f>
        <v>5669904</v>
      </c>
      <c r="O96">
        <f>B01企业金融业务状况表!O236+B02金融市场业务状况表!O279</f>
        <v>5595070</v>
      </c>
      <c r="P96">
        <f>B01企业金融业务状况表!P236+B02金融市场业务状况表!P279</f>
        <v>5466208</v>
      </c>
      <c r="Q96">
        <f>B01企业金融业务状况表!Q236+B02金融市场业务状况表!Q279</f>
        <v>5888021</v>
      </c>
      <c r="R96">
        <f>B01企业金融业务状况表!R236+B02金融市场业务状况表!R279</f>
        <v>5823589</v>
      </c>
      <c r="S96">
        <f>B01企业金融业务状况表!S236+B02金融市场业务状况表!S279</f>
        <v>6037689</v>
      </c>
    </row>
    <row r="97" spans="1:19">
      <c r="A97" t="s">
        <v>26</v>
      </c>
      <c r="B97" t="s">
        <v>438</v>
      </c>
      <c r="C97" t="s">
        <v>1997</v>
      </c>
      <c r="D97" t="s">
        <v>454</v>
      </c>
      <c r="G97">
        <f t="shared" si="19"/>
        <v>15482406668</v>
      </c>
      <c r="H97">
        <f t="shared" ref="H97:S97" si="29">H98+H99+H100+H101+H102+H103+H104+H105+H106+H107+H108+H109+H110+H111</f>
        <v>1095611392</v>
      </c>
      <c r="I97">
        <f t="shared" si="29"/>
        <v>1037044028</v>
      </c>
      <c r="J97">
        <f t="shared" si="29"/>
        <v>1217121640</v>
      </c>
      <c r="K97">
        <f t="shared" si="29"/>
        <v>1245716358</v>
      </c>
      <c r="L97">
        <f t="shared" si="29"/>
        <v>1276681498</v>
      </c>
      <c r="M97">
        <f t="shared" si="29"/>
        <v>1320758786</v>
      </c>
      <c r="N97">
        <f t="shared" si="29"/>
        <v>1362465688</v>
      </c>
      <c r="O97">
        <f t="shared" si="29"/>
        <v>1344612732</v>
      </c>
      <c r="P97">
        <f t="shared" si="29"/>
        <v>1313647592</v>
      </c>
      <c r="Q97">
        <f t="shared" si="29"/>
        <v>1416174542</v>
      </c>
      <c r="R97">
        <f t="shared" si="29"/>
        <v>1400691958</v>
      </c>
      <c r="S97">
        <f t="shared" si="29"/>
        <v>1451880454</v>
      </c>
    </row>
    <row r="98" spans="1:19">
      <c r="A98" t="s">
        <v>60</v>
      </c>
      <c r="B98" t="s">
        <v>438</v>
      </c>
      <c r="C98" t="s">
        <v>1998</v>
      </c>
      <c r="D98" t="s">
        <v>456</v>
      </c>
      <c r="G98">
        <f t="shared" si="19"/>
        <v>438243935</v>
      </c>
      <c r="H98">
        <f>B01企业金融业务状况表!H238+B02金融市场业务状况表!H281</f>
        <v>32119353</v>
      </c>
      <c r="I98">
        <f>B01企业金融业务状况表!I238+B02金融市场业务状况表!I281</f>
        <v>32233410</v>
      </c>
      <c r="J98">
        <f>B01企业金融业务状况表!J238+B02金融市场业务状况表!J281</f>
        <v>35337296</v>
      </c>
      <c r="K98">
        <f>B01企业金融业务状况表!K238+B02金融市场业务状况表!K281</f>
        <v>35925293</v>
      </c>
      <c r="L98">
        <f>B01企业金融业务状况表!L238+B02金融市场业务状况表!L281</f>
        <v>36801789</v>
      </c>
      <c r="M98">
        <f>B01企业金融业务状况表!M238+B02金融市场业务状况表!M281</f>
        <v>37828034</v>
      </c>
      <c r="N98">
        <f>B01企业金融业务状况表!N238+B02金融市场业务状况表!N281</f>
        <v>38565783</v>
      </c>
      <c r="O98">
        <f>B01企业金融业务状况表!O238+B02金融市场业务状况表!O281</f>
        <v>37839039</v>
      </c>
      <c r="P98">
        <f>B01企业金融业务状况表!P238+B02金融市场业务状况表!P281</f>
        <v>36962543</v>
      </c>
      <c r="Q98">
        <f>B01企业金融业务状况表!Q238+B02金融市场业务状况表!Q281</f>
        <v>37872052</v>
      </c>
      <c r="R98">
        <f>B01企业金融业务状况表!R238+B02金融市场业务状况表!R281</f>
        <v>37433803</v>
      </c>
      <c r="S98">
        <f>B01企业金融业务状况表!S238+B02金融市场业务状况表!S281</f>
        <v>39325540</v>
      </c>
    </row>
    <row r="99" spans="1:19">
      <c r="A99" t="s">
        <v>60</v>
      </c>
      <c r="B99" t="s">
        <v>438</v>
      </c>
      <c r="C99" t="s">
        <v>1999</v>
      </c>
      <c r="D99" t="s">
        <v>458</v>
      </c>
      <c r="G99">
        <f t="shared" si="19"/>
        <v>84409198</v>
      </c>
      <c r="H99">
        <f>B01企业金融业务状况表!H239+B02金融市场业务状况表!H282</f>
        <v>5959428</v>
      </c>
      <c r="I99">
        <f>B01企业金融业务状况表!I239+B02金融市场业务状况表!I282</f>
        <v>5604458</v>
      </c>
      <c r="J99">
        <f>B01企业金融业务状况表!J239+B02金融市场业务状况表!J282</f>
        <v>6627212</v>
      </c>
      <c r="K99">
        <f>B01企业金融业务状况表!K239+B02金融市场业务状况表!K282</f>
        <v>6785669</v>
      </c>
      <c r="L99">
        <f>B01企业金融业务状况表!L239+B02金融市场业务状况表!L282</f>
        <v>6954531</v>
      </c>
      <c r="M99">
        <f>B01企业金融业务状况表!M239+B02金融市场业务状况表!M282</f>
        <v>7197419</v>
      </c>
      <c r="N99">
        <f>B01企业金融业务状况表!N239+B02金融市场业务状况表!N282</f>
        <v>7429904</v>
      </c>
      <c r="O99">
        <f>B01企业金融业务状况表!O239+B02金融市场业务状况表!O282</f>
        <v>7335070</v>
      </c>
      <c r="P99">
        <f>B01企业金融业务状况表!P239+B02金融市场业务状况表!P282</f>
        <v>7166208</v>
      </c>
      <c r="Q99">
        <f>B01企业金融业务状况表!Q239+B02金融市场业务状况表!Q282</f>
        <v>7748021</v>
      </c>
      <c r="R99">
        <f>B01企业金融业务状况表!R239+B02金融市场业务状况表!R282</f>
        <v>7663589</v>
      </c>
      <c r="S99">
        <f>B01企业金融业务状况表!S239+B02金融市场业务状况表!S282</f>
        <v>7937689</v>
      </c>
    </row>
    <row r="100" spans="1:19">
      <c r="A100" t="s">
        <v>60</v>
      </c>
      <c r="B100" t="s">
        <v>438</v>
      </c>
      <c r="C100" t="s">
        <v>2000</v>
      </c>
      <c r="D100" t="s">
        <v>460</v>
      </c>
      <c r="G100">
        <f t="shared" si="19"/>
        <v>74409198</v>
      </c>
      <c r="H100">
        <f>B01企业金融业务状况表!H240+B02金融市场业务状况表!H283</f>
        <v>5259428</v>
      </c>
      <c r="I100">
        <f>B01企业金融业务状况表!I240+B02金融市场业务状况表!I283</f>
        <v>4954458</v>
      </c>
      <c r="J100">
        <f>B01企业金融业务状况表!J240+B02金融市场业务状况表!J283</f>
        <v>5847212</v>
      </c>
      <c r="K100">
        <f>B01企业金融业务状况表!K240+B02金融市场业务状况表!K283</f>
        <v>5985669</v>
      </c>
      <c r="L100">
        <f>B01企业金融业务状况表!L240+B02金融市场业务状况表!L283</f>
        <v>6134531</v>
      </c>
      <c r="M100">
        <f>B01企业金融业务状况表!M240+B02金融市场业务状况表!M283</f>
        <v>6347419</v>
      </c>
      <c r="N100">
        <f>B01企业金融业务状况表!N240+B02金融市场业务状况表!N283</f>
        <v>6549904</v>
      </c>
      <c r="O100">
        <f>B01企业金融业务状况表!O240+B02金融市场业务状况表!O283</f>
        <v>6465070</v>
      </c>
      <c r="P100">
        <f>B01企业金融业务状况表!P240+B02金融市场业务状况表!P283</f>
        <v>6316208</v>
      </c>
      <c r="Q100">
        <f>B01企业金融业务状况表!Q240+B02金融市场业务状况表!Q283</f>
        <v>6818021</v>
      </c>
      <c r="R100">
        <f>B01企业金融业务状况表!R240+B02金融市场业务状况表!R283</f>
        <v>6743589</v>
      </c>
      <c r="S100">
        <f>B01企业金融业务状况表!S240+B02金融市场业务状况表!S283</f>
        <v>6987689</v>
      </c>
    </row>
    <row r="101" spans="1:19">
      <c r="A101" t="s">
        <v>60</v>
      </c>
      <c r="B101" t="s">
        <v>438</v>
      </c>
      <c r="C101" t="s">
        <v>2001</v>
      </c>
      <c r="D101" t="s">
        <v>462</v>
      </c>
      <c r="G101">
        <f t="shared" si="19"/>
        <v>1644409198</v>
      </c>
      <c r="H101">
        <f>B01企业金融业务状况表!H241+B02金融市场业务状况表!H284</f>
        <v>115159428</v>
      </c>
      <c r="I101">
        <f>B01企业金融业务状况表!I241+B02金融市场业务状况表!I284</f>
        <v>107004458</v>
      </c>
      <c r="J101">
        <f>B01企业金融业务状况表!J241+B02金融市场业务状况表!J284</f>
        <v>128307212</v>
      </c>
      <c r="K101">
        <f>B01企业金融业务状况表!K241+B02金融市场业务状况表!K284</f>
        <v>131585669</v>
      </c>
      <c r="L101">
        <f>B01企业金融业务状况表!L241+B02金融市场业务状况表!L284</f>
        <v>134874531</v>
      </c>
      <c r="M101">
        <f>B01企业金融业务状况表!M241+B02金融市场业务状况表!M284</f>
        <v>139797419</v>
      </c>
      <c r="N101">
        <f>B01企业金融业务状况表!N241+B02金融市场业务状况表!N284</f>
        <v>144709904</v>
      </c>
      <c r="O101">
        <f>B01企业金融业务状况表!O241+B02金融市场业务状况表!O284</f>
        <v>143055070</v>
      </c>
      <c r="P101">
        <f>B01企业金融业务状况表!P241+B02金融市场业务状况表!P284</f>
        <v>139766208</v>
      </c>
      <c r="Q101">
        <f>B01企业金融业务状况表!Q241+B02金融市场业务状况表!Q284</f>
        <v>152828021</v>
      </c>
      <c r="R101">
        <f>B01企业金融业务状况表!R241+B02金融市场业务状况表!R284</f>
        <v>151183589</v>
      </c>
      <c r="S101">
        <f>B01企业金融业务状况表!S241+B02金融市场业务状况表!S284</f>
        <v>156137689</v>
      </c>
    </row>
    <row r="102" spans="1:19">
      <c r="A102" t="s">
        <v>60</v>
      </c>
      <c r="B102" t="s">
        <v>438</v>
      </c>
      <c r="C102" t="s">
        <v>2002</v>
      </c>
      <c r="D102" t="s">
        <v>464</v>
      </c>
      <c r="G102">
        <f t="shared" si="19"/>
        <v>438243935</v>
      </c>
      <c r="H102">
        <f>B01企业金融业务状况表!H242+B02金融市场业务状况表!H285</f>
        <v>32119353</v>
      </c>
      <c r="I102">
        <f>B01企业金融业务状况表!I242+B02金融市场业务状况表!I285</f>
        <v>32233410</v>
      </c>
      <c r="J102">
        <f>B01企业金融业务状况表!J242+B02金融市场业务状况表!J285</f>
        <v>35337296</v>
      </c>
      <c r="K102">
        <f>B01企业金融业务状况表!K242+B02金融市场业务状况表!K285</f>
        <v>35925293</v>
      </c>
      <c r="L102">
        <f>B01企业金融业务状况表!L242+B02金融市场业务状况表!L285</f>
        <v>36801789</v>
      </c>
      <c r="M102">
        <f>B01企业金融业务状况表!M242+B02金融市场业务状况表!M285</f>
        <v>37828034</v>
      </c>
      <c r="N102">
        <f>B01企业金融业务状况表!N242+B02金融市场业务状况表!N285</f>
        <v>38565783</v>
      </c>
      <c r="O102">
        <f>B01企业金融业务状况表!O242+B02金融市场业务状况表!O285</f>
        <v>37839039</v>
      </c>
      <c r="P102">
        <f>B01企业金融业务状况表!P242+B02金融市场业务状况表!P285</f>
        <v>36962543</v>
      </c>
      <c r="Q102">
        <f>B01企业金融业务状况表!Q242+B02金融市场业务状况表!Q285</f>
        <v>37872052</v>
      </c>
      <c r="R102">
        <f>B01企业金融业务状况表!R242+B02金融市场业务状况表!R285</f>
        <v>37433803</v>
      </c>
      <c r="S102">
        <f>B01企业金融业务状况表!S242+B02金融市场业务状况表!S285</f>
        <v>39325540</v>
      </c>
    </row>
    <row r="103" spans="1:19">
      <c r="A103" t="s">
        <v>60</v>
      </c>
      <c r="B103" t="s">
        <v>438</v>
      </c>
      <c r="C103" t="s">
        <v>2003</v>
      </c>
      <c r="D103" t="s">
        <v>466</v>
      </c>
      <c r="G103">
        <f t="shared" si="19"/>
        <v>10044409198</v>
      </c>
      <c r="H103">
        <f>B01企业金融业务状况表!H243+B02金融市场业务状况表!H286</f>
        <v>703159428</v>
      </c>
      <c r="I103">
        <f>B01企业金融业务状况表!I243+B02金融市场业务状况表!I286</f>
        <v>653004458</v>
      </c>
      <c r="J103">
        <f>B01企业金融业务状况表!J243+B02金融市场业务状况表!J286</f>
        <v>783507212</v>
      </c>
      <c r="K103">
        <f>B01企业金融业务状况表!K243+B02金融市场业务状况表!K286</f>
        <v>803585669</v>
      </c>
      <c r="L103">
        <f>B01企业金融业务状况表!L243+B02金融市场业务状况表!L286</f>
        <v>823674531</v>
      </c>
      <c r="M103">
        <f>B01企业金融业务状况表!M243+B02金融市场业务状况表!M286</f>
        <v>853797419</v>
      </c>
      <c r="N103">
        <f>B01企业金融业务状况表!N243+B02金融市场业务状况表!N286</f>
        <v>883909904</v>
      </c>
      <c r="O103">
        <f>B01企业金融业务状况表!O243+B02金融市场业务状况表!O286</f>
        <v>873855070</v>
      </c>
      <c r="P103">
        <f>B01企业金融业务状况表!P243+B02金融市场业务状况表!P286</f>
        <v>853766208</v>
      </c>
      <c r="Q103">
        <f>B01企业金融业务状况表!Q243+B02金融市场业务状况表!Q286</f>
        <v>934028021</v>
      </c>
      <c r="R103">
        <f>B01企业金融业务状况表!R243+B02金融市场业务状况表!R286</f>
        <v>923983589</v>
      </c>
      <c r="S103">
        <f>B01企业金融业务状况表!S243+B02金融市场业务状况表!S286</f>
        <v>954137689</v>
      </c>
    </row>
    <row r="104" spans="1:19">
      <c r="A104" t="s">
        <v>60</v>
      </c>
      <c r="B104" t="s">
        <v>438</v>
      </c>
      <c r="C104" t="s">
        <v>2004</v>
      </c>
      <c r="D104" t="s">
        <v>468</v>
      </c>
      <c r="G104">
        <f t="shared" si="19"/>
        <v>438243935</v>
      </c>
      <c r="H104">
        <f>B01企业金融业务状况表!H244+B02金融市场业务状况表!H287</f>
        <v>32119353</v>
      </c>
      <c r="I104">
        <f>B01企业金融业务状况表!I244+B02金融市场业务状况表!I287</f>
        <v>32233410</v>
      </c>
      <c r="J104">
        <f>B01企业金融业务状况表!J244+B02金融市场业务状况表!J287</f>
        <v>35337296</v>
      </c>
      <c r="K104">
        <f>B01企业金融业务状况表!K244+B02金融市场业务状况表!K287</f>
        <v>35925293</v>
      </c>
      <c r="L104">
        <f>B01企业金融业务状况表!L244+B02金融市场业务状况表!L287</f>
        <v>36801789</v>
      </c>
      <c r="M104">
        <f>B01企业金融业务状况表!M244+B02金融市场业务状况表!M287</f>
        <v>37828034</v>
      </c>
      <c r="N104">
        <f>B01企业金融业务状况表!N244+B02金融市场业务状况表!N287</f>
        <v>38565783</v>
      </c>
      <c r="O104">
        <f>B01企业金融业务状况表!O244+B02金融市场业务状况表!O287</f>
        <v>37839039</v>
      </c>
      <c r="P104">
        <f>B01企业金融业务状况表!P244+B02金融市场业务状况表!P287</f>
        <v>36962543</v>
      </c>
      <c r="Q104">
        <f>B01企业金融业务状况表!Q244+B02金融市场业务状况表!Q287</f>
        <v>37872052</v>
      </c>
      <c r="R104">
        <f>B01企业金融业务状况表!R244+B02金融市场业务状况表!R287</f>
        <v>37433803</v>
      </c>
      <c r="S104">
        <f>B01企业金融业务状况表!S244+B02金融市场业务状况表!S287</f>
        <v>39325540</v>
      </c>
    </row>
    <row r="105" spans="1:19">
      <c r="A105" t="s">
        <v>60</v>
      </c>
      <c r="B105" t="s">
        <v>438</v>
      </c>
      <c r="C105" t="s">
        <v>2005</v>
      </c>
      <c r="D105" t="s">
        <v>470</v>
      </c>
      <c r="G105">
        <f t="shared" si="19"/>
        <v>438243935</v>
      </c>
      <c r="H105">
        <f>B01企业金融业务状况表!H245+B02金融市场业务状况表!H288</f>
        <v>32119353</v>
      </c>
      <c r="I105">
        <f>B01企业金融业务状况表!I245+B02金融市场业务状况表!I288</f>
        <v>32233410</v>
      </c>
      <c r="J105">
        <f>B01企业金融业务状况表!J245+B02金融市场业务状况表!J288</f>
        <v>35337296</v>
      </c>
      <c r="K105">
        <f>B01企业金融业务状况表!K245+B02金融市场业务状况表!K288</f>
        <v>35925293</v>
      </c>
      <c r="L105">
        <f>B01企业金融业务状况表!L245+B02金融市场业务状况表!L288</f>
        <v>36801789</v>
      </c>
      <c r="M105">
        <f>B01企业金融业务状况表!M245+B02金融市场业务状况表!M288</f>
        <v>37828034</v>
      </c>
      <c r="N105">
        <f>B01企业金融业务状况表!N245+B02金融市场业务状况表!N288</f>
        <v>38565783</v>
      </c>
      <c r="O105">
        <f>B01企业金融业务状况表!O245+B02金融市场业务状况表!O288</f>
        <v>37839039</v>
      </c>
      <c r="P105">
        <f>B01企业金融业务状况表!P245+B02金融市场业务状况表!P288</f>
        <v>36962543</v>
      </c>
      <c r="Q105">
        <f>B01企业金融业务状况表!Q245+B02金融市场业务状况表!Q288</f>
        <v>37872052</v>
      </c>
      <c r="R105">
        <f>B01企业金融业务状况表!R245+B02金融市场业务状况表!R288</f>
        <v>37433803</v>
      </c>
      <c r="S105">
        <f>B01企业金融业务状况表!S245+B02金融市场业务状况表!S288</f>
        <v>39325540</v>
      </c>
    </row>
    <row r="106" spans="1:19">
      <c r="A106" t="s">
        <v>60</v>
      </c>
      <c r="B106" t="s">
        <v>438</v>
      </c>
      <c r="C106" t="s">
        <v>2006</v>
      </c>
      <c r="D106" t="s">
        <v>472</v>
      </c>
      <c r="G106">
        <f t="shared" si="19"/>
        <v>438243935</v>
      </c>
      <c r="H106">
        <f>B01企业金融业务状况表!H246+B02金融市场业务状况表!H289</f>
        <v>32119353</v>
      </c>
      <c r="I106">
        <f>B01企业金融业务状况表!I246+B02金融市场业务状况表!I289</f>
        <v>32233410</v>
      </c>
      <c r="J106">
        <f>B01企业金融业务状况表!J246+B02金融市场业务状况表!J289</f>
        <v>35337296</v>
      </c>
      <c r="K106">
        <f>B01企业金融业务状况表!K246+B02金融市场业务状况表!K289</f>
        <v>35925293</v>
      </c>
      <c r="L106">
        <f>B01企业金融业务状况表!L246+B02金融市场业务状况表!L289</f>
        <v>36801789</v>
      </c>
      <c r="M106">
        <f>B01企业金融业务状况表!M246+B02金融市场业务状况表!M289</f>
        <v>37828034</v>
      </c>
      <c r="N106">
        <f>B01企业金融业务状况表!N246+B02金融市场业务状况表!N289</f>
        <v>38565783</v>
      </c>
      <c r="O106">
        <f>B01企业金融业务状况表!O246+B02金融市场业务状况表!O289</f>
        <v>37839039</v>
      </c>
      <c r="P106">
        <f>B01企业金融业务状况表!P246+B02金融市场业务状况表!P289</f>
        <v>36962543</v>
      </c>
      <c r="Q106">
        <f>B01企业金融业务状况表!Q246+B02金融市场业务状况表!Q289</f>
        <v>37872052</v>
      </c>
      <c r="R106">
        <f>B01企业金融业务状况表!R246+B02金融市场业务状况表!R289</f>
        <v>37433803</v>
      </c>
      <c r="S106">
        <f>B01企业金融业务状况表!S246+B02金融市场业务状况表!S289</f>
        <v>39325540</v>
      </c>
    </row>
    <row r="107" spans="1:19">
      <c r="A107" t="s">
        <v>60</v>
      </c>
      <c r="B107" t="s">
        <v>438</v>
      </c>
      <c r="C107" t="s">
        <v>2007</v>
      </c>
      <c r="D107" t="s">
        <v>474</v>
      </c>
      <c r="G107">
        <f t="shared" si="19"/>
        <v>438243935</v>
      </c>
      <c r="H107">
        <f>B01企业金融业务状况表!H247+B02金融市场业务状况表!H290</f>
        <v>32119353</v>
      </c>
      <c r="I107">
        <f>B01企业金融业务状况表!I247+B02金融市场业务状况表!I290</f>
        <v>32233410</v>
      </c>
      <c r="J107">
        <f>B01企业金融业务状况表!J247+B02金融市场业务状况表!J290</f>
        <v>35337296</v>
      </c>
      <c r="K107">
        <f>B01企业金融业务状况表!K247+B02金融市场业务状况表!K290</f>
        <v>35925293</v>
      </c>
      <c r="L107">
        <f>B01企业金融业务状况表!L247+B02金融市场业务状况表!L290</f>
        <v>36801789</v>
      </c>
      <c r="M107">
        <f>B01企业金融业务状况表!M247+B02金融市场业务状况表!M290</f>
        <v>37828034</v>
      </c>
      <c r="N107">
        <f>B01企业金融业务状况表!N247+B02金融市场业务状况表!N290</f>
        <v>38565783</v>
      </c>
      <c r="O107">
        <f>B01企业金融业务状况表!O247+B02金融市场业务状况表!O290</f>
        <v>37839039</v>
      </c>
      <c r="P107">
        <f>B01企业金融业务状况表!P247+B02金融市场业务状况表!P290</f>
        <v>36962543</v>
      </c>
      <c r="Q107">
        <f>B01企业金融业务状况表!Q247+B02金融市场业务状况表!Q290</f>
        <v>37872052</v>
      </c>
      <c r="R107">
        <f>B01企业金融业务状况表!R247+B02金融市场业务状况表!R290</f>
        <v>37433803</v>
      </c>
      <c r="S107">
        <f>B01企业金融业务状况表!S247+B02金融市场业务状况表!S290</f>
        <v>39325540</v>
      </c>
    </row>
    <row r="108" spans="1:19">
      <c r="A108" t="s">
        <v>60</v>
      </c>
      <c r="B108" t="s">
        <v>438</v>
      </c>
      <c r="C108" t="s">
        <v>2008</v>
      </c>
      <c r="D108" t="s">
        <v>476</v>
      </c>
      <c r="G108">
        <f t="shared" si="19"/>
        <v>438243935</v>
      </c>
      <c r="H108">
        <f>B01企业金融业务状况表!H248+B02金融市场业务状况表!H291</f>
        <v>32119353</v>
      </c>
      <c r="I108">
        <f>B01企业金融业务状况表!I248+B02金融市场业务状况表!I291</f>
        <v>32233410</v>
      </c>
      <c r="J108">
        <f>B01企业金融业务状况表!J248+B02金融市场业务状况表!J291</f>
        <v>35337296</v>
      </c>
      <c r="K108">
        <f>B01企业金融业务状况表!K248+B02金融市场业务状况表!K291</f>
        <v>35925293</v>
      </c>
      <c r="L108">
        <f>B01企业金融业务状况表!L248+B02金融市场业务状况表!L291</f>
        <v>36801789</v>
      </c>
      <c r="M108">
        <f>B01企业金融业务状况表!M248+B02金融市场业务状况表!M291</f>
        <v>37828034</v>
      </c>
      <c r="N108">
        <f>B01企业金融业务状况表!N248+B02金融市场业务状况表!N291</f>
        <v>38565783</v>
      </c>
      <c r="O108">
        <f>B01企业金融业务状况表!O248+B02金融市场业务状况表!O291</f>
        <v>37839039</v>
      </c>
      <c r="P108">
        <f>B01企业金融业务状况表!P248+B02金融市场业务状况表!P291</f>
        <v>36962543</v>
      </c>
      <c r="Q108">
        <f>B01企业金融业务状况表!Q248+B02金融市场业务状况表!Q291</f>
        <v>37872052</v>
      </c>
      <c r="R108">
        <f>B01企业金融业务状况表!R248+B02金融市场业务状况表!R291</f>
        <v>37433803</v>
      </c>
      <c r="S108">
        <f>B01企业金融业务状况表!S248+B02金融市场业务状况表!S291</f>
        <v>39325540</v>
      </c>
    </row>
    <row r="109" spans="1:19">
      <c r="A109" t="s">
        <v>60</v>
      </c>
      <c r="B109" t="s">
        <v>438</v>
      </c>
      <c r="C109" t="s">
        <v>2009</v>
      </c>
      <c r="D109" t="s">
        <v>478</v>
      </c>
      <c r="G109">
        <f t="shared" si="19"/>
        <v>64409198</v>
      </c>
      <c r="H109">
        <f>B01企业金融业务状况表!H249+B02金融市场业务状况表!H292</f>
        <v>4559428</v>
      </c>
      <c r="I109">
        <f>B01企业金融业务状况表!I249+B02金融市场业务状况表!I292</f>
        <v>4304458</v>
      </c>
      <c r="J109">
        <f>B01企业金融业务状况表!J249+B02金融市场业务状况表!J292</f>
        <v>5067212</v>
      </c>
      <c r="K109">
        <f>B01企业金融业务状况表!K249+B02金融市场业务状况表!K292</f>
        <v>5185669</v>
      </c>
      <c r="L109">
        <f>B01企业金融业务状况表!L249+B02金融市场业务状况表!L292</f>
        <v>5314531</v>
      </c>
      <c r="M109">
        <f>B01企业金融业务状况表!M249+B02金融市场业务状况表!M292</f>
        <v>5497419</v>
      </c>
      <c r="N109">
        <f>B01企业金融业务状况表!N249+B02金融市场业务状况表!N292</f>
        <v>5669904</v>
      </c>
      <c r="O109">
        <f>B01企业金融业务状况表!O249+B02金融市场业务状况表!O292</f>
        <v>5595070</v>
      </c>
      <c r="P109">
        <f>B01企业金融业务状况表!P249+B02金融市场业务状况表!P292</f>
        <v>5466208</v>
      </c>
      <c r="Q109">
        <f>B01企业金融业务状况表!Q249+B02金融市场业务状况表!Q292</f>
        <v>5888021</v>
      </c>
      <c r="R109">
        <f>B01企业金融业务状况表!R249+B02金融市场业务状况表!R292</f>
        <v>5823589</v>
      </c>
      <c r="S109">
        <f>B01企业金融业务状况表!S249+B02金融市场业务状况表!S292</f>
        <v>6037689</v>
      </c>
    </row>
    <row r="110" spans="1:19">
      <c r="A110" t="s">
        <v>60</v>
      </c>
      <c r="B110" t="s">
        <v>438</v>
      </c>
      <c r="C110" t="s">
        <v>2010</v>
      </c>
      <c r="D110" t="s">
        <v>480</v>
      </c>
      <c r="G110">
        <f t="shared" si="19"/>
        <v>64409198</v>
      </c>
      <c r="H110">
        <f>B01企业金融业务状况表!H250+B02金融市场业务状况表!H293</f>
        <v>4559428</v>
      </c>
      <c r="I110">
        <f>B01企业金融业务状况表!I250+B02金融市场业务状况表!I293</f>
        <v>4304458</v>
      </c>
      <c r="J110">
        <f>B01企业金融业务状况表!J250+B02金融市场业务状况表!J293</f>
        <v>5067212</v>
      </c>
      <c r="K110">
        <f>B01企业金融业务状况表!K250+B02金融市场业务状况表!K293</f>
        <v>5185669</v>
      </c>
      <c r="L110">
        <f>B01企业金融业务状况表!L250+B02金融市场业务状况表!L293</f>
        <v>5314531</v>
      </c>
      <c r="M110">
        <f>B01企业金融业务状况表!M250+B02金融市场业务状况表!M293</f>
        <v>5497419</v>
      </c>
      <c r="N110">
        <f>B01企业金融业务状况表!N250+B02金融市场业务状况表!N293</f>
        <v>5669904</v>
      </c>
      <c r="O110">
        <f>B01企业金融业务状况表!O250+B02金融市场业务状况表!O293</f>
        <v>5595070</v>
      </c>
      <c r="P110">
        <f>B01企业金融业务状况表!P250+B02金融市场业务状况表!P293</f>
        <v>5466208</v>
      </c>
      <c r="Q110">
        <f>B01企业金融业务状况表!Q250+B02金融市场业务状况表!Q293</f>
        <v>5888021</v>
      </c>
      <c r="R110">
        <f>B01企业金融业务状况表!R250+B02金融市场业务状况表!R293</f>
        <v>5823589</v>
      </c>
      <c r="S110">
        <f>B01企业金融业务状况表!S250+B02金融市场业务状况表!S293</f>
        <v>6037689</v>
      </c>
    </row>
    <row r="111" spans="1:19">
      <c r="A111" t="s">
        <v>60</v>
      </c>
      <c r="B111" t="s">
        <v>438</v>
      </c>
      <c r="C111" t="s">
        <v>2011</v>
      </c>
      <c r="D111" t="s">
        <v>482</v>
      </c>
      <c r="G111">
        <f t="shared" si="19"/>
        <v>438243935</v>
      </c>
      <c r="H111">
        <f>B01企业金融业务状况表!H251+B02金融市场业务状况表!H294</f>
        <v>32119353</v>
      </c>
      <c r="I111">
        <f>B01企业金融业务状况表!I251+B02金融市场业务状况表!I294</f>
        <v>32233410</v>
      </c>
      <c r="J111">
        <f>B01企业金融业务状况表!J251+B02金融市场业务状况表!J294</f>
        <v>35337296</v>
      </c>
      <c r="K111">
        <f>B01企业金融业务状况表!K251+B02金融市场业务状况表!K294</f>
        <v>35925293</v>
      </c>
      <c r="L111">
        <f>B01企业金融业务状况表!L251+B02金融市场业务状况表!L294</f>
        <v>36801789</v>
      </c>
      <c r="M111">
        <f>B01企业金融业务状况表!M251+B02金融市场业务状况表!M294</f>
        <v>37828034</v>
      </c>
      <c r="N111">
        <f>B01企业金融业务状况表!N251+B02金融市场业务状况表!N294</f>
        <v>38565783</v>
      </c>
      <c r="O111">
        <f>B01企业金融业务状况表!O251+B02金融市场业务状况表!O294</f>
        <v>37839039</v>
      </c>
      <c r="P111">
        <f>B01企业金融业务状况表!P251+B02金融市场业务状况表!P294</f>
        <v>36962543</v>
      </c>
      <c r="Q111">
        <f>B01企业金融业务状况表!Q251+B02金融市场业务状况表!Q294</f>
        <v>37872052</v>
      </c>
      <c r="R111">
        <f>B01企业金融业务状况表!R251+B02金融市场业务状况表!R294</f>
        <v>37433803</v>
      </c>
      <c r="S111">
        <f>B01企业金融业务状况表!S251+B02金融市场业务状况表!S294</f>
        <v>39325540</v>
      </c>
    </row>
    <row r="112" spans="1:19">
      <c r="A112" t="s">
        <v>26</v>
      </c>
      <c r="B112" t="s">
        <v>438</v>
      </c>
      <c r="C112" t="s">
        <v>2012</v>
      </c>
      <c r="D112" t="s">
        <v>484</v>
      </c>
      <c r="G112">
        <f t="shared" si="19"/>
        <v>223227594</v>
      </c>
      <c r="H112">
        <f t="shared" ref="H112:S112" si="30">H113+H114+H115</f>
        <v>15778284</v>
      </c>
      <c r="I112">
        <f t="shared" si="30"/>
        <v>14863374</v>
      </c>
      <c r="J112">
        <f t="shared" si="30"/>
        <v>17541636</v>
      </c>
      <c r="K112">
        <f t="shared" si="30"/>
        <v>17957007</v>
      </c>
      <c r="L112">
        <f t="shared" si="30"/>
        <v>18403593</v>
      </c>
      <c r="M112">
        <f t="shared" si="30"/>
        <v>19042257</v>
      </c>
      <c r="N112">
        <f t="shared" si="30"/>
        <v>19649712</v>
      </c>
      <c r="O112">
        <f t="shared" si="30"/>
        <v>19395210</v>
      </c>
      <c r="P112">
        <f t="shared" si="30"/>
        <v>18948624</v>
      </c>
      <c r="Q112">
        <f t="shared" si="30"/>
        <v>20454063</v>
      </c>
      <c r="R112">
        <f t="shared" si="30"/>
        <v>20230767</v>
      </c>
      <c r="S112">
        <f t="shared" si="30"/>
        <v>20963067</v>
      </c>
    </row>
    <row r="113" spans="1:19">
      <c r="A113" t="s">
        <v>60</v>
      </c>
      <c r="B113" t="s">
        <v>438</v>
      </c>
      <c r="C113" t="s">
        <v>2013</v>
      </c>
      <c r="D113" t="s">
        <v>486</v>
      </c>
      <c r="G113">
        <f t="shared" si="19"/>
        <v>84409198</v>
      </c>
      <c r="H113">
        <f>B01企业金融业务状况表!H253+B02金融市场业务状况表!H296</f>
        <v>5959428</v>
      </c>
      <c r="I113">
        <f>B01企业金融业务状况表!I253+B02金融市场业务状况表!I296</f>
        <v>5604458</v>
      </c>
      <c r="J113">
        <f>B01企业金融业务状况表!J253+B02金融市场业务状况表!J296</f>
        <v>6627212</v>
      </c>
      <c r="K113">
        <f>B01企业金融业务状况表!K253+B02金融市场业务状况表!K296</f>
        <v>6785669</v>
      </c>
      <c r="L113">
        <f>B01企业金融业务状况表!L253+B02金融市场业务状况表!L296</f>
        <v>6954531</v>
      </c>
      <c r="M113">
        <f>B01企业金融业务状况表!M253+B02金融市场业务状况表!M296</f>
        <v>7197419</v>
      </c>
      <c r="N113">
        <f>B01企业金融业务状况表!N253+B02金融市场业务状况表!N296</f>
        <v>7429904</v>
      </c>
      <c r="O113">
        <f>B01企业金融业务状况表!O253+B02金融市场业务状况表!O296</f>
        <v>7335070</v>
      </c>
      <c r="P113">
        <f>B01企业金融业务状况表!P253+B02金融市场业务状况表!P296</f>
        <v>7166208</v>
      </c>
      <c r="Q113">
        <f>B01企业金融业务状况表!Q253+B02金融市场业务状况表!Q296</f>
        <v>7748021</v>
      </c>
      <c r="R113">
        <f>B01企业金融业务状况表!R253+B02金融市场业务状况表!R296</f>
        <v>7663589</v>
      </c>
      <c r="S113">
        <f>B01企业金融业务状况表!S253+B02金融市场业务状况表!S296</f>
        <v>7937689</v>
      </c>
    </row>
    <row r="114" spans="1:19">
      <c r="A114" t="s">
        <v>60</v>
      </c>
      <c r="B114" t="s">
        <v>438</v>
      </c>
      <c r="C114" t="s">
        <v>2014</v>
      </c>
      <c r="D114" t="s">
        <v>488</v>
      </c>
      <c r="G114">
        <f t="shared" si="19"/>
        <v>74409198</v>
      </c>
      <c r="H114">
        <f>B01企业金融业务状况表!H254+B02金融市场业务状况表!H297</f>
        <v>5259428</v>
      </c>
      <c r="I114">
        <f>B01企业金融业务状况表!I254+B02金融市场业务状况表!I297</f>
        <v>4954458</v>
      </c>
      <c r="J114">
        <f>B01企业金融业务状况表!J254+B02金融市场业务状况表!J297</f>
        <v>5847212</v>
      </c>
      <c r="K114">
        <f>B01企业金融业务状况表!K254+B02金融市场业务状况表!K297</f>
        <v>5985669</v>
      </c>
      <c r="L114">
        <f>B01企业金融业务状况表!L254+B02金融市场业务状况表!L297</f>
        <v>6134531</v>
      </c>
      <c r="M114">
        <f>B01企业金融业务状况表!M254+B02金融市场业务状况表!M297</f>
        <v>6347419</v>
      </c>
      <c r="N114">
        <f>B01企业金融业务状况表!N254+B02金融市场业务状况表!N297</f>
        <v>6549904</v>
      </c>
      <c r="O114">
        <f>B01企业金融业务状况表!O254+B02金融市场业务状况表!O297</f>
        <v>6465070</v>
      </c>
      <c r="P114">
        <f>B01企业金融业务状况表!P254+B02金融市场业务状况表!P297</f>
        <v>6316208</v>
      </c>
      <c r="Q114">
        <f>B01企业金融业务状况表!Q254+B02金融市场业务状况表!Q297</f>
        <v>6818021</v>
      </c>
      <c r="R114">
        <f>B01企业金融业务状况表!R254+B02金融市场业务状况表!R297</f>
        <v>6743589</v>
      </c>
      <c r="S114">
        <f>B01企业金融业务状况表!S254+B02金融市场业务状况表!S297</f>
        <v>6987689</v>
      </c>
    </row>
    <row r="115" spans="1:19">
      <c r="A115" t="s">
        <v>60</v>
      </c>
      <c r="B115" t="s">
        <v>438</v>
      </c>
      <c r="C115" t="s">
        <v>2015</v>
      </c>
      <c r="D115" t="s">
        <v>490</v>
      </c>
      <c r="G115">
        <f t="shared" si="19"/>
        <v>64409198</v>
      </c>
      <c r="H115">
        <f>B01企业金融业务状况表!H255+B02金融市场业务状况表!H298</f>
        <v>4559428</v>
      </c>
      <c r="I115">
        <f>B01企业金融业务状况表!I255+B02金融市场业务状况表!I298</f>
        <v>4304458</v>
      </c>
      <c r="J115">
        <f>B01企业金融业务状况表!J255+B02金融市场业务状况表!J298</f>
        <v>5067212</v>
      </c>
      <c r="K115">
        <f>B01企业金融业务状况表!K255+B02金融市场业务状况表!K298</f>
        <v>5185669</v>
      </c>
      <c r="L115">
        <f>B01企业金融业务状况表!L255+B02金融市场业务状况表!L298</f>
        <v>5314531</v>
      </c>
      <c r="M115">
        <f>B01企业金融业务状况表!M255+B02金融市场业务状况表!M298</f>
        <v>5497419</v>
      </c>
      <c r="N115">
        <f>B01企业金融业务状况表!N255+B02金融市场业务状况表!N298</f>
        <v>5669904</v>
      </c>
      <c r="O115">
        <f>B01企业金融业务状况表!O255+B02金融市场业务状况表!O298</f>
        <v>5595070</v>
      </c>
      <c r="P115">
        <f>B01企业金融业务状况表!P255+B02金融市场业务状况表!P298</f>
        <v>5466208</v>
      </c>
      <c r="Q115">
        <f>B01企业金融业务状况表!Q255+B02金融市场业务状况表!Q298</f>
        <v>5888021</v>
      </c>
      <c r="R115">
        <f>B01企业金融业务状况表!R255+B02金融市场业务状况表!R298</f>
        <v>5823589</v>
      </c>
      <c r="S115">
        <f>B01企业金融业务状况表!S255+B02金融市场业务状况表!S298</f>
        <v>6037689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1990</v>
      </c>
      <c r="D2" t="s">
        <v>440</v>
      </c>
      <c r="G2">
        <f t="shared" ref="G2:G27" si="0">H2+I2+J2+K2+L2+M2+N2+O2+P2+Q2+R2+S2</f>
        <v>650603292272</v>
      </c>
      <c r="H2">
        <f t="shared" ref="H2:S2" si="1">H3</f>
        <v>46642230456</v>
      </c>
      <c r="I2">
        <f t="shared" si="1"/>
        <v>45149214000</v>
      </c>
      <c r="J2">
        <f t="shared" si="1"/>
        <v>51627056800</v>
      </c>
      <c r="K2">
        <f t="shared" si="1"/>
        <v>52708263384</v>
      </c>
      <c r="L2">
        <f t="shared" si="1"/>
        <v>54009469968</v>
      </c>
      <c r="M2">
        <f t="shared" si="1"/>
        <v>55741279840</v>
      </c>
      <c r="N2">
        <f t="shared" si="1"/>
        <v>57253089720</v>
      </c>
      <c r="O2">
        <f t="shared" si="1"/>
        <v>56382486424</v>
      </c>
      <c r="P2">
        <f t="shared" si="1"/>
        <v>55081279840</v>
      </c>
      <c r="Q2">
        <f t="shared" si="1"/>
        <v>58306106184</v>
      </c>
      <c r="R2">
        <f t="shared" si="1"/>
        <v>57655502888</v>
      </c>
      <c r="S2">
        <f t="shared" si="1"/>
        <v>60047312768</v>
      </c>
    </row>
    <row r="3" spans="1:19">
      <c r="A3" t="s">
        <v>19</v>
      </c>
      <c r="B3" t="s">
        <v>179</v>
      </c>
      <c r="C3" t="s">
        <v>1991</v>
      </c>
      <c r="D3" t="s">
        <v>442</v>
      </c>
      <c r="G3">
        <f t="shared" si="0"/>
        <v>650603292272</v>
      </c>
      <c r="H3">
        <f t="shared" ref="H3:S3" si="2">H4+H9+H24</f>
        <v>46642230456</v>
      </c>
      <c r="I3">
        <f t="shared" si="2"/>
        <v>45149214000</v>
      </c>
      <c r="J3">
        <f t="shared" si="2"/>
        <v>51627056800</v>
      </c>
      <c r="K3">
        <f t="shared" si="2"/>
        <v>52708263384</v>
      </c>
      <c r="L3">
        <f t="shared" si="2"/>
        <v>54009469968</v>
      </c>
      <c r="M3">
        <f t="shared" si="2"/>
        <v>55741279840</v>
      </c>
      <c r="N3">
        <f t="shared" si="2"/>
        <v>57253089720</v>
      </c>
      <c r="O3">
        <f t="shared" si="2"/>
        <v>56382486424</v>
      </c>
      <c r="P3">
        <f t="shared" si="2"/>
        <v>55081279840</v>
      </c>
      <c r="Q3">
        <f t="shared" si="2"/>
        <v>58306106184</v>
      </c>
      <c r="R3">
        <f t="shared" si="2"/>
        <v>57655502888</v>
      </c>
      <c r="S3">
        <f t="shared" si="2"/>
        <v>60047312768</v>
      </c>
    </row>
    <row r="4" spans="1:19">
      <c r="A4" t="s">
        <v>23</v>
      </c>
      <c r="B4" t="s">
        <v>179</v>
      </c>
      <c r="C4" t="s">
        <v>1992</v>
      </c>
      <c r="D4" t="s">
        <v>444</v>
      </c>
      <c r="G4">
        <f t="shared" si="0"/>
        <v>830000000</v>
      </c>
      <c r="H4">
        <f t="shared" ref="H4:S4" si="3">H5+H6+H7+H8</f>
        <v>58100000</v>
      </c>
      <c r="I4">
        <f t="shared" si="3"/>
        <v>53950000</v>
      </c>
      <c r="J4">
        <f t="shared" si="3"/>
        <v>64740000</v>
      </c>
      <c r="K4">
        <f t="shared" si="3"/>
        <v>66400000</v>
      </c>
      <c r="L4">
        <f t="shared" si="3"/>
        <v>68060000</v>
      </c>
      <c r="M4">
        <f t="shared" si="3"/>
        <v>70550000</v>
      </c>
      <c r="N4">
        <f t="shared" si="3"/>
        <v>73040000</v>
      </c>
      <c r="O4">
        <f t="shared" si="3"/>
        <v>72210000</v>
      </c>
      <c r="P4">
        <f t="shared" si="3"/>
        <v>70550000</v>
      </c>
      <c r="Q4">
        <f t="shared" si="3"/>
        <v>77190000</v>
      </c>
      <c r="R4">
        <f t="shared" si="3"/>
        <v>76360000</v>
      </c>
      <c r="S4">
        <f t="shared" si="3"/>
        <v>78850000</v>
      </c>
    </row>
    <row r="5" spans="1:19">
      <c r="A5" t="s">
        <v>26</v>
      </c>
      <c r="B5" t="s">
        <v>179</v>
      </c>
      <c r="C5" t="s">
        <v>1993</v>
      </c>
      <c r="D5" t="s">
        <v>446</v>
      </c>
      <c r="G5">
        <f t="shared" si="0"/>
        <v>340000000</v>
      </c>
      <c r="H5">
        <f>B01企业金融业务支出评估!H5+B02金融市场业务支出评估!H5</f>
        <v>23800000</v>
      </c>
      <c r="I5">
        <f>B01企业金融业务支出评估!I5+B02金融市场业务支出评估!I5</f>
        <v>22100000</v>
      </c>
      <c r="J5">
        <f>B01企业金融业务支出评估!J5+B02金融市场业务支出评估!J5</f>
        <v>26520000</v>
      </c>
      <c r="K5">
        <f>B01企业金融业务支出评估!K5+B02金融市场业务支出评估!K5</f>
        <v>27200000</v>
      </c>
      <c r="L5">
        <f>B01企业金融业务支出评估!L5+B02金融市场业务支出评估!L5</f>
        <v>27880000</v>
      </c>
      <c r="M5">
        <f>B01企业金融业务支出评估!M5+B02金融市场业务支出评估!M5</f>
        <v>28900000</v>
      </c>
      <c r="N5">
        <f>B01企业金融业务支出评估!N5+B02金融市场业务支出评估!N5</f>
        <v>29920000</v>
      </c>
      <c r="O5">
        <f>B01企业金融业务支出评估!O5+B02金融市场业务支出评估!O5</f>
        <v>29580000</v>
      </c>
      <c r="P5">
        <f>B01企业金融业务支出评估!P5+B02金融市场业务支出评估!P5</f>
        <v>28900000</v>
      </c>
      <c r="Q5">
        <f>B01企业金融业务支出评估!Q5+B02金融市场业务支出评估!Q5</f>
        <v>31620000</v>
      </c>
      <c r="R5">
        <f>B01企业金融业务支出评估!R5+B02金融市场业务支出评估!R5</f>
        <v>31280000</v>
      </c>
      <c r="S5">
        <f>B01企业金融业务支出评估!S5+B02金融市场业务支出评估!S5</f>
        <v>32300000</v>
      </c>
    </row>
    <row r="6" spans="1:19">
      <c r="A6" t="s">
        <v>26</v>
      </c>
      <c r="B6" t="s">
        <v>179</v>
      </c>
      <c r="C6" t="s">
        <v>1994</v>
      </c>
      <c r="D6" t="s">
        <v>448</v>
      </c>
      <c r="G6">
        <f t="shared" si="0"/>
        <v>230000000</v>
      </c>
      <c r="H6">
        <f>B01企业金融业务支出评估!H6+B02金融市场业务支出评估!H6</f>
        <v>16100000</v>
      </c>
      <c r="I6">
        <f>B01企业金融业务支出评估!I6+B02金融市场业务支出评估!I6</f>
        <v>14950000</v>
      </c>
      <c r="J6">
        <f>B01企业金融业务支出评估!J6+B02金融市场业务支出评估!J6</f>
        <v>17940000</v>
      </c>
      <c r="K6">
        <f>B01企业金融业务支出评估!K6+B02金融市场业务支出评估!K6</f>
        <v>18400000</v>
      </c>
      <c r="L6">
        <f>B01企业金融业务支出评估!L6+B02金融市场业务支出评估!L6</f>
        <v>18860000</v>
      </c>
      <c r="M6">
        <f>B01企业金融业务支出评估!M6+B02金融市场业务支出评估!M6</f>
        <v>19550000</v>
      </c>
      <c r="N6">
        <f>B01企业金融业务支出评估!N6+B02金融市场业务支出评估!N6</f>
        <v>20240000</v>
      </c>
      <c r="O6">
        <f>B01企业金融业务支出评估!O6+B02金融市场业务支出评估!O6</f>
        <v>20010000</v>
      </c>
      <c r="P6">
        <f>B01企业金融业务支出评估!P6+B02金融市场业务支出评估!P6</f>
        <v>19550000</v>
      </c>
      <c r="Q6">
        <f>B01企业金融业务支出评估!Q6+B02金融市场业务支出评估!Q6</f>
        <v>21390000</v>
      </c>
      <c r="R6">
        <f>B01企业金融业务支出评估!R6+B02金融市场业务支出评估!R6</f>
        <v>21160000</v>
      </c>
      <c r="S6">
        <f>B01企业金融业务支出评估!S6+B02金融市场业务支出评估!S6</f>
        <v>21850000</v>
      </c>
    </row>
    <row r="7" spans="1:19">
      <c r="A7" t="s">
        <v>26</v>
      </c>
      <c r="B7" t="s">
        <v>179</v>
      </c>
      <c r="C7" t="s">
        <v>1995</v>
      </c>
      <c r="D7" t="s">
        <v>450</v>
      </c>
      <c r="G7">
        <f t="shared" si="0"/>
        <v>140000000</v>
      </c>
      <c r="H7">
        <f>B01企业金融业务支出评估!H7+B02金融市场业务支出评估!H7</f>
        <v>9800000</v>
      </c>
      <c r="I7">
        <f>B01企业金融业务支出评估!I7+B02金融市场业务支出评估!I7</f>
        <v>9100000</v>
      </c>
      <c r="J7">
        <f>B01企业金融业务支出评估!J7+B02金融市场业务支出评估!J7</f>
        <v>10920000</v>
      </c>
      <c r="K7">
        <f>B01企业金融业务支出评估!K7+B02金融市场业务支出评估!K7</f>
        <v>11200000</v>
      </c>
      <c r="L7">
        <f>B01企业金融业务支出评估!L7+B02金融市场业务支出评估!L7</f>
        <v>11480000</v>
      </c>
      <c r="M7">
        <f>B01企业金融业务支出评估!M7+B02金融市场业务支出评估!M7</f>
        <v>11900000</v>
      </c>
      <c r="N7">
        <f>B01企业金融业务支出评估!N7+B02金融市场业务支出评估!N7</f>
        <v>12320000</v>
      </c>
      <c r="O7">
        <f>B01企业金融业务支出评估!O7+B02金融市场业务支出评估!O7</f>
        <v>12180000</v>
      </c>
      <c r="P7">
        <f>B01企业金融业务支出评估!P7+B02金融市场业务支出评估!P7</f>
        <v>11900000</v>
      </c>
      <c r="Q7">
        <f>B01企业金融业务支出评估!Q7+B02金融市场业务支出评估!Q7</f>
        <v>13020000</v>
      </c>
      <c r="R7">
        <f>B01企业金融业务支出评估!R7+B02金融市场业务支出评估!R7</f>
        <v>12880000</v>
      </c>
      <c r="S7">
        <f>B01企业金融业务支出评估!S7+B02金融市场业务支出评估!S7</f>
        <v>13300000</v>
      </c>
    </row>
    <row r="8" spans="1:19">
      <c r="A8" t="s">
        <v>26</v>
      </c>
      <c r="B8" t="s">
        <v>179</v>
      </c>
      <c r="C8" t="s">
        <v>1996</v>
      </c>
      <c r="D8" t="s">
        <v>452</v>
      </c>
      <c r="G8">
        <f t="shared" si="0"/>
        <v>120000000</v>
      </c>
      <c r="H8">
        <f>B01企业金融业务支出评估!H8+B02金融市场业务支出评估!H8</f>
        <v>8400000</v>
      </c>
      <c r="I8">
        <f>B01企业金融业务支出评估!I8+B02金融市场业务支出评估!I8</f>
        <v>7800000</v>
      </c>
      <c r="J8">
        <f>B01企业金融业务支出评估!J8+B02金融市场业务支出评估!J8</f>
        <v>9360000</v>
      </c>
      <c r="K8">
        <f>B01企业金融业务支出评估!K8+B02金融市场业务支出评估!K8</f>
        <v>9600000</v>
      </c>
      <c r="L8">
        <f>B01企业金融业务支出评估!L8+B02金融市场业务支出评估!L8</f>
        <v>9840000</v>
      </c>
      <c r="M8">
        <f>B01企业金融业务支出评估!M8+B02金融市场业务支出评估!M8</f>
        <v>10200000</v>
      </c>
      <c r="N8">
        <f>B01企业金融业务支出评估!N8+B02金融市场业务支出评估!N8</f>
        <v>10560000</v>
      </c>
      <c r="O8">
        <f>B01企业金融业务支出评估!O8+B02金融市场业务支出评估!O8</f>
        <v>10440000</v>
      </c>
      <c r="P8">
        <f>B01企业金融业务支出评估!P8+B02金融市场业务支出评估!P8</f>
        <v>10200000</v>
      </c>
      <c r="Q8">
        <f>B01企业金融业务支出评估!Q8+B02金融市场业务支出评估!Q8</f>
        <v>11160000</v>
      </c>
      <c r="R8">
        <f>B01企业金融业务支出评估!R8+B02金融市场业务支出评估!R8</f>
        <v>11040000</v>
      </c>
      <c r="S8">
        <f>B01企业金融业务支出评估!S8+B02金融市场业务支出评估!S8</f>
        <v>11400000</v>
      </c>
    </row>
    <row r="9" spans="1:19">
      <c r="A9" t="s">
        <v>23</v>
      </c>
      <c r="B9" t="s">
        <v>179</v>
      </c>
      <c r="C9" t="s">
        <v>1997</v>
      </c>
      <c r="D9" t="s">
        <v>454</v>
      </c>
      <c r="G9">
        <f t="shared" si="0"/>
        <v>648783292272</v>
      </c>
      <c r="H9">
        <f t="shared" ref="H9:S9" si="4">H10+H11+H12+H13+H14+H15+H16+H17+H18+H19+H20+H21+H22+H23</f>
        <v>46514830456</v>
      </c>
      <c r="I9">
        <f t="shared" si="4"/>
        <v>45030914000</v>
      </c>
      <c r="J9">
        <f t="shared" si="4"/>
        <v>51485096800</v>
      </c>
      <c r="K9">
        <f t="shared" si="4"/>
        <v>52562663384</v>
      </c>
      <c r="L9">
        <f t="shared" si="4"/>
        <v>53860229968</v>
      </c>
      <c r="M9">
        <f t="shared" si="4"/>
        <v>55586579840</v>
      </c>
      <c r="N9">
        <f t="shared" si="4"/>
        <v>57092929720</v>
      </c>
      <c r="O9">
        <f t="shared" si="4"/>
        <v>56224146424</v>
      </c>
      <c r="P9">
        <f t="shared" si="4"/>
        <v>54926579840</v>
      </c>
      <c r="Q9">
        <f t="shared" si="4"/>
        <v>58136846184</v>
      </c>
      <c r="R9">
        <f t="shared" si="4"/>
        <v>57488062888</v>
      </c>
      <c r="S9">
        <f t="shared" si="4"/>
        <v>59874412768</v>
      </c>
    </row>
    <row r="10" spans="1:19">
      <c r="A10" t="s">
        <v>26</v>
      </c>
      <c r="B10" t="s">
        <v>179</v>
      </c>
      <c r="C10" t="s">
        <v>1998</v>
      </c>
      <c r="D10" t="s">
        <v>456</v>
      </c>
      <c r="G10">
        <f t="shared" si="0"/>
        <v>80009161534</v>
      </c>
      <c r="H10">
        <f>B01企业金融业务支出评估!H10+B02金融市场业务支出评估!H10</f>
        <v>6000641307</v>
      </c>
      <c r="I10">
        <f>B01企业金融业务支出评估!I10+B02金融市场业务支出评估!I10</f>
        <v>6240595500</v>
      </c>
      <c r="J10">
        <f>B01企业金融业务支出评估!J10+B02金融市场业务支出评估!J10</f>
        <v>6560714600</v>
      </c>
      <c r="K10">
        <f>B01企业金融业务支出评估!K10+B02金融市场业务支出评估!K10</f>
        <v>6640732923</v>
      </c>
      <c r="L10">
        <f>B01企业金融业务支出评估!L10+B02金融市场业务支出评估!L10</f>
        <v>6800751246</v>
      </c>
      <c r="M10">
        <f>B01企业金融业务支出评估!M10+B02金融市场业务支出评估!M10</f>
        <v>6960778730</v>
      </c>
      <c r="N10">
        <f>B01企业金融业务支出评估!N10+B02金融市场业务支出评估!N10</f>
        <v>7040806215</v>
      </c>
      <c r="O10">
        <f>B01企业金融业务支出评估!O10+B02金融市场业务支出评估!O10</f>
        <v>6880797053</v>
      </c>
      <c r="P10">
        <f>B01企业金融业务支出评估!P10+B02金融市场业务支出评估!P10</f>
        <v>6720778730</v>
      </c>
      <c r="Q10">
        <f>B01企业金融业务支出评估!Q10+B02金融市场业务支出评估!Q10</f>
        <v>6640852023</v>
      </c>
      <c r="R10">
        <f>B01企业金融业务支出评估!R10+B02金融市场业务支出评估!R10</f>
        <v>6560842861</v>
      </c>
      <c r="S10">
        <f>B01企业金融业务支出评估!S10+B02金融市场业务支出评估!S10</f>
        <v>6960870346</v>
      </c>
    </row>
    <row r="11" spans="1:19">
      <c r="A11" t="s">
        <v>26</v>
      </c>
      <c r="B11" t="s">
        <v>179</v>
      </c>
      <c r="C11" t="s">
        <v>1999</v>
      </c>
      <c r="D11" t="s">
        <v>458</v>
      </c>
      <c r="G11">
        <f t="shared" si="0"/>
        <v>30040000000</v>
      </c>
      <c r="H11">
        <f>B01企业金融业务支出评估!H11+B02金融市场业务支出评估!H11</f>
        <v>2102800000</v>
      </c>
      <c r="I11">
        <f>B01企业金融业务支出评估!I11+B02金融市场业务支出评估!I11</f>
        <v>1952600000</v>
      </c>
      <c r="J11">
        <f>B01企业金融业务支出评估!J11+B02金融市场业务支出评估!J11</f>
        <v>2343120000</v>
      </c>
      <c r="K11">
        <f>B01企业金融业务支出评估!K11+B02金融市场业务支出评估!K11</f>
        <v>2403200000</v>
      </c>
      <c r="L11">
        <f>B01企业金融业务支出评估!L11+B02金融市场业务支出评估!L11</f>
        <v>2463280000</v>
      </c>
      <c r="M11">
        <f>B01企业金融业务支出评估!M11+B02金融市场业务支出评估!M11</f>
        <v>2553400000</v>
      </c>
      <c r="N11">
        <f>B01企业金融业务支出评估!N11+B02金融市场业务支出评估!N11</f>
        <v>2643520000</v>
      </c>
      <c r="O11">
        <f>B01企业金融业务支出评估!O11+B02金融市场业务支出评估!O11</f>
        <v>2613480000</v>
      </c>
      <c r="P11">
        <f>B01企业金融业务支出评估!P11+B02金融市场业务支出评估!P11</f>
        <v>2553400000</v>
      </c>
      <c r="Q11">
        <f>B01企业金融业务支出评估!Q11+B02金融市场业务支出评估!Q11</f>
        <v>2793720000</v>
      </c>
      <c r="R11">
        <f>B01企业金融业务支出评估!R11+B02金融市场业务支出评估!R11</f>
        <v>2763680000</v>
      </c>
      <c r="S11">
        <f>B01企业金融业务支出评估!S11+B02金融市场业务支出评估!S11</f>
        <v>2853800000</v>
      </c>
    </row>
    <row r="12" spans="1:19">
      <c r="A12" t="s">
        <v>26</v>
      </c>
      <c r="B12" t="s">
        <v>179</v>
      </c>
      <c r="C12" t="s">
        <v>2000</v>
      </c>
      <c r="D12" t="s">
        <v>460</v>
      </c>
      <c r="G12">
        <f t="shared" si="0"/>
        <v>50030000000</v>
      </c>
      <c r="H12">
        <f>B01企业金融业务支出评估!H12+B02金融市场业务支出评估!H12</f>
        <v>3502100000</v>
      </c>
      <c r="I12">
        <f>B01企业金融业务支出评估!I12+B02金融市场业务支出评估!I12</f>
        <v>3251950000</v>
      </c>
      <c r="J12">
        <f>B01企业金融业务支出评估!J12+B02金融市场业务支出评估!J12</f>
        <v>3902340000</v>
      </c>
      <c r="K12">
        <f>B01企业金融业务支出评估!K12+B02金融市场业务支出评估!K12</f>
        <v>4002400000</v>
      </c>
      <c r="L12">
        <f>B01企业金融业务支出评估!L12+B02金融市场业务支出评估!L12</f>
        <v>4102460000</v>
      </c>
      <c r="M12">
        <f>B01企业金融业务支出评估!M12+B02金融市场业务支出评估!M12</f>
        <v>4252550000</v>
      </c>
      <c r="N12">
        <f>B01企业金融业务支出评估!N12+B02金融市场业务支出评估!N12</f>
        <v>4402640000</v>
      </c>
      <c r="O12">
        <f>B01企业金融业务支出评估!O12+B02金融市场业务支出评估!O12</f>
        <v>4352610000</v>
      </c>
      <c r="P12">
        <f>B01企业金融业务支出评估!P12+B02金融市场业务支出评估!P12</f>
        <v>4252550000</v>
      </c>
      <c r="Q12">
        <f>B01企业金融业务支出评估!Q12+B02金融市场业务支出评估!Q12</f>
        <v>4652790000</v>
      </c>
      <c r="R12">
        <f>B01企业金融业务支出评估!R12+B02金融市场业务支出评估!R12</f>
        <v>4602760000</v>
      </c>
      <c r="S12">
        <f>B01企业金融业务支出评估!S12+B02金融市场业务支出评估!S12</f>
        <v>4752850000</v>
      </c>
    </row>
    <row r="13" spans="1:19">
      <c r="A13" t="s">
        <v>26</v>
      </c>
      <c r="B13" t="s">
        <v>179</v>
      </c>
      <c r="C13" t="s">
        <v>2001</v>
      </c>
      <c r="D13" t="s">
        <v>462</v>
      </c>
      <c r="G13">
        <f t="shared" si="0"/>
        <v>13600000000</v>
      </c>
      <c r="H13">
        <f>B01企业金融业务支出评估!H13+B02金融市场业务支出评估!H13</f>
        <v>952000000</v>
      </c>
      <c r="I13">
        <f>B01企业金融业务支出评估!I13+B02金融市场业务支出评估!I13</f>
        <v>884000000</v>
      </c>
      <c r="J13">
        <f>B01企业金融业务支出评估!J13+B02金融市场业务支出评估!J13</f>
        <v>1060800000</v>
      </c>
      <c r="K13">
        <f>B01企业金融业务支出评估!K13+B02金融市场业务支出评估!K13</f>
        <v>1088000000</v>
      </c>
      <c r="L13">
        <f>B01企业金融业务支出评估!L13+B02金融市场业务支出评估!L13</f>
        <v>1115200000</v>
      </c>
      <c r="M13">
        <f>B01企业金融业务支出评估!M13+B02金融市场业务支出评估!M13</f>
        <v>1156000000</v>
      </c>
      <c r="N13">
        <f>B01企业金融业务支出评估!N13+B02金融市场业务支出评估!N13</f>
        <v>1196800000</v>
      </c>
      <c r="O13">
        <f>B01企业金融业务支出评估!O13+B02金融市场业务支出评估!O13</f>
        <v>1183200000</v>
      </c>
      <c r="P13">
        <f>B01企业金融业务支出评估!P13+B02金融市场业务支出评估!P13</f>
        <v>1156000000</v>
      </c>
      <c r="Q13">
        <f>B01企业金融业务支出评估!Q13+B02金融市场业务支出评估!Q13</f>
        <v>1264800000</v>
      </c>
      <c r="R13">
        <f>B01企业金融业务支出评估!R13+B02金融市场业务支出评估!R13</f>
        <v>1251200000</v>
      </c>
      <c r="S13">
        <f>B01企业金融业务支出评估!S13+B02金融市场业务支出评估!S13</f>
        <v>1292000000</v>
      </c>
    </row>
    <row r="14" spans="1:19">
      <c r="A14" t="s">
        <v>26</v>
      </c>
      <c r="B14" t="s">
        <v>179</v>
      </c>
      <c r="C14" t="s">
        <v>2002</v>
      </c>
      <c r="D14" t="s">
        <v>464</v>
      </c>
      <c r="G14">
        <f t="shared" si="0"/>
        <v>5009161534</v>
      </c>
      <c r="H14">
        <f>B01企业金融业务支出评估!H14+B02金融市场业务支出评估!H14</f>
        <v>350641307</v>
      </c>
      <c r="I14">
        <f>B01企业金融业务支出评估!I14+B02金融市场业务支出评估!I14</f>
        <v>325595500</v>
      </c>
      <c r="J14">
        <f>B01企业金融业务支出评估!J14+B02金融市场业务支出评估!J14</f>
        <v>390714600</v>
      </c>
      <c r="K14">
        <f>B01企业金融业务支出评估!K14+B02金融市场业务支出评估!K14</f>
        <v>400732923</v>
      </c>
      <c r="L14">
        <f>B01企业金融业务支出评估!L14+B02金融市场业务支出评估!L14</f>
        <v>410751246</v>
      </c>
      <c r="M14">
        <f>B01企业金融业务支出评估!M14+B02金融市场业务支出评估!M14</f>
        <v>425778730</v>
      </c>
      <c r="N14">
        <f>B01企业金融业务支出评估!N14+B02金融市场业务支出评估!N14</f>
        <v>440806215</v>
      </c>
      <c r="O14">
        <f>B01企业金融业务支出评估!O14+B02金融市场业务支出评估!O14</f>
        <v>435797053</v>
      </c>
      <c r="P14">
        <f>B01企业金融业务支出评估!P14+B02金融市场业务支出评估!P14</f>
        <v>425778730</v>
      </c>
      <c r="Q14">
        <f>B01企业金融业务支出评估!Q14+B02金融市场业务支出评估!Q14</f>
        <v>465852023</v>
      </c>
      <c r="R14">
        <f>B01企业金融业务支出评估!R14+B02金融市场业务支出评估!R14</f>
        <v>460842861</v>
      </c>
      <c r="S14">
        <f>B01企业金融业务支出评估!S14+B02金融市场业务支出评估!S14</f>
        <v>475870346</v>
      </c>
    </row>
    <row r="15" spans="1:19">
      <c r="A15" t="s">
        <v>26</v>
      </c>
      <c r="B15" t="s">
        <v>179</v>
      </c>
      <c r="C15" t="s">
        <v>2003</v>
      </c>
      <c r="D15" t="s">
        <v>466</v>
      </c>
      <c r="G15">
        <f t="shared" si="0"/>
        <v>90000000000</v>
      </c>
      <c r="H15">
        <f>B01企业金融业务支出评估!H15+B02金融市场业务支出评估!H15</f>
        <v>6300000000</v>
      </c>
      <c r="I15">
        <f>B01企业金融业务支出评估!I15+B02金融市场业务支出评估!I15</f>
        <v>5850000000</v>
      </c>
      <c r="J15">
        <f>B01企业金融业务支出评估!J15+B02金融市场业务支出评估!J15</f>
        <v>7020000000</v>
      </c>
      <c r="K15">
        <f>B01企业金融业务支出评估!K15+B02金融市场业务支出评估!K15</f>
        <v>7200000000</v>
      </c>
      <c r="L15">
        <f>B01企业金融业务支出评估!L15+B02金融市场业务支出评估!L15</f>
        <v>7380000000</v>
      </c>
      <c r="M15">
        <f>B01企业金融业务支出评估!M15+B02金融市场业务支出评估!M15</f>
        <v>7650000000</v>
      </c>
      <c r="N15">
        <f>B01企业金融业务支出评估!N15+B02金融市场业务支出评估!N15</f>
        <v>7920000000</v>
      </c>
      <c r="O15">
        <f>B01企业金融业务支出评估!O15+B02金融市场业务支出评估!O15</f>
        <v>7830000000</v>
      </c>
      <c r="P15">
        <f>B01企业金融业务支出评估!P15+B02金融市场业务支出评估!P15</f>
        <v>7650000000</v>
      </c>
      <c r="Q15">
        <f>B01企业金融业务支出评估!Q15+B02金融市场业务支出评估!Q15</f>
        <v>8370000000</v>
      </c>
      <c r="R15">
        <f>B01企业金融业务支出评估!R15+B02金融市场业务支出评估!R15</f>
        <v>8280000000</v>
      </c>
      <c r="S15">
        <f>B01企业金融业务支出评估!S15+B02金融市场业务支出评估!S15</f>
        <v>8550000000</v>
      </c>
    </row>
    <row r="16" spans="1:19">
      <c r="A16" t="s">
        <v>26</v>
      </c>
      <c r="B16" t="s">
        <v>179</v>
      </c>
      <c r="C16" t="s">
        <v>2004</v>
      </c>
      <c r="D16" t="s">
        <v>468</v>
      </c>
      <c r="G16">
        <f t="shared" si="0"/>
        <v>60009161534</v>
      </c>
      <c r="H16">
        <f>B01企业金融业务支出评估!H16+B02金融市场业务支出评估!H16</f>
        <v>4500641307</v>
      </c>
      <c r="I16">
        <f>B01企业金融业务支出评估!I16+B02金融市场业务支出评估!I16</f>
        <v>4680595500</v>
      </c>
      <c r="J16">
        <f>B01企业金融业务支出评估!J16+B02金融市场业务支出评估!J16</f>
        <v>4920714600</v>
      </c>
      <c r="K16">
        <f>B01企业金融业务支出评估!K16+B02金融市场业务支出评估!K16</f>
        <v>4980732923</v>
      </c>
      <c r="L16">
        <f>B01企业金融业务支出评估!L16+B02金融市场业务支出评估!L16</f>
        <v>5100751246</v>
      </c>
      <c r="M16">
        <f>B01企业金融业务支出评估!M16+B02金融市场业务支出评估!M16</f>
        <v>5220778730</v>
      </c>
      <c r="N16">
        <f>B01企业金融业务支出评估!N16+B02金融市场业务支出评估!N16</f>
        <v>5280806215</v>
      </c>
      <c r="O16">
        <f>B01企业金融业务支出评估!O16+B02金融市场业务支出评估!O16</f>
        <v>5160797053</v>
      </c>
      <c r="P16">
        <f>B01企业金融业务支出评估!P16+B02金融市场业务支出评估!P16</f>
        <v>5040778730</v>
      </c>
      <c r="Q16">
        <f>B01企业金融业务支出评估!Q16+B02金融市场业务支出评估!Q16</f>
        <v>4980852023</v>
      </c>
      <c r="R16">
        <f>B01企业金融业务支出评估!R16+B02金融市场业务支出评估!R16</f>
        <v>4920842861</v>
      </c>
      <c r="S16">
        <f>B01企业金融业务支出评估!S16+B02金融市场业务支出评估!S16</f>
        <v>5220870346</v>
      </c>
    </row>
    <row r="17" spans="1:19">
      <c r="A17" t="s">
        <v>26</v>
      </c>
      <c r="B17" t="s">
        <v>179</v>
      </c>
      <c r="C17" t="s">
        <v>2005</v>
      </c>
      <c r="D17" t="s">
        <v>470</v>
      </c>
      <c r="G17">
        <f t="shared" si="0"/>
        <v>35009161534</v>
      </c>
      <c r="H17">
        <f>B01企业金融业务支出评估!H17+B02金融市场业务支出评估!H17</f>
        <v>2450641307</v>
      </c>
      <c r="I17">
        <f>B01企业金融业务支出评估!I17+B02金融市场业务支出评估!I17</f>
        <v>2275595500</v>
      </c>
      <c r="J17">
        <f>B01企业金融业务支出评估!J17+B02金融市场业务支出评估!J17</f>
        <v>2730714600</v>
      </c>
      <c r="K17">
        <f>B01企业金融业务支出评估!K17+B02金融市场业务支出评估!K17</f>
        <v>2800732923</v>
      </c>
      <c r="L17">
        <f>B01企业金融业务支出评估!L17+B02金融市场业务支出评估!L17</f>
        <v>2870751246</v>
      </c>
      <c r="M17">
        <f>B01企业金融业务支出评估!M17+B02金融市场业务支出评估!M17</f>
        <v>2975778730</v>
      </c>
      <c r="N17">
        <f>B01企业金融业务支出评估!N17+B02金融市场业务支出评估!N17</f>
        <v>3080806215</v>
      </c>
      <c r="O17">
        <f>B01企业金融业务支出评估!O17+B02金融市场业务支出评估!O17</f>
        <v>3045797053</v>
      </c>
      <c r="P17">
        <f>B01企业金融业务支出评估!P17+B02金融市场业务支出评估!P17</f>
        <v>2975778730</v>
      </c>
      <c r="Q17">
        <f>B01企业金融业务支出评估!Q17+B02金融市场业务支出评估!Q17</f>
        <v>3255852023</v>
      </c>
      <c r="R17">
        <f>B01企业金融业务支出评估!R17+B02金融市场业务支出评估!R17</f>
        <v>3220842861</v>
      </c>
      <c r="S17">
        <f>B01企业金融业务支出评估!S17+B02金融市场业务支出评估!S17</f>
        <v>3325870346</v>
      </c>
    </row>
    <row r="18" spans="1:19">
      <c r="A18" t="s">
        <v>26</v>
      </c>
      <c r="B18" t="s">
        <v>179</v>
      </c>
      <c r="C18" t="s">
        <v>2006</v>
      </c>
      <c r="D18" t="s">
        <v>472</v>
      </c>
      <c r="G18">
        <f t="shared" si="0"/>
        <v>15009161534</v>
      </c>
      <c r="H18">
        <f>B01企业金融业务支出评估!H18+B02金融市场业务支出评估!H18</f>
        <v>1050641307</v>
      </c>
      <c r="I18">
        <f>B01企业金融业务支出评估!I18+B02金融市场业务支出评估!I18</f>
        <v>975595500</v>
      </c>
      <c r="J18">
        <f>B01企业金融业务支出评估!J18+B02金融市场业务支出评估!J18</f>
        <v>1170714600</v>
      </c>
      <c r="K18">
        <f>B01企业金融业务支出评估!K18+B02金融市场业务支出评估!K18</f>
        <v>1200732923</v>
      </c>
      <c r="L18">
        <f>B01企业金融业务支出评估!L18+B02金融市场业务支出评估!L18</f>
        <v>1230751246</v>
      </c>
      <c r="M18">
        <f>B01企业金融业务支出评估!M18+B02金融市场业务支出评估!M18</f>
        <v>1275778730</v>
      </c>
      <c r="N18">
        <f>B01企业金融业务支出评估!N18+B02金融市场业务支出评估!N18</f>
        <v>1320806215</v>
      </c>
      <c r="O18">
        <f>B01企业金融业务支出评估!O18+B02金融市场业务支出评估!O18</f>
        <v>1305797053</v>
      </c>
      <c r="P18">
        <f>B01企业金融业务支出评估!P18+B02金融市场业务支出评估!P18</f>
        <v>1275778730</v>
      </c>
      <c r="Q18">
        <f>B01企业金融业务支出评估!Q18+B02金融市场业务支出评估!Q18</f>
        <v>1395852023</v>
      </c>
      <c r="R18">
        <f>B01企业金融业务支出评估!R18+B02金融市场业务支出评估!R18</f>
        <v>1380842861</v>
      </c>
      <c r="S18">
        <f>B01企业金融业务支出评估!S18+B02金融市场业务支出评估!S18</f>
        <v>1425870346</v>
      </c>
    </row>
    <row r="19" spans="1:19">
      <c r="A19" t="s">
        <v>26</v>
      </c>
      <c r="B19" t="s">
        <v>179</v>
      </c>
      <c r="C19" t="s">
        <v>2007</v>
      </c>
      <c r="D19" t="s">
        <v>474</v>
      </c>
      <c r="G19">
        <f t="shared" si="0"/>
        <v>60009161534</v>
      </c>
      <c r="H19">
        <f>B01企业金融业务支出评估!H19+B02金融市场业务支出评估!H19</f>
        <v>4200641307</v>
      </c>
      <c r="I19">
        <f>B01企业金融业务支出评估!I19+B02金融市场业务支出评估!I19</f>
        <v>3900595500</v>
      </c>
      <c r="J19">
        <f>B01企业金融业务支出评估!J19+B02金融市场业务支出评估!J19</f>
        <v>4680714600</v>
      </c>
      <c r="K19">
        <f>B01企业金融业务支出评估!K19+B02金融市场业务支出评估!K19</f>
        <v>4800732923</v>
      </c>
      <c r="L19">
        <f>B01企业金融业务支出评估!L19+B02金融市场业务支出评估!L19</f>
        <v>4920751246</v>
      </c>
      <c r="M19">
        <f>B01企业金融业务支出评估!M19+B02金融市场业务支出评估!M19</f>
        <v>5100778730</v>
      </c>
      <c r="N19">
        <f>B01企业金融业务支出评估!N19+B02金融市场业务支出评估!N19</f>
        <v>5280806215</v>
      </c>
      <c r="O19">
        <f>B01企业金融业务支出评估!O19+B02金融市场业务支出评估!O19</f>
        <v>5220797053</v>
      </c>
      <c r="P19">
        <f>B01企业金融业务支出评估!P19+B02金融市场业务支出评估!P19</f>
        <v>5100778730</v>
      </c>
      <c r="Q19">
        <f>B01企业金融业务支出评估!Q19+B02金融市场业务支出评估!Q19</f>
        <v>5580852023</v>
      </c>
      <c r="R19">
        <f>B01企业金融业务支出评估!R19+B02金融市场业务支出评估!R19</f>
        <v>5520842861</v>
      </c>
      <c r="S19">
        <f>B01企业金融业务支出评估!S19+B02金融市场业务支出评估!S19</f>
        <v>5700870346</v>
      </c>
    </row>
    <row r="20" spans="1:19">
      <c r="A20" t="s">
        <v>26</v>
      </c>
      <c r="B20" t="s">
        <v>179</v>
      </c>
      <c r="C20" t="s">
        <v>2008</v>
      </c>
      <c r="D20" t="s">
        <v>476</v>
      </c>
      <c r="G20">
        <f t="shared" si="0"/>
        <v>80009161534</v>
      </c>
      <c r="H20">
        <f>B01企业金融业务支出评估!H20+B02金融市场业务支出评估!H20</f>
        <v>6000641307</v>
      </c>
      <c r="I20">
        <f>B01企业金融业务支出评估!I20+B02金融市场业务支出评估!I20</f>
        <v>6240595500</v>
      </c>
      <c r="J20">
        <f>B01企业金融业务支出评估!J20+B02金融市场业务支出评估!J20</f>
        <v>6560714600</v>
      </c>
      <c r="K20">
        <f>B01企业金融业务支出评估!K20+B02金融市场业务支出评估!K20</f>
        <v>6640732923</v>
      </c>
      <c r="L20">
        <f>B01企业金融业务支出评估!L20+B02金融市场业务支出评估!L20</f>
        <v>6800751246</v>
      </c>
      <c r="M20">
        <f>B01企业金融业务支出评估!M20+B02金融市场业务支出评估!M20</f>
        <v>6960778730</v>
      </c>
      <c r="N20">
        <f>B01企业金融业务支出评估!N20+B02金融市场业务支出评估!N20</f>
        <v>7040806215</v>
      </c>
      <c r="O20">
        <f>B01企业金融业务支出评估!O20+B02金融市场业务支出评估!O20</f>
        <v>6880797053</v>
      </c>
      <c r="P20">
        <f>B01企业金融业务支出评估!P20+B02金融市场业务支出评估!P20</f>
        <v>6720778730</v>
      </c>
      <c r="Q20">
        <f>B01企业金融业务支出评估!Q20+B02金融市场业务支出评估!Q20</f>
        <v>6640852023</v>
      </c>
      <c r="R20">
        <f>B01企业金融业务支出评估!R20+B02金融市场业务支出评估!R20</f>
        <v>6560842861</v>
      </c>
      <c r="S20">
        <f>B01企业金融业务支出评估!S20+B02金融市场业务支出评估!S20</f>
        <v>6960870346</v>
      </c>
    </row>
    <row r="21" spans="1:19">
      <c r="A21" t="s">
        <v>26</v>
      </c>
      <c r="B21" t="s">
        <v>179</v>
      </c>
      <c r="C21" t="s">
        <v>2009</v>
      </c>
      <c r="D21" t="s">
        <v>478</v>
      </c>
      <c r="G21">
        <f t="shared" si="0"/>
        <v>20020000000</v>
      </c>
      <c r="H21">
        <f>B01企业金融业务支出评估!H21+B02金融市场业务支出评估!H21</f>
        <v>1401400000</v>
      </c>
      <c r="I21">
        <f>B01企业金融业务支出评估!I21+B02金融市场业务支出评估!I21</f>
        <v>1301300000</v>
      </c>
      <c r="J21">
        <f>B01企业金融业务支出评估!J21+B02金融市场业务支出评估!J21</f>
        <v>1561560000</v>
      </c>
      <c r="K21">
        <f>B01企业金融业务支出评估!K21+B02金融市场业务支出评估!K21</f>
        <v>1601600000</v>
      </c>
      <c r="L21">
        <f>B01企业金融业务支出评估!L21+B02金融市场业务支出评估!L21</f>
        <v>1641640000</v>
      </c>
      <c r="M21">
        <f>B01企业金融业务支出评估!M21+B02金融市场业务支出评估!M21</f>
        <v>1701700000</v>
      </c>
      <c r="N21">
        <f>B01企业金融业务支出评估!N21+B02金融市场业务支出评估!N21</f>
        <v>1761760000</v>
      </c>
      <c r="O21">
        <f>B01企业金融业务支出评估!O21+B02金融市场业务支出评估!O21</f>
        <v>1741740000</v>
      </c>
      <c r="P21">
        <f>B01企业金融业务支出评估!P21+B02金融市场业务支出评估!P21</f>
        <v>1701700000</v>
      </c>
      <c r="Q21">
        <f>B01企业金融业务支出评估!Q21+B02金融市场业务支出评估!Q21</f>
        <v>1861860000</v>
      </c>
      <c r="R21">
        <f>B01企业金融业务支出评估!R21+B02金融市场业务支出评估!R21</f>
        <v>1841840000</v>
      </c>
      <c r="S21">
        <f>B01企业金融业务支出评估!S21+B02金融市场业务支出评估!S21</f>
        <v>1901900000</v>
      </c>
    </row>
    <row r="22" spans="1:19">
      <c r="A22" t="s">
        <v>26</v>
      </c>
      <c r="B22" t="s">
        <v>179</v>
      </c>
      <c r="C22" t="s">
        <v>2010</v>
      </c>
      <c r="D22" t="s">
        <v>480</v>
      </c>
      <c r="G22">
        <f t="shared" si="0"/>
        <v>60020000000</v>
      </c>
      <c r="H22">
        <f>B01企业金融业务支出评估!H22+B02金融市场业务支出评估!H22</f>
        <v>4201400000</v>
      </c>
      <c r="I22">
        <f>B01企业金融业务支出评估!I22+B02金融市场业务支出评估!I22</f>
        <v>3901300000</v>
      </c>
      <c r="J22">
        <f>B01企业金融业务支出评估!J22+B02金融市场业务支出评估!J22</f>
        <v>4681560000</v>
      </c>
      <c r="K22">
        <f>B01企业金融业务支出评估!K22+B02金融市场业务支出评估!K22</f>
        <v>4801600000</v>
      </c>
      <c r="L22">
        <f>B01企业金融业务支出评估!L22+B02金融市场业务支出评估!L22</f>
        <v>4921640000</v>
      </c>
      <c r="M22">
        <f>B01企业金融业务支出评估!M22+B02金融市场业务支出评估!M22</f>
        <v>5101700000</v>
      </c>
      <c r="N22">
        <f>B01企业金融业务支出评估!N22+B02金融市场业务支出评估!N22</f>
        <v>5281760000</v>
      </c>
      <c r="O22">
        <f>B01企业金融业务支出评估!O22+B02金融市场业务支出评估!O22</f>
        <v>5221740000</v>
      </c>
      <c r="P22">
        <f>B01企业金融业务支出评估!P22+B02金融市场业务支出评估!P22</f>
        <v>5101700000</v>
      </c>
      <c r="Q22">
        <f>B01企业金融业务支出评估!Q22+B02金融市场业务支出评估!Q22</f>
        <v>5581860000</v>
      </c>
      <c r="R22">
        <f>B01企业金融业务支出评估!R22+B02金融市场业务支出评估!R22</f>
        <v>5521840000</v>
      </c>
      <c r="S22">
        <f>B01企业金融业务支出评估!S22+B02金融市场业务支出评估!S22</f>
        <v>5701900000</v>
      </c>
    </row>
    <row r="23" spans="1:19">
      <c r="A23" t="s">
        <v>26</v>
      </c>
      <c r="B23" t="s">
        <v>179</v>
      </c>
      <c r="C23" t="s">
        <v>2011</v>
      </c>
      <c r="D23" t="s">
        <v>482</v>
      </c>
      <c r="G23">
        <f t="shared" si="0"/>
        <v>50009161534</v>
      </c>
      <c r="H23">
        <f>B01企业金融业务支出评估!H23+B02金融市场业务支出评估!H23</f>
        <v>3500641307</v>
      </c>
      <c r="I23">
        <f>B01企业金融业务支出评估!I23+B02金融市场业务支出评估!I23</f>
        <v>3250595500</v>
      </c>
      <c r="J23">
        <f>B01企业金融业务支出评估!J23+B02金融市场业务支出评估!J23</f>
        <v>3900714600</v>
      </c>
      <c r="K23">
        <f>B01企业金融业务支出评估!K23+B02金融市场业务支出评估!K23</f>
        <v>4000732923</v>
      </c>
      <c r="L23">
        <f>B01企业金融业务支出评估!L23+B02金融市场业务支出评估!L23</f>
        <v>4100751246</v>
      </c>
      <c r="M23">
        <f>B01企业金融业务支出评估!M23+B02金融市场业务支出评估!M23</f>
        <v>4250778730</v>
      </c>
      <c r="N23">
        <f>B01企业金融业务支出评估!N23+B02金融市场业务支出评估!N23</f>
        <v>4400806215</v>
      </c>
      <c r="O23">
        <f>B01企业金融业务支出评估!O23+B02金融市场业务支出评估!O23</f>
        <v>4350797053</v>
      </c>
      <c r="P23">
        <f>B01企业金融业务支出评估!P23+B02金融市场业务支出评估!P23</f>
        <v>4250778730</v>
      </c>
      <c r="Q23">
        <f>B01企业金融业务支出评估!Q23+B02金融市场业务支出评估!Q23</f>
        <v>4650852023</v>
      </c>
      <c r="R23">
        <f>B01企业金融业务支出评估!R23+B02金融市场业务支出评估!R23</f>
        <v>4600842861</v>
      </c>
      <c r="S23">
        <f>B01企业金融业务支出评估!S23+B02金融市场业务支出评估!S23</f>
        <v>4750870346</v>
      </c>
    </row>
    <row r="24" spans="1:19">
      <c r="A24" t="s">
        <v>23</v>
      </c>
      <c r="B24" t="s">
        <v>179</v>
      </c>
      <c r="C24" t="s">
        <v>2012</v>
      </c>
      <c r="D24" t="s">
        <v>484</v>
      </c>
      <c r="G24">
        <f t="shared" si="0"/>
        <v>990000000</v>
      </c>
      <c r="H24">
        <f t="shared" ref="H24:S24" si="5">H25+H26+H27</f>
        <v>69300000</v>
      </c>
      <c r="I24">
        <f t="shared" si="5"/>
        <v>64350000</v>
      </c>
      <c r="J24">
        <f t="shared" si="5"/>
        <v>77220000</v>
      </c>
      <c r="K24">
        <f t="shared" si="5"/>
        <v>79200000</v>
      </c>
      <c r="L24">
        <f t="shared" si="5"/>
        <v>81180000</v>
      </c>
      <c r="M24">
        <f t="shared" si="5"/>
        <v>84150000</v>
      </c>
      <c r="N24">
        <f t="shared" si="5"/>
        <v>87120000</v>
      </c>
      <c r="O24">
        <f t="shared" si="5"/>
        <v>86130000</v>
      </c>
      <c r="P24">
        <f t="shared" si="5"/>
        <v>84150000</v>
      </c>
      <c r="Q24">
        <f t="shared" si="5"/>
        <v>92070000</v>
      </c>
      <c r="R24">
        <f t="shared" si="5"/>
        <v>91080000</v>
      </c>
      <c r="S24">
        <f t="shared" si="5"/>
        <v>94050000</v>
      </c>
    </row>
    <row r="25" spans="1:19">
      <c r="A25" t="s">
        <v>26</v>
      </c>
      <c r="B25" t="s">
        <v>179</v>
      </c>
      <c r="C25" t="s">
        <v>2013</v>
      </c>
      <c r="D25" t="s">
        <v>486</v>
      </c>
      <c r="G25">
        <f t="shared" si="0"/>
        <v>540000000</v>
      </c>
      <c r="H25">
        <f>B01企业金融业务支出评估!H25+B02金融市场业务支出评估!H25</f>
        <v>37800000</v>
      </c>
      <c r="I25">
        <f>B01企业金融业务支出评估!I25+B02金融市场业务支出评估!I25</f>
        <v>35100000</v>
      </c>
      <c r="J25">
        <f>B01企业金融业务支出评估!J25+B02金融市场业务支出评估!J25</f>
        <v>42120000</v>
      </c>
      <c r="K25">
        <f>B01企业金融业务支出评估!K25+B02金融市场业务支出评估!K25</f>
        <v>43200000</v>
      </c>
      <c r="L25">
        <f>B01企业金融业务支出评估!L25+B02金融市场业务支出评估!L25</f>
        <v>44280000</v>
      </c>
      <c r="M25">
        <f>B01企业金融业务支出评估!M25+B02金融市场业务支出评估!M25</f>
        <v>45900000</v>
      </c>
      <c r="N25">
        <f>B01企业金融业务支出评估!N25+B02金融市场业务支出评估!N25</f>
        <v>47520000</v>
      </c>
      <c r="O25">
        <f>B01企业金融业务支出评估!O25+B02金融市场业务支出评估!O25</f>
        <v>46980000</v>
      </c>
      <c r="P25">
        <f>B01企业金融业务支出评估!P25+B02金融市场业务支出评估!P25</f>
        <v>45900000</v>
      </c>
      <c r="Q25">
        <f>B01企业金融业务支出评估!Q25+B02金融市场业务支出评估!Q25</f>
        <v>50220000</v>
      </c>
      <c r="R25">
        <f>B01企业金融业务支出评估!R25+B02金融市场业务支出评估!R25</f>
        <v>49680000</v>
      </c>
      <c r="S25">
        <f>B01企业金融业务支出评估!S25+B02金融市场业务支出评估!S25</f>
        <v>51300000</v>
      </c>
    </row>
    <row r="26" spans="1:19">
      <c r="A26" t="s">
        <v>26</v>
      </c>
      <c r="B26" t="s">
        <v>179</v>
      </c>
      <c r="C26" t="s">
        <v>2014</v>
      </c>
      <c r="D26" t="s">
        <v>488</v>
      </c>
      <c r="G26">
        <f t="shared" si="0"/>
        <v>280000000</v>
      </c>
      <c r="H26">
        <f>B01企业金融业务支出评估!H26+B02金融市场业务支出评估!H26</f>
        <v>19600000</v>
      </c>
      <c r="I26">
        <f>B01企业金融业务支出评估!I26+B02金融市场业务支出评估!I26</f>
        <v>18200000</v>
      </c>
      <c r="J26">
        <f>B01企业金融业务支出评估!J26+B02金融市场业务支出评估!J26</f>
        <v>21840000</v>
      </c>
      <c r="K26">
        <f>B01企业金融业务支出评估!K26+B02金融市场业务支出评估!K26</f>
        <v>22400000</v>
      </c>
      <c r="L26">
        <f>B01企业金融业务支出评估!L26+B02金融市场业务支出评估!L26</f>
        <v>22960000</v>
      </c>
      <c r="M26">
        <f>B01企业金融业务支出评估!M26+B02金融市场业务支出评估!M26</f>
        <v>23800000</v>
      </c>
      <c r="N26">
        <f>B01企业金融业务支出评估!N26+B02金融市场业务支出评估!N26</f>
        <v>24640000</v>
      </c>
      <c r="O26">
        <f>B01企业金融业务支出评估!O26+B02金融市场业务支出评估!O26</f>
        <v>24360000</v>
      </c>
      <c r="P26">
        <f>B01企业金融业务支出评估!P26+B02金融市场业务支出评估!P26</f>
        <v>23800000</v>
      </c>
      <c r="Q26">
        <f>B01企业金融业务支出评估!Q26+B02金融市场业务支出评估!Q26</f>
        <v>26040000</v>
      </c>
      <c r="R26">
        <f>B01企业金融业务支出评估!R26+B02金融市场业务支出评估!R26</f>
        <v>25760000</v>
      </c>
      <c r="S26">
        <f>B01企业金融业务支出评估!S26+B02金融市场业务支出评估!S26</f>
        <v>26600000</v>
      </c>
    </row>
    <row r="27" spans="1:19">
      <c r="A27" t="s">
        <v>26</v>
      </c>
      <c r="B27" t="s">
        <v>179</v>
      </c>
      <c r="C27" t="s">
        <v>2015</v>
      </c>
      <c r="D27" t="s">
        <v>490</v>
      </c>
      <c r="G27">
        <f t="shared" si="0"/>
        <v>170000000</v>
      </c>
      <c r="H27">
        <f>B01企业金融业务支出评估!H27+B02金融市场业务支出评估!H27</f>
        <v>11900000</v>
      </c>
      <c r="I27">
        <f>B01企业金融业务支出评估!I27+B02金融市场业务支出评估!I27</f>
        <v>11050000</v>
      </c>
      <c r="J27">
        <f>B01企业金融业务支出评估!J27+B02金融市场业务支出评估!J27</f>
        <v>13260000</v>
      </c>
      <c r="K27">
        <f>B01企业金融业务支出评估!K27+B02金融市场业务支出评估!K27</f>
        <v>13600000</v>
      </c>
      <c r="L27">
        <f>B01企业金融业务支出评估!L27+B02金融市场业务支出评估!L27</f>
        <v>13940000</v>
      </c>
      <c r="M27">
        <f>B01企业金融业务支出评估!M27+B02金融市场业务支出评估!M27</f>
        <v>14450000</v>
      </c>
      <c r="N27">
        <f>B01企业金融业务支出评估!N27+B02金融市场业务支出评估!N27</f>
        <v>14960000</v>
      </c>
      <c r="O27">
        <f>B01企业金融业务支出评估!O27+B02金融市场业务支出评估!O27</f>
        <v>14790000</v>
      </c>
      <c r="P27">
        <f>B01企业金融业务支出评估!P27+B02金融市场业务支出评估!P27</f>
        <v>14450000</v>
      </c>
      <c r="Q27">
        <f>B01企业金融业务支出评估!Q27+B02金融市场业务支出评估!Q27</f>
        <v>15810000</v>
      </c>
      <c r="R27">
        <f>B01企业金融业务支出评估!R27+B02金融市场业务支出评估!R27</f>
        <v>15640000</v>
      </c>
      <c r="S27">
        <f>B01企业金融业务支出评估!S27+B02金融市场业务支出评估!S27</f>
        <v>16150000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2016</v>
      </c>
      <c r="D2" t="s">
        <v>22</v>
      </c>
      <c r="G2">
        <f t="shared" ref="G2:G65" si="0">H2+I2+J2+K2+L2+M2+N2+O2+P2+Q2+R2+S2</f>
        <v>86643644092</v>
      </c>
      <c r="H2">
        <f t="shared" ref="H2:S2" si="1">H3+H6+H7</f>
        <v>6371183712</v>
      </c>
      <c r="I2">
        <f t="shared" si="1"/>
        <v>6430369660</v>
      </c>
      <c r="J2">
        <f t="shared" si="1"/>
        <v>7002618560</v>
      </c>
      <c r="K2">
        <f t="shared" si="1"/>
        <v>7114717438</v>
      </c>
      <c r="L2">
        <f t="shared" si="1"/>
        <v>7287996842</v>
      </c>
      <c r="M2">
        <f t="shared" si="1"/>
        <v>7486735476</v>
      </c>
      <c r="N2">
        <f t="shared" si="1"/>
        <v>7624293584</v>
      </c>
      <c r="O2">
        <f t="shared" si="1"/>
        <v>7476473308</v>
      </c>
      <c r="P2">
        <f t="shared" si="1"/>
        <v>7303193902</v>
      </c>
      <c r="Q2">
        <f t="shared" si="1"/>
        <v>7445687004</v>
      </c>
      <c r="R2">
        <f t="shared" si="1"/>
        <v>7359047252</v>
      </c>
      <c r="S2">
        <f t="shared" si="1"/>
        <v>7741327354</v>
      </c>
    </row>
    <row r="3" spans="1:19">
      <c r="A3" t="s">
        <v>23</v>
      </c>
      <c r="B3" t="s">
        <v>20</v>
      </c>
      <c r="C3" t="s">
        <v>2017</v>
      </c>
      <c r="D3" t="s">
        <v>25</v>
      </c>
      <c r="G3">
        <f t="shared" si="0"/>
        <v>7876694894</v>
      </c>
      <c r="H3">
        <f t="shared" ref="H3:S3" si="2">H4+H5</f>
        <v>579198518</v>
      </c>
      <c r="I3">
        <f t="shared" si="2"/>
        <v>584579058</v>
      </c>
      <c r="J3">
        <f t="shared" si="2"/>
        <v>636601686</v>
      </c>
      <c r="K3">
        <f t="shared" si="2"/>
        <v>646792492</v>
      </c>
      <c r="L3">
        <f t="shared" si="2"/>
        <v>662545166</v>
      </c>
      <c r="M3">
        <f t="shared" si="2"/>
        <v>680612314</v>
      </c>
      <c r="N3">
        <f t="shared" si="2"/>
        <v>693117596</v>
      </c>
      <c r="O3">
        <f t="shared" si="2"/>
        <v>679679390</v>
      </c>
      <c r="P3">
        <f t="shared" si="2"/>
        <v>663926716</v>
      </c>
      <c r="Q3">
        <f t="shared" si="2"/>
        <v>676880634</v>
      </c>
      <c r="R3">
        <f t="shared" si="2"/>
        <v>669004294</v>
      </c>
      <c r="S3">
        <f t="shared" si="2"/>
        <v>703757030</v>
      </c>
    </row>
    <row r="4" spans="1:19">
      <c r="A4" t="s">
        <v>26</v>
      </c>
      <c r="B4" t="s">
        <v>20</v>
      </c>
      <c r="C4" t="s">
        <v>2018</v>
      </c>
      <c r="D4" t="s">
        <v>28</v>
      </c>
      <c r="G4">
        <f t="shared" si="0"/>
        <v>3938347447</v>
      </c>
      <c r="H4">
        <v>289599259</v>
      </c>
      <c r="I4">
        <v>292289529</v>
      </c>
      <c r="J4">
        <v>318300843</v>
      </c>
      <c r="K4">
        <v>323396246</v>
      </c>
      <c r="L4">
        <v>331272583</v>
      </c>
      <c r="M4">
        <v>340306157</v>
      </c>
      <c r="N4">
        <v>346558798</v>
      </c>
      <c r="O4">
        <v>339839695</v>
      </c>
      <c r="P4">
        <v>331963358</v>
      </c>
      <c r="Q4">
        <v>338440317</v>
      </c>
      <c r="R4">
        <v>334502147</v>
      </c>
      <c r="S4">
        <v>351878515</v>
      </c>
    </row>
    <row r="5" spans="1:19">
      <c r="A5" t="s">
        <v>26</v>
      </c>
      <c r="B5" t="s">
        <v>20</v>
      </c>
      <c r="C5" t="s">
        <v>2019</v>
      </c>
      <c r="D5" t="s">
        <v>30</v>
      </c>
      <c r="G5">
        <f t="shared" si="0"/>
        <v>3938347447</v>
      </c>
      <c r="H5">
        <v>289599259</v>
      </c>
      <c r="I5">
        <v>292289529</v>
      </c>
      <c r="J5">
        <v>318300843</v>
      </c>
      <c r="K5">
        <v>323396246</v>
      </c>
      <c r="L5">
        <v>331272583</v>
      </c>
      <c r="M5">
        <v>340306157</v>
      </c>
      <c r="N5">
        <v>346558798</v>
      </c>
      <c r="O5">
        <v>339839695</v>
      </c>
      <c r="P5">
        <v>331963358</v>
      </c>
      <c r="Q5">
        <v>338440317</v>
      </c>
      <c r="R5">
        <v>334502147</v>
      </c>
      <c r="S5">
        <v>351878515</v>
      </c>
    </row>
    <row r="6" spans="1:19">
      <c r="A6" t="s">
        <v>23</v>
      </c>
      <c r="B6" t="s">
        <v>20</v>
      </c>
      <c r="C6" t="s">
        <v>2020</v>
      </c>
      <c r="D6" t="s">
        <v>32</v>
      </c>
      <c r="G6">
        <f t="shared" si="0"/>
        <v>39383474599</v>
      </c>
      <c r="H6">
        <v>2895992597</v>
      </c>
      <c r="I6">
        <v>2922895301</v>
      </c>
      <c r="J6">
        <v>3183008437</v>
      </c>
      <c r="K6">
        <v>3233962473</v>
      </c>
      <c r="L6">
        <v>3312725838</v>
      </c>
      <c r="M6">
        <v>3403061581</v>
      </c>
      <c r="N6">
        <v>3465587994</v>
      </c>
      <c r="O6">
        <v>3398396959</v>
      </c>
      <c r="P6">
        <v>3319633593</v>
      </c>
      <c r="Q6">
        <v>3384403185</v>
      </c>
      <c r="R6">
        <v>3345021479</v>
      </c>
      <c r="S6">
        <v>3518785162</v>
      </c>
    </row>
    <row r="7" spans="1:19">
      <c r="A7" t="s">
        <v>23</v>
      </c>
      <c r="B7" t="s">
        <v>20</v>
      </c>
      <c r="C7" t="s">
        <v>2021</v>
      </c>
      <c r="D7" t="s">
        <v>34</v>
      </c>
      <c r="G7">
        <f t="shared" si="0"/>
        <v>39383474599</v>
      </c>
      <c r="H7">
        <v>2895992597</v>
      </c>
      <c r="I7">
        <v>2922895301</v>
      </c>
      <c r="J7">
        <v>3183008437</v>
      </c>
      <c r="K7">
        <v>3233962473</v>
      </c>
      <c r="L7">
        <v>3312725838</v>
      </c>
      <c r="M7">
        <v>3403061581</v>
      </c>
      <c r="N7">
        <v>3465587994</v>
      </c>
      <c r="O7">
        <v>3398396959</v>
      </c>
      <c r="P7">
        <v>3319633593</v>
      </c>
      <c r="Q7">
        <v>3384403185</v>
      </c>
      <c r="R7">
        <v>3345021479</v>
      </c>
      <c r="S7">
        <v>3518785162</v>
      </c>
    </row>
    <row r="8" spans="1:19">
      <c r="A8" t="s">
        <v>19</v>
      </c>
      <c r="B8" t="s">
        <v>35</v>
      </c>
      <c r="C8" t="s">
        <v>2022</v>
      </c>
      <c r="D8" t="s">
        <v>37</v>
      </c>
      <c r="G8">
        <f t="shared" si="0"/>
        <v>500000000</v>
      </c>
      <c r="H8">
        <v>35000000</v>
      </c>
      <c r="I8">
        <v>32500000</v>
      </c>
      <c r="J8">
        <v>39000000</v>
      </c>
      <c r="K8">
        <v>40000000</v>
      </c>
      <c r="L8">
        <v>41000000</v>
      </c>
      <c r="M8">
        <v>42500000</v>
      </c>
      <c r="N8">
        <v>44000000</v>
      </c>
      <c r="O8">
        <v>43500000</v>
      </c>
      <c r="P8">
        <v>42500000</v>
      </c>
      <c r="Q8">
        <v>46500000</v>
      </c>
      <c r="R8">
        <v>46000000</v>
      </c>
      <c r="S8">
        <v>47500000</v>
      </c>
    </row>
    <row r="9" spans="1:19">
      <c r="A9" t="s">
        <v>19</v>
      </c>
      <c r="B9" t="s">
        <v>20</v>
      </c>
      <c r="C9" t="s">
        <v>2023</v>
      </c>
      <c r="D9" t="s">
        <v>39</v>
      </c>
      <c r="G9">
        <f t="shared" si="0"/>
        <v>39383474599</v>
      </c>
      <c r="H9">
        <v>2895992597</v>
      </c>
      <c r="I9">
        <v>2922895301</v>
      </c>
      <c r="J9">
        <v>3183008437</v>
      </c>
      <c r="K9">
        <v>3233962473</v>
      </c>
      <c r="L9">
        <v>3312725838</v>
      </c>
      <c r="M9">
        <v>3403061581</v>
      </c>
      <c r="N9">
        <v>3465587994</v>
      </c>
      <c r="O9">
        <v>3398396959</v>
      </c>
      <c r="P9">
        <v>3319633593</v>
      </c>
      <c r="Q9">
        <v>3384403185</v>
      </c>
      <c r="R9">
        <v>3345021479</v>
      </c>
      <c r="S9">
        <v>3518785162</v>
      </c>
    </row>
    <row r="10" spans="1:19">
      <c r="A10" t="s">
        <v>19</v>
      </c>
      <c r="B10" t="s">
        <v>35</v>
      </c>
      <c r="C10" t="s">
        <v>2024</v>
      </c>
      <c r="D10" t="s">
        <v>41</v>
      </c>
      <c r="G10">
        <f t="shared" si="0"/>
        <v>39383474599</v>
      </c>
      <c r="H10">
        <v>2895992597</v>
      </c>
      <c r="I10">
        <v>2922895301</v>
      </c>
      <c r="J10">
        <v>3183008437</v>
      </c>
      <c r="K10">
        <v>3233962473</v>
      </c>
      <c r="L10">
        <v>3312725838</v>
      </c>
      <c r="M10">
        <v>3403061581</v>
      </c>
      <c r="N10">
        <v>3465587994</v>
      </c>
      <c r="O10">
        <v>3398396959</v>
      </c>
      <c r="P10">
        <v>3319633593</v>
      </c>
      <c r="Q10">
        <v>3384403185</v>
      </c>
      <c r="R10">
        <v>3345021479</v>
      </c>
      <c r="S10">
        <v>3518785162</v>
      </c>
    </row>
    <row r="11" spans="1:19">
      <c r="A11" t="s">
        <v>19</v>
      </c>
      <c r="B11" t="s">
        <v>35</v>
      </c>
      <c r="C11" t="s">
        <v>2025</v>
      </c>
      <c r="D11" t="s">
        <v>43</v>
      </c>
      <c r="G11">
        <f t="shared" si="0"/>
        <v>107123050801</v>
      </c>
      <c r="H11">
        <f t="shared" ref="H11:S11" si="3">H12+H15+H18+H25+H26</f>
        <v>7877099857</v>
      </c>
      <c r="I11">
        <f t="shared" si="3"/>
        <v>7950275209</v>
      </c>
      <c r="J11">
        <f t="shared" si="3"/>
        <v>8657782943</v>
      </c>
      <c r="K11">
        <f t="shared" si="3"/>
        <v>8796377916</v>
      </c>
      <c r="L11">
        <f t="shared" si="3"/>
        <v>9010614273</v>
      </c>
      <c r="M11">
        <f t="shared" si="3"/>
        <v>9256327491</v>
      </c>
      <c r="N11">
        <f t="shared" si="3"/>
        <v>9426399332</v>
      </c>
      <c r="O11">
        <f t="shared" si="3"/>
        <v>9243639721</v>
      </c>
      <c r="P11">
        <f t="shared" si="3"/>
        <v>9029403362</v>
      </c>
      <c r="Q11">
        <f t="shared" si="3"/>
        <v>9205576651</v>
      </c>
      <c r="R11">
        <f t="shared" si="3"/>
        <v>9098458415</v>
      </c>
      <c r="S11">
        <f t="shared" si="3"/>
        <v>9571095631</v>
      </c>
    </row>
    <row r="12" spans="1:19">
      <c r="A12" t="s">
        <v>23</v>
      </c>
      <c r="B12" t="s">
        <v>35</v>
      </c>
      <c r="C12" t="s">
        <v>2026</v>
      </c>
      <c r="D12" t="s">
        <v>45</v>
      </c>
      <c r="G12">
        <f t="shared" si="0"/>
        <v>7876694894</v>
      </c>
      <c r="H12">
        <f t="shared" ref="H12:S12" si="4">H13+H14</f>
        <v>579198518</v>
      </c>
      <c r="I12">
        <f t="shared" si="4"/>
        <v>584579058</v>
      </c>
      <c r="J12">
        <f t="shared" si="4"/>
        <v>636601686</v>
      </c>
      <c r="K12">
        <f t="shared" si="4"/>
        <v>646792492</v>
      </c>
      <c r="L12">
        <f t="shared" si="4"/>
        <v>662545166</v>
      </c>
      <c r="M12">
        <f t="shared" si="4"/>
        <v>680612314</v>
      </c>
      <c r="N12">
        <f t="shared" si="4"/>
        <v>693117596</v>
      </c>
      <c r="O12">
        <f t="shared" si="4"/>
        <v>679679390</v>
      </c>
      <c r="P12">
        <f t="shared" si="4"/>
        <v>663926716</v>
      </c>
      <c r="Q12">
        <f t="shared" si="4"/>
        <v>676880634</v>
      </c>
      <c r="R12">
        <f t="shared" si="4"/>
        <v>669004294</v>
      </c>
      <c r="S12">
        <f t="shared" si="4"/>
        <v>703757030</v>
      </c>
    </row>
    <row r="13" spans="1:19">
      <c r="A13" t="s">
        <v>26</v>
      </c>
      <c r="B13" t="s">
        <v>35</v>
      </c>
      <c r="C13" t="s">
        <v>2027</v>
      </c>
      <c r="D13" t="s">
        <v>47</v>
      </c>
      <c r="G13">
        <f t="shared" si="0"/>
        <v>3938347447</v>
      </c>
      <c r="H13">
        <v>289599259</v>
      </c>
      <c r="I13">
        <v>292289529</v>
      </c>
      <c r="J13">
        <v>318300843</v>
      </c>
      <c r="K13">
        <v>323396246</v>
      </c>
      <c r="L13">
        <v>331272583</v>
      </c>
      <c r="M13">
        <v>340306157</v>
      </c>
      <c r="N13">
        <v>346558798</v>
      </c>
      <c r="O13">
        <v>339839695</v>
      </c>
      <c r="P13">
        <v>331963358</v>
      </c>
      <c r="Q13">
        <v>338440317</v>
      </c>
      <c r="R13">
        <v>334502147</v>
      </c>
      <c r="S13">
        <v>351878515</v>
      </c>
    </row>
    <row r="14" spans="1:19">
      <c r="A14" t="s">
        <v>26</v>
      </c>
      <c r="B14" t="s">
        <v>35</v>
      </c>
      <c r="C14" t="s">
        <v>2028</v>
      </c>
      <c r="D14" t="s">
        <v>49</v>
      </c>
      <c r="G14">
        <f t="shared" si="0"/>
        <v>3938347447</v>
      </c>
      <c r="H14">
        <v>289599259</v>
      </c>
      <c r="I14">
        <v>292289529</v>
      </c>
      <c r="J14">
        <v>318300843</v>
      </c>
      <c r="K14">
        <v>323396246</v>
      </c>
      <c r="L14">
        <v>331272583</v>
      </c>
      <c r="M14">
        <v>340306157</v>
      </c>
      <c r="N14">
        <v>346558798</v>
      </c>
      <c r="O14">
        <v>339839695</v>
      </c>
      <c r="P14">
        <v>331963358</v>
      </c>
      <c r="Q14">
        <v>338440317</v>
      </c>
      <c r="R14">
        <v>334502147</v>
      </c>
      <c r="S14">
        <v>351878515</v>
      </c>
    </row>
    <row r="15" spans="1:19">
      <c r="A15" t="s">
        <v>23</v>
      </c>
      <c r="B15" t="s">
        <v>35</v>
      </c>
      <c r="C15" t="s">
        <v>2029</v>
      </c>
      <c r="D15" t="s">
        <v>51</v>
      </c>
      <c r="G15">
        <f t="shared" si="0"/>
        <v>7876694894</v>
      </c>
      <c r="H15">
        <f t="shared" ref="H15:S15" si="5">H16+H17</f>
        <v>579198518</v>
      </c>
      <c r="I15">
        <f t="shared" si="5"/>
        <v>584579058</v>
      </c>
      <c r="J15">
        <f t="shared" si="5"/>
        <v>636601686</v>
      </c>
      <c r="K15">
        <f t="shared" si="5"/>
        <v>646792492</v>
      </c>
      <c r="L15">
        <f t="shared" si="5"/>
        <v>662545166</v>
      </c>
      <c r="M15">
        <f t="shared" si="5"/>
        <v>680612314</v>
      </c>
      <c r="N15">
        <f t="shared" si="5"/>
        <v>693117596</v>
      </c>
      <c r="O15">
        <f t="shared" si="5"/>
        <v>679679390</v>
      </c>
      <c r="P15">
        <f t="shared" si="5"/>
        <v>663926716</v>
      </c>
      <c r="Q15">
        <f t="shared" si="5"/>
        <v>676880634</v>
      </c>
      <c r="R15">
        <f t="shared" si="5"/>
        <v>669004294</v>
      </c>
      <c r="S15">
        <f t="shared" si="5"/>
        <v>703757030</v>
      </c>
    </row>
    <row r="16" spans="1:19">
      <c r="A16" t="s">
        <v>26</v>
      </c>
      <c r="B16" t="s">
        <v>35</v>
      </c>
      <c r="C16" t="s">
        <v>2030</v>
      </c>
      <c r="D16" t="s">
        <v>53</v>
      </c>
      <c r="G16">
        <f t="shared" si="0"/>
        <v>3938347447</v>
      </c>
      <c r="H16">
        <v>289599259</v>
      </c>
      <c r="I16">
        <v>292289529</v>
      </c>
      <c r="J16">
        <v>318300843</v>
      </c>
      <c r="K16">
        <v>323396246</v>
      </c>
      <c r="L16">
        <v>331272583</v>
      </c>
      <c r="M16">
        <v>340306157</v>
      </c>
      <c r="N16">
        <v>346558798</v>
      </c>
      <c r="O16">
        <v>339839695</v>
      </c>
      <c r="P16">
        <v>331963358</v>
      </c>
      <c r="Q16">
        <v>338440317</v>
      </c>
      <c r="R16">
        <v>334502147</v>
      </c>
      <c r="S16">
        <v>351878515</v>
      </c>
    </row>
    <row r="17" spans="1:19">
      <c r="A17" t="s">
        <v>26</v>
      </c>
      <c r="B17" t="s">
        <v>35</v>
      </c>
      <c r="C17" t="s">
        <v>2031</v>
      </c>
      <c r="D17" t="s">
        <v>55</v>
      </c>
      <c r="G17">
        <f t="shared" si="0"/>
        <v>3938347447</v>
      </c>
      <c r="H17">
        <v>289599259</v>
      </c>
      <c r="I17">
        <v>292289529</v>
      </c>
      <c r="J17">
        <v>318300843</v>
      </c>
      <c r="K17">
        <v>323396246</v>
      </c>
      <c r="L17">
        <v>331272583</v>
      </c>
      <c r="M17">
        <v>340306157</v>
      </c>
      <c r="N17">
        <v>346558798</v>
      </c>
      <c r="O17">
        <v>339839695</v>
      </c>
      <c r="P17">
        <v>331963358</v>
      </c>
      <c r="Q17">
        <v>338440317</v>
      </c>
      <c r="R17">
        <v>334502147</v>
      </c>
      <c r="S17">
        <v>351878515</v>
      </c>
    </row>
    <row r="18" spans="1:19">
      <c r="A18" t="s">
        <v>23</v>
      </c>
      <c r="B18" t="s">
        <v>35</v>
      </c>
      <c r="C18" t="s">
        <v>2032</v>
      </c>
      <c r="D18" t="s">
        <v>57</v>
      </c>
      <c r="G18">
        <f t="shared" si="0"/>
        <v>12602711815</v>
      </c>
      <c r="H18">
        <f t="shared" ref="H18:S18" si="6">H19+H22+H23+H24</f>
        <v>926717627</v>
      </c>
      <c r="I18">
        <f t="shared" si="6"/>
        <v>935326491</v>
      </c>
      <c r="J18">
        <f t="shared" si="6"/>
        <v>1018562697</v>
      </c>
      <c r="K18">
        <f t="shared" si="6"/>
        <v>1034867986</v>
      </c>
      <c r="L18">
        <f t="shared" si="6"/>
        <v>1060072265</v>
      </c>
      <c r="M18">
        <f t="shared" si="6"/>
        <v>1088979701</v>
      </c>
      <c r="N18">
        <f t="shared" si="6"/>
        <v>1108988152</v>
      </c>
      <c r="O18">
        <f t="shared" si="6"/>
        <v>1087487023</v>
      </c>
      <c r="P18">
        <f t="shared" si="6"/>
        <v>1062282744</v>
      </c>
      <c r="Q18">
        <f t="shared" si="6"/>
        <v>1083009013</v>
      </c>
      <c r="R18">
        <f t="shared" si="6"/>
        <v>1070406869</v>
      </c>
      <c r="S18">
        <f t="shared" si="6"/>
        <v>1126011247</v>
      </c>
    </row>
    <row r="19" spans="1:19">
      <c r="A19" t="s">
        <v>26</v>
      </c>
      <c r="B19" t="s">
        <v>35</v>
      </c>
      <c r="C19" t="s">
        <v>2033</v>
      </c>
      <c r="D19" t="s">
        <v>59</v>
      </c>
      <c r="G19">
        <f t="shared" si="0"/>
        <v>787669474</v>
      </c>
      <c r="H19">
        <f t="shared" ref="H19:S19" si="7">H20+H21</f>
        <v>57919850</v>
      </c>
      <c r="I19">
        <f t="shared" si="7"/>
        <v>58457904</v>
      </c>
      <c r="J19">
        <f t="shared" si="7"/>
        <v>63660168</v>
      </c>
      <c r="K19">
        <f t="shared" si="7"/>
        <v>64679248</v>
      </c>
      <c r="L19">
        <f t="shared" si="7"/>
        <v>66254516</v>
      </c>
      <c r="M19">
        <f t="shared" si="7"/>
        <v>68061230</v>
      </c>
      <c r="N19">
        <f t="shared" si="7"/>
        <v>69311758</v>
      </c>
      <c r="O19">
        <f t="shared" si="7"/>
        <v>67967938</v>
      </c>
      <c r="P19">
        <f t="shared" si="7"/>
        <v>66392670</v>
      </c>
      <c r="Q19">
        <f t="shared" si="7"/>
        <v>67688062</v>
      </c>
      <c r="R19">
        <f t="shared" si="7"/>
        <v>66900428</v>
      </c>
      <c r="S19">
        <f t="shared" si="7"/>
        <v>70375702</v>
      </c>
    </row>
    <row r="20" spans="1:19">
      <c r="A20" t="s">
        <v>60</v>
      </c>
      <c r="B20" t="s">
        <v>35</v>
      </c>
      <c r="C20" t="s">
        <v>2034</v>
      </c>
      <c r="D20" t="s">
        <v>62</v>
      </c>
      <c r="G20">
        <f t="shared" si="0"/>
        <v>393834737</v>
      </c>
      <c r="H20">
        <v>28959925</v>
      </c>
      <c r="I20">
        <v>29228952</v>
      </c>
      <c r="J20">
        <v>31830084</v>
      </c>
      <c r="K20">
        <v>32339624</v>
      </c>
      <c r="L20">
        <v>33127258</v>
      </c>
      <c r="M20">
        <v>34030615</v>
      </c>
      <c r="N20">
        <v>34655879</v>
      </c>
      <c r="O20">
        <v>33983969</v>
      </c>
      <c r="P20">
        <v>33196335</v>
      </c>
      <c r="Q20">
        <v>33844031</v>
      </c>
      <c r="R20">
        <v>33450214</v>
      </c>
      <c r="S20">
        <v>35187851</v>
      </c>
    </row>
    <row r="21" spans="1:19">
      <c r="A21" t="s">
        <v>60</v>
      </c>
      <c r="B21" t="s">
        <v>35</v>
      </c>
      <c r="C21" t="s">
        <v>2035</v>
      </c>
      <c r="D21" t="s">
        <v>64</v>
      </c>
      <c r="G21">
        <f t="shared" si="0"/>
        <v>393834737</v>
      </c>
      <c r="H21">
        <v>28959925</v>
      </c>
      <c r="I21">
        <v>29228952</v>
      </c>
      <c r="J21">
        <v>31830084</v>
      </c>
      <c r="K21">
        <v>32339624</v>
      </c>
      <c r="L21">
        <v>33127258</v>
      </c>
      <c r="M21">
        <v>34030615</v>
      </c>
      <c r="N21">
        <v>34655879</v>
      </c>
      <c r="O21">
        <v>33983969</v>
      </c>
      <c r="P21">
        <v>33196335</v>
      </c>
      <c r="Q21">
        <v>33844031</v>
      </c>
      <c r="R21">
        <v>33450214</v>
      </c>
      <c r="S21">
        <v>35187851</v>
      </c>
    </row>
    <row r="22" spans="1:19">
      <c r="A22" t="s">
        <v>26</v>
      </c>
      <c r="B22" t="s">
        <v>35</v>
      </c>
      <c r="C22" t="s">
        <v>2036</v>
      </c>
      <c r="D22" t="s">
        <v>66</v>
      </c>
      <c r="G22">
        <f t="shared" si="0"/>
        <v>3938347447</v>
      </c>
      <c r="H22">
        <v>289599259</v>
      </c>
      <c r="I22">
        <v>292289529</v>
      </c>
      <c r="J22">
        <v>318300843</v>
      </c>
      <c r="K22">
        <v>323396246</v>
      </c>
      <c r="L22">
        <v>331272583</v>
      </c>
      <c r="M22">
        <v>340306157</v>
      </c>
      <c r="N22">
        <v>346558798</v>
      </c>
      <c r="O22">
        <v>339839695</v>
      </c>
      <c r="P22">
        <v>331963358</v>
      </c>
      <c r="Q22">
        <v>338440317</v>
      </c>
      <c r="R22">
        <v>334502147</v>
      </c>
      <c r="S22">
        <v>351878515</v>
      </c>
    </row>
    <row r="23" spans="1:19">
      <c r="A23" t="s">
        <v>26</v>
      </c>
      <c r="B23" t="s">
        <v>35</v>
      </c>
      <c r="C23" t="s">
        <v>2037</v>
      </c>
      <c r="D23" t="s">
        <v>68</v>
      </c>
      <c r="G23">
        <f t="shared" si="0"/>
        <v>3938347447</v>
      </c>
      <c r="H23">
        <v>289599259</v>
      </c>
      <c r="I23">
        <v>292289529</v>
      </c>
      <c r="J23">
        <v>318300843</v>
      </c>
      <c r="K23">
        <v>323396246</v>
      </c>
      <c r="L23">
        <v>331272583</v>
      </c>
      <c r="M23">
        <v>340306157</v>
      </c>
      <c r="N23">
        <v>346558798</v>
      </c>
      <c r="O23">
        <v>339839695</v>
      </c>
      <c r="P23">
        <v>331963358</v>
      </c>
      <c r="Q23">
        <v>338440317</v>
      </c>
      <c r="R23">
        <v>334502147</v>
      </c>
      <c r="S23">
        <v>351878515</v>
      </c>
    </row>
    <row r="24" spans="1:19">
      <c r="A24" t="s">
        <v>26</v>
      </c>
      <c r="B24" t="s">
        <v>35</v>
      </c>
      <c r="C24" t="s">
        <v>2038</v>
      </c>
      <c r="D24" t="s">
        <v>70</v>
      </c>
      <c r="G24">
        <f t="shared" si="0"/>
        <v>3938347447</v>
      </c>
      <c r="H24">
        <v>289599259</v>
      </c>
      <c r="I24">
        <v>292289529</v>
      </c>
      <c r="J24">
        <v>318300843</v>
      </c>
      <c r="K24">
        <v>323396246</v>
      </c>
      <c r="L24">
        <v>331272583</v>
      </c>
      <c r="M24">
        <v>340306157</v>
      </c>
      <c r="N24">
        <v>346558798</v>
      </c>
      <c r="O24">
        <v>339839695</v>
      </c>
      <c r="P24">
        <v>331963358</v>
      </c>
      <c r="Q24">
        <v>338440317</v>
      </c>
      <c r="R24">
        <v>334502147</v>
      </c>
      <c r="S24">
        <v>351878515</v>
      </c>
    </row>
    <row r="25" spans="1:19">
      <c r="A25" t="s">
        <v>23</v>
      </c>
      <c r="B25" t="s">
        <v>35</v>
      </c>
      <c r="C25" t="s">
        <v>2039</v>
      </c>
      <c r="D25" t="s">
        <v>72</v>
      </c>
      <c r="G25">
        <f t="shared" si="0"/>
        <v>39383474599</v>
      </c>
      <c r="H25">
        <v>2895992597</v>
      </c>
      <c r="I25">
        <v>2922895301</v>
      </c>
      <c r="J25">
        <v>3183008437</v>
      </c>
      <c r="K25">
        <v>3233962473</v>
      </c>
      <c r="L25">
        <v>3312725838</v>
      </c>
      <c r="M25">
        <v>3403061581</v>
      </c>
      <c r="N25">
        <v>3465587994</v>
      </c>
      <c r="O25">
        <v>3398396959</v>
      </c>
      <c r="P25">
        <v>3319633593</v>
      </c>
      <c r="Q25">
        <v>3384403185</v>
      </c>
      <c r="R25">
        <v>3345021479</v>
      </c>
      <c r="S25">
        <v>3518785162</v>
      </c>
    </row>
    <row r="26" spans="1:19">
      <c r="A26" t="s">
        <v>23</v>
      </c>
      <c r="B26" t="s">
        <v>35</v>
      </c>
      <c r="C26" t="s">
        <v>2040</v>
      </c>
      <c r="D26" t="s">
        <v>74</v>
      </c>
      <c r="G26">
        <f t="shared" si="0"/>
        <v>39383474599</v>
      </c>
      <c r="H26">
        <v>2895992597</v>
      </c>
      <c r="I26">
        <v>2922895301</v>
      </c>
      <c r="J26">
        <v>3183008437</v>
      </c>
      <c r="K26">
        <v>3233962473</v>
      </c>
      <c r="L26">
        <v>3312725838</v>
      </c>
      <c r="M26">
        <v>3403061581</v>
      </c>
      <c r="N26">
        <v>3465587994</v>
      </c>
      <c r="O26">
        <v>3398396959</v>
      </c>
      <c r="P26">
        <v>3319633593</v>
      </c>
      <c r="Q26">
        <v>3384403185</v>
      </c>
      <c r="R26">
        <v>3345021479</v>
      </c>
      <c r="S26">
        <v>3518785162</v>
      </c>
    </row>
    <row r="27" spans="1:19">
      <c r="A27" t="s">
        <v>19</v>
      </c>
      <c r="B27" t="s">
        <v>20</v>
      </c>
      <c r="C27" t="s">
        <v>2041</v>
      </c>
      <c r="D27" t="s">
        <v>76</v>
      </c>
      <c r="G27">
        <f t="shared" si="0"/>
        <v>20000000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77</v>
      </c>
      <c r="C28" t="s">
        <v>2042</v>
      </c>
      <c r="D28" t="s">
        <v>79</v>
      </c>
      <c r="G28">
        <f t="shared" si="0"/>
        <v>39383474599</v>
      </c>
      <c r="H28">
        <v>2895992597</v>
      </c>
      <c r="I28">
        <v>2922895301</v>
      </c>
      <c r="J28">
        <v>3183008437</v>
      </c>
      <c r="K28">
        <v>3233962473</v>
      </c>
      <c r="L28">
        <v>3312725838</v>
      </c>
      <c r="M28">
        <v>3403061581</v>
      </c>
      <c r="N28">
        <v>3465587994</v>
      </c>
      <c r="O28">
        <v>3398396959</v>
      </c>
      <c r="P28">
        <v>3319633593</v>
      </c>
      <c r="Q28">
        <v>3384403185</v>
      </c>
      <c r="R28">
        <v>3345021479</v>
      </c>
      <c r="S28">
        <v>3518785162</v>
      </c>
    </row>
    <row r="29" spans="1:19">
      <c r="A29" t="s">
        <v>19</v>
      </c>
      <c r="B29" t="s">
        <v>35</v>
      </c>
      <c r="C29" t="s">
        <v>2043</v>
      </c>
      <c r="D29" t="s">
        <v>81</v>
      </c>
      <c r="G29">
        <f t="shared" si="0"/>
        <v>40000000</v>
      </c>
      <c r="H29">
        <v>2800000</v>
      </c>
      <c r="I29">
        <v>2600000</v>
      </c>
      <c r="J29">
        <v>3120000</v>
      </c>
      <c r="K29">
        <v>3200000</v>
      </c>
      <c r="L29">
        <v>3280000</v>
      </c>
      <c r="M29">
        <v>3400000</v>
      </c>
      <c r="N29">
        <v>3520000</v>
      </c>
      <c r="O29">
        <v>3480000</v>
      </c>
      <c r="P29">
        <v>3400000</v>
      </c>
      <c r="Q29">
        <v>3720000</v>
      </c>
      <c r="R29">
        <v>3680000</v>
      </c>
      <c r="S29">
        <v>3800000</v>
      </c>
    </row>
    <row r="30" spans="1:19">
      <c r="A30" t="s">
        <v>19</v>
      </c>
      <c r="B30" t="s">
        <v>77</v>
      </c>
      <c r="C30" t="s">
        <v>2044</v>
      </c>
      <c r="D30" t="s">
        <v>83</v>
      </c>
      <c r="G30">
        <f t="shared" si="0"/>
        <v>39383474599</v>
      </c>
      <c r="H30">
        <v>2895992597</v>
      </c>
      <c r="I30">
        <v>2922895301</v>
      </c>
      <c r="J30">
        <v>3183008437</v>
      </c>
      <c r="K30">
        <v>3233962473</v>
      </c>
      <c r="L30">
        <v>3312725838</v>
      </c>
      <c r="M30">
        <v>3403061581</v>
      </c>
      <c r="N30">
        <v>3465587994</v>
      </c>
      <c r="O30">
        <v>3398396959</v>
      </c>
      <c r="P30">
        <v>3319633593</v>
      </c>
      <c r="Q30">
        <v>3384403185</v>
      </c>
      <c r="R30">
        <v>3345021479</v>
      </c>
      <c r="S30">
        <v>3518785162</v>
      </c>
    </row>
    <row r="31" spans="1:19">
      <c r="A31" t="s">
        <v>19</v>
      </c>
      <c r="B31" t="s">
        <v>84</v>
      </c>
      <c r="C31" t="s">
        <v>2045</v>
      </c>
      <c r="D31" t="s">
        <v>1466</v>
      </c>
      <c r="G31">
        <f t="shared" si="0"/>
        <v>3938347447</v>
      </c>
      <c r="H31">
        <f t="shared" ref="H31:S31" si="8">H32</f>
        <v>289599259</v>
      </c>
      <c r="I31">
        <f t="shared" si="8"/>
        <v>292289529</v>
      </c>
      <c r="J31">
        <f t="shared" si="8"/>
        <v>318300843</v>
      </c>
      <c r="K31">
        <f t="shared" si="8"/>
        <v>323396246</v>
      </c>
      <c r="L31">
        <f t="shared" si="8"/>
        <v>331272583</v>
      </c>
      <c r="M31">
        <f t="shared" si="8"/>
        <v>340306157</v>
      </c>
      <c r="N31">
        <f t="shared" si="8"/>
        <v>346558798</v>
      </c>
      <c r="O31">
        <f t="shared" si="8"/>
        <v>339839695</v>
      </c>
      <c r="P31">
        <f t="shared" si="8"/>
        <v>331963358</v>
      </c>
      <c r="Q31">
        <f t="shared" si="8"/>
        <v>338440317</v>
      </c>
      <c r="R31">
        <f t="shared" si="8"/>
        <v>334502147</v>
      </c>
      <c r="S31">
        <f t="shared" si="8"/>
        <v>351878515</v>
      </c>
    </row>
    <row r="32" spans="1:19">
      <c r="A32" t="s">
        <v>23</v>
      </c>
      <c r="B32" t="s">
        <v>84</v>
      </c>
      <c r="C32" t="s">
        <v>2046</v>
      </c>
      <c r="D32" t="s">
        <v>117</v>
      </c>
      <c r="G32">
        <f t="shared" si="0"/>
        <v>3938347447</v>
      </c>
      <c r="H32">
        <f t="shared" ref="H32:S32" si="9">H33</f>
        <v>289599259</v>
      </c>
      <c r="I32">
        <f t="shared" si="9"/>
        <v>292289529</v>
      </c>
      <c r="J32">
        <f t="shared" si="9"/>
        <v>318300843</v>
      </c>
      <c r="K32">
        <f t="shared" si="9"/>
        <v>323396246</v>
      </c>
      <c r="L32">
        <f t="shared" si="9"/>
        <v>331272583</v>
      </c>
      <c r="M32">
        <f t="shared" si="9"/>
        <v>340306157</v>
      </c>
      <c r="N32">
        <f t="shared" si="9"/>
        <v>346558798</v>
      </c>
      <c r="O32">
        <f t="shared" si="9"/>
        <v>339839695</v>
      </c>
      <c r="P32">
        <f t="shared" si="9"/>
        <v>331963358</v>
      </c>
      <c r="Q32">
        <f t="shared" si="9"/>
        <v>338440317</v>
      </c>
      <c r="R32">
        <f t="shared" si="9"/>
        <v>334502147</v>
      </c>
      <c r="S32">
        <f t="shared" si="9"/>
        <v>351878515</v>
      </c>
    </row>
    <row r="33" spans="1:19">
      <c r="A33" t="s">
        <v>26</v>
      </c>
      <c r="B33" t="s">
        <v>84</v>
      </c>
      <c r="C33" t="s">
        <v>2047</v>
      </c>
      <c r="D33" t="s">
        <v>96</v>
      </c>
      <c r="G33">
        <f t="shared" si="0"/>
        <v>3938347447</v>
      </c>
      <c r="H33">
        <v>289599259</v>
      </c>
      <c r="I33">
        <v>292289529</v>
      </c>
      <c r="J33">
        <v>318300843</v>
      </c>
      <c r="K33">
        <v>323396246</v>
      </c>
      <c r="L33">
        <v>331272583</v>
      </c>
      <c r="M33">
        <v>340306157</v>
      </c>
      <c r="N33">
        <v>346558798</v>
      </c>
      <c r="O33">
        <v>339839695</v>
      </c>
      <c r="P33">
        <v>331963358</v>
      </c>
      <c r="Q33">
        <v>338440317</v>
      </c>
      <c r="R33">
        <v>334502147</v>
      </c>
      <c r="S33">
        <v>351878515</v>
      </c>
    </row>
    <row r="34" spans="1:19">
      <c r="A34" t="s">
        <v>19</v>
      </c>
      <c r="B34" t="s">
        <v>113</v>
      </c>
      <c r="C34" t="s">
        <v>2048</v>
      </c>
      <c r="D34" t="s">
        <v>115</v>
      </c>
      <c r="G34">
        <f t="shared" si="0"/>
        <v>3938347447</v>
      </c>
      <c r="H34">
        <f t="shared" ref="H34:S34" si="10">H35</f>
        <v>289599259</v>
      </c>
      <c r="I34">
        <f t="shared" si="10"/>
        <v>292289529</v>
      </c>
      <c r="J34">
        <f t="shared" si="10"/>
        <v>318300843</v>
      </c>
      <c r="K34">
        <f t="shared" si="10"/>
        <v>323396246</v>
      </c>
      <c r="L34">
        <f t="shared" si="10"/>
        <v>331272583</v>
      </c>
      <c r="M34">
        <f t="shared" si="10"/>
        <v>340306157</v>
      </c>
      <c r="N34">
        <f t="shared" si="10"/>
        <v>346558798</v>
      </c>
      <c r="O34">
        <f t="shared" si="10"/>
        <v>339839695</v>
      </c>
      <c r="P34">
        <f t="shared" si="10"/>
        <v>331963358</v>
      </c>
      <c r="Q34">
        <f t="shared" si="10"/>
        <v>338440317</v>
      </c>
      <c r="R34">
        <f t="shared" si="10"/>
        <v>334502147</v>
      </c>
      <c r="S34">
        <f t="shared" si="10"/>
        <v>351878515</v>
      </c>
    </row>
    <row r="35" spans="1:19">
      <c r="A35" t="s">
        <v>23</v>
      </c>
      <c r="B35" t="s">
        <v>113</v>
      </c>
      <c r="C35" t="s">
        <v>2049</v>
      </c>
      <c r="D35" t="s">
        <v>117</v>
      </c>
      <c r="G35">
        <f t="shared" si="0"/>
        <v>3938347447</v>
      </c>
      <c r="H35">
        <f t="shared" ref="H35:S35" si="11">H36</f>
        <v>289599259</v>
      </c>
      <c r="I35">
        <f t="shared" si="11"/>
        <v>292289529</v>
      </c>
      <c r="J35">
        <f t="shared" si="11"/>
        <v>318300843</v>
      </c>
      <c r="K35">
        <f t="shared" si="11"/>
        <v>323396246</v>
      </c>
      <c r="L35">
        <f t="shared" si="11"/>
        <v>331272583</v>
      </c>
      <c r="M35">
        <f t="shared" si="11"/>
        <v>340306157</v>
      </c>
      <c r="N35">
        <f t="shared" si="11"/>
        <v>346558798</v>
      </c>
      <c r="O35">
        <f t="shared" si="11"/>
        <v>339839695</v>
      </c>
      <c r="P35">
        <f t="shared" si="11"/>
        <v>331963358</v>
      </c>
      <c r="Q35">
        <f t="shared" si="11"/>
        <v>338440317</v>
      </c>
      <c r="R35">
        <f t="shared" si="11"/>
        <v>334502147</v>
      </c>
      <c r="S35">
        <f t="shared" si="11"/>
        <v>351878515</v>
      </c>
    </row>
    <row r="36" spans="1:19">
      <c r="A36" t="s">
        <v>26</v>
      </c>
      <c r="B36" t="s">
        <v>113</v>
      </c>
      <c r="C36" t="s">
        <v>2050</v>
      </c>
      <c r="D36" t="s">
        <v>96</v>
      </c>
      <c r="G36">
        <f t="shared" si="0"/>
        <v>3938347447</v>
      </c>
      <c r="H36">
        <v>289599259</v>
      </c>
      <c r="I36">
        <v>292289529</v>
      </c>
      <c r="J36">
        <v>318300843</v>
      </c>
      <c r="K36">
        <v>323396246</v>
      </c>
      <c r="L36">
        <v>331272583</v>
      </c>
      <c r="M36">
        <v>340306157</v>
      </c>
      <c r="N36">
        <v>346558798</v>
      </c>
      <c r="O36">
        <v>339839695</v>
      </c>
      <c r="P36">
        <v>331963358</v>
      </c>
      <c r="Q36">
        <v>338440317</v>
      </c>
      <c r="R36">
        <v>334502147</v>
      </c>
      <c r="S36">
        <v>351878515</v>
      </c>
    </row>
    <row r="37" spans="1:19">
      <c r="A37" t="s">
        <v>19</v>
      </c>
      <c r="B37" t="s">
        <v>84</v>
      </c>
      <c r="C37" t="s">
        <v>2051</v>
      </c>
      <c r="D37" t="s">
        <v>2052</v>
      </c>
      <c r="G37">
        <f t="shared" si="0"/>
        <v>78766949198</v>
      </c>
      <c r="H37">
        <f t="shared" ref="H37:S37" si="12">H38+H39</f>
        <v>5791985194</v>
      </c>
      <c r="I37">
        <f t="shared" si="12"/>
        <v>5845790602</v>
      </c>
      <c r="J37">
        <f t="shared" si="12"/>
        <v>6366016874</v>
      </c>
      <c r="K37">
        <f t="shared" si="12"/>
        <v>6467924946</v>
      </c>
      <c r="L37">
        <f t="shared" si="12"/>
        <v>6625451676</v>
      </c>
      <c r="M37">
        <f t="shared" si="12"/>
        <v>6806123162</v>
      </c>
      <c r="N37">
        <f t="shared" si="12"/>
        <v>6931175988</v>
      </c>
      <c r="O37">
        <f t="shared" si="12"/>
        <v>6796793918</v>
      </c>
      <c r="P37">
        <f t="shared" si="12"/>
        <v>6639267186</v>
      </c>
      <c r="Q37">
        <f t="shared" si="12"/>
        <v>6768806370</v>
      </c>
      <c r="R37">
        <f t="shared" si="12"/>
        <v>6690042958</v>
      </c>
      <c r="S37">
        <f t="shared" si="12"/>
        <v>7037570324</v>
      </c>
    </row>
    <row r="38" spans="1:19">
      <c r="A38" t="s">
        <v>23</v>
      </c>
      <c r="B38" t="s">
        <v>84</v>
      </c>
      <c r="C38" t="s">
        <v>2053</v>
      </c>
      <c r="D38" t="s">
        <v>2054</v>
      </c>
      <c r="G38">
        <f t="shared" si="0"/>
        <v>39383474599</v>
      </c>
      <c r="H38">
        <v>2895992597</v>
      </c>
      <c r="I38">
        <v>2922895301</v>
      </c>
      <c r="J38">
        <v>3183008437</v>
      </c>
      <c r="K38">
        <v>3233962473</v>
      </c>
      <c r="L38">
        <v>3312725838</v>
      </c>
      <c r="M38">
        <v>3403061581</v>
      </c>
      <c r="N38">
        <v>3465587994</v>
      </c>
      <c r="O38">
        <v>3398396959</v>
      </c>
      <c r="P38">
        <v>3319633593</v>
      </c>
      <c r="Q38">
        <v>3384403185</v>
      </c>
      <c r="R38">
        <v>3345021479</v>
      </c>
      <c r="S38">
        <v>3518785162</v>
      </c>
    </row>
    <row r="39" spans="1:19">
      <c r="A39" t="s">
        <v>23</v>
      </c>
      <c r="B39" t="s">
        <v>84</v>
      </c>
      <c r="C39" t="s">
        <v>2055</v>
      </c>
      <c r="D39" t="s">
        <v>2056</v>
      </c>
      <c r="G39">
        <f t="shared" si="0"/>
        <v>39383474599</v>
      </c>
      <c r="H39">
        <v>2895992597</v>
      </c>
      <c r="I39">
        <v>2922895301</v>
      </c>
      <c r="J39">
        <v>3183008437</v>
      </c>
      <c r="K39">
        <v>3233962473</v>
      </c>
      <c r="L39">
        <v>3312725838</v>
      </c>
      <c r="M39">
        <v>3403061581</v>
      </c>
      <c r="N39">
        <v>3465587994</v>
      </c>
      <c r="O39">
        <v>3398396959</v>
      </c>
      <c r="P39">
        <v>3319633593</v>
      </c>
      <c r="Q39">
        <v>3384403185</v>
      </c>
      <c r="R39">
        <v>3345021479</v>
      </c>
      <c r="S39">
        <v>3518785162</v>
      </c>
    </row>
    <row r="40" spans="1:19">
      <c r="A40" t="s">
        <v>19</v>
      </c>
      <c r="B40" t="s">
        <v>113</v>
      </c>
      <c r="C40" t="s">
        <v>2057</v>
      </c>
      <c r="D40" t="s">
        <v>2058</v>
      </c>
      <c r="G40">
        <f t="shared" si="0"/>
        <v>78766949198</v>
      </c>
      <c r="H40">
        <f t="shared" ref="H40:S40" si="13">H41+H42</f>
        <v>5791985194</v>
      </c>
      <c r="I40">
        <f t="shared" si="13"/>
        <v>5845790602</v>
      </c>
      <c r="J40">
        <f t="shared" si="13"/>
        <v>6366016874</v>
      </c>
      <c r="K40">
        <f t="shared" si="13"/>
        <v>6467924946</v>
      </c>
      <c r="L40">
        <f t="shared" si="13"/>
        <v>6625451676</v>
      </c>
      <c r="M40">
        <f t="shared" si="13"/>
        <v>6806123162</v>
      </c>
      <c r="N40">
        <f t="shared" si="13"/>
        <v>6931175988</v>
      </c>
      <c r="O40">
        <f t="shared" si="13"/>
        <v>6796793918</v>
      </c>
      <c r="P40">
        <f t="shared" si="13"/>
        <v>6639267186</v>
      </c>
      <c r="Q40">
        <f t="shared" si="13"/>
        <v>6768806370</v>
      </c>
      <c r="R40">
        <f t="shared" si="13"/>
        <v>6690042958</v>
      </c>
      <c r="S40">
        <f t="shared" si="13"/>
        <v>7037570324</v>
      </c>
    </row>
    <row r="41" spans="1:19">
      <c r="A41" t="s">
        <v>23</v>
      </c>
      <c r="B41" t="s">
        <v>113</v>
      </c>
      <c r="C41" t="s">
        <v>2059</v>
      </c>
      <c r="D41" t="s">
        <v>2054</v>
      </c>
      <c r="G41">
        <f t="shared" si="0"/>
        <v>39383474599</v>
      </c>
      <c r="H41">
        <v>2895992597</v>
      </c>
      <c r="I41">
        <v>2922895301</v>
      </c>
      <c r="J41">
        <v>3183008437</v>
      </c>
      <c r="K41">
        <v>3233962473</v>
      </c>
      <c r="L41">
        <v>3312725838</v>
      </c>
      <c r="M41">
        <v>3403061581</v>
      </c>
      <c r="N41">
        <v>3465587994</v>
      </c>
      <c r="O41">
        <v>3398396959</v>
      </c>
      <c r="P41">
        <v>3319633593</v>
      </c>
      <c r="Q41">
        <v>3384403185</v>
      </c>
      <c r="R41">
        <v>3345021479</v>
      </c>
      <c r="S41">
        <v>3518785162</v>
      </c>
    </row>
    <row r="42" spans="1:19">
      <c r="A42" t="s">
        <v>23</v>
      </c>
      <c r="B42" t="s">
        <v>113</v>
      </c>
      <c r="C42" t="s">
        <v>2060</v>
      </c>
      <c r="D42" t="s">
        <v>2056</v>
      </c>
      <c r="G42">
        <f t="shared" si="0"/>
        <v>39383474599</v>
      </c>
      <c r="H42">
        <v>2895992597</v>
      </c>
      <c r="I42">
        <v>2922895301</v>
      </c>
      <c r="J42">
        <v>3183008437</v>
      </c>
      <c r="K42">
        <v>3233962473</v>
      </c>
      <c r="L42">
        <v>3312725838</v>
      </c>
      <c r="M42">
        <v>3403061581</v>
      </c>
      <c r="N42">
        <v>3465587994</v>
      </c>
      <c r="O42">
        <v>3398396959</v>
      </c>
      <c r="P42">
        <v>3319633593</v>
      </c>
      <c r="Q42">
        <v>3384403185</v>
      </c>
      <c r="R42">
        <v>3345021479</v>
      </c>
      <c r="S42">
        <v>3518785162</v>
      </c>
    </row>
    <row r="43" spans="1:19">
      <c r="A43" t="s">
        <v>19</v>
      </c>
      <c r="B43" t="s">
        <v>84</v>
      </c>
      <c r="C43" t="s">
        <v>2061</v>
      </c>
      <c r="D43" t="s">
        <v>151</v>
      </c>
      <c r="G43">
        <f t="shared" si="0"/>
        <v>1083938347447</v>
      </c>
      <c r="H43">
        <f t="shared" ref="H43:S43" si="14">H44+H45+H46+H47+H62+H65</f>
        <v>81289599259</v>
      </c>
      <c r="I43">
        <f t="shared" si="14"/>
        <v>84532289529</v>
      </c>
      <c r="J43">
        <f t="shared" si="14"/>
        <v>88878300843</v>
      </c>
      <c r="K43">
        <f t="shared" si="14"/>
        <v>89963396246</v>
      </c>
      <c r="L43">
        <f t="shared" si="14"/>
        <v>92131272583</v>
      </c>
      <c r="M43">
        <f t="shared" si="14"/>
        <v>94300306157</v>
      </c>
      <c r="N43">
        <f t="shared" si="14"/>
        <v>95386558798</v>
      </c>
      <c r="O43">
        <f t="shared" si="14"/>
        <v>93219839695</v>
      </c>
      <c r="P43">
        <f t="shared" si="14"/>
        <v>91051963358</v>
      </c>
      <c r="Q43">
        <f t="shared" si="14"/>
        <v>89978440317</v>
      </c>
      <c r="R43">
        <f t="shared" si="14"/>
        <v>88894502147</v>
      </c>
      <c r="S43">
        <f t="shared" si="14"/>
        <v>94311878515</v>
      </c>
    </row>
    <row r="44" spans="1:19">
      <c r="A44" t="s">
        <v>23</v>
      </c>
      <c r="B44" t="s">
        <v>84</v>
      </c>
      <c r="C44" t="s">
        <v>2062</v>
      </c>
      <c r="D44" t="s">
        <v>153</v>
      </c>
      <c r="G44">
        <f t="shared" si="0"/>
        <v>60000000000</v>
      </c>
      <c r="H44">
        <v>4500000000</v>
      </c>
      <c r="I44">
        <v>4680000000</v>
      </c>
      <c r="J44">
        <v>4920000000</v>
      </c>
      <c r="K44">
        <v>4980000000</v>
      </c>
      <c r="L44">
        <v>5100000000</v>
      </c>
      <c r="M44">
        <v>5220000000</v>
      </c>
      <c r="N44">
        <v>5280000000</v>
      </c>
      <c r="O44">
        <v>5160000000</v>
      </c>
      <c r="P44">
        <v>5040000000</v>
      </c>
      <c r="Q44">
        <v>4980000000</v>
      </c>
      <c r="R44">
        <v>4920000000</v>
      </c>
      <c r="S44">
        <v>5220000000</v>
      </c>
    </row>
    <row r="45" spans="1:19">
      <c r="A45" t="s">
        <v>23</v>
      </c>
      <c r="B45" t="s">
        <v>84</v>
      </c>
      <c r="C45" t="s">
        <v>2063</v>
      </c>
      <c r="D45" t="s">
        <v>734</v>
      </c>
      <c r="G45">
        <f t="shared" si="0"/>
        <v>60000000000</v>
      </c>
      <c r="H45">
        <v>4500000000</v>
      </c>
      <c r="I45">
        <v>4680000000</v>
      </c>
      <c r="J45">
        <v>4920000000</v>
      </c>
      <c r="K45">
        <v>4980000000</v>
      </c>
      <c r="L45">
        <v>5100000000</v>
      </c>
      <c r="M45">
        <v>5220000000</v>
      </c>
      <c r="N45">
        <v>5280000000</v>
      </c>
      <c r="O45">
        <v>5160000000</v>
      </c>
      <c r="P45">
        <v>5040000000</v>
      </c>
      <c r="Q45">
        <v>4980000000</v>
      </c>
      <c r="R45">
        <v>4920000000</v>
      </c>
      <c r="S45">
        <v>5220000000</v>
      </c>
    </row>
    <row r="46" spans="1:19">
      <c r="A46" t="s">
        <v>23</v>
      </c>
      <c r="B46" t="s">
        <v>84</v>
      </c>
      <c r="C46" t="s">
        <v>2064</v>
      </c>
      <c r="D46" t="s">
        <v>155</v>
      </c>
      <c r="G46">
        <f t="shared" si="0"/>
        <v>60000000000</v>
      </c>
      <c r="H46">
        <v>4500000000</v>
      </c>
      <c r="I46">
        <v>4680000000</v>
      </c>
      <c r="J46">
        <v>4920000000</v>
      </c>
      <c r="K46">
        <v>4980000000</v>
      </c>
      <c r="L46">
        <v>5100000000</v>
      </c>
      <c r="M46">
        <v>5220000000</v>
      </c>
      <c r="N46">
        <v>5280000000</v>
      </c>
      <c r="O46">
        <v>5160000000</v>
      </c>
      <c r="P46">
        <v>5040000000</v>
      </c>
      <c r="Q46">
        <v>4980000000</v>
      </c>
      <c r="R46">
        <v>4920000000</v>
      </c>
      <c r="S46">
        <v>5220000000</v>
      </c>
    </row>
    <row r="47" spans="1:19">
      <c r="A47" t="s">
        <v>23</v>
      </c>
      <c r="B47" t="s">
        <v>84</v>
      </c>
      <c r="C47" t="s">
        <v>2065</v>
      </c>
      <c r="D47" t="s">
        <v>157</v>
      </c>
      <c r="G47">
        <f t="shared" si="0"/>
        <v>663938347447</v>
      </c>
      <c r="H47">
        <f t="shared" ref="H47:S47" si="15">H48+H51+H52+H53+H54+H55+H56+H57+H60+H61</f>
        <v>49789599259</v>
      </c>
      <c r="I47">
        <f t="shared" si="15"/>
        <v>51772289529</v>
      </c>
      <c r="J47">
        <f t="shared" si="15"/>
        <v>54438300843</v>
      </c>
      <c r="K47">
        <f t="shared" si="15"/>
        <v>55103396246</v>
      </c>
      <c r="L47">
        <f t="shared" si="15"/>
        <v>56431272583</v>
      </c>
      <c r="M47">
        <f t="shared" si="15"/>
        <v>57760306157</v>
      </c>
      <c r="N47">
        <f t="shared" si="15"/>
        <v>58426558798</v>
      </c>
      <c r="O47">
        <f t="shared" si="15"/>
        <v>57099839695</v>
      </c>
      <c r="P47">
        <f t="shared" si="15"/>
        <v>55771963358</v>
      </c>
      <c r="Q47">
        <f t="shared" si="15"/>
        <v>55118440317</v>
      </c>
      <c r="R47">
        <f t="shared" si="15"/>
        <v>54454502147</v>
      </c>
      <c r="S47">
        <f t="shared" si="15"/>
        <v>57771878515</v>
      </c>
    </row>
    <row r="48" spans="1:19">
      <c r="A48" t="s">
        <v>26</v>
      </c>
      <c r="B48" t="s">
        <v>84</v>
      </c>
      <c r="C48" t="s">
        <v>2066</v>
      </c>
      <c r="D48" t="s">
        <v>2067</v>
      </c>
      <c r="G48">
        <f t="shared" si="0"/>
        <v>120000000000</v>
      </c>
      <c r="H48">
        <f t="shared" ref="H48:S48" si="16">H49+H50</f>
        <v>9000000000</v>
      </c>
      <c r="I48">
        <f t="shared" si="16"/>
        <v>9360000000</v>
      </c>
      <c r="J48">
        <f t="shared" si="16"/>
        <v>9840000000</v>
      </c>
      <c r="K48">
        <f t="shared" si="16"/>
        <v>9960000000</v>
      </c>
      <c r="L48">
        <f t="shared" si="16"/>
        <v>10200000000</v>
      </c>
      <c r="M48">
        <f t="shared" si="16"/>
        <v>10440000000</v>
      </c>
      <c r="N48">
        <f t="shared" si="16"/>
        <v>10560000000</v>
      </c>
      <c r="O48">
        <f t="shared" si="16"/>
        <v>10320000000</v>
      </c>
      <c r="P48">
        <f t="shared" si="16"/>
        <v>10080000000</v>
      </c>
      <c r="Q48">
        <f t="shared" si="16"/>
        <v>9960000000</v>
      </c>
      <c r="R48">
        <f t="shared" si="16"/>
        <v>9840000000</v>
      </c>
      <c r="S48">
        <f t="shared" si="16"/>
        <v>10440000000</v>
      </c>
    </row>
    <row r="49" spans="1:19">
      <c r="A49" t="s">
        <v>60</v>
      </c>
      <c r="B49" t="s">
        <v>84</v>
      </c>
      <c r="C49" t="s">
        <v>2068</v>
      </c>
      <c r="D49" t="s">
        <v>2069</v>
      </c>
      <c r="G49">
        <f t="shared" si="0"/>
        <v>60000000000</v>
      </c>
      <c r="H49">
        <v>4500000000</v>
      </c>
      <c r="I49">
        <v>4680000000</v>
      </c>
      <c r="J49">
        <v>4920000000</v>
      </c>
      <c r="K49">
        <v>4980000000</v>
      </c>
      <c r="L49">
        <v>5100000000</v>
      </c>
      <c r="M49">
        <v>5220000000</v>
      </c>
      <c r="N49">
        <v>5280000000</v>
      </c>
      <c r="O49">
        <v>5160000000</v>
      </c>
      <c r="P49">
        <v>5040000000</v>
      </c>
      <c r="Q49">
        <v>4980000000</v>
      </c>
      <c r="R49">
        <v>4920000000</v>
      </c>
      <c r="S49">
        <v>5220000000</v>
      </c>
    </row>
    <row r="50" spans="1:19">
      <c r="A50" t="s">
        <v>60</v>
      </c>
      <c r="B50" t="s">
        <v>84</v>
      </c>
      <c r="C50" t="s">
        <v>2070</v>
      </c>
      <c r="D50" t="s">
        <v>2071</v>
      </c>
      <c r="G50">
        <f t="shared" si="0"/>
        <v>60000000000</v>
      </c>
      <c r="H50">
        <v>4500000000</v>
      </c>
      <c r="I50">
        <v>4680000000</v>
      </c>
      <c r="J50">
        <v>4920000000</v>
      </c>
      <c r="K50">
        <v>4980000000</v>
      </c>
      <c r="L50">
        <v>5100000000</v>
      </c>
      <c r="M50">
        <v>5220000000</v>
      </c>
      <c r="N50">
        <v>5280000000</v>
      </c>
      <c r="O50">
        <v>5160000000</v>
      </c>
      <c r="P50">
        <v>5040000000</v>
      </c>
      <c r="Q50">
        <v>4980000000</v>
      </c>
      <c r="R50">
        <v>4920000000</v>
      </c>
      <c r="S50">
        <v>5220000000</v>
      </c>
    </row>
    <row r="51" spans="1:19">
      <c r="A51" t="s">
        <v>26</v>
      </c>
      <c r="B51" t="s">
        <v>84</v>
      </c>
      <c r="C51" t="s">
        <v>2072</v>
      </c>
      <c r="D51" t="s">
        <v>2073</v>
      </c>
      <c r="G51">
        <f t="shared" si="0"/>
        <v>60000000000</v>
      </c>
      <c r="H51">
        <v>4500000000</v>
      </c>
      <c r="I51">
        <v>4680000000</v>
      </c>
      <c r="J51">
        <v>4920000000</v>
      </c>
      <c r="K51">
        <v>4980000000</v>
      </c>
      <c r="L51">
        <v>5100000000</v>
      </c>
      <c r="M51">
        <v>5220000000</v>
      </c>
      <c r="N51">
        <v>5280000000</v>
      </c>
      <c r="O51">
        <v>5160000000</v>
      </c>
      <c r="P51">
        <v>5040000000</v>
      </c>
      <c r="Q51">
        <v>4980000000</v>
      </c>
      <c r="R51">
        <v>4920000000</v>
      </c>
      <c r="S51">
        <v>5220000000</v>
      </c>
    </row>
    <row r="52" spans="1:19">
      <c r="A52" t="s">
        <v>26</v>
      </c>
      <c r="B52" t="s">
        <v>84</v>
      </c>
      <c r="C52" t="s">
        <v>2074</v>
      </c>
      <c r="D52" t="s">
        <v>2075</v>
      </c>
      <c r="G52">
        <f t="shared" si="0"/>
        <v>60000000000</v>
      </c>
      <c r="H52">
        <v>4500000000</v>
      </c>
      <c r="I52">
        <v>4680000000</v>
      </c>
      <c r="J52">
        <v>4920000000</v>
      </c>
      <c r="K52">
        <v>4980000000</v>
      </c>
      <c r="L52">
        <v>5100000000</v>
      </c>
      <c r="M52">
        <v>5220000000</v>
      </c>
      <c r="N52">
        <v>5280000000</v>
      </c>
      <c r="O52">
        <v>5160000000</v>
      </c>
      <c r="P52">
        <v>5040000000</v>
      </c>
      <c r="Q52">
        <v>4980000000</v>
      </c>
      <c r="R52">
        <v>4920000000</v>
      </c>
      <c r="S52">
        <v>5220000000</v>
      </c>
    </row>
    <row r="53" spans="1:19">
      <c r="A53" t="s">
        <v>26</v>
      </c>
      <c r="B53" t="s">
        <v>84</v>
      </c>
      <c r="C53" t="s">
        <v>2076</v>
      </c>
      <c r="D53" t="s">
        <v>2077</v>
      </c>
      <c r="G53">
        <f t="shared" si="0"/>
        <v>60000000000</v>
      </c>
      <c r="H53">
        <v>4500000000</v>
      </c>
      <c r="I53">
        <v>4680000000</v>
      </c>
      <c r="J53">
        <v>4920000000</v>
      </c>
      <c r="K53">
        <v>4980000000</v>
      </c>
      <c r="L53">
        <v>5100000000</v>
      </c>
      <c r="M53">
        <v>5220000000</v>
      </c>
      <c r="N53">
        <v>5280000000</v>
      </c>
      <c r="O53">
        <v>5160000000</v>
      </c>
      <c r="P53">
        <v>5040000000</v>
      </c>
      <c r="Q53">
        <v>4980000000</v>
      </c>
      <c r="R53">
        <v>4920000000</v>
      </c>
      <c r="S53">
        <v>5220000000</v>
      </c>
    </row>
    <row r="54" spans="1:19">
      <c r="A54" t="s">
        <v>26</v>
      </c>
      <c r="B54" t="s">
        <v>84</v>
      </c>
      <c r="C54" t="s">
        <v>2078</v>
      </c>
      <c r="D54" t="s">
        <v>2079</v>
      </c>
      <c r="G54">
        <f t="shared" si="0"/>
        <v>60000000000</v>
      </c>
      <c r="H54">
        <v>4500000000</v>
      </c>
      <c r="I54">
        <v>4680000000</v>
      </c>
      <c r="J54">
        <v>4920000000</v>
      </c>
      <c r="K54">
        <v>4980000000</v>
      </c>
      <c r="L54">
        <v>5100000000</v>
      </c>
      <c r="M54">
        <v>5220000000</v>
      </c>
      <c r="N54">
        <v>5280000000</v>
      </c>
      <c r="O54">
        <v>5160000000</v>
      </c>
      <c r="P54">
        <v>5040000000</v>
      </c>
      <c r="Q54">
        <v>4980000000</v>
      </c>
      <c r="R54">
        <v>4920000000</v>
      </c>
      <c r="S54">
        <v>5220000000</v>
      </c>
    </row>
    <row r="55" spans="1:19">
      <c r="A55" t="s">
        <v>26</v>
      </c>
      <c r="B55" t="s">
        <v>84</v>
      </c>
      <c r="C55" t="s">
        <v>2080</v>
      </c>
      <c r="D55" t="s">
        <v>2081</v>
      </c>
      <c r="G55">
        <f t="shared" si="0"/>
        <v>60000000000</v>
      </c>
      <c r="H55">
        <v>4500000000</v>
      </c>
      <c r="I55">
        <v>4680000000</v>
      </c>
      <c r="J55">
        <v>4920000000</v>
      </c>
      <c r="K55">
        <v>4980000000</v>
      </c>
      <c r="L55">
        <v>5100000000</v>
      </c>
      <c r="M55">
        <v>5220000000</v>
      </c>
      <c r="N55">
        <v>5280000000</v>
      </c>
      <c r="O55">
        <v>5160000000</v>
      </c>
      <c r="P55">
        <v>5040000000</v>
      </c>
      <c r="Q55">
        <v>4980000000</v>
      </c>
      <c r="R55">
        <v>4920000000</v>
      </c>
      <c r="S55">
        <v>5220000000</v>
      </c>
    </row>
    <row r="56" spans="1:19">
      <c r="A56" t="s">
        <v>26</v>
      </c>
      <c r="B56" t="s">
        <v>84</v>
      </c>
      <c r="C56" t="s">
        <v>2082</v>
      </c>
      <c r="D56" t="s">
        <v>2083</v>
      </c>
      <c r="G56">
        <f t="shared" si="0"/>
        <v>60000000000</v>
      </c>
      <c r="H56">
        <v>4500000000</v>
      </c>
      <c r="I56">
        <v>4680000000</v>
      </c>
      <c r="J56">
        <v>4920000000</v>
      </c>
      <c r="K56">
        <v>4980000000</v>
      </c>
      <c r="L56">
        <v>5100000000</v>
      </c>
      <c r="M56">
        <v>5220000000</v>
      </c>
      <c r="N56">
        <v>5280000000</v>
      </c>
      <c r="O56">
        <v>5160000000</v>
      </c>
      <c r="P56">
        <v>5040000000</v>
      </c>
      <c r="Q56">
        <v>4980000000</v>
      </c>
      <c r="R56">
        <v>4920000000</v>
      </c>
      <c r="S56">
        <v>5220000000</v>
      </c>
    </row>
    <row r="57" spans="1:19">
      <c r="A57" t="s">
        <v>26</v>
      </c>
      <c r="B57" t="s">
        <v>84</v>
      </c>
      <c r="C57" t="s">
        <v>2084</v>
      </c>
      <c r="D57" t="s">
        <v>2085</v>
      </c>
      <c r="G57">
        <f t="shared" si="0"/>
        <v>120000000000</v>
      </c>
      <c r="H57">
        <f t="shared" ref="H57:S57" si="17">H58+H59</f>
        <v>9000000000</v>
      </c>
      <c r="I57">
        <f t="shared" si="17"/>
        <v>9360000000</v>
      </c>
      <c r="J57">
        <f t="shared" si="17"/>
        <v>9840000000</v>
      </c>
      <c r="K57">
        <f t="shared" si="17"/>
        <v>9960000000</v>
      </c>
      <c r="L57">
        <f t="shared" si="17"/>
        <v>10200000000</v>
      </c>
      <c r="M57">
        <f t="shared" si="17"/>
        <v>10440000000</v>
      </c>
      <c r="N57">
        <f t="shared" si="17"/>
        <v>10560000000</v>
      </c>
      <c r="O57">
        <f t="shared" si="17"/>
        <v>10320000000</v>
      </c>
      <c r="P57">
        <f t="shared" si="17"/>
        <v>10080000000</v>
      </c>
      <c r="Q57">
        <f t="shared" si="17"/>
        <v>9960000000</v>
      </c>
      <c r="R57">
        <f t="shared" si="17"/>
        <v>9840000000</v>
      </c>
      <c r="S57">
        <f t="shared" si="17"/>
        <v>10440000000</v>
      </c>
    </row>
    <row r="58" spans="1:19">
      <c r="A58" t="s">
        <v>60</v>
      </c>
      <c r="B58" t="s">
        <v>84</v>
      </c>
      <c r="C58" t="s">
        <v>2086</v>
      </c>
      <c r="D58" t="s">
        <v>2069</v>
      </c>
      <c r="G58">
        <f t="shared" si="0"/>
        <v>60000000000</v>
      </c>
      <c r="H58">
        <v>4500000000</v>
      </c>
      <c r="I58">
        <v>4680000000</v>
      </c>
      <c r="J58">
        <v>4920000000</v>
      </c>
      <c r="K58">
        <v>4980000000</v>
      </c>
      <c r="L58">
        <v>5100000000</v>
      </c>
      <c r="M58">
        <v>5220000000</v>
      </c>
      <c r="N58">
        <v>5280000000</v>
      </c>
      <c r="O58">
        <v>5160000000</v>
      </c>
      <c r="P58">
        <v>5040000000</v>
      </c>
      <c r="Q58">
        <v>4980000000</v>
      </c>
      <c r="R58">
        <v>4920000000</v>
      </c>
      <c r="S58">
        <v>5220000000</v>
      </c>
    </row>
    <row r="59" spans="1:19">
      <c r="A59" t="s">
        <v>60</v>
      </c>
      <c r="B59" t="s">
        <v>84</v>
      </c>
      <c r="C59" t="s">
        <v>2087</v>
      </c>
      <c r="D59" t="s">
        <v>2071</v>
      </c>
      <c r="G59">
        <f t="shared" si="0"/>
        <v>60000000000</v>
      </c>
      <c r="H59">
        <v>4500000000</v>
      </c>
      <c r="I59">
        <v>4680000000</v>
      </c>
      <c r="J59">
        <v>4920000000</v>
      </c>
      <c r="K59">
        <v>4980000000</v>
      </c>
      <c r="L59">
        <v>5100000000</v>
      </c>
      <c r="M59">
        <v>5220000000</v>
      </c>
      <c r="N59">
        <v>5280000000</v>
      </c>
      <c r="O59">
        <v>5160000000</v>
      </c>
      <c r="P59">
        <v>5040000000</v>
      </c>
      <c r="Q59">
        <v>4980000000</v>
      </c>
      <c r="R59">
        <v>4920000000</v>
      </c>
      <c r="S59">
        <v>5220000000</v>
      </c>
    </row>
    <row r="60" spans="1:19">
      <c r="A60" t="s">
        <v>26</v>
      </c>
      <c r="B60" t="s">
        <v>84</v>
      </c>
      <c r="C60" t="s">
        <v>2088</v>
      </c>
      <c r="D60" t="s">
        <v>106</v>
      </c>
      <c r="G60">
        <f t="shared" si="0"/>
        <v>60000000000</v>
      </c>
      <c r="H60">
        <v>4500000000</v>
      </c>
      <c r="I60">
        <v>4680000000</v>
      </c>
      <c r="J60">
        <v>4920000000</v>
      </c>
      <c r="K60">
        <v>4980000000</v>
      </c>
      <c r="L60">
        <v>5100000000</v>
      </c>
      <c r="M60">
        <v>5220000000</v>
      </c>
      <c r="N60">
        <v>5280000000</v>
      </c>
      <c r="O60">
        <v>5160000000</v>
      </c>
      <c r="P60">
        <v>5040000000</v>
      </c>
      <c r="Q60">
        <v>4980000000</v>
      </c>
      <c r="R60">
        <v>4920000000</v>
      </c>
      <c r="S60">
        <v>5220000000</v>
      </c>
    </row>
    <row r="61" spans="1:19">
      <c r="A61" t="s">
        <v>26</v>
      </c>
      <c r="B61" t="s">
        <v>84</v>
      </c>
      <c r="C61" t="s">
        <v>2089</v>
      </c>
      <c r="D61" t="s">
        <v>2090</v>
      </c>
      <c r="G61">
        <f t="shared" si="0"/>
        <v>3938347447</v>
      </c>
      <c r="H61">
        <v>289599259</v>
      </c>
      <c r="I61">
        <v>292289529</v>
      </c>
      <c r="J61">
        <v>318300843</v>
      </c>
      <c r="K61">
        <v>323396246</v>
      </c>
      <c r="L61">
        <v>331272583</v>
      </c>
      <c r="M61">
        <v>340306157</v>
      </c>
      <c r="N61">
        <v>346558798</v>
      </c>
      <c r="O61">
        <v>339839695</v>
      </c>
      <c r="P61">
        <v>331963358</v>
      </c>
      <c r="Q61">
        <v>338440317</v>
      </c>
      <c r="R61">
        <v>334502147</v>
      </c>
      <c r="S61">
        <v>351878515</v>
      </c>
    </row>
    <row r="62" spans="1:19">
      <c r="A62" t="s">
        <v>23</v>
      </c>
      <c r="B62" t="s">
        <v>84</v>
      </c>
      <c r="C62" t="s">
        <v>2091</v>
      </c>
      <c r="D62" t="s">
        <v>738</v>
      </c>
      <c r="G62">
        <f t="shared" si="0"/>
        <v>120000000000</v>
      </c>
      <c r="H62">
        <f t="shared" ref="H62:S62" si="18">H63+H64</f>
        <v>9000000000</v>
      </c>
      <c r="I62">
        <f t="shared" si="18"/>
        <v>9360000000</v>
      </c>
      <c r="J62">
        <f t="shared" si="18"/>
        <v>9840000000</v>
      </c>
      <c r="K62">
        <f t="shared" si="18"/>
        <v>9960000000</v>
      </c>
      <c r="L62">
        <f t="shared" si="18"/>
        <v>10200000000</v>
      </c>
      <c r="M62">
        <f t="shared" si="18"/>
        <v>10440000000</v>
      </c>
      <c r="N62">
        <f t="shared" si="18"/>
        <v>10560000000</v>
      </c>
      <c r="O62">
        <f t="shared" si="18"/>
        <v>10320000000</v>
      </c>
      <c r="P62">
        <f t="shared" si="18"/>
        <v>10080000000</v>
      </c>
      <c r="Q62">
        <f t="shared" si="18"/>
        <v>9960000000</v>
      </c>
      <c r="R62">
        <f t="shared" si="18"/>
        <v>9840000000</v>
      </c>
      <c r="S62">
        <f t="shared" si="18"/>
        <v>10440000000</v>
      </c>
    </row>
    <row r="63" spans="1:19">
      <c r="A63" t="s">
        <v>26</v>
      </c>
      <c r="B63" t="s">
        <v>84</v>
      </c>
      <c r="C63" t="s">
        <v>2092</v>
      </c>
      <c r="D63" t="s">
        <v>2069</v>
      </c>
      <c r="G63">
        <f t="shared" si="0"/>
        <v>60000000000</v>
      </c>
      <c r="H63">
        <v>4500000000</v>
      </c>
      <c r="I63">
        <v>4680000000</v>
      </c>
      <c r="J63">
        <v>4920000000</v>
      </c>
      <c r="K63">
        <v>4980000000</v>
      </c>
      <c r="L63">
        <v>5100000000</v>
      </c>
      <c r="M63">
        <v>5220000000</v>
      </c>
      <c r="N63">
        <v>5280000000</v>
      </c>
      <c r="O63">
        <v>5160000000</v>
      </c>
      <c r="P63">
        <v>5040000000</v>
      </c>
      <c r="Q63">
        <v>4980000000</v>
      </c>
      <c r="R63">
        <v>4920000000</v>
      </c>
      <c r="S63">
        <v>5220000000</v>
      </c>
    </row>
    <row r="64" spans="1:19">
      <c r="A64" t="s">
        <v>26</v>
      </c>
      <c r="B64" t="s">
        <v>84</v>
      </c>
      <c r="C64" t="s">
        <v>2093</v>
      </c>
      <c r="D64" t="s">
        <v>2071</v>
      </c>
      <c r="G64">
        <f t="shared" si="0"/>
        <v>60000000000</v>
      </c>
      <c r="H64">
        <v>4500000000</v>
      </c>
      <c r="I64">
        <v>4680000000</v>
      </c>
      <c r="J64">
        <v>4920000000</v>
      </c>
      <c r="K64">
        <v>4980000000</v>
      </c>
      <c r="L64">
        <v>5100000000</v>
      </c>
      <c r="M64">
        <v>5220000000</v>
      </c>
      <c r="N64">
        <v>5280000000</v>
      </c>
      <c r="O64">
        <v>5160000000</v>
      </c>
      <c r="P64">
        <v>5040000000</v>
      </c>
      <c r="Q64">
        <v>4980000000</v>
      </c>
      <c r="R64">
        <v>4920000000</v>
      </c>
      <c r="S64">
        <v>5220000000</v>
      </c>
    </row>
    <row r="65" spans="1:19">
      <c r="A65" t="s">
        <v>23</v>
      </c>
      <c r="B65" t="s">
        <v>84</v>
      </c>
      <c r="C65" t="s">
        <v>2094</v>
      </c>
      <c r="D65" t="s">
        <v>2095</v>
      </c>
      <c r="G65">
        <f t="shared" si="0"/>
        <v>120000000000</v>
      </c>
      <c r="H65">
        <f t="shared" ref="H65:S65" si="19">H66+H67</f>
        <v>9000000000</v>
      </c>
      <c r="I65">
        <f t="shared" si="19"/>
        <v>9360000000</v>
      </c>
      <c r="J65">
        <f t="shared" si="19"/>
        <v>9840000000</v>
      </c>
      <c r="K65">
        <f t="shared" si="19"/>
        <v>9960000000</v>
      </c>
      <c r="L65">
        <f t="shared" si="19"/>
        <v>10200000000</v>
      </c>
      <c r="M65">
        <f t="shared" si="19"/>
        <v>10440000000</v>
      </c>
      <c r="N65">
        <f t="shared" si="19"/>
        <v>10560000000</v>
      </c>
      <c r="O65">
        <f t="shared" si="19"/>
        <v>10320000000</v>
      </c>
      <c r="P65">
        <f t="shared" si="19"/>
        <v>10080000000</v>
      </c>
      <c r="Q65">
        <f t="shared" si="19"/>
        <v>9960000000</v>
      </c>
      <c r="R65">
        <f t="shared" si="19"/>
        <v>9840000000</v>
      </c>
      <c r="S65">
        <f t="shared" si="19"/>
        <v>10440000000</v>
      </c>
    </row>
    <row r="66" spans="1:19">
      <c r="A66" t="s">
        <v>26</v>
      </c>
      <c r="B66" t="s">
        <v>84</v>
      </c>
      <c r="C66" t="s">
        <v>2096</v>
      </c>
      <c r="D66" t="s">
        <v>2097</v>
      </c>
      <c r="G66">
        <f t="shared" ref="G66:G129" si="20">H66+I66+J66+K66+L66+M66+N66+O66+P66+Q66+R66+S66</f>
        <v>60000000000</v>
      </c>
      <c r="H66">
        <v>4500000000</v>
      </c>
      <c r="I66">
        <v>4680000000</v>
      </c>
      <c r="J66">
        <v>4920000000</v>
      </c>
      <c r="K66">
        <v>4980000000</v>
      </c>
      <c r="L66">
        <v>5100000000</v>
      </c>
      <c r="M66">
        <v>5220000000</v>
      </c>
      <c r="N66">
        <v>5280000000</v>
      </c>
      <c r="O66">
        <v>5160000000</v>
      </c>
      <c r="P66">
        <v>5040000000</v>
      </c>
      <c r="Q66">
        <v>4980000000</v>
      </c>
      <c r="R66">
        <v>4920000000</v>
      </c>
      <c r="S66">
        <v>5220000000</v>
      </c>
    </row>
    <row r="67" spans="1:19">
      <c r="A67" t="s">
        <v>26</v>
      </c>
      <c r="B67" t="s">
        <v>84</v>
      </c>
      <c r="C67" t="s">
        <v>2098</v>
      </c>
      <c r="D67" t="s">
        <v>2099</v>
      </c>
      <c r="G67">
        <f t="shared" si="20"/>
        <v>60000000000</v>
      </c>
      <c r="H67">
        <v>4500000000</v>
      </c>
      <c r="I67">
        <v>4680000000</v>
      </c>
      <c r="J67">
        <v>4920000000</v>
      </c>
      <c r="K67">
        <v>4980000000</v>
      </c>
      <c r="L67">
        <v>5100000000</v>
      </c>
      <c r="M67">
        <v>5220000000</v>
      </c>
      <c r="N67">
        <v>5280000000</v>
      </c>
      <c r="O67">
        <v>5160000000</v>
      </c>
      <c r="P67">
        <v>5040000000</v>
      </c>
      <c r="Q67">
        <v>4980000000</v>
      </c>
      <c r="R67">
        <v>4920000000</v>
      </c>
      <c r="S67">
        <v>5220000000</v>
      </c>
    </row>
    <row r="68" spans="1:19">
      <c r="A68" t="s">
        <v>19</v>
      </c>
      <c r="B68" t="s">
        <v>113</v>
      </c>
      <c r="C68" t="s">
        <v>2100</v>
      </c>
      <c r="D68" t="s">
        <v>160</v>
      </c>
      <c r="G68">
        <f t="shared" si="20"/>
        <v>1083938347447</v>
      </c>
      <c r="H68">
        <f t="shared" ref="H68:S68" si="21">H69+H70+H71+H72+H83+H84+H87</f>
        <v>81289599259</v>
      </c>
      <c r="I68">
        <f t="shared" si="21"/>
        <v>84532289529</v>
      </c>
      <c r="J68">
        <f t="shared" si="21"/>
        <v>88878300843</v>
      </c>
      <c r="K68">
        <f t="shared" si="21"/>
        <v>89963396246</v>
      </c>
      <c r="L68">
        <f t="shared" si="21"/>
        <v>92131272583</v>
      </c>
      <c r="M68">
        <f t="shared" si="21"/>
        <v>94300306157</v>
      </c>
      <c r="N68">
        <f t="shared" si="21"/>
        <v>95386558798</v>
      </c>
      <c r="O68">
        <f t="shared" si="21"/>
        <v>93219839695</v>
      </c>
      <c r="P68">
        <f t="shared" si="21"/>
        <v>91051963358</v>
      </c>
      <c r="Q68">
        <f t="shared" si="21"/>
        <v>89978440317</v>
      </c>
      <c r="R68">
        <f t="shared" si="21"/>
        <v>88894502147</v>
      </c>
      <c r="S68">
        <f t="shared" si="21"/>
        <v>94311878515</v>
      </c>
    </row>
    <row r="69" spans="1:19">
      <c r="A69" t="s">
        <v>23</v>
      </c>
      <c r="B69" t="s">
        <v>113</v>
      </c>
      <c r="C69" t="s">
        <v>2101</v>
      </c>
      <c r="D69" t="s">
        <v>153</v>
      </c>
      <c r="G69">
        <f t="shared" si="20"/>
        <v>60000000000</v>
      </c>
      <c r="H69">
        <v>4500000000</v>
      </c>
      <c r="I69">
        <v>4680000000</v>
      </c>
      <c r="J69">
        <v>4920000000</v>
      </c>
      <c r="K69">
        <v>4980000000</v>
      </c>
      <c r="L69">
        <v>5100000000</v>
      </c>
      <c r="M69">
        <v>5220000000</v>
      </c>
      <c r="N69">
        <v>5280000000</v>
      </c>
      <c r="O69">
        <v>5160000000</v>
      </c>
      <c r="P69">
        <v>5040000000</v>
      </c>
      <c r="Q69">
        <v>4980000000</v>
      </c>
      <c r="R69">
        <v>4920000000</v>
      </c>
      <c r="S69">
        <v>5220000000</v>
      </c>
    </row>
    <row r="70" spans="1:19">
      <c r="A70" t="s">
        <v>23</v>
      </c>
      <c r="B70" t="s">
        <v>113</v>
      </c>
      <c r="C70" t="s">
        <v>2102</v>
      </c>
      <c r="D70" t="s">
        <v>734</v>
      </c>
      <c r="G70">
        <f t="shared" si="20"/>
        <v>60000000000</v>
      </c>
      <c r="H70">
        <v>4500000000</v>
      </c>
      <c r="I70">
        <v>4680000000</v>
      </c>
      <c r="J70">
        <v>4920000000</v>
      </c>
      <c r="K70">
        <v>4980000000</v>
      </c>
      <c r="L70">
        <v>5100000000</v>
      </c>
      <c r="M70">
        <v>5220000000</v>
      </c>
      <c r="N70">
        <v>5280000000</v>
      </c>
      <c r="O70">
        <v>5160000000</v>
      </c>
      <c r="P70">
        <v>5040000000</v>
      </c>
      <c r="Q70">
        <v>4980000000</v>
      </c>
      <c r="R70">
        <v>4920000000</v>
      </c>
      <c r="S70">
        <v>5220000000</v>
      </c>
    </row>
    <row r="71" spans="1:19">
      <c r="A71" t="s">
        <v>23</v>
      </c>
      <c r="B71" t="s">
        <v>113</v>
      </c>
      <c r="C71" t="s">
        <v>2103</v>
      </c>
      <c r="D71" t="s">
        <v>155</v>
      </c>
      <c r="G71">
        <f t="shared" si="20"/>
        <v>60000000000</v>
      </c>
      <c r="H71">
        <v>4500000000</v>
      </c>
      <c r="I71">
        <v>4680000000</v>
      </c>
      <c r="J71">
        <v>4920000000</v>
      </c>
      <c r="K71">
        <v>4980000000</v>
      </c>
      <c r="L71">
        <v>5100000000</v>
      </c>
      <c r="M71">
        <v>5220000000</v>
      </c>
      <c r="N71">
        <v>5280000000</v>
      </c>
      <c r="O71">
        <v>5160000000</v>
      </c>
      <c r="P71">
        <v>5040000000</v>
      </c>
      <c r="Q71">
        <v>4980000000</v>
      </c>
      <c r="R71">
        <v>4920000000</v>
      </c>
      <c r="S71">
        <v>5220000000</v>
      </c>
    </row>
    <row r="72" spans="1:19">
      <c r="A72" t="s">
        <v>23</v>
      </c>
      <c r="B72" t="s">
        <v>113</v>
      </c>
      <c r="C72" t="s">
        <v>2104</v>
      </c>
      <c r="D72" t="s">
        <v>157</v>
      </c>
      <c r="G72">
        <f t="shared" si="20"/>
        <v>543938347447</v>
      </c>
      <c r="H72">
        <f t="shared" ref="H72:S72" si="22">H73+H74+H75+H76+H77+H78+H79+H80+H81+H82</f>
        <v>40789599259</v>
      </c>
      <c r="I72">
        <f t="shared" si="22"/>
        <v>42412289529</v>
      </c>
      <c r="J72">
        <f t="shared" si="22"/>
        <v>44598300843</v>
      </c>
      <c r="K72">
        <f t="shared" si="22"/>
        <v>45143396246</v>
      </c>
      <c r="L72">
        <f t="shared" si="22"/>
        <v>46231272583</v>
      </c>
      <c r="M72">
        <f t="shared" si="22"/>
        <v>47320306157</v>
      </c>
      <c r="N72">
        <f t="shared" si="22"/>
        <v>47866558798</v>
      </c>
      <c r="O72">
        <f t="shared" si="22"/>
        <v>46779839695</v>
      </c>
      <c r="P72">
        <f t="shared" si="22"/>
        <v>45691963358</v>
      </c>
      <c r="Q72">
        <f t="shared" si="22"/>
        <v>45158440317</v>
      </c>
      <c r="R72">
        <f t="shared" si="22"/>
        <v>44614502147</v>
      </c>
      <c r="S72">
        <f t="shared" si="22"/>
        <v>47331878515</v>
      </c>
    </row>
    <row r="73" spans="1:19">
      <c r="A73" t="s">
        <v>26</v>
      </c>
      <c r="B73" t="s">
        <v>113</v>
      </c>
      <c r="C73" t="s">
        <v>2105</v>
      </c>
      <c r="D73" t="s">
        <v>2067</v>
      </c>
      <c r="G73">
        <f t="shared" si="20"/>
        <v>60000000000</v>
      </c>
      <c r="H73">
        <v>4500000000</v>
      </c>
      <c r="I73">
        <v>4680000000</v>
      </c>
      <c r="J73">
        <v>4920000000</v>
      </c>
      <c r="K73">
        <v>4980000000</v>
      </c>
      <c r="L73">
        <v>5100000000</v>
      </c>
      <c r="M73">
        <v>5220000000</v>
      </c>
      <c r="N73">
        <v>5280000000</v>
      </c>
      <c r="O73">
        <v>5160000000</v>
      </c>
      <c r="P73">
        <v>5040000000</v>
      </c>
      <c r="Q73">
        <v>4980000000</v>
      </c>
      <c r="R73">
        <v>4920000000</v>
      </c>
      <c r="S73">
        <v>5220000000</v>
      </c>
    </row>
    <row r="74" spans="1:19">
      <c r="A74" t="s">
        <v>26</v>
      </c>
      <c r="B74" t="s">
        <v>113</v>
      </c>
      <c r="C74" t="s">
        <v>2106</v>
      </c>
      <c r="D74" t="s">
        <v>2073</v>
      </c>
      <c r="G74">
        <f t="shared" si="20"/>
        <v>60000000000</v>
      </c>
      <c r="H74">
        <v>4500000000</v>
      </c>
      <c r="I74">
        <v>4680000000</v>
      </c>
      <c r="J74">
        <v>4920000000</v>
      </c>
      <c r="K74">
        <v>4980000000</v>
      </c>
      <c r="L74">
        <v>5100000000</v>
      </c>
      <c r="M74">
        <v>5220000000</v>
      </c>
      <c r="N74">
        <v>5280000000</v>
      </c>
      <c r="O74">
        <v>5160000000</v>
      </c>
      <c r="P74">
        <v>5040000000</v>
      </c>
      <c r="Q74">
        <v>4980000000</v>
      </c>
      <c r="R74">
        <v>4920000000</v>
      </c>
      <c r="S74">
        <v>5220000000</v>
      </c>
    </row>
    <row r="75" spans="1:19">
      <c r="A75" t="s">
        <v>26</v>
      </c>
      <c r="B75" t="s">
        <v>113</v>
      </c>
      <c r="C75" t="s">
        <v>2107</v>
      </c>
      <c r="D75" t="s">
        <v>2075</v>
      </c>
      <c r="G75">
        <f t="shared" si="20"/>
        <v>60000000000</v>
      </c>
      <c r="H75">
        <v>4500000000</v>
      </c>
      <c r="I75">
        <v>4680000000</v>
      </c>
      <c r="J75">
        <v>4920000000</v>
      </c>
      <c r="K75">
        <v>4980000000</v>
      </c>
      <c r="L75">
        <v>5100000000</v>
      </c>
      <c r="M75">
        <v>5220000000</v>
      </c>
      <c r="N75">
        <v>5280000000</v>
      </c>
      <c r="O75">
        <v>5160000000</v>
      </c>
      <c r="P75">
        <v>5040000000</v>
      </c>
      <c r="Q75">
        <v>4980000000</v>
      </c>
      <c r="R75">
        <v>4920000000</v>
      </c>
      <c r="S75">
        <v>5220000000</v>
      </c>
    </row>
    <row r="76" spans="1:19">
      <c r="A76" t="s">
        <v>26</v>
      </c>
      <c r="B76" t="s">
        <v>113</v>
      </c>
      <c r="C76" t="s">
        <v>2108</v>
      </c>
      <c r="D76" t="s">
        <v>2077</v>
      </c>
      <c r="G76">
        <f t="shared" si="20"/>
        <v>60000000000</v>
      </c>
      <c r="H76">
        <v>4500000000</v>
      </c>
      <c r="I76">
        <v>4680000000</v>
      </c>
      <c r="J76">
        <v>4920000000</v>
      </c>
      <c r="K76">
        <v>4980000000</v>
      </c>
      <c r="L76">
        <v>5100000000</v>
      </c>
      <c r="M76">
        <v>5220000000</v>
      </c>
      <c r="N76">
        <v>5280000000</v>
      </c>
      <c r="O76">
        <v>5160000000</v>
      </c>
      <c r="P76">
        <v>5040000000</v>
      </c>
      <c r="Q76">
        <v>4980000000</v>
      </c>
      <c r="R76">
        <v>4920000000</v>
      </c>
      <c r="S76">
        <v>5220000000</v>
      </c>
    </row>
    <row r="77" spans="1:19">
      <c r="A77" t="s">
        <v>26</v>
      </c>
      <c r="B77" t="s">
        <v>113</v>
      </c>
      <c r="C77" t="s">
        <v>2109</v>
      </c>
      <c r="D77" t="s">
        <v>2079</v>
      </c>
      <c r="G77">
        <f t="shared" si="20"/>
        <v>60000000000</v>
      </c>
      <c r="H77">
        <v>4500000000</v>
      </c>
      <c r="I77">
        <v>4680000000</v>
      </c>
      <c r="J77">
        <v>4920000000</v>
      </c>
      <c r="K77">
        <v>4980000000</v>
      </c>
      <c r="L77">
        <v>5100000000</v>
      </c>
      <c r="M77">
        <v>5220000000</v>
      </c>
      <c r="N77">
        <v>5280000000</v>
      </c>
      <c r="O77">
        <v>5160000000</v>
      </c>
      <c r="P77">
        <v>5040000000</v>
      </c>
      <c r="Q77">
        <v>4980000000</v>
      </c>
      <c r="R77">
        <v>4920000000</v>
      </c>
      <c r="S77">
        <v>5220000000</v>
      </c>
    </row>
    <row r="78" spans="1:19">
      <c r="A78" t="s">
        <v>26</v>
      </c>
      <c r="B78" t="s">
        <v>113</v>
      </c>
      <c r="C78" t="s">
        <v>2110</v>
      </c>
      <c r="D78" t="s">
        <v>2081</v>
      </c>
      <c r="G78">
        <f t="shared" si="20"/>
        <v>60000000000</v>
      </c>
      <c r="H78">
        <v>4500000000</v>
      </c>
      <c r="I78">
        <v>4680000000</v>
      </c>
      <c r="J78">
        <v>4920000000</v>
      </c>
      <c r="K78">
        <v>4980000000</v>
      </c>
      <c r="L78">
        <v>5100000000</v>
      </c>
      <c r="M78">
        <v>5220000000</v>
      </c>
      <c r="N78">
        <v>5280000000</v>
      </c>
      <c r="O78">
        <v>5160000000</v>
      </c>
      <c r="P78">
        <v>5040000000</v>
      </c>
      <c r="Q78">
        <v>4980000000</v>
      </c>
      <c r="R78">
        <v>4920000000</v>
      </c>
      <c r="S78">
        <v>5220000000</v>
      </c>
    </row>
    <row r="79" spans="1:19">
      <c r="A79" t="s">
        <v>26</v>
      </c>
      <c r="B79" t="s">
        <v>113</v>
      </c>
      <c r="C79" t="s">
        <v>2111</v>
      </c>
      <c r="D79" t="s">
        <v>2083</v>
      </c>
      <c r="G79">
        <f t="shared" si="20"/>
        <v>60000000000</v>
      </c>
      <c r="H79">
        <v>4500000000</v>
      </c>
      <c r="I79">
        <v>4680000000</v>
      </c>
      <c r="J79">
        <v>4920000000</v>
      </c>
      <c r="K79">
        <v>4980000000</v>
      </c>
      <c r="L79">
        <v>5100000000</v>
      </c>
      <c r="M79">
        <v>5220000000</v>
      </c>
      <c r="N79">
        <v>5280000000</v>
      </c>
      <c r="O79">
        <v>5160000000</v>
      </c>
      <c r="P79">
        <v>5040000000</v>
      </c>
      <c r="Q79">
        <v>4980000000</v>
      </c>
      <c r="R79">
        <v>4920000000</v>
      </c>
      <c r="S79">
        <v>5220000000</v>
      </c>
    </row>
    <row r="80" spans="1:19">
      <c r="A80" t="s">
        <v>26</v>
      </c>
      <c r="B80" t="s">
        <v>113</v>
      </c>
      <c r="C80" t="s">
        <v>2112</v>
      </c>
      <c r="D80" t="s">
        <v>2085</v>
      </c>
      <c r="G80">
        <f t="shared" si="20"/>
        <v>60000000000</v>
      </c>
      <c r="H80">
        <v>4500000000</v>
      </c>
      <c r="I80">
        <v>4680000000</v>
      </c>
      <c r="J80">
        <v>4920000000</v>
      </c>
      <c r="K80">
        <v>4980000000</v>
      </c>
      <c r="L80">
        <v>5100000000</v>
      </c>
      <c r="M80">
        <v>5220000000</v>
      </c>
      <c r="N80">
        <v>5280000000</v>
      </c>
      <c r="O80">
        <v>5160000000</v>
      </c>
      <c r="P80">
        <v>5040000000</v>
      </c>
      <c r="Q80">
        <v>4980000000</v>
      </c>
      <c r="R80">
        <v>4920000000</v>
      </c>
      <c r="S80">
        <v>5220000000</v>
      </c>
    </row>
    <row r="81" spans="1:19">
      <c r="A81" t="s">
        <v>26</v>
      </c>
      <c r="B81" t="s">
        <v>113</v>
      </c>
      <c r="C81" t="s">
        <v>2113</v>
      </c>
      <c r="D81" t="s">
        <v>106</v>
      </c>
      <c r="G81">
        <f t="shared" si="20"/>
        <v>60000000000</v>
      </c>
      <c r="H81">
        <v>4500000000</v>
      </c>
      <c r="I81">
        <v>4680000000</v>
      </c>
      <c r="J81">
        <v>4920000000</v>
      </c>
      <c r="K81">
        <v>4980000000</v>
      </c>
      <c r="L81">
        <v>5100000000</v>
      </c>
      <c r="M81">
        <v>5220000000</v>
      </c>
      <c r="N81">
        <v>5280000000</v>
      </c>
      <c r="O81">
        <v>5160000000</v>
      </c>
      <c r="P81">
        <v>5040000000</v>
      </c>
      <c r="Q81">
        <v>4980000000</v>
      </c>
      <c r="R81">
        <v>4920000000</v>
      </c>
      <c r="S81">
        <v>5220000000</v>
      </c>
    </row>
    <row r="82" spans="1:19">
      <c r="A82" t="s">
        <v>26</v>
      </c>
      <c r="B82" t="s">
        <v>113</v>
      </c>
      <c r="C82" t="s">
        <v>2114</v>
      </c>
      <c r="D82" t="s">
        <v>2090</v>
      </c>
      <c r="G82">
        <f t="shared" si="20"/>
        <v>3938347447</v>
      </c>
      <c r="H82">
        <v>289599259</v>
      </c>
      <c r="I82">
        <v>292289529</v>
      </c>
      <c r="J82">
        <v>318300843</v>
      </c>
      <c r="K82">
        <v>323396246</v>
      </c>
      <c r="L82">
        <v>331272583</v>
      </c>
      <c r="M82">
        <v>340306157</v>
      </c>
      <c r="N82">
        <v>346558798</v>
      </c>
      <c r="O82">
        <v>339839695</v>
      </c>
      <c r="P82">
        <v>331963358</v>
      </c>
      <c r="Q82">
        <v>338440317</v>
      </c>
      <c r="R82">
        <v>334502147</v>
      </c>
      <c r="S82">
        <v>351878515</v>
      </c>
    </row>
    <row r="83" spans="1:19">
      <c r="A83" t="s">
        <v>23</v>
      </c>
      <c r="B83" t="s">
        <v>113</v>
      </c>
      <c r="C83" t="s">
        <v>2115</v>
      </c>
      <c r="D83" t="s">
        <v>738</v>
      </c>
      <c r="G83">
        <f t="shared" si="20"/>
        <v>60000000000</v>
      </c>
      <c r="H83">
        <v>4500000000</v>
      </c>
      <c r="I83">
        <v>4680000000</v>
      </c>
      <c r="J83">
        <v>4920000000</v>
      </c>
      <c r="K83">
        <v>4980000000</v>
      </c>
      <c r="L83">
        <v>5100000000</v>
      </c>
      <c r="M83">
        <v>5220000000</v>
      </c>
      <c r="N83">
        <v>5280000000</v>
      </c>
      <c r="O83">
        <v>5160000000</v>
      </c>
      <c r="P83">
        <v>5040000000</v>
      </c>
      <c r="Q83">
        <v>4980000000</v>
      </c>
      <c r="R83">
        <v>4920000000</v>
      </c>
      <c r="S83">
        <v>5220000000</v>
      </c>
    </row>
    <row r="84" spans="1:19">
      <c r="A84" t="s">
        <v>23</v>
      </c>
      <c r="B84" t="s">
        <v>113</v>
      </c>
      <c r="C84" t="s">
        <v>2116</v>
      </c>
      <c r="D84" t="s">
        <v>2095</v>
      </c>
      <c r="G84">
        <f t="shared" si="20"/>
        <v>120000000000</v>
      </c>
      <c r="H84">
        <f t="shared" ref="H84:S84" si="23">H85+H86</f>
        <v>9000000000</v>
      </c>
      <c r="I84">
        <f t="shared" si="23"/>
        <v>9360000000</v>
      </c>
      <c r="J84">
        <f t="shared" si="23"/>
        <v>9840000000</v>
      </c>
      <c r="K84">
        <f t="shared" si="23"/>
        <v>9960000000</v>
      </c>
      <c r="L84">
        <f t="shared" si="23"/>
        <v>10200000000</v>
      </c>
      <c r="M84">
        <f t="shared" si="23"/>
        <v>10440000000</v>
      </c>
      <c r="N84">
        <f t="shared" si="23"/>
        <v>10560000000</v>
      </c>
      <c r="O84">
        <f t="shared" si="23"/>
        <v>10320000000</v>
      </c>
      <c r="P84">
        <f t="shared" si="23"/>
        <v>10080000000</v>
      </c>
      <c r="Q84">
        <f t="shared" si="23"/>
        <v>9960000000</v>
      </c>
      <c r="R84">
        <f t="shared" si="23"/>
        <v>9840000000</v>
      </c>
      <c r="S84">
        <f t="shared" si="23"/>
        <v>10440000000</v>
      </c>
    </row>
    <row r="85" spans="1:19">
      <c r="A85" t="s">
        <v>26</v>
      </c>
      <c r="B85" t="s">
        <v>113</v>
      </c>
      <c r="C85" t="s">
        <v>2117</v>
      </c>
      <c r="D85" t="s">
        <v>2097</v>
      </c>
      <c r="G85">
        <f t="shared" si="20"/>
        <v>60000000000</v>
      </c>
      <c r="H85">
        <v>4500000000</v>
      </c>
      <c r="I85">
        <v>4680000000</v>
      </c>
      <c r="J85">
        <v>4920000000</v>
      </c>
      <c r="K85">
        <v>4980000000</v>
      </c>
      <c r="L85">
        <v>5100000000</v>
      </c>
      <c r="M85">
        <v>5220000000</v>
      </c>
      <c r="N85">
        <v>5280000000</v>
      </c>
      <c r="O85">
        <v>5160000000</v>
      </c>
      <c r="P85">
        <v>5040000000</v>
      </c>
      <c r="Q85">
        <v>4980000000</v>
      </c>
      <c r="R85">
        <v>4920000000</v>
      </c>
      <c r="S85">
        <v>5220000000</v>
      </c>
    </row>
    <row r="86" spans="1:19">
      <c r="A86" t="s">
        <v>26</v>
      </c>
      <c r="B86" t="s">
        <v>113</v>
      </c>
      <c r="C86" t="s">
        <v>2118</v>
      </c>
      <c r="D86" t="s">
        <v>2099</v>
      </c>
      <c r="G86">
        <f t="shared" si="20"/>
        <v>60000000000</v>
      </c>
      <c r="H86">
        <v>4500000000</v>
      </c>
      <c r="I86">
        <v>4680000000</v>
      </c>
      <c r="J86">
        <v>4920000000</v>
      </c>
      <c r="K86">
        <v>4980000000</v>
      </c>
      <c r="L86">
        <v>5100000000</v>
      </c>
      <c r="M86">
        <v>5220000000</v>
      </c>
      <c r="N86">
        <v>5280000000</v>
      </c>
      <c r="O86">
        <v>5160000000</v>
      </c>
      <c r="P86">
        <v>5040000000</v>
      </c>
      <c r="Q86">
        <v>4980000000</v>
      </c>
      <c r="R86">
        <v>4920000000</v>
      </c>
      <c r="S86">
        <v>5220000000</v>
      </c>
    </row>
    <row r="87" spans="1:19">
      <c r="A87" t="s">
        <v>23</v>
      </c>
      <c r="B87" t="s">
        <v>113</v>
      </c>
      <c r="C87" t="s">
        <v>2119</v>
      </c>
      <c r="D87" t="s">
        <v>2120</v>
      </c>
      <c r="G87">
        <f t="shared" si="20"/>
        <v>180000000000</v>
      </c>
      <c r="H87">
        <f t="shared" ref="H87:S87" si="24">H88+H89+H90</f>
        <v>13500000000</v>
      </c>
      <c r="I87">
        <f t="shared" si="24"/>
        <v>14040000000</v>
      </c>
      <c r="J87">
        <f t="shared" si="24"/>
        <v>14760000000</v>
      </c>
      <c r="K87">
        <f t="shared" si="24"/>
        <v>14940000000</v>
      </c>
      <c r="L87">
        <f t="shared" si="24"/>
        <v>15300000000</v>
      </c>
      <c r="M87">
        <f t="shared" si="24"/>
        <v>15660000000</v>
      </c>
      <c r="N87">
        <f t="shared" si="24"/>
        <v>15840000000</v>
      </c>
      <c r="O87">
        <f t="shared" si="24"/>
        <v>15480000000</v>
      </c>
      <c r="P87">
        <f t="shared" si="24"/>
        <v>15120000000</v>
      </c>
      <c r="Q87">
        <f t="shared" si="24"/>
        <v>14940000000</v>
      </c>
      <c r="R87">
        <f t="shared" si="24"/>
        <v>14760000000</v>
      </c>
      <c r="S87">
        <f t="shared" si="24"/>
        <v>15660000000</v>
      </c>
    </row>
    <row r="88" spans="1:19">
      <c r="A88" t="s">
        <v>26</v>
      </c>
      <c r="B88" t="s">
        <v>113</v>
      </c>
      <c r="C88" t="s">
        <v>2121</v>
      </c>
      <c r="D88" t="s">
        <v>2122</v>
      </c>
      <c r="G88">
        <f t="shared" si="20"/>
        <v>60000000000</v>
      </c>
      <c r="H88">
        <v>4500000000</v>
      </c>
      <c r="I88">
        <v>4680000000</v>
      </c>
      <c r="J88">
        <v>4920000000</v>
      </c>
      <c r="K88">
        <v>4980000000</v>
      </c>
      <c r="L88">
        <v>5100000000</v>
      </c>
      <c r="M88">
        <v>5220000000</v>
      </c>
      <c r="N88">
        <v>5280000000</v>
      </c>
      <c r="O88">
        <v>5160000000</v>
      </c>
      <c r="P88">
        <v>5040000000</v>
      </c>
      <c r="Q88">
        <v>4980000000</v>
      </c>
      <c r="R88">
        <v>4920000000</v>
      </c>
      <c r="S88">
        <v>5220000000</v>
      </c>
    </row>
    <row r="89" spans="1:19">
      <c r="A89" t="s">
        <v>26</v>
      </c>
      <c r="B89" t="s">
        <v>113</v>
      </c>
      <c r="C89" t="s">
        <v>2123</v>
      </c>
      <c r="D89" t="s">
        <v>2124</v>
      </c>
      <c r="G89">
        <f t="shared" si="20"/>
        <v>60000000000</v>
      </c>
      <c r="H89">
        <v>4500000000</v>
      </c>
      <c r="I89">
        <v>4680000000</v>
      </c>
      <c r="J89">
        <v>4920000000</v>
      </c>
      <c r="K89">
        <v>4980000000</v>
      </c>
      <c r="L89">
        <v>5100000000</v>
      </c>
      <c r="M89">
        <v>5220000000</v>
      </c>
      <c r="N89">
        <v>5280000000</v>
      </c>
      <c r="O89">
        <v>5160000000</v>
      </c>
      <c r="P89">
        <v>5040000000</v>
      </c>
      <c r="Q89">
        <v>4980000000</v>
      </c>
      <c r="R89">
        <v>4920000000</v>
      </c>
      <c r="S89">
        <v>5220000000</v>
      </c>
    </row>
    <row r="90" spans="1:19">
      <c r="A90" t="s">
        <v>26</v>
      </c>
      <c r="B90" t="s">
        <v>113</v>
      </c>
      <c r="C90" t="s">
        <v>2125</v>
      </c>
      <c r="D90" t="s">
        <v>2126</v>
      </c>
      <c r="G90">
        <f t="shared" si="20"/>
        <v>60000000000</v>
      </c>
      <c r="H90">
        <v>4500000000</v>
      </c>
      <c r="I90">
        <v>4680000000</v>
      </c>
      <c r="J90">
        <v>4920000000</v>
      </c>
      <c r="K90">
        <v>4980000000</v>
      </c>
      <c r="L90">
        <v>5100000000</v>
      </c>
      <c r="M90">
        <v>5220000000</v>
      </c>
      <c r="N90">
        <v>5280000000</v>
      </c>
      <c r="O90">
        <v>5160000000</v>
      </c>
      <c r="P90">
        <v>5040000000</v>
      </c>
      <c r="Q90">
        <v>4980000000</v>
      </c>
      <c r="R90">
        <v>4920000000</v>
      </c>
      <c r="S90">
        <v>5220000000</v>
      </c>
    </row>
    <row r="91" spans="1:19">
      <c r="A91" t="s">
        <v>19</v>
      </c>
      <c r="B91" t="s">
        <v>130</v>
      </c>
      <c r="C91" t="s">
        <v>2127</v>
      </c>
      <c r="D91" t="s">
        <v>166</v>
      </c>
      <c r="G91">
        <f t="shared" si="20"/>
        <v>216000000000</v>
      </c>
      <c r="H91">
        <f t="shared" ref="H91:S91" si="25">H92+H93+H94+H95+H96+H97</f>
        <v>16200000000</v>
      </c>
      <c r="I91">
        <f t="shared" si="25"/>
        <v>16848000000</v>
      </c>
      <c r="J91">
        <f t="shared" si="25"/>
        <v>17712000000</v>
      </c>
      <c r="K91">
        <f t="shared" si="25"/>
        <v>17928000000</v>
      </c>
      <c r="L91">
        <f t="shared" si="25"/>
        <v>18360000000</v>
      </c>
      <c r="M91">
        <f t="shared" si="25"/>
        <v>18792000000</v>
      </c>
      <c r="N91">
        <f t="shared" si="25"/>
        <v>19008000000</v>
      </c>
      <c r="O91">
        <f t="shared" si="25"/>
        <v>18576000000</v>
      </c>
      <c r="P91">
        <f t="shared" si="25"/>
        <v>18144000000</v>
      </c>
      <c r="Q91">
        <f t="shared" si="25"/>
        <v>17928000000</v>
      </c>
      <c r="R91">
        <f t="shared" si="25"/>
        <v>17712000000</v>
      </c>
      <c r="S91">
        <f t="shared" si="25"/>
        <v>18792000000</v>
      </c>
    </row>
    <row r="92" spans="1:19">
      <c r="A92" t="s">
        <v>23</v>
      </c>
      <c r="B92" t="s">
        <v>130</v>
      </c>
      <c r="C92" t="s">
        <v>2128</v>
      </c>
      <c r="D92" t="s">
        <v>168</v>
      </c>
      <c r="G92">
        <f t="shared" si="20"/>
        <v>36000000000</v>
      </c>
      <c r="H92">
        <v>2700000000</v>
      </c>
      <c r="I92">
        <v>2808000000</v>
      </c>
      <c r="J92">
        <v>2952000000</v>
      </c>
      <c r="K92">
        <v>2988000000</v>
      </c>
      <c r="L92">
        <v>3060000000</v>
      </c>
      <c r="M92">
        <v>3132000000</v>
      </c>
      <c r="N92">
        <v>3168000000</v>
      </c>
      <c r="O92">
        <v>3096000000</v>
      </c>
      <c r="P92">
        <v>3024000000</v>
      </c>
      <c r="Q92">
        <v>2988000000</v>
      </c>
      <c r="R92">
        <v>2952000000</v>
      </c>
      <c r="S92">
        <v>3132000000</v>
      </c>
    </row>
    <row r="93" spans="1:19">
      <c r="A93" t="s">
        <v>23</v>
      </c>
      <c r="B93" t="s">
        <v>130</v>
      </c>
      <c r="C93" t="s">
        <v>2129</v>
      </c>
      <c r="D93" t="s">
        <v>748</v>
      </c>
      <c r="G93">
        <f t="shared" si="20"/>
        <v>36000000000</v>
      </c>
      <c r="H93">
        <v>2700000000</v>
      </c>
      <c r="I93">
        <v>2808000000</v>
      </c>
      <c r="J93">
        <v>2952000000</v>
      </c>
      <c r="K93">
        <v>2988000000</v>
      </c>
      <c r="L93">
        <v>3060000000</v>
      </c>
      <c r="M93">
        <v>3132000000</v>
      </c>
      <c r="N93">
        <v>3168000000</v>
      </c>
      <c r="O93">
        <v>3096000000</v>
      </c>
      <c r="P93">
        <v>3024000000</v>
      </c>
      <c r="Q93">
        <v>2988000000</v>
      </c>
      <c r="R93">
        <v>2952000000</v>
      </c>
      <c r="S93">
        <v>3132000000</v>
      </c>
    </row>
    <row r="94" spans="1:19">
      <c r="A94" t="s">
        <v>23</v>
      </c>
      <c r="B94" t="s">
        <v>130</v>
      </c>
      <c r="C94" t="s">
        <v>2130</v>
      </c>
      <c r="D94" t="s">
        <v>750</v>
      </c>
      <c r="G94">
        <f t="shared" si="20"/>
        <v>36000000000</v>
      </c>
      <c r="H94">
        <v>2700000000</v>
      </c>
      <c r="I94">
        <v>2808000000</v>
      </c>
      <c r="J94">
        <v>2952000000</v>
      </c>
      <c r="K94">
        <v>2988000000</v>
      </c>
      <c r="L94">
        <v>3060000000</v>
      </c>
      <c r="M94">
        <v>3132000000</v>
      </c>
      <c r="N94">
        <v>3168000000</v>
      </c>
      <c r="O94">
        <v>3096000000</v>
      </c>
      <c r="P94">
        <v>3024000000</v>
      </c>
      <c r="Q94">
        <v>2988000000</v>
      </c>
      <c r="R94">
        <v>2952000000</v>
      </c>
      <c r="S94">
        <v>3132000000</v>
      </c>
    </row>
    <row r="95" spans="1:19">
      <c r="A95" t="s">
        <v>23</v>
      </c>
      <c r="B95" t="s">
        <v>130</v>
      </c>
      <c r="C95" t="s">
        <v>2131</v>
      </c>
      <c r="D95" t="s">
        <v>170</v>
      </c>
      <c r="G95">
        <f t="shared" si="20"/>
        <v>36000000000</v>
      </c>
      <c r="H95">
        <v>2700000000</v>
      </c>
      <c r="I95">
        <v>2808000000</v>
      </c>
      <c r="J95">
        <v>2952000000</v>
      </c>
      <c r="K95">
        <v>2988000000</v>
      </c>
      <c r="L95">
        <v>3060000000</v>
      </c>
      <c r="M95">
        <v>3132000000</v>
      </c>
      <c r="N95">
        <v>3168000000</v>
      </c>
      <c r="O95">
        <v>3096000000</v>
      </c>
      <c r="P95">
        <v>3024000000</v>
      </c>
      <c r="Q95">
        <v>2988000000</v>
      </c>
      <c r="R95">
        <v>2952000000</v>
      </c>
      <c r="S95">
        <v>3132000000</v>
      </c>
    </row>
    <row r="96" spans="1:19">
      <c r="A96" t="s">
        <v>23</v>
      </c>
      <c r="B96" t="s">
        <v>130</v>
      </c>
      <c r="C96" t="s">
        <v>2132</v>
      </c>
      <c r="D96" t="s">
        <v>753</v>
      </c>
      <c r="G96">
        <f t="shared" si="20"/>
        <v>36000000000</v>
      </c>
      <c r="H96">
        <v>2700000000</v>
      </c>
      <c r="I96">
        <v>2808000000</v>
      </c>
      <c r="J96">
        <v>2952000000</v>
      </c>
      <c r="K96">
        <v>2988000000</v>
      </c>
      <c r="L96">
        <v>3060000000</v>
      </c>
      <c r="M96">
        <v>3132000000</v>
      </c>
      <c r="N96">
        <v>3168000000</v>
      </c>
      <c r="O96">
        <v>3096000000</v>
      </c>
      <c r="P96">
        <v>3024000000</v>
      </c>
      <c r="Q96">
        <v>2988000000</v>
      </c>
      <c r="R96">
        <v>2952000000</v>
      </c>
      <c r="S96">
        <v>3132000000</v>
      </c>
    </row>
    <row r="97" spans="1:19">
      <c r="A97" t="s">
        <v>23</v>
      </c>
      <c r="B97" t="s">
        <v>130</v>
      </c>
      <c r="C97" t="s">
        <v>2133</v>
      </c>
      <c r="D97" t="s">
        <v>2134</v>
      </c>
      <c r="G97">
        <f t="shared" si="20"/>
        <v>36000000000</v>
      </c>
      <c r="H97">
        <v>2700000000</v>
      </c>
      <c r="I97">
        <v>2808000000</v>
      </c>
      <c r="J97">
        <v>2952000000</v>
      </c>
      <c r="K97">
        <v>2988000000</v>
      </c>
      <c r="L97">
        <v>3060000000</v>
      </c>
      <c r="M97">
        <v>3132000000</v>
      </c>
      <c r="N97">
        <v>3168000000</v>
      </c>
      <c r="O97">
        <v>3096000000</v>
      </c>
      <c r="P97">
        <v>3024000000</v>
      </c>
      <c r="Q97">
        <v>2988000000</v>
      </c>
      <c r="R97">
        <v>2952000000</v>
      </c>
      <c r="S97">
        <v>3132000000</v>
      </c>
    </row>
    <row r="98" spans="1:19">
      <c r="A98" t="s">
        <v>19</v>
      </c>
      <c r="B98" t="s">
        <v>143</v>
      </c>
      <c r="C98" t="s">
        <v>2135</v>
      </c>
      <c r="D98" t="s">
        <v>172</v>
      </c>
      <c r="G98">
        <f t="shared" si="20"/>
        <v>216000000000</v>
      </c>
      <c r="H98">
        <f t="shared" ref="H98:S98" si="26">H99+H100+H101+H102+H103+H104</f>
        <v>16200000000</v>
      </c>
      <c r="I98">
        <f t="shared" si="26"/>
        <v>16848000000</v>
      </c>
      <c r="J98">
        <f t="shared" si="26"/>
        <v>17712000000</v>
      </c>
      <c r="K98">
        <f t="shared" si="26"/>
        <v>17928000000</v>
      </c>
      <c r="L98">
        <f t="shared" si="26"/>
        <v>18360000000</v>
      </c>
      <c r="M98">
        <f t="shared" si="26"/>
        <v>18792000000</v>
      </c>
      <c r="N98">
        <f t="shared" si="26"/>
        <v>19008000000</v>
      </c>
      <c r="O98">
        <f t="shared" si="26"/>
        <v>18576000000</v>
      </c>
      <c r="P98">
        <f t="shared" si="26"/>
        <v>18144000000</v>
      </c>
      <c r="Q98">
        <f t="shared" si="26"/>
        <v>17928000000</v>
      </c>
      <c r="R98">
        <f t="shared" si="26"/>
        <v>17712000000</v>
      </c>
      <c r="S98">
        <f t="shared" si="26"/>
        <v>18792000000</v>
      </c>
    </row>
    <row r="99" spans="1:19">
      <c r="A99" t="s">
        <v>23</v>
      </c>
      <c r="B99" t="s">
        <v>143</v>
      </c>
      <c r="C99" t="s">
        <v>2136</v>
      </c>
      <c r="D99" t="s">
        <v>168</v>
      </c>
      <c r="G99">
        <f t="shared" si="20"/>
        <v>36000000000</v>
      </c>
      <c r="H99">
        <v>2700000000</v>
      </c>
      <c r="I99">
        <v>2808000000</v>
      </c>
      <c r="J99">
        <v>2952000000</v>
      </c>
      <c r="K99">
        <v>2988000000</v>
      </c>
      <c r="L99">
        <v>3060000000</v>
      </c>
      <c r="M99">
        <v>3132000000</v>
      </c>
      <c r="N99">
        <v>3168000000</v>
      </c>
      <c r="O99">
        <v>3096000000</v>
      </c>
      <c r="P99">
        <v>3024000000</v>
      </c>
      <c r="Q99">
        <v>2988000000</v>
      </c>
      <c r="R99">
        <v>2952000000</v>
      </c>
      <c r="S99">
        <v>3132000000</v>
      </c>
    </row>
    <row r="100" spans="1:19">
      <c r="A100" t="s">
        <v>23</v>
      </c>
      <c r="B100" t="s">
        <v>143</v>
      </c>
      <c r="C100" t="s">
        <v>2137</v>
      </c>
      <c r="D100" t="s">
        <v>748</v>
      </c>
      <c r="G100">
        <f t="shared" si="20"/>
        <v>36000000000</v>
      </c>
      <c r="H100">
        <v>2700000000</v>
      </c>
      <c r="I100">
        <v>2808000000</v>
      </c>
      <c r="J100">
        <v>2952000000</v>
      </c>
      <c r="K100">
        <v>2988000000</v>
      </c>
      <c r="L100">
        <v>3060000000</v>
      </c>
      <c r="M100">
        <v>3132000000</v>
      </c>
      <c r="N100">
        <v>3168000000</v>
      </c>
      <c r="O100">
        <v>3096000000</v>
      </c>
      <c r="P100">
        <v>3024000000</v>
      </c>
      <c r="Q100">
        <v>2988000000</v>
      </c>
      <c r="R100">
        <v>2952000000</v>
      </c>
      <c r="S100">
        <v>3132000000</v>
      </c>
    </row>
    <row r="101" spans="1:19">
      <c r="A101" t="s">
        <v>23</v>
      </c>
      <c r="B101" t="s">
        <v>143</v>
      </c>
      <c r="C101" t="s">
        <v>2138</v>
      </c>
      <c r="D101" t="s">
        <v>750</v>
      </c>
      <c r="G101">
        <f t="shared" si="20"/>
        <v>36000000000</v>
      </c>
      <c r="H101">
        <v>2700000000</v>
      </c>
      <c r="I101">
        <v>2808000000</v>
      </c>
      <c r="J101">
        <v>2952000000</v>
      </c>
      <c r="K101">
        <v>2988000000</v>
      </c>
      <c r="L101">
        <v>3060000000</v>
      </c>
      <c r="M101">
        <v>3132000000</v>
      </c>
      <c r="N101">
        <v>3168000000</v>
      </c>
      <c r="O101">
        <v>3096000000</v>
      </c>
      <c r="P101">
        <v>3024000000</v>
      </c>
      <c r="Q101">
        <v>2988000000</v>
      </c>
      <c r="R101">
        <v>2952000000</v>
      </c>
      <c r="S101">
        <v>3132000000</v>
      </c>
    </row>
    <row r="102" spans="1:19">
      <c r="A102" t="s">
        <v>23</v>
      </c>
      <c r="B102" t="s">
        <v>143</v>
      </c>
      <c r="C102" t="s">
        <v>2139</v>
      </c>
      <c r="D102" t="s">
        <v>170</v>
      </c>
      <c r="G102">
        <f t="shared" si="20"/>
        <v>36000000000</v>
      </c>
      <c r="H102">
        <v>2700000000</v>
      </c>
      <c r="I102">
        <v>2808000000</v>
      </c>
      <c r="J102">
        <v>2952000000</v>
      </c>
      <c r="K102">
        <v>2988000000</v>
      </c>
      <c r="L102">
        <v>3060000000</v>
      </c>
      <c r="M102">
        <v>3132000000</v>
      </c>
      <c r="N102">
        <v>3168000000</v>
      </c>
      <c r="O102">
        <v>3096000000</v>
      </c>
      <c r="P102">
        <v>3024000000</v>
      </c>
      <c r="Q102">
        <v>2988000000</v>
      </c>
      <c r="R102">
        <v>2952000000</v>
      </c>
      <c r="S102">
        <v>3132000000</v>
      </c>
    </row>
    <row r="103" spans="1:19">
      <c r="A103" t="s">
        <v>23</v>
      </c>
      <c r="B103" t="s">
        <v>143</v>
      </c>
      <c r="C103" t="s">
        <v>2140</v>
      </c>
      <c r="D103" t="s">
        <v>753</v>
      </c>
      <c r="G103">
        <f t="shared" si="20"/>
        <v>36000000000</v>
      </c>
      <c r="H103">
        <v>2700000000</v>
      </c>
      <c r="I103">
        <v>2808000000</v>
      </c>
      <c r="J103">
        <v>2952000000</v>
      </c>
      <c r="K103">
        <v>2988000000</v>
      </c>
      <c r="L103">
        <v>3060000000</v>
      </c>
      <c r="M103">
        <v>3132000000</v>
      </c>
      <c r="N103">
        <v>3168000000</v>
      </c>
      <c r="O103">
        <v>3096000000</v>
      </c>
      <c r="P103">
        <v>3024000000</v>
      </c>
      <c r="Q103">
        <v>2988000000</v>
      </c>
      <c r="R103">
        <v>2952000000</v>
      </c>
      <c r="S103">
        <v>3132000000</v>
      </c>
    </row>
    <row r="104" spans="1:19">
      <c r="A104" t="s">
        <v>23</v>
      </c>
      <c r="B104" t="s">
        <v>143</v>
      </c>
      <c r="C104" t="s">
        <v>2141</v>
      </c>
      <c r="D104" t="s">
        <v>2134</v>
      </c>
      <c r="G104">
        <f t="shared" si="20"/>
        <v>36000000000</v>
      </c>
      <c r="H104">
        <v>2700000000</v>
      </c>
      <c r="I104">
        <v>2808000000</v>
      </c>
      <c r="J104">
        <v>2952000000</v>
      </c>
      <c r="K104">
        <v>2988000000</v>
      </c>
      <c r="L104">
        <v>3060000000</v>
      </c>
      <c r="M104">
        <v>3132000000</v>
      </c>
      <c r="N104">
        <v>3168000000</v>
      </c>
      <c r="O104">
        <v>3096000000</v>
      </c>
      <c r="P104">
        <v>3024000000</v>
      </c>
      <c r="Q104">
        <v>2988000000</v>
      </c>
      <c r="R104">
        <v>2952000000</v>
      </c>
      <c r="S104">
        <v>3132000000</v>
      </c>
    </row>
    <row r="105" spans="1:19">
      <c r="A105" t="s">
        <v>19</v>
      </c>
      <c r="B105" t="s">
        <v>20</v>
      </c>
      <c r="C105" t="s">
        <v>2142</v>
      </c>
      <c r="D105" t="s">
        <v>176</v>
      </c>
      <c r="G105">
        <f t="shared" si="20"/>
        <v>6.72</v>
      </c>
      <c r="H105">
        <f t="shared" ref="H105:S105" si="27">H106+H108+H119</f>
        <v>0.5488</v>
      </c>
      <c r="I105">
        <f t="shared" si="27"/>
        <v>0.550832</v>
      </c>
      <c r="J105">
        <f t="shared" si="27"/>
        <v>0.55288</v>
      </c>
      <c r="K105">
        <f t="shared" si="27"/>
        <v>0.554912</v>
      </c>
      <c r="L105">
        <f t="shared" si="27"/>
        <v>0.556944</v>
      </c>
      <c r="M105">
        <f t="shared" si="27"/>
        <v>0.558976</v>
      </c>
      <c r="N105">
        <f t="shared" si="27"/>
        <v>0.561024</v>
      </c>
      <c r="O105">
        <f t="shared" si="27"/>
        <v>0.563056</v>
      </c>
      <c r="P105">
        <f t="shared" si="27"/>
        <v>0.565088</v>
      </c>
      <c r="Q105">
        <f t="shared" si="27"/>
        <v>0.56712</v>
      </c>
      <c r="R105">
        <f t="shared" si="27"/>
        <v>0.569168</v>
      </c>
      <c r="S105">
        <f t="shared" si="27"/>
        <v>0.5712</v>
      </c>
    </row>
    <row r="106" spans="1:19">
      <c r="A106" t="s">
        <v>23</v>
      </c>
      <c r="B106" t="s">
        <v>20</v>
      </c>
      <c r="C106" t="s">
        <v>2143</v>
      </c>
      <c r="D106" t="s">
        <v>178</v>
      </c>
      <c r="G106">
        <f t="shared" si="20"/>
        <v>0.42</v>
      </c>
      <c r="H106">
        <f t="shared" ref="H106:S106" si="28">H107</f>
        <v>0.0343</v>
      </c>
      <c r="I106">
        <f t="shared" si="28"/>
        <v>0.034427</v>
      </c>
      <c r="J106">
        <f t="shared" si="28"/>
        <v>0.034555</v>
      </c>
      <c r="K106">
        <f t="shared" si="28"/>
        <v>0.034682</v>
      </c>
      <c r="L106">
        <f t="shared" si="28"/>
        <v>0.034809</v>
      </c>
      <c r="M106">
        <f t="shared" si="28"/>
        <v>0.034936</v>
      </c>
      <c r="N106">
        <f t="shared" si="28"/>
        <v>0.035064</v>
      </c>
      <c r="O106">
        <f t="shared" si="28"/>
        <v>0.035191</v>
      </c>
      <c r="P106">
        <f t="shared" si="28"/>
        <v>0.035318</v>
      </c>
      <c r="Q106">
        <f t="shared" si="28"/>
        <v>0.035445</v>
      </c>
      <c r="R106">
        <f t="shared" si="28"/>
        <v>0.035573</v>
      </c>
      <c r="S106">
        <f t="shared" si="28"/>
        <v>0.0357</v>
      </c>
    </row>
    <row r="107" spans="1:19">
      <c r="A107" t="s">
        <v>26</v>
      </c>
      <c r="B107" t="s">
        <v>179</v>
      </c>
      <c r="C107" t="s">
        <v>2144</v>
      </c>
      <c r="D107" t="s">
        <v>1487</v>
      </c>
      <c r="G107">
        <f t="shared" si="20"/>
        <v>0.42</v>
      </c>
      <c r="H107">
        <v>0.0343</v>
      </c>
      <c r="I107">
        <v>0.034427</v>
      </c>
      <c r="J107">
        <v>0.034555</v>
      </c>
      <c r="K107">
        <v>0.034682</v>
      </c>
      <c r="L107">
        <v>0.034809</v>
      </c>
      <c r="M107">
        <v>0.034936</v>
      </c>
      <c r="N107">
        <v>0.035064</v>
      </c>
      <c r="O107">
        <v>0.035191</v>
      </c>
      <c r="P107">
        <v>0.035318</v>
      </c>
      <c r="Q107">
        <v>0.035445</v>
      </c>
      <c r="R107">
        <v>0.035573</v>
      </c>
      <c r="S107">
        <v>0.0357</v>
      </c>
    </row>
    <row r="108" spans="1:19">
      <c r="A108" t="s">
        <v>23</v>
      </c>
      <c r="B108" t="s">
        <v>20</v>
      </c>
      <c r="C108" t="s">
        <v>2145</v>
      </c>
      <c r="D108" t="s">
        <v>225</v>
      </c>
      <c r="G108">
        <f t="shared" si="20"/>
        <v>2.1</v>
      </c>
      <c r="H108">
        <f t="shared" ref="H108:S108" si="29">H109+H111+H113+H115+H117</f>
        <v>0.1715</v>
      </c>
      <c r="I108">
        <f t="shared" si="29"/>
        <v>0.172135</v>
      </c>
      <c r="J108">
        <f t="shared" si="29"/>
        <v>0.172775</v>
      </c>
      <c r="K108">
        <f t="shared" si="29"/>
        <v>0.17341</v>
      </c>
      <c r="L108">
        <f t="shared" si="29"/>
        <v>0.174045</v>
      </c>
      <c r="M108">
        <f t="shared" si="29"/>
        <v>0.17468</v>
      </c>
      <c r="N108">
        <f t="shared" si="29"/>
        <v>0.17532</v>
      </c>
      <c r="O108">
        <f t="shared" si="29"/>
        <v>0.175955</v>
      </c>
      <c r="P108">
        <f t="shared" si="29"/>
        <v>0.17659</v>
      </c>
      <c r="Q108">
        <f t="shared" si="29"/>
        <v>0.177225</v>
      </c>
      <c r="R108">
        <f t="shared" si="29"/>
        <v>0.177865</v>
      </c>
      <c r="S108">
        <f t="shared" si="29"/>
        <v>0.1785</v>
      </c>
    </row>
    <row r="109" spans="1:19">
      <c r="A109" t="s">
        <v>26</v>
      </c>
      <c r="B109" t="s">
        <v>20</v>
      </c>
      <c r="C109" t="s">
        <v>2146</v>
      </c>
      <c r="D109" t="s">
        <v>729</v>
      </c>
      <c r="G109">
        <f t="shared" si="20"/>
        <v>0.42</v>
      </c>
      <c r="H109">
        <f t="shared" ref="H109:S109" si="30">H110</f>
        <v>0.0343</v>
      </c>
      <c r="I109">
        <f t="shared" si="30"/>
        <v>0.034427</v>
      </c>
      <c r="J109">
        <f t="shared" si="30"/>
        <v>0.034555</v>
      </c>
      <c r="K109">
        <f t="shared" si="30"/>
        <v>0.034682</v>
      </c>
      <c r="L109">
        <f t="shared" si="30"/>
        <v>0.034809</v>
      </c>
      <c r="M109">
        <f t="shared" si="30"/>
        <v>0.034936</v>
      </c>
      <c r="N109">
        <f t="shared" si="30"/>
        <v>0.035064</v>
      </c>
      <c r="O109">
        <f t="shared" si="30"/>
        <v>0.035191</v>
      </c>
      <c r="P109">
        <f t="shared" si="30"/>
        <v>0.035318</v>
      </c>
      <c r="Q109">
        <f t="shared" si="30"/>
        <v>0.035445</v>
      </c>
      <c r="R109">
        <f t="shared" si="30"/>
        <v>0.035573</v>
      </c>
      <c r="S109">
        <f t="shared" si="30"/>
        <v>0.0357</v>
      </c>
    </row>
    <row r="110" spans="1:19">
      <c r="A110" t="s">
        <v>60</v>
      </c>
      <c r="B110" t="s">
        <v>179</v>
      </c>
      <c r="C110" t="s">
        <v>2147</v>
      </c>
      <c r="D110" t="s">
        <v>2148</v>
      </c>
      <c r="G110">
        <f t="shared" si="20"/>
        <v>0.42</v>
      </c>
      <c r="H110">
        <v>0.0343</v>
      </c>
      <c r="I110">
        <v>0.034427</v>
      </c>
      <c r="J110">
        <v>0.034555</v>
      </c>
      <c r="K110">
        <v>0.034682</v>
      </c>
      <c r="L110">
        <v>0.034809</v>
      </c>
      <c r="M110">
        <v>0.034936</v>
      </c>
      <c r="N110">
        <v>0.035064</v>
      </c>
      <c r="O110">
        <v>0.035191</v>
      </c>
      <c r="P110">
        <v>0.035318</v>
      </c>
      <c r="Q110">
        <v>0.035445</v>
      </c>
      <c r="R110">
        <v>0.035573</v>
      </c>
      <c r="S110">
        <v>0.0357</v>
      </c>
    </row>
    <row r="111" spans="1:19">
      <c r="A111" t="s">
        <v>26</v>
      </c>
      <c r="B111" t="s">
        <v>20</v>
      </c>
      <c r="C111" t="s">
        <v>2149</v>
      </c>
      <c r="D111" t="s">
        <v>153</v>
      </c>
      <c r="G111">
        <f t="shared" si="20"/>
        <v>0.42</v>
      </c>
      <c r="H111">
        <f t="shared" ref="H111:S111" si="31">H112</f>
        <v>0.0343</v>
      </c>
      <c r="I111">
        <f t="shared" si="31"/>
        <v>0.034427</v>
      </c>
      <c r="J111">
        <f t="shared" si="31"/>
        <v>0.034555</v>
      </c>
      <c r="K111">
        <f t="shared" si="31"/>
        <v>0.034682</v>
      </c>
      <c r="L111">
        <f t="shared" si="31"/>
        <v>0.034809</v>
      </c>
      <c r="M111">
        <f t="shared" si="31"/>
        <v>0.034936</v>
      </c>
      <c r="N111">
        <f t="shared" si="31"/>
        <v>0.035064</v>
      </c>
      <c r="O111">
        <f t="shared" si="31"/>
        <v>0.035191</v>
      </c>
      <c r="P111">
        <f t="shared" si="31"/>
        <v>0.035318</v>
      </c>
      <c r="Q111">
        <f t="shared" si="31"/>
        <v>0.035445</v>
      </c>
      <c r="R111">
        <f t="shared" si="31"/>
        <v>0.035573</v>
      </c>
      <c r="S111">
        <f t="shared" si="31"/>
        <v>0.0357</v>
      </c>
    </row>
    <row r="112" spans="1:19">
      <c r="A112" t="s">
        <v>60</v>
      </c>
      <c r="B112" t="s">
        <v>179</v>
      </c>
      <c r="C112" t="s">
        <v>2150</v>
      </c>
      <c r="D112" t="s">
        <v>2148</v>
      </c>
      <c r="G112">
        <f t="shared" si="20"/>
        <v>0.42</v>
      </c>
      <c r="H112">
        <v>0.0343</v>
      </c>
      <c r="I112">
        <v>0.034427</v>
      </c>
      <c r="J112">
        <v>0.034555</v>
      </c>
      <c r="K112">
        <v>0.034682</v>
      </c>
      <c r="L112">
        <v>0.034809</v>
      </c>
      <c r="M112">
        <v>0.034936</v>
      </c>
      <c r="N112">
        <v>0.035064</v>
      </c>
      <c r="O112">
        <v>0.035191</v>
      </c>
      <c r="P112">
        <v>0.035318</v>
      </c>
      <c r="Q112">
        <v>0.035445</v>
      </c>
      <c r="R112">
        <v>0.035573</v>
      </c>
      <c r="S112">
        <v>0.0357</v>
      </c>
    </row>
    <row r="113" spans="1:19">
      <c r="A113" t="s">
        <v>26</v>
      </c>
      <c r="B113" t="s">
        <v>20</v>
      </c>
      <c r="C113" t="s">
        <v>2151</v>
      </c>
      <c r="D113" t="s">
        <v>734</v>
      </c>
      <c r="G113">
        <f t="shared" si="20"/>
        <v>0.42</v>
      </c>
      <c r="H113">
        <f t="shared" ref="H113:S113" si="32">H114</f>
        <v>0.0343</v>
      </c>
      <c r="I113">
        <f t="shared" si="32"/>
        <v>0.034427</v>
      </c>
      <c r="J113">
        <f t="shared" si="32"/>
        <v>0.034555</v>
      </c>
      <c r="K113">
        <f t="shared" si="32"/>
        <v>0.034682</v>
      </c>
      <c r="L113">
        <f t="shared" si="32"/>
        <v>0.034809</v>
      </c>
      <c r="M113">
        <f t="shared" si="32"/>
        <v>0.034936</v>
      </c>
      <c r="N113">
        <f t="shared" si="32"/>
        <v>0.035064</v>
      </c>
      <c r="O113">
        <f t="shared" si="32"/>
        <v>0.035191</v>
      </c>
      <c r="P113">
        <f t="shared" si="32"/>
        <v>0.035318</v>
      </c>
      <c r="Q113">
        <f t="shared" si="32"/>
        <v>0.035445</v>
      </c>
      <c r="R113">
        <f t="shared" si="32"/>
        <v>0.035573</v>
      </c>
      <c r="S113">
        <f t="shared" si="32"/>
        <v>0.0357</v>
      </c>
    </row>
    <row r="114" spans="1:19">
      <c r="A114" t="s">
        <v>60</v>
      </c>
      <c r="B114" t="s">
        <v>179</v>
      </c>
      <c r="C114" t="s">
        <v>2152</v>
      </c>
      <c r="D114" t="s">
        <v>2148</v>
      </c>
      <c r="G114">
        <f t="shared" si="20"/>
        <v>0.42</v>
      </c>
      <c r="H114">
        <v>0.0343</v>
      </c>
      <c r="I114">
        <v>0.034427</v>
      </c>
      <c r="J114">
        <v>0.034555</v>
      </c>
      <c r="K114">
        <v>0.034682</v>
      </c>
      <c r="L114">
        <v>0.034809</v>
      </c>
      <c r="M114">
        <v>0.034936</v>
      </c>
      <c r="N114">
        <v>0.035064</v>
      </c>
      <c r="O114">
        <v>0.035191</v>
      </c>
      <c r="P114">
        <v>0.035318</v>
      </c>
      <c r="Q114">
        <v>0.035445</v>
      </c>
      <c r="R114">
        <v>0.035573</v>
      </c>
      <c r="S114">
        <v>0.0357</v>
      </c>
    </row>
    <row r="115" spans="1:19">
      <c r="A115" t="s">
        <v>26</v>
      </c>
      <c r="B115" t="s">
        <v>20</v>
      </c>
      <c r="C115" t="s">
        <v>2153</v>
      </c>
      <c r="D115" t="s">
        <v>155</v>
      </c>
      <c r="G115">
        <f t="shared" si="20"/>
        <v>0.42</v>
      </c>
      <c r="H115">
        <f t="shared" ref="H115:S115" si="33">H116</f>
        <v>0.0343</v>
      </c>
      <c r="I115">
        <f t="shared" si="33"/>
        <v>0.034427</v>
      </c>
      <c r="J115">
        <f t="shared" si="33"/>
        <v>0.034555</v>
      </c>
      <c r="K115">
        <f t="shared" si="33"/>
        <v>0.034682</v>
      </c>
      <c r="L115">
        <f t="shared" si="33"/>
        <v>0.034809</v>
      </c>
      <c r="M115">
        <f t="shared" si="33"/>
        <v>0.034936</v>
      </c>
      <c r="N115">
        <f t="shared" si="33"/>
        <v>0.035064</v>
      </c>
      <c r="O115">
        <f t="shared" si="33"/>
        <v>0.035191</v>
      </c>
      <c r="P115">
        <f t="shared" si="33"/>
        <v>0.035318</v>
      </c>
      <c r="Q115">
        <f t="shared" si="33"/>
        <v>0.035445</v>
      </c>
      <c r="R115">
        <f t="shared" si="33"/>
        <v>0.035573</v>
      </c>
      <c r="S115">
        <f t="shared" si="33"/>
        <v>0.0357</v>
      </c>
    </row>
    <row r="116" spans="1:19">
      <c r="A116" t="s">
        <v>60</v>
      </c>
      <c r="B116" t="s">
        <v>179</v>
      </c>
      <c r="C116" t="s">
        <v>2154</v>
      </c>
      <c r="D116" t="s">
        <v>2148</v>
      </c>
      <c r="G116">
        <f t="shared" si="20"/>
        <v>0.42</v>
      </c>
      <c r="H116">
        <v>0.0343</v>
      </c>
      <c r="I116">
        <v>0.034427</v>
      </c>
      <c r="J116">
        <v>0.034555</v>
      </c>
      <c r="K116">
        <v>0.034682</v>
      </c>
      <c r="L116">
        <v>0.034809</v>
      </c>
      <c r="M116">
        <v>0.034936</v>
      </c>
      <c r="N116">
        <v>0.035064</v>
      </c>
      <c r="O116">
        <v>0.035191</v>
      </c>
      <c r="P116">
        <v>0.035318</v>
      </c>
      <c r="Q116">
        <v>0.035445</v>
      </c>
      <c r="R116">
        <v>0.035573</v>
      </c>
      <c r="S116">
        <v>0.0357</v>
      </c>
    </row>
    <row r="117" spans="1:19">
      <c r="A117" t="s">
        <v>26</v>
      </c>
      <c r="B117" t="s">
        <v>20</v>
      </c>
      <c r="C117" t="s">
        <v>2155</v>
      </c>
      <c r="D117" t="s">
        <v>738</v>
      </c>
      <c r="G117">
        <f t="shared" si="20"/>
        <v>0.42</v>
      </c>
      <c r="H117">
        <f t="shared" ref="H117:S117" si="34">H118</f>
        <v>0.0343</v>
      </c>
      <c r="I117">
        <f t="shared" si="34"/>
        <v>0.034427</v>
      </c>
      <c r="J117">
        <f t="shared" si="34"/>
        <v>0.034555</v>
      </c>
      <c r="K117">
        <f t="shared" si="34"/>
        <v>0.034682</v>
      </c>
      <c r="L117">
        <f t="shared" si="34"/>
        <v>0.034809</v>
      </c>
      <c r="M117">
        <f t="shared" si="34"/>
        <v>0.034936</v>
      </c>
      <c r="N117">
        <f t="shared" si="34"/>
        <v>0.035064</v>
      </c>
      <c r="O117">
        <f t="shared" si="34"/>
        <v>0.035191</v>
      </c>
      <c r="P117">
        <f t="shared" si="34"/>
        <v>0.035318</v>
      </c>
      <c r="Q117">
        <f t="shared" si="34"/>
        <v>0.035445</v>
      </c>
      <c r="R117">
        <f t="shared" si="34"/>
        <v>0.035573</v>
      </c>
      <c r="S117">
        <f t="shared" si="34"/>
        <v>0.0357</v>
      </c>
    </row>
    <row r="118" spans="1:19">
      <c r="A118" t="s">
        <v>60</v>
      </c>
      <c r="B118" t="s">
        <v>179</v>
      </c>
      <c r="C118" t="s">
        <v>2156</v>
      </c>
      <c r="D118" t="s">
        <v>2148</v>
      </c>
      <c r="G118">
        <f t="shared" si="20"/>
        <v>0.42</v>
      </c>
      <c r="H118">
        <v>0.0343</v>
      </c>
      <c r="I118">
        <v>0.034427</v>
      </c>
      <c r="J118">
        <v>0.034555</v>
      </c>
      <c r="K118">
        <v>0.034682</v>
      </c>
      <c r="L118">
        <v>0.034809</v>
      </c>
      <c r="M118">
        <v>0.034936</v>
      </c>
      <c r="N118">
        <v>0.035064</v>
      </c>
      <c r="O118">
        <v>0.035191</v>
      </c>
      <c r="P118">
        <v>0.035318</v>
      </c>
      <c r="Q118">
        <v>0.035445</v>
      </c>
      <c r="R118">
        <v>0.035573</v>
      </c>
      <c r="S118">
        <v>0.0357</v>
      </c>
    </row>
    <row r="119" spans="1:19">
      <c r="A119" t="s">
        <v>23</v>
      </c>
      <c r="B119" t="s">
        <v>20</v>
      </c>
      <c r="C119" t="s">
        <v>2157</v>
      </c>
      <c r="D119" t="s">
        <v>235</v>
      </c>
      <c r="G119">
        <f t="shared" si="20"/>
        <v>4.2</v>
      </c>
      <c r="H119">
        <f t="shared" ref="H119:S119" si="35">H120+H122+H124+H126+H128+H130+H132+H134+H136+H138</f>
        <v>0.343</v>
      </c>
      <c r="I119">
        <f t="shared" si="35"/>
        <v>0.34427</v>
      </c>
      <c r="J119">
        <f t="shared" si="35"/>
        <v>0.34555</v>
      </c>
      <c r="K119">
        <f t="shared" si="35"/>
        <v>0.34682</v>
      </c>
      <c r="L119">
        <f t="shared" si="35"/>
        <v>0.34809</v>
      </c>
      <c r="M119">
        <f t="shared" si="35"/>
        <v>0.34936</v>
      </c>
      <c r="N119">
        <f t="shared" si="35"/>
        <v>0.35064</v>
      </c>
      <c r="O119">
        <f t="shared" si="35"/>
        <v>0.35191</v>
      </c>
      <c r="P119">
        <f t="shared" si="35"/>
        <v>0.35318</v>
      </c>
      <c r="Q119">
        <f t="shared" si="35"/>
        <v>0.35445</v>
      </c>
      <c r="R119">
        <f t="shared" si="35"/>
        <v>0.35573</v>
      </c>
      <c r="S119">
        <f t="shared" si="35"/>
        <v>0.357</v>
      </c>
    </row>
    <row r="120" spans="1:19">
      <c r="A120" t="s">
        <v>26</v>
      </c>
      <c r="B120" t="s">
        <v>20</v>
      </c>
      <c r="C120" t="s">
        <v>2158</v>
      </c>
      <c r="D120" t="s">
        <v>2067</v>
      </c>
      <c r="G120">
        <f t="shared" si="20"/>
        <v>0.42</v>
      </c>
      <c r="H120">
        <f t="shared" ref="H120:S120" si="36">H121</f>
        <v>0.0343</v>
      </c>
      <c r="I120">
        <f t="shared" si="36"/>
        <v>0.034427</v>
      </c>
      <c r="J120">
        <f t="shared" si="36"/>
        <v>0.034555</v>
      </c>
      <c r="K120">
        <f t="shared" si="36"/>
        <v>0.034682</v>
      </c>
      <c r="L120">
        <f t="shared" si="36"/>
        <v>0.034809</v>
      </c>
      <c r="M120">
        <f t="shared" si="36"/>
        <v>0.034936</v>
      </c>
      <c r="N120">
        <f t="shared" si="36"/>
        <v>0.035064</v>
      </c>
      <c r="O120">
        <f t="shared" si="36"/>
        <v>0.035191</v>
      </c>
      <c r="P120">
        <f t="shared" si="36"/>
        <v>0.035318</v>
      </c>
      <c r="Q120">
        <f t="shared" si="36"/>
        <v>0.035445</v>
      </c>
      <c r="R120">
        <f t="shared" si="36"/>
        <v>0.035573</v>
      </c>
      <c r="S120">
        <f t="shared" si="36"/>
        <v>0.0357</v>
      </c>
    </row>
    <row r="121" spans="1:19">
      <c r="A121" t="s">
        <v>60</v>
      </c>
      <c r="B121" t="s">
        <v>179</v>
      </c>
      <c r="C121" t="s">
        <v>2159</v>
      </c>
      <c r="D121" t="s">
        <v>2148</v>
      </c>
      <c r="G121">
        <f t="shared" si="20"/>
        <v>0.42</v>
      </c>
      <c r="H121">
        <v>0.0343</v>
      </c>
      <c r="I121">
        <v>0.034427</v>
      </c>
      <c r="J121">
        <v>0.034555</v>
      </c>
      <c r="K121">
        <v>0.034682</v>
      </c>
      <c r="L121">
        <v>0.034809</v>
      </c>
      <c r="M121">
        <v>0.034936</v>
      </c>
      <c r="N121">
        <v>0.035064</v>
      </c>
      <c r="O121">
        <v>0.035191</v>
      </c>
      <c r="P121">
        <v>0.035318</v>
      </c>
      <c r="Q121">
        <v>0.035445</v>
      </c>
      <c r="R121">
        <v>0.035573</v>
      </c>
      <c r="S121">
        <v>0.0357</v>
      </c>
    </row>
    <row r="122" spans="1:19">
      <c r="A122" t="s">
        <v>26</v>
      </c>
      <c r="B122" t="s">
        <v>20</v>
      </c>
      <c r="C122" t="s">
        <v>2160</v>
      </c>
      <c r="D122" t="s">
        <v>2073</v>
      </c>
      <c r="G122">
        <f t="shared" si="20"/>
        <v>0.42</v>
      </c>
      <c r="H122">
        <f t="shared" ref="H122:S122" si="37">H123</f>
        <v>0.0343</v>
      </c>
      <c r="I122">
        <f t="shared" si="37"/>
        <v>0.034427</v>
      </c>
      <c r="J122">
        <f t="shared" si="37"/>
        <v>0.034555</v>
      </c>
      <c r="K122">
        <f t="shared" si="37"/>
        <v>0.034682</v>
      </c>
      <c r="L122">
        <f t="shared" si="37"/>
        <v>0.034809</v>
      </c>
      <c r="M122">
        <f t="shared" si="37"/>
        <v>0.034936</v>
      </c>
      <c r="N122">
        <f t="shared" si="37"/>
        <v>0.035064</v>
      </c>
      <c r="O122">
        <f t="shared" si="37"/>
        <v>0.035191</v>
      </c>
      <c r="P122">
        <f t="shared" si="37"/>
        <v>0.035318</v>
      </c>
      <c r="Q122">
        <f t="shared" si="37"/>
        <v>0.035445</v>
      </c>
      <c r="R122">
        <f t="shared" si="37"/>
        <v>0.035573</v>
      </c>
      <c r="S122">
        <f t="shared" si="37"/>
        <v>0.0357</v>
      </c>
    </row>
    <row r="123" spans="1:19">
      <c r="A123" t="s">
        <v>60</v>
      </c>
      <c r="B123" t="s">
        <v>179</v>
      </c>
      <c r="C123" t="s">
        <v>2161</v>
      </c>
      <c r="D123" t="s">
        <v>2148</v>
      </c>
      <c r="G123">
        <f t="shared" si="20"/>
        <v>0.42</v>
      </c>
      <c r="H123">
        <v>0.0343</v>
      </c>
      <c r="I123">
        <v>0.034427</v>
      </c>
      <c r="J123">
        <v>0.034555</v>
      </c>
      <c r="K123">
        <v>0.034682</v>
      </c>
      <c r="L123">
        <v>0.034809</v>
      </c>
      <c r="M123">
        <v>0.034936</v>
      </c>
      <c r="N123">
        <v>0.035064</v>
      </c>
      <c r="O123">
        <v>0.035191</v>
      </c>
      <c r="P123">
        <v>0.035318</v>
      </c>
      <c r="Q123">
        <v>0.035445</v>
      </c>
      <c r="R123">
        <v>0.035573</v>
      </c>
      <c r="S123">
        <v>0.0357</v>
      </c>
    </row>
    <row r="124" spans="1:19">
      <c r="A124" t="s">
        <v>26</v>
      </c>
      <c r="B124" t="s">
        <v>20</v>
      </c>
      <c r="C124" t="s">
        <v>2162</v>
      </c>
      <c r="D124" t="s">
        <v>2075</v>
      </c>
      <c r="G124">
        <f t="shared" si="20"/>
        <v>0.42</v>
      </c>
      <c r="H124">
        <f t="shared" ref="H124:S124" si="38">H125</f>
        <v>0.0343</v>
      </c>
      <c r="I124">
        <f t="shared" si="38"/>
        <v>0.034427</v>
      </c>
      <c r="J124">
        <f t="shared" si="38"/>
        <v>0.034555</v>
      </c>
      <c r="K124">
        <f t="shared" si="38"/>
        <v>0.034682</v>
      </c>
      <c r="L124">
        <f t="shared" si="38"/>
        <v>0.034809</v>
      </c>
      <c r="M124">
        <f t="shared" si="38"/>
        <v>0.034936</v>
      </c>
      <c r="N124">
        <f t="shared" si="38"/>
        <v>0.035064</v>
      </c>
      <c r="O124">
        <f t="shared" si="38"/>
        <v>0.035191</v>
      </c>
      <c r="P124">
        <f t="shared" si="38"/>
        <v>0.035318</v>
      </c>
      <c r="Q124">
        <f t="shared" si="38"/>
        <v>0.035445</v>
      </c>
      <c r="R124">
        <f t="shared" si="38"/>
        <v>0.035573</v>
      </c>
      <c r="S124">
        <f t="shared" si="38"/>
        <v>0.0357</v>
      </c>
    </row>
    <row r="125" spans="1:19">
      <c r="A125" t="s">
        <v>60</v>
      </c>
      <c r="B125" t="s">
        <v>179</v>
      </c>
      <c r="C125" t="s">
        <v>2163</v>
      </c>
      <c r="D125" t="s">
        <v>2148</v>
      </c>
      <c r="G125">
        <f t="shared" si="20"/>
        <v>0.42</v>
      </c>
      <c r="H125">
        <v>0.0343</v>
      </c>
      <c r="I125">
        <v>0.034427</v>
      </c>
      <c r="J125">
        <v>0.034555</v>
      </c>
      <c r="K125">
        <v>0.034682</v>
      </c>
      <c r="L125">
        <v>0.034809</v>
      </c>
      <c r="M125">
        <v>0.034936</v>
      </c>
      <c r="N125">
        <v>0.035064</v>
      </c>
      <c r="O125">
        <v>0.035191</v>
      </c>
      <c r="P125">
        <v>0.035318</v>
      </c>
      <c r="Q125">
        <v>0.035445</v>
      </c>
      <c r="R125">
        <v>0.035573</v>
      </c>
      <c r="S125">
        <v>0.0357</v>
      </c>
    </row>
    <row r="126" spans="1:19">
      <c r="A126" t="s">
        <v>26</v>
      </c>
      <c r="B126" t="s">
        <v>20</v>
      </c>
      <c r="C126" t="s">
        <v>2164</v>
      </c>
      <c r="D126" t="s">
        <v>2077</v>
      </c>
      <c r="G126">
        <f t="shared" si="20"/>
        <v>0.42</v>
      </c>
      <c r="H126">
        <f t="shared" ref="H126:S126" si="39">H127</f>
        <v>0.0343</v>
      </c>
      <c r="I126">
        <f t="shared" si="39"/>
        <v>0.034427</v>
      </c>
      <c r="J126">
        <f t="shared" si="39"/>
        <v>0.034555</v>
      </c>
      <c r="K126">
        <f t="shared" si="39"/>
        <v>0.034682</v>
      </c>
      <c r="L126">
        <f t="shared" si="39"/>
        <v>0.034809</v>
      </c>
      <c r="M126">
        <f t="shared" si="39"/>
        <v>0.034936</v>
      </c>
      <c r="N126">
        <f t="shared" si="39"/>
        <v>0.035064</v>
      </c>
      <c r="O126">
        <f t="shared" si="39"/>
        <v>0.035191</v>
      </c>
      <c r="P126">
        <f t="shared" si="39"/>
        <v>0.035318</v>
      </c>
      <c r="Q126">
        <f t="shared" si="39"/>
        <v>0.035445</v>
      </c>
      <c r="R126">
        <f t="shared" si="39"/>
        <v>0.035573</v>
      </c>
      <c r="S126">
        <f t="shared" si="39"/>
        <v>0.0357</v>
      </c>
    </row>
    <row r="127" spans="1:19">
      <c r="A127" t="s">
        <v>60</v>
      </c>
      <c r="B127" t="s">
        <v>179</v>
      </c>
      <c r="C127" t="s">
        <v>2165</v>
      </c>
      <c r="D127" t="s">
        <v>2148</v>
      </c>
      <c r="G127">
        <f t="shared" si="20"/>
        <v>0.42</v>
      </c>
      <c r="H127">
        <v>0.0343</v>
      </c>
      <c r="I127">
        <v>0.034427</v>
      </c>
      <c r="J127">
        <v>0.034555</v>
      </c>
      <c r="K127">
        <v>0.034682</v>
      </c>
      <c r="L127">
        <v>0.034809</v>
      </c>
      <c r="M127">
        <v>0.034936</v>
      </c>
      <c r="N127">
        <v>0.035064</v>
      </c>
      <c r="O127">
        <v>0.035191</v>
      </c>
      <c r="P127">
        <v>0.035318</v>
      </c>
      <c r="Q127">
        <v>0.035445</v>
      </c>
      <c r="R127">
        <v>0.035573</v>
      </c>
      <c r="S127">
        <v>0.0357</v>
      </c>
    </row>
    <row r="128" spans="1:19">
      <c r="A128" t="s">
        <v>26</v>
      </c>
      <c r="B128" t="s">
        <v>20</v>
      </c>
      <c r="C128" t="s">
        <v>2166</v>
      </c>
      <c r="D128" t="s">
        <v>2079</v>
      </c>
      <c r="G128">
        <f t="shared" si="20"/>
        <v>0.42</v>
      </c>
      <c r="H128">
        <f t="shared" ref="H128:S128" si="40">H129</f>
        <v>0.0343</v>
      </c>
      <c r="I128">
        <f t="shared" si="40"/>
        <v>0.034427</v>
      </c>
      <c r="J128">
        <f t="shared" si="40"/>
        <v>0.034555</v>
      </c>
      <c r="K128">
        <f t="shared" si="40"/>
        <v>0.034682</v>
      </c>
      <c r="L128">
        <f t="shared" si="40"/>
        <v>0.034809</v>
      </c>
      <c r="M128">
        <f t="shared" si="40"/>
        <v>0.034936</v>
      </c>
      <c r="N128">
        <f t="shared" si="40"/>
        <v>0.035064</v>
      </c>
      <c r="O128">
        <f t="shared" si="40"/>
        <v>0.035191</v>
      </c>
      <c r="P128">
        <f t="shared" si="40"/>
        <v>0.035318</v>
      </c>
      <c r="Q128">
        <f t="shared" si="40"/>
        <v>0.035445</v>
      </c>
      <c r="R128">
        <f t="shared" si="40"/>
        <v>0.035573</v>
      </c>
      <c r="S128">
        <f t="shared" si="40"/>
        <v>0.0357</v>
      </c>
    </row>
    <row r="129" spans="1:19">
      <c r="A129" t="s">
        <v>60</v>
      </c>
      <c r="B129" t="s">
        <v>179</v>
      </c>
      <c r="C129" t="s">
        <v>2167</v>
      </c>
      <c r="D129" t="s">
        <v>2148</v>
      </c>
      <c r="G129">
        <f t="shared" si="20"/>
        <v>0.42</v>
      </c>
      <c r="H129">
        <v>0.0343</v>
      </c>
      <c r="I129">
        <v>0.034427</v>
      </c>
      <c r="J129">
        <v>0.034555</v>
      </c>
      <c r="K129">
        <v>0.034682</v>
      </c>
      <c r="L129">
        <v>0.034809</v>
      </c>
      <c r="M129">
        <v>0.034936</v>
      </c>
      <c r="N129">
        <v>0.035064</v>
      </c>
      <c r="O129">
        <v>0.035191</v>
      </c>
      <c r="P129">
        <v>0.035318</v>
      </c>
      <c r="Q129">
        <v>0.035445</v>
      </c>
      <c r="R129">
        <v>0.035573</v>
      </c>
      <c r="S129">
        <v>0.0357</v>
      </c>
    </row>
    <row r="130" spans="1:19">
      <c r="A130" t="s">
        <v>26</v>
      </c>
      <c r="B130" t="s">
        <v>20</v>
      </c>
      <c r="C130" t="s">
        <v>2168</v>
      </c>
      <c r="D130" t="s">
        <v>2081</v>
      </c>
      <c r="G130">
        <f t="shared" ref="G130:G193" si="41">H130+I130+J130+K130+L130+M130+N130+O130+P130+Q130+R130+S130</f>
        <v>0.42</v>
      </c>
      <c r="H130">
        <f t="shared" ref="H130:S130" si="42">H131</f>
        <v>0.0343</v>
      </c>
      <c r="I130">
        <f t="shared" si="42"/>
        <v>0.034427</v>
      </c>
      <c r="J130">
        <f t="shared" si="42"/>
        <v>0.034555</v>
      </c>
      <c r="K130">
        <f t="shared" si="42"/>
        <v>0.034682</v>
      </c>
      <c r="L130">
        <f t="shared" si="42"/>
        <v>0.034809</v>
      </c>
      <c r="M130">
        <f t="shared" si="42"/>
        <v>0.034936</v>
      </c>
      <c r="N130">
        <f t="shared" si="42"/>
        <v>0.035064</v>
      </c>
      <c r="O130">
        <f t="shared" si="42"/>
        <v>0.035191</v>
      </c>
      <c r="P130">
        <f t="shared" si="42"/>
        <v>0.035318</v>
      </c>
      <c r="Q130">
        <f t="shared" si="42"/>
        <v>0.035445</v>
      </c>
      <c r="R130">
        <f t="shared" si="42"/>
        <v>0.035573</v>
      </c>
      <c r="S130">
        <f t="shared" si="42"/>
        <v>0.0357</v>
      </c>
    </row>
    <row r="131" spans="1:19">
      <c r="A131" t="s">
        <v>60</v>
      </c>
      <c r="B131" t="s">
        <v>179</v>
      </c>
      <c r="C131" t="s">
        <v>2169</v>
      </c>
      <c r="D131" t="s">
        <v>2148</v>
      </c>
      <c r="G131">
        <f t="shared" si="41"/>
        <v>0.42</v>
      </c>
      <c r="H131">
        <v>0.0343</v>
      </c>
      <c r="I131">
        <v>0.034427</v>
      </c>
      <c r="J131">
        <v>0.034555</v>
      </c>
      <c r="K131">
        <v>0.034682</v>
      </c>
      <c r="L131">
        <v>0.034809</v>
      </c>
      <c r="M131">
        <v>0.034936</v>
      </c>
      <c r="N131">
        <v>0.035064</v>
      </c>
      <c r="O131">
        <v>0.035191</v>
      </c>
      <c r="P131">
        <v>0.035318</v>
      </c>
      <c r="Q131">
        <v>0.035445</v>
      </c>
      <c r="R131">
        <v>0.035573</v>
      </c>
      <c r="S131">
        <v>0.0357</v>
      </c>
    </row>
    <row r="132" spans="1:19">
      <c r="A132" t="s">
        <v>26</v>
      </c>
      <c r="B132" t="s">
        <v>20</v>
      </c>
      <c r="C132" t="s">
        <v>2170</v>
      </c>
      <c r="D132" t="s">
        <v>2083</v>
      </c>
      <c r="G132">
        <f t="shared" si="41"/>
        <v>0.42</v>
      </c>
      <c r="H132">
        <f t="shared" ref="H132:S132" si="43">H133</f>
        <v>0.0343</v>
      </c>
      <c r="I132">
        <f t="shared" si="43"/>
        <v>0.034427</v>
      </c>
      <c r="J132">
        <f t="shared" si="43"/>
        <v>0.034555</v>
      </c>
      <c r="K132">
        <f t="shared" si="43"/>
        <v>0.034682</v>
      </c>
      <c r="L132">
        <f t="shared" si="43"/>
        <v>0.034809</v>
      </c>
      <c r="M132">
        <f t="shared" si="43"/>
        <v>0.034936</v>
      </c>
      <c r="N132">
        <f t="shared" si="43"/>
        <v>0.035064</v>
      </c>
      <c r="O132">
        <f t="shared" si="43"/>
        <v>0.035191</v>
      </c>
      <c r="P132">
        <f t="shared" si="43"/>
        <v>0.035318</v>
      </c>
      <c r="Q132">
        <f t="shared" si="43"/>
        <v>0.035445</v>
      </c>
      <c r="R132">
        <f t="shared" si="43"/>
        <v>0.035573</v>
      </c>
      <c r="S132">
        <f t="shared" si="43"/>
        <v>0.0357</v>
      </c>
    </row>
    <row r="133" spans="1:19">
      <c r="A133" t="s">
        <v>60</v>
      </c>
      <c r="B133" t="s">
        <v>179</v>
      </c>
      <c r="C133" t="s">
        <v>2171</v>
      </c>
      <c r="D133" t="s">
        <v>2148</v>
      </c>
      <c r="G133">
        <f t="shared" si="41"/>
        <v>0.42</v>
      </c>
      <c r="H133">
        <v>0.0343</v>
      </c>
      <c r="I133">
        <v>0.034427</v>
      </c>
      <c r="J133">
        <v>0.034555</v>
      </c>
      <c r="K133">
        <v>0.034682</v>
      </c>
      <c r="L133">
        <v>0.034809</v>
      </c>
      <c r="M133">
        <v>0.034936</v>
      </c>
      <c r="N133">
        <v>0.035064</v>
      </c>
      <c r="O133">
        <v>0.035191</v>
      </c>
      <c r="P133">
        <v>0.035318</v>
      </c>
      <c r="Q133">
        <v>0.035445</v>
      </c>
      <c r="R133">
        <v>0.035573</v>
      </c>
      <c r="S133">
        <v>0.0357</v>
      </c>
    </row>
    <row r="134" spans="1:19">
      <c r="A134" t="s">
        <v>26</v>
      </c>
      <c r="B134" t="s">
        <v>20</v>
      </c>
      <c r="C134" t="s">
        <v>2172</v>
      </c>
      <c r="D134" t="s">
        <v>2085</v>
      </c>
      <c r="G134">
        <f t="shared" si="41"/>
        <v>0.42</v>
      </c>
      <c r="H134">
        <f t="shared" ref="H134:S134" si="44">H135</f>
        <v>0.0343</v>
      </c>
      <c r="I134">
        <f t="shared" si="44"/>
        <v>0.034427</v>
      </c>
      <c r="J134">
        <f t="shared" si="44"/>
        <v>0.034555</v>
      </c>
      <c r="K134">
        <f t="shared" si="44"/>
        <v>0.034682</v>
      </c>
      <c r="L134">
        <f t="shared" si="44"/>
        <v>0.034809</v>
      </c>
      <c r="M134">
        <f t="shared" si="44"/>
        <v>0.034936</v>
      </c>
      <c r="N134">
        <f t="shared" si="44"/>
        <v>0.035064</v>
      </c>
      <c r="O134">
        <f t="shared" si="44"/>
        <v>0.035191</v>
      </c>
      <c r="P134">
        <f t="shared" si="44"/>
        <v>0.035318</v>
      </c>
      <c r="Q134">
        <f t="shared" si="44"/>
        <v>0.035445</v>
      </c>
      <c r="R134">
        <f t="shared" si="44"/>
        <v>0.035573</v>
      </c>
      <c r="S134">
        <f t="shared" si="44"/>
        <v>0.0357</v>
      </c>
    </row>
    <row r="135" spans="1:19">
      <c r="A135" t="s">
        <v>60</v>
      </c>
      <c r="B135" t="s">
        <v>179</v>
      </c>
      <c r="C135" t="s">
        <v>2173</v>
      </c>
      <c r="D135" t="s">
        <v>2148</v>
      </c>
      <c r="G135">
        <f t="shared" si="41"/>
        <v>0.42</v>
      </c>
      <c r="H135">
        <v>0.0343</v>
      </c>
      <c r="I135">
        <v>0.034427</v>
      </c>
      <c r="J135">
        <v>0.034555</v>
      </c>
      <c r="K135">
        <v>0.034682</v>
      </c>
      <c r="L135">
        <v>0.034809</v>
      </c>
      <c r="M135">
        <v>0.034936</v>
      </c>
      <c r="N135">
        <v>0.035064</v>
      </c>
      <c r="O135">
        <v>0.035191</v>
      </c>
      <c r="P135">
        <v>0.035318</v>
      </c>
      <c r="Q135">
        <v>0.035445</v>
      </c>
      <c r="R135">
        <v>0.035573</v>
      </c>
      <c r="S135">
        <v>0.0357</v>
      </c>
    </row>
    <row r="136" spans="1:19">
      <c r="A136" t="s">
        <v>26</v>
      </c>
      <c r="B136" t="s">
        <v>20</v>
      </c>
      <c r="C136" t="s">
        <v>2174</v>
      </c>
      <c r="D136" t="s">
        <v>2175</v>
      </c>
      <c r="G136">
        <f t="shared" si="41"/>
        <v>0.42</v>
      </c>
      <c r="H136">
        <f t="shared" ref="H136:S136" si="45">H137</f>
        <v>0.0343</v>
      </c>
      <c r="I136">
        <f t="shared" si="45"/>
        <v>0.034427</v>
      </c>
      <c r="J136">
        <f t="shared" si="45"/>
        <v>0.034555</v>
      </c>
      <c r="K136">
        <f t="shared" si="45"/>
        <v>0.034682</v>
      </c>
      <c r="L136">
        <f t="shared" si="45"/>
        <v>0.034809</v>
      </c>
      <c r="M136">
        <f t="shared" si="45"/>
        <v>0.034936</v>
      </c>
      <c r="N136">
        <f t="shared" si="45"/>
        <v>0.035064</v>
      </c>
      <c r="O136">
        <f t="shared" si="45"/>
        <v>0.035191</v>
      </c>
      <c r="P136">
        <f t="shared" si="45"/>
        <v>0.035318</v>
      </c>
      <c r="Q136">
        <f t="shared" si="45"/>
        <v>0.035445</v>
      </c>
      <c r="R136">
        <f t="shared" si="45"/>
        <v>0.035573</v>
      </c>
      <c r="S136">
        <f t="shared" si="45"/>
        <v>0.0357</v>
      </c>
    </row>
    <row r="137" spans="1:19">
      <c r="A137" t="s">
        <v>60</v>
      </c>
      <c r="B137" t="s">
        <v>179</v>
      </c>
      <c r="C137" t="s">
        <v>2176</v>
      </c>
      <c r="D137" t="s">
        <v>2148</v>
      </c>
      <c r="G137">
        <f t="shared" si="41"/>
        <v>0.42</v>
      </c>
      <c r="H137">
        <v>0.0343</v>
      </c>
      <c r="I137">
        <v>0.034427</v>
      </c>
      <c r="J137">
        <v>0.034555</v>
      </c>
      <c r="K137">
        <v>0.034682</v>
      </c>
      <c r="L137">
        <v>0.034809</v>
      </c>
      <c r="M137">
        <v>0.034936</v>
      </c>
      <c r="N137">
        <v>0.035064</v>
      </c>
      <c r="O137">
        <v>0.035191</v>
      </c>
      <c r="P137">
        <v>0.035318</v>
      </c>
      <c r="Q137">
        <v>0.035445</v>
      </c>
      <c r="R137">
        <v>0.035573</v>
      </c>
      <c r="S137">
        <v>0.0357</v>
      </c>
    </row>
    <row r="138" spans="1:19">
      <c r="A138" t="s">
        <v>26</v>
      </c>
      <c r="B138" t="s">
        <v>20</v>
      </c>
      <c r="C138" t="s">
        <v>2177</v>
      </c>
      <c r="D138" t="s">
        <v>2090</v>
      </c>
      <c r="G138">
        <f t="shared" si="41"/>
        <v>0.42</v>
      </c>
      <c r="H138">
        <f t="shared" ref="H138:S138" si="46">H139</f>
        <v>0.0343</v>
      </c>
      <c r="I138">
        <f t="shared" si="46"/>
        <v>0.034427</v>
      </c>
      <c r="J138">
        <f t="shared" si="46"/>
        <v>0.034555</v>
      </c>
      <c r="K138">
        <f t="shared" si="46"/>
        <v>0.034682</v>
      </c>
      <c r="L138">
        <f t="shared" si="46"/>
        <v>0.034809</v>
      </c>
      <c r="M138">
        <f t="shared" si="46"/>
        <v>0.034936</v>
      </c>
      <c r="N138">
        <f t="shared" si="46"/>
        <v>0.035064</v>
      </c>
      <c r="O138">
        <f t="shared" si="46"/>
        <v>0.035191</v>
      </c>
      <c r="P138">
        <f t="shared" si="46"/>
        <v>0.035318</v>
      </c>
      <c r="Q138">
        <f t="shared" si="46"/>
        <v>0.035445</v>
      </c>
      <c r="R138">
        <f t="shared" si="46"/>
        <v>0.035573</v>
      </c>
      <c r="S138">
        <f t="shared" si="46"/>
        <v>0.0357</v>
      </c>
    </row>
    <row r="139" spans="1:19">
      <c r="A139" t="s">
        <v>60</v>
      </c>
      <c r="B139" t="s">
        <v>179</v>
      </c>
      <c r="C139" t="s">
        <v>2178</v>
      </c>
      <c r="D139" t="s">
        <v>2148</v>
      </c>
      <c r="G139">
        <f t="shared" si="41"/>
        <v>0.42</v>
      </c>
      <c r="H139">
        <v>0.0343</v>
      </c>
      <c r="I139">
        <v>0.034427</v>
      </c>
      <c r="J139">
        <v>0.034555</v>
      </c>
      <c r="K139">
        <v>0.034682</v>
      </c>
      <c r="L139">
        <v>0.034809</v>
      </c>
      <c r="M139">
        <v>0.034936</v>
      </c>
      <c r="N139">
        <v>0.035064</v>
      </c>
      <c r="O139">
        <v>0.035191</v>
      </c>
      <c r="P139">
        <v>0.035318</v>
      </c>
      <c r="Q139">
        <v>0.035445</v>
      </c>
      <c r="R139">
        <v>0.035573</v>
      </c>
      <c r="S139">
        <v>0.0357</v>
      </c>
    </row>
    <row r="140" spans="1:19">
      <c r="A140" t="s">
        <v>19</v>
      </c>
      <c r="B140" t="s">
        <v>35</v>
      </c>
      <c r="C140" t="s">
        <v>2179</v>
      </c>
      <c r="D140" t="s">
        <v>241</v>
      </c>
      <c r="G140">
        <f t="shared" si="41"/>
        <v>15300000005.1</v>
      </c>
      <c r="H140">
        <f t="shared" ref="H140:S140" si="47">H141+H143+H154</f>
        <v>0.4165</v>
      </c>
      <c r="I140">
        <f t="shared" si="47"/>
        <v>0.418047</v>
      </c>
      <c r="J140">
        <f t="shared" si="47"/>
        <v>0.419594</v>
      </c>
      <c r="K140">
        <f t="shared" si="47"/>
        <v>1660000000.42114</v>
      </c>
      <c r="L140">
        <f t="shared" si="47"/>
        <v>1700000000.42269</v>
      </c>
      <c r="M140">
        <f t="shared" si="47"/>
        <v>1740000000.42423</v>
      </c>
      <c r="N140">
        <f t="shared" si="47"/>
        <v>1760000000.42577</v>
      </c>
      <c r="O140">
        <f t="shared" si="47"/>
        <v>1720000000.42731</v>
      </c>
      <c r="P140">
        <f t="shared" si="47"/>
        <v>1680000000.42886</v>
      </c>
      <c r="Q140">
        <f t="shared" si="47"/>
        <v>1660000000.43041</v>
      </c>
      <c r="R140">
        <f t="shared" si="47"/>
        <v>1640000000.43195</v>
      </c>
      <c r="S140">
        <f t="shared" si="47"/>
        <v>1740000000.4335</v>
      </c>
    </row>
    <row r="141" spans="1:19">
      <c r="A141" t="s">
        <v>23</v>
      </c>
      <c r="B141" t="s">
        <v>35</v>
      </c>
      <c r="C141" t="s">
        <v>2180</v>
      </c>
      <c r="D141" t="s">
        <v>243</v>
      </c>
      <c r="G141">
        <f t="shared" si="41"/>
        <v>0.3</v>
      </c>
      <c r="H141">
        <f t="shared" ref="H141:S141" si="48">H142</f>
        <v>0.0245</v>
      </c>
      <c r="I141">
        <f t="shared" si="48"/>
        <v>0.024591</v>
      </c>
      <c r="J141">
        <f t="shared" si="48"/>
        <v>0.024682</v>
      </c>
      <c r="K141">
        <f t="shared" si="48"/>
        <v>0.024773</v>
      </c>
      <c r="L141">
        <f t="shared" si="48"/>
        <v>0.024864</v>
      </c>
      <c r="M141">
        <f t="shared" si="48"/>
        <v>0.024955</v>
      </c>
      <c r="N141">
        <f t="shared" si="48"/>
        <v>0.025045</v>
      </c>
      <c r="O141">
        <f t="shared" si="48"/>
        <v>0.025136</v>
      </c>
      <c r="P141">
        <f t="shared" si="48"/>
        <v>0.025227</v>
      </c>
      <c r="Q141">
        <f t="shared" si="48"/>
        <v>0.025318</v>
      </c>
      <c r="R141">
        <f t="shared" si="48"/>
        <v>0.025409</v>
      </c>
      <c r="S141">
        <f t="shared" si="48"/>
        <v>0.0255</v>
      </c>
    </row>
    <row r="142" spans="1:19">
      <c r="A142" t="s">
        <v>26</v>
      </c>
      <c r="B142" t="s">
        <v>179</v>
      </c>
      <c r="C142" t="s">
        <v>2181</v>
      </c>
      <c r="D142" t="s">
        <v>1491</v>
      </c>
      <c r="G142">
        <f t="shared" si="41"/>
        <v>0.3</v>
      </c>
      <c r="H142">
        <v>0.0245</v>
      </c>
      <c r="I142">
        <v>0.024591</v>
      </c>
      <c r="J142">
        <v>0.024682</v>
      </c>
      <c r="K142">
        <v>0.024773</v>
      </c>
      <c r="L142">
        <v>0.024864</v>
      </c>
      <c r="M142">
        <v>0.024955</v>
      </c>
      <c r="N142">
        <v>0.025045</v>
      </c>
      <c r="O142">
        <v>0.025136</v>
      </c>
      <c r="P142">
        <v>0.025227</v>
      </c>
      <c r="Q142">
        <v>0.025318</v>
      </c>
      <c r="R142">
        <v>0.025409</v>
      </c>
      <c r="S142">
        <v>0.0255</v>
      </c>
    </row>
    <row r="143" spans="1:19">
      <c r="A143" t="s">
        <v>23</v>
      </c>
      <c r="B143" t="s">
        <v>35</v>
      </c>
      <c r="C143" t="s">
        <v>2182</v>
      </c>
      <c r="D143" t="s">
        <v>265</v>
      </c>
      <c r="G143">
        <f t="shared" si="41"/>
        <v>1.5</v>
      </c>
      <c r="H143">
        <f t="shared" ref="H143:S143" si="49">H144+H146+H148+H150+H152</f>
        <v>0.1225</v>
      </c>
      <c r="I143">
        <f t="shared" si="49"/>
        <v>0.122955</v>
      </c>
      <c r="J143">
        <f t="shared" si="49"/>
        <v>0.12341</v>
      </c>
      <c r="K143">
        <f t="shared" si="49"/>
        <v>0.123865</v>
      </c>
      <c r="L143">
        <f t="shared" si="49"/>
        <v>0.12432</v>
      </c>
      <c r="M143">
        <f t="shared" si="49"/>
        <v>0.124775</v>
      </c>
      <c r="N143">
        <f t="shared" si="49"/>
        <v>0.125225</v>
      </c>
      <c r="O143">
        <f t="shared" si="49"/>
        <v>0.12568</v>
      </c>
      <c r="P143">
        <f t="shared" si="49"/>
        <v>0.126135</v>
      </c>
      <c r="Q143">
        <f t="shared" si="49"/>
        <v>0.12659</v>
      </c>
      <c r="R143">
        <f t="shared" si="49"/>
        <v>0.127045</v>
      </c>
      <c r="S143">
        <f t="shared" si="49"/>
        <v>0.1275</v>
      </c>
    </row>
    <row r="144" spans="1:19">
      <c r="A144" t="s">
        <v>26</v>
      </c>
      <c r="B144" t="s">
        <v>35</v>
      </c>
      <c r="C144" t="s">
        <v>2183</v>
      </c>
      <c r="D144" t="s">
        <v>729</v>
      </c>
      <c r="G144">
        <f t="shared" si="41"/>
        <v>0.3</v>
      </c>
      <c r="H144">
        <f t="shared" ref="H144:S144" si="50">H145</f>
        <v>0.0245</v>
      </c>
      <c r="I144">
        <f t="shared" si="50"/>
        <v>0.024591</v>
      </c>
      <c r="J144">
        <f t="shared" si="50"/>
        <v>0.024682</v>
      </c>
      <c r="K144">
        <f t="shared" si="50"/>
        <v>0.024773</v>
      </c>
      <c r="L144">
        <f t="shared" si="50"/>
        <v>0.024864</v>
      </c>
      <c r="M144">
        <f t="shared" si="50"/>
        <v>0.024955</v>
      </c>
      <c r="N144">
        <f t="shared" si="50"/>
        <v>0.025045</v>
      </c>
      <c r="O144">
        <f t="shared" si="50"/>
        <v>0.025136</v>
      </c>
      <c r="P144">
        <f t="shared" si="50"/>
        <v>0.025227</v>
      </c>
      <c r="Q144">
        <f t="shared" si="50"/>
        <v>0.025318</v>
      </c>
      <c r="R144">
        <f t="shared" si="50"/>
        <v>0.025409</v>
      </c>
      <c r="S144">
        <f t="shared" si="50"/>
        <v>0.0255</v>
      </c>
    </row>
    <row r="145" spans="1:19">
      <c r="A145" t="s">
        <v>60</v>
      </c>
      <c r="B145" t="s">
        <v>179</v>
      </c>
      <c r="C145" t="s">
        <v>2184</v>
      </c>
      <c r="D145" t="s">
        <v>2185</v>
      </c>
      <c r="G145">
        <f t="shared" si="41"/>
        <v>0.3</v>
      </c>
      <c r="H145">
        <v>0.0245</v>
      </c>
      <c r="I145">
        <v>0.024591</v>
      </c>
      <c r="J145">
        <v>0.024682</v>
      </c>
      <c r="K145">
        <v>0.024773</v>
      </c>
      <c r="L145">
        <v>0.024864</v>
      </c>
      <c r="M145">
        <v>0.024955</v>
      </c>
      <c r="N145">
        <v>0.025045</v>
      </c>
      <c r="O145">
        <v>0.025136</v>
      </c>
      <c r="P145">
        <v>0.025227</v>
      </c>
      <c r="Q145">
        <v>0.025318</v>
      </c>
      <c r="R145">
        <v>0.025409</v>
      </c>
      <c r="S145">
        <v>0.0255</v>
      </c>
    </row>
    <row r="146" spans="1:19">
      <c r="A146" t="s">
        <v>26</v>
      </c>
      <c r="B146" t="s">
        <v>35</v>
      </c>
      <c r="C146" t="s">
        <v>2186</v>
      </c>
      <c r="D146" t="s">
        <v>153</v>
      </c>
      <c r="G146">
        <f t="shared" si="41"/>
        <v>0.3</v>
      </c>
      <c r="H146">
        <f t="shared" ref="H146:S146" si="51">H147</f>
        <v>0.0245</v>
      </c>
      <c r="I146">
        <f t="shared" si="51"/>
        <v>0.024591</v>
      </c>
      <c r="J146">
        <f t="shared" si="51"/>
        <v>0.024682</v>
      </c>
      <c r="K146">
        <f t="shared" si="51"/>
        <v>0.024773</v>
      </c>
      <c r="L146">
        <f t="shared" si="51"/>
        <v>0.024864</v>
      </c>
      <c r="M146">
        <f t="shared" si="51"/>
        <v>0.024955</v>
      </c>
      <c r="N146">
        <f t="shared" si="51"/>
        <v>0.025045</v>
      </c>
      <c r="O146">
        <f t="shared" si="51"/>
        <v>0.025136</v>
      </c>
      <c r="P146">
        <f t="shared" si="51"/>
        <v>0.025227</v>
      </c>
      <c r="Q146">
        <f t="shared" si="51"/>
        <v>0.025318</v>
      </c>
      <c r="R146">
        <f t="shared" si="51"/>
        <v>0.025409</v>
      </c>
      <c r="S146">
        <f t="shared" si="51"/>
        <v>0.0255</v>
      </c>
    </row>
    <row r="147" spans="1:19">
      <c r="A147" t="s">
        <v>60</v>
      </c>
      <c r="B147" t="s">
        <v>179</v>
      </c>
      <c r="C147" t="s">
        <v>2187</v>
      </c>
      <c r="D147" t="s">
        <v>2185</v>
      </c>
      <c r="G147">
        <f t="shared" si="41"/>
        <v>0.3</v>
      </c>
      <c r="H147">
        <v>0.0245</v>
      </c>
      <c r="I147">
        <v>0.024591</v>
      </c>
      <c r="J147">
        <v>0.024682</v>
      </c>
      <c r="K147">
        <v>0.024773</v>
      </c>
      <c r="L147">
        <v>0.024864</v>
      </c>
      <c r="M147">
        <v>0.024955</v>
      </c>
      <c r="N147">
        <v>0.025045</v>
      </c>
      <c r="O147">
        <v>0.025136</v>
      </c>
      <c r="P147">
        <v>0.025227</v>
      </c>
      <c r="Q147">
        <v>0.025318</v>
      </c>
      <c r="R147">
        <v>0.025409</v>
      </c>
      <c r="S147">
        <v>0.0255</v>
      </c>
    </row>
    <row r="148" spans="1:19">
      <c r="A148" t="s">
        <v>26</v>
      </c>
      <c r="B148" t="s">
        <v>35</v>
      </c>
      <c r="C148" t="s">
        <v>2188</v>
      </c>
      <c r="D148" t="s">
        <v>734</v>
      </c>
      <c r="G148">
        <f t="shared" si="41"/>
        <v>0.3</v>
      </c>
      <c r="H148">
        <f t="shared" ref="H148:S148" si="52">H149</f>
        <v>0.0245</v>
      </c>
      <c r="I148">
        <f t="shared" si="52"/>
        <v>0.024591</v>
      </c>
      <c r="J148">
        <f t="shared" si="52"/>
        <v>0.024682</v>
      </c>
      <c r="K148">
        <f t="shared" si="52"/>
        <v>0.024773</v>
      </c>
      <c r="L148">
        <f t="shared" si="52"/>
        <v>0.024864</v>
      </c>
      <c r="M148">
        <f t="shared" si="52"/>
        <v>0.024955</v>
      </c>
      <c r="N148">
        <f t="shared" si="52"/>
        <v>0.025045</v>
      </c>
      <c r="O148">
        <f t="shared" si="52"/>
        <v>0.025136</v>
      </c>
      <c r="P148">
        <f t="shared" si="52"/>
        <v>0.025227</v>
      </c>
      <c r="Q148">
        <f t="shared" si="52"/>
        <v>0.025318</v>
      </c>
      <c r="R148">
        <f t="shared" si="52"/>
        <v>0.025409</v>
      </c>
      <c r="S148">
        <f t="shared" si="52"/>
        <v>0.0255</v>
      </c>
    </row>
    <row r="149" spans="1:19">
      <c r="A149" t="s">
        <v>60</v>
      </c>
      <c r="B149" t="s">
        <v>179</v>
      </c>
      <c r="C149" t="s">
        <v>2189</v>
      </c>
      <c r="D149" t="s">
        <v>2185</v>
      </c>
      <c r="G149">
        <f t="shared" si="41"/>
        <v>0.3</v>
      </c>
      <c r="H149">
        <v>0.0245</v>
      </c>
      <c r="I149">
        <v>0.024591</v>
      </c>
      <c r="J149">
        <v>0.024682</v>
      </c>
      <c r="K149">
        <v>0.024773</v>
      </c>
      <c r="L149">
        <v>0.024864</v>
      </c>
      <c r="M149">
        <v>0.024955</v>
      </c>
      <c r="N149">
        <v>0.025045</v>
      </c>
      <c r="O149">
        <v>0.025136</v>
      </c>
      <c r="P149">
        <v>0.025227</v>
      </c>
      <c r="Q149">
        <v>0.025318</v>
      </c>
      <c r="R149">
        <v>0.025409</v>
      </c>
      <c r="S149">
        <v>0.0255</v>
      </c>
    </row>
    <row r="150" spans="1:19">
      <c r="A150" t="s">
        <v>26</v>
      </c>
      <c r="B150" t="s">
        <v>35</v>
      </c>
      <c r="C150" t="s">
        <v>2190</v>
      </c>
      <c r="D150" t="s">
        <v>155</v>
      </c>
      <c r="G150">
        <f t="shared" si="41"/>
        <v>0.3</v>
      </c>
      <c r="H150">
        <f t="shared" ref="H150:S150" si="53">H151</f>
        <v>0.0245</v>
      </c>
      <c r="I150">
        <f t="shared" si="53"/>
        <v>0.024591</v>
      </c>
      <c r="J150">
        <f t="shared" si="53"/>
        <v>0.024682</v>
      </c>
      <c r="K150">
        <f t="shared" si="53"/>
        <v>0.024773</v>
      </c>
      <c r="L150">
        <f t="shared" si="53"/>
        <v>0.024864</v>
      </c>
      <c r="M150">
        <f t="shared" si="53"/>
        <v>0.024955</v>
      </c>
      <c r="N150">
        <f t="shared" si="53"/>
        <v>0.025045</v>
      </c>
      <c r="O150">
        <f t="shared" si="53"/>
        <v>0.025136</v>
      </c>
      <c r="P150">
        <f t="shared" si="53"/>
        <v>0.025227</v>
      </c>
      <c r="Q150">
        <f t="shared" si="53"/>
        <v>0.025318</v>
      </c>
      <c r="R150">
        <f t="shared" si="53"/>
        <v>0.025409</v>
      </c>
      <c r="S150">
        <f t="shared" si="53"/>
        <v>0.0255</v>
      </c>
    </row>
    <row r="151" spans="1:19">
      <c r="A151" t="s">
        <v>60</v>
      </c>
      <c r="B151" t="s">
        <v>179</v>
      </c>
      <c r="C151" t="s">
        <v>2191</v>
      </c>
      <c r="D151" t="s">
        <v>2185</v>
      </c>
      <c r="G151">
        <f t="shared" si="41"/>
        <v>0.3</v>
      </c>
      <c r="H151">
        <v>0.0245</v>
      </c>
      <c r="I151">
        <v>0.024591</v>
      </c>
      <c r="J151">
        <v>0.024682</v>
      </c>
      <c r="K151">
        <v>0.024773</v>
      </c>
      <c r="L151">
        <v>0.024864</v>
      </c>
      <c r="M151">
        <v>0.024955</v>
      </c>
      <c r="N151">
        <v>0.025045</v>
      </c>
      <c r="O151">
        <v>0.025136</v>
      </c>
      <c r="P151">
        <v>0.025227</v>
      </c>
      <c r="Q151">
        <v>0.025318</v>
      </c>
      <c r="R151">
        <v>0.025409</v>
      </c>
      <c r="S151">
        <v>0.0255</v>
      </c>
    </row>
    <row r="152" spans="1:19">
      <c r="A152" t="s">
        <v>26</v>
      </c>
      <c r="B152" t="s">
        <v>35</v>
      </c>
      <c r="C152" t="s">
        <v>2192</v>
      </c>
      <c r="D152" t="s">
        <v>738</v>
      </c>
      <c r="G152">
        <f t="shared" si="41"/>
        <v>0.3</v>
      </c>
      <c r="H152">
        <f t="shared" ref="H152:S152" si="54">H153</f>
        <v>0.0245</v>
      </c>
      <c r="I152">
        <f t="shared" si="54"/>
        <v>0.024591</v>
      </c>
      <c r="J152">
        <f t="shared" si="54"/>
        <v>0.024682</v>
      </c>
      <c r="K152">
        <f t="shared" si="54"/>
        <v>0.024773</v>
      </c>
      <c r="L152">
        <f t="shared" si="54"/>
        <v>0.024864</v>
      </c>
      <c r="M152">
        <f t="shared" si="54"/>
        <v>0.024955</v>
      </c>
      <c r="N152">
        <f t="shared" si="54"/>
        <v>0.025045</v>
      </c>
      <c r="O152">
        <f t="shared" si="54"/>
        <v>0.025136</v>
      </c>
      <c r="P152">
        <f t="shared" si="54"/>
        <v>0.025227</v>
      </c>
      <c r="Q152">
        <f t="shared" si="54"/>
        <v>0.025318</v>
      </c>
      <c r="R152">
        <f t="shared" si="54"/>
        <v>0.025409</v>
      </c>
      <c r="S152">
        <f t="shared" si="54"/>
        <v>0.0255</v>
      </c>
    </row>
    <row r="153" spans="1:19">
      <c r="A153" t="s">
        <v>60</v>
      </c>
      <c r="B153" t="s">
        <v>179</v>
      </c>
      <c r="C153" t="s">
        <v>2193</v>
      </c>
      <c r="D153" t="s">
        <v>2185</v>
      </c>
      <c r="G153">
        <f t="shared" si="41"/>
        <v>0.3</v>
      </c>
      <c r="H153">
        <v>0.0245</v>
      </c>
      <c r="I153">
        <v>0.024591</v>
      </c>
      <c r="J153">
        <v>0.024682</v>
      </c>
      <c r="K153">
        <v>0.024773</v>
      </c>
      <c r="L153">
        <v>0.024864</v>
      </c>
      <c r="M153">
        <v>0.024955</v>
      </c>
      <c r="N153">
        <v>0.025045</v>
      </c>
      <c r="O153">
        <v>0.025136</v>
      </c>
      <c r="P153">
        <v>0.025227</v>
      </c>
      <c r="Q153">
        <v>0.025318</v>
      </c>
      <c r="R153">
        <v>0.025409</v>
      </c>
      <c r="S153">
        <v>0.0255</v>
      </c>
    </row>
    <row r="154" spans="1:19">
      <c r="A154" t="s">
        <v>23</v>
      </c>
      <c r="B154" t="s">
        <v>35</v>
      </c>
      <c r="C154" t="s">
        <v>2194</v>
      </c>
      <c r="D154" t="s">
        <v>275</v>
      </c>
      <c r="G154">
        <f t="shared" si="41"/>
        <v>15300000003.3</v>
      </c>
      <c r="H154">
        <f t="shared" ref="H154:S154" si="55">H155+H157+H159+H161+H163+H165+H167+H169+H171+H173+H175+H177</f>
        <v>0.2695</v>
      </c>
      <c r="I154">
        <f t="shared" si="55"/>
        <v>0.270501</v>
      </c>
      <c r="J154">
        <f t="shared" si="55"/>
        <v>0.271502</v>
      </c>
      <c r="K154">
        <f t="shared" si="55"/>
        <v>1660000000.2725</v>
      </c>
      <c r="L154">
        <f t="shared" si="55"/>
        <v>1700000000.2735</v>
      </c>
      <c r="M154">
        <f t="shared" si="55"/>
        <v>1740000000.2745</v>
      </c>
      <c r="N154">
        <f t="shared" si="55"/>
        <v>1760000000.2755</v>
      </c>
      <c r="O154">
        <f t="shared" si="55"/>
        <v>1720000000.2765</v>
      </c>
      <c r="P154">
        <f t="shared" si="55"/>
        <v>1680000000.2775</v>
      </c>
      <c r="Q154">
        <f t="shared" si="55"/>
        <v>1660000000.2785</v>
      </c>
      <c r="R154">
        <f t="shared" si="55"/>
        <v>1640000000.2795</v>
      </c>
      <c r="S154">
        <f t="shared" si="55"/>
        <v>1740000000.2805</v>
      </c>
    </row>
    <row r="155" spans="1:19">
      <c r="A155" t="s">
        <v>26</v>
      </c>
      <c r="B155" t="s">
        <v>35</v>
      </c>
      <c r="C155" t="s">
        <v>2195</v>
      </c>
      <c r="D155" t="s">
        <v>2067</v>
      </c>
      <c r="G155">
        <f t="shared" si="41"/>
        <v>0.3</v>
      </c>
      <c r="H155">
        <f t="shared" ref="H155:S155" si="56">H156</f>
        <v>0.0245</v>
      </c>
      <c r="I155">
        <f t="shared" si="56"/>
        <v>0.024591</v>
      </c>
      <c r="J155">
        <f t="shared" si="56"/>
        <v>0.024682</v>
      </c>
      <c r="K155">
        <f t="shared" si="56"/>
        <v>0.024773</v>
      </c>
      <c r="L155">
        <f t="shared" si="56"/>
        <v>0.024864</v>
      </c>
      <c r="M155">
        <f t="shared" si="56"/>
        <v>0.024955</v>
      </c>
      <c r="N155">
        <f t="shared" si="56"/>
        <v>0.025045</v>
      </c>
      <c r="O155">
        <f t="shared" si="56"/>
        <v>0.025136</v>
      </c>
      <c r="P155">
        <f t="shared" si="56"/>
        <v>0.025227</v>
      </c>
      <c r="Q155">
        <f t="shared" si="56"/>
        <v>0.025318</v>
      </c>
      <c r="R155">
        <f t="shared" si="56"/>
        <v>0.025409</v>
      </c>
      <c r="S155">
        <f t="shared" si="56"/>
        <v>0.0255</v>
      </c>
    </row>
    <row r="156" spans="1:19">
      <c r="A156" t="s">
        <v>60</v>
      </c>
      <c r="B156" t="s">
        <v>179</v>
      </c>
      <c r="C156" t="s">
        <v>2196</v>
      </c>
      <c r="D156" t="s">
        <v>2185</v>
      </c>
      <c r="G156">
        <f t="shared" si="41"/>
        <v>0.3</v>
      </c>
      <c r="H156">
        <v>0.0245</v>
      </c>
      <c r="I156">
        <v>0.024591</v>
      </c>
      <c r="J156">
        <v>0.024682</v>
      </c>
      <c r="K156">
        <v>0.024773</v>
      </c>
      <c r="L156">
        <v>0.024864</v>
      </c>
      <c r="M156">
        <v>0.024955</v>
      </c>
      <c r="N156">
        <v>0.025045</v>
      </c>
      <c r="O156">
        <v>0.025136</v>
      </c>
      <c r="P156">
        <v>0.025227</v>
      </c>
      <c r="Q156">
        <v>0.025318</v>
      </c>
      <c r="R156">
        <v>0.025409</v>
      </c>
      <c r="S156">
        <v>0.0255</v>
      </c>
    </row>
    <row r="157" spans="1:19">
      <c r="A157" t="s">
        <v>26</v>
      </c>
      <c r="B157" t="s">
        <v>35</v>
      </c>
      <c r="C157" t="s">
        <v>2197</v>
      </c>
      <c r="D157" t="s">
        <v>2073</v>
      </c>
      <c r="G157">
        <f t="shared" si="41"/>
        <v>0.3</v>
      </c>
      <c r="H157">
        <f t="shared" ref="H157:S157" si="57">H158</f>
        <v>0.0245</v>
      </c>
      <c r="I157">
        <f t="shared" si="57"/>
        <v>0.024591</v>
      </c>
      <c r="J157">
        <f t="shared" si="57"/>
        <v>0.024682</v>
      </c>
      <c r="K157">
        <f t="shared" si="57"/>
        <v>0.024773</v>
      </c>
      <c r="L157">
        <f t="shared" si="57"/>
        <v>0.024864</v>
      </c>
      <c r="M157">
        <f t="shared" si="57"/>
        <v>0.024955</v>
      </c>
      <c r="N157">
        <f t="shared" si="57"/>
        <v>0.025045</v>
      </c>
      <c r="O157">
        <f t="shared" si="57"/>
        <v>0.025136</v>
      </c>
      <c r="P157">
        <f t="shared" si="57"/>
        <v>0.025227</v>
      </c>
      <c r="Q157">
        <f t="shared" si="57"/>
        <v>0.025318</v>
      </c>
      <c r="R157">
        <f t="shared" si="57"/>
        <v>0.025409</v>
      </c>
      <c r="S157">
        <f t="shared" si="57"/>
        <v>0.0255</v>
      </c>
    </row>
    <row r="158" spans="1:19">
      <c r="A158" t="s">
        <v>60</v>
      </c>
      <c r="B158" t="s">
        <v>179</v>
      </c>
      <c r="C158" t="s">
        <v>2198</v>
      </c>
      <c r="D158" t="s">
        <v>2185</v>
      </c>
      <c r="G158">
        <f t="shared" si="41"/>
        <v>0.3</v>
      </c>
      <c r="H158">
        <v>0.0245</v>
      </c>
      <c r="I158">
        <v>0.024591</v>
      </c>
      <c r="J158">
        <v>0.024682</v>
      </c>
      <c r="K158">
        <v>0.024773</v>
      </c>
      <c r="L158">
        <v>0.024864</v>
      </c>
      <c r="M158">
        <v>0.024955</v>
      </c>
      <c r="N158">
        <v>0.025045</v>
      </c>
      <c r="O158">
        <v>0.025136</v>
      </c>
      <c r="P158">
        <v>0.025227</v>
      </c>
      <c r="Q158">
        <v>0.025318</v>
      </c>
      <c r="R158">
        <v>0.025409</v>
      </c>
      <c r="S158">
        <v>0.0255</v>
      </c>
    </row>
    <row r="159" spans="1:19">
      <c r="A159" t="s">
        <v>26</v>
      </c>
      <c r="B159" t="s">
        <v>35</v>
      </c>
      <c r="C159" t="s">
        <v>2199</v>
      </c>
      <c r="D159" t="s">
        <v>2075</v>
      </c>
      <c r="G159">
        <f t="shared" si="41"/>
        <v>0.3</v>
      </c>
      <c r="H159">
        <f t="shared" ref="H159:S159" si="58">H160</f>
        <v>0.0245</v>
      </c>
      <c r="I159">
        <f t="shared" si="58"/>
        <v>0.024591</v>
      </c>
      <c r="J159">
        <f t="shared" si="58"/>
        <v>0.024682</v>
      </c>
      <c r="K159">
        <f t="shared" si="58"/>
        <v>0.024773</v>
      </c>
      <c r="L159">
        <f t="shared" si="58"/>
        <v>0.024864</v>
      </c>
      <c r="M159">
        <f t="shared" si="58"/>
        <v>0.024955</v>
      </c>
      <c r="N159">
        <f t="shared" si="58"/>
        <v>0.025045</v>
      </c>
      <c r="O159">
        <f t="shared" si="58"/>
        <v>0.025136</v>
      </c>
      <c r="P159">
        <f t="shared" si="58"/>
        <v>0.025227</v>
      </c>
      <c r="Q159">
        <f t="shared" si="58"/>
        <v>0.025318</v>
      </c>
      <c r="R159">
        <f t="shared" si="58"/>
        <v>0.025409</v>
      </c>
      <c r="S159">
        <f t="shared" si="58"/>
        <v>0.0255</v>
      </c>
    </row>
    <row r="160" spans="1:19">
      <c r="A160" t="s">
        <v>60</v>
      </c>
      <c r="B160" t="s">
        <v>179</v>
      </c>
      <c r="C160" t="s">
        <v>2200</v>
      </c>
      <c r="D160" t="s">
        <v>2185</v>
      </c>
      <c r="G160">
        <f t="shared" si="41"/>
        <v>0.3</v>
      </c>
      <c r="H160">
        <v>0.0245</v>
      </c>
      <c r="I160">
        <v>0.024591</v>
      </c>
      <c r="J160">
        <v>0.024682</v>
      </c>
      <c r="K160">
        <v>0.024773</v>
      </c>
      <c r="L160">
        <v>0.024864</v>
      </c>
      <c r="M160">
        <v>0.024955</v>
      </c>
      <c r="N160">
        <v>0.025045</v>
      </c>
      <c r="O160">
        <v>0.025136</v>
      </c>
      <c r="P160">
        <v>0.025227</v>
      </c>
      <c r="Q160">
        <v>0.025318</v>
      </c>
      <c r="R160">
        <v>0.025409</v>
      </c>
      <c r="S160">
        <v>0.0255</v>
      </c>
    </row>
    <row r="161" spans="1:19">
      <c r="A161" t="s">
        <v>26</v>
      </c>
      <c r="B161" t="s">
        <v>35</v>
      </c>
      <c r="C161" t="s">
        <v>2201</v>
      </c>
      <c r="D161" t="s">
        <v>2077</v>
      </c>
      <c r="G161">
        <f t="shared" si="41"/>
        <v>0.3</v>
      </c>
      <c r="H161">
        <f t="shared" ref="H161:S161" si="59">H162</f>
        <v>0.0245</v>
      </c>
      <c r="I161">
        <f t="shared" si="59"/>
        <v>0.024591</v>
      </c>
      <c r="J161">
        <f t="shared" si="59"/>
        <v>0.024682</v>
      </c>
      <c r="K161">
        <f t="shared" si="59"/>
        <v>0.024773</v>
      </c>
      <c r="L161">
        <f t="shared" si="59"/>
        <v>0.024864</v>
      </c>
      <c r="M161">
        <f t="shared" si="59"/>
        <v>0.024955</v>
      </c>
      <c r="N161">
        <f t="shared" si="59"/>
        <v>0.025045</v>
      </c>
      <c r="O161">
        <f t="shared" si="59"/>
        <v>0.025136</v>
      </c>
      <c r="P161">
        <f t="shared" si="59"/>
        <v>0.025227</v>
      </c>
      <c r="Q161">
        <f t="shared" si="59"/>
        <v>0.025318</v>
      </c>
      <c r="R161">
        <f t="shared" si="59"/>
        <v>0.025409</v>
      </c>
      <c r="S161">
        <f t="shared" si="59"/>
        <v>0.0255</v>
      </c>
    </row>
    <row r="162" spans="1:19">
      <c r="A162" t="s">
        <v>60</v>
      </c>
      <c r="B162" t="s">
        <v>179</v>
      </c>
      <c r="C162" t="s">
        <v>2202</v>
      </c>
      <c r="D162" t="s">
        <v>2185</v>
      </c>
      <c r="G162">
        <f t="shared" si="41"/>
        <v>0.3</v>
      </c>
      <c r="H162">
        <v>0.0245</v>
      </c>
      <c r="I162">
        <v>0.024591</v>
      </c>
      <c r="J162">
        <v>0.024682</v>
      </c>
      <c r="K162">
        <v>0.024773</v>
      </c>
      <c r="L162">
        <v>0.024864</v>
      </c>
      <c r="M162">
        <v>0.024955</v>
      </c>
      <c r="N162">
        <v>0.025045</v>
      </c>
      <c r="O162">
        <v>0.025136</v>
      </c>
      <c r="P162">
        <v>0.025227</v>
      </c>
      <c r="Q162">
        <v>0.025318</v>
      </c>
      <c r="R162">
        <v>0.025409</v>
      </c>
      <c r="S162">
        <v>0.0255</v>
      </c>
    </row>
    <row r="163" spans="1:19">
      <c r="A163" t="s">
        <v>26</v>
      </c>
      <c r="B163" t="s">
        <v>35</v>
      </c>
      <c r="C163" t="s">
        <v>2203</v>
      </c>
      <c r="D163" t="s">
        <v>2079</v>
      </c>
      <c r="G163">
        <f t="shared" si="41"/>
        <v>0.3</v>
      </c>
      <c r="H163">
        <f t="shared" ref="H163:S163" si="60">H164</f>
        <v>0.0245</v>
      </c>
      <c r="I163">
        <f t="shared" si="60"/>
        <v>0.024591</v>
      </c>
      <c r="J163">
        <f t="shared" si="60"/>
        <v>0.024682</v>
      </c>
      <c r="K163">
        <f t="shared" si="60"/>
        <v>0.024773</v>
      </c>
      <c r="L163">
        <f t="shared" si="60"/>
        <v>0.024864</v>
      </c>
      <c r="M163">
        <f t="shared" si="60"/>
        <v>0.024955</v>
      </c>
      <c r="N163">
        <f t="shared" si="60"/>
        <v>0.025045</v>
      </c>
      <c r="O163">
        <f t="shared" si="60"/>
        <v>0.025136</v>
      </c>
      <c r="P163">
        <f t="shared" si="60"/>
        <v>0.025227</v>
      </c>
      <c r="Q163">
        <f t="shared" si="60"/>
        <v>0.025318</v>
      </c>
      <c r="R163">
        <f t="shared" si="60"/>
        <v>0.025409</v>
      </c>
      <c r="S163">
        <f t="shared" si="60"/>
        <v>0.0255</v>
      </c>
    </row>
    <row r="164" spans="1:19">
      <c r="A164" t="s">
        <v>60</v>
      </c>
      <c r="B164" t="s">
        <v>179</v>
      </c>
      <c r="C164" t="s">
        <v>2204</v>
      </c>
      <c r="D164" t="s">
        <v>2185</v>
      </c>
      <c r="G164">
        <f t="shared" si="41"/>
        <v>0.3</v>
      </c>
      <c r="H164">
        <v>0.0245</v>
      </c>
      <c r="I164">
        <v>0.024591</v>
      </c>
      <c r="J164">
        <v>0.024682</v>
      </c>
      <c r="K164">
        <v>0.024773</v>
      </c>
      <c r="L164">
        <v>0.024864</v>
      </c>
      <c r="M164">
        <v>0.024955</v>
      </c>
      <c r="N164">
        <v>0.025045</v>
      </c>
      <c r="O164">
        <v>0.025136</v>
      </c>
      <c r="P164">
        <v>0.025227</v>
      </c>
      <c r="Q164">
        <v>0.025318</v>
      </c>
      <c r="R164">
        <v>0.025409</v>
      </c>
      <c r="S164">
        <v>0.0255</v>
      </c>
    </row>
    <row r="165" spans="1:19">
      <c r="A165" t="s">
        <v>26</v>
      </c>
      <c r="B165" t="s">
        <v>35</v>
      </c>
      <c r="C165" t="s">
        <v>2205</v>
      </c>
      <c r="D165" t="s">
        <v>2081</v>
      </c>
      <c r="G165">
        <f t="shared" si="41"/>
        <v>0.3</v>
      </c>
      <c r="H165">
        <f t="shared" ref="H165:S165" si="61">H166</f>
        <v>0.0245</v>
      </c>
      <c r="I165">
        <f t="shared" si="61"/>
        <v>0.024591</v>
      </c>
      <c r="J165">
        <f t="shared" si="61"/>
        <v>0.024682</v>
      </c>
      <c r="K165">
        <f t="shared" si="61"/>
        <v>0.024773</v>
      </c>
      <c r="L165">
        <f t="shared" si="61"/>
        <v>0.024864</v>
      </c>
      <c r="M165">
        <f t="shared" si="61"/>
        <v>0.024955</v>
      </c>
      <c r="N165">
        <f t="shared" si="61"/>
        <v>0.025045</v>
      </c>
      <c r="O165">
        <f t="shared" si="61"/>
        <v>0.025136</v>
      </c>
      <c r="P165">
        <f t="shared" si="61"/>
        <v>0.025227</v>
      </c>
      <c r="Q165">
        <f t="shared" si="61"/>
        <v>0.025318</v>
      </c>
      <c r="R165">
        <f t="shared" si="61"/>
        <v>0.025409</v>
      </c>
      <c r="S165">
        <f t="shared" si="61"/>
        <v>0.0255</v>
      </c>
    </row>
    <row r="166" spans="1:19">
      <c r="A166" t="s">
        <v>60</v>
      </c>
      <c r="B166" t="s">
        <v>179</v>
      </c>
      <c r="C166" t="s">
        <v>2206</v>
      </c>
      <c r="D166" t="s">
        <v>2185</v>
      </c>
      <c r="G166">
        <f t="shared" si="41"/>
        <v>0.3</v>
      </c>
      <c r="H166">
        <v>0.0245</v>
      </c>
      <c r="I166">
        <v>0.024591</v>
      </c>
      <c r="J166">
        <v>0.024682</v>
      </c>
      <c r="K166">
        <v>0.024773</v>
      </c>
      <c r="L166">
        <v>0.024864</v>
      </c>
      <c r="M166">
        <v>0.024955</v>
      </c>
      <c r="N166">
        <v>0.025045</v>
      </c>
      <c r="O166">
        <v>0.025136</v>
      </c>
      <c r="P166">
        <v>0.025227</v>
      </c>
      <c r="Q166">
        <v>0.025318</v>
      </c>
      <c r="R166">
        <v>0.025409</v>
      </c>
      <c r="S166">
        <v>0.0255</v>
      </c>
    </row>
    <row r="167" spans="1:19">
      <c r="A167" t="s">
        <v>26</v>
      </c>
      <c r="B167" t="s">
        <v>35</v>
      </c>
      <c r="C167" t="s">
        <v>2207</v>
      </c>
      <c r="D167" t="s">
        <v>2083</v>
      </c>
      <c r="G167">
        <f t="shared" si="41"/>
        <v>0.3</v>
      </c>
      <c r="H167">
        <f t="shared" ref="H167:S167" si="62">H168</f>
        <v>0.0245</v>
      </c>
      <c r="I167">
        <f t="shared" si="62"/>
        <v>0.024591</v>
      </c>
      <c r="J167">
        <f t="shared" si="62"/>
        <v>0.024682</v>
      </c>
      <c r="K167">
        <f t="shared" si="62"/>
        <v>0.024773</v>
      </c>
      <c r="L167">
        <f t="shared" si="62"/>
        <v>0.024864</v>
      </c>
      <c r="M167">
        <f t="shared" si="62"/>
        <v>0.024955</v>
      </c>
      <c r="N167">
        <f t="shared" si="62"/>
        <v>0.025045</v>
      </c>
      <c r="O167">
        <f t="shared" si="62"/>
        <v>0.025136</v>
      </c>
      <c r="P167">
        <f t="shared" si="62"/>
        <v>0.025227</v>
      </c>
      <c r="Q167">
        <f t="shared" si="62"/>
        <v>0.025318</v>
      </c>
      <c r="R167">
        <f t="shared" si="62"/>
        <v>0.025409</v>
      </c>
      <c r="S167">
        <f t="shared" si="62"/>
        <v>0.0255</v>
      </c>
    </row>
    <row r="168" spans="1:19">
      <c r="A168" t="s">
        <v>60</v>
      </c>
      <c r="B168" t="s">
        <v>179</v>
      </c>
      <c r="C168" t="s">
        <v>2208</v>
      </c>
      <c r="D168" t="s">
        <v>2185</v>
      </c>
      <c r="G168">
        <f t="shared" si="41"/>
        <v>0.3</v>
      </c>
      <c r="H168">
        <v>0.0245</v>
      </c>
      <c r="I168">
        <v>0.024591</v>
      </c>
      <c r="J168">
        <v>0.024682</v>
      </c>
      <c r="K168">
        <v>0.024773</v>
      </c>
      <c r="L168">
        <v>0.024864</v>
      </c>
      <c r="M168">
        <v>0.024955</v>
      </c>
      <c r="N168">
        <v>0.025045</v>
      </c>
      <c r="O168">
        <v>0.025136</v>
      </c>
      <c r="P168">
        <v>0.025227</v>
      </c>
      <c r="Q168">
        <v>0.025318</v>
      </c>
      <c r="R168">
        <v>0.025409</v>
      </c>
      <c r="S168">
        <v>0.0255</v>
      </c>
    </row>
    <row r="169" spans="1:19">
      <c r="A169" t="s">
        <v>26</v>
      </c>
      <c r="B169" t="s">
        <v>35</v>
      </c>
      <c r="C169" t="s">
        <v>2209</v>
      </c>
      <c r="D169" t="s">
        <v>2085</v>
      </c>
      <c r="G169">
        <f t="shared" si="41"/>
        <v>0.3</v>
      </c>
      <c r="H169">
        <f t="shared" ref="H169:S169" si="63">H170</f>
        <v>0.0245</v>
      </c>
      <c r="I169">
        <f t="shared" si="63"/>
        <v>0.024591</v>
      </c>
      <c r="J169">
        <f t="shared" si="63"/>
        <v>0.024682</v>
      </c>
      <c r="K169">
        <f t="shared" si="63"/>
        <v>0.024773</v>
      </c>
      <c r="L169">
        <f t="shared" si="63"/>
        <v>0.024864</v>
      </c>
      <c r="M169">
        <f t="shared" si="63"/>
        <v>0.024955</v>
      </c>
      <c r="N169">
        <f t="shared" si="63"/>
        <v>0.025045</v>
      </c>
      <c r="O169">
        <f t="shared" si="63"/>
        <v>0.025136</v>
      </c>
      <c r="P169">
        <f t="shared" si="63"/>
        <v>0.025227</v>
      </c>
      <c r="Q169">
        <f t="shared" si="63"/>
        <v>0.025318</v>
      </c>
      <c r="R169">
        <f t="shared" si="63"/>
        <v>0.025409</v>
      </c>
      <c r="S169">
        <f t="shared" si="63"/>
        <v>0.0255</v>
      </c>
    </row>
    <row r="170" spans="1:19">
      <c r="A170" t="s">
        <v>60</v>
      </c>
      <c r="B170" t="s">
        <v>179</v>
      </c>
      <c r="C170" t="s">
        <v>2210</v>
      </c>
      <c r="D170" t="s">
        <v>2185</v>
      </c>
      <c r="G170">
        <f t="shared" si="41"/>
        <v>0.3</v>
      </c>
      <c r="H170">
        <v>0.0245</v>
      </c>
      <c r="I170">
        <v>0.024591</v>
      </c>
      <c r="J170">
        <v>0.024682</v>
      </c>
      <c r="K170">
        <v>0.024773</v>
      </c>
      <c r="L170">
        <v>0.024864</v>
      </c>
      <c r="M170">
        <v>0.024955</v>
      </c>
      <c r="N170">
        <v>0.025045</v>
      </c>
      <c r="O170">
        <v>0.025136</v>
      </c>
      <c r="P170">
        <v>0.025227</v>
      </c>
      <c r="Q170">
        <v>0.025318</v>
      </c>
      <c r="R170">
        <v>0.025409</v>
      </c>
      <c r="S170">
        <v>0.0255</v>
      </c>
    </row>
    <row r="171" spans="1:19">
      <c r="A171" t="s">
        <v>26</v>
      </c>
      <c r="B171" t="s">
        <v>35</v>
      </c>
      <c r="C171" t="s">
        <v>2211</v>
      </c>
      <c r="D171" t="s">
        <v>2175</v>
      </c>
      <c r="G171">
        <f t="shared" si="41"/>
        <v>0.3</v>
      </c>
      <c r="H171">
        <f t="shared" ref="H171:S171" si="64">H172</f>
        <v>0.0245</v>
      </c>
      <c r="I171">
        <f t="shared" si="64"/>
        <v>0.024591</v>
      </c>
      <c r="J171">
        <f t="shared" si="64"/>
        <v>0.024682</v>
      </c>
      <c r="K171">
        <f t="shared" si="64"/>
        <v>0.024773</v>
      </c>
      <c r="L171">
        <f t="shared" si="64"/>
        <v>0.024864</v>
      </c>
      <c r="M171">
        <f t="shared" si="64"/>
        <v>0.024955</v>
      </c>
      <c r="N171">
        <f t="shared" si="64"/>
        <v>0.025045</v>
      </c>
      <c r="O171">
        <f t="shared" si="64"/>
        <v>0.025136</v>
      </c>
      <c r="P171">
        <f t="shared" si="64"/>
        <v>0.025227</v>
      </c>
      <c r="Q171">
        <f t="shared" si="64"/>
        <v>0.025318</v>
      </c>
      <c r="R171">
        <f t="shared" si="64"/>
        <v>0.025409</v>
      </c>
      <c r="S171">
        <f t="shared" si="64"/>
        <v>0.0255</v>
      </c>
    </row>
    <row r="172" spans="1:19">
      <c r="A172" t="s">
        <v>60</v>
      </c>
      <c r="B172" t="s">
        <v>179</v>
      </c>
      <c r="C172" t="s">
        <v>2212</v>
      </c>
      <c r="D172" t="s">
        <v>2185</v>
      </c>
      <c r="G172">
        <f t="shared" si="41"/>
        <v>0.3</v>
      </c>
      <c r="H172">
        <v>0.0245</v>
      </c>
      <c r="I172">
        <v>0.024591</v>
      </c>
      <c r="J172">
        <v>0.024682</v>
      </c>
      <c r="K172">
        <v>0.024773</v>
      </c>
      <c r="L172">
        <v>0.024864</v>
      </c>
      <c r="M172">
        <v>0.024955</v>
      </c>
      <c r="N172">
        <v>0.025045</v>
      </c>
      <c r="O172">
        <v>0.025136</v>
      </c>
      <c r="P172">
        <v>0.025227</v>
      </c>
      <c r="Q172">
        <v>0.025318</v>
      </c>
      <c r="R172">
        <v>0.025409</v>
      </c>
      <c r="S172">
        <v>0.0255</v>
      </c>
    </row>
    <row r="173" spans="1:19">
      <c r="A173" t="s">
        <v>26</v>
      </c>
      <c r="B173" t="s">
        <v>35</v>
      </c>
      <c r="C173" t="s">
        <v>2213</v>
      </c>
      <c r="D173" t="s">
        <v>2090</v>
      </c>
      <c r="G173">
        <f t="shared" si="41"/>
        <v>0.3</v>
      </c>
      <c r="H173">
        <f t="shared" ref="H173:S173" si="65">H174</f>
        <v>0.0245</v>
      </c>
      <c r="I173">
        <f t="shared" si="65"/>
        <v>0.024591</v>
      </c>
      <c r="J173">
        <f t="shared" si="65"/>
        <v>0.024682</v>
      </c>
      <c r="K173">
        <f t="shared" si="65"/>
        <v>0.024773</v>
      </c>
      <c r="L173">
        <f t="shared" si="65"/>
        <v>0.024864</v>
      </c>
      <c r="M173">
        <f t="shared" si="65"/>
        <v>0.024955</v>
      </c>
      <c r="N173">
        <f t="shared" si="65"/>
        <v>0.025045</v>
      </c>
      <c r="O173">
        <f t="shared" si="65"/>
        <v>0.025136</v>
      </c>
      <c r="P173">
        <f t="shared" si="65"/>
        <v>0.025227</v>
      </c>
      <c r="Q173">
        <f t="shared" si="65"/>
        <v>0.025318</v>
      </c>
      <c r="R173">
        <f t="shared" si="65"/>
        <v>0.025409</v>
      </c>
      <c r="S173">
        <f t="shared" si="65"/>
        <v>0.0255</v>
      </c>
    </row>
    <row r="174" spans="1:19">
      <c r="A174" t="s">
        <v>60</v>
      </c>
      <c r="B174" t="s">
        <v>179</v>
      </c>
      <c r="C174" t="s">
        <v>2214</v>
      </c>
      <c r="D174" t="s">
        <v>2185</v>
      </c>
      <c r="G174">
        <f t="shared" si="41"/>
        <v>0.3</v>
      </c>
      <c r="H174">
        <v>0.0245</v>
      </c>
      <c r="I174">
        <v>0.024591</v>
      </c>
      <c r="J174">
        <v>0.024682</v>
      </c>
      <c r="K174">
        <v>0.024773</v>
      </c>
      <c r="L174">
        <v>0.024864</v>
      </c>
      <c r="M174">
        <v>0.024955</v>
      </c>
      <c r="N174">
        <v>0.025045</v>
      </c>
      <c r="O174">
        <v>0.025136</v>
      </c>
      <c r="P174">
        <v>0.025227</v>
      </c>
      <c r="Q174">
        <v>0.025318</v>
      </c>
      <c r="R174">
        <v>0.025409</v>
      </c>
      <c r="S174">
        <v>0.0255</v>
      </c>
    </row>
    <row r="175" spans="1:19">
      <c r="A175" t="s">
        <v>26</v>
      </c>
      <c r="B175" t="s">
        <v>35</v>
      </c>
      <c r="C175" t="s">
        <v>2215</v>
      </c>
      <c r="D175" t="s">
        <v>2097</v>
      </c>
      <c r="G175">
        <f t="shared" si="41"/>
        <v>0.3</v>
      </c>
      <c r="H175">
        <f t="shared" ref="H175:S175" si="66">H176</f>
        <v>0.0245</v>
      </c>
      <c r="I175">
        <f t="shared" si="66"/>
        <v>0.024591</v>
      </c>
      <c r="J175">
        <f t="shared" si="66"/>
        <v>0.024682</v>
      </c>
      <c r="K175">
        <f t="shared" si="66"/>
        <v>0.024773</v>
      </c>
      <c r="L175">
        <f t="shared" si="66"/>
        <v>0.024864</v>
      </c>
      <c r="M175">
        <f t="shared" si="66"/>
        <v>0.024955</v>
      </c>
      <c r="N175">
        <f t="shared" si="66"/>
        <v>0.025045</v>
      </c>
      <c r="O175">
        <f t="shared" si="66"/>
        <v>0.025136</v>
      </c>
      <c r="P175">
        <f t="shared" si="66"/>
        <v>0.025227</v>
      </c>
      <c r="Q175">
        <f t="shared" si="66"/>
        <v>0.025318</v>
      </c>
      <c r="R175">
        <f t="shared" si="66"/>
        <v>0.025409</v>
      </c>
      <c r="S175">
        <f t="shared" si="66"/>
        <v>0.0255</v>
      </c>
    </row>
    <row r="176" spans="1:19">
      <c r="A176" t="s">
        <v>60</v>
      </c>
      <c r="B176" t="s">
        <v>179</v>
      </c>
      <c r="C176" t="s">
        <v>2216</v>
      </c>
      <c r="D176" t="s">
        <v>2185</v>
      </c>
      <c r="G176">
        <f t="shared" si="41"/>
        <v>0.3</v>
      </c>
      <c r="H176">
        <v>0.0245</v>
      </c>
      <c r="I176">
        <v>0.024591</v>
      </c>
      <c r="J176">
        <v>0.024682</v>
      </c>
      <c r="K176">
        <v>0.024773</v>
      </c>
      <c r="L176">
        <v>0.024864</v>
      </c>
      <c r="M176">
        <v>0.024955</v>
      </c>
      <c r="N176">
        <v>0.025045</v>
      </c>
      <c r="O176">
        <v>0.025136</v>
      </c>
      <c r="P176">
        <v>0.025227</v>
      </c>
      <c r="Q176">
        <v>0.025318</v>
      </c>
      <c r="R176">
        <v>0.025409</v>
      </c>
      <c r="S176">
        <v>0.0255</v>
      </c>
    </row>
    <row r="177" spans="1:19">
      <c r="A177" t="s">
        <v>26</v>
      </c>
      <c r="B177" t="s">
        <v>35</v>
      </c>
      <c r="C177" t="s">
        <v>2217</v>
      </c>
      <c r="D177" t="s">
        <v>2099</v>
      </c>
      <c r="G177">
        <f t="shared" si="41"/>
        <v>15300000000</v>
      </c>
      <c r="H177">
        <f t="shared" ref="H177:S177" si="67">H178</f>
        <v>0</v>
      </c>
      <c r="I177">
        <f t="shared" si="67"/>
        <v>0</v>
      </c>
      <c r="J177">
        <f t="shared" si="67"/>
        <v>0</v>
      </c>
      <c r="K177">
        <f t="shared" si="67"/>
        <v>1660000000</v>
      </c>
      <c r="L177">
        <f t="shared" si="67"/>
        <v>1700000000</v>
      </c>
      <c r="M177">
        <f t="shared" si="67"/>
        <v>1740000000</v>
      </c>
      <c r="N177">
        <f t="shared" si="67"/>
        <v>1760000000</v>
      </c>
      <c r="O177">
        <f t="shared" si="67"/>
        <v>1720000000</v>
      </c>
      <c r="P177">
        <f t="shared" si="67"/>
        <v>1680000000</v>
      </c>
      <c r="Q177">
        <f t="shared" si="67"/>
        <v>1660000000</v>
      </c>
      <c r="R177">
        <f t="shared" si="67"/>
        <v>1640000000</v>
      </c>
      <c r="S177">
        <f t="shared" si="67"/>
        <v>1740000000</v>
      </c>
    </row>
    <row r="178" spans="1:19">
      <c r="A178" t="s">
        <v>60</v>
      </c>
      <c r="B178" t="s">
        <v>179</v>
      </c>
      <c r="C178" t="s">
        <v>2218</v>
      </c>
      <c r="D178" t="s">
        <v>2185</v>
      </c>
      <c r="G178">
        <f t="shared" si="41"/>
        <v>15300000000</v>
      </c>
      <c r="K178">
        <v>1660000000</v>
      </c>
      <c r="L178">
        <v>1700000000</v>
      </c>
      <c r="M178">
        <v>1740000000</v>
      </c>
      <c r="N178">
        <v>1760000000</v>
      </c>
      <c r="O178">
        <v>1720000000</v>
      </c>
      <c r="P178">
        <v>1680000000</v>
      </c>
      <c r="Q178">
        <v>1660000000</v>
      </c>
      <c r="R178">
        <v>1640000000</v>
      </c>
      <c r="S178">
        <v>1740000000</v>
      </c>
    </row>
    <row r="179" spans="1:19">
      <c r="A179" t="s">
        <v>19</v>
      </c>
      <c r="B179" t="s">
        <v>35</v>
      </c>
      <c r="C179" t="s">
        <v>2219</v>
      </c>
      <c r="D179" t="s">
        <v>285</v>
      </c>
      <c r="G179">
        <f t="shared" si="41"/>
        <v>1.08</v>
      </c>
      <c r="H179">
        <f t="shared" ref="H179:S179" si="68">H180</f>
        <v>0.0882</v>
      </c>
      <c r="I179">
        <f t="shared" si="68"/>
        <v>0.088525</v>
      </c>
      <c r="J179">
        <f t="shared" si="68"/>
        <v>0.088855</v>
      </c>
      <c r="K179">
        <f t="shared" si="68"/>
        <v>0.08918</v>
      </c>
      <c r="L179">
        <f t="shared" si="68"/>
        <v>0.08951</v>
      </c>
      <c r="M179">
        <f t="shared" si="68"/>
        <v>0.089835</v>
      </c>
      <c r="N179">
        <f t="shared" si="68"/>
        <v>0.090165</v>
      </c>
      <c r="O179">
        <f t="shared" si="68"/>
        <v>0.09049</v>
      </c>
      <c r="P179">
        <f t="shared" si="68"/>
        <v>0.09082</v>
      </c>
      <c r="Q179">
        <f t="shared" si="68"/>
        <v>0.091145</v>
      </c>
      <c r="R179">
        <f t="shared" si="68"/>
        <v>0.091475</v>
      </c>
      <c r="S179">
        <f t="shared" si="68"/>
        <v>0.0918</v>
      </c>
    </row>
    <row r="180" spans="1:19">
      <c r="A180" t="s">
        <v>23</v>
      </c>
      <c r="B180" t="s">
        <v>35</v>
      </c>
      <c r="C180" t="s">
        <v>2220</v>
      </c>
      <c r="D180" t="s">
        <v>299</v>
      </c>
      <c r="G180">
        <f t="shared" si="41"/>
        <v>1.08</v>
      </c>
      <c r="H180">
        <f t="shared" ref="H180:S180" si="69">H181+H183+H185+H187+H189</f>
        <v>0.0882</v>
      </c>
      <c r="I180">
        <f t="shared" si="69"/>
        <v>0.088525</v>
      </c>
      <c r="J180">
        <f t="shared" si="69"/>
        <v>0.088855</v>
      </c>
      <c r="K180">
        <f t="shared" si="69"/>
        <v>0.08918</v>
      </c>
      <c r="L180">
        <f t="shared" si="69"/>
        <v>0.08951</v>
      </c>
      <c r="M180">
        <f t="shared" si="69"/>
        <v>0.089835</v>
      </c>
      <c r="N180">
        <f t="shared" si="69"/>
        <v>0.090165</v>
      </c>
      <c r="O180">
        <f t="shared" si="69"/>
        <v>0.09049</v>
      </c>
      <c r="P180">
        <f t="shared" si="69"/>
        <v>0.09082</v>
      </c>
      <c r="Q180">
        <f t="shared" si="69"/>
        <v>0.091145</v>
      </c>
      <c r="R180">
        <f t="shared" si="69"/>
        <v>0.091475</v>
      </c>
      <c r="S180">
        <f t="shared" si="69"/>
        <v>0.0918</v>
      </c>
    </row>
    <row r="181" spans="1:19">
      <c r="A181" t="s">
        <v>26</v>
      </c>
      <c r="B181" t="s">
        <v>35</v>
      </c>
      <c r="C181" t="s">
        <v>2221</v>
      </c>
      <c r="D181" t="s">
        <v>168</v>
      </c>
      <c r="G181">
        <f t="shared" si="41"/>
        <v>0.216</v>
      </c>
      <c r="H181">
        <f t="shared" ref="H181:S181" si="70">H182</f>
        <v>0.01764</v>
      </c>
      <c r="I181">
        <f t="shared" si="70"/>
        <v>0.017705</v>
      </c>
      <c r="J181">
        <f t="shared" si="70"/>
        <v>0.017771</v>
      </c>
      <c r="K181">
        <f t="shared" si="70"/>
        <v>0.017836</v>
      </c>
      <c r="L181">
        <f t="shared" si="70"/>
        <v>0.017902</v>
      </c>
      <c r="M181">
        <f t="shared" si="70"/>
        <v>0.017967</v>
      </c>
      <c r="N181">
        <f t="shared" si="70"/>
        <v>0.018033</v>
      </c>
      <c r="O181">
        <f t="shared" si="70"/>
        <v>0.018098</v>
      </c>
      <c r="P181">
        <f t="shared" si="70"/>
        <v>0.018164</v>
      </c>
      <c r="Q181">
        <f t="shared" si="70"/>
        <v>0.018229</v>
      </c>
      <c r="R181">
        <f t="shared" si="70"/>
        <v>0.018295</v>
      </c>
      <c r="S181">
        <f t="shared" si="70"/>
        <v>0.01836</v>
      </c>
    </row>
    <row r="182" spans="1:19">
      <c r="A182" t="s">
        <v>60</v>
      </c>
      <c r="B182" t="s">
        <v>179</v>
      </c>
      <c r="C182" t="s">
        <v>2222</v>
      </c>
      <c r="D182" t="s">
        <v>2223</v>
      </c>
      <c r="G182">
        <f t="shared" si="41"/>
        <v>0.216</v>
      </c>
      <c r="H182">
        <v>0.01764</v>
      </c>
      <c r="I182">
        <v>0.017705</v>
      </c>
      <c r="J182">
        <v>0.017771</v>
      </c>
      <c r="K182">
        <v>0.017836</v>
      </c>
      <c r="L182">
        <v>0.017902</v>
      </c>
      <c r="M182">
        <v>0.017967</v>
      </c>
      <c r="N182">
        <v>0.018033</v>
      </c>
      <c r="O182">
        <v>0.018098</v>
      </c>
      <c r="P182">
        <v>0.018164</v>
      </c>
      <c r="Q182">
        <v>0.018229</v>
      </c>
      <c r="R182">
        <v>0.018295</v>
      </c>
      <c r="S182">
        <v>0.01836</v>
      </c>
    </row>
    <row r="183" spans="1:19">
      <c r="A183" t="s">
        <v>26</v>
      </c>
      <c r="B183" t="s">
        <v>35</v>
      </c>
      <c r="C183" t="s">
        <v>2224</v>
      </c>
      <c r="D183" t="s">
        <v>748</v>
      </c>
      <c r="G183">
        <f t="shared" si="41"/>
        <v>0.216</v>
      </c>
      <c r="H183">
        <f t="shared" ref="H183:S183" si="71">H184</f>
        <v>0.01764</v>
      </c>
      <c r="I183">
        <f t="shared" si="71"/>
        <v>0.017705</v>
      </c>
      <c r="J183">
        <f t="shared" si="71"/>
        <v>0.017771</v>
      </c>
      <c r="K183">
        <f t="shared" si="71"/>
        <v>0.017836</v>
      </c>
      <c r="L183">
        <f t="shared" si="71"/>
        <v>0.017902</v>
      </c>
      <c r="M183">
        <f t="shared" si="71"/>
        <v>0.017967</v>
      </c>
      <c r="N183">
        <f t="shared" si="71"/>
        <v>0.018033</v>
      </c>
      <c r="O183">
        <f t="shared" si="71"/>
        <v>0.018098</v>
      </c>
      <c r="P183">
        <f t="shared" si="71"/>
        <v>0.018164</v>
      </c>
      <c r="Q183">
        <f t="shared" si="71"/>
        <v>0.018229</v>
      </c>
      <c r="R183">
        <f t="shared" si="71"/>
        <v>0.018295</v>
      </c>
      <c r="S183">
        <f t="shared" si="71"/>
        <v>0.01836</v>
      </c>
    </row>
    <row r="184" spans="1:19">
      <c r="A184" t="s">
        <v>60</v>
      </c>
      <c r="B184" t="s">
        <v>179</v>
      </c>
      <c r="C184" t="s">
        <v>2225</v>
      </c>
      <c r="D184" t="s">
        <v>2223</v>
      </c>
      <c r="G184">
        <f t="shared" si="41"/>
        <v>0.216</v>
      </c>
      <c r="H184">
        <v>0.01764</v>
      </c>
      <c r="I184">
        <v>0.017705</v>
      </c>
      <c r="J184">
        <v>0.017771</v>
      </c>
      <c r="K184">
        <v>0.017836</v>
      </c>
      <c r="L184">
        <v>0.017902</v>
      </c>
      <c r="M184">
        <v>0.017967</v>
      </c>
      <c r="N184">
        <v>0.018033</v>
      </c>
      <c r="O184">
        <v>0.018098</v>
      </c>
      <c r="P184">
        <v>0.018164</v>
      </c>
      <c r="Q184">
        <v>0.018229</v>
      </c>
      <c r="R184">
        <v>0.018295</v>
      </c>
      <c r="S184">
        <v>0.01836</v>
      </c>
    </row>
    <row r="185" spans="1:19">
      <c r="A185" t="s">
        <v>26</v>
      </c>
      <c r="B185" t="s">
        <v>35</v>
      </c>
      <c r="C185" t="s">
        <v>2226</v>
      </c>
      <c r="D185" t="s">
        <v>750</v>
      </c>
      <c r="G185">
        <f t="shared" si="41"/>
        <v>0.216</v>
      </c>
      <c r="H185">
        <f t="shared" ref="H185:S185" si="72">H186</f>
        <v>0.01764</v>
      </c>
      <c r="I185">
        <f t="shared" si="72"/>
        <v>0.017705</v>
      </c>
      <c r="J185">
        <f t="shared" si="72"/>
        <v>0.017771</v>
      </c>
      <c r="K185">
        <f t="shared" si="72"/>
        <v>0.017836</v>
      </c>
      <c r="L185">
        <f t="shared" si="72"/>
        <v>0.017902</v>
      </c>
      <c r="M185">
        <f t="shared" si="72"/>
        <v>0.017967</v>
      </c>
      <c r="N185">
        <f t="shared" si="72"/>
        <v>0.018033</v>
      </c>
      <c r="O185">
        <f t="shared" si="72"/>
        <v>0.018098</v>
      </c>
      <c r="P185">
        <f t="shared" si="72"/>
        <v>0.018164</v>
      </c>
      <c r="Q185">
        <f t="shared" si="72"/>
        <v>0.018229</v>
      </c>
      <c r="R185">
        <f t="shared" si="72"/>
        <v>0.018295</v>
      </c>
      <c r="S185">
        <f t="shared" si="72"/>
        <v>0.01836</v>
      </c>
    </row>
    <row r="186" spans="1:19">
      <c r="A186" t="s">
        <v>60</v>
      </c>
      <c r="B186" t="s">
        <v>179</v>
      </c>
      <c r="C186" t="s">
        <v>2227</v>
      </c>
      <c r="D186" t="s">
        <v>2223</v>
      </c>
      <c r="G186">
        <f t="shared" si="41"/>
        <v>0.216</v>
      </c>
      <c r="H186">
        <v>0.01764</v>
      </c>
      <c r="I186">
        <v>0.017705</v>
      </c>
      <c r="J186">
        <v>0.017771</v>
      </c>
      <c r="K186">
        <v>0.017836</v>
      </c>
      <c r="L186">
        <v>0.017902</v>
      </c>
      <c r="M186">
        <v>0.017967</v>
      </c>
      <c r="N186">
        <v>0.018033</v>
      </c>
      <c r="O186">
        <v>0.018098</v>
      </c>
      <c r="P186">
        <v>0.018164</v>
      </c>
      <c r="Q186">
        <v>0.018229</v>
      </c>
      <c r="R186">
        <v>0.018295</v>
      </c>
      <c r="S186">
        <v>0.01836</v>
      </c>
    </row>
    <row r="187" spans="1:19">
      <c r="A187" t="s">
        <v>26</v>
      </c>
      <c r="B187" t="s">
        <v>35</v>
      </c>
      <c r="C187" t="s">
        <v>2228</v>
      </c>
      <c r="D187" t="s">
        <v>170</v>
      </c>
      <c r="G187">
        <f t="shared" si="41"/>
        <v>0.216</v>
      </c>
      <c r="H187">
        <f t="shared" ref="H187:S187" si="73">H188</f>
        <v>0.01764</v>
      </c>
      <c r="I187">
        <f t="shared" si="73"/>
        <v>0.017705</v>
      </c>
      <c r="J187">
        <f t="shared" si="73"/>
        <v>0.017771</v>
      </c>
      <c r="K187">
        <f t="shared" si="73"/>
        <v>0.017836</v>
      </c>
      <c r="L187">
        <f t="shared" si="73"/>
        <v>0.017902</v>
      </c>
      <c r="M187">
        <f t="shared" si="73"/>
        <v>0.017967</v>
      </c>
      <c r="N187">
        <f t="shared" si="73"/>
        <v>0.018033</v>
      </c>
      <c r="O187">
        <f t="shared" si="73"/>
        <v>0.018098</v>
      </c>
      <c r="P187">
        <f t="shared" si="73"/>
        <v>0.018164</v>
      </c>
      <c r="Q187">
        <f t="shared" si="73"/>
        <v>0.018229</v>
      </c>
      <c r="R187">
        <f t="shared" si="73"/>
        <v>0.018295</v>
      </c>
      <c r="S187">
        <f t="shared" si="73"/>
        <v>0.01836</v>
      </c>
    </row>
    <row r="188" spans="1:19">
      <c r="A188" t="s">
        <v>60</v>
      </c>
      <c r="B188" t="s">
        <v>179</v>
      </c>
      <c r="C188" t="s">
        <v>2229</v>
      </c>
      <c r="D188" t="s">
        <v>2223</v>
      </c>
      <c r="G188">
        <f t="shared" si="41"/>
        <v>0.216</v>
      </c>
      <c r="H188">
        <v>0.01764</v>
      </c>
      <c r="I188">
        <v>0.017705</v>
      </c>
      <c r="J188">
        <v>0.017771</v>
      </c>
      <c r="K188">
        <v>0.017836</v>
      </c>
      <c r="L188">
        <v>0.017902</v>
      </c>
      <c r="M188">
        <v>0.017967</v>
      </c>
      <c r="N188">
        <v>0.018033</v>
      </c>
      <c r="O188">
        <v>0.018098</v>
      </c>
      <c r="P188">
        <v>0.018164</v>
      </c>
      <c r="Q188">
        <v>0.018229</v>
      </c>
      <c r="R188">
        <v>0.018295</v>
      </c>
      <c r="S188">
        <v>0.01836</v>
      </c>
    </row>
    <row r="189" spans="1:19">
      <c r="A189" t="s">
        <v>26</v>
      </c>
      <c r="B189" t="s">
        <v>35</v>
      </c>
      <c r="C189" t="s">
        <v>2230</v>
      </c>
      <c r="D189" t="s">
        <v>753</v>
      </c>
      <c r="G189">
        <f t="shared" si="41"/>
        <v>0.216</v>
      </c>
      <c r="H189">
        <f t="shared" ref="H189:S189" si="74">H190</f>
        <v>0.01764</v>
      </c>
      <c r="I189">
        <f t="shared" si="74"/>
        <v>0.017705</v>
      </c>
      <c r="J189">
        <f t="shared" si="74"/>
        <v>0.017771</v>
      </c>
      <c r="K189">
        <f t="shared" si="74"/>
        <v>0.017836</v>
      </c>
      <c r="L189">
        <f t="shared" si="74"/>
        <v>0.017902</v>
      </c>
      <c r="M189">
        <f t="shared" si="74"/>
        <v>0.017967</v>
      </c>
      <c r="N189">
        <f t="shared" si="74"/>
        <v>0.018033</v>
      </c>
      <c r="O189">
        <f t="shared" si="74"/>
        <v>0.018098</v>
      </c>
      <c r="P189">
        <f t="shared" si="74"/>
        <v>0.018164</v>
      </c>
      <c r="Q189">
        <f t="shared" si="74"/>
        <v>0.018229</v>
      </c>
      <c r="R189">
        <f t="shared" si="74"/>
        <v>0.018295</v>
      </c>
      <c r="S189">
        <f t="shared" si="74"/>
        <v>0.01836</v>
      </c>
    </row>
    <row r="190" spans="1:19">
      <c r="A190" t="s">
        <v>60</v>
      </c>
      <c r="B190" t="s">
        <v>179</v>
      </c>
      <c r="C190" t="s">
        <v>2231</v>
      </c>
      <c r="D190" t="s">
        <v>2223</v>
      </c>
      <c r="G190">
        <f t="shared" si="41"/>
        <v>0.216</v>
      </c>
      <c r="H190">
        <v>0.01764</v>
      </c>
      <c r="I190">
        <v>0.017705</v>
      </c>
      <c r="J190">
        <v>0.017771</v>
      </c>
      <c r="K190">
        <v>0.017836</v>
      </c>
      <c r="L190">
        <v>0.017902</v>
      </c>
      <c r="M190">
        <v>0.017967</v>
      </c>
      <c r="N190">
        <v>0.018033</v>
      </c>
      <c r="O190">
        <v>0.018098</v>
      </c>
      <c r="P190">
        <v>0.018164</v>
      </c>
      <c r="Q190">
        <v>0.018229</v>
      </c>
      <c r="R190">
        <v>0.018295</v>
      </c>
      <c r="S190">
        <v>0.01836</v>
      </c>
    </row>
    <row r="191" spans="1:19">
      <c r="A191" t="s">
        <v>19</v>
      </c>
      <c r="B191" t="s">
        <v>20</v>
      </c>
      <c r="C191" t="s">
        <v>2232</v>
      </c>
      <c r="D191" t="s">
        <v>309</v>
      </c>
      <c r="G191">
        <f t="shared" si="41"/>
        <v>1.8</v>
      </c>
      <c r="H191">
        <f t="shared" ref="H191:S191" si="75">H192+H203</f>
        <v>0.147</v>
      </c>
      <c r="I191">
        <f t="shared" si="75"/>
        <v>0.147546</v>
      </c>
      <c r="J191">
        <f t="shared" si="75"/>
        <v>0.148092</v>
      </c>
      <c r="K191">
        <f t="shared" si="75"/>
        <v>0.148638</v>
      </c>
      <c r="L191">
        <f t="shared" si="75"/>
        <v>0.149184</v>
      </c>
      <c r="M191">
        <f t="shared" si="75"/>
        <v>0.14973</v>
      </c>
      <c r="N191">
        <f t="shared" si="75"/>
        <v>0.15027</v>
      </c>
      <c r="O191">
        <f t="shared" si="75"/>
        <v>0.150816</v>
      </c>
      <c r="P191">
        <f t="shared" si="75"/>
        <v>0.151362</v>
      </c>
      <c r="Q191">
        <f t="shared" si="75"/>
        <v>0.151908</v>
      </c>
      <c r="R191">
        <f t="shared" si="75"/>
        <v>0.152454</v>
      </c>
      <c r="S191">
        <f t="shared" si="75"/>
        <v>0.153</v>
      </c>
    </row>
    <row r="192" spans="1:19">
      <c r="A192" t="s">
        <v>23</v>
      </c>
      <c r="B192" t="s">
        <v>20</v>
      </c>
      <c r="C192" t="s">
        <v>2233</v>
      </c>
      <c r="D192" t="s">
        <v>323</v>
      </c>
      <c r="G192">
        <f t="shared" si="41"/>
        <v>1.5</v>
      </c>
      <c r="H192">
        <f t="shared" ref="H192:S192" si="76">H193+H195+H197+H199+H201</f>
        <v>0.1225</v>
      </c>
      <c r="I192">
        <f t="shared" si="76"/>
        <v>0.122955</v>
      </c>
      <c r="J192">
        <f t="shared" si="76"/>
        <v>0.12341</v>
      </c>
      <c r="K192">
        <f t="shared" si="76"/>
        <v>0.123865</v>
      </c>
      <c r="L192">
        <f t="shared" si="76"/>
        <v>0.12432</v>
      </c>
      <c r="M192">
        <f t="shared" si="76"/>
        <v>0.124775</v>
      </c>
      <c r="N192">
        <f t="shared" si="76"/>
        <v>0.125225</v>
      </c>
      <c r="O192">
        <f t="shared" si="76"/>
        <v>0.12568</v>
      </c>
      <c r="P192">
        <f t="shared" si="76"/>
        <v>0.126135</v>
      </c>
      <c r="Q192">
        <f t="shared" si="76"/>
        <v>0.12659</v>
      </c>
      <c r="R192">
        <f t="shared" si="76"/>
        <v>0.127045</v>
      </c>
      <c r="S192">
        <f t="shared" si="76"/>
        <v>0.1275</v>
      </c>
    </row>
    <row r="193" spans="1:19">
      <c r="A193" t="s">
        <v>26</v>
      </c>
      <c r="B193" t="s">
        <v>20</v>
      </c>
      <c r="C193" t="s">
        <v>2234</v>
      </c>
      <c r="D193" t="s">
        <v>168</v>
      </c>
      <c r="G193">
        <f t="shared" si="41"/>
        <v>0.3</v>
      </c>
      <c r="H193">
        <f t="shared" ref="H193:S193" si="77">H194</f>
        <v>0.0245</v>
      </c>
      <c r="I193">
        <f t="shared" si="77"/>
        <v>0.024591</v>
      </c>
      <c r="J193">
        <f t="shared" si="77"/>
        <v>0.024682</v>
      </c>
      <c r="K193">
        <f t="shared" si="77"/>
        <v>0.024773</v>
      </c>
      <c r="L193">
        <f t="shared" si="77"/>
        <v>0.024864</v>
      </c>
      <c r="M193">
        <f t="shared" si="77"/>
        <v>0.024955</v>
      </c>
      <c r="N193">
        <f t="shared" si="77"/>
        <v>0.025045</v>
      </c>
      <c r="O193">
        <f t="shared" si="77"/>
        <v>0.025136</v>
      </c>
      <c r="P193">
        <f t="shared" si="77"/>
        <v>0.025227</v>
      </c>
      <c r="Q193">
        <f t="shared" si="77"/>
        <v>0.025318</v>
      </c>
      <c r="R193">
        <f t="shared" si="77"/>
        <v>0.025409</v>
      </c>
      <c r="S193">
        <f t="shared" si="77"/>
        <v>0.0255</v>
      </c>
    </row>
    <row r="194" spans="1:19">
      <c r="A194" t="s">
        <v>60</v>
      </c>
      <c r="B194" t="s">
        <v>179</v>
      </c>
      <c r="C194" t="s">
        <v>2235</v>
      </c>
      <c r="D194" t="s">
        <v>2185</v>
      </c>
      <c r="G194">
        <f t="shared" ref="G194:G257" si="78">H194+I194+J194+K194+L194+M194+N194+O194+P194+Q194+R194+S194</f>
        <v>0.3</v>
      </c>
      <c r="H194">
        <v>0.0245</v>
      </c>
      <c r="I194">
        <v>0.024591</v>
      </c>
      <c r="J194">
        <v>0.024682</v>
      </c>
      <c r="K194">
        <v>0.024773</v>
      </c>
      <c r="L194">
        <v>0.024864</v>
      </c>
      <c r="M194">
        <v>0.024955</v>
      </c>
      <c r="N194">
        <v>0.025045</v>
      </c>
      <c r="O194">
        <v>0.025136</v>
      </c>
      <c r="P194">
        <v>0.025227</v>
      </c>
      <c r="Q194">
        <v>0.025318</v>
      </c>
      <c r="R194">
        <v>0.025409</v>
      </c>
      <c r="S194">
        <v>0.0255</v>
      </c>
    </row>
    <row r="195" spans="1:19">
      <c r="A195" t="s">
        <v>26</v>
      </c>
      <c r="B195" t="s">
        <v>20</v>
      </c>
      <c r="C195" t="s">
        <v>2236</v>
      </c>
      <c r="D195" t="s">
        <v>748</v>
      </c>
      <c r="G195">
        <f t="shared" si="78"/>
        <v>0.3</v>
      </c>
      <c r="H195">
        <f t="shared" ref="H195:S195" si="79">H196</f>
        <v>0.0245</v>
      </c>
      <c r="I195">
        <f t="shared" si="79"/>
        <v>0.024591</v>
      </c>
      <c r="J195">
        <f t="shared" si="79"/>
        <v>0.024682</v>
      </c>
      <c r="K195">
        <f t="shared" si="79"/>
        <v>0.024773</v>
      </c>
      <c r="L195">
        <f t="shared" si="79"/>
        <v>0.024864</v>
      </c>
      <c r="M195">
        <f t="shared" si="79"/>
        <v>0.024955</v>
      </c>
      <c r="N195">
        <f t="shared" si="79"/>
        <v>0.025045</v>
      </c>
      <c r="O195">
        <f t="shared" si="79"/>
        <v>0.025136</v>
      </c>
      <c r="P195">
        <f t="shared" si="79"/>
        <v>0.025227</v>
      </c>
      <c r="Q195">
        <f t="shared" si="79"/>
        <v>0.025318</v>
      </c>
      <c r="R195">
        <f t="shared" si="79"/>
        <v>0.025409</v>
      </c>
      <c r="S195">
        <f t="shared" si="79"/>
        <v>0.0255</v>
      </c>
    </row>
    <row r="196" spans="1:19">
      <c r="A196" t="s">
        <v>60</v>
      </c>
      <c r="B196" t="s">
        <v>179</v>
      </c>
      <c r="C196" t="s">
        <v>2237</v>
      </c>
      <c r="D196" t="s">
        <v>2185</v>
      </c>
      <c r="G196">
        <f t="shared" si="78"/>
        <v>0.3</v>
      </c>
      <c r="H196">
        <v>0.0245</v>
      </c>
      <c r="I196">
        <v>0.024591</v>
      </c>
      <c r="J196">
        <v>0.024682</v>
      </c>
      <c r="K196">
        <v>0.024773</v>
      </c>
      <c r="L196">
        <v>0.024864</v>
      </c>
      <c r="M196">
        <v>0.024955</v>
      </c>
      <c r="N196">
        <v>0.025045</v>
      </c>
      <c r="O196">
        <v>0.025136</v>
      </c>
      <c r="P196">
        <v>0.025227</v>
      </c>
      <c r="Q196">
        <v>0.025318</v>
      </c>
      <c r="R196">
        <v>0.025409</v>
      </c>
      <c r="S196">
        <v>0.0255</v>
      </c>
    </row>
    <row r="197" spans="1:19">
      <c r="A197" t="s">
        <v>26</v>
      </c>
      <c r="B197" t="s">
        <v>20</v>
      </c>
      <c r="C197" t="s">
        <v>2238</v>
      </c>
      <c r="D197" t="s">
        <v>750</v>
      </c>
      <c r="G197">
        <f t="shared" si="78"/>
        <v>0.3</v>
      </c>
      <c r="H197">
        <f t="shared" ref="H197:S197" si="80">H198</f>
        <v>0.0245</v>
      </c>
      <c r="I197">
        <f t="shared" si="80"/>
        <v>0.024591</v>
      </c>
      <c r="J197">
        <f t="shared" si="80"/>
        <v>0.024682</v>
      </c>
      <c r="K197">
        <f t="shared" si="80"/>
        <v>0.024773</v>
      </c>
      <c r="L197">
        <f t="shared" si="80"/>
        <v>0.024864</v>
      </c>
      <c r="M197">
        <f t="shared" si="80"/>
        <v>0.024955</v>
      </c>
      <c r="N197">
        <f t="shared" si="80"/>
        <v>0.025045</v>
      </c>
      <c r="O197">
        <f t="shared" si="80"/>
        <v>0.025136</v>
      </c>
      <c r="P197">
        <f t="shared" si="80"/>
        <v>0.025227</v>
      </c>
      <c r="Q197">
        <f t="shared" si="80"/>
        <v>0.025318</v>
      </c>
      <c r="R197">
        <f t="shared" si="80"/>
        <v>0.025409</v>
      </c>
      <c r="S197">
        <f t="shared" si="80"/>
        <v>0.0255</v>
      </c>
    </row>
    <row r="198" spans="1:19">
      <c r="A198" t="s">
        <v>60</v>
      </c>
      <c r="B198" t="s">
        <v>179</v>
      </c>
      <c r="C198" t="s">
        <v>2239</v>
      </c>
      <c r="D198" t="s">
        <v>2185</v>
      </c>
      <c r="G198">
        <f t="shared" si="78"/>
        <v>0.3</v>
      </c>
      <c r="H198">
        <v>0.0245</v>
      </c>
      <c r="I198">
        <v>0.024591</v>
      </c>
      <c r="J198">
        <v>0.024682</v>
      </c>
      <c r="K198">
        <v>0.024773</v>
      </c>
      <c r="L198">
        <v>0.024864</v>
      </c>
      <c r="M198">
        <v>0.024955</v>
      </c>
      <c r="N198">
        <v>0.025045</v>
      </c>
      <c r="O198">
        <v>0.025136</v>
      </c>
      <c r="P198">
        <v>0.025227</v>
      </c>
      <c r="Q198">
        <v>0.025318</v>
      </c>
      <c r="R198">
        <v>0.025409</v>
      </c>
      <c r="S198">
        <v>0.0255</v>
      </c>
    </row>
    <row r="199" spans="1:19">
      <c r="A199" t="s">
        <v>26</v>
      </c>
      <c r="B199" t="s">
        <v>20</v>
      </c>
      <c r="C199" t="s">
        <v>2240</v>
      </c>
      <c r="D199" t="s">
        <v>170</v>
      </c>
      <c r="G199">
        <f t="shared" si="78"/>
        <v>0.3</v>
      </c>
      <c r="H199">
        <f t="shared" ref="H199:S199" si="81">H200</f>
        <v>0.0245</v>
      </c>
      <c r="I199">
        <f t="shared" si="81"/>
        <v>0.024591</v>
      </c>
      <c r="J199">
        <f t="shared" si="81"/>
        <v>0.024682</v>
      </c>
      <c r="K199">
        <f t="shared" si="81"/>
        <v>0.024773</v>
      </c>
      <c r="L199">
        <f t="shared" si="81"/>
        <v>0.024864</v>
      </c>
      <c r="M199">
        <f t="shared" si="81"/>
        <v>0.024955</v>
      </c>
      <c r="N199">
        <f t="shared" si="81"/>
        <v>0.025045</v>
      </c>
      <c r="O199">
        <f t="shared" si="81"/>
        <v>0.025136</v>
      </c>
      <c r="P199">
        <f t="shared" si="81"/>
        <v>0.025227</v>
      </c>
      <c r="Q199">
        <f t="shared" si="81"/>
        <v>0.025318</v>
      </c>
      <c r="R199">
        <f t="shared" si="81"/>
        <v>0.025409</v>
      </c>
      <c r="S199">
        <f t="shared" si="81"/>
        <v>0.0255</v>
      </c>
    </row>
    <row r="200" spans="1:19">
      <c r="A200" t="s">
        <v>60</v>
      </c>
      <c r="B200" t="s">
        <v>179</v>
      </c>
      <c r="C200" t="s">
        <v>2241</v>
      </c>
      <c r="D200" t="s">
        <v>2185</v>
      </c>
      <c r="G200">
        <f t="shared" si="78"/>
        <v>0.3</v>
      </c>
      <c r="H200">
        <v>0.0245</v>
      </c>
      <c r="I200">
        <v>0.024591</v>
      </c>
      <c r="J200">
        <v>0.024682</v>
      </c>
      <c r="K200">
        <v>0.024773</v>
      </c>
      <c r="L200">
        <v>0.024864</v>
      </c>
      <c r="M200">
        <v>0.024955</v>
      </c>
      <c r="N200">
        <v>0.025045</v>
      </c>
      <c r="O200">
        <v>0.025136</v>
      </c>
      <c r="P200">
        <v>0.025227</v>
      </c>
      <c r="Q200">
        <v>0.025318</v>
      </c>
      <c r="R200">
        <v>0.025409</v>
      </c>
      <c r="S200">
        <v>0.0255</v>
      </c>
    </row>
    <row r="201" spans="1:19">
      <c r="A201" t="s">
        <v>26</v>
      </c>
      <c r="B201" t="s">
        <v>20</v>
      </c>
      <c r="C201" t="s">
        <v>2242</v>
      </c>
      <c r="D201" t="s">
        <v>753</v>
      </c>
      <c r="G201">
        <f t="shared" si="78"/>
        <v>0.3</v>
      </c>
      <c r="H201">
        <f t="shared" ref="H201:S201" si="82">H202</f>
        <v>0.0245</v>
      </c>
      <c r="I201">
        <f t="shared" si="82"/>
        <v>0.024591</v>
      </c>
      <c r="J201">
        <f t="shared" si="82"/>
        <v>0.024682</v>
      </c>
      <c r="K201">
        <f t="shared" si="82"/>
        <v>0.024773</v>
      </c>
      <c r="L201">
        <f t="shared" si="82"/>
        <v>0.024864</v>
      </c>
      <c r="M201">
        <f t="shared" si="82"/>
        <v>0.024955</v>
      </c>
      <c r="N201">
        <f t="shared" si="82"/>
        <v>0.025045</v>
      </c>
      <c r="O201">
        <f t="shared" si="82"/>
        <v>0.025136</v>
      </c>
      <c r="P201">
        <f t="shared" si="82"/>
        <v>0.025227</v>
      </c>
      <c r="Q201">
        <f t="shared" si="82"/>
        <v>0.025318</v>
      </c>
      <c r="R201">
        <f t="shared" si="82"/>
        <v>0.025409</v>
      </c>
      <c r="S201">
        <f t="shared" si="82"/>
        <v>0.0255</v>
      </c>
    </row>
    <row r="202" spans="1:19">
      <c r="A202" t="s">
        <v>60</v>
      </c>
      <c r="B202" t="s">
        <v>179</v>
      </c>
      <c r="C202" t="s">
        <v>2243</v>
      </c>
      <c r="D202" t="s">
        <v>2185</v>
      </c>
      <c r="G202">
        <f t="shared" si="78"/>
        <v>0.3</v>
      </c>
      <c r="H202">
        <v>0.0245</v>
      </c>
      <c r="I202">
        <v>0.024591</v>
      </c>
      <c r="J202">
        <v>0.024682</v>
      </c>
      <c r="K202">
        <v>0.024773</v>
      </c>
      <c r="L202">
        <v>0.024864</v>
      </c>
      <c r="M202">
        <v>0.024955</v>
      </c>
      <c r="N202">
        <v>0.025045</v>
      </c>
      <c r="O202">
        <v>0.025136</v>
      </c>
      <c r="P202">
        <v>0.025227</v>
      </c>
      <c r="Q202">
        <v>0.025318</v>
      </c>
      <c r="R202">
        <v>0.025409</v>
      </c>
      <c r="S202">
        <v>0.0255</v>
      </c>
    </row>
    <row r="203" spans="1:19">
      <c r="A203" t="s">
        <v>23</v>
      </c>
      <c r="B203" t="s">
        <v>20</v>
      </c>
      <c r="C203" t="s">
        <v>2244</v>
      </c>
      <c r="D203" t="s">
        <v>2134</v>
      </c>
      <c r="G203">
        <f t="shared" si="78"/>
        <v>0.3</v>
      </c>
      <c r="H203">
        <f t="shared" ref="H203:S203" si="83">H204</f>
        <v>0.0245</v>
      </c>
      <c r="I203">
        <f t="shared" si="83"/>
        <v>0.024591</v>
      </c>
      <c r="J203">
        <f t="shared" si="83"/>
        <v>0.024682</v>
      </c>
      <c r="K203">
        <f t="shared" si="83"/>
        <v>0.024773</v>
      </c>
      <c r="L203">
        <f t="shared" si="83"/>
        <v>0.024864</v>
      </c>
      <c r="M203">
        <f t="shared" si="83"/>
        <v>0.024955</v>
      </c>
      <c r="N203">
        <f t="shared" si="83"/>
        <v>0.025045</v>
      </c>
      <c r="O203">
        <f t="shared" si="83"/>
        <v>0.025136</v>
      </c>
      <c r="P203">
        <f t="shared" si="83"/>
        <v>0.025227</v>
      </c>
      <c r="Q203">
        <f t="shared" si="83"/>
        <v>0.025318</v>
      </c>
      <c r="R203">
        <f t="shared" si="83"/>
        <v>0.025409</v>
      </c>
      <c r="S203">
        <f t="shared" si="83"/>
        <v>0.0255</v>
      </c>
    </row>
    <row r="204" spans="1:19">
      <c r="A204" t="s">
        <v>26</v>
      </c>
      <c r="B204" t="s">
        <v>179</v>
      </c>
      <c r="C204" t="s">
        <v>2245</v>
      </c>
      <c r="D204" t="s">
        <v>2185</v>
      </c>
      <c r="G204">
        <f t="shared" si="78"/>
        <v>0.3</v>
      </c>
      <c r="H204">
        <v>0.0245</v>
      </c>
      <c r="I204">
        <v>0.024591</v>
      </c>
      <c r="J204">
        <v>0.024682</v>
      </c>
      <c r="K204">
        <v>0.024773</v>
      </c>
      <c r="L204">
        <v>0.024864</v>
      </c>
      <c r="M204">
        <v>0.024955</v>
      </c>
      <c r="N204">
        <v>0.025045</v>
      </c>
      <c r="O204">
        <v>0.025136</v>
      </c>
      <c r="P204">
        <v>0.025227</v>
      </c>
      <c r="Q204">
        <v>0.025318</v>
      </c>
      <c r="R204">
        <v>0.025409</v>
      </c>
      <c r="S204">
        <v>0.0255</v>
      </c>
    </row>
    <row r="205" spans="1:19">
      <c r="A205" t="s">
        <v>19</v>
      </c>
      <c r="B205" t="s">
        <v>20</v>
      </c>
      <c r="C205" t="s">
        <v>2246</v>
      </c>
      <c r="D205" t="s">
        <v>337</v>
      </c>
      <c r="G205">
        <f t="shared" si="78"/>
        <v>400000000</v>
      </c>
      <c r="H205">
        <f t="shared" ref="H205:S205" si="84">H206</f>
        <v>28000000</v>
      </c>
      <c r="I205">
        <f t="shared" si="84"/>
        <v>26000000</v>
      </c>
      <c r="J205">
        <f t="shared" si="84"/>
        <v>31200000</v>
      </c>
      <c r="K205">
        <f t="shared" si="84"/>
        <v>32000000</v>
      </c>
      <c r="L205">
        <f t="shared" si="84"/>
        <v>32800000</v>
      </c>
      <c r="M205">
        <f t="shared" si="84"/>
        <v>34000000</v>
      </c>
      <c r="N205">
        <f t="shared" si="84"/>
        <v>35200000</v>
      </c>
      <c r="O205">
        <f t="shared" si="84"/>
        <v>34800000</v>
      </c>
      <c r="P205">
        <f t="shared" si="84"/>
        <v>34000000</v>
      </c>
      <c r="Q205">
        <f t="shared" si="84"/>
        <v>37200000</v>
      </c>
      <c r="R205">
        <f t="shared" si="84"/>
        <v>36800000</v>
      </c>
      <c r="S205">
        <f t="shared" si="84"/>
        <v>38000000</v>
      </c>
    </row>
    <row r="206" spans="1:19">
      <c r="A206" t="s">
        <v>23</v>
      </c>
      <c r="B206" t="s">
        <v>20</v>
      </c>
      <c r="C206" t="s">
        <v>2247</v>
      </c>
      <c r="D206" t="s">
        <v>337</v>
      </c>
      <c r="G206">
        <f t="shared" si="78"/>
        <v>400000000</v>
      </c>
      <c r="H206">
        <v>28000000</v>
      </c>
      <c r="I206">
        <v>26000000</v>
      </c>
      <c r="J206">
        <v>31200000</v>
      </c>
      <c r="K206">
        <v>32000000</v>
      </c>
      <c r="L206">
        <v>32800000</v>
      </c>
      <c r="M206">
        <v>34000000</v>
      </c>
      <c r="N206">
        <v>35200000</v>
      </c>
      <c r="O206">
        <v>34800000</v>
      </c>
      <c r="P206">
        <v>34000000</v>
      </c>
      <c r="Q206">
        <v>37200000</v>
      </c>
      <c r="R206">
        <v>36800000</v>
      </c>
      <c r="S206">
        <v>38000000</v>
      </c>
    </row>
    <row r="207" spans="1:19">
      <c r="A207" t="s">
        <v>19</v>
      </c>
      <c r="B207" t="s">
        <v>35</v>
      </c>
      <c r="C207" t="s">
        <v>2248</v>
      </c>
      <c r="D207" t="s">
        <v>365</v>
      </c>
      <c r="G207">
        <f t="shared" si="78"/>
        <v>60000000</v>
      </c>
      <c r="H207">
        <f t="shared" ref="H207:S207" si="85">H208</f>
        <v>4200000</v>
      </c>
      <c r="I207">
        <f t="shared" si="85"/>
        <v>3900000</v>
      </c>
      <c r="J207">
        <f t="shared" si="85"/>
        <v>4680000</v>
      </c>
      <c r="K207">
        <f t="shared" si="85"/>
        <v>4800000</v>
      </c>
      <c r="L207">
        <f t="shared" si="85"/>
        <v>4920000</v>
      </c>
      <c r="M207">
        <f t="shared" si="85"/>
        <v>5100000</v>
      </c>
      <c r="N207">
        <f t="shared" si="85"/>
        <v>5280000</v>
      </c>
      <c r="O207">
        <f t="shared" si="85"/>
        <v>5220000</v>
      </c>
      <c r="P207">
        <f t="shared" si="85"/>
        <v>5100000</v>
      </c>
      <c r="Q207">
        <f t="shared" si="85"/>
        <v>5580000</v>
      </c>
      <c r="R207">
        <f t="shared" si="85"/>
        <v>5520000</v>
      </c>
      <c r="S207">
        <f t="shared" si="85"/>
        <v>5700000</v>
      </c>
    </row>
    <row r="208" spans="1:19">
      <c r="A208" t="s">
        <v>23</v>
      </c>
      <c r="B208" t="s">
        <v>35</v>
      </c>
      <c r="C208" t="s">
        <v>2249</v>
      </c>
      <c r="D208" t="s">
        <v>365</v>
      </c>
      <c r="G208">
        <f t="shared" si="78"/>
        <v>60000000</v>
      </c>
      <c r="H208">
        <v>4200000</v>
      </c>
      <c r="I208">
        <v>3900000</v>
      </c>
      <c r="J208">
        <v>4680000</v>
      </c>
      <c r="K208">
        <v>4800000</v>
      </c>
      <c r="L208">
        <v>4920000</v>
      </c>
      <c r="M208">
        <v>5100000</v>
      </c>
      <c r="N208">
        <v>5280000</v>
      </c>
      <c r="O208">
        <v>5220000</v>
      </c>
      <c r="P208">
        <v>5100000</v>
      </c>
      <c r="Q208">
        <v>5580000</v>
      </c>
      <c r="R208">
        <v>5520000</v>
      </c>
      <c r="S208">
        <v>5700000</v>
      </c>
    </row>
    <row r="209" spans="1:19">
      <c r="A209" t="s">
        <v>19</v>
      </c>
      <c r="B209" t="s">
        <v>20</v>
      </c>
      <c r="C209" t="s">
        <v>2250</v>
      </c>
      <c r="D209" t="s">
        <v>386</v>
      </c>
      <c r="G209">
        <f t="shared" si="78"/>
        <v>29143771080.576</v>
      </c>
      <c r="H209">
        <f t="shared" ref="H209:S209" si="86">H210+H218+H220+H222+H224+H226+H228</f>
        <v>2143034513.29204</v>
      </c>
      <c r="I209">
        <f t="shared" si="86"/>
        <v>2162942511.29312</v>
      </c>
      <c r="J209">
        <f t="shared" si="86"/>
        <v>2355426237.29421</v>
      </c>
      <c r="K209">
        <f t="shared" si="86"/>
        <v>2393132218.29529</v>
      </c>
      <c r="L209">
        <f t="shared" si="86"/>
        <v>2451417113.29637</v>
      </c>
      <c r="M209">
        <f t="shared" si="86"/>
        <v>2518265559.29745</v>
      </c>
      <c r="N209">
        <f t="shared" si="86"/>
        <v>2564535102.29855</v>
      </c>
      <c r="O209">
        <f t="shared" si="86"/>
        <v>2514813741.29963</v>
      </c>
      <c r="P209">
        <f t="shared" si="86"/>
        <v>2456528846.30071</v>
      </c>
      <c r="Q209">
        <f t="shared" si="86"/>
        <v>2504458343.30179</v>
      </c>
      <c r="R209">
        <f t="shared" si="86"/>
        <v>2475315885.30288</v>
      </c>
      <c r="S209">
        <f t="shared" si="86"/>
        <v>2603901009.30396</v>
      </c>
    </row>
    <row r="210" spans="1:19">
      <c r="A210" t="s">
        <v>23</v>
      </c>
      <c r="B210" t="s">
        <v>20</v>
      </c>
      <c r="C210" t="s">
        <v>2251</v>
      </c>
      <c r="D210" t="s">
        <v>2252</v>
      </c>
      <c r="G210">
        <f t="shared" si="78"/>
        <v>27568432129</v>
      </c>
      <c r="H210">
        <f t="shared" ref="H210:S210" si="87">H211+H212+H213+H214+H215+H216+H217</f>
        <v>2027194813</v>
      </c>
      <c r="I210">
        <f t="shared" si="87"/>
        <v>2046026703</v>
      </c>
      <c r="J210">
        <f t="shared" si="87"/>
        <v>2228105901</v>
      </c>
      <c r="K210">
        <f t="shared" si="87"/>
        <v>2263773722</v>
      </c>
      <c r="L210">
        <f t="shared" si="87"/>
        <v>2318908081</v>
      </c>
      <c r="M210">
        <f t="shared" si="87"/>
        <v>2382143099</v>
      </c>
      <c r="N210">
        <f t="shared" si="87"/>
        <v>2425911586</v>
      </c>
      <c r="O210">
        <f t="shared" si="87"/>
        <v>2378877865</v>
      </c>
      <c r="P210">
        <f t="shared" si="87"/>
        <v>2323743506</v>
      </c>
      <c r="Q210">
        <f t="shared" si="87"/>
        <v>2369082219</v>
      </c>
      <c r="R210">
        <f t="shared" si="87"/>
        <v>2341515029</v>
      </c>
      <c r="S210">
        <f t="shared" si="87"/>
        <v>2463149605</v>
      </c>
    </row>
    <row r="211" spans="1:19">
      <c r="A211" t="s">
        <v>26</v>
      </c>
      <c r="B211" t="s">
        <v>20</v>
      </c>
      <c r="C211" t="s">
        <v>2253</v>
      </c>
      <c r="D211" t="s">
        <v>2254</v>
      </c>
      <c r="G211">
        <f t="shared" si="78"/>
        <v>3938347447</v>
      </c>
      <c r="H211">
        <v>289599259</v>
      </c>
      <c r="I211">
        <v>292289529</v>
      </c>
      <c r="J211">
        <v>318300843</v>
      </c>
      <c r="K211">
        <v>323396246</v>
      </c>
      <c r="L211">
        <v>331272583</v>
      </c>
      <c r="M211">
        <v>340306157</v>
      </c>
      <c r="N211">
        <v>346558798</v>
      </c>
      <c r="O211">
        <v>339839695</v>
      </c>
      <c r="P211">
        <v>331963358</v>
      </c>
      <c r="Q211">
        <v>338440317</v>
      </c>
      <c r="R211">
        <v>334502147</v>
      </c>
      <c r="S211">
        <v>351878515</v>
      </c>
    </row>
    <row r="212" spans="1:19">
      <c r="A212" t="s">
        <v>26</v>
      </c>
      <c r="B212" t="s">
        <v>20</v>
      </c>
      <c r="C212" t="s">
        <v>2255</v>
      </c>
      <c r="D212" t="s">
        <v>2256</v>
      </c>
      <c r="G212">
        <f t="shared" si="78"/>
        <v>3938347447</v>
      </c>
      <c r="H212">
        <v>289599259</v>
      </c>
      <c r="I212">
        <v>292289529</v>
      </c>
      <c r="J212">
        <v>318300843</v>
      </c>
      <c r="K212">
        <v>323396246</v>
      </c>
      <c r="L212">
        <v>331272583</v>
      </c>
      <c r="M212">
        <v>340306157</v>
      </c>
      <c r="N212">
        <v>346558798</v>
      </c>
      <c r="O212">
        <v>339839695</v>
      </c>
      <c r="P212">
        <v>331963358</v>
      </c>
      <c r="Q212">
        <v>338440317</v>
      </c>
      <c r="R212">
        <v>334502147</v>
      </c>
      <c r="S212">
        <v>351878515</v>
      </c>
    </row>
    <row r="213" spans="1:19">
      <c r="A213" t="s">
        <v>26</v>
      </c>
      <c r="B213" t="s">
        <v>20</v>
      </c>
      <c r="C213" t="s">
        <v>2257</v>
      </c>
      <c r="D213" t="s">
        <v>2258</v>
      </c>
      <c r="G213">
        <f t="shared" si="78"/>
        <v>3938347447</v>
      </c>
      <c r="H213">
        <v>289599259</v>
      </c>
      <c r="I213">
        <v>292289529</v>
      </c>
      <c r="J213">
        <v>318300843</v>
      </c>
      <c r="K213">
        <v>323396246</v>
      </c>
      <c r="L213">
        <v>331272583</v>
      </c>
      <c r="M213">
        <v>340306157</v>
      </c>
      <c r="N213">
        <v>346558798</v>
      </c>
      <c r="O213">
        <v>339839695</v>
      </c>
      <c r="P213">
        <v>331963358</v>
      </c>
      <c r="Q213">
        <v>338440317</v>
      </c>
      <c r="R213">
        <v>334502147</v>
      </c>
      <c r="S213">
        <v>351878515</v>
      </c>
    </row>
    <row r="214" spans="1:19">
      <c r="A214" t="s">
        <v>26</v>
      </c>
      <c r="B214" t="s">
        <v>20</v>
      </c>
      <c r="C214" t="s">
        <v>2259</v>
      </c>
      <c r="D214" t="s">
        <v>2260</v>
      </c>
      <c r="G214">
        <f t="shared" si="78"/>
        <v>3938347447</v>
      </c>
      <c r="H214">
        <v>289599259</v>
      </c>
      <c r="I214">
        <v>292289529</v>
      </c>
      <c r="J214">
        <v>318300843</v>
      </c>
      <c r="K214">
        <v>323396246</v>
      </c>
      <c r="L214">
        <v>331272583</v>
      </c>
      <c r="M214">
        <v>340306157</v>
      </c>
      <c r="N214">
        <v>346558798</v>
      </c>
      <c r="O214">
        <v>339839695</v>
      </c>
      <c r="P214">
        <v>331963358</v>
      </c>
      <c r="Q214">
        <v>338440317</v>
      </c>
      <c r="R214">
        <v>334502147</v>
      </c>
      <c r="S214">
        <v>351878515</v>
      </c>
    </row>
    <row r="215" spans="1:19">
      <c r="A215" t="s">
        <v>26</v>
      </c>
      <c r="B215" t="s">
        <v>20</v>
      </c>
      <c r="C215" t="s">
        <v>2261</v>
      </c>
      <c r="D215" t="s">
        <v>2262</v>
      </c>
      <c r="G215">
        <f t="shared" si="78"/>
        <v>3938347447</v>
      </c>
      <c r="H215">
        <v>289599259</v>
      </c>
      <c r="I215">
        <v>292289529</v>
      </c>
      <c r="J215">
        <v>318300843</v>
      </c>
      <c r="K215">
        <v>323396246</v>
      </c>
      <c r="L215">
        <v>331272583</v>
      </c>
      <c r="M215">
        <v>340306157</v>
      </c>
      <c r="N215">
        <v>346558798</v>
      </c>
      <c r="O215">
        <v>339839695</v>
      </c>
      <c r="P215">
        <v>331963358</v>
      </c>
      <c r="Q215">
        <v>338440317</v>
      </c>
      <c r="R215">
        <v>334502147</v>
      </c>
      <c r="S215">
        <v>351878515</v>
      </c>
    </row>
    <row r="216" spans="1:19">
      <c r="A216" t="s">
        <v>26</v>
      </c>
      <c r="B216" t="s">
        <v>20</v>
      </c>
      <c r="C216" t="s">
        <v>2263</v>
      </c>
      <c r="D216" t="s">
        <v>2264</v>
      </c>
      <c r="G216">
        <f t="shared" si="78"/>
        <v>3938347447</v>
      </c>
      <c r="H216">
        <v>289599259</v>
      </c>
      <c r="I216">
        <v>292289529</v>
      </c>
      <c r="J216">
        <v>318300843</v>
      </c>
      <c r="K216">
        <v>323396246</v>
      </c>
      <c r="L216">
        <v>331272583</v>
      </c>
      <c r="M216">
        <v>340306157</v>
      </c>
      <c r="N216">
        <v>346558798</v>
      </c>
      <c r="O216">
        <v>339839695</v>
      </c>
      <c r="P216">
        <v>331963358</v>
      </c>
      <c r="Q216">
        <v>338440317</v>
      </c>
      <c r="R216">
        <v>334502147</v>
      </c>
      <c r="S216">
        <v>351878515</v>
      </c>
    </row>
    <row r="217" spans="1:19">
      <c r="A217" t="s">
        <v>26</v>
      </c>
      <c r="B217" t="s">
        <v>20</v>
      </c>
      <c r="C217" t="s">
        <v>2265</v>
      </c>
      <c r="D217" t="s">
        <v>179</v>
      </c>
      <c r="G217">
        <f t="shared" si="78"/>
        <v>3938347447</v>
      </c>
      <c r="H217">
        <v>289599259</v>
      </c>
      <c r="I217">
        <v>292289529</v>
      </c>
      <c r="J217">
        <v>318300843</v>
      </c>
      <c r="K217">
        <v>323396246</v>
      </c>
      <c r="L217">
        <v>331272583</v>
      </c>
      <c r="M217">
        <v>340306157</v>
      </c>
      <c r="N217">
        <v>346558798</v>
      </c>
      <c r="O217">
        <v>339839695</v>
      </c>
      <c r="P217">
        <v>331963358</v>
      </c>
      <c r="Q217">
        <v>338440317</v>
      </c>
      <c r="R217">
        <v>334502147</v>
      </c>
      <c r="S217">
        <v>351878515</v>
      </c>
    </row>
    <row r="218" spans="1:19">
      <c r="A218" t="s">
        <v>23</v>
      </c>
      <c r="B218" t="s">
        <v>20</v>
      </c>
      <c r="C218" t="s">
        <v>2266</v>
      </c>
      <c r="D218" t="s">
        <v>2267</v>
      </c>
      <c r="G218">
        <f t="shared" si="78"/>
        <v>0.42</v>
      </c>
      <c r="H218">
        <f t="shared" ref="H218:S218" si="88">H219</f>
        <v>0.0343</v>
      </c>
      <c r="I218">
        <f t="shared" si="88"/>
        <v>0.034427</v>
      </c>
      <c r="J218">
        <f t="shared" si="88"/>
        <v>0.034555</v>
      </c>
      <c r="K218">
        <f t="shared" si="88"/>
        <v>0.034682</v>
      </c>
      <c r="L218">
        <f t="shared" si="88"/>
        <v>0.034809</v>
      </c>
      <c r="M218">
        <f t="shared" si="88"/>
        <v>0.034936</v>
      </c>
      <c r="N218">
        <f t="shared" si="88"/>
        <v>0.035064</v>
      </c>
      <c r="O218">
        <f t="shared" si="88"/>
        <v>0.035191</v>
      </c>
      <c r="P218">
        <f t="shared" si="88"/>
        <v>0.035318</v>
      </c>
      <c r="Q218">
        <f t="shared" si="88"/>
        <v>0.035445</v>
      </c>
      <c r="R218">
        <f t="shared" si="88"/>
        <v>0.035573</v>
      </c>
      <c r="S218">
        <f t="shared" si="88"/>
        <v>0.0357</v>
      </c>
    </row>
    <row r="219" spans="1:19">
      <c r="A219" t="s">
        <v>26</v>
      </c>
      <c r="B219" t="s">
        <v>179</v>
      </c>
      <c r="C219" t="s">
        <v>2268</v>
      </c>
      <c r="D219" t="s">
        <v>2148</v>
      </c>
      <c r="G219">
        <f t="shared" si="78"/>
        <v>0.42</v>
      </c>
      <c r="H219">
        <v>0.0343</v>
      </c>
      <c r="I219">
        <v>0.034427</v>
      </c>
      <c r="J219">
        <v>0.034555</v>
      </c>
      <c r="K219">
        <v>0.034682</v>
      </c>
      <c r="L219">
        <v>0.034809</v>
      </c>
      <c r="M219">
        <v>0.034936</v>
      </c>
      <c r="N219">
        <v>0.035064</v>
      </c>
      <c r="O219">
        <v>0.035191</v>
      </c>
      <c r="P219">
        <v>0.035318</v>
      </c>
      <c r="Q219">
        <v>0.035445</v>
      </c>
      <c r="R219">
        <v>0.035573</v>
      </c>
      <c r="S219">
        <v>0.0357</v>
      </c>
    </row>
    <row r="220" spans="1:19">
      <c r="A220" t="s">
        <v>23</v>
      </c>
      <c r="B220" t="s">
        <v>20</v>
      </c>
      <c r="C220" t="s">
        <v>2269</v>
      </c>
      <c r="D220" t="s">
        <v>2270</v>
      </c>
      <c r="G220">
        <f t="shared" si="78"/>
        <v>0.42</v>
      </c>
      <c r="H220">
        <f t="shared" ref="H220:S220" si="89">H221</f>
        <v>0.0343</v>
      </c>
      <c r="I220">
        <f t="shared" si="89"/>
        <v>0.034427</v>
      </c>
      <c r="J220">
        <f t="shared" si="89"/>
        <v>0.034555</v>
      </c>
      <c r="K220">
        <f t="shared" si="89"/>
        <v>0.034682</v>
      </c>
      <c r="L220">
        <f t="shared" si="89"/>
        <v>0.034809</v>
      </c>
      <c r="M220">
        <f t="shared" si="89"/>
        <v>0.034936</v>
      </c>
      <c r="N220">
        <f t="shared" si="89"/>
        <v>0.035064</v>
      </c>
      <c r="O220">
        <f t="shared" si="89"/>
        <v>0.035191</v>
      </c>
      <c r="P220">
        <f t="shared" si="89"/>
        <v>0.035318</v>
      </c>
      <c r="Q220">
        <f t="shared" si="89"/>
        <v>0.035445</v>
      </c>
      <c r="R220">
        <f t="shared" si="89"/>
        <v>0.035573</v>
      </c>
      <c r="S220">
        <f t="shared" si="89"/>
        <v>0.0357</v>
      </c>
    </row>
    <row r="221" spans="1:19">
      <c r="A221" t="s">
        <v>26</v>
      </c>
      <c r="B221" t="s">
        <v>179</v>
      </c>
      <c r="C221" t="s">
        <v>2271</v>
      </c>
      <c r="D221" t="s">
        <v>2148</v>
      </c>
      <c r="G221">
        <f t="shared" si="78"/>
        <v>0.42</v>
      </c>
      <c r="H221">
        <v>0.0343</v>
      </c>
      <c r="I221">
        <v>0.034427</v>
      </c>
      <c r="J221">
        <v>0.034555</v>
      </c>
      <c r="K221">
        <v>0.034682</v>
      </c>
      <c r="L221">
        <v>0.034809</v>
      </c>
      <c r="M221">
        <v>0.034936</v>
      </c>
      <c r="N221">
        <v>0.035064</v>
      </c>
      <c r="O221">
        <v>0.035191</v>
      </c>
      <c r="P221">
        <v>0.035318</v>
      </c>
      <c r="Q221">
        <v>0.035445</v>
      </c>
      <c r="R221">
        <v>0.035573</v>
      </c>
      <c r="S221">
        <v>0.0357</v>
      </c>
    </row>
    <row r="222" spans="1:19">
      <c r="A222" t="s">
        <v>23</v>
      </c>
      <c r="B222" t="s">
        <v>20</v>
      </c>
      <c r="C222" t="s">
        <v>2272</v>
      </c>
      <c r="D222" t="s">
        <v>2273</v>
      </c>
      <c r="G222">
        <f t="shared" si="78"/>
        <v>0.42</v>
      </c>
      <c r="H222">
        <f t="shared" ref="H222:S222" si="90">H223</f>
        <v>0.0343</v>
      </c>
      <c r="I222">
        <f t="shared" si="90"/>
        <v>0.034427</v>
      </c>
      <c r="J222">
        <f t="shared" si="90"/>
        <v>0.034555</v>
      </c>
      <c r="K222">
        <f t="shared" si="90"/>
        <v>0.034682</v>
      </c>
      <c r="L222">
        <f t="shared" si="90"/>
        <v>0.034809</v>
      </c>
      <c r="M222">
        <f t="shared" si="90"/>
        <v>0.034936</v>
      </c>
      <c r="N222">
        <f t="shared" si="90"/>
        <v>0.035064</v>
      </c>
      <c r="O222">
        <f t="shared" si="90"/>
        <v>0.035191</v>
      </c>
      <c r="P222">
        <f t="shared" si="90"/>
        <v>0.035318</v>
      </c>
      <c r="Q222">
        <f t="shared" si="90"/>
        <v>0.035445</v>
      </c>
      <c r="R222">
        <f t="shared" si="90"/>
        <v>0.035573</v>
      </c>
      <c r="S222">
        <f t="shared" si="90"/>
        <v>0.0357</v>
      </c>
    </row>
    <row r="223" spans="1:19">
      <c r="A223" t="s">
        <v>26</v>
      </c>
      <c r="B223" t="s">
        <v>179</v>
      </c>
      <c r="C223" t="s">
        <v>2274</v>
      </c>
      <c r="D223" t="s">
        <v>1074</v>
      </c>
      <c r="G223">
        <f t="shared" si="78"/>
        <v>0.42</v>
      </c>
      <c r="H223">
        <v>0.0343</v>
      </c>
      <c r="I223">
        <v>0.034427</v>
      </c>
      <c r="J223">
        <v>0.034555</v>
      </c>
      <c r="K223">
        <v>0.034682</v>
      </c>
      <c r="L223">
        <v>0.034809</v>
      </c>
      <c r="M223">
        <v>0.034936</v>
      </c>
      <c r="N223">
        <v>0.035064</v>
      </c>
      <c r="O223">
        <v>0.035191</v>
      </c>
      <c r="P223">
        <v>0.035318</v>
      </c>
      <c r="Q223">
        <v>0.035445</v>
      </c>
      <c r="R223">
        <v>0.035573</v>
      </c>
      <c r="S223">
        <v>0.0357</v>
      </c>
    </row>
    <row r="224" spans="1:19">
      <c r="A224" t="s">
        <v>23</v>
      </c>
      <c r="B224" t="s">
        <v>20</v>
      </c>
      <c r="C224" t="s">
        <v>2275</v>
      </c>
      <c r="D224" t="s">
        <v>2276</v>
      </c>
      <c r="G224">
        <f t="shared" si="78"/>
        <v>0.42</v>
      </c>
      <c r="H224">
        <f t="shared" ref="H224:S224" si="91">H225</f>
        <v>0.0343</v>
      </c>
      <c r="I224">
        <f t="shared" si="91"/>
        <v>0.034427</v>
      </c>
      <c r="J224">
        <f t="shared" si="91"/>
        <v>0.034555</v>
      </c>
      <c r="K224">
        <f t="shared" si="91"/>
        <v>0.034682</v>
      </c>
      <c r="L224">
        <f t="shared" si="91"/>
        <v>0.034809</v>
      </c>
      <c r="M224">
        <f t="shared" si="91"/>
        <v>0.034936</v>
      </c>
      <c r="N224">
        <f t="shared" si="91"/>
        <v>0.035064</v>
      </c>
      <c r="O224">
        <f t="shared" si="91"/>
        <v>0.035191</v>
      </c>
      <c r="P224">
        <f t="shared" si="91"/>
        <v>0.035318</v>
      </c>
      <c r="Q224">
        <f t="shared" si="91"/>
        <v>0.035445</v>
      </c>
      <c r="R224">
        <f t="shared" si="91"/>
        <v>0.035573</v>
      </c>
      <c r="S224">
        <f t="shared" si="91"/>
        <v>0.0357</v>
      </c>
    </row>
    <row r="225" spans="1:19">
      <c r="A225" t="s">
        <v>26</v>
      </c>
      <c r="B225" t="s">
        <v>179</v>
      </c>
      <c r="C225" t="s">
        <v>2277</v>
      </c>
      <c r="D225" t="s">
        <v>1074</v>
      </c>
      <c r="G225">
        <f t="shared" si="78"/>
        <v>0.42</v>
      </c>
      <c r="H225">
        <v>0.0343</v>
      </c>
      <c r="I225">
        <v>0.034427</v>
      </c>
      <c r="J225">
        <v>0.034555</v>
      </c>
      <c r="K225">
        <v>0.034682</v>
      </c>
      <c r="L225">
        <v>0.034809</v>
      </c>
      <c r="M225">
        <v>0.034936</v>
      </c>
      <c r="N225">
        <v>0.035064</v>
      </c>
      <c r="O225">
        <v>0.035191</v>
      </c>
      <c r="P225">
        <v>0.035318</v>
      </c>
      <c r="Q225">
        <v>0.035445</v>
      </c>
      <c r="R225">
        <v>0.035573</v>
      </c>
      <c r="S225">
        <v>0.0357</v>
      </c>
    </row>
    <row r="226" spans="1:19">
      <c r="A226" t="s">
        <v>23</v>
      </c>
      <c r="B226" t="s">
        <v>20</v>
      </c>
      <c r="C226" t="s">
        <v>2278</v>
      </c>
      <c r="D226" t="s">
        <v>2134</v>
      </c>
      <c r="G226">
        <f t="shared" si="78"/>
        <v>0.216</v>
      </c>
      <c r="H226">
        <f t="shared" ref="H226:S226" si="92">H227</f>
        <v>0.01764</v>
      </c>
      <c r="I226">
        <f t="shared" si="92"/>
        <v>0.017705</v>
      </c>
      <c r="J226">
        <f t="shared" si="92"/>
        <v>0.017771</v>
      </c>
      <c r="K226">
        <f t="shared" si="92"/>
        <v>0.017836</v>
      </c>
      <c r="L226">
        <f t="shared" si="92"/>
        <v>0.017902</v>
      </c>
      <c r="M226">
        <f t="shared" si="92"/>
        <v>0.017967</v>
      </c>
      <c r="N226">
        <f t="shared" si="92"/>
        <v>0.018033</v>
      </c>
      <c r="O226">
        <f t="shared" si="92"/>
        <v>0.018098</v>
      </c>
      <c r="P226">
        <f t="shared" si="92"/>
        <v>0.018164</v>
      </c>
      <c r="Q226">
        <f t="shared" si="92"/>
        <v>0.018229</v>
      </c>
      <c r="R226">
        <f t="shared" si="92"/>
        <v>0.018295</v>
      </c>
      <c r="S226">
        <f t="shared" si="92"/>
        <v>0.01836</v>
      </c>
    </row>
    <row r="227" spans="1:19">
      <c r="A227" t="s">
        <v>26</v>
      </c>
      <c r="B227" t="s">
        <v>179</v>
      </c>
      <c r="C227" t="s">
        <v>2279</v>
      </c>
      <c r="D227" t="s">
        <v>2223</v>
      </c>
      <c r="G227">
        <f t="shared" si="78"/>
        <v>0.216</v>
      </c>
      <c r="H227">
        <v>0.01764</v>
      </c>
      <c r="I227">
        <v>0.017705</v>
      </c>
      <c r="J227">
        <v>0.017771</v>
      </c>
      <c r="K227">
        <v>0.017836</v>
      </c>
      <c r="L227">
        <v>0.017902</v>
      </c>
      <c r="M227">
        <v>0.017967</v>
      </c>
      <c r="N227">
        <v>0.018033</v>
      </c>
      <c r="O227">
        <v>0.018098</v>
      </c>
      <c r="P227">
        <v>0.018164</v>
      </c>
      <c r="Q227">
        <v>0.018229</v>
      </c>
      <c r="R227">
        <v>0.018295</v>
      </c>
      <c r="S227">
        <v>0.01836</v>
      </c>
    </row>
    <row r="228" spans="1:19">
      <c r="A228" t="s">
        <v>23</v>
      </c>
      <c r="B228" t="s">
        <v>20</v>
      </c>
      <c r="C228" t="s">
        <v>2280</v>
      </c>
      <c r="D228" t="s">
        <v>2281</v>
      </c>
      <c r="G228">
        <f t="shared" si="78"/>
        <v>1575338949.68</v>
      </c>
      <c r="H228">
        <f t="shared" ref="H228:S228" si="93">H229+H234</f>
        <v>115839700.1372</v>
      </c>
      <c r="I228">
        <f t="shared" si="93"/>
        <v>116915808.137708</v>
      </c>
      <c r="J228">
        <f t="shared" si="93"/>
        <v>127320336.13822</v>
      </c>
      <c r="K228">
        <f t="shared" si="93"/>
        <v>129358496.138728</v>
      </c>
      <c r="L228">
        <f t="shared" si="93"/>
        <v>132509032.139236</v>
      </c>
      <c r="M228">
        <f t="shared" si="93"/>
        <v>136122460.139744</v>
      </c>
      <c r="N228">
        <f t="shared" si="93"/>
        <v>138623516.140256</v>
      </c>
      <c r="O228">
        <f t="shared" si="93"/>
        <v>135935876.140764</v>
      </c>
      <c r="P228">
        <f t="shared" si="93"/>
        <v>132785340.141272</v>
      </c>
      <c r="Q228">
        <f t="shared" si="93"/>
        <v>135376124.14178</v>
      </c>
      <c r="R228">
        <f t="shared" si="93"/>
        <v>133800856.142292</v>
      </c>
      <c r="S228">
        <f t="shared" si="93"/>
        <v>140751404.1428</v>
      </c>
    </row>
    <row r="229" spans="1:19">
      <c r="A229" t="s">
        <v>26</v>
      </c>
      <c r="B229" t="s">
        <v>20</v>
      </c>
      <c r="C229" t="s">
        <v>2282</v>
      </c>
      <c r="D229" t="s">
        <v>2067</v>
      </c>
      <c r="G229">
        <f t="shared" si="78"/>
        <v>787669474.84</v>
      </c>
      <c r="H229">
        <f t="shared" ref="H229:S229" si="94">H230+H231+H232+H233</f>
        <v>57919850.0686</v>
      </c>
      <c r="I229">
        <f t="shared" si="94"/>
        <v>58457904.068854</v>
      </c>
      <c r="J229">
        <f t="shared" si="94"/>
        <v>63660168.06911</v>
      </c>
      <c r="K229">
        <f t="shared" si="94"/>
        <v>64679248.069364</v>
      </c>
      <c r="L229">
        <f t="shared" si="94"/>
        <v>66254516.069618</v>
      </c>
      <c r="M229">
        <f t="shared" si="94"/>
        <v>68061230.069872</v>
      </c>
      <c r="N229">
        <f t="shared" si="94"/>
        <v>69311758.070128</v>
      </c>
      <c r="O229">
        <f t="shared" si="94"/>
        <v>67967938.070382</v>
      </c>
      <c r="P229">
        <f t="shared" si="94"/>
        <v>66392670.070636</v>
      </c>
      <c r="Q229">
        <f t="shared" si="94"/>
        <v>67688062.07089</v>
      </c>
      <c r="R229">
        <f t="shared" si="94"/>
        <v>66900428.071146</v>
      </c>
      <c r="S229">
        <f t="shared" si="94"/>
        <v>70375702.0714</v>
      </c>
    </row>
    <row r="230" spans="1:19">
      <c r="A230" t="s">
        <v>60</v>
      </c>
      <c r="B230" t="s">
        <v>20</v>
      </c>
      <c r="C230" t="s">
        <v>2283</v>
      </c>
      <c r="D230" t="s">
        <v>2073</v>
      </c>
      <c r="G230">
        <f t="shared" si="78"/>
        <v>393834737</v>
      </c>
      <c r="H230">
        <v>28959925</v>
      </c>
      <c r="I230">
        <v>29228952</v>
      </c>
      <c r="J230">
        <v>31830084</v>
      </c>
      <c r="K230">
        <v>32339624</v>
      </c>
      <c r="L230">
        <v>33127258</v>
      </c>
      <c r="M230">
        <v>34030615</v>
      </c>
      <c r="N230">
        <v>34655879</v>
      </c>
      <c r="O230">
        <v>33983969</v>
      </c>
      <c r="P230">
        <v>33196335</v>
      </c>
      <c r="Q230">
        <v>33844031</v>
      </c>
      <c r="R230">
        <v>33450214</v>
      </c>
      <c r="S230">
        <v>35187851</v>
      </c>
    </row>
    <row r="231" spans="1:19">
      <c r="A231" t="s">
        <v>60</v>
      </c>
      <c r="B231" t="s">
        <v>179</v>
      </c>
      <c r="C231" t="s">
        <v>2284</v>
      </c>
      <c r="D231" t="s">
        <v>2285</v>
      </c>
      <c r="G231">
        <f t="shared" si="78"/>
        <v>0.42</v>
      </c>
      <c r="H231">
        <v>0.0343</v>
      </c>
      <c r="I231">
        <v>0.034427</v>
      </c>
      <c r="J231">
        <v>0.034555</v>
      </c>
      <c r="K231">
        <v>0.034682</v>
      </c>
      <c r="L231">
        <v>0.034809</v>
      </c>
      <c r="M231">
        <v>0.034936</v>
      </c>
      <c r="N231">
        <v>0.035064</v>
      </c>
      <c r="O231">
        <v>0.035191</v>
      </c>
      <c r="P231">
        <v>0.035318</v>
      </c>
      <c r="Q231">
        <v>0.035445</v>
      </c>
      <c r="R231">
        <v>0.035573</v>
      </c>
      <c r="S231">
        <v>0.0357</v>
      </c>
    </row>
    <row r="232" spans="1:19">
      <c r="A232" t="s">
        <v>60</v>
      </c>
      <c r="B232" t="s">
        <v>20</v>
      </c>
      <c r="C232" t="s">
        <v>2286</v>
      </c>
      <c r="D232" t="s">
        <v>2077</v>
      </c>
      <c r="G232">
        <f t="shared" si="78"/>
        <v>393834737</v>
      </c>
      <c r="H232">
        <v>28959925</v>
      </c>
      <c r="I232">
        <v>29228952</v>
      </c>
      <c r="J232">
        <v>31830084</v>
      </c>
      <c r="K232">
        <v>32339624</v>
      </c>
      <c r="L232">
        <v>33127258</v>
      </c>
      <c r="M232">
        <v>34030615</v>
      </c>
      <c r="N232">
        <v>34655879</v>
      </c>
      <c r="O232">
        <v>33983969</v>
      </c>
      <c r="P232">
        <v>33196335</v>
      </c>
      <c r="Q232">
        <v>33844031</v>
      </c>
      <c r="R232">
        <v>33450214</v>
      </c>
      <c r="S232">
        <v>35187851</v>
      </c>
    </row>
    <row r="233" spans="1:19">
      <c r="A233" t="s">
        <v>60</v>
      </c>
      <c r="B233" t="s">
        <v>179</v>
      </c>
      <c r="C233" t="s">
        <v>2287</v>
      </c>
      <c r="D233" t="s">
        <v>2285</v>
      </c>
      <c r="G233">
        <f t="shared" si="78"/>
        <v>0.42</v>
      </c>
      <c r="H233">
        <v>0.0343</v>
      </c>
      <c r="I233">
        <v>0.034427</v>
      </c>
      <c r="J233">
        <v>0.034555</v>
      </c>
      <c r="K233">
        <v>0.034682</v>
      </c>
      <c r="L233">
        <v>0.034809</v>
      </c>
      <c r="M233">
        <v>0.034936</v>
      </c>
      <c r="N233">
        <v>0.035064</v>
      </c>
      <c r="O233">
        <v>0.035191</v>
      </c>
      <c r="P233">
        <v>0.035318</v>
      </c>
      <c r="Q233">
        <v>0.035445</v>
      </c>
      <c r="R233">
        <v>0.035573</v>
      </c>
      <c r="S233">
        <v>0.0357</v>
      </c>
    </row>
    <row r="234" spans="1:19">
      <c r="A234" t="s">
        <v>26</v>
      </c>
      <c r="B234" t="s">
        <v>20</v>
      </c>
      <c r="C234" t="s">
        <v>2288</v>
      </c>
      <c r="D234" t="s">
        <v>2289</v>
      </c>
      <c r="G234">
        <f t="shared" si="78"/>
        <v>787669474.84</v>
      </c>
      <c r="H234">
        <f t="shared" ref="H234:S234" si="95">H235+H236+H237+H238</f>
        <v>57919850.0686</v>
      </c>
      <c r="I234">
        <f t="shared" si="95"/>
        <v>58457904.068854</v>
      </c>
      <c r="J234">
        <f t="shared" si="95"/>
        <v>63660168.06911</v>
      </c>
      <c r="K234">
        <f t="shared" si="95"/>
        <v>64679248.069364</v>
      </c>
      <c r="L234">
        <f t="shared" si="95"/>
        <v>66254516.069618</v>
      </c>
      <c r="M234">
        <f t="shared" si="95"/>
        <v>68061230.069872</v>
      </c>
      <c r="N234">
        <f t="shared" si="95"/>
        <v>69311758.070128</v>
      </c>
      <c r="O234">
        <f t="shared" si="95"/>
        <v>67967938.070382</v>
      </c>
      <c r="P234">
        <f t="shared" si="95"/>
        <v>66392670.070636</v>
      </c>
      <c r="Q234">
        <f t="shared" si="95"/>
        <v>67688062.07089</v>
      </c>
      <c r="R234">
        <f t="shared" si="95"/>
        <v>66900428.071146</v>
      </c>
      <c r="S234">
        <f t="shared" si="95"/>
        <v>70375702.0714</v>
      </c>
    </row>
    <row r="235" spans="1:19">
      <c r="A235" t="s">
        <v>60</v>
      </c>
      <c r="B235" t="s">
        <v>20</v>
      </c>
      <c r="C235" t="s">
        <v>2290</v>
      </c>
      <c r="D235" t="s">
        <v>2097</v>
      </c>
      <c r="G235">
        <f t="shared" si="78"/>
        <v>393834737</v>
      </c>
      <c r="H235">
        <v>28959925</v>
      </c>
      <c r="I235">
        <v>29228952</v>
      </c>
      <c r="J235">
        <v>31830084</v>
      </c>
      <c r="K235">
        <v>32339624</v>
      </c>
      <c r="L235">
        <v>33127258</v>
      </c>
      <c r="M235">
        <v>34030615</v>
      </c>
      <c r="N235">
        <v>34655879</v>
      </c>
      <c r="O235">
        <v>33983969</v>
      </c>
      <c r="P235">
        <v>33196335</v>
      </c>
      <c r="Q235">
        <v>33844031</v>
      </c>
      <c r="R235">
        <v>33450214</v>
      </c>
      <c r="S235">
        <v>35187851</v>
      </c>
    </row>
    <row r="236" spans="1:19">
      <c r="A236" t="s">
        <v>60</v>
      </c>
      <c r="B236" t="s">
        <v>179</v>
      </c>
      <c r="C236" t="s">
        <v>2291</v>
      </c>
      <c r="D236" t="s">
        <v>2285</v>
      </c>
      <c r="G236">
        <f t="shared" si="78"/>
        <v>0.42</v>
      </c>
      <c r="H236">
        <v>0.0343</v>
      </c>
      <c r="I236">
        <v>0.034427</v>
      </c>
      <c r="J236">
        <v>0.034555</v>
      </c>
      <c r="K236">
        <v>0.034682</v>
      </c>
      <c r="L236">
        <v>0.034809</v>
      </c>
      <c r="M236">
        <v>0.034936</v>
      </c>
      <c r="N236">
        <v>0.035064</v>
      </c>
      <c r="O236">
        <v>0.035191</v>
      </c>
      <c r="P236">
        <v>0.035318</v>
      </c>
      <c r="Q236">
        <v>0.035445</v>
      </c>
      <c r="R236">
        <v>0.035573</v>
      </c>
      <c r="S236">
        <v>0.0357</v>
      </c>
    </row>
    <row r="237" spans="1:19">
      <c r="A237" t="s">
        <v>60</v>
      </c>
      <c r="B237" t="s">
        <v>20</v>
      </c>
      <c r="C237" t="s">
        <v>2292</v>
      </c>
      <c r="D237" t="s">
        <v>2099</v>
      </c>
      <c r="G237">
        <f t="shared" si="78"/>
        <v>393834737</v>
      </c>
      <c r="H237">
        <v>28959925</v>
      </c>
      <c r="I237">
        <v>29228952</v>
      </c>
      <c r="J237">
        <v>31830084</v>
      </c>
      <c r="K237">
        <v>32339624</v>
      </c>
      <c r="L237">
        <v>33127258</v>
      </c>
      <c r="M237">
        <v>34030615</v>
      </c>
      <c r="N237">
        <v>34655879</v>
      </c>
      <c r="O237">
        <v>33983969</v>
      </c>
      <c r="P237">
        <v>33196335</v>
      </c>
      <c r="Q237">
        <v>33844031</v>
      </c>
      <c r="R237">
        <v>33450214</v>
      </c>
      <c r="S237">
        <v>35187851</v>
      </c>
    </row>
    <row r="238" spans="1:19">
      <c r="A238" t="s">
        <v>60</v>
      </c>
      <c r="B238" t="s">
        <v>179</v>
      </c>
      <c r="C238" t="s">
        <v>2293</v>
      </c>
      <c r="D238" t="s">
        <v>2285</v>
      </c>
      <c r="G238">
        <f t="shared" si="78"/>
        <v>0.42</v>
      </c>
      <c r="H238">
        <v>0.0343</v>
      </c>
      <c r="I238">
        <v>0.034427</v>
      </c>
      <c r="J238">
        <v>0.034555</v>
      </c>
      <c r="K238">
        <v>0.034682</v>
      </c>
      <c r="L238">
        <v>0.034809</v>
      </c>
      <c r="M238">
        <v>0.034936</v>
      </c>
      <c r="N238">
        <v>0.035064</v>
      </c>
      <c r="O238">
        <v>0.035191</v>
      </c>
      <c r="P238">
        <v>0.035318</v>
      </c>
      <c r="Q238">
        <v>0.035445</v>
      </c>
      <c r="R238">
        <v>0.035573</v>
      </c>
      <c r="S238">
        <v>0.0357</v>
      </c>
    </row>
    <row r="239" spans="1:19">
      <c r="A239" t="s">
        <v>19</v>
      </c>
      <c r="B239" t="s">
        <v>20</v>
      </c>
      <c r="C239" t="s">
        <v>2294</v>
      </c>
      <c r="D239" t="s">
        <v>392</v>
      </c>
      <c r="G239">
        <f t="shared" si="78"/>
        <v>39383474599</v>
      </c>
      <c r="H239">
        <v>2895992597</v>
      </c>
      <c r="I239">
        <v>2922895301</v>
      </c>
      <c r="J239">
        <v>3183008437</v>
      </c>
      <c r="K239">
        <v>3233962473</v>
      </c>
      <c r="L239">
        <v>3312725838</v>
      </c>
      <c r="M239">
        <v>3403061581</v>
      </c>
      <c r="N239">
        <v>3465587994</v>
      </c>
      <c r="O239">
        <v>3398396959</v>
      </c>
      <c r="P239">
        <v>3319633593</v>
      </c>
      <c r="Q239">
        <v>3384403185</v>
      </c>
      <c r="R239">
        <v>3345021479</v>
      </c>
      <c r="S239">
        <v>3518785162</v>
      </c>
    </row>
    <row r="240" spans="1:19">
      <c r="A240" t="s">
        <v>19</v>
      </c>
      <c r="B240" t="s">
        <v>393</v>
      </c>
      <c r="C240" t="s">
        <v>2295</v>
      </c>
      <c r="D240" t="s">
        <v>395</v>
      </c>
      <c r="G240">
        <f t="shared" si="78"/>
        <v>21424609966</v>
      </c>
      <c r="H240">
        <f t="shared" ref="H240:S240" si="96">H241+H257</f>
        <v>1575419954</v>
      </c>
      <c r="I240">
        <f t="shared" si="96"/>
        <v>1590055020</v>
      </c>
      <c r="J240">
        <f t="shared" si="96"/>
        <v>1731556580</v>
      </c>
      <c r="K240">
        <f t="shared" si="96"/>
        <v>1759275568</v>
      </c>
      <c r="L240">
        <f t="shared" si="96"/>
        <v>1802122844</v>
      </c>
      <c r="M240">
        <f t="shared" si="96"/>
        <v>1851265482</v>
      </c>
      <c r="N240">
        <f t="shared" si="96"/>
        <v>1885279846</v>
      </c>
      <c r="O240">
        <f t="shared" si="96"/>
        <v>1848727930</v>
      </c>
      <c r="P240">
        <f t="shared" si="96"/>
        <v>1805880654</v>
      </c>
      <c r="Q240">
        <f t="shared" si="96"/>
        <v>1841115310</v>
      </c>
      <c r="R240">
        <f t="shared" si="96"/>
        <v>1819691668</v>
      </c>
      <c r="S240">
        <f t="shared" si="96"/>
        <v>1914219110</v>
      </c>
    </row>
    <row r="241" spans="1:19">
      <c r="A241" t="s">
        <v>23</v>
      </c>
      <c r="B241" t="s">
        <v>393</v>
      </c>
      <c r="C241" t="s">
        <v>2296</v>
      </c>
      <c r="D241" t="s">
        <v>397</v>
      </c>
      <c r="G241">
        <f t="shared" si="78"/>
        <v>10712304983</v>
      </c>
      <c r="H241">
        <f t="shared" ref="H241:S241" si="97">H242+H245+H248+H255+H256</f>
        <v>787709977</v>
      </c>
      <c r="I241">
        <f t="shared" si="97"/>
        <v>795027510</v>
      </c>
      <c r="J241">
        <f t="shared" si="97"/>
        <v>865778290</v>
      </c>
      <c r="K241">
        <f t="shared" si="97"/>
        <v>879637784</v>
      </c>
      <c r="L241">
        <f t="shared" si="97"/>
        <v>901061422</v>
      </c>
      <c r="M241">
        <f t="shared" si="97"/>
        <v>925632741</v>
      </c>
      <c r="N241">
        <f t="shared" si="97"/>
        <v>942639923</v>
      </c>
      <c r="O241">
        <f t="shared" si="97"/>
        <v>924363965</v>
      </c>
      <c r="P241">
        <f t="shared" si="97"/>
        <v>902940327</v>
      </c>
      <c r="Q241">
        <f t="shared" si="97"/>
        <v>920557655</v>
      </c>
      <c r="R241">
        <f t="shared" si="97"/>
        <v>909845834</v>
      </c>
      <c r="S241">
        <f t="shared" si="97"/>
        <v>957109555</v>
      </c>
    </row>
    <row r="242" spans="1:19">
      <c r="A242" t="s">
        <v>26</v>
      </c>
      <c r="B242" t="s">
        <v>393</v>
      </c>
      <c r="C242" t="s">
        <v>2297</v>
      </c>
      <c r="D242" t="s">
        <v>399</v>
      </c>
      <c r="G242">
        <f t="shared" si="78"/>
        <v>787669474</v>
      </c>
      <c r="H242">
        <f t="shared" ref="H242:S242" si="98">H243+H244</f>
        <v>57919850</v>
      </c>
      <c r="I242">
        <f t="shared" si="98"/>
        <v>58457904</v>
      </c>
      <c r="J242">
        <f t="shared" si="98"/>
        <v>63660168</v>
      </c>
      <c r="K242">
        <f t="shared" si="98"/>
        <v>64679248</v>
      </c>
      <c r="L242">
        <f t="shared" si="98"/>
        <v>66254516</v>
      </c>
      <c r="M242">
        <f t="shared" si="98"/>
        <v>68061230</v>
      </c>
      <c r="N242">
        <f t="shared" si="98"/>
        <v>69311758</v>
      </c>
      <c r="O242">
        <f t="shared" si="98"/>
        <v>67967938</v>
      </c>
      <c r="P242">
        <f t="shared" si="98"/>
        <v>66392670</v>
      </c>
      <c r="Q242">
        <f t="shared" si="98"/>
        <v>67688062</v>
      </c>
      <c r="R242">
        <f t="shared" si="98"/>
        <v>66900428</v>
      </c>
      <c r="S242">
        <f t="shared" si="98"/>
        <v>70375702</v>
      </c>
    </row>
    <row r="243" spans="1:19">
      <c r="A243" t="s">
        <v>60</v>
      </c>
      <c r="B243" t="s">
        <v>393</v>
      </c>
      <c r="C243" t="s">
        <v>2298</v>
      </c>
      <c r="D243" t="s">
        <v>401</v>
      </c>
      <c r="G243">
        <f t="shared" si="78"/>
        <v>393834737</v>
      </c>
      <c r="H243">
        <v>28959925</v>
      </c>
      <c r="I243">
        <v>29228952</v>
      </c>
      <c r="J243">
        <v>31830084</v>
      </c>
      <c r="K243">
        <v>32339624</v>
      </c>
      <c r="L243">
        <v>33127258</v>
      </c>
      <c r="M243">
        <v>34030615</v>
      </c>
      <c r="N243">
        <v>34655879</v>
      </c>
      <c r="O243">
        <v>33983969</v>
      </c>
      <c r="P243">
        <v>33196335</v>
      </c>
      <c r="Q243">
        <v>33844031</v>
      </c>
      <c r="R243">
        <v>33450214</v>
      </c>
      <c r="S243">
        <v>35187851</v>
      </c>
    </row>
    <row r="244" spans="1:19">
      <c r="A244" t="s">
        <v>60</v>
      </c>
      <c r="B244" t="s">
        <v>393</v>
      </c>
      <c r="C244" t="s">
        <v>2299</v>
      </c>
      <c r="D244" t="s">
        <v>49</v>
      </c>
      <c r="G244">
        <f t="shared" si="78"/>
        <v>393834737</v>
      </c>
      <c r="H244">
        <v>28959925</v>
      </c>
      <c r="I244">
        <v>29228952</v>
      </c>
      <c r="J244">
        <v>31830084</v>
      </c>
      <c r="K244">
        <v>32339624</v>
      </c>
      <c r="L244">
        <v>33127258</v>
      </c>
      <c r="M244">
        <v>34030615</v>
      </c>
      <c r="N244">
        <v>34655879</v>
      </c>
      <c r="O244">
        <v>33983969</v>
      </c>
      <c r="P244">
        <v>33196335</v>
      </c>
      <c r="Q244">
        <v>33844031</v>
      </c>
      <c r="R244">
        <v>33450214</v>
      </c>
      <c r="S244">
        <v>35187851</v>
      </c>
    </row>
    <row r="245" spans="1:19">
      <c r="A245" t="s">
        <v>26</v>
      </c>
      <c r="B245" t="s">
        <v>393</v>
      </c>
      <c r="C245" t="s">
        <v>2300</v>
      </c>
      <c r="D245" t="s">
        <v>51</v>
      </c>
      <c r="G245">
        <f t="shared" si="78"/>
        <v>787669474</v>
      </c>
      <c r="H245">
        <f t="shared" ref="H245:S245" si="99">H246+H247</f>
        <v>57919850</v>
      </c>
      <c r="I245">
        <f t="shared" si="99"/>
        <v>58457904</v>
      </c>
      <c r="J245">
        <f t="shared" si="99"/>
        <v>63660168</v>
      </c>
      <c r="K245">
        <f t="shared" si="99"/>
        <v>64679248</v>
      </c>
      <c r="L245">
        <f t="shared" si="99"/>
        <v>66254516</v>
      </c>
      <c r="M245">
        <f t="shared" si="99"/>
        <v>68061230</v>
      </c>
      <c r="N245">
        <f t="shared" si="99"/>
        <v>69311758</v>
      </c>
      <c r="O245">
        <f t="shared" si="99"/>
        <v>67967938</v>
      </c>
      <c r="P245">
        <f t="shared" si="99"/>
        <v>66392670</v>
      </c>
      <c r="Q245">
        <f t="shared" si="99"/>
        <v>67688062</v>
      </c>
      <c r="R245">
        <f t="shared" si="99"/>
        <v>66900428</v>
      </c>
      <c r="S245">
        <f t="shared" si="99"/>
        <v>70375702</v>
      </c>
    </row>
    <row r="246" spans="1:19">
      <c r="A246" t="s">
        <v>60</v>
      </c>
      <c r="B246" t="s">
        <v>393</v>
      </c>
      <c r="C246" t="s">
        <v>2301</v>
      </c>
      <c r="D246" t="s">
        <v>405</v>
      </c>
      <c r="G246">
        <f t="shared" si="78"/>
        <v>393834737</v>
      </c>
      <c r="H246">
        <v>28959925</v>
      </c>
      <c r="I246">
        <v>29228952</v>
      </c>
      <c r="J246">
        <v>31830084</v>
      </c>
      <c r="K246">
        <v>32339624</v>
      </c>
      <c r="L246">
        <v>33127258</v>
      </c>
      <c r="M246">
        <v>34030615</v>
      </c>
      <c r="N246">
        <v>34655879</v>
      </c>
      <c r="O246">
        <v>33983969</v>
      </c>
      <c r="P246">
        <v>33196335</v>
      </c>
      <c r="Q246">
        <v>33844031</v>
      </c>
      <c r="R246">
        <v>33450214</v>
      </c>
      <c r="S246">
        <v>35187851</v>
      </c>
    </row>
    <row r="247" spans="1:19">
      <c r="A247" t="s">
        <v>60</v>
      </c>
      <c r="B247" t="s">
        <v>393</v>
      </c>
      <c r="C247" t="s">
        <v>2302</v>
      </c>
      <c r="D247" t="s">
        <v>407</v>
      </c>
      <c r="G247">
        <f t="shared" si="78"/>
        <v>393834737</v>
      </c>
      <c r="H247">
        <v>28959925</v>
      </c>
      <c r="I247">
        <v>29228952</v>
      </c>
      <c r="J247">
        <v>31830084</v>
      </c>
      <c r="K247">
        <v>32339624</v>
      </c>
      <c r="L247">
        <v>33127258</v>
      </c>
      <c r="M247">
        <v>34030615</v>
      </c>
      <c r="N247">
        <v>34655879</v>
      </c>
      <c r="O247">
        <v>33983969</v>
      </c>
      <c r="P247">
        <v>33196335</v>
      </c>
      <c r="Q247">
        <v>33844031</v>
      </c>
      <c r="R247">
        <v>33450214</v>
      </c>
      <c r="S247">
        <v>35187851</v>
      </c>
    </row>
    <row r="248" spans="1:19">
      <c r="A248" t="s">
        <v>26</v>
      </c>
      <c r="B248" t="s">
        <v>393</v>
      </c>
      <c r="C248" t="s">
        <v>2303</v>
      </c>
      <c r="D248" t="s">
        <v>409</v>
      </c>
      <c r="G248">
        <f t="shared" si="78"/>
        <v>1260271141</v>
      </c>
      <c r="H248">
        <f t="shared" ref="H248:S248" si="100">H249+H252+H253+H254</f>
        <v>92671759</v>
      </c>
      <c r="I248">
        <f t="shared" si="100"/>
        <v>93532644</v>
      </c>
      <c r="J248">
        <f t="shared" si="100"/>
        <v>101856268</v>
      </c>
      <c r="K248">
        <f t="shared" si="100"/>
        <v>103486796</v>
      </c>
      <c r="L248">
        <f t="shared" si="100"/>
        <v>106007224</v>
      </c>
      <c r="M248">
        <f t="shared" si="100"/>
        <v>108897967</v>
      </c>
      <c r="N248">
        <f t="shared" si="100"/>
        <v>110898811</v>
      </c>
      <c r="O248">
        <f t="shared" si="100"/>
        <v>108748699</v>
      </c>
      <c r="P248">
        <f t="shared" si="100"/>
        <v>106228271</v>
      </c>
      <c r="Q248">
        <f t="shared" si="100"/>
        <v>108300897</v>
      </c>
      <c r="R248">
        <f t="shared" si="100"/>
        <v>107040684</v>
      </c>
      <c r="S248">
        <f t="shared" si="100"/>
        <v>112601121</v>
      </c>
    </row>
    <row r="249" spans="1:19">
      <c r="A249" t="s">
        <v>60</v>
      </c>
      <c r="B249" t="s">
        <v>393</v>
      </c>
      <c r="C249" t="s">
        <v>2304</v>
      </c>
      <c r="D249" t="s">
        <v>59</v>
      </c>
      <c r="G249">
        <f t="shared" si="78"/>
        <v>78766930</v>
      </c>
      <c r="H249">
        <f t="shared" ref="H249:S249" si="101">H250+H251</f>
        <v>5791984</v>
      </c>
      <c r="I249">
        <f t="shared" si="101"/>
        <v>5845788</v>
      </c>
      <c r="J249">
        <f t="shared" si="101"/>
        <v>6366016</v>
      </c>
      <c r="K249">
        <f t="shared" si="101"/>
        <v>6467924</v>
      </c>
      <c r="L249">
        <f t="shared" si="101"/>
        <v>6625450</v>
      </c>
      <c r="M249">
        <f t="shared" si="101"/>
        <v>6806122</v>
      </c>
      <c r="N249">
        <f t="shared" si="101"/>
        <v>6931174</v>
      </c>
      <c r="O249">
        <f t="shared" si="101"/>
        <v>6796792</v>
      </c>
      <c r="P249">
        <f t="shared" si="101"/>
        <v>6639266</v>
      </c>
      <c r="Q249">
        <f t="shared" si="101"/>
        <v>6768804</v>
      </c>
      <c r="R249">
        <f t="shared" si="101"/>
        <v>6690042</v>
      </c>
      <c r="S249">
        <f t="shared" si="101"/>
        <v>7037568</v>
      </c>
    </row>
    <row r="250" spans="1:19">
      <c r="A250" t="s">
        <v>192</v>
      </c>
      <c r="B250" t="s">
        <v>393</v>
      </c>
      <c r="C250" t="s">
        <v>2305</v>
      </c>
      <c r="D250" t="s">
        <v>62</v>
      </c>
      <c r="G250">
        <f t="shared" si="78"/>
        <v>39383465</v>
      </c>
      <c r="H250">
        <v>2895992</v>
      </c>
      <c r="I250">
        <v>2922894</v>
      </c>
      <c r="J250">
        <v>3183008</v>
      </c>
      <c r="K250">
        <v>3233962</v>
      </c>
      <c r="L250">
        <v>3312725</v>
      </c>
      <c r="M250">
        <v>3403061</v>
      </c>
      <c r="N250">
        <v>3465587</v>
      </c>
      <c r="O250">
        <v>3398396</v>
      </c>
      <c r="P250">
        <v>3319633</v>
      </c>
      <c r="Q250">
        <v>3384402</v>
      </c>
      <c r="R250">
        <v>3345021</v>
      </c>
      <c r="S250">
        <v>3518784</v>
      </c>
    </row>
    <row r="251" spans="1:19">
      <c r="A251" t="s">
        <v>192</v>
      </c>
      <c r="B251" t="s">
        <v>393</v>
      </c>
      <c r="C251" t="s">
        <v>2306</v>
      </c>
      <c r="D251" t="s">
        <v>64</v>
      </c>
      <c r="G251">
        <f t="shared" si="78"/>
        <v>39383465</v>
      </c>
      <c r="H251">
        <v>2895992</v>
      </c>
      <c r="I251">
        <v>2922894</v>
      </c>
      <c r="J251">
        <v>3183008</v>
      </c>
      <c r="K251">
        <v>3233962</v>
      </c>
      <c r="L251">
        <v>3312725</v>
      </c>
      <c r="M251">
        <v>3403061</v>
      </c>
      <c r="N251">
        <v>3465587</v>
      </c>
      <c r="O251">
        <v>3398396</v>
      </c>
      <c r="P251">
        <v>3319633</v>
      </c>
      <c r="Q251">
        <v>3384402</v>
      </c>
      <c r="R251">
        <v>3345021</v>
      </c>
      <c r="S251">
        <v>3518784</v>
      </c>
    </row>
    <row r="252" spans="1:19">
      <c r="A252" t="s">
        <v>60</v>
      </c>
      <c r="B252" t="s">
        <v>393</v>
      </c>
      <c r="C252" t="s">
        <v>2307</v>
      </c>
      <c r="D252" t="s">
        <v>414</v>
      </c>
      <c r="G252">
        <f t="shared" si="78"/>
        <v>393834737</v>
      </c>
      <c r="H252">
        <v>28959925</v>
      </c>
      <c r="I252">
        <v>29228952</v>
      </c>
      <c r="J252">
        <v>31830084</v>
      </c>
      <c r="K252">
        <v>32339624</v>
      </c>
      <c r="L252">
        <v>33127258</v>
      </c>
      <c r="M252">
        <v>34030615</v>
      </c>
      <c r="N252">
        <v>34655879</v>
      </c>
      <c r="O252">
        <v>33983969</v>
      </c>
      <c r="P252">
        <v>33196335</v>
      </c>
      <c r="Q252">
        <v>33844031</v>
      </c>
      <c r="R252">
        <v>33450214</v>
      </c>
      <c r="S252">
        <v>35187851</v>
      </c>
    </row>
    <row r="253" spans="1:19">
      <c r="A253" t="s">
        <v>60</v>
      </c>
      <c r="B253" t="s">
        <v>393</v>
      </c>
      <c r="C253" t="s">
        <v>2308</v>
      </c>
      <c r="D253" t="s">
        <v>68</v>
      </c>
      <c r="G253">
        <f t="shared" si="78"/>
        <v>393834737</v>
      </c>
      <c r="H253">
        <v>28959925</v>
      </c>
      <c r="I253">
        <v>29228952</v>
      </c>
      <c r="J253">
        <v>31830084</v>
      </c>
      <c r="K253">
        <v>32339624</v>
      </c>
      <c r="L253">
        <v>33127258</v>
      </c>
      <c r="M253">
        <v>34030615</v>
      </c>
      <c r="N253">
        <v>34655879</v>
      </c>
      <c r="O253">
        <v>33983969</v>
      </c>
      <c r="P253">
        <v>33196335</v>
      </c>
      <c r="Q253">
        <v>33844031</v>
      </c>
      <c r="R253">
        <v>33450214</v>
      </c>
      <c r="S253">
        <v>35187851</v>
      </c>
    </row>
    <row r="254" spans="1:19">
      <c r="A254" t="s">
        <v>60</v>
      </c>
      <c r="B254" t="s">
        <v>393</v>
      </c>
      <c r="C254" t="s">
        <v>2309</v>
      </c>
      <c r="D254" t="s">
        <v>70</v>
      </c>
      <c r="G254">
        <f t="shared" si="78"/>
        <v>393834737</v>
      </c>
      <c r="H254">
        <v>28959925</v>
      </c>
      <c r="I254">
        <v>29228952</v>
      </c>
      <c r="J254">
        <v>31830084</v>
      </c>
      <c r="K254">
        <v>32339624</v>
      </c>
      <c r="L254">
        <v>33127258</v>
      </c>
      <c r="M254">
        <v>34030615</v>
      </c>
      <c r="N254">
        <v>34655879</v>
      </c>
      <c r="O254">
        <v>33983969</v>
      </c>
      <c r="P254">
        <v>33196335</v>
      </c>
      <c r="Q254">
        <v>33844031</v>
      </c>
      <c r="R254">
        <v>33450214</v>
      </c>
      <c r="S254">
        <v>35187851</v>
      </c>
    </row>
    <row r="255" spans="1:19">
      <c r="A255" t="s">
        <v>26</v>
      </c>
      <c r="B255" t="s">
        <v>393</v>
      </c>
      <c r="C255" t="s">
        <v>2310</v>
      </c>
      <c r="D255" t="s">
        <v>418</v>
      </c>
      <c r="G255">
        <f t="shared" si="78"/>
        <v>3938347447</v>
      </c>
      <c r="H255">
        <v>289599259</v>
      </c>
      <c r="I255">
        <v>292289529</v>
      </c>
      <c r="J255">
        <v>318300843</v>
      </c>
      <c r="K255">
        <v>323396246</v>
      </c>
      <c r="L255">
        <v>331272583</v>
      </c>
      <c r="M255">
        <v>340306157</v>
      </c>
      <c r="N255">
        <v>346558798</v>
      </c>
      <c r="O255">
        <v>339839695</v>
      </c>
      <c r="P255">
        <v>331963358</v>
      </c>
      <c r="Q255">
        <v>338440317</v>
      </c>
      <c r="R255">
        <v>334502147</v>
      </c>
      <c r="S255">
        <v>351878515</v>
      </c>
    </row>
    <row r="256" spans="1:19">
      <c r="A256" t="s">
        <v>26</v>
      </c>
      <c r="B256" t="s">
        <v>393</v>
      </c>
      <c r="C256" t="s">
        <v>2311</v>
      </c>
      <c r="D256" t="s">
        <v>420</v>
      </c>
      <c r="G256">
        <f t="shared" si="78"/>
        <v>3938347447</v>
      </c>
      <c r="H256">
        <v>289599259</v>
      </c>
      <c r="I256">
        <v>292289529</v>
      </c>
      <c r="J256">
        <v>318300843</v>
      </c>
      <c r="K256">
        <v>323396246</v>
      </c>
      <c r="L256">
        <v>331272583</v>
      </c>
      <c r="M256">
        <v>340306157</v>
      </c>
      <c r="N256">
        <v>346558798</v>
      </c>
      <c r="O256">
        <v>339839695</v>
      </c>
      <c r="P256">
        <v>331963358</v>
      </c>
      <c r="Q256">
        <v>338440317</v>
      </c>
      <c r="R256">
        <v>334502147</v>
      </c>
      <c r="S256">
        <v>351878515</v>
      </c>
    </row>
    <row r="257" spans="1:19">
      <c r="A257" t="s">
        <v>23</v>
      </c>
      <c r="B257" t="s">
        <v>393</v>
      </c>
      <c r="C257" t="s">
        <v>2312</v>
      </c>
      <c r="D257" t="s">
        <v>422</v>
      </c>
      <c r="G257">
        <f t="shared" si="78"/>
        <v>10712304983</v>
      </c>
      <c r="H257">
        <f t="shared" ref="H257:S257" si="102">H258+H261+H264+H271+H272</f>
        <v>787709977</v>
      </c>
      <c r="I257">
        <f t="shared" si="102"/>
        <v>795027510</v>
      </c>
      <c r="J257">
        <f t="shared" si="102"/>
        <v>865778290</v>
      </c>
      <c r="K257">
        <f t="shared" si="102"/>
        <v>879637784</v>
      </c>
      <c r="L257">
        <f t="shared" si="102"/>
        <v>901061422</v>
      </c>
      <c r="M257">
        <f t="shared" si="102"/>
        <v>925632741</v>
      </c>
      <c r="N257">
        <f t="shared" si="102"/>
        <v>942639923</v>
      </c>
      <c r="O257">
        <f t="shared" si="102"/>
        <v>924363965</v>
      </c>
      <c r="P257">
        <f t="shared" si="102"/>
        <v>902940327</v>
      </c>
      <c r="Q257">
        <f t="shared" si="102"/>
        <v>920557655</v>
      </c>
      <c r="R257">
        <f t="shared" si="102"/>
        <v>909845834</v>
      </c>
      <c r="S257">
        <f t="shared" si="102"/>
        <v>957109555</v>
      </c>
    </row>
    <row r="258" spans="1:19">
      <c r="A258" t="s">
        <v>26</v>
      </c>
      <c r="B258" t="s">
        <v>393</v>
      </c>
      <c r="C258" t="s">
        <v>2313</v>
      </c>
      <c r="D258" t="s">
        <v>399</v>
      </c>
      <c r="G258">
        <f t="shared" ref="G258:G298" si="103">H258+I258+J258+K258+L258+M258+N258+O258+P258+Q258+R258+S258</f>
        <v>787669474</v>
      </c>
      <c r="H258">
        <f t="shared" ref="H258:S258" si="104">H259+H260</f>
        <v>57919850</v>
      </c>
      <c r="I258">
        <f t="shared" si="104"/>
        <v>58457904</v>
      </c>
      <c r="J258">
        <f t="shared" si="104"/>
        <v>63660168</v>
      </c>
      <c r="K258">
        <f t="shared" si="104"/>
        <v>64679248</v>
      </c>
      <c r="L258">
        <f t="shared" si="104"/>
        <v>66254516</v>
      </c>
      <c r="M258">
        <f t="shared" si="104"/>
        <v>68061230</v>
      </c>
      <c r="N258">
        <f t="shared" si="104"/>
        <v>69311758</v>
      </c>
      <c r="O258">
        <f t="shared" si="104"/>
        <v>67967938</v>
      </c>
      <c r="P258">
        <f t="shared" si="104"/>
        <v>66392670</v>
      </c>
      <c r="Q258">
        <f t="shared" si="104"/>
        <v>67688062</v>
      </c>
      <c r="R258">
        <f t="shared" si="104"/>
        <v>66900428</v>
      </c>
      <c r="S258">
        <f t="shared" si="104"/>
        <v>70375702</v>
      </c>
    </row>
    <row r="259" spans="1:19">
      <c r="A259" t="s">
        <v>60</v>
      </c>
      <c r="B259" t="s">
        <v>393</v>
      </c>
      <c r="C259" t="s">
        <v>2314</v>
      </c>
      <c r="D259" t="s">
        <v>401</v>
      </c>
      <c r="G259">
        <f t="shared" si="103"/>
        <v>393834737</v>
      </c>
      <c r="H259">
        <v>28959925</v>
      </c>
      <c r="I259">
        <v>29228952</v>
      </c>
      <c r="J259">
        <v>31830084</v>
      </c>
      <c r="K259">
        <v>32339624</v>
      </c>
      <c r="L259">
        <v>33127258</v>
      </c>
      <c r="M259">
        <v>34030615</v>
      </c>
      <c r="N259">
        <v>34655879</v>
      </c>
      <c r="O259">
        <v>33983969</v>
      </c>
      <c r="P259">
        <v>33196335</v>
      </c>
      <c r="Q259">
        <v>33844031</v>
      </c>
      <c r="R259">
        <v>33450214</v>
      </c>
      <c r="S259">
        <v>35187851</v>
      </c>
    </row>
    <row r="260" spans="1:19">
      <c r="A260" t="s">
        <v>60</v>
      </c>
      <c r="B260" t="s">
        <v>393</v>
      </c>
      <c r="C260" t="s">
        <v>2315</v>
      </c>
      <c r="D260" t="s">
        <v>49</v>
      </c>
      <c r="G260">
        <f t="shared" si="103"/>
        <v>393834737</v>
      </c>
      <c r="H260">
        <v>28959925</v>
      </c>
      <c r="I260">
        <v>29228952</v>
      </c>
      <c r="J260">
        <v>31830084</v>
      </c>
      <c r="K260">
        <v>32339624</v>
      </c>
      <c r="L260">
        <v>33127258</v>
      </c>
      <c r="M260">
        <v>34030615</v>
      </c>
      <c r="N260">
        <v>34655879</v>
      </c>
      <c r="O260">
        <v>33983969</v>
      </c>
      <c r="P260">
        <v>33196335</v>
      </c>
      <c r="Q260">
        <v>33844031</v>
      </c>
      <c r="R260">
        <v>33450214</v>
      </c>
      <c r="S260">
        <v>35187851</v>
      </c>
    </row>
    <row r="261" spans="1:19">
      <c r="A261" t="s">
        <v>26</v>
      </c>
      <c r="B261" t="s">
        <v>393</v>
      </c>
      <c r="C261" t="s">
        <v>2316</v>
      </c>
      <c r="D261" t="s">
        <v>51</v>
      </c>
      <c r="G261">
        <f t="shared" si="103"/>
        <v>787669474</v>
      </c>
      <c r="H261">
        <f t="shared" ref="H261:S261" si="105">H262+H263</f>
        <v>57919850</v>
      </c>
      <c r="I261">
        <f t="shared" si="105"/>
        <v>58457904</v>
      </c>
      <c r="J261">
        <f t="shared" si="105"/>
        <v>63660168</v>
      </c>
      <c r="K261">
        <f t="shared" si="105"/>
        <v>64679248</v>
      </c>
      <c r="L261">
        <f t="shared" si="105"/>
        <v>66254516</v>
      </c>
      <c r="M261">
        <f t="shared" si="105"/>
        <v>68061230</v>
      </c>
      <c r="N261">
        <f t="shared" si="105"/>
        <v>69311758</v>
      </c>
      <c r="O261">
        <f t="shared" si="105"/>
        <v>67967938</v>
      </c>
      <c r="P261">
        <f t="shared" si="105"/>
        <v>66392670</v>
      </c>
      <c r="Q261">
        <f t="shared" si="105"/>
        <v>67688062</v>
      </c>
      <c r="R261">
        <f t="shared" si="105"/>
        <v>66900428</v>
      </c>
      <c r="S261">
        <f t="shared" si="105"/>
        <v>70375702</v>
      </c>
    </row>
    <row r="262" spans="1:19">
      <c r="A262" t="s">
        <v>60</v>
      </c>
      <c r="B262" t="s">
        <v>393</v>
      </c>
      <c r="C262" t="s">
        <v>2317</v>
      </c>
      <c r="D262" t="s">
        <v>405</v>
      </c>
      <c r="G262">
        <f t="shared" si="103"/>
        <v>393834737</v>
      </c>
      <c r="H262">
        <v>28959925</v>
      </c>
      <c r="I262">
        <v>29228952</v>
      </c>
      <c r="J262">
        <v>31830084</v>
      </c>
      <c r="K262">
        <v>32339624</v>
      </c>
      <c r="L262">
        <v>33127258</v>
      </c>
      <c r="M262">
        <v>34030615</v>
      </c>
      <c r="N262">
        <v>34655879</v>
      </c>
      <c r="O262">
        <v>33983969</v>
      </c>
      <c r="P262">
        <v>33196335</v>
      </c>
      <c r="Q262">
        <v>33844031</v>
      </c>
      <c r="R262">
        <v>33450214</v>
      </c>
      <c r="S262">
        <v>35187851</v>
      </c>
    </row>
    <row r="263" spans="1:19">
      <c r="A263" t="s">
        <v>60</v>
      </c>
      <c r="B263" t="s">
        <v>393</v>
      </c>
      <c r="C263" t="s">
        <v>2318</v>
      </c>
      <c r="D263" t="s">
        <v>407</v>
      </c>
      <c r="G263">
        <f t="shared" si="103"/>
        <v>393834737</v>
      </c>
      <c r="H263">
        <v>28959925</v>
      </c>
      <c r="I263">
        <v>29228952</v>
      </c>
      <c r="J263">
        <v>31830084</v>
      </c>
      <c r="K263">
        <v>32339624</v>
      </c>
      <c r="L263">
        <v>33127258</v>
      </c>
      <c r="M263">
        <v>34030615</v>
      </c>
      <c r="N263">
        <v>34655879</v>
      </c>
      <c r="O263">
        <v>33983969</v>
      </c>
      <c r="P263">
        <v>33196335</v>
      </c>
      <c r="Q263">
        <v>33844031</v>
      </c>
      <c r="R263">
        <v>33450214</v>
      </c>
      <c r="S263">
        <v>35187851</v>
      </c>
    </row>
    <row r="264" spans="1:19">
      <c r="A264" t="s">
        <v>26</v>
      </c>
      <c r="B264" t="s">
        <v>393</v>
      </c>
      <c r="C264" t="s">
        <v>2319</v>
      </c>
      <c r="D264" t="s">
        <v>409</v>
      </c>
      <c r="G264">
        <f t="shared" si="103"/>
        <v>1260271141</v>
      </c>
      <c r="H264">
        <f t="shared" ref="H264:S264" si="106">H265+H268+H269+H270</f>
        <v>92671759</v>
      </c>
      <c r="I264">
        <f t="shared" si="106"/>
        <v>93532644</v>
      </c>
      <c r="J264">
        <f t="shared" si="106"/>
        <v>101856268</v>
      </c>
      <c r="K264">
        <f t="shared" si="106"/>
        <v>103486796</v>
      </c>
      <c r="L264">
        <f t="shared" si="106"/>
        <v>106007224</v>
      </c>
      <c r="M264">
        <f t="shared" si="106"/>
        <v>108897967</v>
      </c>
      <c r="N264">
        <f t="shared" si="106"/>
        <v>110898811</v>
      </c>
      <c r="O264">
        <f t="shared" si="106"/>
        <v>108748699</v>
      </c>
      <c r="P264">
        <f t="shared" si="106"/>
        <v>106228271</v>
      </c>
      <c r="Q264">
        <f t="shared" si="106"/>
        <v>108300897</v>
      </c>
      <c r="R264">
        <f t="shared" si="106"/>
        <v>107040684</v>
      </c>
      <c r="S264">
        <f t="shared" si="106"/>
        <v>112601121</v>
      </c>
    </row>
    <row r="265" spans="1:19">
      <c r="A265" t="s">
        <v>60</v>
      </c>
      <c r="B265" t="s">
        <v>393</v>
      </c>
      <c r="C265" t="s">
        <v>2320</v>
      </c>
      <c r="D265" t="s">
        <v>59</v>
      </c>
      <c r="G265">
        <f t="shared" si="103"/>
        <v>78766930</v>
      </c>
      <c r="H265">
        <f t="shared" ref="H265:S265" si="107">H266+H267</f>
        <v>5791984</v>
      </c>
      <c r="I265">
        <f t="shared" si="107"/>
        <v>5845788</v>
      </c>
      <c r="J265">
        <f t="shared" si="107"/>
        <v>6366016</v>
      </c>
      <c r="K265">
        <f t="shared" si="107"/>
        <v>6467924</v>
      </c>
      <c r="L265">
        <f t="shared" si="107"/>
        <v>6625450</v>
      </c>
      <c r="M265">
        <f t="shared" si="107"/>
        <v>6806122</v>
      </c>
      <c r="N265">
        <f t="shared" si="107"/>
        <v>6931174</v>
      </c>
      <c r="O265">
        <f t="shared" si="107"/>
        <v>6796792</v>
      </c>
      <c r="P265">
        <f t="shared" si="107"/>
        <v>6639266</v>
      </c>
      <c r="Q265">
        <f t="shared" si="107"/>
        <v>6768804</v>
      </c>
      <c r="R265">
        <f t="shared" si="107"/>
        <v>6690042</v>
      </c>
      <c r="S265">
        <f t="shared" si="107"/>
        <v>7037568</v>
      </c>
    </row>
    <row r="266" spans="1:19">
      <c r="A266" t="s">
        <v>192</v>
      </c>
      <c r="B266" t="s">
        <v>393</v>
      </c>
      <c r="C266" t="s">
        <v>2321</v>
      </c>
      <c r="D266" t="s">
        <v>62</v>
      </c>
      <c r="G266">
        <f t="shared" si="103"/>
        <v>39383465</v>
      </c>
      <c r="H266">
        <v>2895992</v>
      </c>
      <c r="I266">
        <v>2922894</v>
      </c>
      <c r="J266">
        <v>3183008</v>
      </c>
      <c r="K266">
        <v>3233962</v>
      </c>
      <c r="L266">
        <v>3312725</v>
      </c>
      <c r="M266">
        <v>3403061</v>
      </c>
      <c r="N266">
        <v>3465587</v>
      </c>
      <c r="O266">
        <v>3398396</v>
      </c>
      <c r="P266">
        <v>3319633</v>
      </c>
      <c r="Q266">
        <v>3384402</v>
      </c>
      <c r="R266">
        <v>3345021</v>
      </c>
      <c r="S266">
        <v>3518784</v>
      </c>
    </row>
    <row r="267" spans="1:19">
      <c r="A267" t="s">
        <v>192</v>
      </c>
      <c r="B267" t="s">
        <v>393</v>
      </c>
      <c r="C267" t="s">
        <v>2322</v>
      </c>
      <c r="D267" t="s">
        <v>64</v>
      </c>
      <c r="G267">
        <f t="shared" si="103"/>
        <v>39383465</v>
      </c>
      <c r="H267">
        <v>2895992</v>
      </c>
      <c r="I267">
        <v>2922894</v>
      </c>
      <c r="J267">
        <v>3183008</v>
      </c>
      <c r="K267">
        <v>3233962</v>
      </c>
      <c r="L267">
        <v>3312725</v>
      </c>
      <c r="M267">
        <v>3403061</v>
      </c>
      <c r="N267">
        <v>3465587</v>
      </c>
      <c r="O267">
        <v>3398396</v>
      </c>
      <c r="P267">
        <v>3319633</v>
      </c>
      <c r="Q267">
        <v>3384402</v>
      </c>
      <c r="R267">
        <v>3345021</v>
      </c>
      <c r="S267">
        <v>3518784</v>
      </c>
    </row>
    <row r="268" spans="1:19">
      <c r="A268" t="s">
        <v>60</v>
      </c>
      <c r="B268" t="s">
        <v>393</v>
      </c>
      <c r="C268" t="s">
        <v>2323</v>
      </c>
      <c r="D268" t="s">
        <v>414</v>
      </c>
      <c r="G268">
        <f t="shared" si="103"/>
        <v>393834737</v>
      </c>
      <c r="H268">
        <v>28959925</v>
      </c>
      <c r="I268">
        <v>29228952</v>
      </c>
      <c r="J268">
        <v>31830084</v>
      </c>
      <c r="K268">
        <v>32339624</v>
      </c>
      <c r="L268">
        <v>33127258</v>
      </c>
      <c r="M268">
        <v>34030615</v>
      </c>
      <c r="N268">
        <v>34655879</v>
      </c>
      <c r="O268">
        <v>33983969</v>
      </c>
      <c r="P268">
        <v>33196335</v>
      </c>
      <c r="Q268">
        <v>33844031</v>
      </c>
      <c r="R268">
        <v>33450214</v>
      </c>
      <c r="S268">
        <v>35187851</v>
      </c>
    </row>
    <row r="269" spans="1:19">
      <c r="A269" t="s">
        <v>60</v>
      </c>
      <c r="B269" t="s">
        <v>393</v>
      </c>
      <c r="C269" t="s">
        <v>2324</v>
      </c>
      <c r="D269" t="s">
        <v>68</v>
      </c>
      <c r="G269">
        <f t="shared" si="103"/>
        <v>393834737</v>
      </c>
      <c r="H269">
        <v>28959925</v>
      </c>
      <c r="I269">
        <v>29228952</v>
      </c>
      <c r="J269">
        <v>31830084</v>
      </c>
      <c r="K269">
        <v>32339624</v>
      </c>
      <c r="L269">
        <v>33127258</v>
      </c>
      <c r="M269">
        <v>34030615</v>
      </c>
      <c r="N269">
        <v>34655879</v>
      </c>
      <c r="O269">
        <v>33983969</v>
      </c>
      <c r="P269">
        <v>33196335</v>
      </c>
      <c r="Q269">
        <v>33844031</v>
      </c>
      <c r="R269">
        <v>33450214</v>
      </c>
      <c r="S269">
        <v>35187851</v>
      </c>
    </row>
    <row r="270" spans="1:19">
      <c r="A270" t="s">
        <v>60</v>
      </c>
      <c r="B270" t="s">
        <v>393</v>
      </c>
      <c r="C270" t="s">
        <v>2325</v>
      </c>
      <c r="D270" t="s">
        <v>70</v>
      </c>
      <c r="G270">
        <f t="shared" si="103"/>
        <v>393834737</v>
      </c>
      <c r="H270">
        <v>28959925</v>
      </c>
      <c r="I270">
        <v>29228952</v>
      </c>
      <c r="J270">
        <v>31830084</v>
      </c>
      <c r="K270">
        <v>32339624</v>
      </c>
      <c r="L270">
        <v>33127258</v>
      </c>
      <c r="M270">
        <v>34030615</v>
      </c>
      <c r="N270">
        <v>34655879</v>
      </c>
      <c r="O270">
        <v>33983969</v>
      </c>
      <c r="P270">
        <v>33196335</v>
      </c>
      <c r="Q270">
        <v>33844031</v>
      </c>
      <c r="R270">
        <v>33450214</v>
      </c>
      <c r="S270">
        <v>35187851</v>
      </c>
    </row>
    <row r="271" spans="1:19">
      <c r="A271" t="s">
        <v>26</v>
      </c>
      <c r="B271" t="s">
        <v>393</v>
      </c>
      <c r="C271" t="s">
        <v>2326</v>
      </c>
      <c r="D271" t="s">
        <v>418</v>
      </c>
      <c r="G271">
        <f t="shared" si="103"/>
        <v>3938347447</v>
      </c>
      <c r="H271">
        <v>289599259</v>
      </c>
      <c r="I271">
        <v>292289529</v>
      </c>
      <c r="J271">
        <v>318300843</v>
      </c>
      <c r="K271">
        <v>323396246</v>
      </c>
      <c r="L271">
        <v>331272583</v>
      </c>
      <c r="M271">
        <v>340306157</v>
      </c>
      <c r="N271">
        <v>346558798</v>
      </c>
      <c r="O271">
        <v>339839695</v>
      </c>
      <c r="P271">
        <v>331963358</v>
      </c>
      <c r="Q271">
        <v>338440317</v>
      </c>
      <c r="R271">
        <v>334502147</v>
      </c>
      <c r="S271">
        <v>351878515</v>
      </c>
    </row>
    <row r="272" spans="1:19">
      <c r="A272" t="s">
        <v>26</v>
      </c>
      <c r="B272" t="s">
        <v>393</v>
      </c>
      <c r="C272" t="s">
        <v>2327</v>
      </c>
      <c r="D272" t="s">
        <v>420</v>
      </c>
      <c r="G272">
        <f t="shared" si="103"/>
        <v>3938347447</v>
      </c>
      <c r="H272">
        <v>289599259</v>
      </c>
      <c r="I272">
        <v>292289529</v>
      </c>
      <c r="J272">
        <v>318300843</v>
      </c>
      <c r="K272">
        <v>323396246</v>
      </c>
      <c r="L272">
        <v>331272583</v>
      </c>
      <c r="M272">
        <v>340306157</v>
      </c>
      <c r="N272">
        <v>346558798</v>
      </c>
      <c r="O272">
        <v>339839695</v>
      </c>
      <c r="P272">
        <v>331963358</v>
      </c>
      <c r="Q272">
        <v>338440317</v>
      </c>
      <c r="R272">
        <v>334502147</v>
      </c>
      <c r="S272">
        <v>351878515</v>
      </c>
    </row>
    <row r="273" spans="1:19">
      <c r="A273" t="s">
        <v>19</v>
      </c>
      <c r="B273" t="s">
        <v>438</v>
      </c>
      <c r="C273" t="s">
        <v>2328</v>
      </c>
      <c r="D273" t="s">
        <v>440</v>
      </c>
      <c r="G273">
        <f t="shared" si="103"/>
        <v>15060677896</v>
      </c>
      <c r="H273">
        <f t="shared" ref="H273:S273" si="108">H274</f>
        <v>1065379400</v>
      </c>
      <c r="I273">
        <f t="shared" si="108"/>
        <v>1007981616</v>
      </c>
      <c r="J273">
        <f t="shared" si="108"/>
        <v>1183620672</v>
      </c>
      <c r="K273">
        <f t="shared" si="108"/>
        <v>1211516992</v>
      </c>
      <c r="L273">
        <f t="shared" si="108"/>
        <v>1241638064</v>
      </c>
      <c r="M273">
        <f t="shared" si="108"/>
        <v>1284594920</v>
      </c>
      <c r="N273">
        <f t="shared" si="108"/>
        <v>1325327032</v>
      </c>
      <c r="O273">
        <f t="shared" si="108"/>
        <v>1308041752</v>
      </c>
      <c r="P273">
        <f t="shared" si="108"/>
        <v>1277920680</v>
      </c>
      <c r="Q273">
        <f t="shared" si="108"/>
        <v>1378382248</v>
      </c>
      <c r="R273">
        <f t="shared" si="108"/>
        <v>1363321712</v>
      </c>
      <c r="S273">
        <f t="shared" si="108"/>
        <v>1412952808</v>
      </c>
    </row>
    <row r="274" spans="1:19">
      <c r="A274" t="s">
        <v>23</v>
      </c>
      <c r="B274" t="s">
        <v>438</v>
      </c>
      <c r="C274" t="s">
        <v>2329</v>
      </c>
      <c r="D274" t="s">
        <v>442</v>
      </c>
      <c r="G274">
        <f t="shared" si="103"/>
        <v>15060677896</v>
      </c>
      <c r="H274">
        <f t="shared" ref="H274:S274" si="109">H275+H280+H295</f>
        <v>1065379400</v>
      </c>
      <c r="I274">
        <f t="shared" si="109"/>
        <v>1007981616</v>
      </c>
      <c r="J274">
        <f t="shared" si="109"/>
        <v>1183620672</v>
      </c>
      <c r="K274">
        <f t="shared" si="109"/>
        <v>1211516992</v>
      </c>
      <c r="L274">
        <f t="shared" si="109"/>
        <v>1241638064</v>
      </c>
      <c r="M274">
        <f t="shared" si="109"/>
        <v>1284594920</v>
      </c>
      <c r="N274">
        <f t="shared" si="109"/>
        <v>1325327032</v>
      </c>
      <c r="O274">
        <f t="shared" si="109"/>
        <v>1308041752</v>
      </c>
      <c r="P274">
        <f t="shared" si="109"/>
        <v>1277920680</v>
      </c>
      <c r="Q274">
        <f t="shared" si="109"/>
        <v>1378382248</v>
      </c>
      <c r="R274">
        <f t="shared" si="109"/>
        <v>1363321712</v>
      </c>
      <c r="S274">
        <f t="shared" si="109"/>
        <v>1412952808</v>
      </c>
    </row>
    <row r="275" spans="1:19">
      <c r="A275" t="s">
        <v>26</v>
      </c>
      <c r="B275" t="s">
        <v>438</v>
      </c>
      <c r="C275" t="s">
        <v>2330</v>
      </c>
      <c r="D275" t="s">
        <v>444</v>
      </c>
      <c r="G275">
        <f t="shared" si="103"/>
        <v>110000000</v>
      </c>
      <c r="H275">
        <f t="shared" ref="H275:S275" si="110">H276+H277+H278+H279</f>
        <v>7700000</v>
      </c>
      <c r="I275">
        <f t="shared" si="110"/>
        <v>7150000</v>
      </c>
      <c r="J275">
        <f t="shared" si="110"/>
        <v>8580000</v>
      </c>
      <c r="K275">
        <f t="shared" si="110"/>
        <v>8800000</v>
      </c>
      <c r="L275">
        <f t="shared" si="110"/>
        <v>9020000</v>
      </c>
      <c r="M275">
        <f t="shared" si="110"/>
        <v>9350000</v>
      </c>
      <c r="N275">
        <f t="shared" si="110"/>
        <v>9680000</v>
      </c>
      <c r="O275">
        <f t="shared" si="110"/>
        <v>9570000</v>
      </c>
      <c r="P275">
        <f t="shared" si="110"/>
        <v>9350000</v>
      </c>
      <c r="Q275">
        <f t="shared" si="110"/>
        <v>10230000</v>
      </c>
      <c r="R275">
        <f t="shared" si="110"/>
        <v>10120000</v>
      </c>
      <c r="S275">
        <f t="shared" si="110"/>
        <v>10450000</v>
      </c>
    </row>
    <row r="276" spans="1:19">
      <c r="A276" t="s">
        <v>60</v>
      </c>
      <c r="B276" t="s">
        <v>438</v>
      </c>
      <c r="C276" t="s">
        <v>2331</v>
      </c>
      <c r="D276" t="s">
        <v>446</v>
      </c>
      <c r="G276">
        <f t="shared" si="103"/>
        <v>40000000</v>
      </c>
      <c r="H276">
        <v>2800000</v>
      </c>
      <c r="I276">
        <v>2600000</v>
      </c>
      <c r="J276">
        <v>3120000</v>
      </c>
      <c r="K276">
        <v>3200000</v>
      </c>
      <c r="L276">
        <v>3280000</v>
      </c>
      <c r="M276">
        <v>3400000</v>
      </c>
      <c r="N276">
        <v>3520000</v>
      </c>
      <c r="O276">
        <v>3480000</v>
      </c>
      <c r="P276">
        <v>3400000</v>
      </c>
      <c r="Q276">
        <v>3720000</v>
      </c>
      <c r="R276">
        <v>3680000</v>
      </c>
      <c r="S276">
        <v>3800000</v>
      </c>
    </row>
    <row r="277" spans="1:19">
      <c r="A277" t="s">
        <v>60</v>
      </c>
      <c r="B277" t="s">
        <v>438</v>
      </c>
      <c r="C277" t="s">
        <v>2332</v>
      </c>
      <c r="D277" t="s">
        <v>448</v>
      </c>
      <c r="G277">
        <f t="shared" si="103"/>
        <v>30000000</v>
      </c>
      <c r="H277">
        <v>2100000</v>
      </c>
      <c r="I277">
        <v>1950000</v>
      </c>
      <c r="J277">
        <v>2340000</v>
      </c>
      <c r="K277">
        <v>2400000</v>
      </c>
      <c r="L277">
        <v>2460000</v>
      </c>
      <c r="M277">
        <v>2550000</v>
      </c>
      <c r="N277">
        <v>2640000</v>
      </c>
      <c r="O277">
        <v>2610000</v>
      </c>
      <c r="P277">
        <v>2550000</v>
      </c>
      <c r="Q277">
        <v>2790000</v>
      </c>
      <c r="R277">
        <v>2760000</v>
      </c>
      <c r="S277">
        <v>2850000</v>
      </c>
    </row>
    <row r="278" spans="1:19">
      <c r="A278" t="s">
        <v>60</v>
      </c>
      <c r="B278" t="s">
        <v>438</v>
      </c>
      <c r="C278" t="s">
        <v>2333</v>
      </c>
      <c r="D278" t="s">
        <v>450</v>
      </c>
      <c r="G278">
        <f t="shared" si="103"/>
        <v>20000000</v>
      </c>
      <c r="H278">
        <v>1400000</v>
      </c>
      <c r="I278">
        <v>1300000</v>
      </c>
      <c r="J278">
        <v>1560000</v>
      </c>
      <c r="K278">
        <v>1600000</v>
      </c>
      <c r="L278">
        <v>1640000</v>
      </c>
      <c r="M278">
        <v>1700000</v>
      </c>
      <c r="N278">
        <v>1760000</v>
      </c>
      <c r="O278">
        <v>1740000</v>
      </c>
      <c r="P278">
        <v>1700000</v>
      </c>
      <c r="Q278">
        <v>1860000</v>
      </c>
      <c r="R278">
        <v>1840000</v>
      </c>
      <c r="S278">
        <v>1900000</v>
      </c>
    </row>
    <row r="279" spans="1:19">
      <c r="A279" t="s">
        <v>60</v>
      </c>
      <c r="B279" t="s">
        <v>438</v>
      </c>
      <c r="C279" t="s">
        <v>2334</v>
      </c>
      <c r="D279" t="s">
        <v>452</v>
      </c>
      <c r="G279">
        <f t="shared" si="103"/>
        <v>20000000</v>
      </c>
      <c r="H279">
        <v>1400000</v>
      </c>
      <c r="I279">
        <v>1300000</v>
      </c>
      <c r="J279">
        <v>1560000</v>
      </c>
      <c r="K279">
        <v>1600000</v>
      </c>
      <c r="L279">
        <v>1640000</v>
      </c>
      <c r="M279">
        <v>1700000</v>
      </c>
      <c r="N279">
        <v>1760000</v>
      </c>
      <c r="O279">
        <v>1740000</v>
      </c>
      <c r="P279">
        <v>1700000</v>
      </c>
      <c r="Q279">
        <v>1860000</v>
      </c>
      <c r="R279">
        <v>1840000</v>
      </c>
      <c r="S279">
        <v>1900000</v>
      </c>
    </row>
    <row r="280" spans="1:19">
      <c r="A280" t="s">
        <v>26</v>
      </c>
      <c r="B280" t="s">
        <v>438</v>
      </c>
      <c r="C280" t="s">
        <v>2335</v>
      </c>
      <c r="D280" t="s">
        <v>454</v>
      </c>
      <c r="G280">
        <f t="shared" si="103"/>
        <v>14860677896</v>
      </c>
      <c r="H280">
        <f t="shared" ref="H280:S280" si="111">H281+H282+H283+H284+H285+H286+H287+H288+H289+H290+H291+H292+H293+H294</f>
        <v>1051379400</v>
      </c>
      <c r="I280">
        <f t="shared" si="111"/>
        <v>994981616</v>
      </c>
      <c r="J280">
        <f t="shared" si="111"/>
        <v>1168020672</v>
      </c>
      <c r="K280">
        <f t="shared" si="111"/>
        <v>1195516992</v>
      </c>
      <c r="L280">
        <f t="shared" si="111"/>
        <v>1225238064</v>
      </c>
      <c r="M280">
        <f t="shared" si="111"/>
        <v>1267594920</v>
      </c>
      <c r="N280">
        <f t="shared" si="111"/>
        <v>1307727032</v>
      </c>
      <c r="O280">
        <f t="shared" si="111"/>
        <v>1290641752</v>
      </c>
      <c r="P280">
        <f t="shared" si="111"/>
        <v>1260920680</v>
      </c>
      <c r="Q280">
        <f t="shared" si="111"/>
        <v>1359782248</v>
      </c>
      <c r="R280">
        <f t="shared" si="111"/>
        <v>1344921712</v>
      </c>
      <c r="S280">
        <f t="shared" si="111"/>
        <v>1393952808</v>
      </c>
    </row>
    <row r="281" spans="1:19">
      <c r="A281" t="s">
        <v>60</v>
      </c>
      <c r="B281" t="s">
        <v>438</v>
      </c>
      <c r="C281" t="s">
        <v>2336</v>
      </c>
      <c r="D281" t="s">
        <v>456</v>
      </c>
      <c r="G281">
        <f t="shared" si="103"/>
        <v>393834737</v>
      </c>
      <c r="H281">
        <v>28959925</v>
      </c>
      <c r="I281">
        <v>29228952</v>
      </c>
      <c r="J281">
        <v>31830084</v>
      </c>
      <c r="K281">
        <v>32339624</v>
      </c>
      <c r="L281">
        <v>33127258</v>
      </c>
      <c r="M281">
        <v>34030615</v>
      </c>
      <c r="N281">
        <v>34655879</v>
      </c>
      <c r="O281">
        <v>33983969</v>
      </c>
      <c r="P281">
        <v>33196335</v>
      </c>
      <c r="Q281">
        <v>33844031</v>
      </c>
      <c r="R281">
        <v>33450214</v>
      </c>
      <c r="S281">
        <v>35187851</v>
      </c>
    </row>
    <row r="282" spans="1:19">
      <c r="A282" t="s">
        <v>60</v>
      </c>
      <c r="B282" t="s">
        <v>438</v>
      </c>
      <c r="C282" t="s">
        <v>2337</v>
      </c>
      <c r="D282" t="s">
        <v>458</v>
      </c>
      <c r="G282">
        <f t="shared" si="103"/>
        <v>40000000</v>
      </c>
      <c r="H282">
        <v>2800000</v>
      </c>
      <c r="I282">
        <v>2600000</v>
      </c>
      <c r="J282">
        <v>3120000</v>
      </c>
      <c r="K282">
        <v>3200000</v>
      </c>
      <c r="L282">
        <v>3280000</v>
      </c>
      <c r="M282">
        <v>3400000</v>
      </c>
      <c r="N282">
        <v>3520000</v>
      </c>
      <c r="O282">
        <v>3480000</v>
      </c>
      <c r="P282">
        <v>3400000</v>
      </c>
      <c r="Q282">
        <v>3720000</v>
      </c>
      <c r="R282">
        <v>3680000</v>
      </c>
      <c r="S282">
        <v>3800000</v>
      </c>
    </row>
    <row r="283" spans="1:19">
      <c r="A283" t="s">
        <v>60</v>
      </c>
      <c r="B283" t="s">
        <v>438</v>
      </c>
      <c r="C283" t="s">
        <v>2338</v>
      </c>
      <c r="D283" t="s">
        <v>460</v>
      </c>
      <c r="G283">
        <f t="shared" si="103"/>
        <v>30000000</v>
      </c>
      <c r="H283">
        <v>2100000</v>
      </c>
      <c r="I283">
        <v>1950000</v>
      </c>
      <c r="J283">
        <v>2340000</v>
      </c>
      <c r="K283">
        <v>2400000</v>
      </c>
      <c r="L283">
        <v>2460000</v>
      </c>
      <c r="M283">
        <v>2550000</v>
      </c>
      <c r="N283">
        <v>2640000</v>
      </c>
      <c r="O283">
        <v>2610000</v>
      </c>
      <c r="P283">
        <v>2550000</v>
      </c>
      <c r="Q283">
        <v>2790000</v>
      </c>
      <c r="R283">
        <v>2760000</v>
      </c>
      <c r="S283">
        <v>2850000</v>
      </c>
    </row>
    <row r="284" spans="1:19">
      <c r="A284" t="s">
        <v>60</v>
      </c>
      <c r="B284" t="s">
        <v>438</v>
      </c>
      <c r="C284" t="s">
        <v>2339</v>
      </c>
      <c r="D284" t="s">
        <v>462</v>
      </c>
      <c r="G284">
        <f t="shared" si="103"/>
        <v>1600000000</v>
      </c>
      <c r="H284">
        <v>112000000</v>
      </c>
      <c r="I284">
        <v>104000000</v>
      </c>
      <c r="J284">
        <v>124800000</v>
      </c>
      <c r="K284">
        <v>128000000</v>
      </c>
      <c r="L284">
        <v>131200000</v>
      </c>
      <c r="M284">
        <v>136000000</v>
      </c>
      <c r="N284">
        <v>140800000</v>
      </c>
      <c r="O284">
        <v>139200000</v>
      </c>
      <c r="P284">
        <v>136000000</v>
      </c>
      <c r="Q284">
        <v>148800000</v>
      </c>
      <c r="R284">
        <v>147200000</v>
      </c>
      <c r="S284">
        <v>152000000</v>
      </c>
    </row>
    <row r="285" spans="1:19">
      <c r="A285" t="s">
        <v>60</v>
      </c>
      <c r="B285" t="s">
        <v>438</v>
      </c>
      <c r="C285" t="s">
        <v>2340</v>
      </c>
      <c r="D285" t="s">
        <v>464</v>
      </c>
      <c r="G285">
        <f t="shared" si="103"/>
        <v>393834737</v>
      </c>
      <c r="H285">
        <v>28959925</v>
      </c>
      <c r="I285">
        <v>29228952</v>
      </c>
      <c r="J285">
        <v>31830084</v>
      </c>
      <c r="K285">
        <v>32339624</v>
      </c>
      <c r="L285">
        <v>33127258</v>
      </c>
      <c r="M285">
        <v>34030615</v>
      </c>
      <c r="N285">
        <v>34655879</v>
      </c>
      <c r="O285">
        <v>33983969</v>
      </c>
      <c r="P285">
        <v>33196335</v>
      </c>
      <c r="Q285">
        <v>33844031</v>
      </c>
      <c r="R285">
        <v>33450214</v>
      </c>
      <c r="S285">
        <v>35187851</v>
      </c>
    </row>
    <row r="286" spans="1:19">
      <c r="A286" t="s">
        <v>60</v>
      </c>
      <c r="B286" t="s">
        <v>438</v>
      </c>
      <c r="C286" t="s">
        <v>2341</v>
      </c>
      <c r="D286" t="s">
        <v>466</v>
      </c>
      <c r="G286">
        <f t="shared" si="103"/>
        <v>10000000000</v>
      </c>
      <c r="H286">
        <v>700000000</v>
      </c>
      <c r="I286">
        <v>650000000</v>
      </c>
      <c r="J286">
        <v>780000000</v>
      </c>
      <c r="K286">
        <v>800000000</v>
      </c>
      <c r="L286">
        <v>820000000</v>
      </c>
      <c r="M286">
        <v>850000000</v>
      </c>
      <c r="N286">
        <v>880000000</v>
      </c>
      <c r="O286">
        <v>870000000</v>
      </c>
      <c r="P286">
        <v>850000000</v>
      </c>
      <c r="Q286">
        <v>930000000</v>
      </c>
      <c r="R286">
        <v>920000000</v>
      </c>
      <c r="S286">
        <v>950000000</v>
      </c>
    </row>
    <row r="287" spans="1:19">
      <c r="A287" t="s">
        <v>60</v>
      </c>
      <c r="B287" t="s">
        <v>438</v>
      </c>
      <c r="C287" t="s">
        <v>2342</v>
      </c>
      <c r="D287" t="s">
        <v>468</v>
      </c>
      <c r="G287">
        <f t="shared" si="103"/>
        <v>393834737</v>
      </c>
      <c r="H287">
        <v>28959925</v>
      </c>
      <c r="I287">
        <v>29228952</v>
      </c>
      <c r="J287">
        <v>31830084</v>
      </c>
      <c r="K287">
        <v>32339624</v>
      </c>
      <c r="L287">
        <v>33127258</v>
      </c>
      <c r="M287">
        <v>34030615</v>
      </c>
      <c r="N287">
        <v>34655879</v>
      </c>
      <c r="O287">
        <v>33983969</v>
      </c>
      <c r="P287">
        <v>33196335</v>
      </c>
      <c r="Q287">
        <v>33844031</v>
      </c>
      <c r="R287">
        <v>33450214</v>
      </c>
      <c r="S287">
        <v>35187851</v>
      </c>
    </row>
    <row r="288" spans="1:19">
      <c r="A288" t="s">
        <v>60</v>
      </c>
      <c r="B288" t="s">
        <v>438</v>
      </c>
      <c r="C288" t="s">
        <v>2343</v>
      </c>
      <c r="D288" t="s">
        <v>470</v>
      </c>
      <c r="G288">
        <f t="shared" si="103"/>
        <v>393834737</v>
      </c>
      <c r="H288">
        <v>28959925</v>
      </c>
      <c r="I288">
        <v>29228952</v>
      </c>
      <c r="J288">
        <v>31830084</v>
      </c>
      <c r="K288">
        <v>32339624</v>
      </c>
      <c r="L288">
        <v>33127258</v>
      </c>
      <c r="M288">
        <v>34030615</v>
      </c>
      <c r="N288">
        <v>34655879</v>
      </c>
      <c r="O288">
        <v>33983969</v>
      </c>
      <c r="P288">
        <v>33196335</v>
      </c>
      <c r="Q288">
        <v>33844031</v>
      </c>
      <c r="R288">
        <v>33450214</v>
      </c>
      <c r="S288">
        <v>35187851</v>
      </c>
    </row>
    <row r="289" spans="1:19">
      <c r="A289" t="s">
        <v>60</v>
      </c>
      <c r="B289" t="s">
        <v>438</v>
      </c>
      <c r="C289" t="s">
        <v>2344</v>
      </c>
      <c r="D289" t="s">
        <v>472</v>
      </c>
      <c r="G289">
        <f t="shared" si="103"/>
        <v>393834737</v>
      </c>
      <c r="H289">
        <v>28959925</v>
      </c>
      <c r="I289">
        <v>29228952</v>
      </c>
      <c r="J289">
        <v>31830084</v>
      </c>
      <c r="K289">
        <v>32339624</v>
      </c>
      <c r="L289">
        <v>33127258</v>
      </c>
      <c r="M289">
        <v>34030615</v>
      </c>
      <c r="N289">
        <v>34655879</v>
      </c>
      <c r="O289">
        <v>33983969</v>
      </c>
      <c r="P289">
        <v>33196335</v>
      </c>
      <c r="Q289">
        <v>33844031</v>
      </c>
      <c r="R289">
        <v>33450214</v>
      </c>
      <c r="S289">
        <v>35187851</v>
      </c>
    </row>
    <row r="290" spans="1:19">
      <c r="A290" t="s">
        <v>60</v>
      </c>
      <c r="B290" t="s">
        <v>438</v>
      </c>
      <c r="C290" t="s">
        <v>2345</v>
      </c>
      <c r="D290" t="s">
        <v>474</v>
      </c>
      <c r="G290">
        <f t="shared" si="103"/>
        <v>393834737</v>
      </c>
      <c r="H290">
        <v>28959925</v>
      </c>
      <c r="I290">
        <v>29228952</v>
      </c>
      <c r="J290">
        <v>31830084</v>
      </c>
      <c r="K290">
        <v>32339624</v>
      </c>
      <c r="L290">
        <v>33127258</v>
      </c>
      <c r="M290">
        <v>34030615</v>
      </c>
      <c r="N290">
        <v>34655879</v>
      </c>
      <c r="O290">
        <v>33983969</v>
      </c>
      <c r="P290">
        <v>33196335</v>
      </c>
      <c r="Q290">
        <v>33844031</v>
      </c>
      <c r="R290">
        <v>33450214</v>
      </c>
      <c r="S290">
        <v>35187851</v>
      </c>
    </row>
    <row r="291" spans="1:19">
      <c r="A291" t="s">
        <v>60</v>
      </c>
      <c r="B291" t="s">
        <v>438</v>
      </c>
      <c r="C291" t="s">
        <v>2346</v>
      </c>
      <c r="D291" t="s">
        <v>476</v>
      </c>
      <c r="G291">
        <f t="shared" si="103"/>
        <v>393834737</v>
      </c>
      <c r="H291">
        <v>28959925</v>
      </c>
      <c r="I291">
        <v>29228952</v>
      </c>
      <c r="J291">
        <v>31830084</v>
      </c>
      <c r="K291">
        <v>32339624</v>
      </c>
      <c r="L291">
        <v>33127258</v>
      </c>
      <c r="M291">
        <v>34030615</v>
      </c>
      <c r="N291">
        <v>34655879</v>
      </c>
      <c r="O291">
        <v>33983969</v>
      </c>
      <c r="P291">
        <v>33196335</v>
      </c>
      <c r="Q291">
        <v>33844031</v>
      </c>
      <c r="R291">
        <v>33450214</v>
      </c>
      <c r="S291">
        <v>35187851</v>
      </c>
    </row>
    <row r="292" spans="1:19">
      <c r="A292" t="s">
        <v>60</v>
      </c>
      <c r="B292" t="s">
        <v>438</v>
      </c>
      <c r="C292" t="s">
        <v>2347</v>
      </c>
      <c r="D292" t="s">
        <v>478</v>
      </c>
      <c r="G292">
        <f t="shared" si="103"/>
        <v>20000000</v>
      </c>
      <c r="H292">
        <v>1400000</v>
      </c>
      <c r="I292">
        <v>1300000</v>
      </c>
      <c r="J292">
        <v>1560000</v>
      </c>
      <c r="K292">
        <v>1600000</v>
      </c>
      <c r="L292">
        <v>1640000</v>
      </c>
      <c r="M292">
        <v>1700000</v>
      </c>
      <c r="N292">
        <v>1760000</v>
      </c>
      <c r="O292">
        <v>1740000</v>
      </c>
      <c r="P292">
        <v>1700000</v>
      </c>
      <c r="Q292">
        <v>1860000</v>
      </c>
      <c r="R292">
        <v>1840000</v>
      </c>
      <c r="S292">
        <v>1900000</v>
      </c>
    </row>
    <row r="293" spans="1:19">
      <c r="A293" t="s">
        <v>60</v>
      </c>
      <c r="B293" t="s">
        <v>438</v>
      </c>
      <c r="C293" t="s">
        <v>2348</v>
      </c>
      <c r="D293" t="s">
        <v>480</v>
      </c>
      <c r="G293">
        <f t="shared" si="103"/>
        <v>20000000</v>
      </c>
      <c r="H293">
        <v>1400000</v>
      </c>
      <c r="I293">
        <v>1300000</v>
      </c>
      <c r="J293">
        <v>1560000</v>
      </c>
      <c r="K293">
        <v>1600000</v>
      </c>
      <c r="L293">
        <v>1640000</v>
      </c>
      <c r="M293">
        <v>1700000</v>
      </c>
      <c r="N293">
        <v>1760000</v>
      </c>
      <c r="O293">
        <v>1740000</v>
      </c>
      <c r="P293">
        <v>1700000</v>
      </c>
      <c r="Q293">
        <v>1860000</v>
      </c>
      <c r="R293">
        <v>1840000</v>
      </c>
      <c r="S293">
        <v>1900000</v>
      </c>
    </row>
    <row r="294" spans="1:19">
      <c r="A294" t="s">
        <v>60</v>
      </c>
      <c r="B294" t="s">
        <v>438</v>
      </c>
      <c r="C294" t="s">
        <v>2349</v>
      </c>
      <c r="D294" t="s">
        <v>482</v>
      </c>
      <c r="G294">
        <f t="shared" si="103"/>
        <v>393834737</v>
      </c>
      <c r="H294">
        <v>28959925</v>
      </c>
      <c r="I294">
        <v>29228952</v>
      </c>
      <c r="J294">
        <v>31830084</v>
      </c>
      <c r="K294">
        <v>32339624</v>
      </c>
      <c r="L294">
        <v>33127258</v>
      </c>
      <c r="M294">
        <v>34030615</v>
      </c>
      <c r="N294">
        <v>34655879</v>
      </c>
      <c r="O294">
        <v>33983969</v>
      </c>
      <c r="P294">
        <v>33196335</v>
      </c>
      <c r="Q294">
        <v>33844031</v>
      </c>
      <c r="R294">
        <v>33450214</v>
      </c>
      <c r="S294">
        <v>35187851</v>
      </c>
    </row>
    <row r="295" spans="1:19">
      <c r="A295" t="s">
        <v>26</v>
      </c>
      <c r="B295" t="s">
        <v>438</v>
      </c>
      <c r="C295" t="s">
        <v>2350</v>
      </c>
      <c r="D295" t="s">
        <v>484</v>
      </c>
      <c r="G295">
        <f t="shared" si="103"/>
        <v>90000000</v>
      </c>
      <c r="H295">
        <f t="shared" ref="H295:S295" si="112">H296+H297+H298</f>
        <v>6300000</v>
      </c>
      <c r="I295">
        <f t="shared" si="112"/>
        <v>5850000</v>
      </c>
      <c r="J295">
        <f t="shared" si="112"/>
        <v>7020000</v>
      </c>
      <c r="K295">
        <f t="shared" si="112"/>
        <v>7200000</v>
      </c>
      <c r="L295">
        <f t="shared" si="112"/>
        <v>7380000</v>
      </c>
      <c r="M295">
        <f t="shared" si="112"/>
        <v>7650000</v>
      </c>
      <c r="N295">
        <f t="shared" si="112"/>
        <v>7920000</v>
      </c>
      <c r="O295">
        <f t="shared" si="112"/>
        <v>7830000</v>
      </c>
      <c r="P295">
        <f t="shared" si="112"/>
        <v>7650000</v>
      </c>
      <c r="Q295">
        <f t="shared" si="112"/>
        <v>8370000</v>
      </c>
      <c r="R295">
        <f t="shared" si="112"/>
        <v>8280000</v>
      </c>
      <c r="S295">
        <f t="shared" si="112"/>
        <v>8550000</v>
      </c>
    </row>
    <row r="296" spans="1:19">
      <c r="A296" t="s">
        <v>60</v>
      </c>
      <c r="B296" t="s">
        <v>438</v>
      </c>
      <c r="C296" t="s">
        <v>2351</v>
      </c>
      <c r="D296" t="s">
        <v>486</v>
      </c>
      <c r="G296">
        <f t="shared" si="103"/>
        <v>40000000</v>
      </c>
      <c r="H296">
        <v>2800000</v>
      </c>
      <c r="I296">
        <v>2600000</v>
      </c>
      <c r="J296">
        <v>3120000</v>
      </c>
      <c r="K296">
        <v>3200000</v>
      </c>
      <c r="L296">
        <v>3280000</v>
      </c>
      <c r="M296">
        <v>3400000</v>
      </c>
      <c r="N296">
        <v>3520000</v>
      </c>
      <c r="O296">
        <v>3480000</v>
      </c>
      <c r="P296">
        <v>3400000</v>
      </c>
      <c r="Q296">
        <v>3720000</v>
      </c>
      <c r="R296">
        <v>3680000</v>
      </c>
      <c r="S296">
        <v>3800000</v>
      </c>
    </row>
    <row r="297" spans="1:19">
      <c r="A297" t="s">
        <v>60</v>
      </c>
      <c r="B297" t="s">
        <v>438</v>
      </c>
      <c r="C297" t="s">
        <v>2352</v>
      </c>
      <c r="D297" t="s">
        <v>488</v>
      </c>
      <c r="G297">
        <f t="shared" si="103"/>
        <v>30000000</v>
      </c>
      <c r="H297">
        <v>2100000</v>
      </c>
      <c r="I297">
        <v>1950000</v>
      </c>
      <c r="J297">
        <v>2340000</v>
      </c>
      <c r="K297">
        <v>2400000</v>
      </c>
      <c r="L297">
        <v>2460000</v>
      </c>
      <c r="M297">
        <v>2550000</v>
      </c>
      <c r="N297">
        <v>2640000</v>
      </c>
      <c r="O297">
        <v>2610000</v>
      </c>
      <c r="P297">
        <v>2550000</v>
      </c>
      <c r="Q297">
        <v>2790000</v>
      </c>
      <c r="R297">
        <v>2760000</v>
      </c>
      <c r="S297">
        <v>2850000</v>
      </c>
    </row>
    <row r="298" spans="1:19">
      <c r="A298" t="s">
        <v>60</v>
      </c>
      <c r="B298" t="s">
        <v>438</v>
      </c>
      <c r="C298" t="s">
        <v>2353</v>
      </c>
      <c r="D298" t="s">
        <v>490</v>
      </c>
      <c r="G298">
        <f t="shared" si="103"/>
        <v>20000000</v>
      </c>
      <c r="H298">
        <v>1400000</v>
      </c>
      <c r="I298">
        <v>1300000</v>
      </c>
      <c r="J298">
        <v>1560000</v>
      </c>
      <c r="K298">
        <v>1600000</v>
      </c>
      <c r="L298">
        <v>1640000</v>
      </c>
      <c r="M298">
        <v>1700000</v>
      </c>
      <c r="N298">
        <v>1760000</v>
      </c>
      <c r="O298">
        <v>1740000</v>
      </c>
      <c r="P298">
        <v>1700000</v>
      </c>
      <c r="Q298">
        <v>1860000</v>
      </c>
      <c r="R298">
        <v>1840000</v>
      </c>
      <c r="S298">
        <v>1900000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2328</v>
      </c>
      <c r="D2" t="s">
        <v>440</v>
      </c>
      <c r="G2">
        <f t="shared" ref="G2:G27" si="0">H2+I2+J2+K2+L2+M2+N2+O2+P2+Q2+R2+S2</f>
        <v>11983292272</v>
      </c>
      <c r="H2">
        <f t="shared" ref="H2:S2" si="1">H3</f>
        <v>838830456</v>
      </c>
      <c r="I2">
        <f t="shared" si="1"/>
        <v>778914000</v>
      </c>
      <c r="J2">
        <f t="shared" si="1"/>
        <v>934696800</v>
      </c>
      <c r="K2">
        <f t="shared" si="1"/>
        <v>958663384</v>
      </c>
      <c r="L2">
        <f t="shared" si="1"/>
        <v>982629968</v>
      </c>
      <c r="M2">
        <f t="shared" si="1"/>
        <v>1018579840</v>
      </c>
      <c r="N2">
        <f t="shared" si="1"/>
        <v>1054529720</v>
      </c>
      <c r="O2">
        <f t="shared" si="1"/>
        <v>1042546424</v>
      </c>
      <c r="P2">
        <f t="shared" si="1"/>
        <v>1018579840</v>
      </c>
      <c r="Q2">
        <f t="shared" si="1"/>
        <v>1114446184</v>
      </c>
      <c r="R2">
        <f t="shared" si="1"/>
        <v>1102462888</v>
      </c>
      <c r="S2">
        <f t="shared" si="1"/>
        <v>1138412768</v>
      </c>
    </row>
    <row r="3" spans="1:19">
      <c r="A3" t="s">
        <v>19</v>
      </c>
      <c r="B3" t="s">
        <v>179</v>
      </c>
      <c r="C3" t="s">
        <v>2329</v>
      </c>
      <c r="D3" t="s">
        <v>442</v>
      </c>
      <c r="G3">
        <f t="shared" si="0"/>
        <v>11983292272</v>
      </c>
      <c r="H3">
        <f t="shared" ref="H3:S3" si="2">H4+H9+H24</f>
        <v>838830456</v>
      </c>
      <c r="I3">
        <f t="shared" si="2"/>
        <v>778914000</v>
      </c>
      <c r="J3">
        <f t="shared" si="2"/>
        <v>934696800</v>
      </c>
      <c r="K3">
        <f t="shared" si="2"/>
        <v>958663384</v>
      </c>
      <c r="L3">
        <f t="shared" si="2"/>
        <v>982629968</v>
      </c>
      <c r="M3">
        <f t="shared" si="2"/>
        <v>1018579840</v>
      </c>
      <c r="N3">
        <f t="shared" si="2"/>
        <v>1054529720</v>
      </c>
      <c r="O3">
        <f t="shared" si="2"/>
        <v>1042546424</v>
      </c>
      <c r="P3">
        <f t="shared" si="2"/>
        <v>1018579840</v>
      </c>
      <c r="Q3">
        <f t="shared" si="2"/>
        <v>1114446184</v>
      </c>
      <c r="R3">
        <f t="shared" si="2"/>
        <v>1102462888</v>
      </c>
      <c r="S3">
        <f t="shared" si="2"/>
        <v>1138412768</v>
      </c>
    </row>
    <row r="4" spans="1:19">
      <c r="A4" t="s">
        <v>23</v>
      </c>
      <c r="B4" t="s">
        <v>179</v>
      </c>
      <c r="C4" t="s">
        <v>2330</v>
      </c>
      <c r="D4" t="s">
        <v>444</v>
      </c>
      <c r="G4">
        <f t="shared" si="0"/>
        <v>110000000</v>
      </c>
      <c r="H4">
        <f t="shared" ref="H4:S4" si="3">H5+H6+H7+H8</f>
        <v>7700000</v>
      </c>
      <c r="I4">
        <f t="shared" si="3"/>
        <v>7150000</v>
      </c>
      <c r="J4">
        <f t="shared" si="3"/>
        <v>8580000</v>
      </c>
      <c r="K4">
        <f t="shared" si="3"/>
        <v>8800000</v>
      </c>
      <c r="L4">
        <f t="shared" si="3"/>
        <v>9020000</v>
      </c>
      <c r="M4">
        <f t="shared" si="3"/>
        <v>9350000</v>
      </c>
      <c r="N4">
        <f t="shared" si="3"/>
        <v>9680000</v>
      </c>
      <c r="O4">
        <f t="shared" si="3"/>
        <v>9570000</v>
      </c>
      <c r="P4">
        <f t="shared" si="3"/>
        <v>9350000</v>
      </c>
      <c r="Q4">
        <f t="shared" si="3"/>
        <v>10230000</v>
      </c>
      <c r="R4">
        <f t="shared" si="3"/>
        <v>10120000</v>
      </c>
      <c r="S4">
        <f t="shared" si="3"/>
        <v>10450000</v>
      </c>
    </row>
    <row r="5" spans="1:19">
      <c r="A5" t="s">
        <v>26</v>
      </c>
      <c r="B5" t="s">
        <v>179</v>
      </c>
      <c r="C5" t="s">
        <v>2331</v>
      </c>
      <c r="D5" t="s">
        <v>446</v>
      </c>
      <c r="G5">
        <f t="shared" si="0"/>
        <v>40000000</v>
      </c>
      <c r="H5">
        <v>2800000</v>
      </c>
      <c r="I5">
        <v>2600000</v>
      </c>
      <c r="J5">
        <v>3120000</v>
      </c>
      <c r="K5">
        <v>3200000</v>
      </c>
      <c r="L5">
        <v>3280000</v>
      </c>
      <c r="M5">
        <v>3400000</v>
      </c>
      <c r="N5">
        <v>3520000</v>
      </c>
      <c r="O5">
        <v>3480000</v>
      </c>
      <c r="P5">
        <v>3400000</v>
      </c>
      <c r="Q5">
        <v>3720000</v>
      </c>
      <c r="R5">
        <v>3680000</v>
      </c>
      <c r="S5">
        <v>3800000</v>
      </c>
    </row>
    <row r="6" spans="1:19">
      <c r="A6" t="s">
        <v>26</v>
      </c>
      <c r="B6" t="s">
        <v>179</v>
      </c>
      <c r="C6" t="s">
        <v>2332</v>
      </c>
      <c r="D6" t="s">
        <v>448</v>
      </c>
      <c r="G6">
        <f t="shared" si="0"/>
        <v>30000000</v>
      </c>
      <c r="H6">
        <v>2100000</v>
      </c>
      <c r="I6">
        <v>1950000</v>
      </c>
      <c r="J6">
        <v>2340000</v>
      </c>
      <c r="K6">
        <v>2400000</v>
      </c>
      <c r="L6">
        <v>2460000</v>
      </c>
      <c r="M6">
        <v>2550000</v>
      </c>
      <c r="N6">
        <v>2640000</v>
      </c>
      <c r="O6">
        <v>2610000</v>
      </c>
      <c r="P6">
        <v>2550000</v>
      </c>
      <c r="Q6">
        <v>2790000</v>
      </c>
      <c r="R6">
        <v>2760000</v>
      </c>
      <c r="S6">
        <v>2850000</v>
      </c>
    </row>
    <row r="7" spans="1:19">
      <c r="A7" t="s">
        <v>26</v>
      </c>
      <c r="B7" t="s">
        <v>179</v>
      </c>
      <c r="C7" t="s">
        <v>2333</v>
      </c>
      <c r="D7" t="s">
        <v>450</v>
      </c>
      <c r="G7">
        <f t="shared" si="0"/>
        <v>20000000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26</v>
      </c>
      <c r="B8" t="s">
        <v>179</v>
      </c>
      <c r="C8" t="s">
        <v>2334</v>
      </c>
      <c r="D8" t="s">
        <v>452</v>
      </c>
      <c r="G8">
        <f t="shared" si="0"/>
        <v>20000000</v>
      </c>
      <c r="H8">
        <v>1400000</v>
      </c>
      <c r="I8">
        <v>1300000</v>
      </c>
      <c r="J8">
        <v>1560000</v>
      </c>
      <c r="K8">
        <v>1600000</v>
      </c>
      <c r="L8">
        <v>1640000</v>
      </c>
      <c r="M8">
        <v>1700000</v>
      </c>
      <c r="N8">
        <v>1760000</v>
      </c>
      <c r="O8">
        <v>1740000</v>
      </c>
      <c r="P8">
        <v>1700000</v>
      </c>
      <c r="Q8">
        <v>1860000</v>
      </c>
      <c r="R8">
        <v>1840000</v>
      </c>
      <c r="S8">
        <v>1900000</v>
      </c>
    </row>
    <row r="9" spans="1:19">
      <c r="A9" t="s">
        <v>23</v>
      </c>
      <c r="B9" t="s">
        <v>179</v>
      </c>
      <c r="C9" t="s">
        <v>2335</v>
      </c>
      <c r="D9" t="s">
        <v>454</v>
      </c>
      <c r="G9">
        <f t="shared" si="0"/>
        <v>11783292272</v>
      </c>
      <c r="H9">
        <f t="shared" ref="H9:S9" si="4">H10+H11+H12+H13+H14+H15+H16+H17+H18+H19+H20+H21+H22+H23</f>
        <v>824830456</v>
      </c>
      <c r="I9">
        <f t="shared" si="4"/>
        <v>765914000</v>
      </c>
      <c r="J9">
        <f t="shared" si="4"/>
        <v>919096800</v>
      </c>
      <c r="K9">
        <f t="shared" si="4"/>
        <v>942663384</v>
      </c>
      <c r="L9">
        <f t="shared" si="4"/>
        <v>966229968</v>
      </c>
      <c r="M9">
        <f t="shared" si="4"/>
        <v>1001579840</v>
      </c>
      <c r="N9">
        <f t="shared" si="4"/>
        <v>1036929720</v>
      </c>
      <c r="O9">
        <f t="shared" si="4"/>
        <v>1025146424</v>
      </c>
      <c r="P9">
        <f t="shared" si="4"/>
        <v>1001579840</v>
      </c>
      <c r="Q9">
        <f t="shared" si="4"/>
        <v>1095846184</v>
      </c>
      <c r="R9">
        <f t="shared" si="4"/>
        <v>1084062888</v>
      </c>
      <c r="S9">
        <f t="shared" si="4"/>
        <v>1119412768</v>
      </c>
    </row>
    <row r="10" spans="1:19">
      <c r="A10" t="s">
        <v>26</v>
      </c>
      <c r="B10" t="s">
        <v>179</v>
      </c>
      <c r="C10" t="s">
        <v>2336</v>
      </c>
      <c r="D10" t="s">
        <v>456</v>
      </c>
      <c r="G10">
        <f t="shared" si="0"/>
        <v>9161534</v>
      </c>
      <c r="H10">
        <v>641307</v>
      </c>
      <c r="I10">
        <v>595500</v>
      </c>
      <c r="J10">
        <v>714600</v>
      </c>
      <c r="K10">
        <v>732923</v>
      </c>
      <c r="L10">
        <v>751246</v>
      </c>
      <c r="M10">
        <v>778730</v>
      </c>
      <c r="N10">
        <v>806215</v>
      </c>
      <c r="O10">
        <v>797053</v>
      </c>
      <c r="P10">
        <v>778730</v>
      </c>
      <c r="Q10">
        <v>852023</v>
      </c>
      <c r="R10">
        <v>842861</v>
      </c>
      <c r="S10">
        <v>870346</v>
      </c>
    </row>
    <row r="11" spans="1:19">
      <c r="A11" t="s">
        <v>26</v>
      </c>
      <c r="B11" t="s">
        <v>179</v>
      </c>
      <c r="C11" t="s">
        <v>2337</v>
      </c>
      <c r="D11" t="s">
        <v>458</v>
      </c>
      <c r="G11">
        <f t="shared" si="0"/>
        <v>40000000</v>
      </c>
      <c r="H11">
        <v>2800000</v>
      </c>
      <c r="I11">
        <v>2600000</v>
      </c>
      <c r="J11">
        <v>3120000</v>
      </c>
      <c r="K11">
        <v>3200000</v>
      </c>
      <c r="L11">
        <v>3280000</v>
      </c>
      <c r="M11">
        <v>3400000</v>
      </c>
      <c r="N11">
        <v>3520000</v>
      </c>
      <c r="O11">
        <v>3480000</v>
      </c>
      <c r="P11">
        <v>3400000</v>
      </c>
      <c r="Q11">
        <v>3720000</v>
      </c>
      <c r="R11">
        <v>3680000</v>
      </c>
      <c r="S11">
        <v>3800000</v>
      </c>
    </row>
    <row r="12" spans="1:19">
      <c r="A12" t="s">
        <v>26</v>
      </c>
      <c r="B12" t="s">
        <v>179</v>
      </c>
      <c r="C12" t="s">
        <v>2338</v>
      </c>
      <c r="D12" t="s">
        <v>460</v>
      </c>
      <c r="G12">
        <f t="shared" si="0"/>
        <v>30000000</v>
      </c>
      <c r="H12">
        <v>2100000</v>
      </c>
      <c r="I12">
        <v>1950000</v>
      </c>
      <c r="J12">
        <v>2340000</v>
      </c>
      <c r="K12">
        <v>2400000</v>
      </c>
      <c r="L12">
        <v>2460000</v>
      </c>
      <c r="M12">
        <v>2550000</v>
      </c>
      <c r="N12">
        <v>2640000</v>
      </c>
      <c r="O12">
        <v>2610000</v>
      </c>
      <c r="P12">
        <v>2550000</v>
      </c>
      <c r="Q12">
        <v>2790000</v>
      </c>
      <c r="R12">
        <v>2760000</v>
      </c>
      <c r="S12">
        <v>2850000</v>
      </c>
    </row>
    <row r="13" spans="1:19">
      <c r="A13" t="s">
        <v>26</v>
      </c>
      <c r="B13" t="s">
        <v>179</v>
      </c>
      <c r="C13" t="s">
        <v>2339</v>
      </c>
      <c r="D13" t="s">
        <v>462</v>
      </c>
      <c r="G13">
        <f t="shared" si="0"/>
        <v>1600000000</v>
      </c>
      <c r="H13">
        <v>112000000</v>
      </c>
      <c r="I13">
        <v>104000000</v>
      </c>
      <c r="J13">
        <v>124800000</v>
      </c>
      <c r="K13">
        <v>128000000</v>
      </c>
      <c r="L13">
        <v>131200000</v>
      </c>
      <c r="M13">
        <v>136000000</v>
      </c>
      <c r="N13">
        <v>140800000</v>
      </c>
      <c r="O13">
        <v>139200000</v>
      </c>
      <c r="P13">
        <v>136000000</v>
      </c>
      <c r="Q13">
        <v>148800000</v>
      </c>
      <c r="R13">
        <v>147200000</v>
      </c>
      <c r="S13">
        <v>152000000</v>
      </c>
    </row>
    <row r="14" spans="1:19">
      <c r="A14" t="s">
        <v>26</v>
      </c>
      <c r="B14" t="s">
        <v>179</v>
      </c>
      <c r="C14" t="s">
        <v>2340</v>
      </c>
      <c r="D14" t="s">
        <v>464</v>
      </c>
      <c r="G14">
        <f t="shared" si="0"/>
        <v>9161534</v>
      </c>
      <c r="H14">
        <v>641307</v>
      </c>
      <c r="I14">
        <v>595500</v>
      </c>
      <c r="J14">
        <v>714600</v>
      </c>
      <c r="K14">
        <v>732923</v>
      </c>
      <c r="L14">
        <v>751246</v>
      </c>
      <c r="M14">
        <v>778730</v>
      </c>
      <c r="N14">
        <v>806215</v>
      </c>
      <c r="O14">
        <v>797053</v>
      </c>
      <c r="P14">
        <v>778730</v>
      </c>
      <c r="Q14">
        <v>852023</v>
      </c>
      <c r="R14">
        <v>842861</v>
      </c>
      <c r="S14">
        <v>870346</v>
      </c>
    </row>
    <row r="15" spans="1:19">
      <c r="A15" t="s">
        <v>26</v>
      </c>
      <c r="B15" t="s">
        <v>179</v>
      </c>
      <c r="C15" t="s">
        <v>2341</v>
      </c>
      <c r="D15" t="s">
        <v>466</v>
      </c>
      <c r="G15">
        <f t="shared" si="0"/>
        <v>10000000000</v>
      </c>
      <c r="H15">
        <v>700000000</v>
      </c>
      <c r="I15">
        <v>650000000</v>
      </c>
      <c r="J15">
        <v>780000000</v>
      </c>
      <c r="K15">
        <v>800000000</v>
      </c>
      <c r="L15">
        <v>820000000</v>
      </c>
      <c r="M15">
        <v>850000000</v>
      </c>
      <c r="N15">
        <v>880000000</v>
      </c>
      <c r="O15">
        <v>870000000</v>
      </c>
      <c r="P15">
        <v>850000000</v>
      </c>
      <c r="Q15">
        <v>930000000</v>
      </c>
      <c r="R15">
        <v>920000000</v>
      </c>
      <c r="S15">
        <v>950000000</v>
      </c>
    </row>
    <row r="16" spans="1:19">
      <c r="A16" t="s">
        <v>26</v>
      </c>
      <c r="B16" t="s">
        <v>179</v>
      </c>
      <c r="C16" t="s">
        <v>2342</v>
      </c>
      <c r="D16" t="s">
        <v>468</v>
      </c>
      <c r="G16">
        <f t="shared" si="0"/>
        <v>9161534</v>
      </c>
      <c r="H16">
        <v>641307</v>
      </c>
      <c r="I16">
        <v>595500</v>
      </c>
      <c r="J16">
        <v>714600</v>
      </c>
      <c r="K16">
        <v>732923</v>
      </c>
      <c r="L16">
        <v>751246</v>
      </c>
      <c r="M16">
        <v>778730</v>
      </c>
      <c r="N16">
        <v>806215</v>
      </c>
      <c r="O16">
        <v>797053</v>
      </c>
      <c r="P16">
        <v>778730</v>
      </c>
      <c r="Q16">
        <v>852023</v>
      </c>
      <c r="R16">
        <v>842861</v>
      </c>
      <c r="S16">
        <v>870346</v>
      </c>
    </row>
    <row r="17" spans="1:19">
      <c r="A17" t="s">
        <v>26</v>
      </c>
      <c r="B17" t="s">
        <v>179</v>
      </c>
      <c r="C17" t="s">
        <v>2343</v>
      </c>
      <c r="D17" t="s">
        <v>470</v>
      </c>
      <c r="G17">
        <f t="shared" si="0"/>
        <v>9161534</v>
      </c>
      <c r="H17">
        <v>641307</v>
      </c>
      <c r="I17">
        <v>595500</v>
      </c>
      <c r="J17">
        <v>714600</v>
      </c>
      <c r="K17">
        <v>732923</v>
      </c>
      <c r="L17">
        <v>751246</v>
      </c>
      <c r="M17">
        <v>778730</v>
      </c>
      <c r="N17">
        <v>806215</v>
      </c>
      <c r="O17">
        <v>797053</v>
      </c>
      <c r="P17">
        <v>778730</v>
      </c>
      <c r="Q17">
        <v>852023</v>
      </c>
      <c r="R17">
        <v>842861</v>
      </c>
      <c r="S17">
        <v>870346</v>
      </c>
    </row>
    <row r="18" spans="1:19">
      <c r="A18" t="s">
        <v>26</v>
      </c>
      <c r="B18" t="s">
        <v>179</v>
      </c>
      <c r="C18" t="s">
        <v>2344</v>
      </c>
      <c r="D18" t="s">
        <v>472</v>
      </c>
      <c r="G18">
        <f t="shared" si="0"/>
        <v>9161534</v>
      </c>
      <c r="H18">
        <v>641307</v>
      </c>
      <c r="I18">
        <v>595500</v>
      </c>
      <c r="J18">
        <v>714600</v>
      </c>
      <c r="K18">
        <v>732923</v>
      </c>
      <c r="L18">
        <v>751246</v>
      </c>
      <c r="M18">
        <v>778730</v>
      </c>
      <c r="N18">
        <v>806215</v>
      </c>
      <c r="O18">
        <v>797053</v>
      </c>
      <c r="P18">
        <v>778730</v>
      </c>
      <c r="Q18">
        <v>852023</v>
      </c>
      <c r="R18">
        <v>842861</v>
      </c>
      <c r="S18">
        <v>870346</v>
      </c>
    </row>
    <row r="19" spans="1:19">
      <c r="A19" t="s">
        <v>26</v>
      </c>
      <c r="B19" t="s">
        <v>179</v>
      </c>
      <c r="C19" t="s">
        <v>2345</v>
      </c>
      <c r="D19" t="s">
        <v>474</v>
      </c>
      <c r="G19">
        <f t="shared" si="0"/>
        <v>9161534</v>
      </c>
      <c r="H19">
        <v>641307</v>
      </c>
      <c r="I19">
        <v>595500</v>
      </c>
      <c r="J19">
        <v>714600</v>
      </c>
      <c r="K19">
        <v>732923</v>
      </c>
      <c r="L19">
        <v>751246</v>
      </c>
      <c r="M19">
        <v>778730</v>
      </c>
      <c r="N19">
        <v>806215</v>
      </c>
      <c r="O19">
        <v>797053</v>
      </c>
      <c r="P19">
        <v>778730</v>
      </c>
      <c r="Q19">
        <v>852023</v>
      </c>
      <c r="R19">
        <v>842861</v>
      </c>
      <c r="S19">
        <v>870346</v>
      </c>
    </row>
    <row r="20" spans="1:19">
      <c r="A20" t="s">
        <v>26</v>
      </c>
      <c r="B20" t="s">
        <v>179</v>
      </c>
      <c r="C20" t="s">
        <v>2346</v>
      </c>
      <c r="D20" t="s">
        <v>476</v>
      </c>
      <c r="G20">
        <f t="shared" si="0"/>
        <v>9161534</v>
      </c>
      <c r="H20">
        <v>641307</v>
      </c>
      <c r="I20">
        <v>595500</v>
      </c>
      <c r="J20">
        <v>714600</v>
      </c>
      <c r="K20">
        <v>732923</v>
      </c>
      <c r="L20">
        <v>751246</v>
      </c>
      <c r="M20">
        <v>778730</v>
      </c>
      <c r="N20">
        <v>806215</v>
      </c>
      <c r="O20">
        <v>797053</v>
      </c>
      <c r="P20">
        <v>778730</v>
      </c>
      <c r="Q20">
        <v>852023</v>
      </c>
      <c r="R20">
        <v>842861</v>
      </c>
      <c r="S20">
        <v>870346</v>
      </c>
    </row>
    <row r="21" spans="1:19">
      <c r="A21" t="s">
        <v>26</v>
      </c>
      <c r="B21" t="s">
        <v>179</v>
      </c>
      <c r="C21" t="s">
        <v>2347</v>
      </c>
      <c r="D21" t="s">
        <v>478</v>
      </c>
      <c r="G21">
        <f t="shared" si="0"/>
        <v>20000000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26</v>
      </c>
      <c r="B22" t="s">
        <v>179</v>
      </c>
      <c r="C22" t="s">
        <v>2348</v>
      </c>
      <c r="D22" t="s">
        <v>480</v>
      </c>
      <c r="G22">
        <f t="shared" si="0"/>
        <v>20000000</v>
      </c>
      <c r="H22">
        <v>1400000</v>
      </c>
      <c r="I22">
        <v>1300000</v>
      </c>
      <c r="J22">
        <v>1560000</v>
      </c>
      <c r="K22">
        <v>1600000</v>
      </c>
      <c r="L22">
        <v>1640000</v>
      </c>
      <c r="M22">
        <v>1700000</v>
      </c>
      <c r="N22">
        <v>1760000</v>
      </c>
      <c r="O22">
        <v>1740000</v>
      </c>
      <c r="P22">
        <v>1700000</v>
      </c>
      <c r="Q22">
        <v>1860000</v>
      </c>
      <c r="R22">
        <v>1840000</v>
      </c>
      <c r="S22">
        <v>1900000</v>
      </c>
    </row>
    <row r="23" spans="1:19">
      <c r="A23" t="s">
        <v>26</v>
      </c>
      <c r="B23" t="s">
        <v>179</v>
      </c>
      <c r="C23" t="s">
        <v>2349</v>
      </c>
      <c r="D23" t="s">
        <v>482</v>
      </c>
      <c r="G23">
        <f t="shared" si="0"/>
        <v>9161534</v>
      </c>
      <c r="H23">
        <v>641307</v>
      </c>
      <c r="I23">
        <v>595500</v>
      </c>
      <c r="J23">
        <v>714600</v>
      </c>
      <c r="K23">
        <v>732923</v>
      </c>
      <c r="L23">
        <v>751246</v>
      </c>
      <c r="M23">
        <v>778730</v>
      </c>
      <c r="N23">
        <v>806215</v>
      </c>
      <c r="O23">
        <v>797053</v>
      </c>
      <c r="P23">
        <v>778730</v>
      </c>
      <c r="Q23">
        <v>852023</v>
      </c>
      <c r="R23">
        <v>842861</v>
      </c>
      <c r="S23">
        <v>870346</v>
      </c>
    </row>
    <row r="24" spans="1:19">
      <c r="A24" t="s">
        <v>23</v>
      </c>
      <c r="B24" t="s">
        <v>179</v>
      </c>
      <c r="C24" t="s">
        <v>2350</v>
      </c>
      <c r="D24" t="s">
        <v>484</v>
      </c>
      <c r="G24">
        <f t="shared" si="0"/>
        <v>90000000</v>
      </c>
      <c r="H24">
        <f t="shared" ref="H24:S24" si="5">H25+H26+H27</f>
        <v>6300000</v>
      </c>
      <c r="I24">
        <f t="shared" si="5"/>
        <v>5850000</v>
      </c>
      <c r="J24">
        <f t="shared" si="5"/>
        <v>7020000</v>
      </c>
      <c r="K24">
        <f t="shared" si="5"/>
        <v>7200000</v>
      </c>
      <c r="L24">
        <f t="shared" si="5"/>
        <v>7380000</v>
      </c>
      <c r="M24">
        <f t="shared" si="5"/>
        <v>7650000</v>
      </c>
      <c r="N24">
        <f t="shared" si="5"/>
        <v>7920000</v>
      </c>
      <c r="O24">
        <f t="shared" si="5"/>
        <v>7830000</v>
      </c>
      <c r="P24">
        <f t="shared" si="5"/>
        <v>7650000</v>
      </c>
      <c r="Q24">
        <f t="shared" si="5"/>
        <v>8370000</v>
      </c>
      <c r="R24">
        <f t="shared" si="5"/>
        <v>8280000</v>
      </c>
      <c r="S24">
        <f t="shared" si="5"/>
        <v>8550000</v>
      </c>
    </row>
    <row r="25" spans="1:19">
      <c r="A25" t="s">
        <v>26</v>
      </c>
      <c r="B25" t="s">
        <v>179</v>
      </c>
      <c r="C25" t="s">
        <v>2351</v>
      </c>
      <c r="D25" t="s">
        <v>486</v>
      </c>
      <c r="G25">
        <f t="shared" si="0"/>
        <v>40000000</v>
      </c>
      <c r="H25">
        <v>2800000</v>
      </c>
      <c r="I25">
        <v>2600000</v>
      </c>
      <c r="J25">
        <v>3120000</v>
      </c>
      <c r="K25">
        <v>3200000</v>
      </c>
      <c r="L25">
        <v>3280000</v>
      </c>
      <c r="M25">
        <v>3400000</v>
      </c>
      <c r="N25">
        <v>3520000</v>
      </c>
      <c r="O25">
        <v>3480000</v>
      </c>
      <c r="P25">
        <v>3400000</v>
      </c>
      <c r="Q25">
        <v>3720000</v>
      </c>
      <c r="R25">
        <v>3680000</v>
      </c>
      <c r="S25">
        <v>3800000</v>
      </c>
    </row>
    <row r="26" spans="1:19">
      <c r="A26" t="s">
        <v>26</v>
      </c>
      <c r="B26" t="s">
        <v>179</v>
      </c>
      <c r="C26" t="s">
        <v>2352</v>
      </c>
      <c r="D26" t="s">
        <v>488</v>
      </c>
      <c r="G26">
        <f t="shared" si="0"/>
        <v>30000000</v>
      </c>
      <c r="H26">
        <v>2100000</v>
      </c>
      <c r="I26">
        <v>1950000</v>
      </c>
      <c r="J26">
        <v>2340000</v>
      </c>
      <c r="K26">
        <v>2400000</v>
      </c>
      <c r="L26">
        <v>2460000</v>
      </c>
      <c r="M26">
        <v>2550000</v>
      </c>
      <c r="N26">
        <v>2640000</v>
      </c>
      <c r="O26">
        <v>2610000</v>
      </c>
      <c r="P26">
        <v>2550000</v>
      </c>
      <c r="Q26">
        <v>2790000</v>
      </c>
      <c r="R26">
        <v>2760000</v>
      </c>
      <c r="S26">
        <v>2850000</v>
      </c>
    </row>
    <row r="27" spans="1:19">
      <c r="A27" t="s">
        <v>26</v>
      </c>
      <c r="B27" t="s">
        <v>179</v>
      </c>
      <c r="C27" t="s">
        <v>2353</v>
      </c>
      <c r="D27" t="s">
        <v>490</v>
      </c>
      <c r="G27">
        <f t="shared" si="0"/>
        <v>20000000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B01企业金融业务状况表</vt:lpstr>
      <vt:lpstr>B01企业金融业务支出评估</vt:lpstr>
      <vt:lpstr>AA微众银行业务状况表</vt:lpstr>
      <vt:lpstr>AA微众银行业务支出评估</vt:lpstr>
      <vt:lpstr>AA微众银行损益表</vt:lpstr>
      <vt:lpstr>AA微众银行资产质量表</vt:lpstr>
      <vt:lpstr>AA微众银行利息净收入表</vt:lpstr>
      <vt:lpstr>A个金群业务状况表</vt:lpstr>
      <vt:lpstr>A个金群业务支出评估</vt:lpstr>
      <vt:lpstr>A01泛微粒贷业务状况表</vt:lpstr>
      <vt:lpstr>A01泛微粒贷业务支出评估</vt:lpstr>
      <vt:lpstr>A02微账户业务状况表</vt:lpstr>
      <vt:lpstr>A02微账户业务支出评估</vt:lpstr>
      <vt:lpstr>A03汽车金融业务状况表</vt:lpstr>
      <vt:lpstr>A03汽车金融业务支出评估</vt:lpstr>
      <vt:lpstr>A04财富业务状况表</vt:lpstr>
      <vt:lpstr>A04财富业务支出评估</vt:lpstr>
      <vt:lpstr>A05小鹅业务状况表</vt:lpstr>
      <vt:lpstr>A05小鹅业务支出评估</vt:lpstr>
      <vt:lpstr>B企金群业务状况表</vt:lpstr>
      <vt:lpstr>B企金群业务支出评估</vt:lpstr>
      <vt:lpstr>B02金融市场业务状况表</vt:lpstr>
      <vt:lpstr>B02金融市场业务支出评估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HHH</cp:lastModifiedBy>
  <dcterms:created xsi:type="dcterms:W3CDTF">2026-06-24T16:51:00Z</dcterms:created>
  <dcterms:modified xsi:type="dcterms:W3CDTF">2026-06-24T17:13:47Z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A054B9E98FFE9FE6CB9F3B6ABD260E16_43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