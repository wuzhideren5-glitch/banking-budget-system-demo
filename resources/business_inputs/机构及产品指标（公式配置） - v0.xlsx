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2000" tabRatio="600" firstSheet="0" activeTab="0" autoFilterDateGrouping="1"/>
  </bookViews>
  <sheets>
    <sheet xmlns:r="http://schemas.openxmlformats.org/officeDocument/2006/relationships" name="AA业务状况表" sheetId="1" state="visible" r:id="rId1"/>
    <sheet xmlns:r="http://schemas.openxmlformats.org/officeDocument/2006/relationships" name="AA资产负债表（余额）" sheetId="2" state="visible" r:id="rId2"/>
    <sheet xmlns:r="http://schemas.openxmlformats.org/officeDocument/2006/relationships" name="AA资产负债表（日均）" sheetId="3" state="visible" r:id="rId3"/>
    <sheet xmlns:r="http://schemas.openxmlformats.org/officeDocument/2006/relationships" name="AA资产质量表" sheetId="4" state="visible" r:id="rId4"/>
    <sheet xmlns:r="http://schemas.openxmlformats.org/officeDocument/2006/relationships" name="AA利息净收入表" sheetId="5" state="visible" r:id="rId5"/>
    <sheet xmlns:r="http://schemas.openxmlformats.org/officeDocument/2006/relationships" name="A个金群" sheetId="6" state="visible" r:id="rId6"/>
    <sheet xmlns:r="http://schemas.openxmlformats.org/officeDocument/2006/relationships" name="A01泛微粒贷" sheetId="7" state="visible" r:id="rId7"/>
    <sheet xmlns:r="http://schemas.openxmlformats.org/officeDocument/2006/relationships" name="A02微账户" sheetId="8" state="visible" r:id="rId8"/>
    <sheet xmlns:r="http://schemas.openxmlformats.org/officeDocument/2006/relationships" name="A03汽车金融" sheetId="9" state="visible" r:id="rId9"/>
    <sheet xmlns:r="http://schemas.openxmlformats.org/officeDocument/2006/relationships" name="A04财富" sheetId="10" state="visible" r:id="rId10"/>
    <sheet xmlns:r="http://schemas.openxmlformats.org/officeDocument/2006/relationships" name="A05小鹅" sheetId="11" state="visible" r:id="rId11"/>
    <sheet xmlns:r="http://schemas.openxmlformats.org/officeDocument/2006/relationships" name="B企金群" sheetId="12" state="visible" r:id="rId12"/>
    <sheet xmlns:r="http://schemas.openxmlformats.org/officeDocument/2006/relationships" name="B01企业金融" sheetId="13" state="visible" r:id="rId13"/>
    <sheet xmlns:r="http://schemas.openxmlformats.org/officeDocument/2006/relationships" name="B02金融市场" sheetId="14" state="visible" r:id="rId14"/>
    <sheet xmlns:r="http://schemas.openxmlformats.org/officeDocument/2006/relationships" name="C数字金融" sheetId="15" state="visible" r:id="rId15"/>
    <sheet xmlns:r="http://schemas.openxmlformats.org/officeDocument/2006/relationships" name="C01国内业务" sheetId="16" state="visible" r:id="rId16"/>
    <sheet xmlns:r="http://schemas.openxmlformats.org/officeDocument/2006/relationships" name="C02国内研发" sheetId="17" state="visible" r:id="rId17"/>
    <sheet xmlns:r="http://schemas.openxmlformats.org/officeDocument/2006/relationships" name="D国际业务" sheetId="18" state="visible" r:id="rId18"/>
    <sheet xmlns:r="http://schemas.openxmlformats.org/officeDocument/2006/relationships" name="D01国际业务" sheetId="19" state="visible" r:id="rId19"/>
    <sheet xmlns:r="http://schemas.openxmlformats.org/officeDocument/2006/relationships" name="E小鹅导流" sheetId="20" state="visible" r:id="rId20"/>
    <sheet xmlns:r="http://schemas.openxmlformats.org/officeDocument/2006/relationships" name="E01小鹅导流" sheetId="21" state="visible" r:id="rId21"/>
    <sheet xmlns:r="http://schemas.openxmlformats.org/officeDocument/2006/relationships" name="F司库及其他" sheetId="22" state="visible" r:id="rId22"/>
    <sheet xmlns:r="http://schemas.openxmlformats.org/officeDocument/2006/relationships" name="F01司库及其他" sheetId="23" state="visible" r:id="rId23"/>
    <sheet xmlns:r="http://schemas.openxmlformats.org/officeDocument/2006/relationships" name="AB微众科技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theme="1"/>
      <sz val="9"/>
      <scheme val="minor"/>
    </font>
    <font>
      <name val="等线"/>
      <charset val="134"/>
      <b val="1"/>
      <color theme="1"/>
      <sz val="9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3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4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/>
    </xf>
    <xf numFmtId="49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4" borderId="0" applyAlignment="1" pivotButton="0" quotePrefix="0" xfId="0">
      <alignment horizontal="left" vertical="center"/>
    </xf>
    <xf numFmtId="49" fontId="1" fillId="4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7"/>
  <sheetViews>
    <sheetView tabSelected="1" workbookViewId="0">
      <pane xSplit="4" ySplit="1" topLeftCell="E66" activePane="bottomRight" state="frozen"/>
      <selection activeCell="A1" sqref="A1"/>
      <selection pane="topRight" activeCell="A1" sqref="A1"/>
      <selection pane="bottomLeft" activeCell="A1" sqref="A1"/>
      <selection pane="bottomRight" activeCell="D70" sqref="D70"/>
    </sheetView>
  </sheetViews>
  <sheetFormatPr baseColWidth="8" defaultColWidth="9" defaultRowHeight="15" customHeight="1"/>
  <cols>
    <col width="8.66071428571429" customWidth="1" style="1" min="1" max="2"/>
    <col width="24.8571428571429" customWidth="1" style="1" min="3" max="3"/>
    <col width="16.8303571428571" customWidth="1" style="1" min="4" max="4"/>
    <col width="8.66071428571429" customWidth="1" style="1" min="5" max="7"/>
    <col width="8.66071428571429" customWidth="1" style="6" min="8" max="10"/>
    <col width="8.66071428571429" customWidth="1" style="1" min="11" max="16384"/>
  </cols>
  <sheetData>
    <row r="1">
      <c r="A1" s="2" t="inlineStr">
        <is>
          <t>科目层级</t>
        </is>
      </c>
      <c r="B1" s="2" t="inlineStr">
        <is>
          <t>科目性质</t>
        </is>
      </c>
      <c r="C1" s="3" t="inlineStr">
        <is>
          <t>科目代码</t>
        </is>
      </c>
      <c r="D1" s="2" t="inlineStr">
        <is>
          <t>科目名称</t>
        </is>
      </c>
      <c r="E1" s="3" t="inlineStr">
        <is>
          <t>录入粒度</t>
        </is>
      </c>
      <c r="F1" s="3" t="inlineStr">
        <is>
          <t>年预算公式</t>
        </is>
      </c>
      <c r="G1" s="3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6" t="inlineStr">
        <is>
          <t>规则</t>
        </is>
      </c>
    </row>
    <row r="2">
      <c r="A2" s="7" t="inlineStr">
        <is>
          <t>一级</t>
        </is>
      </c>
      <c r="B2" s="7" t="inlineStr">
        <is>
          <t>收入</t>
        </is>
      </c>
      <c r="C2" s="8" t="inlineStr">
        <is>
          <t>AA.01</t>
        </is>
      </c>
      <c r="D2" s="7" t="inlineStr">
        <is>
          <t>营业收入</t>
        </is>
      </c>
      <c r="F2" t="inlineStr">
        <is>
          <t>AA.01.01+AA.01.02+AA.01.03</t>
        </is>
      </c>
      <c r="K2" t="inlineStr">
        <is>
          <t>是</t>
        </is>
      </c>
      <c r="M2" t="inlineStr">
        <is>
          <t>01</t>
        </is>
      </c>
    </row>
    <row r="3">
      <c r="A3" s="7" t="inlineStr">
        <is>
          <t>二级</t>
        </is>
      </c>
      <c r="B3" s="7" t="inlineStr">
        <is>
          <t>收入</t>
        </is>
      </c>
      <c r="C3" s="8" t="inlineStr">
        <is>
          <t>AA.01.01</t>
        </is>
      </c>
      <c r="D3" s="7" t="inlineStr">
        <is>
          <t xml:space="preserve">  利息净收入</t>
        </is>
      </c>
      <c r="F3" t="inlineStr">
        <is>
          <t>AA.14-AA.16</t>
        </is>
      </c>
      <c r="K3" t="inlineStr">
        <is>
          <t>是</t>
        </is>
      </c>
      <c r="M3" t="inlineStr">
        <is>
          <t>01.01</t>
        </is>
      </c>
    </row>
    <row r="4">
      <c r="A4" s="1" t="inlineStr">
        <is>
          <t>三级</t>
        </is>
      </c>
      <c r="B4" s="1" t="inlineStr">
        <is>
          <t>收入</t>
        </is>
      </c>
      <c r="C4" s="10" t="inlineStr">
        <is>
          <t>AA.14</t>
        </is>
      </c>
      <c r="D4" s="1" t="inlineStr">
        <is>
          <t xml:space="preserve">      利息收入</t>
        </is>
      </c>
      <c r="F4" t="inlineStr">
        <is>
          <t>AA.14.01+AA.14.02+AA.14.03</t>
        </is>
      </c>
      <c r="K4" t="inlineStr">
        <is>
          <t>是</t>
        </is>
      </c>
      <c r="M4" t="inlineStr">
        <is>
          <t>14</t>
        </is>
      </c>
    </row>
    <row r="5">
      <c r="A5" s="1" t="inlineStr">
        <is>
          <t>三级</t>
        </is>
      </c>
      <c r="B5" s="1" t="inlineStr">
        <is>
          <t>支出</t>
        </is>
      </c>
      <c r="C5" s="9" t="inlineStr">
        <is>
          <t>AA.16</t>
        </is>
      </c>
      <c r="D5" s="1" t="inlineStr">
        <is>
          <t xml:space="preserve">      利息支出</t>
        </is>
      </c>
      <c r="F5" t="inlineStr">
        <is>
          <t>AA.16.01+AA.16.02</t>
        </is>
      </c>
      <c r="K5" t="inlineStr">
        <is>
          <t>是</t>
        </is>
      </c>
      <c r="M5" t="inlineStr">
        <is>
          <t>16</t>
        </is>
      </c>
    </row>
    <row r="6">
      <c r="A6" s="7" t="inlineStr">
        <is>
          <t>二级</t>
        </is>
      </c>
      <c r="B6" s="7" t="inlineStr">
        <is>
          <t>收入</t>
        </is>
      </c>
      <c r="C6" s="8" t="inlineStr">
        <is>
          <t>AA.01.02</t>
        </is>
      </c>
      <c r="D6" s="7" t="inlineStr">
        <is>
          <t xml:space="preserve">  净手续费收入</t>
        </is>
      </c>
      <c r="F6" t="inlineStr">
        <is>
          <t>AA.18-AA.19</t>
        </is>
      </c>
      <c r="K6" t="inlineStr">
        <is>
          <t>是</t>
        </is>
      </c>
      <c r="M6" t="inlineStr">
        <is>
          <t>01.02</t>
        </is>
      </c>
    </row>
    <row r="7">
      <c r="A7" s="1" t="inlineStr">
        <is>
          <t>三级</t>
        </is>
      </c>
      <c r="B7" s="1" t="inlineStr">
        <is>
          <t>收入</t>
        </is>
      </c>
      <c r="C7" s="8" t="inlineStr">
        <is>
          <t>AA.18</t>
        </is>
      </c>
      <c r="D7" s="1" t="inlineStr">
        <is>
          <t xml:space="preserve">    手续费收入</t>
        </is>
      </c>
      <c r="K7" t="inlineStr">
        <is>
          <t>是</t>
        </is>
      </c>
      <c r="M7" t="inlineStr">
        <is>
          <t>18</t>
        </is>
      </c>
      <c r="N7" t="inlineStr">
        <is>
          <t>SUM</t>
        </is>
      </c>
    </row>
    <row r="8">
      <c r="A8" s="1" t="inlineStr">
        <is>
          <t>三级</t>
        </is>
      </c>
      <c r="B8" s="1" t="inlineStr">
        <is>
          <t>支出</t>
        </is>
      </c>
      <c r="C8" s="8" t="inlineStr">
        <is>
          <t>AA.19</t>
        </is>
      </c>
      <c r="D8" s="1" t="inlineStr">
        <is>
          <t xml:space="preserve">    手续费支出</t>
        </is>
      </c>
      <c r="K8" t="inlineStr">
        <is>
          <t>是</t>
        </is>
      </c>
      <c r="M8" t="inlineStr">
        <is>
          <t>19</t>
        </is>
      </c>
      <c r="N8" t="inlineStr">
        <is>
          <t>SUM</t>
        </is>
      </c>
    </row>
    <row r="9">
      <c r="A9" s="7" t="inlineStr">
        <is>
          <t>二级</t>
        </is>
      </c>
      <c r="B9" s="7" t="inlineStr">
        <is>
          <t>收入</t>
        </is>
      </c>
      <c r="C9" s="8" t="inlineStr">
        <is>
          <t>AA.01.03</t>
        </is>
      </c>
      <c r="D9" s="7" t="inlineStr">
        <is>
          <t xml:space="preserve">  其他营收</t>
        </is>
      </c>
      <c r="K9" t="inlineStr">
        <is>
          <t>是</t>
        </is>
      </c>
      <c r="M9" t="inlineStr">
        <is>
          <t>01.03</t>
        </is>
      </c>
      <c r="N9" t="inlineStr">
        <is>
          <t>SUM</t>
        </is>
      </c>
    </row>
    <row r="10">
      <c r="A10" s="7" t="inlineStr">
        <is>
          <t>一级</t>
        </is>
      </c>
      <c r="B10" s="7" t="inlineStr">
        <is>
          <t>支出</t>
        </is>
      </c>
      <c r="C10" s="8" t="inlineStr">
        <is>
          <t>AA.02</t>
        </is>
      </c>
      <c r="D10" s="7" t="inlineStr">
        <is>
          <t>减：资产减值损失</t>
        </is>
      </c>
      <c r="F10" t="inlineStr">
        <is>
          <t>AA.28.01+AA.28.02</t>
        </is>
      </c>
      <c r="K10" t="inlineStr">
        <is>
          <t>是</t>
        </is>
      </c>
      <c r="M10" t="inlineStr">
        <is>
          <t>02</t>
        </is>
      </c>
    </row>
    <row r="11">
      <c r="A11" s="7" t="inlineStr">
        <is>
          <t>二级</t>
        </is>
      </c>
      <c r="B11" s="7" t="inlineStr">
        <is>
          <t>支出</t>
        </is>
      </c>
      <c r="C11" s="8" t="inlineStr">
        <is>
          <t>AA.28.01</t>
        </is>
      </c>
      <c r="D11" s="7" t="inlineStr">
        <is>
          <t xml:space="preserve">  贷款减值损失</t>
        </is>
      </c>
      <c r="F11" t="inlineStr">
        <is>
          <t>AA.28.01.01+AA.28.01.02</t>
        </is>
      </c>
      <c r="K11" t="inlineStr">
        <is>
          <t>是</t>
        </is>
      </c>
      <c r="M11" t="inlineStr">
        <is>
          <t>28.01</t>
        </is>
      </c>
    </row>
    <row r="12">
      <c r="A12" s="1" t="inlineStr">
        <is>
          <t>三级</t>
        </is>
      </c>
      <c r="B12" s="1" t="inlineStr">
        <is>
          <t>支出</t>
        </is>
      </c>
      <c r="C12" s="8" t="inlineStr">
        <is>
          <t>AA.28.01.01</t>
        </is>
      </c>
      <c r="D12" s="1" t="inlineStr">
        <is>
          <t xml:space="preserve">    实际风险成本</t>
        </is>
      </c>
      <c r="K12" t="inlineStr">
        <is>
          <t>是</t>
        </is>
      </c>
      <c r="M12" t="inlineStr">
        <is>
          <t>28.01.01</t>
        </is>
      </c>
      <c r="N12" t="inlineStr">
        <is>
          <t>SUM</t>
        </is>
      </c>
    </row>
    <row r="13">
      <c r="A13" s="1" t="inlineStr">
        <is>
          <t>三级</t>
        </is>
      </c>
      <c r="B13" s="1" t="inlineStr">
        <is>
          <t>支出</t>
        </is>
      </c>
      <c r="C13" s="8" t="inlineStr">
        <is>
          <t>AA.28.01.02</t>
        </is>
      </c>
      <c r="D13" s="1" t="inlineStr">
        <is>
          <t xml:space="preserve">    超额拨备</t>
        </is>
      </c>
      <c r="K13" t="inlineStr">
        <is>
          <t>是</t>
        </is>
      </c>
      <c r="M13" t="inlineStr">
        <is>
          <t>28.01.02</t>
        </is>
      </c>
      <c r="N13" t="inlineStr">
        <is>
          <t>SUM</t>
        </is>
      </c>
    </row>
    <row r="14">
      <c r="A14" s="7" t="inlineStr">
        <is>
          <t>二级</t>
        </is>
      </c>
      <c r="B14" s="7" t="inlineStr">
        <is>
          <t>支出</t>
        </is>
      </c>
      <c r="C14" s="8" t="inlineStr">
        <is>
          <t>AA.28.02</t>
        </is>
      </c>
      <c r="D14" s="7" t="inlineStr">
        <is>
          <t xml:space="preserve">  非贷减值损失</t>
        </is>
      </c>
      <c r="K14" t="inlineStr">
        <is>
          <t>是</t>
        </is>
      </c>
      <c r="M14" t="inlineStr">
        <is>
          <t>28.02</t>
        </is>
      </c>
      <c r="N14" t="inlineStr">
        <is>
          <t>SUM</t>
        </is>
      </c>
    </row>
    <row r="15">
      <c r="A15" s="7" t="inlineStr">
        <is>
          <t>一级</t>
        </is>
      </c>
      <c r="B15" s="7" t="inlineStr">
        <is>
          <t>收入</t>
        </is>
      </c>
      <c r="C15" s="8" t="inlineStr">
        <is>
          <t>AA.03</t>
        </is>
      </c>
      <c r="D15" s="7" t="inlineStr">
        <is>
          <t>净收入</t>
        </is>
      </c>
      <c r="F15" t="inlineStr">
        <is>
          <t>AA.01-AA.02</t>
        </is>
      </c>
      <c r="K15" t="inlineStr">
        <is>
          <t>是</t>
        </is>
      </c>
      <c r="M15" t="inlineStr">
        <is>
          <t>03</t>
        </is>
      </c>
    </row>
    <row r="16">
      <c r="A16" s="7" t="inlineStr">
        <is>
          <t>一级</t>
        </is>
      </c>
      <c r="B16" s="7" t="inlineStr">
        <is>
          <t>支出</t>
        </is>
      </c>
      <c r="C16" s="8" t="inlineStr">
        <is>
          <t>AA.04</t>
        </is>
      </c>
      <c r="D16" s="7" t="inlineStr">
        <is>
          <t>减：税金及附加</t>
        </is>
      </c>
      <c r="K16" t="inlineStr">
        <is>
          <t>是</t>
        </is>
      </c>
      <c r="M16" t="inlineStr">
        <is>
          <t>04</t>
        </is>
      </c>
      <c r="N16" t="inlineStr">
        <is>
          <t>SUM</t>
        </is>
      </c>
    </row>
    <row r="17">
      <c r="A17" s="7" t="inlineStr">
        <is>
          <t>一级</t>
        </is>
      </c>
      <c r="B17" s="7" t="inlineStr">
        <is>
          <t>支出</t>
        </is>
      </c>
      <c r="C17" s="8" t="inlineStr">
        <is>
          <t>AA.29</t>
        </is>
      </c>
      <c r="D17" s="7" t="inlineStr">
        <is>
          <t>减：业务及管理费</t>
        </is>
      </c>
      <c r="F17" t="inlineStr">
        <is>
          <t>AA.29.01+AA.29.02+AA.29.03</t>
        </is>
      </c>
      <c r="K17" t="inlineStr">
        <is>
          <t>是</t>
        </is>
      </c>
      <c r="M17" t="inlineStr">
        <is>
          <t>29</t>
        </is>
      </c>
    </row>
    <row r="18">
      <c r="A18" s="7" t="inlineStr">
        <is>
          <t>二级</t>
        </is>
      </c>
      <c r="B18" s="7" t="inlineStr">
        <is>
          <t>支出</t>
        </is>
      </c>
      <c r="C18" s="7" t="inlineStr">
        <is>
          <t>AA.29.01</t>
        </is>
      </c>
      <c r="D18" s="7" t="inlineStr">
        <is>
          <t xml:space="preserve">  人力费用</t>
        </is>
      </c>
      <c r="F18" t="inlineStr">
        <is>
          <t>AA.29.01.01+AA.29.01.02+AA.29.01.03</t>
        </is>
      </c>
      <c r="K18" t="inlineStr">
        <is>
          <t>是</t>
        </is>
      </c>
      <c r="M18" t="inlineStr">
        <is>
          <t>29.01</t>
        </is>
      </c>
    </row>
    <row r="19">
      <c r="A19" s="1" t="inlineStr">
        <is>
          <t>三级</t>
        </is>
      </c>
      <c r="B19" s="1" t="inlineStr">
        <is>
          <t>支出</t>
        </is>
      </c>
      <c r="C19" s="1" t="inlineStr">
        <is>
          <t>AA.29.01.01</t>
        </is>
      </c>
      <c r="D19" s="1" t="inlineStr">
        <is>
          <t xml:space="preserve">    常规人力</t>
        </is>
      </c>
      <c r="K19" t="inlineStr">
        <is>
          <t>是</t>
        </is>
      </c>
      <c r="M19" t="inlineStr">
        <is>
          <t>29.01.01</t>
        </is>
      </c>
      <c r="N19" t="inlineStr">
        <is>
          <t>SUM</t>
        </is>
      </c>
    </row>
    <row r="20">
      <c r="A20" s="1" t="inlineStr">
        <is>
          <t>三级</t>
        </is>
      </c>
      <c r="B20" s="1" t="inlineStr">
        <is>
          <t>支出</t>
        </is>
      </c>
      <c r="C20" s="1" t="inlineStr">
        <is>
          <t>AA.29.01.02</t>
        </is>
      </c>
      <c r="D20" s="1" t="inlineStr">
        <is>
          <t xml:space="preserve">    利润分享</t>
        </is>
      </c>
      <c r="K20" t="inlineStr">
        <is>
          <t>是</t>
        </is>
      </c>
      <c r="M20" t="inlineStr">
        <is>
          <t>29.01.02</t>
        </is>
      </c>
      <c r="N20" t="inlineStr">
        <is>
          <t>SUM</t>
        </is>
      </c>
    </row>
    <row r="21">
      <c r="A21" s="1" t="inlineStr">
        <is>
          <t>三级</t>
        </is>
      </c>
      <c r="B21" s="1" t="inlineStr">
        <is>
          <t>支出</t>
        </is>
      </c>
      <c r="C21" s="1" t="inlineStr">
        <is>
          <t>AA.29.01.03</t>
        </is>
      </c>
      <c r="D21" s="1" t="inlineStr">
        <is>
          <t xml:space="preserve">    专项费用</t>
        </is>
      </c>
      <c r="K21" t="inlineStr">
        <is>
          <t>是</t>
        </is>
      </c>
      <c r="M21" t="inlineStr">
        <is>
          <t>29.01.03</t>
        </is>
      </c>
      <c r="N21" t="inlineStr">
        <is>
          <t>SUM</t>
        </is>
      </c>
    </row>
    <row r="22">
      <c r="A22" s="7" t="inlineStr">
        <is>
          <t>二级</t>
        </is>
      </c>
      <c r="B22" s="7" t="inlineStr">
        <is>
          <t>支出</t>
        </is>
      </c>
      <c r="C22" s="7" t="inlineStr">
        <is>
          <t>AA.05.02</t>
        </is>
      </c>
      <c r="D22" s="7" t="inlineStr">
        <is>
          <t xml:space="preserve">  业务费用</t>
        </is>
      </c>
      <c r="K22" t="inlineStr">
        <is>
          <t>是</t>
        </is>
      </c>
      <c r="N22" t="inlineStr">
        <is>
          <t>SUM</t>
        </is>
      </c>
    </row>
    <row r="23">
      <c r="A23" s="1" t="inlineStr">
        <is>
          <t>三级</t>
        </is>
      </c>
      <c r="B23" s="1" t="inlineStr">
        <is>
          <t>支出</t>
        </is>
      </c>
      <c r="C23" s="1" t="inlineStr">
        <is>
          <t>AA.05.02.01</t>
        </is>
      </c>
      <c r="D23" s="1" t="inlineStr">
        <is>
          <t xml:space="preserve">    营销费用</t>
        </is>
      </c>
      <c r="K23" t="inlineStr">
        <is>
          <t>是</t>
        </is>
      </c>
      <c r="N23" t="inlineStr">
        <is>
          <t>SUM</t>
        </is>
      </c>
    </row>
    <row r="24">
      <c r="A24" s="1" t="inlineStr">
        <is>
          <t>三级</t>
        </is>
      </c>
      <c r="B24" s="1" t="inlineStr">
        <is>
          <t>支出</t>
        </is>
      </c>
      <c r="C24" s="1" t="inlineStr">
        <is>
          <t>AA.05.02.02</t>
        </is>
      </c>
      <c r="D24" s="1" t="inlineStr">
        <is>
          <t xml:space="preserve">    运营费用</t>
        </is>
      </c>
      <c r="K24" t="inlineStr">
        <is>
          <t>是</t>
        </is>
      </c>
      <c r="N24" t="inlineStr">
        <is>
          <t>SUM</t>
        </is>
      </c>
    </row>
    <row r="25">
      <c r="A25" s="7" t="inlineStr">
        <is>
          <t>二级</t>
        </is>
      </c>
      <c r="B25" s="7" t="inlineStr">
        <is>
          <t>支出</t>
        </is>
      </c>
      <c r="C25" s="7" t="inlineStr">
        <is>
          <t>AA.29.02</t>
        </is>
      </c>
      <c r="D25" s="7" t="inlineStr">
        <is>
          <t xml:space="preserve">  IT费用</t>
        </is>
      </c>
      <c r="K25" t="inlineStr">
        <is>
          <t>是</t>
        </is>
      </c>
      <c r="M25" t="inlineStr">
        <is>
          <t>29.02</t>
        </is>
      </c>
      <c r="N25" t="inlineStr">
        <is>
          <t>SUM</t>
        </is>
      </c>
    </row>
    <row r="26">
      <c r="A26" s="7" t="inlineStr">
        <is>
          <t>二级</t>
        </is>
      </c>
      <c r="B26" s="7" t="inlineStr">
        <is>
          <t>支出</t>
        </is>
      </c>
      <c r="C26" s="7" t="inlineStr">
        <is>
          <t>AA.29.03</t>
        </is>
      </c>
      <c r="D26" s="7" t="inlineStr">
        <is>
          <t xml:space="preserve">  日常费用</t>
        </is>
      </c>
      <c r="K26" t="inlineStr">
        <is>
          <t>是</t>
        </is>
      </c>
      <c r="M26" t="inlineStr">
        <is>
          <t>29.03</t>
        </is>
      </c>
      <c r="N26" t="inlineStr">
        <is>
          <t>SUM</t>
        </is>
      </c>
    </row>
    <row r="27">
      <c r="A27" s="7" t="inlineStr">
        <is>
          <t>一级</t>
        </is>
      </c>
      <c r="B27" s="7" t="inlineStr">
        <is>
          <t>收入</t>
        </is>
      </c>
      <c r="C27" s="7" t="inlineStr">
        <is>
          <t>AA.06</t>
        </is>
      </c>
      <c r="D27" s="7" t="inlineStr">
        <is>
          <t>加：营业外净收入</t>
        </is>
      </c>
      <c r="K27" t="inlineStr">
        <is>
          <t>是</t>
        </is>
      </c>
      <c r="M27" t="inlineStr">
        <is>
          <t>06</t>
        </is>
      </c>
      <c r="N27" t="inlineStr">
        <is>
          <t>SUM</t>
        </is>
      </c>
    </row>
    <row r="28">
      <c r="A28" s="7" t="inlineStr">
        <is>
          <t>一级</t>
        </is>
      </c>
      <c r="B28" s="7" t="inlineStr">
        <is>
          <t>利润</t>
        </is>
      </c>
      <c r="C28" s="7" t="inlineStr">
        <is>
          <t>AA.09</t>
        </is>
      </c>
      <c r="D28" s="7" t="inlineStr">
        <is>
          <t>税前利润</t>
        </is>
      </c>
      <c r="F28" t="inlineStr">
        <is>
          <t>AA.03-AA.04-AA.29+AA.06</t>
        </is>
      </c>
      <c r="K28" t="inlineStr">
        <is>
          <t>是</t>
        </is>
      </c>
      <c r="M28" t="inlineStr">
        <is>
          <t>09</t>
        </is>
      </c>
    </row>
    <row r="29">
      <c r="A29" s="7" t="inlineStr">
        <is>
          <t>一级</t>
        </is>
      </c>
      <c r="B29" s="7" t="inlineStr">
        <is>
          <t>支出</t>
        </is>
      </c>
      <c r="C29" s="7" t="inlineStr">
        <is>
          <t>AA.30</t>
        </is>
      </c>
      <c r="D29" s="7" t="inlineStr">
        <is>
          <t>减：所得税</t>
        </is>
      </c>
      <c r="K29" t="inlineStr">
        <is>
          <t>是</t>
        </is>
      </c>
      <c r="M29" t="inlineStr">
        <is>
          <t>30</t>
        </is>
      </c>
      <c r="N29" t="inlineStr">
        <is>
          <t>SUM</t>
        </is>
      </c>
    </row>
    <row r="30">
      <c r="A30" s="7" t="inlineStr">
        <is>
          <t>一级</t>
        </is>
      </c>
      <c r="B30" s="7" t="inlineStr">
        <is>
          <t>利润</t>
        </is>
      </c>
      <c r="C30" s="7" t="inlineStr">
        <is>
          <t>AA.31</t>
        </is>
      </c>
      <c r="D30" s="7" t="inlineStr">
        <is>
          <t>净利润</t>
        </is>
      </c>
      <c r="F30" t="inlineStr">
        <is>
          <t>AA.09-AA.30</t>
        </is>
      </c>
      <c r="K30" t="inlineStr">
        <is>
          <t>是</t>
        </is>
      </c>
      <c r="M30" t="inlineStr">
        <is>
          <t>31</t>
        </is>
      </c>
    </row>
    <row r="31">
      <c r="A31" s="7" t="n"/>
      <c r="B31" s="7" t="n"/>
      <c r="C31" s="7" t="n"/>
      <c r="D31" s="7" t="n"/>
    </row>
    <row r="32">
      <c r="A32" s="7" t="inlineStr">
        <is>
          <t>一级</t>
        </is>
      </c>
      <c r="B32" s="7" t="inlineStr">
        <is>
          <t>资产余额</t>
        </is>
      </c>
      <c r="C32" s="11" t="inlineStr">
        <is>
          <t>AA.10</t>
        </is>
      </c>
      <c r="D32" s="11" t="inlineStr">
        <is>
          <t>管理贷款余额</t>
        </is>
      </c>
      <c r="F32" t="inlineStr">
        <is>
          <t>AA.10.01+AA.10.02+AA.10.03+AA.10.04</t>
        </is>
      </c>
      <c r="K32" t="inlineStr">
        <is>
          <t>是</t>
        </is>
      </c>
      <c r="M32" t="inlineStr">
        <is>
          <t>10</t>
        </is>
      </c>
    </row>
    <row r="33">
      <c r="A33" s="1" t="inlineStr">
        <is>
          <t>二级</t>
        </is>
      </c>
      <c r="B33" s="7" t="inlineStr">
        <is>
          <t>资产余额</t>
        </is>
      </c>
      <c r="C33" s="10" t="inlineStr">
        <is>
          <t>AA.10.01</t>
        </is>
      </c>
      <c r="D33" s="10" t="inlineStr">
        <is>
          <t xml:space="preserve">  自持余额</t>
        </is>
      </c>
      <c r="F33" t="inlineStr">
        <is>
          <t>AA.10.01.01+AA.10.01.02</t>
        </is>
      </c>
      <c r="K33" t="inlineStr">
        <is>
          <t>是</t>
        </is>
      </c>
      <c r="M33" t="inlineStr">
        <is>
          <t>10.01</t>
        </is>
      </c>
    </row>
    <row r="34">
      <c r="A34" s="1" t="inlineStr">
        <is>
          <t>三级</t>
        </is>
      </c>
      <c r="B34" s="7" t="inlineStr">
        <is>
          <t>资产余额</t>
        </is>
      </c>
      <c r="C34" s="10" t="inlineStr">
        <is>
          <t>AA.10.01.01</t>
        </is>
      </c>
      <c r="D34" s="10" t="inlineStr">
        <is>
          <t xml:space="preserve">    一般贷款</t>
        </is>
      </c>
      <c r="K34" t="inlineStr">
        <is>
          <t>是</t>
        </is>
      </c>
      <c r="M34" t="inlineStr">
        <is>
          <t>10.01.01</t>
        </is>
      </c>
      <c r="N34" t="inlineStr">
        <is>
          <t>LAST</t>
        </is>
      </c>
    </row>
    <row r="35">
      <c r="A35" s="1" t="inlineStr">
        <is>
          <t>三级</t>
        </is>
      </c>
      <c r="B35" s="7" t="inlineStr">
        <is>
          <t>资产余额</t>
        </is>
      </c>
      <c r="C35" s="10" t="inlineStr">
        <is>
          <t>AA.10.01.02</t>
        </is>
      </c>
      <c r="D35" s="10" t="inlineStr">
        <is>
          <t xml:space="preserve">    票据融资</t>
        </is>
      </c>
      <c r="K35" t="inlineStr">
        <is>
          <t>是</t>
        </is>
      </c>
      <c r="M35" t="inlineStr">
        <is>
          <t>10.01.02</t>
        </is>
      </c>
      <c r="N35" t="inlineStr">
        <is>
          <t>LAST</t>
        </is>
      </c>
    </row>
    <row r="36">
      <c r="A36" s="1" t="inlineStr">
        <is>
          <t>二级</t>
        </is>
      </c>
      <c r="B36" s="7" t="inlineStr">
        <is>
          <t>资产余额</t>
        </is>
      </c>
      <c r="C36" s="10" t="inlineStr">
        <is>
          <t>AA.10.02</t>
        </is>
      </c>
      <c r="D36" s="10" t="inlineStr">
        <is>
          <t xml:space="preserve">  联贷</t>
        </is>
      </c>
      <c r="K36" t="inlineStr">
        <is>
          <t>是</t>
        </is>
      </c>
      <c r="M36" t="inlineStr">
        <is>
          <t>10.02</t>
        </is>
      </c>
      <c r="N36" t="inlineStr">
        <is>
          <t>LAST</t>
        </is>
      </c>
    </row>
    <row r="37">
      <c r="A37" s="1" t="inlineStr">
        <is>
          <t>二级</t>
        </is>
      </c>
      <c r="B37" s="7" t="inlineStr">
        <is>
          <t>资产余额</t>
        </is>
      </c>
      <c r="C37" s="10" t="inlineStr">
        <is>
          <t>AA.10.03</t>
        </is>
      </c>
      <c r="D37" s="10" t="inlineStr">
        <is>
          <t xml:space="preserve">  流转</t>
        </is>
      </c>
      <c r="K37" t="inlineStr">
        <is>
          <t>是</t>
        </is>
      </c>
      <c r="M37" t="inlineStr">
        <is>
          <t>10.03</t>
        </is>
      </c>
      <c r="N37" t="inlineStr">
        <is>
          <t>LAST</t>
        </is>
      </c>
    </row>
    <row r="38">
      <c r="A38" s="10" t="inlineStr">
        <is>
          <t>二级</t>
        </is>
      </c>
      <c r="B38" s="7" t="inlineStr">
        <is>
          <t>资产余额</t>
        </is>
      </c>
      <c r="C38" s="10" t="inlineStr">
        <is>
          <t>AA.10.04</t>
        </is>
      </c>
      <c r="D38" s="10" t="inlineStr">
        <is>
          <t xml:space="preserve">  银承保函</t>
        </is>
      </c>
      <c r="K38" t="inlineStr">
        <is>
          <t>是</t>
        </is>
      </c>
      <c r="M38" t="inlineStr">
        <is>
          <t>10.04</t>
        </is>
      </c>
      <c r="N38" t="inlineStr">
        <is>
          <t>LAST</t>
        </is>
      </c>
    </row>
    <row r="39">
      <c r="A39" s="10" t="n"/>
      <c r="B39" s="7" t="n"/>
      <c r="C39" s="10" t="n"/>
      <c r="D39" s="10" t="n"/>
    </row>
    <row r="40">
      <c r="D40" s="7" t="n"/>
    </row>
    <row r="41">
      <c r="A41" s="10" t="inlineStr">
        <is>
          <t>一级</t>
        </is>
      </c>
      <c r="B41" s="10" t="inlineStr">
        <is>
          <t>负债余额</t>
        </is>
      </c>
      <c r="C41" s="10" t="inlineStr">
        <is>
          <t>AA.12</t>
        </is>
      </c>
      <c r="D41" s="10" t="inlineStr">
        <is>
          <t>管理资产余额</t>
        </is>
      </c>
      <c r="F41" t="inlineStr">
        <is>
          <t>AA.12.01+AA.12.02+AA.12.03+AA.12.04</t>
        </is>
      </c>
      <c r="K41" t="inlineStr">
        <is>
          <t>是</t>
        </is>
      </c>
      <c r="M41" t="inlineStr">
        <is>
          <t>12</t>
        </is>
      </c>
    </row>
    <row r="42">
      <c r="A42" s="10" t="inlineStr">
        <is>
          <t>二级</t>
        </is>
      </c>
      <c r="B42" s="10" t="inlineStr">
        <is>
          <t>负债余额</t>
        </is>
      </c>
      <c r="C42" s="10" t="inlineStr">
        <is>
          <t>AA.12.01</t>
        </is>
      </c>
      <c r="D42" s="10" t="inlineStr">
        <is>
          <t xml:space="preserve">  各项存款</t>
        </is>
      </c>
      <c r="K42" t="inlineStr">
        <is>
          <t>是</t>
        </is>
      </c>
      <c r="M42" t="inlineStr">
        <is>
          <t>12.01</t>
        </is>
      </c>
      <c r="N42" t="inlineStr">
        <is>
          <t>LAST</t>
        </is>
      </c>
    </row>
    <row r="43">
      <c r="A43" s="10" t="inlineStr">
        <is>
          <t>二级</t>
        </is>
      </c>
      <c r="B43" s="10" t="inlineStr">
        <is>
          <t>负债余额</t>
        </is>
      </c>
      <c r="C43" s="10" t="inlineStr">
        <is>
          <t>AA.12.02</t>
        </is>
      </c>
      <c r="D43" s="10" t="inlineStr">
        <is>
          <t xml:space="preserve">  代销理财</t>
        </is>
      </c>
      <c r="K43" t="inlineStr">
        <is>
          <t>是</t>
        </is>
      </c>
      <c r="M43" t="inlineStr">
        <is>
          <t>12.02</t>
        </is>
      </c>
      <c r="N43" t="inlineStr">
        <is>
          <t>LAST</t>
        </is>
      </c>
    </row>
    <row r="44">
      <c r="A44" s="10" t="inlineStr">
        <is>
          <t>二级</t>
        </is>
      </c>
      <c r="B44" s="10" t="inlineStr">
        <is>
          <t>负债余额</t>
        </is>
      </c>
      <c r="C44" s="10" t="inlineStr">
        <is>
          <t>AA.12.03</t>
        </is>
      </c>
      <c r="D44" s="10" t="inlineStr">
        <is>
          <t xml:space="preserve">  商户结算便利应付款</t>
        </is>
      </c>
      <c r="K44" t="inlineStr">
        <is>
          <t>是</t>
        </is>
      </c>
      <c r="M44" t="inlineStr">
        <is>
          <t>12.03</t>
        </is>
      </c>
      <c r="N44" t="inlineStr">
        <is>
          <t>LAST</t>
        </is>
      </c>
    </row>
    <row r="45">
      <c r="A45" s="10" t="inlineStr">
        <is>
          <t>二级</t>
        </is>
      </c>
      <c r="B45" s="10" t="inlineStr">
        <is>
          <t>负债余额</t>
        </is>
      </c>
      <c r="C45" s="10" t="inlineStr">
        <is>
          <t>AA.12.04</t>
        </is>
      </c>
      <c r="D45" s="10" t="inlineStr">
        <is>
          <t xml:space="preserve">  存款服务</t>
        </is>
      </c>
      <c r="K45" t="inlineStr">
        <is>
          <t>是</t>
        </is>
      </c>
      <c r="M45" t="inlineStr">
        <is>
          <t>12.04</t>
        </is>
      </c>
      <c r="N45" t="inlineStr">
        <is>
          <t>LAST</t>
        </is>
      </c>
    </row>
    <row r="46">
      <c r="A46" s="7" t="n"/>
      <c r="B46" s="7" t="n"/>
      <c r="D46" s="7" t="n"/>
    </row>
    <row r="47">
      <c r="A47" s="7" t="inlineStr">
        <is>
          <t>一级</t>
        </is>
      </c>
      <c r="B47" s="7" t="inlineStr">
        <is>
          <t>其他</t>
        </is>
      </c>
      <c r="C47" s="1" t="inlineStr">
        <is>
          <t>AA.45</t>
        </is>
      </c>
      <c r="D47" s="7" t="inlineStr">
        <is>
          <t>拨备覆盖率</t>
        </is>
      </c>
      <c r="K47" t="inlineStr">
        <is>
          <t>是</t>
        </is>
      </c>
      <c r="M47" t="inlineStr">
        <is>
          <t>45</t>
        </is>
      </c>
      <c r="N47" t="inlineStr">
        <is>
          <t>WGT</t>
        </is>
      </c>
    </row>
    <row r="48">
      <c r="A48" s="7" t="inlineStr">
        <is>
          <t>一级</t>
        </is>
      </c>
      <c r="B48" s="7" t="inlineStr">
        <is>
          <t>其他</t>
        </is>
      </c>
      <c r="C48" s="1" t="inlineStr">
        <is>
          <t>AA.46</t>
        </is>
      </c>
      <c r="D48" s="7" t="inlineStr">
        <is>
          <t>贷款拨备率</t>
        </is>
      </c>
      <c r="F48" t="inlineStr">
        <is>
          <t>AA.46.01+AA.46.02+AA.46.03</t>
        </is>
      </c>
      <c r="K48" t="inlineStr">
        <is>
          <t>是</t>
        </is>
      </c>
      <c r="M48" t="inlineStr">
        <is>
          <t>46</t>
        </is>
      </c>
    </row>
    <row r="49">
      <c r="A49" s="7" t="inlineStr">
        <is>
          <t>一级</t>
        </is>
      </c>
      <c r="B49" s="7" t="inlineStr">
        <is>
          <t>资产余额</t>
        </is>
      </c>
      <c r="C49" s="1" t="inlineStr">
        <is>
          <t>AA.47</t>
        </is>
      </c>
      <c r="D49" s="7" t="inlineStr">
        <is>
          <t>资产减值准备</t>
        </is>
      </c>
      <c r="F49" t="inlineStr">
        <is>
          <t>AA.47.01+AA.47.02</t>
        </is>
      </c>
      <c r="K49" t="inlineStr">
        <is>
          <t>是</t>
        </is>
      </c>
      <c r="M49" t="inlineStr">
        <is>
          <t>47</t>
        </is>
      </c>
    </row>
    <row r="50">
      <c r="A50" s="1" t="inlineStr">
        <is>
          <t>二级</t>
        </is>
      </c>
      <c r="B50" s="1" t="inlineStr">
        <is>
          <t>资产余额</t>
        </is>
      </c>
      <c r="C50" s="1" t="inlineStr">
        <is>
          <t>AA.47.01</t>
        </is>
      </c>
      <c r="D50" s="1" t="inlineStr">
        <is>
          <t xml:space="preserve">  贷款减值准备</t>
        </is>
      </c>
      <c r="F50" t="inlineStr">
        <is>
          <t>AA.47.01.01+AA.47.01.02</t>
        </is>
      </c>
      <c r="K50" t="inlineStr">
        <is>
          <t>是</t>
        </is>
      </c>
      <c r="M50" t="inlineStr">
        <is>
          <t>47.01</t>
        </is>
      </c>
    </row>
    <row r="51">
      <c r="A51" s="1" t="inlineStr">
        <is>
          <t>三级</t>
        </is>
      </c>
      <c r="B51" s="1" t="inlineStr">
        <is>
          <t>资产余额</t>
        </is>
      </c>
      <c r="C51" s="1" t="inlineStr">
        <is>
          <t>AA.47.01.01</t>
        </is>
      </c>
      <c r="D51" s="1" t="inlineStr">
        <is>
          <t xml:space="preserve">    超额拨备</t>
        </is>
      </c>
      <c r="K51" t="inlineStr">
        <is>
          <t>是</t>
        </is>
      </c>
      <c r="M51" t="inlineStr">
        <is>
          <t>47.01.01</t>
        </is>
      </c>
      <c r="N51" t="inlineStr">
        <is>
          <t>LAST</t>
        </is>
      </c>
    </row>
    <row r="52">
      <c r="A52" s="1" t="inlineStr">
        <is>
          <t>二级</t>
        </is>
      </c>
      <c r="B52" s="1" t="inlineStr">
        <is>
          <t>资产余额</t>
        </is>
      </c>
      <c r="C52" s="1" t="inlineStr">
        <is>
          <t>AA.47.02</t>
        </is>
      </c>
      <c r="D52" s="1" t="inlineStr">
        <is>
          <t xml:space="preserve">  非贷减值准备</t>
        </is>
      </c>
      <c r="K52" t="inlineStr">
        <is>
          <t>是</t>
        </is>
      </c>
      <c r="M52" t="inlineStr">
        <is>
          <t>47.02</t>
        </is>
      </c>
      <c r="N52" t="inlineStr">
        <is>
          <t>LAST</t>
        </is>
      </c>
    </row>
    <row r="53">
      <c r="A53" s="7" t="inlineStr">
        <is>
          <t>一级</t>
        </is>
      </c>
      <c r="B53" s="7" t="inlineStr">
        <is>
          <t>资产余额</t>
        </is>
      </c>
      <c r="C53" s="1" t="inlineStr">
        <is>
          <t>AA.54</t>
        </is>
      </c>
      <c r="D53" s="7" t="inlineStr">
        <is>
          <t>年初资产减值准备</t>
        </is>
      </c>
      <c r="F53" t="inlineStr">
        <is>
          <t>AA.54.01+AA.54.02</t>
        </is>
      </c>
      <c r="K53" t="inlineStr">
        <is>
          <t>是</t>
        </is>
      </c>
      <c r="M53" t="inlineStr">
        <is>
          <t>54</t>
        </is>
      </c>
    </row>
    <row r="54">
      <c r="A54" s="1" t="inlineStr">
        <is>
          <t>二级</t>
        </is>
      </c>
      <c r="B54" s="1" t="inlineStr">
        <is>
          <t>资产余额</t>
        </is>
      </c>
      <c r="C54" s="1" t="inlineStr">
        <is>
          <t>AA.54.01</t>
        </is>
      </c>
      <c r="D54" s="1" t="inlineStr">
        <is>
          <t xml:space="preserve">  年初贷款减值准备</t>
        </is>
      </c>
      <c r="K54" t="inlineStr">
        <is>
          <t>是</t>
        </is>
      </c>
      <c r="M54" t="inlineStr">
        <is>
          <t>54.01</t>
        </is>
      </c>
      <c r="N54" t="inlineStr">
        <is>
          <t>LAST</t>
        </is>
      </c>
    </row>
    <row r="55">
      <c r="A55" s="1" t="inlineStr">
        <is>
          <t>二级</t>
        </is>
      </c>
      <c r="B55" s="1" t="inlineStr">
        <is>
          <t>资产余额</t>
        </is>
      </c>
      <c r="C55" s="1" t="inlineStr">
        <is>
          <t>AA.54.02</t>
        </is>
      </c>
      <c r="D55" s="1" t="inlineStr">
        <is>
          <t xml:space="preserve">  年初非贷减值准备</t>
        </is>
      </c>
      <c r="K55" t="inlineStr">
        <is>
          <t>是</t>
        </is>
      </c>
      <c r="M55" t="inlineStr">
        <is>
          <t>54.02</t>
        </is>
      </c>
      <c r="N55" t="inlineStr">
        <is>
          <t>LAST</t>
        </is>
      </c>
    </row>
    <row r="56">
      <c r="A56" s="7" t="inlineStr">
        <is>
          <t>一级</t>
        </is>
      </c>
      <c r="B56" s="7" t="inlineStr">
        <is>
          <t>其他</t>
        </is>
      </c>
      <c r="C56" s="1" t="inlineStr">
        <is>
          <t>AA.48</t>
        </is>
      </c>
      <c r="D56" s="7" t="inlineStr">
        <is>
          <t>贷款风险成本率</t>
        </is>
      </c>
      <c r="F56" t="inlineStr">
        <is>
          <t>AA.46-AA.47</t>
        </is>
      </c>
      <c r="K56" t="inlineStr">
        <is>
          <t>是</t>
        </is>
      </c>
      <c r="M56" t="inlineStr">
        <is>
          <t>48</t>
        </is>
      </c>
    </row>
    <row r="57">
      <c r="A57" s="1" t="inlineStr">
        <is>
          <t>二级</t>
        </is>
      </c>
      <c r="B57" s="1" t="inlineStr">
        <is>
          <t>其他</t>
        </is>
      </c>
      <c r="C57" s="1" t="inlineStr">
        <is>
          <t>AA.38</t>
        </is>
      </c>
      <c r="D57" s="1" t="inlineStr">
        <is>
          <t xml:space="preserve">  实际风险成本率</t>
        </is>
      </c>
      <c r="F57" t="inlineStr">
        <is>
          <t>AA.38.01+AA.38.02+AA.38.03+AA.38.04+AA.38.05</t>
        </is>
      </c>
      <c r="K57" t="inlineStr">
        <is>
          <t>是</t>
        </is>
      </c>
      <c r="M57" t="inlineStr">
        <is>
          <t>38</t>
        </is>
      </c>
    </row>
    <row r="58">
      <c r="A58" s="1" t="inlineStr">
        <is>
          <t>二级</t>
        </is>
      </c>
      <c r="B58" s="1" t="inlineStr">
        <is>
          <t>其他</t>
        </is>
      </c>
      <c r="C58" s="1" t="inlineStr">
        <is>
          <t>AA.48.01</t>
        </is>
      </c>
      <c r="D58" s="1" t="inlineStr">
        <is>
          <t xml:space="preserve">  超额风险成本率</t>
        </is>
      </c>
      <c r="K58" t="inlineStr">
        <is>
          <t>是</t>
        </is>
      </c>
      <c r="M58" t="inlineStr">
        <is>
          <t>48.01</t>
        </is>
      </c>
      <c r="N58" t="inlineStr">
        <is>
          <t>WGT</t>
        </is>
      </c>
    </row>
    <row r="60">
      <c r="A60" s="1" t="inlineStr">
        <is>
          <t>一级</t>
        </is>
      </c>
      <c r="C60" s="1" t="inlineStr">
        <is>
          <t>AA.49</t>
        </is>
      </c>
      <c r="D60" s="1" t="inlineStr">
        <is>
          <t>财务指标</t>
        </is>
      </c>
      <c r="F60" t="inlineStr">
        <is>
          <t>AA.49.01+AA.49.02+AA.49.03+AA.49.04+AA.49.05</t>
        </is>
      </c>
      <c r="K60" t="inlineStr">
        <is>
          <t>是</t>
        </is>
      </c>
      <c r="M60" t="inlineStr">
        <is>
          <t>49</t>
        </is>
      </c>
    </row>
    <row r="61">
      <c r="A61" s="1" t="inlineStr">
        <is>
          <t>二级</t>
        </is>
      </c>
      <c r="B61" s="1" t="inlineStr">
        <is>
          <t>其他</t>
        </is>
      </c>
      <c r="C61" s="1" t="inlineStr">
        <is>
          <t>AA.49.01</t>
        </is>
      </c>
      <c r="D61" s="1" t="inlineStr">
        <is>
          <t>手续费净收入占比</t>
        </is>
      </c>
      <c r="K61" t="inlineStr">
        <is>
          <t>是</t>
        </is>
      </c>
      <c r="M61" t="inlineStr">
        <is>
          <t>49.01</t>
        </is>
      </c>
      <c r="N61" t="inlineStr">
        <is>
          <t>WGT</t>
        </is>
      </c>
    </row>
    <row r="62">
      <c r="A62" s="1" t="inlineStr">
        <is>
          <t>二级</t>
        </is>
      </c>
      <c r="B62" s="1" t="inlineStr">
        <is>
          <t>其他</t>
        </is>
      </c>
      <c r="C62" s="1" t="inlineStr">
        <is>
          <t>AA.49.02</t>
        </is>
      </c>
      <c r="D62" s="1" t="inlineStr">
        <is>
          <t>非息收入占比</t>
        </is>
      </c>
      <c r="K62" t="inlineStr">
        <is>
          <t>是</t>
        </is>
      </c>
      <c r="M62" t="inlineStr">
        <is>
          <t>49.02</t>
        </is>
      </c>
      <c r="N62" t="inlineStr">
        <is>
          <t>WGT</t>
        </is>
      </c>
    </row>
    <row r="63">
      <c r="A63" s="1" t="inlineStr">
        <is>
          <t>二级</t>
        </is>
      </c>
      <c r="B63" s="1" t="inlineStr">
        <is>
          <t>其他</t>
        </is>
      </c>
      <c r="C63" s="1" t="inlineStr">
        <is>
          <t>AA.49.03</t>
        </is>
      </c>
      <c r="D63" s="1" t="inlineStr">
        <is>
          <t>ROA</t>
        </is>
      </c>
      <c r="K63" t="inlineStr">
        <is>
          <t>是</t>
        </is>
      </c>
      <c r="M63" t="inlineStr">
        <is>
          <t>49.03</t>
        </is>
      </c>
      <c r="N63" t="inlineStr">
        <is>
          <t>WGT</t>
        </is>
      </c>
    </row>
    <row r="64">
      <c r="A64" s="1" t="inlineStr">
        <is>
          <t>二级</t>
        </is>
      </c>
      <c r="B64" s="1" t="inlineStr">
        <is>
          <t>其他</t>
        </is>
      </c>
      <c r="C64" s="1" t="inlineStr">
        <is>
          <t>AA.49.04</t>
        </is>
      </c>
      <c r="D64" s="1" t="inlineStr">
        <is>
          <t>ROAE</t>
        </is>
      </c>
      <c r="K64" t="inlineStr">
        <is>
          <t>是</t>
        </is>
      </c>
      <c r="M64" t="inlineStr">
        <is>
          <t>49.04</t>
        </is>
      </c>
      <c r="N64" t="inlineStr">
        <is>
          <t>WGT</t>
        </is>
      </c>
    </row>
    <row r="65">
      <c r="A65" s="1" t="inlineStr">
        <is>
          <t>二级</t>
        </is>
      </c>
      <c r="B65" s="1" t="inlineStr">
        <is>
          <t>其他</t>
        </is>
      </c>
      <c r="C65" s="1" t="inlineStr">
        <is>
          <t>AA.49.05</t>
        </is>
      </c>
      <c r="D65" s="1" t="inlineStr">
        <is>
          <t>成本收入比</t>
        </is>
      </c>
      <c r="K65" t="inlineStr">
        <is>
          <t>是</t>
        </is>
      </c>
      <c r="M65" t="inlineStr">
        <is>
          <t>49.05</t>
        </is>
      </c>
      <c r="N65" t="inlineStr">
        <is>
          <t>WGT</t>
        </is>
      </c>
    </row>
    <row r="67"/>
    <row r="68">
      <c r="A68" t="inlineStr">
        <is>
          <t>一级</t>
        </is>
      </c>
      <c r="B68" t="inlineStr">
        <is>
          <t>支出</t>
        </is>
      </c>
      <c r="C68" t="inlineStr">
        <is>
          <t>AA.90</t>
        </is>
      </c>
      <c r="D68" t="inlineStr">
        <is>
          <t>减:业务及管理费</t>
        </is>
      </c>
      <c r="F68" t="inlineStr">
        <is>
          <t>AA.90.01+AA.90.03</t>
        </is>
      </c>
      <c r="K68" t="inlineStr">
        <is>
          <t>是</t>
        </is>
      </c>
      <c r="M68" t="inlineStr">
        <is>
          <t>05</t>
        </is>
      </c>
    </row>
    <row r="69">
      <c r="A69" t="inlineStr">
        <is>
          <t>二级</t>
        </is>
      </c>
      <c r="B69" t="inlineStr">
        <is>
          <t>支出</t>
        </is>
      </c>
      <c r="C69" t="inlineStr">
        <is>
          <t>AA.90.01</t>
        </is>
      </c>
      <c r="D69" t="inlineStr">
        <is>
          <t>直接费用</t>
        </is>
      </c>
      <c r="F69" t="inlineStr">
        <is>
          <t>AA.90.01.01+AA.90.01.02</t>
        </is>
      </c>
      <c r="K69" t="inlineStr">
        <is>
          <t>是</t>
        </is>
      </c>
      <c r="M69" t="inlineStr">
        <is>
          <t>05.01</t>
        </is>
      </c>
    </row>
    <row r="70">
      <c r="A70" t="inlineStr">
        <is>
          <t>三级</t>
        </is>
      </c>
      <c r="B70" t="inlineStr">
        <is>
          <t>支出</t>
        </is>
      </c>
      <c r="C70" t="inlineStr">
        <is>
          <t>AA.90.01.01</t>
        </is>
      </c>
      <c r="D70" t="inlineStr">
        <is>
          <t>直接费用</t>
        </is>
      </c>
      <c r="F70" t="inlineStr">
        <is>
          <t>AA.90.01.01.01+AA.90.01.01.02+AA.90.01.01.03+AA.90.01.01.04.001+AA.90.01.01.05.001</t>
        </is>
      </c>
      <c r="K70" t="inlineStr">
        <is>
          <t>是</t>
        </is>
      </c>
      <c r="M70" t="inlineStr">
        <is>
          <t>05.01.01</t>
        </is>
      </c>
    </row>
    <row r="71">
      <c r="A71" t="inlineStr">
        <is>
          <t>四级</t>
        </is>
      </c>
      <c r="B71" t="inlineStr">
        <is>
          <t>支出</t>
        </is>
      </c>
      <c r="C71" t="inlineStr">
        <is>
          <t>AA.90.01.01.01</t>
        </is>
      </c>
      <c r="D71" t="inlineStr">
        <is>
          <t>人力（不含IT)</t>
        </is>
      </c>
      <c r="F71" t="inlineStr">
        <is>
          <t>AA.90.01.01.01.001+AA.90.01.01.01.002</t>
        </is>
      </c>
      <c r="K71" t="inlineStr">
        <is>
          <t>是</t>
        </is>
      </c>
      <c r="M71" t="inlineStr">
        <is>
          <t>05.01.01.01</t>
        </is>
      </c>
    </row>
    <row r="72">
      <c r="A72" t="inlineStr">
        <is>
          <t>五级</t>
        </is>
      </c>
      <c r="B72" t="inlineStr">
        <is>
          <t>支出</t>
        </is>
      </c>
      <c r="C72" t="inlineStr">
        <is>
          <t>AA.90.01.01.01.001</t>
        </is>
      </c>
      <c r="D72" t="inlineStr">
        <is>
          <t>业务人力</t>
        </is>
      </c>
      <c r="K72" t="inlineStr">
        <is>
          <t>是</t>
        </is>
      </c>
      <c r="M72" t="inlineStr">
        <is>
          <t>05.01.01.01.001</t>
        </is>
      </c>
      <c r="N72" t="inlineStr">
        <is>
          <t>SUM</t>
        </is>
      </c>
    </row>
    <row r="73">
      <c r="A73" t="inlineStr">
        <is>
          <t>五级</t>
        </is>
      </c>
      <c r="B73" t="inlineStr">
        <is>
          <t>支出</t>
        </is>
      </c>
      <c r="C73" t="inlineStr">
        <is>
          <t>AA.90.01.01.01.002</t>
        </is>
      </c>
      <c r="D73" t="inlineStr">
        <is>
          <t>特别人力</t>
        </is>
      </c>
      <c r="K73" t="inlineStr">
        <is>
          <t>是</t>
        </is>
      </c>
      <c r="M73" t="inlineStr">
        <is>
          <t>05.01.01.01.002</t>
        </is>
      </c>
      <c r="N73" t="inlineStr">
        <is>
          <t>SUM</t>
        </is>
      </c>
    </row>
    <row r="74">
      <c r="A74" t="inlineStr">
        <is>
          <t>四级</t>
        </is>
      </c>
      <c r="B74" t="inlineStr">
        <is>
          <t>支出</t>
        </is>
      </c>
      <c r="C74" t="inlineStr">
        <is>
          <t>AA.90.01.01.02</t>
        </is>
      </c>
      <c r="D74" t="inlineStr">
        <is>
          <t>业务费用</t>
        </is>
      </c>
      <c r="F74" t="inlineStr">
        <is>
          <t>AA.90.01.01.02.001+AA.90.01.01.02.002</t>
        </is>
      </c>
      <c r="K74" t="inlineStr">
        <is>
          <t>是</t>
        </is>
      </c>
      <c r="M74" t="inlineStr">
        <is>
          <t>05.01.01.02</t>
        </is>
      </c>
    </row>
    <row r="75">
      <c r="A75" t="inlineStr">
        <is>
          <t>五级</t>
        </is>
      </c>
      <c r="B75" t="inlineStr">
        <is>
          <t>支出</t>
        </is>
      </c>
      <c r="C75" t="inlineStr">
        <is>
          <t>AA.90.01.01.02.001</t>
        </is>
      </c>
      <c r="D75" t="inlineStr">
        <is>
          <t>营销</t>
        </is>
      </c>
      <c r="K75" t="inlineStr">
        <is>
          <t>是</t>
        </is>
      </c>
      <c r="M75" t="inlineStr">
        <is>
          <t>05.01.01.02.001</t>
        </is>
      </c>
      <c r="N75" t="inlineStr">
        <is>
          <t>SUM</t>
        </is>
      </c>
    </row>
    <row r="76">
      <c r="A76" t="inlineStr">
        <is>
          <t>五级</t>
        </is>
      </c>
      <c r="B76" t="inlineStr">
        <is>
          <t>支出</t>
        </is>
      </c>
      <c r="C76" t="inlineStr">
        <is>
          <t>AA.90.01.01.02.002</t>
        </is>
      </c>
      <c r="D76" t="inlineStr">
        <is>
          <t>运营</t>
        </is>
      </c>
      <c r="K76" t="inlineStr">
        <is>
          <t>是</t>
        </is>
      </c>
      <c r="M76" t="inlineStr">
        <is>
          <t>05.01.01.02.002</t>
        </is>
      </c>
      <c r="N76" t="inlineStr">
        <is>
          <t>SUM</t>
        </is>
      </c>
    </row>
    <row r="77">
      <c r="A77" t="inlineStr">
        <is>
          <t>四级</t>
        </is>
      </c>
      <c r="B77" t="inlineStr">
        <is>
          <t>支出</t>
        </is>
      </c>
      <c r="C77" t="inlineStr">
        <is>
          <t>AA.90.01.01.03</t>
        </is>
      </c>
      <c r="D77" t="inlineStr">
        <is>
          <t>IT</t>
        </is>
      </c>
      <c r="F77" t="inlineStr">
        <is>
          <t>AA.90.01.01.03.01+AA.90.01.01.03.02.001+AA.90.01.01.03.03.001+AA.90.01.01.03.04.001</t>
        </is>
      </c>
      <c r="K77" t="inlineStr">
        <is>
          <t>是</t>
        </is>
      </c>
      <c r="M77" t="inlineStr">
        <is>
          <t>05.01.01.03</t>
        </is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AA.90.01.01.03.01</t>
        </is>
      </c>
      <c r="D78" t="inlineStr">
        <is>
          <t>IT人力</t>
        </is>
      </c>
      <c r="F78" t="inlineStr">
        <is>
          <t>AA.90.01.01.03.01.001+AA.90.01.01.03.01.002</t>
        </is>
      </c>
      <c r="K78" t="inlineStr">
        <is>
          <t>是</t>
        </is>
      </c>
      <c r="M78" t="inlineStr">
        <is>
          <t>05.01.01.03.01</t>
        </is>
      </c>
    </row>
    <row r="79">
      <c r="A79" t="inlineStr">
        <is>
          <t>六级</t>
        </is>
      </c>
      <c r="B79" t="inlineStr">
        <is>
          <t>支出</t>
        </is>
      </c>
      <c r="C79" t="inlineStr">
        <is>
          <t>AA.90.01.01.03.01.001</t>
        </is>
      </c>
      <c r="D79" t="inlineStr">
        <is>
          <t>IT常规人力</t>
        </is>
      </c>
      <c r="K79" t="inlineStr">
        <is>
          <t>是</t>
        </is>
      </c>
      <c r="M79" t="inlineStr">
        <is>
          <t>05.01.01.03.01.001</t>
        </is>
      </c>
      <c r="N79" t="inlineStr">
        <is>
          <t>SUM</t>
        </is>
      </c>
    </row>
    <row r="80">
      <c r="A80" t="inlineStr">
        <is>
          <t>六级</t>
        </is>
      </c>
      <c r="B80" t="inlineStr">
        <is>
          <t>支出</t>
        </is>
      </c>
      <c r="C80" t="inlineStr">
        <is>
          <t>AA.90.01.01.03.01.002</t>
        </is>
      </c>
      <c r="D80" t="inlineStr">
        <is>
          <t>IT特别人力</t>
        </is>
      </c>
      <c r="K80" t="inlineStr">
        <is>
          <t>是</t>
        </is>
      </c>
      <c r="M80" t="inlineStr">
        <is>
          <t>05.01.01.03.01.002</t>
        </is>
      </c>
      <c r="N80" t="inlineStr">
        <is>
          <t>SUM</t>
        </is>
      </c>
    </row>
    <row r="81">
      <c r="A81" t="inlineStr">
        <is>
          <t>五级</t>
        </is>
      </c>
      <c r="B81" t="inlineStr">
        <is>
          <t>支出</t>
        </is>
      </c>
      <c r="C81" t="inlineStr">
        <is>
          <t>AA.90.01.01.03.02</t>
        </is>
      </c>
      <c r="D81" t="inlineStr">
        <is>
          <t>科技</t>
        </is>
      </c>
      <c r="K81" t="inlineStr">
        <is>
          <t>是</t>
        </is>
      </c>
      <c r="M81" t="inlineStr">
        <is>
          <t>05.01.01.03.02</t>
        </is>
      </c>
      <c r="N81" t="inlineStr">
        <is>
          <t>SUM</t>
        </is>
      </c>
    </row>
    <row r="82">
      <c r="A82" t="inlineStr">
        <is>
          <t>五级</t>
        </is>
      </c>
      <c r="B82" t="inlineStr">
        <is>
          <t>支出</t>
        </is>
      </c>
      <c r="C82" t="inlineStr">
        <is>
          <t>AA.90.01.01.03.03</t>
        </is>
      </c>
      <c r="D82" t="inlineStr">
        <is>
          <t>IT职场</t>
        </is>
      </c>
      <c r="K82" t="inlineStr">
        <is>
          <t>是</t>
        </is>
      </c>
      <c r="M82" t="inlineStr">
        <is>
          <t>05.01.01.03.03</t>
        </is>
      </c>
      <c r="N82" t="inlineStr">
        <is>
          <t>SUM</t>
        </is>
      </c>
    </row>
    <row r="83">
      <c r="A83" t="inlineStr">
        <is>
          <t>五级</t>
        </is>
      </c>
      <c r="B83" t="inlineStr">
        <is>
          <t>支出</t>
        </is>
      </c>
      <c r="C83" t="inlineStr">
        <is>
          <t>AA.90.01.01.03.04</t>
        </is>
      </c>
      <c r="D83" t="inlineStr">
        <is>
          <t>IT日常</t>
        </is>
      </c>
      <c r="K83" t="inlineStr">
        <is>
          <t>是</t>
        </is>
      </c>
      <c r="M83" t="inlineStr">
        <is>
          <t>05.01.01.03.04</t>
        </is>
      </c>
      <c r="N83" t="inlineStr">
        <is>
          <t>SUM</t>
        </is>
      </c>
    </row>
    <row r="84">
      <c r="A84" t="inlineStr">
        <is>
          <t>四级</t>
        </is>
      </c>
      <c r="B84" t="inlineStr">
        <is>
          <t>支出</t>
        </is>
      </c>
      <c r="C84" t="inlineStr">
        <is>
          <t>AA.90.01.01.04</t>
        </is>
      </c>
      <c r="D84" t="inlineStr">
        <is>
          <t>AA.05.01.01.04</t>
        </is>
      </c>
      <c r="F84" t="inlineStr">
        <is>
          <t>AA.90.01.01.04.001</t>
        </is>
      </c>
      <c r="K84" t="inlineStr">
        <is>
          <t>是</t>
        </is>
      </c>
      <c r="M84" t="inlineStr">
        <is>
          <t>05.01.01.04</t>
        </is>
      </c>
      <c r="N84" t="inlineStr">
        <is>
          <t>SUM</t>
        </is>
      </c>
    </row>
    <row r="85">
      <c r="A85" t="inlineStr">
        <is>
          <t>五级</t>
        </is>
      </c>
      <c r="B85" t="inlineStr">
        <is>
          <t>支出</t>
        </is>
      </c>
      <c r="C85" t="inlineStr">
        <is>
          <t>AA.90.01.01.04.001</t>
        </is>
      </c>
      <c r="D85" t="inlineStr">
        <is>
          <t>职场</t>
        </is>
      </c>
      <c r="K85" t="inlineStr">
        <is>
          <t>是</t>
        </is>
      </c>
      <c r="M85" t="inlineStr">
        <is>
          <t>05.01.01.04.001</t>
        </is>
      </c>
      <c r="N85" t="inlineStr">
        <is>
          <t>SUM</t>
        </is>
      </c>
    </row>
    <row r="86">
      <c r="A86" t="inlineStr">
        <is>
          <t>四级</t>
        </is>
      </c>
      <c r="B86" t="inlineStr">
        <is>
          <t>支出</t>
        </is>
      </c>
      <c r="C86" t="inlineStr">
        <is>
          <t>AA.90.01.01.05</t>
        </is>
      </c>
      <c r="D86" t="inlineStr">
        <is>
          <t>AA.05.01.01.05</t>
        </is>
      </c>
      <c r="F86" t="inlineStr">
        <is>
          <t>AA.90.01.01.05.001</t>
        </is>
      </c>
      <c r="K86" t="inlineStr">
        <is>
          <t>是</t>
        </is>
      </c>
      <c r="M86" t="inlineStr">
        <is>
          <t>05.01.01.05</t>
        </is>
      </c>
      <c r="N86" t="inlineStr">
        <is>
          <t>SUM</t>
        </is>
      </c>
    </row>
    <row r="87">
      <c r="A87" t="inlineStr">
        <is>
          <t>五级</t>
        </is>
      </c>
      <c r="B87" t="inlineStr">
        <is>
          <t>支出</t>
        </is>
      </c>
      <c r="C87" t="inlineStr">
        <is>
          <t>AA.90.01.01.05.001</t>
        </is>
      </c>
      <c r="D87" t="inlineStr">
        <is>
          <t>日常</t>
        </is>
      </c>
      <c r="K87" t="inlineStr">
        <is>
          <t>是</t>
        </is>
      </c>
      <c r="M87" t="inlineStr">
        <is>
          <t>05.01.01.05.001</t>
        </is>
      </c>
      <c r="N87" t="inlineStr">
        <is>
          <t>SUM</t>
        </is>
      </c>
    </row>
    <row r="88">
      <c r="A88" t="inlineStr">
        <is>
          <t>三级</t>
        </is>
      </c>
      <c r="B88" t="inlineStr">
        <is>
          <t>支出</t>
        </is>
      </c>
      <c r="C88" t="inlineStr">
        <is>
          <t>AA.90.01.02</t>
        </is>
      </c>
      <c r="D88" t="inlineStr">
        <is>
          <t>间接费用</t>
        </is>
      </c>
      <c r="F88" t="inlineStr">
        <is>
          <t>AA.90.01.02.01+AA.90.01.02.02+AA.90.01.02.03+AA.90.01.02.04.001+AA.90.01.02.05.001</t>
        </is>
      </c>
      <c r="K88" t="inlineStr">
        <is>
          <t>是</t>
        </is>
      </c>
      <c r="M88" t="inlineStr">
        <is>
          <t>05.01.02</t>
        </is>
      </c>
    </row>
    <row r="89">
      <c r="A89" t="inlineStr">
        <is>
          <t>四级</t>
        </is>
      </c>
      <c r="B89" t="inlineStr">
        <is>
          <t>支出</t>
        </is>
      </c>
      <c r="C89" t="inlineStr">
        <is>
          <t>AA.90.01.02.01</t>
        </is>
      </c>
      <c r="D89" t="inlineStr">
        <is>
          <t>人力（不含IT)</t>
        </is>
      </c>
      <c r="F89" t="inlineStr">
        <is>
          <t>AA.90.01.02.01.001+AA.90.01.02.01.002</t>
        </is>
      </c>
      <c r="K89" t="inlineStr">
        <is>
          <t>是</t>
        </is>
      </c>
      <c r="M89" t="inlineStr">
        <is>
          <t>05.01.02.01</t>
        </is>
      </c>
    </row>
    <row r="90">
      <c r="A90" t="inlineStr">
        <is>
          <t>五级</t>
        </is>
      </c>
      <c r="B90" t="inlineStr">
        <is>
          <t>支出</t>
        </is>
      </c>
      <c r="C90" t="inlineStr">
        <is>
          <t>AA.90.01.02.01.001</t>
        </is>
      </c>
      <c r="D90" t="inlineStr">
        <is>
          <t>业务人力</t>
        </is>
      </c>
      <c r="K90" t="inlineStr">
        <is>
          <t>是</t>
        </is>
      </c>
      <c r="M90" t="inlineStr">
        <is>
          <t>05.01.02.01.001</t>
        </is>
      </c>
      <c r="N90" t="inlineStr">
        <is>
          <t>SUM</t>
        </is>
      </c>
    </row>
    <row r="91">
      <c r="A91" t="inlineStr">
        <is>
          <t>五级</t>
        </is>
      </c>
      <c r="B91" t="inlineStr">
        <is>
          <t>支出</t>
        </is>
      </c>
      <c r="C91" t="inlineStr">
        <is>
          <t>AA.90.01.02.01.002</t>
        </is>
      </c>
      <c r="D91" t="inlineStr">
        <is>
          <t>特别人力</t>
        </is>
      </c>
      <c r="K91" t="inlineStr">
        <is>
          <t>是</t>
        </is>
      </c>
      <c r="M91" t="inlineStr">
        <is>
          <t>05.01.02.01.002</t>
        </is>
      </c>
      <c r="N91" t="inlineStr">
        <is>
          <t>SUM</t>
        </is>
      </c>
    </row>
    <row r="92">
      <c r="A92" t="inlineStr">
        <is>
          <t>四级</t>
        </is>
      </c>
      <c r="B92" t="inlineStr">
        <is>
          <t>支出</t>
        </is>
      </c>
      <c r="C92" t="inlineStr">
        <is>
          <t>AA.90.01.02.02</t>
        </is>
      </c>
      <c r="D92" t="inlineStr">
        <is>
          <t>业务费用</t>
        </is>
      </c>
      <c r="F92" t="inlineStr">
        <is>
          <t>AA.90.01.02.02.001+AA.90.01.02.02.002</t>
        </is>
      </c>
      <c r="K92" t="inlineStr">
        <is>
          <t>是</t>
        </is>
      </c>
      <c r="M92" t="inlineStr">
        <is>
          <t>05.01.02.02</t>
        </is>
      </c>
    </row>
    <row r="93">
      <c r="A93" t="inlineStr">
        <is>
          <t>五级</t>
        </is>
      </c>
      <c r="B93" t="inlineStr">
        <is>
          <t>支出</t>
        </is>
      </c>
      <c r="C93" t="inlineStr">
        <is>
          <t>AA.90.01.02.02.001</t>
        </is>
      </c>
      <c r="D93" t="inlineStr">
        <is>
          <t>营销</t>
        </is>
      </c>
      <c r="K93" t="inlineStr">
        <is>
          <t>是</t>
        </is>
      </c>
      <c r="M93" t="inlineStr">
        <is>
          <t>05.01.02.02.001</t>
        </is>
      </c>
      <c r="N93" t="inlineStr">
        <is>
          <t>SUM</t>
        </is>
      </c>
    </row>
    <row r="94">
      <c r="A94" t="inlineStr">
        <is>
          <t>五级</t>
        </is>
      </c>
      <c r="B94" t="inlineStr">
        <is>
          <t>支出</t>
        </is>
      </c>
      <c r="C94" t="inlineStr">
        <is>
          <t>AA.90.01.02.02.002</t>
        </is>
      </c>
      <c r="D94" t="inlineStr">
        <is>
          <t>运营</t>
        </is>
      </c>
      <c r="K94" t="inlineStr">
        <is>
          <t>是</t>
        </is>
      </c>
      <c r="M94" t="inlineStr">
        <is>
          <t>05.01.02.02.002</t>
        </is>
      </c>
      <c r="N94" t="inlineStr">
        <is>
          <t>SUM</t>
        </is>
      </c>
    </row>
    <row r="95">
      <c r="A95" t="inlineStr">
        <is>
          <t>四级</t>
        </is>
      </c>
      <c r="B95" t="inlineStr">
        <is>
          <t>支出</t>
        </is>
      </c>
      <c r="C95" t="inlineStr">
        <is>
          <t>AA.90.01.02.03</t>
        </is>
      </c>
      <c r="D95" t="inlineStr">
        <is>
          <t>IT</t>
        </is>
      </c>
      <c r="F95" t="inlineStr">
        <is>
          <t>AA.90.01.02.03.01+AA.90.01.02.03.02.001+AA.90.01.02.03.03.001+AA.90.01.02.03.04.001</t>
        </is>
      </c>
      <c r="K95" t="inlineStr">
        <is>
          <t>是</t>
        </is>
      </c>
      <c r="M95" t="inlineStr">
        <is>
          <t>05.01.02.03</t>
        </is>
      </c>
    </row>
    <row r="96">
      <c r="A96" t="inlineStr">
        <is>
          <t>五级</t>
        </is>
      </c>
      <c r="B96" t="inlineStr">
        <is>
          <t>支出</t>
        </is>
      </c>
      <c r="C96" t="inlineStr">
        <is>
          <t>AA.90.01.02.03.01</t>
        </is>
      </c>
      <c r="D96" t="inlineStr">
        <is>
          <t>IT人力</t>
        </is>
      </c>
      <c r="F96" t="inlineStr">
        <is>
          <t>AA.90.01.02.03.01.001+AA.90.01.02.03.01.002</t>
        </is>
      </c>
      <c r="K96" t="inlineStr">
        <is>
          <t>是</t>
        </is>
      </c>
      <c r="M96" t="inlineStr">
        <is>
          <t>05.01.02.03.01</t>
        </is>
      </c>
    </row>
    <row r="97">
      <c r="A97" t="inlineStr">
        <is>
          <t>六级</t>
        </is>
      </c>
      <c r="B97" t="inlineStr">
        <is>
          <t>支出</t>
        </is>
      </c>
      <c r="C97" t="inlineStr">
        <is>
          <t>AA.90.01.02.03.01.001</t>
        </is>
      </c>
      <c r="D97" t="inlineStr">
        <is>
          <t>IT常规人力</t>
        </is>
      </c>
      <c r="K97" t="inlineStr">
        <is>
          <t>是</t>
        </is>
      </c>
      <c r="M97" t="inlineStr">
        <is>
          <t>05.01.02.03.01.001</t>
        </is>
      </c>
      <c r="N97" t="inlineStr">
        <is>
          <t>SUM</t>
        </is>
      </c>
    </row>
    <row r="98">
      <c r="A98" t="inlineStr">
        <is>
          <t>六级</t>
        </is>
      </c>
      <c r="B98" t="inlineStr">
        <is>
          <t>支出</t>
        </is>
      </c>
      <c r="C98" t="inlineStr">
        <is>
          <t>AA.90.01.02.03.01.002</t>
        </is>
      </c>
      <c r="D98" t="inlineStr">
        <is>
          <t>IT特别人力</t>
        </is>
      </c>
      <c r="K98" t="inlineStr">
        <is>
          <t>是</t>
        </is>
      </c>
      <c r="M98" t="inlineStr">
        <is>
          <t>05.01.02.03.01.002</t>
        </is>
      </c>
      <c r="N98" t="inlineStr">
        <is>
          <t>SUM</t>
        </is>
      </c>
    </row>
    <row r="99">
      <c r="A99" t="inlineStr">
        <is>
          <t>五级</t>
        </is>
      </c>
      <c r="B99" t="inlineStr">
        <is>
          <t>支出</t>
        </is>
      </c>
      <c r="C99" t="inlineStr">
        <is>
          <t>AA.90.01.02.03.02</t>
        </is>
      </c>
      <c r="D99" t="inlineStr">
        <is>
          <t>AA.05.01.02.03.02</t>
        </is>
      </c>
      <c r="F99" t="inlineStr">
        <is>
          <t>AA.90.01.02.03.02.001</t>
        </is>
      </c>
      <c r="K99" t="inlineStr">
        <is>
          <t>是</t>
        </is>
      </c>
      <c r="M99" t="inlineStr">
        <is>
          <t>05.01.02.03.02</t>
        </is>
      </c>
      <c r="N99" t="inlineStr">
        <is>
          <t>SUM</t>
        </is>
      </c>
    </row>
    <row r="100">
      <c r="A100" t="inlineStr">
        <is>
          <t>六级</t>
        </is>
      </c>
      <c r="B100" t="inlineStr">
        <is>
          <t>支出</t>
        </is>
      </c>
      <c r="C100" t="inlineStr">
        <is>
          <t>AA.90.01.02.03.02.001</t>
        </is>
      </c>
      <c r="D100" t="inlineStr">
        <is>
          <t>科技</t>
        </is>
      </c>
      <c r="K100" t="inlineStr">
        <is>
          <t>是</t>
        </is>
      </c>
      <c r="M100" t="inlineStr">
        <is>
          <t>05.01.02.03.02.001</t>
        </is>
      </c>
      <c r="N100" t="inlineStr">
        <is>
          <t>SUM</t>
        </is>
      </c>
    </row>
    <row r="101">
      <c r="A101" t="inlineStr">
        <is>
          <t>五级</t>
        </is>
      </c>
      <c r="B101" t="inlineStr">
        <is>
          <t>支出</t>
        </is>
      </c>
      <c r="C101" t="inlineStr">
        <is>
          <t>AA.90.01.02.03.03</t>
        </is>
      </c>
      <c r="D101" t="inlineStr">
        <is>
          <t>AA.05.01.02.03.03</t>
        </is>
      </c>
      <c r="F101" t="inlineStr">
        <is>
          <t>AA.90.01.02.03.03.001</t>
        </is>
      </c>
      <c r="K101" t="inlineStr">
        <is>
          <t>是</t>
        </is>
      </c>
      <c r="M101" t="inlineStr">
        <is>
          <t>05.01.02.03.03</t>
        </is>
      </c>
      <c r="N101" t="inlineStr">
        <is>
          <t>SUM</t>
        </is>
      </c>
    </row>
    <row r="102">
      <c r="A102" t="inlineStr">
        <is>
          <t>六级</t>
        </is>
      </c>
      <c r="B102" t="inlineStr">
        <is>
          <t>支出</t>
        </is>
      </c>
      <c r="C102" t="inlineStr">
        <is>
          <t>AA.90.01.02.03.03.001</t>
        </is>
      </c>
      <c r="D102" t="inlineStr">
        <is>
          <t>IT职场</t>
        </is>
      </c>
      <c r="K102" t="inlineStr">
        <is>
          <t>是</t>
        </is>
      </c>
      <c r="M102" t="inlineStr">
        <is>
          <t>05.01.02.03.03.001</t>
        </is>
      </c>
      <c r="N102" t="inlineStr">
        <is>
          <t>SUM</t>
        </is>
      </c>
    </row>
    <row r="103">
      <c r="A103" t="inlineStr">
        <is>
          <t>五级</t>
        </is>
      </c>
      <c r="B103" t="inlineStr">
        <is>
          <t>支出</t>
        </is>
      </c>
      <c r="C103" t="inlineStr">
        <is>
          <t>AA.90.01.02.03.04</t>
        </is>
      </c>
      <c r="D103" t="inlineStr">
        <is>
          <t>AA.05.01.02.03.04</t>
        </is>
      </c>
      <c r="F103" t="inlineStr">
        <is>
          <t>AA.90.01.02.03.04.001</t>
        </is>
      </c>
      <c r="K103" t="inlineStr">
        <is>
          <t>是</t>
        </is>
      </c>
      <c r="M103" t="inlineStr">
        <is>
          <t>05.01.02.03.04</t>
        </is>
      </c>
      <c r="N103" t="inlineStr">
        <is>
          <t>SUM</t>
        </is>
      </c>
    </row>
    <row r="104">
      <c r="A104" t="inlineStr">
        <is>
          <t>六级</t>
        </is>
      </c>
      <c r="B104" t="inlineStr">
        <is>
          <t>支出</t>
        </is>
      </c>
      <c r="C104" t="inlineStr">
        <is>
          <t>AA.90.01.02.03.04.001</t>
        </is>
      </c>
      <c r="D104" t="inlineStr">
        <is>
          <t>IT日常</t>
        </is>
      </c>
      <c r="K104" t="inlineStr">
        <is>
          <t>是</t>
        </is>
      </c>
      <c r="M104" t="inlineStr">
        <is>
          <t>05.01.02.03.04.001</t>
        </is>
      </c>
      <c r="N104" t="inlineStr">
        <is>
          <t>SUM</t>
        </is>
      </c>
    </row>
    <row r="105">
      <c r="A105" t="inlineStr">
        <is>
          <t>四级</t>
        </is>
      </c>
      <c r="B105" t="inlineStr">
        <is>
          <t>支出</t>
        </is>
      </c>
      <c r="C105" t="inlineStr">
        <is>
          <t>AA.90.01.02.04</t>
        </is>
      </c>
      <c r="D105" t="inlineStr">
        <is>
          <t>AA.05.01.02.04</t>
        </is>
      </c>
      <c r="F105" t="inlineStr">
        <is>
          <t>AA.90.01.02.04.001</t>
        </is>
      </c>
      <c r="K105" t="inlineStr">
        <is>
          <t>是</t>
        </is>
      </c>
      <c r="M105" t="inlineStr">
        <is>
          <t>05.01.02.04</t>
        </is>
      </c>
      <c r="N105" t="inlineStr">
        <is>
          <t>SUM</t>
        </is>
      </c>
    </row>
    <row r="106">
      <c r="A106" t="inlineStr">
        <is>
          <t>五级</t>
        </is>
      </c>
      <c r="B106" t="inlineStr">
        <is>
          <t>支出</t>
        </is>
      </c>
      <c r="C106" t="inlineStr">
        <is>
          <t>AA.90.01.02.04.001</t>
        </is>
      </c>
      <c r="D106" t="inlineStr">
        <is>
          <t>职场</t>
        </is>
      </c>
      <c r="K106" t="inlineStr">
        <is>
          <t>是</t>
        </is>
      </c>
      <c r="M106" t="inlineStr">
        <is>
          <t>05.01.02.04.001</t>
        </is>
      </c>
      <c r="N106" t="inlineStr">
        <is>
          <t>SUM</t>
        </is>
      </c>
    </row>
    <row r="107">
      <c r="A107" t="inlineStr">
        <is>
          <t>四级</t>
        </is>
      </c>
      <c r="B107" t="inlineStr">
        <is>
          <t>支出</t>
        </is>
      </c>
      <c r="C107" t="inlineStr">
        <is>
          <t>AA.90.01.02.05</t>
        </is>
      </c>
      <c r="D107" t="inlineStr">
        <is>
          <t>AA.05.01.02.05</t>
        </is>
      </c>
      <c r="F107" t="inlineStr">
        <is>
          <t>AA.90.01.02.05.001</t>
        </is>
      </c>
      <c r="K107" t="inlineStr">
        <is>
          <t>是</t>
        </is>
      </c>
      <c r="M107" t="inlineStr">
        <is>
          <t>05.01.02.05</t>
        </is>
      </c>
      <c r="N107" t="inlineStr">
        <is>
          <t>SUM</t>
        </is>
      </c>
    </row>
    <row r="108">
      <c r="A108" t="inlineStr">
        <is>
          <t>五级</t>
        </is>
      </c>
      <c r="B108" t="inlineStr">
        <is>
          <t>支出</t>
        </is>
      </c>
      <c r="C108" t="inlineStr">
        <is>
          <t>AA.90.01.02.05.001</t>
        </is>
      </c>
      <c r="D108" t="inlineStr">
        <is>
          <t>日常</t>
        </is>
      </c>
      <c r="K108" t="inlineStr">
        <is>
          <t>是</t>
        </is>
      </c>
      <c r="M108" t="inlineStr">
        <is>
          <t>05.01.02.05.001</t>
        </is>
      </c>
      <c r="N108" t="inlineStr">
        <is>
          <t>SUM</t>
        </is>
      </c>
    </row>
    <row r="109">
      <c r="A109" t="inlineStr">
        <is>
          <t>二级</t>
        </is>
      </c>
      <c r="B109" t="inlineStr">
        <is>
          <t>支出</t>
        </is>
      </c>
      <c r="C109" t="inlineStr">
        <is>
          <t>AA.90.02</t>
        </is>
      </c>
      <c r="D109" t="inlineStr">
        <is>
          <t>业务费用</t>
        </is>
      </c>
      <c r="F109" t="inlineStr">
        <is>
          <t>AA.90.02.01+AA.90.02.02</t>
        </is>
      </c>
      <c r="K109" t="inlineStr">
        <is>
          <t>是</t>
        </is>
      </c>
      <c r="N109" t="inlineStr">
        <is>
          <t>SUM</t>
        </is>
      </c>
    </row>
    <row r="110">
      <c r="A110" t="inlineStr">
        <is>
          <t>三级</t>
        </is>
      </c>
      <c r="B110" t="inlineStr">
        <is>
          <t>支出</t>
        </is>
      </c>
      <c r="C110" t="inlineStr">
        <is>
          <t>AA.90.02.01</t>
        </is>
      </c>
      <c r="D110" t="inlineStr">
        <is>
          <t>营销费用</t>
        </is>
      </c>
      <c r="K110" t="inlineStr">
        <is>
          <t>是</t>
        </is>
      </c>
      <c r="N110" t="inlineStr">
        <is>
          <t>SUM</t>
        </is>
      </c>
    </row>
    <row r="111">
      <c r="A111" t="inlineStr">
        <is>
          <t>三级</t>
        </is>
      </c>
      <c r="B111" t="inlineStr">
        <is>
          <t>支出</t>
        </is>
      </c>
      <c r="C111" t="inlineStr">
        <is>
          <t>AA.90.02.02</t>
        </is>
      </c>
      <c r="D111" t="inlineStr">
        <is>
          <t>运营费用</t>
        </is>
      </c>
      <c r="K111" t="inlineStr">
        <is>
          <t>是</t>
        </is>
      </c>
      <c r="N111" t="inlineStr">
        <is>
          <t>SUM</t>
        </is>
      </c>
    </row>
    <row r="112">
      <c r="A112" t="inlineStr">
        <is>
          <t>二级</t>
        </is>
      </c>
      <c r="B112" t="inlineStr">
        <is>
          <t>支出</t>
        </is>
      </c>
      <c r="C112" t="inlineStr">
        <is>
          <t>AA.90.03</t>
        </is>
      </c>
      <c r="D112" t="inlineStr">
        <is>
          <t>业务支出评估</t>
        </is>
      </c>
      <c r="F112" t="inlineStr">
        <is>
          <t>AA.90.03.09</t>
        </is>
      </c>
      <c r="K112" t="inlineStr">
        <is>
          <t>是</t>
        </is>
      </c>
      <c r="M112" t="inlineStr">
        <is>
          <t>05.02</t>
        </is>
      </c>
    </row>
    <row r="113">
      <c r="A113" t="inlineStr">
        <is>
          <t>三级</t>
        </is>
      </c>
      <c r="B113" t="inlineStr">
        <is>
          <t>支出</t>
        </is>
      </c>
      <c r="C113" t="inlineStr">
        <is>
          <t>AA.90.03.09</t>
        </is>
      </c>
      <c r="D113" t="inlineStr">
        <is>
          <t>客户经营指标</t>
        </is>
      </c>
      <c r="F113" t="inlineStr">
        <is>
          <t>AA.90.03.09.01+AA.90.03.09.02+AA.90.03.09.03</t>
        </is>
      </c>
      <c r="K113" t="inlineStr">
        <is>
          <t>是</t>
        </is>
      </c>
      <c r="M113" t="inlineStr">
        <is>
          <t>05.02.09</t>
        </is>
      </c>
    </row>
    <row r="114">
      <c r="A114" t="inlineStr">
        <is>
          <t>四级</t>
        </is>
      </c>
      <c r="B114" t="inlineStr">
        <is>
          <t>支出</t>
        </is>
      </c>
      <c r="C114" t="inlineStr">
        <is>
          <t>AA.90.03.09.01</t>
        </is>
      </c>
      <c r="D114" t="inlineStr">
        <is>
          <t>客户营销与投入</t>
        </is>
      </c>
      <c r="F114" t="inlineStr">
        <is>
          <t>AA.90.03.09.01.001+AA.90.03.09.01.002+AA.90.03.09.01.003+AA.90.03.09.01.004</t>
        </is>
      </c>
      <c r="K114" t="inlineStr">
        <is>
          <t>是</t>
        </is>
      </c>
      <c r="M114" t="inlineStr">
        <is>
          <t>05.02.09.01</t>
        </is>
      </c>
    </row>
    <row r="115">
      <c r="A115" t="inlineStr">
        <is>
          <t>五级</t>
        </is>
      </c>
      <c r="B115" t="inlineStr">
        <is>
          <t>支出</t>
        </is>
      </c>
      <c r="C115" t="inlineStr">
        <is>
          <t>AA.90.03.09.01.001</t>
        </is>
      </c>
      <c r="D115" t="inlineStr">
        <is>
          <t>新客营销支出</t>
        </is>
      </c>
      <c r="K115" t="inlineStr">
        <is>
          <t>是</t>
        </is>
      </c>
      <c r="M115" t="inlineStr">
        <is>
          <t>05.02.09.01.001</t>
        </is>
      </c>
      <c r="N115" t="inlineStr">
        <is>
          <t>SUM</t>
        </is>
      </c>
    </row>
    <row r="116">
      <c r="A116" t="inlineStr">
        <is>
          <t>五级</t>
        </is>
      </c>
      <c r="B116" t="inlineStr">
        <is>
          <t>支出</t>
        </is>
      </c>
      <c r="C116" t="inlineStr">
        <is>
          <t>AA.90.03.09.01.002</t>
        </is>
      </c>
      <c r="D116" t="inlineStr">
        <is>
          <t>存客营销支出</t>
        </is>
      </c>
      <c r="K116" t="inlineStr">
        <is>
          <t>是</t>
        </is>
      </c>
      <c r="M116" t="inlineStr">
        <is>
          <t>05.02.09.01.002</t>
        </is>
      </c>
      <c r="N116" t="inlineStr">
        <is>
          <t>SUM</t>
        </is>
      </c>
    </row>
    <row r="117">
      <c r="A117" t="inlineStr">
        <is>
          <t>五级</t>
        </is>
      </c>
      <c r="B117" t="inlineStr">
        <is>
          <t>支出</t>
        </is>
      </c>
      <c r="C117" t="inlineStr">
        <is>
          <t>AA.90.03.09.01.003</t>
        </is>
      </c>
      <c r="D117" t="inlineStr">
        <is>
          <t>新开通客户投入</t>
        </is>
      </c>
      <c r="K117" t="inlineStr">
        <is>
          <t>是</t>
        </is>
      </c>
      <c r="M117" t="inlineStr">
        <is>
          <t>05.02.09.01.003</t>
        </is>
      </c>
      <c r="N117" t="inlineStr">
        <is>
          <t>SUM</t>
        </is>
      </c>
    </row>
    <row r="118">
      <c r="A118" t="inlineStr">
        <is>
          <t>五级</t>
        </is>
      </c>
      <c r="B118" t="inlineStr">
        <is>
          <t>支出</t>
        </is>
      </c>
      <c r="C118" t="inlineStr">
        <is>
          <t>AA.90.03.09.01.004</t>
        </is>
      </c>
      <c r="D118" t="inlineStr">
        <is>
          <t>新发放投入</t>
        </is>
      </c>
      <c r="K118" t="inlineStr">
        <is>
          <t>是</t>
        </is>
      </c>
      <c r="M118" t="inlineStr">
        <is>
          <t>05.02.09.01.004</t>
        </is>
      </c>
      <c r="N118" t="inlineStr">
        <is>
          <t>SUM</t>
        </is>
      </c>
    </row>
    <row r="119">
      <c r="A119" t="inlineStr">
        <is>
          <t>四级</t>
        </is>
      </c>
      <c r="B119" t="inlineStr">
        <is>
          <t>支出</t>
        </is>
      </c>
      <c r="C119" t="inlineStr">
        <is>
          <t>AA.90.03.09.02</t>
        </is>
      </c>
      <c r="D119" t="inlineStr">
        <is>
          <t>客户规模与数量</t>
        </is>
      </c>
      <c r="F119" t="inlineStr">
        <is>
          <t>AA.90.03.09.02.101+AA.90.03.09.02.102+AA.90.03.09.02.103</t>
        </is>
      </c>
      <c r="K119" t="inlineStr">
        <is>
          <t>是</t>
        </is>
      </c>
      <c r="M119" t="inlineStr">
        <is>
          <t>05.02.09.02</t>
        </is>
      </c>
    </row>
    <row r="120">
      <c r="A120" t="inlineStr">
        <is>
          <t>五级</t>
        </is>
      </c>
      <c r="B120" t="inlineStr">
        <is>
          <t>支出</t>
        </is>
      </c>
      <c r="C120" t="inlineStr">
        <is>
          <t>AA.90.03.09.02.001</t>
        </is>
      </c>
      <c r="D120" t="inlineStr">
        <is>
          <t>新客日均LUM</t>
        </is>
      </c>
      <c r="K120" t="inlineStr">
        <is>
          <t>是</t>
        </is>
      </c>
      <c r="M120" t="inlineStr">
        <is>
          <t>05.02.09.02.001</t>
        </is>
      </c>
      <c r="N120" t="inlineStr">
        <is>
          <t>SUM</t>
        </is>
      </c>
    </row>
    <row r="121">
      <c r="A121" t="inlineStr">
        <is>
          <t>五级</t>
        </is>
      </c>
      <c r="B121" t="inlineStr">
        <is>
          <t>支出</t>
        </is>
      </c>
      <c r="C121" t="inlineStr">
        <is>
          <t>AA.90.03.09.02.002</t>
        </is>
      </c>
      <c r="D121" t="inlineStr">
        <is>
          <t>存客日均LUM</t>
        </is>
      </c>
      <c r="K121" t="inlineStr">
        <is>
          <t>是</t>
        </is>
      </c>
      <c r="M121" t="inlineStr">
        <is>
          <t>05.02.09.02.002</t>
        </is>
      </c>
      <c r="N121" t="inlineStr">
        <is>
          <t>SUM</t>
        </is>
      </c>
    </row>
    <row r="122">
      <c r="A122" t="inlineStr">
        <is>
          <t>五级</t>
        </is>
      </c>
      <c r="B122" t="inlineStr">
        <is>
          <t>支出</t>
        </is>
      </c>
      <c r="C122" t="inlineStr">
        <is>
          <t>AA.90.03.09.02.003</t>
        </is>
      </c>
      <c r="D122" t="inlineStr">
        <is>
          <t>新开通客户数</t>
        </is>
      </c>
      <c r="K122" t="inlineStr">
        <is>
          <t>是</t>
        </is>
      </c>
      <c r="M122" t="inlineStr">
        <is>
          <t>05.02.09.02.003</t>
        </is>
      </c>
      <c r="N122" t="inlineStr">
        <is>
          <t>SUM</t>
        </is>
      </c>
    </row>
    <row r="123">
      <c r="A123" t="inlineStr">
        <is>
          <t>五级</t>
        </is>
      </c>
      <c r="B123" t="inlineStr">
        <is>
          <t>支出</t>
        </is>
      </c>
      <c r="C123" t="inlineStr">
        <is>
          <t>AA.90.03.09.02.004</t>
        </is>
      </c>
      <c r="D123" t="inlineStr">
        <is>
          <t>平均有效客户数</t>
        </is>
      </c>
      <c r="K123" t="inlineStr">
        <is>
          <t>是</t>
        </is>
      </c>
      <c r="M123" t="inlineStr">
        <is>
          <t>05.02.09.02.004</t>
        </is>
      </c>
      <c r="N123" t="inlineStr">
        <is>
          <t>SUM</t>
        </is>
      </c>
    </row>
    <row r="124">
      <c r="A124" t="inlineStr">
        <is>
          <t>五级</t>
        </is>
      </c>
      <c r="B124" t="inlineStr">
        <is>
          <t>支出</t>
        </is>
      </c>
      <c r="C124" t="inlineStr">
        <is>
          <t>AA.90.03.09.02.005</t>
        </is>
      </c>
      <c r="D124" t="inlineStr">
        <is>
          <t>新发放LUM</t>
        </is>
      </c>
      <c r="K124" t="inlineStr">
        <is>
          <t>是</t>
        </is>
      </c>
      <c r="M124" t="inlineStr">
        <is>
          <t>05.02.09.02.005</t>
        </is>
      </c>
      <c r="N124" t="inlineStr">
        <is>
          <t>SUM</t>
        </is>
      </c>
    </row>
    <row r="125">
      <c r="A125" t="inlineStr">
        <is>
          <t>五级</t>
        </is>
      </c>
      <c r="B125" t="inlineStr">
        <is>
          <t>支出</t>
        </is>
      </c>
      <c r="C125" t="inlineStr">
        <is>
          <t>AA.90.03.09.02.006</t>
        </is>
      </c>
      <c r="D125" t="inlineStr">
        <is>
          <t>新发放LUM（标服）</t>
        </is>
      </c>
      <c r="K125" t="inlineStr">
        <is>
          <t>是</t>
        </is>
      </c>
      <c r="M125" t="inlineStr">
        <is>
          <t>05.02.09.02.006</t>
        </is>
      </c>
      <c r="N125" t="inlineStr">
        <is>
          <t>SUM</t>
        </is>
      </c>
    </row>
    <row r="126">
      <c r="A126" t="inlineStr">
        <is>
          <t>五级</t>
        </is>
      </c>
      <c r="B126" t="inlineStr">
        <is>
          <t>支出</t>
        </is>
      </c>
      <c r="C126" t="inlineStr">
        <is>
          <t>AA.90.03.09.02.007</t>
        </is>
      </c>
      <c r="D126" t="inlineStr">
        <is>
          <t>存客日均AuM</t>
        </is>
      </c>
      <c r="K126" t="inlineStr">
        <is>
          <t>是</t>
        </is>
      </c>
      <c r="M126" t="inlineStr">
        <is>
          <t>05.02.09.02.007</t>
        </is>
      </c>
      <c r="N126" t="inlineStr">
        <is>
          <t>SUM</t>
        </is>
      </c>
    </row>
    <row r="127">
      <c r="A127" t="inlineStr">
        <is>
          <t>五级</t>
        </is>
      </c>
      <c r="B127" t="inlineStr">
        <is>
          <t>支出</t>
        </is>
      </c>
      <c r="C127" t="inlineStr">
        <is>
          <t>AA.90.03.09.02.008</t>
        </is>
      </c>
      <c r="D127" t="inlineStr">
        <is>
          <t>新客AuM余额</t>
        </is>
      </c>
      <c r="K127" t="inlineStr">
        <is>
          <t>是</t>
        </is>
      </c>
      <c r="M127" t="inlineStr">
        <is>
          <t>05.02.09.02.008</t>
        </is>
      </c>
      <c r="N127" t="inlineStr">
        <is>
          <t>SUM</t>
        </is>
      </c>
    </row>
    <row r="128">
      <c r="A128" t="inlineStr">
        <is>
          <t>五级</t>
        </is>
      </c>
      <c r="B128" t="inlineStr">
        <is>
          <t>支出</t>
        </is>
      </c>
      <c r="C128" t="inlineStr">
        <is>
          <t>AA.90.03.09.02.009</t>
        </is>
      </c>
      <c r="D128" t="inlineStr">
        <is>
          <t>MFAU客户数</t>
        </is>
      </c>
      <c r="K128" t="inlineStr">
        <is>
          <t>是</t>
        </is>
      </c>
      <c r="M128" t="inlineStr">
        <is>
          <t>05.02.09.02.009</t>
        </is>
      </c>
      <c r="N128" t="inlineStr">
        <is>
          <t>SUM</t>
        </is>
      </c>
    </row>
    <row r="129">
      <c r="A129" t="inlineStr">
        <is>
          <t>五级</t>
        </is>
      </c>
      <c r="B129" t="inlineStr">
        <is>
          <t>支出</t>
        </is>
      </c>
      <c r="C129" t="inlineStr">
        <is>
          <t>AA.90.03.09.02.010</t>
        </is>
      </c>
      <c r="D129" t="inlineStr">
        <is>
          <t>日均LUM</t>
        </is>
      </c>
      <c r="K129" t="inlineStr">
        <is>
          <t>是</t>
        </is>
      </c>
      <c r="M129" t="inlineStr">
        <is>
          <t>05.02.09.02.010</t>
        </is>
      </c>
      <c r="N129" t="inlineStr">
        <is>
          <t>SUM</t>
        </is>
      </c>
    </row>
    <row r="130">
      <c r="A130" t="inlineStr">
        <is>
          <t>五级</t>
        </is>
      </c>
      <c r="B130" t="inlineStr">
        <is>
          <t>支出</t>
        </is>
      </c>
      <c r="C130" t="inlineStr">
        <is>
          <t>AA.90.03.09.02.011</t>
        </is>
      </c>
      <c r="D130" t="inlineStr">
        <is>
          <t>日均AuM</t>
        </is>
      </c>
      <c r="K130" t="inlineStr">
        <is>
          <t>是</t>
        </is>
      </c>
      <c r="M130" t="inlineStr">
        <is>
          <t>05.02.09.02.011</t>
        </is>
      </c>
      <c r="N130" t="inlineStr">
        <is>
          <t>SUM</t>
        </is>
      </c>
    </row>
    <row r="131">
      <c r="A131" t="inlineStr">
        <is>
          <t>五级</t>
        </is>
      </c>
      <c r="B131" t="inlineStr">
        <is>
          <t>支出</t>
        </is>
      </c>
      <c r="C131" t="inlineStr">
        <is>
          <t>AA.90.03.09.02.101</t>
        </is>
      </c>
      <c r="D131" t="inlineStr">
        <is>
          <t>LUM规模</t>
        </is>
      </c>
      <c r="F131" t="inlineStr">
        <is>
          <t>AA.90.03.09.02.001+AA.90.03.09.02.002+AA.90.03.09.02.005+AA.90.03.09.02.006+AA.90.03.09.02.010</t>
        </is>
      </c>
      <c r="K131" t="inlineStr">
        <is>
          <t>是</t>
        </is>
      </c>
      <c r="M131" t="inlineStr">
        <is>
          <t>05.02.09.02.101</t>
        </is>
      </c>
    </row>
    <row r="132">
      <c r="A132" t="inlineStr">
        <is>
          <t>五级</t>
        </is>
      </c>
      <c r="B132" t="inlineStr">
        <is>
          <t>支出</t>
        </is>
      </c>
      <c r="C132" t="inlineStr">
        <is>
          <t>AA.90.03.09.02.102</t>
        </is>
      </c>
      <c r="D132" t="inlineStr">
        <is>
          <t>AuM规模</t>
        </is>
      </c>
      <c r="F132" t="inlineStr">
        <is>
          <t>AA.90.03.09.02.007+AA.90.03.09.02.008+AA.90.03.09.02.011</t>
        </is>
      </c>
      <c r="K132" t="inlineStr">
        <is>
          <t>是</t>
        </is>
      </c>
      <c r="M132" t="inlineStr">
        <is>
          <t>05.02.09.02.102</t>
        </is>
      </c>
    </row>
    <row r="133">
      <c r="A133" t="inlineStr">
        <is>
          <t>五级</t>
        </is>
      </c>
      <c r="B133" t="inlineStr">
        <is>
          <t>支出</t>
        </is>
      </c>
      <c r="C133" t="inlineStr">
        <is>
          <t>AA.90.03.09.02.103</t>
        </is>
      </c>
      <c r="D133" t="inlineStr">
        <is>
          <t>客户数量</t>
        </is>
      </c>
      <c r="F133" t="inlineStr">
        <is>
          <t>AA.90.03.09.02.003+AA.90.03.09.02.004+AA.90.03.09.02.009</t>
        </is>
      </c>
      <c r="K133" t="inlineStr">
        <is>
          <t>是</t>
        </is>
      </c>
      <c r="M133" t="inlineStr">
        <is>
          <t>05.02.09.02.103</t>
        </is>
      </c>
    </row>
    <row r="134">
      <c r="A134" t="inlineStr">
        <is>
          <t>四级</t>
        </is>
      </c>
      <c r="B134" t="inlineStr">
        <is>
          <t>支出</t>
        </is>
      </c>
      <c r="C134" t="inlineStr">
        <is>
          <t>AA.90.03.09.03</t>
        </is>
      </c>
      <c r="D134" t="inlineStr">
        <is>
          <t>客户回收与催收</t>
        </is>
      </c>
      <c r="F134" t="inlineStr">
        <is>
          <t>AA.90.03.09.03.001+AA.90.03.09.03.002+AA.90.03.09.03.003</t>
        </is>
      </c>
      <c r="K134" t="inlineStr">
        <is>
          <t>是</t>
        </is>
      </c>
      <c r="M134" t="inlineStr">
        <is>
          <t>05.02.09.03</t>
        </is>
      </c>
    </row>
    <row r="135">
      <c r="A135" t="inlineStr">
        <is>
          <t>五级</t>
        </is>
      </c>
      <c r="B135" t="inlineStr">
        <is>
          <t>支出</t>
        </is>
      </c>
      <c r="C135" t="inlineStr">
        <is>
          <t>AA.90.03.09.03.001</t>
        </is>
      </c>
      <c r="D135" t="inlineStr">
        <is>
          <t>内催回收额</t>
        </is>
      </c>
      <c r="K135" t="inlineStr">
        <is>
          <t>是</t>
        </is>
      </c>
      <c r="M135" t="inlineStr">
        <is>
          <t>05.02.09.03.001</t>
        </is>
      </c>
      <c r="N135" t="inlineStr">
        <is>
          <t>SUM</t>
        </is>
      </c>
    </row>
    <row r="136">
      <c r="A136" t="inlineStr">
        <is>
          <t>五级</t>
        </is>
      </c>
      <c r="B136" t="inlineStr">
        <is>
          <t>支出</t>
        </is>
      </c>
      <c r="C136" t="inlineStr">
        <is>
          <t>AA.90.03.09.03.002</t>
        </is>
      </c>
      <c r="D136" t="inlineStr">
        <is>
          <t>M6-压降金额</t>
        </is>
      </c>
      <c r="K136" t="inlineStr">
        <is>
          <t>是</t>
        </is>
      </c>
      <c r="M136" t="inlineStr">
        <is>
          <t>05.02.09.03.002</t>
        </is>
      </c>
      <c r="N136" t="inlineStr">
        <is>
          <t>SUM</t>
        </is>
      </c>
    </row>
    <row r="137">
      <c r="A137" t="inlineStr">
        <is>
          <t>五级</t>
        </is>
      </c>
      <c r="B137" t="inlineStr">
        <is>
          <t>支出</t>
        </is>
      </c>
      <c r="C137" t="inlineStr">
        <is>
          <t>AA.90.03.09.03.003</t>
        </is>
      </c>
      <c r="D137" t="inlineStr">
        <is>
          <t>M7+现金回收额</t>
        </is>
      </c>
      <c r="K137" t="inlineStr">
        <is>
          <t>是</t>
        </is>
      </c>
      <c r="M137" t="inlineStr">
        <is>
          <t>05.02.09.03.003</t>
        </is>
      </c>
      <c r="N137" t="inlineStr">
        <is>
          <t>SUM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topLeftCell="A8" workbookViewId="0">
      <selection activeCell="D19" sqref="D19"/>
    </sheetView>
  </sheetViews>
  <sheetFormatPr baseColWidth="8" defaultColWidth="9" defaultRowHeight="16.8"/>
  <cols>
    <col width="8.66071428571429" customWidth="1" min="3" max="3"/>
    <col width="20" customWidth="1" min="4" max="4"/>
  </cols>
  <sheetData>
    <row r="1" ht="15" customFormat="1" customHeight="1" s="1">
      <c r="A1" s="2" t="inlineStr">
        <is>
          <t>科目层级</t>
        </is>
      </c>
      <c r="B1" s="2" t="inlineStr">
        <is>
          <t>科目性质</t>
        </is>
      </c>
      <c r="C1" s="3" t="inlineStr">
        <is>
          <t>科目代码</t>
        </is>
      </c>
      <c r="D1" s="2" t="inlineStr">
        <is>
          <t>科目名称</t>
        </is>
      </c>
      <c r="E1" s="3" t="inlineStr">
        <is>
          <t>录入粒度</t>
        </is>
      </c>
      <c r="F1" s="3" t="inlineStr">
        <is>
          <t>年预算公式</t>
        </is>
      </c>
      <c r="G1" s="3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6" t="inlineStr">
        <is>
          <t>规则</t>
        </is>
      </c>
    </row>
    <row r="2">
      <c r="A2" s="1" t="inlineStr">
        <is>
          <t>一级</t>
        </is>
      </c>
      <c r="B2" s="1" t="inlineStr">
        <is>
          <t>资产余额</t>
        </is>
      </c>
      <c r="C2" s="1" t="inlineStr">
        <is>
          <t>AA.32</t>
        </is>
      </c>
      <c r="D2" s="1" t="inlineStr">
        <is>
          <t>总资产</t>
        </is>
      </c>
      <c r="F2" t="inlineStr">
        <is>
          <t>AA.32.01+AA.32.02+AA.32.03</t>
        </is>
      </c>
      <c r="K2" t="inlineStr">
        <is>
          <t>是</t>
        </is>
      </c>
      <c r="M2" t="inlineStr">
        <is>
          <t>32</t>
        </is>
      </c>
    </row>
    <row r="3">
      <c r="A3" s="1" t="inlineStr">
        <is>
          <t>二级</t>
        </is>
      </c>
      <c r="B3" s="1" t="inlineStr">
        <is>
          <t>资产余额</t>
        </is>
      </c>
      <c r="C3" s="1" t="inlineStr">
        <is>
          <t>AA.10.01</t>
        </is>
      </c>
      <c r="D3" s="1" t="inlineStr">
        <is>
          <t xml:space="preserve">  各项贷款</t>
        </is>
      </c>
      <c r="F3" t="inlineStr">
        <is>
          <t>AA.10.01.01+AA.10.01.02</t>
        </is>
      </c>
      <c r="K3" t="inlineStr">
        <is>
          <t>是</t>
        </is>
      </c>
      <c r="M3" t="inlineStr">
        <is>
          <t>10.01</t>
        </is>
      </c>
    </row>
    <row r="4">
      <c r="A4" s="1" t="inlineStr">
        <is>
          <t>三级</t>
        </is>
      </c>
      <c r="B4" s="1" t="inlineStr">
        <is>
          <t>资产余额</t>
        </is>
      </c>
      <c r="C4" s="1" t="inlineStr">
        <is>
          <t>AA.10.01.01</t>
        </is>
      </c>
      <c r="D4" s="1" t="inlineStr">
        <is>
          <t xml:space="preserve">    一般贷款</t>
        </is>
      </c>
      <c r="K4" t="inlineStr">
        <is>
          <t>是</t>
        </is>
      </c>
      <c r="M4" t="inlineStr">
        <is>
          <t>10.01.01</t>
        </is>
      </c>
      <c r="N4" t="inlineStr">
        <is>
          <t>LAST</t>
        </is>
      </c>
    </row>
    <row r="5">
      <c r="A5" s="1" t="inlineStr">
        <is>
          <t>三级</t>
        </is>
      </c>
      <c r="B5" s="1" t="inlineStr">
        <is>
          <t>资产余额</t>
        </is>
      </c>
      <c r="C5" s="1" t="inlineStr">
        <is>
          <t>AA.10.01.02</t>
        </is>
      </c>
      <c r="D5" s="1" t="inlineStr">
        <is>
          <t xml:space="preserve">    票据融资</t>
        </is>
      </c>
      <c r="K5" t="inlineStr">
        <is>
          <t>是</t>
        </is>
      </c>
      <c r="M5" t="inlineStr">
        <is>
          <t>10.01.02</t>
        </is>
      </c>
      <c r="N5" t="inlineStr">
        <is>
          <t>LAST</t>
        </is>
      </c>
    </row>
    <row r="6">
      <c r="A6" s="1" t="inlineStr">
        <is>
          <t>二级</t>
        </is>
      </c>
      <c r="B6" s="1" t="inlineStr">
        <is>
          <t>资产余额</t>
        </is>
      </c>
      <c r="C6" s="1" t="inlineStr">
        <is>
          <t>AA.22</t>
        </is>
      </c>
      <c r="D6" s="1" t="inlineStr">
        <is>
          <t xml:space="preserve">  存放央行</t>
        </is>
      </c>
      <c r="K6" t="inlineStr">
        <is>
          <t>是</t>
        </is>
      </c>
      <c r="M6" t="inlineStr">
        <is>
          <t>22</t>
        </is>
      </c>
      <c r="N6" t="inlineStr">
        <is>
          <t>LAST</t>
        </is>
      </c>
    </row>
    <row r="7">
      <c r="A7" s="1" t="inlineStr">
        <is>
          <t>二级</t>
        </is>
      </c>
      <c r="B7" s="1" t="inlineStr">
        <is>
          <t>资产余额</t>
        </is>
      </c>
      <c r="C7" s="1" t="inlineStr">
        <is>
          <t>AA.32.01</t>
        </is>
      </c>
      <c r="D7" s="1" t="inlineStr">
        <is>
          <t xml:space="preserve">  同业资产</t>
        </is>
      </c>
      <c r="F7" t="inlineStr">
        <is>
          <t>AA.24.01+AA.24.02+AA.24.03+AA.24.04+AA.24.05+AA.24.06</t>
        </is>
      </c>
      <c r="K7" t="inlineStr">
        <is>
          <t>是</t>
        </is>
      </c>
      <c r="M7" t="inlineStr">
        <is>
          <t>32.01</t>
        </is>
      </c>
    </row>
    <row r="8">
      <c r="A8" t="inlineStr">
        <is>
          <t>三级</t>
        </is>
      </c>
      <c r="C8" t="inlineStr">
        <is>
          <t>AA.24</t>
        </is>
      </c>
      <c r="D8" t="inlineStr">
        <is>
          <t>AA.24</t>
        </is>
      </c>
    </row>
    <row r="9">
      <c r="A9" s="1" t="inlineStr">
        <is>
          <t>三级</t>
        </is>
      </c>
      <c r="B9" s="1" t="inlineStr">
        <is>
          <t>资产余额</t>
        </is>
      </c>
      <c r="C9" s="1" t="inlineStr">
        <is>
          <t>AA.24.01</t>
        </is>
      </c>
      <c r="D9" s="1" t="inlineStr">
        <is>
          <t xml:space="preserve">    存放同业</t>
        </is>
      </c>
      <c r="K9" t="inlineStr">
        <is>
          <t>是</t>
        </is>
      </c>
      <c r="M9" t="inlineStr">
        <is>
          <t>24.01</t>
        </is>
      </c>
      <c r="N9" t="inlineStr">
        <is>
          <t>LAST</t>
        </is>
      </c>
    </row>
    <row r="10">
      <c r="A10" s="1" t="inlineStr">
        <is>
          <t>三级</t>
        </is>
      </c>
      <c r="B10" s="1" t="inlineStr">
        <is>
          <t>资产余额</t>
        </is>
      </c>
      <c r="C10" s="1" t="inlineStr">
        <is>
          <t>AA.24.02</t>
        </is>
      </c>
      <c r="D10" s="1" t="inlineStr">
        <is>
          <t xml:space="preserve">    拆放同业</t>
        </is>
      </c>
      <c r="K10" t="inlineStr">
        <is>
          <t>是</t>
        </is>
      </c>
      <c r="M10" t="inlineStr">
        <is>
          <t>24.02</t>
        </is>
      </c>
      <c r="N10" t="inlineStr">
        <is>
          <t>LAST</t>
        </is>
      </c>
    </row>
    <row r="11">
      <c r="A11" s="1" t="inlineStr">
        <is>
          <t>三级</t>
        </is>
      </c>
      <c r="B11" s="1" t="inlineStr">
        <is>
          <t>资产余额</t>
        </is>
      </c>
      <c r="C11" s="1" t="inlineStr">
        <is>
          <t>AA.24.03</t>
        </is>
      </c>
      <c r="D11" s="1" t="inlineStr">
        <is>
          <t xml:space="preserve">    买入返售</t>
        </is>
      </c>
      <c r="K11" t="inlineStr">
        <is>
          <t>是</t>
        </is>
      </c>
      <c r="M11" t="inlineStr">
        <is>
          <t>24.03</t>
        </is>
      </c>
      <c r="N11" t="inlineStr">
        <is>
          <t>LAST</t>
        </is>
      </c>
    </row>
    <row r="12">
      <c r="A12" s="1" t="inlineStr">
        <is>
          <t>三级</t>
        </is>
      </c>
      <c r="B12" s="1" t="inlineStr">
        <is>
          <t>资产余额</t>
        </is>
      </c>
      <c r="C12" s="1" t="inlineStr">
        <is>
          <t>AA.24.04</t>
        </is>
      </c>
      <c r="D12" s="1" t="inlineStr">
        <is>
          <t xml:space="preserve">    债券投资</t>
        </is>
      </c>
      <c r="K12" t="inlineStr">
        <is>
          <t>是</t>
        </is>
      </c>
      <c r="M12" t="inlineStr">
        <is>
          <t>24.04</t>
        </is>
      </c>
      <c r="N12" t="inlineStr">
        <is>
          <t>LAST</t>
        </is>
      </c>
    </row>
    <row r="13">
      <c r="A13" s="1" t="inlineStr">
        <is>
          <t>三级</t>
        </is>
      </c>
      <c r="B13" s="1" t="inlineStr">
        <is>
          <t>资产余额</t>
        </is>
      </c>
      <c r="C13" s="1" t="inlineStr">
        <is>
          <t>AA.24.05</t>
        </is>
      </c>
      <c r="D13" s="1" t="inlineStr">
        <is>
          <t xml:space="preserve">    同业存单投资</t>
        </is>
      </c>
      <c r="K13" t="inlineStr">
        <is>
          <t>是</t>
        </is>
      </c>
      <c r="M13" t="inlineStr">
        <is>
          <t>24.05</t>
        </is>
      </c>
      <c r="N13" t="inlineStr">
        <is>
          <t>LAST</t>
        </is>
      </c>
    </row>
    <row r="14">
      <c r="A14" s="1" t="inlineStr">
        <is>
          <t>三级</t>
        </is>
      </c>
      <c r="B14" s="1" t="inlineStr">
        <is>
          <t>资产余额</t>
        </is>
      </c>
      <c r="C14" s="9" t="inlineStr">
        <is>
          <t>AA.24.06</t>
        </is>
      </c>
      <c r="D14" s="1" t="inlineStr">
        <is>
          <t xml:space="preserve">    基金</t>
        </is>
      </c>
      <c r="K14" t="inlineStr">
        <is>
          <t>是</t>
        </is>
      </c>
      <c r="M14" t="inlineStr">
        <is>
          <t>24.06</t>
        </is>
      </c>
      <c r="N14" t="inlineStr">
        <is>
          <t>LAST</t>
        </is>
      </c>
    </row>
    <row r="15">
      <c r="A15" s="1" t="inlineStr">
        <is>
          <t>二级</t>
        </is>
      </c>
      <c r="B15" s="1" t="inlineStr">
        <is>
          <t>资产余额</t>
        </is>
      </c>
      <c r="C15" s="1" t="inlineStr">
        <is>
          <t>AA.32.02</t>
        </is>
      </c>
      <c r="D15" s="1" t="inlineStr">
        <is>
          <t xml:space="preserve">  减值准备</t>
        </is>
      </c>
      <c r="K15" t="inlineStr">
        <is>
          <t>是</t>
        </is>
      </c>
      <c r="M15" t="inlineStr">
        <is>
          <t>32.02</t>
        </is>
      </c>
      <c r="N15" t="inlineStr">
        <is>
          <t>LAST</t>
        </is>
      </c>
    </row>
    <row r="16">
      <c r="A16" s="1" t="inlineStr">
        <is>
          <t>二级</t>
        </is>
      </c>
      <c r="B16" s="1" t="inlineStr">
        <is>
          <t>资产余额</t>
        </is>
      </c>
      <c r="C16" s="1" t="inlineStr">
        <is>
          <t>AA.32.03</t>
        </is>
      </c>
      <c r="D16" s="1" t="inlineStr">
        <is>
          <t xml:space="preserve">  其他资产</t>
        </is>
      </c>
      <c r="K16" t="inlineStr">
        <is>
          <t>是</t>
        </is>
      </c>
      <c r="M16" t="inlineStr">
        <is>
          <t>32.03</t>
        </is>
      </c>
      <c r="N16" t="inlineStr">
        <is>
          <t>LAST</t>
        </is>
      </c>
    </row>
    <row r="17">
      <c r="A17" s="1" t="inlineStr">
        <is>
          <t>一级</t>
        </is>
      </c>
      <c r="B17" s="1" t="inlineStr">
        <is>
          <t>负债余额</t>
        </is>
      </c>
      <c r="C17" s="1" t="inlineStr">
        <is>
          <t>AA.33</t>
        </is>
      </c>
      <c r="D17" s="1" t="inlineStr">
        <is>
          <t>总负债</t>
        </is>
      </c>
      <c r="F17" t="inlineStr">
        <is>
          <t>AA.33.01+AA.33.02</t>
        </is>
      </c>
      <c r="K17" t="inlineStr">
        <is>
          <t>是</t>
        </is>
      </c>
      <c r="M17" t="inlineStr">
        <is>
          <t>33</t>
        </is>
      </c>
    </row>
    <row r="18">
      <c r="A18" s="1" t="inlineStr">
        <is>
          <t>二级</t>
        </is>
      </c>
      <c r="B18" s="1" t="inlineStr">
        <is>
          <t>负债余额</t>
        </is>
      </c>
      <c r="C18" s="9" t="inlineStr">
        <is>
          <t>AA.12.01</t>
        </is>
      </c>
      <c r="D18" s="1" t="inlineStr">
        <is>
          <t xml:space="preserve">  各项存款</t>
        </is>
      </c>
      <c r="K18" t="inlineStr">
        <is>
          <t>是</t>
        </is>
      </c>
      <c r="M18" t="inlineStr">
        <is>
          <t>12.01</t>
        </is>
      </c>
      <c r="N18" t="inlineStr">
        <is>
          <t>LAST</t>
        </is>
      </c>
    </row>
    <row r="19">
      <c r="A19" s="1" t="inlineStr">
        <is>
          <t>二级</t>
        </is>
      </c>
      <c r="B19" s="1" t="inlineStr">
        <is>
          <t>负债余额</t>
        </is>
      </c>
      <c r="C19" s="1" t="inlineStr">
        <is>
          <t>AA.33.01</t>
        </is>
      </c>
      <c r="D19" s="1" t="inlineStr">
        <is>
          <t xml:space="preserve">  同业负债</t>
        </is>
      </c>
      <c r="F19" t="inlineStr">
        <is>
          <t>AA.26.01+AA.26.02+AA.26.03+AA.26.04+AA.26.05+AA.26.06</t>
        </is>
      </c>
      <c r="K19" t="inlineStr">
        <is>
          <t>是</t>
        </is>
      </c>
      <c r="M19" t="inlineStr">
        <is>
          <t>33.01</t>
        </is>
      </c>
    </row>
    <row r="20">
      <c r="A20" t="inlineStr">
        <is>
          <t>三级</t>
        </is>
      </c>
      <c r="C20" t="inlineStr">
        <is>
          <t>AA.26</t>
        </is>
      </c>
      <c r="D20" t="inlineStr">
        <is>
          <t>AA.26</t>
        </is>
      </c>
    </row>
    <row r="21">
      <c r="A21" s="1" t="inlineStr">
        <is>
          <t>三级</t>
        </is>
      </c>
      <c r="B21" s="1" t="inlineStr">
        <is>
          <t>负债余额</t>
        </is>
      </c>
      <c r="C21" s="9" t="inlineStr">
        <is>
          <t>AA.26.01</t>
        </is>
      </c>
      <c r="D21" s="1" t="inlineStr">
        <is>
          <t xml:space="preserve">    向央行借款</t>
        </is>
      </c>
      <c r="K21" t="inlineStr">
        <is>
          <t>是</t>
        </is>
      </c>
      <c r="M21" t="inlineStr">
        <is>
          <t>26.01</t>
        </is>
      </c>
      <c r="N21" t="inlineStr">
        <is>
          <t>LAST</t>
        </is>
      </c>
    </row>
    <row r="22">
      <c r="A22" s="1" t="inlineStr">
        <is>
          <t>三级</t>
        </is>
      </c>
      <c r="B22" s="1" t="inlineStr">
        <is>
          <t>负债余额</t>
        </is>
      </c>
      <c r="C22" s="9" t="inlineStr">
        <is>
          <t>AA.26.02</t>
        </is>
      </c>
      <c r="D22" s="1" t="inlineStr">
        <is>
          <t xml:space="preserve">    同业存放</t>
        </is>
      </c>
      <c r="K22" t="inlineStr">
        <is>
          <t>是</t>
        </is>
      </c>
      <c r="M22" t="inlineStr">
        <is>
          <t>26.02</t>
        </is>
      </c>
      <c r="N22" t="inlineStr">
        <is>
          <t>LAST</t>
        </is>
      </c>
    </row>
    <row r="23">
      <c r="A23" s="1" t="inlineStr">
        <is>
          <t>三级</t>
        </is>
      </c>
      <c r="B23" s="1" t="inlineStr">
        <is>
          <t>负债余额</t>
        </is>
      </c>
      <c r="C23" s="9" t="inlineStr">
        <is>
          <t>AA.26.03</t>
        </is>
      </c>
      <c r="D23" s="1" t="inlineStr">
        <is>
          <t xml:space="preserve">    同业拆入</t>
        </is>
      </c>
      <c r="K23" t="inlineStr">
        <is>
          <t>是</t>
        </is>
      </c>
      <c r="M23" t="inlineStr">
        <is>
          <t>26.03</t>
        </is>
      </c>
      <c r="N23" t="inlineStr">
        <is>
          <t>LAST</t>
        </is>
      </c>
    </row>
    <row r="24">
      <c r="A24" s="1" t="inlineStr">
        <is>
          <t>三级</t>
        </is>
      </c>
      <c r="B24" s="1" t="inlineStr">
        <is>
          <t>负债余额</t>
        </is>
      </c>
      <c r="C24" s="9" t="inlineStr">
        <is>
          <t>AA.26.04</t>
        </is>
      </c>
      <c r="D24" s="1" t="inlineStr">
        <is>
          <t xml:space="preserve">    转贷款</t>
        </is>
      </c>
      <c r="K24" t="inlineStr">
        <is>
          <t>是</t>
        </is>
      </c>
      <c r="M24" t="inlineStr">
        <is>
          <t>26.04</t>
        </is>
      </c>
      <c r="N24" t="inlineStr">
        <is>
          <t>LAST</t>
        </is>
      </c>
    </row>
    <row r="25">
      <c r="A25" s="1" t="inlineStr">
        <is>
          <t>三级</t>
        </is>
      </c>
      <c r="B25" s="1" t="inlineStr">
        <is>
          <t>负债余额</t>
        </is>
      </c>
      <c r="C25" s="9" t="inlineStr">
        <is>
          <t>AA.26.05</t>
        </is>
      </c>
      <c r="D25" s="1" t="inlineStr">
        <is>
          <t xml:space="preserve">    卖出回购</t>
        </is>
      </c>
      <c r="K25" t="inlineStr">
        <is>
          <t>是</t>
        </is>
      </c>
      <c r="M25" t="inlineStr">
        <is>
          <t>26.05</t>
        </is>
      </c>
      <c r="N25" t="inlineStr">
        <is>
          <t>LAST</t>
        </is>
      </c>
    </row>
    <row r="26">
      <c r="A26" s="1" t="inlineStr">
        <is>
          <t>三级</t>
        </is>
      </c>
      <c r="B26" s="1" t="inlineStr">
        <is>
          <t>负债余额</t>
        </is>
      </c>
      <c r="C26" s="9" t="inlineStr">
        <is>
          <t>AA.26.06</t>
        </is>
      </c>
      <c r="D26" s="1" t="inlineStr">
        <is>
          <t xml:space="preserve">    发行同业存单</t>
        </is>
      </c>
      <c r="K26" t="inlineStr">
        <is>
          <t>是</t>
        </is>
      </c>
      <c r="M26" t="inlineStr">
        <is>
          <t>26.06</t>
        </is>
      </c>
      <c r="N26" t="inlineStr">
        <is>
          <t>LAST</t>
        </is>
      </c>
    </row>
    <row r="27">
      <c r="A27" s="1" t="inlineStr">
        <is>
          <t>二级</t>
        </is>
      </c>
      <c r="B27" s="1" t="inlineStr">
        <is>
          <t>负债余额</t>
        </is>
      </c>
      <c r="C27" s="1" t="inlineStr">
        <is>
          <t>AA.33.02</t>
        </is>
      </c>
      <c r="D27" s="1" t="inlineStr">
        <is>
          <t xml:space="preserve">  其他负债</t>
        </is>
      </c>
      <c r="K27" t="inlineStr">
        <is>
          <t>是</t>
        </is>
      </c>
      <c r="M27" t="inlineStr">
        <is>
          <t>33.02</t>
        </is>
      </c>
      <c r="N27" t="inlineStr">
        <is>
          <t>LAST</t>
        </is>
      </c>
    </row>
    <row r="28">
      <c r="A28" s="1" t="inlineStr">
        <is>
          <t>一级</t>
        </is>
      </c>
      <c r="B28" s="1" t="inlineStr">
        <is>
          <t>负债余额</t>
        </is>
      </c>
      <c r="C28" s="1" t="inlineStr">
        <is>
          <t>AA.34</t>
        </is>
      </c>
      <c r="D28" s="1" t="inlineStr">
        <is>
          <t>所有者权益</t>
        </is>
      </c>
      <c r="F28" t="inlineStr">
        <is>
          <t>AA.32-AA.33</t>
        </is>
      </c>
      <c r="K28" t="inlineStr">
        <is>
          <t>是</t>
        </is>
      </c>
      <c r="M28" t="inlineStr">
        <is>
          <t>34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I29" sqref="I29"/>
    </sheetView>
  </sheetViews>
  <sheetFormatPr baseColWidth="8" defaultColWidth="9" defaultRowHeight="16.8"/>
  <cols>
    <col width="8.66071428571429" customWidth="1" min="1" max="2"/>
    <col width="8.5" customWidth="1" min="3" max="3"/>
    <col width="20" customWidth="1" min="4" max="4"/>
    <col width="8.66071428571429" customWidth="1" min="5" max="16384"/>
  </cols>
  <sheetData>
    <row r="1" ht="15" customFormat="1" customHeight="1" s="1">
      <c r="A1" s="2" t="inlineStr">
        <is>
          <t>科目层级</t>
        </is>
      </c>
      <c r="B1" s="2" t="inlineStr">
        <is>
          <t>科目性质</t>
        </is>
      </c>
      <c r="C1" s="3" t="inlineStr">
        <is>
          <t>科目代码</t>
        </is>
      </c>
      <c r="D1" s="2" t="inlineStr">
        <is>
          <t>科目名称</t>
        </is>
      </c>
      <c r="E1" s="3" t="inlineStr">
        <is>
          <t>录入粒度</t>
        </is>
      </c>
      <c r="F1" s="3" t="inlineStr">
        <is>
          <t>年预算公式</t>
        </is>
      </c>
      <c r="G1" s="3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t="inlineStr">
        <is>
          <t>规则</t>
        </is>
      </c>
    </row>
    <row r="2">
      <c r="A2" s="1" t="inlineStr">
        <is>
          <t>一级</t>
        </is>
      </c>
      <c r="B2" s="1" t="inlineStr">
        <is>
          <t>资产日均</t>
        </is>
      </c>
      <c r="C2" s="1" t="inlineStr">
        <is>
          <t>AA.35</t>
        </is>
      </c>
      <c r="D2" s="1" t="inlineStr">
        <is>
          <t>总资产</t>
        </is>
      </c>
      <c r="F2" t="inlineStr">
        <is>
          <t>AA.35.01+AA.35.02+AA.35.03</t>
        </is>
      </c>
      <c r="K2" t="inlineStr">
        <is>
          <t>是</t>
        </is>
      </c>
      <c r="M2" t="inlineStr">
        <is>
          <t>35</t>
        </is>
      </c>
    </row>
    <row r="3">
      <c r="A3" s="1" t="inlineStr">
        <is>
          <t>二级</t>
        </is>
      </c>
      <c r="B3" s="1" t="inlineStr">
        <is>
          <t>资产日均</t>
        </is>
      </c>
      <c r="C3" s="1" t="inlineStr">
        <is>
          <t>AA.11.01</t>
        </is>
      </c>
      <c r="D3" s="1" t="inlineStr">
        <is>
          <t xml:space="preserve">  各项贷款</t>
        </is>
      </c>
      <c r="F3" t="inlineStr">
        <is>
          <t>AA.11.01.01+AA.11.01.02</t>
        </is>
      </c>
      <c r="K3" t="inlineStr">
        <is>
          <t>是</t>
        </is>
      </c>
      <c r="M3" t="inlineStr">
        <is>
          <t>11.01</t>
        </is>
      </c>
    </row>
    <row r="4">
      <c r="A4" s="1" t="inlineStr">
        <is>
          <t>三级</t>
        </is>
      </c>
      <c r="B4" s="1" t="inlineStr">
        <is>
          <t>资产日均</t>
        </is>
      </c>
      <c r="C4" s="1" t="inlineStr">
        <is>
          <t>AA.11.01.01</t>
        </is>
      </c>
      <c r="D4" s="1" t="inlineStr">
        <is>
          <t xml:space="preserve">    一般贷款</t>
        </is>
      </c>
      <c r="K4" t="inlineStr">
        <is>
          <t>是</t>
        </is>
      </c>
      <c r="M4" t="inlineStr">
        <is>
          <t>11.01.01</t>
        </is>
      </c>
      <c r="N4" t="inlineStr">
        <is>
          <t>AVG</t>
        </is>
      </c>
    </row>
    <row r="5">
      <c r="A5" s="1" t="inlineStr">
        <is>
          <t>三级</t>
        </is>
      </c>
      <c r="B5" s="1" t="inlineStr">
        <is>
          <t>资产日均</t>
        </is>
      </c>
      <c r="C5" s="1" t="inlineStr">
        <is>
          <t>AA.11.01.02</t>
        </is>
      </c>
      <c r="D5" s="1" t="inlineStr">
        <is>
          <t xml:space="preserve">    票据融资</t>
        </is>
      </c>
      <c r="K5" t="inlineStr">
        <is>
          <t>是</t>
        </is>
      </c>
      <c r="M5" t="inlineStr">
        <is>
          <t>11.01.02</t>
        </is>
      </c>
      <c r="N5" t="inlineStr">
        <is>
          <t>AVG</t>
        </is>
      </c>
    </row>
    <row r="6">
      <c r="A6" s="1" t="inlineStr">
        <is>
          <t>二级</t>
        </is>
      </c>
      <c r="B6" s="1" t="inlineStr">
        <is>
          <t>资产日均</t>
        </is>
      </c>
      <c r="C6" s="1" t="inlineStr">
        <is>
          <t>AA.23</t>
        </is>
      </c>
      <c r="D6" s="1" t="inlineStr">
        <is>
          <t xml:space="preserve">  存放央行</t>
        </is>
      </c>
      <c r="K6" t="inlineStr">
        <is>
          <t>是</t>
        </is>
      </c>
      <c r="M6" t="inlineStr">
        <is>
          <t>23</t>
        </is>
      </c>
      <c r="N6" t="inlineStr">
        <is>
          <t>AVG</t>
        </is>
      </c>
    </row>
    <row r="7">
      <c r="A7" s="1" t="inlineStr">
        <is>
          <t>二级</t>
        </is>
      </c>
      <c r="B7" s="1" t="inlineStr">
        <is>
          <t>资产日均</t>
        </is>
      </c>
      <c r="C7" s="1" t="inlineStr">
        <is>
          <t>AA.35.01</t>
        </is>
      </c>
      <c r="D7" s="1" t="inlineStr">
        <is>
          <t xml:space="preserve">  同业资产</t>
        </is>
      </c>
      <c r="K7" t="inlineStr">
        <is>
          <t>是</t>
        </is>
      </c>
      <c r="M7" t="inlineStr">
        <is>
          <t>35.01</t>
        </is>
      </c>
      <c r="N7" t="inlineStr">
        <is>
          <t>AVG</t>
        </is>
      </c>
    </row>
    <row r="8">
      <c r="A8" t="inlineStr">
        <is>
          <t>三级</t>
        </is>
      </c>
      <c r="C8" t="inlineStr">
        <is>
          <t>AA.25</t>
        </is>
      </c>
      <c r="D8" t="inlineStr">
        <is>
          <t>AA.25</t>
        </is>
      </c>
    </row>
    <row r="9">
      <c r="A9" s="1" t="inlineStr">
        <is>
          <t>三级</t>
        </is>
      </c>
      <c r="B9" s="1" t="inlineStr">
        <is>
          <t>资产日均</t>
        </is>
      </c>
      <c r="C9" s="1" t="inlineStr">
        <is>
          <t>AA.25.01</t>
        </is>
      </c>
      <c r="D9" s="1" t="inlineStr">
        <is>
          <t xml:space="preserve">    存放同业</t>
        </is>
      </c>
      <c r="K9" t="inlineStr">
        <is>
          <t>是</t>
        </is>
      </c>
      <c r="M9" t="inlineStr">
        <is>
          <t>25.01</t>
        </is>
      </c>
      <c r="N9" t="inlineStr">
        <is>
          <t>AVG</t>
        </is>
      </c>
    </row>
    <row r="10">
      <c r="A10" s="1" t="inlineStr">
        <is>
          <t>三级</t>
        </is>
      </c>
      <c r="B10" s="1" t="inlineStr">
        <is>
          <t>资产日均</t>
        </is>
      </c>
      <c r="C10" s="1" t="inlineStr">
        <is>
          <t>AA.25.02</t>
        </is>
      </c>
      <c r="D10" s="1" t="inlineStr">
        <is>
          <t xml:space="preserve">    拆放同业</t>
        </is>
      </c>
      <c r="K10" t="inlineStr">
        <is>
          <t>是</t>
        </is>
      </c>
      <c r="M10" t="inlineStr">
        <is>
          <t>25.02</t>
        </is>
      </c>
      <c r="N10" t="inlineStr">
        <is>
          <t>AVG</t>
        </is>
      </c>
    </row>
    <row r="11">
      <c r="A11" s="1" t="inlineStr">
        <is>
          <t>三级</t>
        </is>
      </c>
      <c r="B11" s="1" t="inlineStr">
        <is>
          <t>资产日均</t>
        </is>
      </c>
      <c r="C11" s="1" t="inlineStr">
        <is>
          <t>AA.25.03</t>
        </is>
      </c>
      <c r="D11" s="1" t="inlineStr">
        <is>
          <t xml:space="preserve">    买入返售</t>
        </is>
      </c>
      <c r="K11" t="inlineStr">
        <is>
          <t>是</t>
        </is>
      </c>
      <c r="M11" t="inlineStr">
        <is>
          <t>25.03</t>
        </is>
      </c>
      <c r="N11" t="inlineStr">
        <is>
          <t>AVG</t>
        </is>
      </c>
    </row>
    <row r="12">
      <c r="A12" s="1" t="inlineStr">
        <is>
          <t>三级</t>
        </is>
      </c>
      <c r="B12" s="1" t="inlineStr">
        <is>
          <t>资产日均</t>
        </is>
      </c>
      <c r="C12" s="1" t="inlineStr">
        <is>
          <t>AA.25.04</t>
        </is>
      </c>
      <c r="D12" s="1" t="inlineStr">
        <is>
          <t xml:space="preserve">    债券投资（AC和OCI）</t>
        </is>
      </c>
      <c r="K12" t="inlineStr">
        <is>
          <t>是</t>
        </is>
      </c>
      <c r="M12" t="inlineStr">
        <is>
          <t>25.04</t>
        </is>
      </c>
      <c r="N12" t="inlineStr">
        <is>
          <t>AVG</t>
        </is>
      </c>
    </row>
    <row r="13">
      <c r="A13" s="1" t="inlineStr">
        <is>
          <t>三级</t>
        </is>
      </c>
      <c r="B13" s="1" t="inlineStr">
        <is>
          <t>资产日均</t>
        </is>
      </c>
      <c r="C13" s="1" t="inlineStr">
        <is>
          <t>AA.25.05</t>
        </is>
      </c>
      <c r="D13" s="1" t="inlineStr">
        <is>
          <t xml:space="preserve">    同业存单投资（AC和OCI）</t>
        </is>
      </c>
      <c r="K13" t="inlineStr">
        <is>
          <t>是</t>
        </is>
      </c>
      <c r="M13" t="inlineStr">
        <is>
          <t>25.05</t>
        </is>
      </c>
      <c r="N13" t="inlineStr">
        <is>
          <t>AVG</t>
        </is>
      </c>
    </row>
    <row r="14">
      <c r="A14" s="1" t="inlineStr">
        <is>
          <t>三级</t>
        </is>
      </c>
      <c r="B14" s="1" t="inlineStr">
        <is>
          <t>资产日均</t>
        </is>
      </c>
      <c r="C14" s="1" t="inlineStr">
        <is>
          <t>AA.25.07</t>
        </is>
      </c>
      <c r="D14" s="1" t="inlineStr">
        <is>
          <t xml:space="preserve">    PL债券和同业存单</t>
        </is>
      </c>
      <c r="K14" t="inlineStr">
        <is>
          <t>是</t>
        </is>
      </c>
      <c r="M14" t="inlineStr">
        <is>
          <t>25.07</t>
        </is>
      </c>
      <c r="N14" t="inlineStr">
        <is>
          <t>AVG</t>
        </is>
      </c>
    </row>
    <row r="15">
      <c r="A15" s="1" t="inlineStr">
        <is>
          <t>三级</t>
        </is>
      </c>
      <c r="B15" s="1" t="inlineStr">
        <is>
          <t>资产日均</t>
        </is>
      </c>
      <c r="C15" s="9" t="inlineStr">
        <is>
          <t>AA.25.06</t>
        </is>
      </c>
      <c r="D15" s="1" t="inlineStr">
        <is>
          <t xml:space="preserve">    基金</t>
        </is>
      </c>
      <c r="K15" t="inlineStr">
        <is>
          <t>是</t>
        </is>
      </c>
      <c r="M15" t="inlineStr">
        <is>
          <t>25.06</t>
        </is>
      </c>
      <c r="N15" t="inlineStr">
        <is>
          <t>AVG</t>
        </is>
      </c>
    </row>
    <row r="16">
      <c r="A16" s="1" t="inlineStr">
        <is>
          <t>二级</t>
        </is>
      </c>
      <c r="B16" s="1" t="inlineStr">
        <is>
          <t>资产日均</t>
        </is>
      </c>
      <c r="C16" s="1" t="inlineStr">
        <is>
          <t>AA.35.02</t>
        </is>
      </c>
      <c r="D16" s="1" t="inlineStr">
        <is>
          <t xml:space="preserve">  减值准备</t>
        </is>
      </c>
      <c r="K16" t="inlineStr">
        <is>
          <t>是</t>
        </is>
      </c>
      <c r="M16" t="inlineStr">
        <is>
          <t>35.02</t>
        </is>
      </c>
      <c r="N16" t="inlineStr">
        <is>
          <t>AVG</t>
        </is>
      </c>
    </row>
    <row r="17">
      <c r="A17" s="1" t="inlineStr">
        <is>
          <t>二级</t>
        </is>
      </c>
      <c r="B17" s="1" t="inlineStr">
        <is>
          <t>资产日均</t>
        </is>
      </c>
      <c r="C17" s="1" t="inlineStr">
        <is>
          <t>AA.35.03</t>
        </is>
      </c>
      <c r="D17" s="1" t="inlineStr">
        <is>
          <t xml:space="preserve">  其他资产</t>
        </is>
      </c>
      <c r="K17" t="inlineStr">
        <is>
          <t>是</t>
        </is>
      </c>
      <c r="M17" t="inlineStr">
        <is>
          <t>35.03</t>
        </is>
      </c>
      <c r="N17" t="inlineStr">
        <is>
          <t>AVG</t>
        </is>
      </c>
    </row>
    <row r="18">
      <c r="A18" s="1" t="inlineStr">
        <is>
          <t>一级</t>
        </is>
      </c>
      <c r="B18" s="1" t="inlineStr">
        <is>
          <t>负债日均</t>
        </is>
      </c>
      <c r="C18" s="1" t="inlineStr">
        <is>
          <t>AA.36</t>
        </is>
      </c>
      <c r="D18" s="1" t="inlineStr">
        <is>
          <t>总负债</t>
        </is>
      </c>
      <c r="F18" t="inlineStr">
        <is>
          <t>AA.36.01+AA.36.02</t>
        </is>
      </c>
      <c r="K18" t="inlineStr">
        <is>
          <t>是</t>
        </is>
      </c>
      <c r="M18" t="inlineStr">
        <is>
          <t>36</t>
        </is>
      </c>
    </row>
    <row r="19">
      <c r="A19" s="1" t="inlineStr">
        <is>
          <t>二级</t>
        </is>
      </c>
      <c r="B19" s="1" t="inlineStr">
        <is>
          <t>负债日均</t>
        </is>
      </c>
      <c r="C19" s="1" t="inlineStr">
        <is>
          <t>AA.13.01</t>
        </is>
      </c>
      <c r="D19" s="1" t="inlineStr">
        <is>
          <t xml:space="preserve">  各项存款</t>
        </is>
      </c>
      <c r="K19" t="inlineStr">
        <is>
          <t>是</t>
        </is>
      </c>
      <c r="M19" t="inlineStr">
        <is>
          <t>13.01</t>
        </is>
      </c>
      <c r="N19" t="inlineStr">
        <is>
          <t>AVG</t>
        </is>
      </c>
    </row>
    <row r="20">
      <c r="A20" s="1" t="inlineStr">
        <is>
          <t>二级</t>
        </is>
      </c>
      <c r="B20" s="1" t="inlineStr">
        <is>
          <t>负债日均</t>
        </is>
      </c>
      <c r="C20" s="1" t="inlineStr">
        <is>
          <t>AA.36.01</t>
        </is>
      </c>
      <c r="D20" s="1" t="inlineStr">
        <is>
          <t xml:space="preserve">  同业负债</t>
        </is>
      </c>
      <c r="K20" t="inlineStr">
        <is>
          <t>是</t>
        </is>
      </c>
      <c r="M20" t="inlineStr">
        <is>
          <t>36.01</t>
        </is>
      </c>
      <c r="N20" t="inlineStr">
        <is>
          <t>AVG</t>
        </is>
      </c>
    </row>
    <row r="21">
      <c r="A21" t="inlineStr">
        <is>
          <t>三级</t>
        </is>
      </c>
      <c r="C21" t="inlineStr">
        <is>
          <t>AA.27</t>
        </is>
      </c>
      <c r="D21" t="inlineStr">
        <is>
          <t>AA.27</t>
        </is>
      </c>
    </row>
    <row r="22">
      <c r="A22" s="1" t="inlineStr">
        <is>
          <t>三级</t>
        </is>
      </c>
      <c r="B22" s="1" t="inlineStr">
        <is>
          <t>负债日均</t>
        </is>
      </c>
      <c r="C22" s="1" t="inlineStr">
        <is>
          <t>AA.27.01</t>
        </is>
      </c>
      <c r="D22" s="1" t="inlineStr">
        <is>
          <t xml:space="preserve">    向央行借款</t>
        </is>
      </c>
      <c r="K22" t="inlineStr">
        <is>
          <t>是</t>
        </is>
      </c>
      <c r="M22" t="inlineStr">
        <is>
          <t>27.01</t>
        </is>
      </c>
      <c r="N22" t="inlineStr">
        <is>
          <t>AVG</t>
        </is>
      </c>
    </row>
    <row r="23">
      <c r="A23" s="1" t="inlineStr">
        <is>
          <t>三级</t>
        </is>
      </c>
      <c r="B23" s="1" t="inlineStr">
        <is>
          <t>负债日均</t>
        </is>
      </c>
      <c r="C23" s="1" t="inlineStr">
        <is>
          <t>AA.27.02</t>
        </is>
      </c>
      <c r="D23" s="1" t="inlineStr">
        <is>
          <t xml:space="preserve">    同业存放</t>
        </is>
      </c>
      <c r="K23" t="inlineStr">
        <is>
          <t>是</t>
        </is>
      </c>
      <c r="M23" t="inlineStr">
        <is>
          <t>27.02</t>
        </is>
      </c>
      <c r="N23" t="inlineStr">
        <is>
          <t>AVG</t>
        </is>
      </c>
    </row>
    <row r="24">
      <c r="A24" s="1" t="inlineStr">
        <is>
          <t>三级</t>
        </is>
      </c>
      <c r="B24" s="1" t="inlineStr">
        <is>
          <t>负债日均</t>
        </is>
      </c>
      <c r="C24" s="1" t="inlineStr">
        <is>
          <t>AA.27.03</t>
        </is>
      </c>
      <c r="D24" s="1" t="inlineStr">
        <is>
          <t xml:space="preserve">    同业拆入</t>
        </is>
      </c>
      <c r="K24" t="inlineStr">
        <is>
          <t>是</t>
        </is>
      </c>
      <c r="M24" t="inlineStr">
        <is>
          <t>27.03</t>
        </is>
      </c>
      <c r="N24" t="inlineStr">
        <is>
          <t>AVG</t>
        </is>
      </c>
    </row>
    <row r="25">
      <c r="A25" s="1" t="inlineStr">
        <is>
          <t>三级</t>
        </is>
      </c>
      <c r="B25" s="1" t="inlineStr">
        <is>
          <t>负债日均</t>
        </is>
      </c>
      <c r="C25" s="1" t="inlineStr">
        <is>
          <t>AA.27.04</t>
        </is>
      </c>
      <c r="D25" s="1" t="inlineStr">
        <is>
          <t xml:space="preserve">    转贷款</t>
        </is>
      </c>
      <c r="K25" t="inlineStr">
        <is>
          <t>是</t>
        </is>
      </c>
      <c r="M25" t="inlineStr">
        <is>
          <t>27.04</t>
        </is>
      </c>
      <c r="N25" t="inlineStr">
        <is>
          <t>AVG</t>
        </is>
      </c>
    </row>
    <row r="26">
      <c r="A26" s="1" t="inlineStr">
        <is>
          <t>三级</t>
        </is>
      </c>
      <c r="B26" s="1" t="inlineStr">
        <is>
          <t>负债日均</t>
        </is>
      </c>
      <c r="C26" s="1" t="inlineStr">
        <is>
          <t>AA.27.05</t>
        </is>
      </c>
      <c r="D26" s="1" t="inlineStr">
        <is>
          <t xml:space="preserve">    卖出回购</t>
        </is>
      </c>
      <c r="K26" t="inlineStr">
        <is>
          <t>是</t>
        </is>
      </c>
      <c r="M26" t="inlineStr">
        <is>
          <t>27.05</t>
        </is>
      </c>
      <c r="N26" t="inlineStr">
        <is>
          <t>AVG</t>
        </is>
      </c>
    </row>
    <row r="27">
      <c r="A27" s="1" t="inlineStr">
        <is>
          <t>三级</t>
        </is>
      </c>
      <c r="B27" s="1" t="inlineStr">
        <is>
          <t>负债日均</t>
        </is>
      </c>
      <c r="C27" s="1" t="inlineStr">
        <is>
          <t>AA.27.06</t>
        </is>
      </c>
      <c r="D27" s="1" t="inlineStr">
        <is>
          <t xml:space="preserve">    发行同业存单</t>
        </is>
      </c>
      <c r="K27" t="inlineStr">
        <is>
          <t>是</t>
        </is>
      </c>
      <c r="M27" t="inlineStr">
        <is>
          <t>27.06</t>
        </is>
      </c>
      <c r="N27" t="inlineStr">
        <is>
          <t>AVG</t>
        </is>
      </c>
    </row>
    <row r="28">
      <c r="A28" s="1" t="inlineStr">
        <is>
          <t>二级</t>
        </is>
      </c>
      <c r="B28" s="1" t="inlineStr">
        <is>
          <t>负债日均</t>
        </is>
      </c>
      <c r="C28" s="1" t="inlineStr">
        <is>
          <t>AA.36.02</t>
        </is>
      </c>
      <c r="D28" s="1" t="inlineStr">
        <is>
          <t xml:space="preserve">  其他负债</t>
        </is>
      </c>
      <c r="K28" t="inlineStr">
        <is>
          <t>是</t>
        </is>
      </c>
      <c r="M28" t="inlineStr">
        <is>
          <t>36.02</t>
        </is>
      </c>
      <c r="N28" t="inlineStr">
        <is>
          <t>AVG</t>
        </is>
      </c>
    </row>
    <row r="29">
      <c r="A29" s="1" t="inlineStr">
        <is>
          <t>一级</t>
        </is>
      </c>
      <c r="B29" s="1" t="inlineStr">
        <is>
          <t>负债日均</t>
        </is>
      </c>
      <c r="C29" s="1" t="inlineStr">
        <is>
          <t>AA.37</t>
        </is>
      </c>
      <c r="D29" s="1" t="inlineStr">
        <is>
          <t>所有者权益</t>
        </is>
      </c>
      <c r="K29" t="inlineStr">
        <is>
          <t>是</t>
        </is>
      </c>
      <c r="M29" t="inlineStr">
        <is>
          <t>37</t>
        </is>
      </c>
      <c r="N29" t="inlineStr">
        <is>
          <t>AVG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I21" sqref="I21"/>
    </sheetView>
  </sheetViews>
  <sheetFormatPr baseColWidth="8" defaultColWidth="9" defaultRowHeight="16.8"/>
  <cols>
    <col width="16.6607142857143" customWidth="1" min="4" max="4"/>
  </cols>
  <sheetData>
    <row r="1" ht="15" customFormat="1" customHeight="1" s="1">
      <c r="A1" s="2" t="inlineStr">
        <is>
          <t>科目层级</t>
        </is>
      </c>
      <c r="B1" s="2" t="inlineStr">
        <is>
          <t>科目性质</t>
        </is>
      </c>
      <c r="C1" s="3" t="inlineStr">
        <is>
          <t>科目代码</t>
        </is>
      </c>
      <c r="D1" s="2" t="inlineStr">
        <is>
          <t>科目名称</t>
        </is>
      </c>
      <c r="E1" s="3" t="inlineStr">
        <is>
          <t>录入粒度</t>
        </is>
      </c>
      <c r="F1" s="3" t="inlineStr">
        <is>
          <t>年预算公式</t>
        </is>
      </c>
      <c r="G1" s="3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t="inlineStr">
        <is>
          <t>规则</t>
        </is>
      </c>
    </row>
    <row r="2">
      <c r="A2" s="7" t="inlineStr">
        <is>
          <t>一级</t>
        </is>
      </c>
      <c r="B2" s="7" t="inlineStr">
        <is>
          <t>其他</t>
        </is>
      </c>
      <c r="C2" s="7" t="inlineStr">
        <is>
          <t>AA.38</t>
        </is>
      </c>
      <c r="D2" s="7" t="inlineStr">
        <is>
          <t>风险成本率</t>
        </is>
      </c>
      <c r="F2" t="inlineStr">
        <is>
          <t>AA.38.01+AA.38.02+AA.38.03+AA.38.04+AA.38.05</t>
        </is>
      </c>
      <c r="K2" t="inlineStr">
        <is>
          <t>是</t>
        </is>
      </c>
      <c r="M2" t="inlineStr">
        <is>
          <t>38</t>
        </is>
      </c>
    </row>
    <row r="3">
      <c r="A3" s="7" t="inlineStr">
        <is>
          <t>二级</t>
        </is>
      </c>
      <c r="B3" s="7" t="inlineStr">
        <is>
          <t>其他</t>
        </is>
      </c>
      <c r="C3" s="7" t="inlineStr">
        <is>
          <t>AA.38.01</t>
        </is>
      </c>
      <c r="D3" s="7" t="inlineStr">
        <is>
          <t xml:space="preserve">  泛微粒贷</t>
        </is>
      </c>
      <c r="F3" t="inlineStr">
        <is>
          <t>AA.38.01.01+AA.38.01.02</t>
        </is>
      </c>
      <c r="K3" t="inlineStr">
        <is>
          <t>是</t>
        </is>
      </c>
      <c r="M3" t="inlineStr">
        <is>
          <t>38.01</t>
        </is>
      </c>
    </row>
    <row r="4">
      <c r="A4" s="1" t="inlineStr">
        <is>
          <t>三级</t>
        </is>
      </c>
      <c r="B4" s="1" t="inlineStr">
        <is>
          <t>其他</t>
        </is>
      </c>
      <c r="C4" s="1" t="inlineStr">
        <is>
          <t>AA.38.01.01</t>
        </is>
      </c>
      <c r="D4" s="1" t="inlineStr">
        <is>
          <t xml:space="preserve">    微粒贷</t>
        </is>
      </c>
      <c r="K4" t="inlineStr">
        <is>
          <t>是</t>
        </is>
      </c>
      <c r="M4" t="inlineStr">
        <is>
          <t>38.01.01</t>
        </is>
      </c>
      <c r="N4" t="inlineStr">
        <is>
          <t>WGT</t>
        </is>
      </c>
    </row>
    <row r="5">
      <c r="A5" s="1" t="inlineStr">
        <is>
          <t>三级</t>
        </is>
      </c>
      <c r="B5" s="1" t="inlineStr">
        <is>
          <t>其他</t>
        </is>
      </c>
      <c r="C5" s="1" t="inlineStr">
        <is>
          <t>AA.38.01.02</t>
        </is>
      </c>
      <c r="D5" s="1" t="inlineStr">
        <is>
          <t xml:space="preserve">    分付</t>
        </is>
      </c>
      <c r="K5" t="inlineStr">
        <is>
          <t>是</t>
        </is>
      </c>
      <c r="M5" t="inlineStr">
        <is>
          <t>38.01.02</t>
        </is>
      </c>
      <c r="N5" t="inlineStr">
        <is>
          <t>WGT</t>
        </is>
      </c>
    </row>
    <row r="6">
      <c r="A6" s="7" t="inlineStr">
        <is>
          <t>二级</t>
        </is>
      </c>
      <c r="B6" s="7" t="inlineStr">
        <is>
          <t>其他</t>
        </is>
      </c>
      <c r="C6" s="7" t="inlineStr">
        <is>
          <t>AA.38.02</t>
        </is>
      </c>
      <c r="D6" s="7" t="inlineStr">
        <is>
          <t xml:space="preserve">  汽车金融</t>
        </is>
      </c>
      <c r="K6" t="inlineStr">
        <is>
          <t>是</t>
        </is>
      </c>
      <c r="M6" t="inlineStr">
        <is>
          <t>38.02</t>
        </is>
      </c>
      <c r="N6" t="inlineStr">
        <is>
          <t>WGT</t>
        </is>
      </c>
    </row>
    <row r="7">
      <c r="A7" s="7" t="inlineStr">
        <is>
          <t>二级</t>
        </is>
      </c>
      <c r="B7" s="7" t="inlineStr">
        <is>
          <t>其他</t>
        </is>
      </c>
      <c r="C7" s="7" t="inlineStr">
        <is>
          <t>AA.38.03</t>
        </is>
      </c>
      <c r="D7" s="7" t="inlineStr">
        <is>
          <t xml:space="preserve">  财富</t>
        </is>
      </c>
      <c r="K7" t="inlineStr">
        <is>
          <t>是</t>
        </is>
      </c>
      <c r="M7" t="inlineStr">
        <is>
          <t>38.03</t>
        </is>
      </c>
      <c r="N7" t="inlineStr">
        <is>
          <t>WGT</t>
        </is>
      </c>
    </row>
    <row r="8">
      <c r="A8" s="7" t="inlineStr">
        <is>
          <t>二级</t>
        </is>
      </c>
      <c r="B8" s="7" t="inlineStr">
        <is>
          <t>其他</t>
        </is>
      </c>
      <c r="C8" s="7" t="inlineStr">
        <is>
          <t>AA.38.04</t>
        </is>
      </c>
      <c r="D8" s="7" t="inlineStr">
        <is>
          <t xml:space="preserve">  小鹅</t>
        </is>
      </c>
      <c r="K8" t="inlineStr">
        <is>
          <t>是</t>
        </is>
      </c>
      <c r="M8" t="inlineStr">
        <is>
          <t>38.04</t>
        </is>
      </c>
      <c r="N8" t="inlineStr">
        <is>
          <t>WGT</t>
        </is>
      </c>
    </row>
    <row r="9">
      <c r="A9" s="7" t="inlineStr">
        <is>
          <t>二级</t>
        </is>
      </c>
      <c r="B9" s="7" t="inlineStr">
        <is>
          <t>其他</t>
        </is>
      </c>
      <c r="C9" s="7" t="inlineStr">
        <is>
          <t>AA.38.05</t>
        </is>
      </c>
      <c r="D9" s="7" t="inlineStr">
        <is>
          <t xml:space="preserve">  企业金融</t>
        </is>
      </c>
      <c r="F9" t="inlineStr">
        <is>
          <t>AA.38.05.01</t>
        </is>
      </c>
      <c r="K9" t="inlineStr">
        <is>
          <t>是</t>
        </is>
      </c>
      <c r="M9" t="inlineStr">
        <is>
          <t>38.05</t>
        </is>
      </c>
    </row>
    <row r="10">
      <c r="A10" s="1" t="inlineStr">
        <is>
          <t>三级</t>
        </is>
      </c>
      <c r="B10" s="1" t="inlineStr">
        <is>
          <t>其他</t>
        </is>
      </c>
      <c r="C10" s="1" t="inlineStr">
        <is>
          <t>AA.38.05.01</t>
        </is>
      </c>
      <c r="D10" s="1" t="inlineStr">
        <is>
          <t xml:space="preserve">    一般贷款</t>
        </is>
      </c>
      <c r="K10" t="inlineStr">
        <is>
          <t>是</t>
        </is>
      </c>
      <c r="M10" t="inlineStr">
        <is>
          <t>38.05.01</t>
        </is>
      </c>
      <c r="N10" t="inlineStr">
        <is>
          <t>WGT</t>
        </is>
      </c>
    </row>
    <row r="11">
      <c r="A11" s="5" t="n"/>
      <c r="B11" s="5" t="n"/>
      <c r="C11" s="5" t="n"/>
      <c r="D11" s="5" t="n"/>
    </row>
    <row r="12">
      <c r="A12" s="7" t="inlineStr">
        <is>
          <t>一级</t>
        </is>
      </c>
      <c r="B12" s="7" t="inlineStr">
        <is>
          <t>支出</t>
        </is>
      </c>
      <c r="C12" s="7" t="inlineStr">
        <is>
          <t>AA.02</t>
        </is>
      </c>
      <c r="D12" s="7" t="inlineStr">
        <is>
          <t>风险成本</t>
        </is>
      </c>
      <c r="F12" t="inlineStr">
        <is>
          <t>AA.28.01+AA.28.02</t>
        </is>
      </c>
      <c r="K12" t="inlineStr">
        <is>
          <t>是</t>
        </is>
      </c>
      <c r="M12" t="inlineStr">
        <is>
          <t>02</t>
        </is>
      </c>
    </row>
    <row r="13">
      <c r="A13" s="5" t="n"/>
      <c r="B13" s="5" t="n"/>
      <c r="C13" s="5" t="n"/>
      <c r="D13" s="5" t="n"/>
    </row>
    <row r="14">
      <c r="A14" s="1" t="inlineStr">
        <is>
          <t>一级</t>
        </is>
      </c>
      <c r="B14" s="1" t="inlineStr">
        <is>
          <t>其他</t>
        </is>
      </c>
      <c r="C14" s="7" t="inlineStr">
        <is>
          <t>AA.39</t>
        </is>
      </c>
      <c r="D14" s="1" t="inlineStr">
        <is>
          <t>不良贷款率</t>
        </is>
      </c>
      <c r="F14" t="inlineStr">
        <is>
          <t>AA.39.01+AA.39.02+AA.39.03+AA.39.04+AA.39.05</t>
        </is>
      </c>
      <c r="K14" t="inlineStr">
        <is>
          <t>是</t>
        </is>
      </c>
      <c r="M14" t="inlineStr">
        <is>
          <t>39</t>
        </is>
      </c>
    </row>
    <row r="15">
      <c r="A15" s="7" t="inlineStr">
        <is>
          <t>二级</t>
        </is>
      </c>
      <c r="B15" s="7" t="inlineStr">
        <is>
          <t>其他</t>
        </is>
      </c>
      <c r="C15" s="7" t="inlineStr">
        <is>
          <t>AA.39.01</t>
        </is>
      </c>
      <c r="D15" s="7" t="inlineStr">
        <is>
          <t xml:space="preserve">  泛微粒贷</t>
        </is>
      </c>
      <c r="F15" t="inlineStr">
        <is>
          <t>AA.39.01.01+AA.39.01.02</t>
        </is>
      </c>
      <c r="K15" t="inlineStr">
        <is>
          <t>是</t>
        </is>
      </c>
      <c r="M15" t="inlineStr">
        <is>
          <t>39.01</t>
        </is>
      </c>
    </row>
    <row r="16">
      <c r="A16" s="1" t="inlineStr">
        <is>
          <t>三级</t>
        </is>
      </c>
      <c r="B16" s="1" t="inlineStr">
        <is>
          <t>其他</t>
        </is>
      </c>
      <c r="C16" s="1" t="inlineStr">
        <is>
          <t>AA.39.01.01</t>
        </is>
      </c>
      <c r="D16" s="1" t="inlineStr">
        <is>
          <t xml:space="preserve">    微粒贷</t>
        </is>
      </c>
      <c r="K16" t="inlineStr">
        <is>
          <t>是</t>
        </is>
      </c>
      <c r="M16" t="inlineStr">
        <is>
          <t>39.01.01</t>
        </is>
      </c>
      <c r="N16" t="inlineStr">
        <is>
          <t>WGT</t>
        </is>
      </c>
    </row>
    <row r="17">
      <c r="A17" s="1" t="inlineStr">
        <is>
          <t>三级</t>
        </is>
      </c>
      <c r="B17" s="1" t="inlineStr">
        <is>
          <t>其他</t>
        </is>
      </c>
      <c r="C17" s="1" t="inlineStr">
        <is>
          <t>AA.39.01.02</t>
        </is>
      </c>
      <c r="D17" s="1" t="inlineStr">
        <is>
          <t xml:space="preserve">    分付</t>
        </is>
      </c>
      <c r="K17" t="inlineStr">
        <is>
          <t>是</t>
        </is>
      </c>
      <c r="M17" t="inlineStr">
        <is>
          <t>39.01.02</t>
        </is>
      </c>
      <c r="N17" t="inlineStr">
        <is>
          <t>WGT</t>
        </is>
      </c>
    </row>
    <row r="18">
      <c r="A18" s="7" t="inlineStr">
        <is>
          <t>二级</t>
        </is>
      </c>
      <c r="B18" s="7" t="inlineStr">
        <is>
          <t>其他</t>
        </is>
      </c>
      <c r="C18" s="7" t="inlineStr">
        <is>
          <t>AA.39.02</t>
        </is>
      </c>
      <c r="D18" s="7" t="inlineStr">
        <is>
          <t xml:space="preserve">  汽车金融</t>
        </is>
      </c>
      <c r="K18" t="inlineStr">
        <is>
          <t>是</t>
        </is>
      </c>
      <c r="M18" t="inlineStr">
        <is>
          <t>39.02</t>
        </is>
      </c>
      <c r="N18" t="inlineStr">
        <is>
          <t>WGT</t>
        </is>
      </c>
    </row>
    <row r="19">
      <c r="A19" s="7" t="inlineStr">
        <is>
          <t>二级</t>
        </is>
      </c>
      <c r="B19" s="7" t="inlineStr">
        <is>
          <t>其他</t>
        </is>
      </c>
      <c r="C19" s="7" t="inlineStr">
        <is>
          <t>AA.39.03</t>
        </is>
      </c>
      <c r="D19" s="7" t="inlineStr">
        <is>
          <t xml:space="preserve">  财富</t>
        </is>
      </c>
      <c r="K19" t="inlineStr">
        <is>
          <t>是</t>
        </is>
      </c>
      <c r="M19" t="inlineStr">
        <is>
          <t>39.03</t>
        </is>
      </c>
      <c r="N19" t="inlineStr">
        <is>
          <t>WGT</t>
        </is>
      </c>
    </row>
    <row r="20">
      <c r="A20" s="7" t="inlineStr">
        <is>
          <t>二级</t>
        </is>
      </c>
      <c r="B20" s="7" t="inlineStr">
        <is>
          <t>其他</t>
        </is>
      </c>
      <c r="C20" s="7" t="inlineStr">
        <is>
          <t>AA.39.04</t>
        </is>
      </c>
      <c r="D20" s="7" t="inlineStr">
        <is>
          <t xml:space="preserve">  小鹅</t>
        </is>
      </c>
      <c r="K20" t="inlineStr">
        <is>
          <t>是</t>
        </is>
      </c>
      <c r="M20" t="inlineStr">
        <is>
          <t>39.04</t>
        </is>
      </c>
      <c r="N20" t="inlineStr">
        <is>
          <t>WGT</t>
        </is>
      </c>
    </row>
    <row r="21">
      <c r="A21" s="7" t="inlineStr">
        <is>
          <t>二级</t>
        </is>
      </c>
      <c r="B21" s="7" t="inlineStr">
        <is>
          <t>其他</t>
        </is>
      </c>
      <c r="C21" s="7" t="inlineStr">
        <is>
          <t>AA.39.05</t>
        </is>
      </c>
      <c r="D21" s="7" t="inlineStr">
        <is>
          <t xml:space="preserve">  企业金融</t>
        </is>
      </c>
      <c r="F21" t="inlineStr">
        <is>
          <t>AA.39.05.01</t>
        </is>
      </c>
      <c r="K21" t="inlineStr">
        <is>
          <t>是</t>
        </is>
      </c>
      <c r="M21" t="inlineStr">
        <is>
          <t>39.05</t>
        </is>
      </c>
    </row>
    <row r="22">
      <c r="A22" s="1" t="inlineStr">
        <is>
          <t>三级</t>
        </is>
      </c>
      <c r="B22" s="1" t="inlineStr">
        <is>
          <t>其他</t>
        </is>
      </c>
      <c r="C22" s="1" t="inlineStr">
        <is>
          <t>AA.39.05.01</t>
        </is>
      </c>
      <c r="D22" s="1" t="inlineStr">
        <is>
          <t xml:space="preserve">    一般贷款</t>
        </is>
      </c>
      <c r="K22" t="inlineStr">
        <is>
          <t>是</t>
        </is>
      </c>
      <c r="M22" t="inlineStr">
        <is>
          <t>39.05.01</t>
        </is>
      </c>
      <c r="N22" t="inlineStr">
        <is>
          <t>WGT</t>
        </is>
      </c>
    </row>
    <row r="23">
      <c r="A23" s="5" t="n"/>
      <c r="B23" s="5" t="n"/>
      <c r="C23" s="5" t="n"/>
      <c r="D23" s="5" t="n"/>
    </row>
    <row r="24">
      <c r="A24" s="7" t="inlineStr">
        <is>
          <t>一级</t>
        </is>
      </c>
      <c r="B24" s="7" t="inlineStr">
        <is>
          <t>资产余额</t>
        </is>
      </c>
      <c r="C24" s="7" t="inlineStr">
        <is>
          <t>AA.40</t>
        </is>
      </c>
      <c r="D24" s="7" t="inlineStr">
        <is>
          <t>不良贷款余额</t>
        </is>
      </c>
      <c r="F24" t="inlineStr">
        <is>
          <t>AA.40.01+AA.40.02+AA.40.03+AA.40.04+AA.40.05</t>
        </is>
      </c>
      <c r="K24" t="inlineStr">
        <is>
          <t>是</t>
        </is>
      </c>
      <c r="M24" t="inlineStr">
        <is>
          <t>40</t>
        </is>
      </c>
    </row>
    <row r="25">
      <c r="A25" s="7" t="inlineStr">
        <is>
          <t>二级</t>
        </is>
      </c>
      <c r="B25" s="7" t="inlineStr">
        <is>
          <t>资产余额</t>
        </is>
      </c>
      <c r="C25" s="7" t="inlineStr">
        <is>
          <t>AA.40.01</t>
        </is>
      </c>
      <c r="D25" s="7" t="inlineStr">
        <is>
          <t xml:space="preserve">  泛微粒贷</t>
        </is>
      </c>
      <c r="F25" t="inlineStr">
        <is>
          <t>AA.40.01.01+AA.40.01.02</t>
        </is>
      </c>
      <c r="K25" t="inlineStr">
        <is>
          <t>是</t>
        </is>
      </c>
      <c r="M25" t="inlineStr">
        <is>
          <t>40.01</t>
        </is>
      </c>
    </row>
    <row r="26">
      <c r="A26" s="1" t="inlineStr">
        <is>
          <t>三级</t>
        </is>
      </c>
      <c r="B26" s="1" t="inlineStr">
        <is>
          <t>资产余额</t>
        </is>
      </c>
      <c r="C26" s="1" t="inlineStr">
        <is>
          <t>AA.40.01.01</t>
        </is>
      </c>
      <c r="D26" s="1" t="inlineStr">
        <is>
          <t xml:space="preserve">    微粒贷</t>
        </is>
      </c>
      <c r="K26" t="inlineStr">
        <is>
          <t>是</t>
        </is>
      </c>
      <c r="M26" t="inlineStr">
        <is>
          <t>40.01.01</t>
        </is>
      </c>
      <c r="N26" t="inlineStr">
        <is>
          <t>LAST</t>
        </is>
      </c>
    </row>
    <row r="27">
      <c r="A27" s="1" t="inlineStr">
        <is>
          <t>三级</t>
        </is>
      </c>
      <c r="B27" s="1" t="inlineStr">
        <is>
          <t>资产余额</t>
        </is>
      </c>
      <c r="C27" s="1" t="inlineStr">
        <is>
          <t>AA.40.01.02</t>
        </is>
      </c>
      <c r="D27" s="1" t="inlineStr">
        <is>
          <t xml:space="preserve">    分付</t>
        </is>
      </c>
      <c r="K27" t="inlineStr">
        <is>
          <t>是</t>
        </is>
      </c>
      <c r="M27" t="inlineStr">
        <is>
          <t>40.01.02</t>
        </is>
      </c>
      <c r="N27" t="inlineStr">
        <is>
          <t>LAST</t>
        </is>
      </c>
    </row>
    <row r="28">
      <c r="A28" s="7" t="inlineStr">
        <is>
          <t>二级</t>
        </is>
      </c>
      <c r="B28" s="7" t="inlineStr">
        <is>
          <t>资产余额</t>
        </is>
      </c>
      <c r="C28" s="7" t="inlineStr">
        <is>
          <t>AA.40.02</t>
        </is>
      </c>
      <c r="D28" s="7" t="inlineStr">
        <is>
          <t xml:space="preserve">  汽车金融</t>
        </is>
      </c>
      <c r="K28" t="inlineStr">
        <is>
          <t>是</t>
        </is>
      </c>
      <c r="M28" t="inlineStr">
        <is>
          <t>40.02</t>
        </is>
      </c>
      <c r="N28" t="inlineStr">
        <is>
          <t>LAST</t>
        </is>
      </c>
    </row>
    <row r="29">
      <c r="A29" s="7" t="inlineStr">
        <is>
          <t>二级</t>
        </is>
      </c>
      <c r="B29" s="7" t="inlineStr">
        <is>
          <t>资产余额</t>
        </is>
      </c>
      <c r="C29" s="7" t="inlineStr">
        <is>
          <t>AA.40.03</t>
        </is>
      </c>
      <c r="D29" s="7" t="inlineStr">
        <is>
          <t xml:space="preserve">  财富</t>
        </is>
      </c>
      <c r="K29" t="inlineStr">
        <is>
          <t>是</t>
        </is>
      </c>
      <c r="M29" t="inlineStr">
        <is>
          <t>40.03</t>
        </is>
      </c>
      <c r="N29" t="inlineStr">
        <is>
          <t>LAST</t>
        </is>
      </c>
    </row>
    <row r="30">
      <c r="A30" s="7" t="inlineStr">
        <is>
          <t>二级</t>
        </is>
      </c>
      <c r="B30" s="7" t="inlineStr">
        <is>
          <t>资产余额</t>
        </is>
      </c>
      <c r="C30" s="7" t="inlineStr">
        <is>
          <t>AA.40.04</t>
        </is>
      </c>
      <c r="D30" s="7" t="inlineStr">
        <is>
          <t xml:space="preserve">  小鹅</t>
        </is>
      </c>
      <c r="K30" t="inlineStr">
        <is>
          <t>是</t>
        </is>
      </c>
      <c r="M30" t="inlineStr">
        <is>
          <t>40.04</t>
        </is>
      </c>
      <c r="N30" t="inlineStr">
        <is>
          <t>LAST</t>
        </is>
      </c>
    </row>
    <row r="31">
      <c r="A31" s="7" t="inlineStr">
        <is>
          <t>二级</t>
        </is>
      </c>
      <c r="B31" s="7" t="inlineStr">
        <is>
          <t>资产余额</t>
        </is>
      </c>
      <c r="C31" s="7" t="inlineStr">
        <is>
          <t>AA.40.05</t>
        </is>
      </c>
      <c r="D31" s="7" t="inlineStr">
        <is>
          <t xml:space="preserve">  企业金融</t>
        </is>
      </c>
      <c r="F31" t="inlineStr">
        <is>
          <t>AA.40.05.01</t>
        </is>
      </c>
      <c r="K31" t="inlineStr">
        <is>
          <t>是</t>
        </is>
      </c>
      <c r="M31" t="inlineStr">
        <is>
          <t>40.05</t>
        </is>
      </c>
    </row>
    <row r="32">
      <c r="A32" s="1" t="inlineStr">
        <is>
          <t>三级</t>
        </is>
      </c>
      <c r="B32" s="1" t="inlineStr">
        <is>
          <t>资产余额</t>
        </is>
      </c>
      <c r="C32" s="1" t="inlineStr">
        <is>
          <t>AA.40.05.01</t>
        </is>
      </c>
      <c r="D32" s="1" t="inlineStr">
        <is>
          <t xml:space="preserve">    一般贷款</t>
        </is>
      </c>
      <c r="K32" t="inlineStr">
        <is>
          <t>是</t>
        </is>
      </c>
      <c r="M32" t="inlineStr">
        <is>
          <t>40.05.01</t>
        </is>
      </c>
      <c r="N32" t="inlineStr">
        <is>
          <t>LAST</t>
        </is>
      </c>
    </row>
    <row r="33">
      <c r="A33" s="5" t="n"/>
      <c r="B33" s="5" t="n"/>
      <c r="C33" s="5" t="n"/>
      <c r="D33" s="5" t="n"/>
    </row>
    <row r="34">
      <c r="A34" s="7" t="inlineStr">
        <is>
          <t>一级</t>
        </is>
      </c>
      <c r="B34" s="7" t="inlineStr">
        <is>
          <t>资产余额</t>
        </is>
      </c>
      <c r="C34" s="7" t="inlineStr">
        <is>
          <t>AA.41</t>
        </is>
      </c>
      <c r="D34" s="7" t="inlineStr">
        <is>
          <t>不良贷款原值余额</t>
        </is>
      </c>
      <c r="F34" t="inlineStr">
        <is>
          <t>AA.41.01+AA.41.02+AA.41.03+AA.41.04+AA.41.05</t>
        </is>
      </c>
      <c r="K34" t="inlineStr">
        <is>
          <t>是</t>
        </is>
      </c>
      <c r="M34" t="inlineStr">
        <is>
          <t>41</t>
        </is>
      </c>
    </row>
    <row r="35">
      <c r="A35" s="7" t="inlineStr">
        <is>
          <t>二级</t>
        </is>
      </c>
      <c r="B35" s="7" t="inlineStr">
        <is>
          <t>资产余额</t>
        </is>
      </c>
      <c r="C35" s="7" t="inlineStr">
        <is>
          <t>AA.41.01</t>
        </is>
      </c>
      <c r="D35" s="7" t="inlineStr">
        <is>
          <t xml:space="preserve">  泛微粒贷</t>
        </is>
      </c>
      <c r="F35" t="inlineStr">
        <is>
          <t>AA.41.01.01+AA.41.01.02</t>
        </is>
      </c>
      <c r="K35" t="inlineStr">
        <is>
          <t>是</t>
        </is>
      </c>
      <c r="M35" t="inlineStr">
        <is>
          <t>41.01</t>
        </is>
      </c>
    </row>
    <row r="36">
      <c r="A36" s="1" t="inlineStr">
        <is>
          <t>三级</t>
        </is>
      </c>
      <c r="B36" s="1" t="inlineStr">
        <is>
          <t>资产余额</t>
        </is>
      </c>
      <c r="C36" s="1" t="inlineStr">
        <is>
          <t>AA.41.01.01</t>
        </is>
      </c>
      <c r="D36" s="1" t="inlineStr">
        <is>
          <t xml:space="preserve">    微粒贷</t>
        </is>
      </c>
      <c r="K36" t="inlineStr">
        <is>
          <t>是</t>
        </is>
      </c>
      <c r="M36" t="inlineStr">
        <is>
          <t>41.01.01</t>
        </is>
      </c>
      <c r="N36" t="inlineStr">
        <is>
          <t>LAST</t>
        </is>
      </c>
    </row>
    <row r="37">
      <c r="A37" s="1" t="inlineStr">
        <is>
          <t>三级</t>
        </is>
      </c>
      <c r="B37" s="1" t="inlineStr">
        <is>
          <t>资产余额</t>
        </is>
      </c>
      <c r="C37" s="1" t="inlineStr">
        <is>
          <t>AA.41.01.02</t>
        </is>
      </c>
      <c r="D37" s="1" t="inlineStr">
        <is>
          <t xml:space="preserve">    分付</t>
        </is>
      </c>
      <c r="K37" t="inlineStr">
        <is>
          <t>是</t>
        </is>
      </c>
      <c r="M37" t="inlineStr">
        <is>
          <t>41.01.02</t>
        </is>
      </c>
      <c r="N37" t="inlineStr">
        <is>
          <t>LAST</t>
        </is>
      </c>
    </row>
    <row r="38">
      <c r="A38" s="7" t="inlineStr">
        <is>
          <t>二级</t>
        </is>
      </c>
      <c r="B38" s="7" t="inlineStr">
        <is>
          <t>资产余额</t>
        </is>
      </c>
      <c r="C38" s="7" t="inlineStr">
        <is>
          <t>AA.41.02</t>
        </is>
      </c>
      <c r="D38" s="7" t="inlineStr">
        <is>
          <t xml:space="preserve">  汽车金融</t>
        </is>
      </c>
      <c r="K38" t="inlineStr">
        <is>
          <t>是</t>
        </is>
      </c>
      <c r="M38" t="inlineStr">
        <is>
          <t>41.02</t>
        </is>
      </c>
      <c r="N38" t="inlineStr">
        <is>
          <t>LAST</t>
        </is>
      </c>
    </row>
    <row r="39">
      <c r="A39" s="7" t="inlineStr">
        <is>
          <t>二级</t>
        </is>
      </c>
      <c r="B39" s="7" t="inlineStr">
        <is>
          <t>资产余额</t>
        </is>
      </c>
      <c r="C39" s="7" t="inlineStr">
        <is>
          <t>AA.41.03</t>
        </is>
      </c>
      <c r="D39" s="7" t="inlineStr">
        <is>
          <t xml:space="preserve">  财富</t>
        </is>
      </c>
      <c r="K39" t="inlineStr">
        <is>
          <t>是</t>
        </is>
      </c>
      <c r="M39" t="inlineStr">
        <is>
          <t>41.03</t>
        </is>
      </c>
      <c r="N39" t="inlineStr">
        <is>
          <t>LAST</t>
        </is>
      </c>
    </row>
    <row r="40">
      <c r="A40" s="7" t="inlineStr">
        <is>
          <t>二级</t>
        </is>
      </c>
      <c r="B40" s="7" t="inlineStr">
        <is>
          <t>资产余额</t>
        </is>
      </c>
      <c r="C40" s="7" t="inlineStr">
        <is>
          <t>AA.41.04</t>
        </is>
      </c>
      <c r="D40" s="7" t="inlineStr">
        <is>
          <t xml:space="preserve">  小鹅</t>
        </is>
      </c>
      <c r="K40" t="inlineStr">
        <is>
          <t>是</t>
        </is>
      </c>
      <c r="M40" t="inlineStr">
        <is>
          <t>41.04</t>
        </is>
      </c>
      <c r="N40" t="inlineStr">
        <is>
          <t>LAST</t>
        </is>
      </c>
    </row>
    <row r="41">
      <c r="A41" s="7" t="inlineStr">
        <is>
          <t>二级</t>
        </is>
      </c>
      <c r="B41" s="7" t="inlineStr">
        <is>
          <t>资产余额</t>
        </is>
      </c>
      <c r="C41" s="7" t="inlineStr">
        <is>
          <t>AA.41.05</t>
        </is>
      </c>
      <c r="D41" s="7" t="inlineStr">
        <is>
          <t xml:space="preserve">  企业金融</t>
        </is>
      </c>
      <c r="F41" t="inlineStr">
        <is>
          <t>AA.41.05.01</t>
        </is>
      </c>
      <c r="K41" t="inlineStr">
        <is>
          <t>是</t>
        </is>
      </c>
      <c r="M41" t="inlineStr">
        <is>
          <t>41.05</t>
        </is>
      </c>
    </row>
    <row r="42">
      <c r="A42" s="1" t="inlineStr">
        <is>
          <t>三级</t>
        </is>
      </c>
      <c r="B42" s="1" t="inlineStr">
        <is>
          <t>资产余额</t>
        </is>
      </c>
      <c r="C42" s="1" t="inlineStr">
        <is>
          <t>AA.41.05.01</t>
        </is>
      </c>
      <c r="D42" s="1" t="inlineStr">
        <is>
          <t xml:space="preserve">    一般贷款</t>
        </is>
      </c>
      <c r="K42" t="inlineStr">
        <is>
          <t>是</t>
        </is>
      </c>
      <c r="M42" t="inlineStr">
        <is>
          <t>41.05.01</t>
        </is>
      </c>
      <c r="N42" t="inlineStr">
        <is>
          <t>LAST</t>
        </is>
      </c>
    </row>
    <row r="43">
      <c r="A43" s="1" t="n"/>
      <c r="B43" s="1" t="n"/>
      <c r="C43" s="1" t="n"/>
      <c r="D43" s="1" t="n"/>
    </row>
    <row r="44">
      <c r="A44" s="7" t="inlineStr">
        <is>
          <t>一级</t>
        </is>
      </c>
      <c r="B44" s="7" t="inlineStr">
        <is>
          <t>资产余额</t>
        </is>
      </c>
      <c r="C44" s="7" t="inlineStr">
        <is>
          <t>AA.42</t>
        </is>
      </c>
      <c r="D44" s="7" t="inlineStr">
        <is>
          <t>年初不良贷款原值余额</t>
        </is>
      </c>
      <c r="F44" t="inlineStr">
        <is>
          <t>AA.42.01+AA.42.02+AA.42.03+AA.42.04+AA.42.05</t>
        </is>
      </c>
      <c r="K44" t="inlineStr">
        <is>
          <t>是</t>
        </is>
      </c>
      <c r="M44" t="inlineStr">
        <is>
          <t>42</t>
        </is>
      </c>
    </row>
    <row r="45">
      <c r="A45" s="7" t="inlineStr">
        <is>
          <t>二级</t>
        </is>
      </c>
      <c r="B45" s="7" t="inlineStr">
        <is>
          <t>资产余额</t>
        </is>
      </c>
      <c r="C45" s="7" t="inlineStr">
        <is>
          <t>AA.42.01</t>
        </is>
      </c>
      <c r="D45" s="7" t="inlineStr">
        <is>
          <t xml:space="preserve">  泛微粒贷</t>
        </is>
      </c>
      <c r="F45" t="inlineStr">
        <is>
          <t>AA.42.01.01+AA.42.01.02</t>
        </is>
      </c>
      <c r="K45" t="inlineStr">
        <is>
          <t>是</t>
        </is>
      </c>
      <c r="M45" t="inlineStr">
        <is>
          <t>42.01</t>
        </is>
      </c>
    </row>
    <row r="46">
      <c r="A46" s="1" t="inlineStr">
        <is>
          <t>三级</t>
        </is>
      </c>
      <c r="B46" s="1" t="inlineStr">
        <is>
          <t>资产余额</t>
        </is>
      </c>
      <c r="C46" s="1" t="inlineStr">
        <is>
          <t>AA.42.01.01</t>
        </is>
      </c>
      <c r="D46" s="1" t="inlineStr">
        <is>
          <t xml:space="preserve">    微粒贷</t>
        </is>
      </c>
      <c r="K46" t="inlineStr">
        <is>
          <t>是</t>
        </is>
      </c>
      <c r="M46" t="inlineStr">
        <is>
          <t>42.01.01</t>
        </is>
      </c>
      <c r="N46" t="inlineStr">
        <is>
          <t>LAST</t>
        </is>
      </c>
    </row>
    <row r="47">
      <c r="A47" s="1" t="inlineStr">
        <is>
          <t>三级</t>
        </is>
      </c>
      <c r="B47" s="1" t="inlineStr">
        <is>
          <t>资产余额</t>
        </is>
      </c>
      <c r="C47" s="1" t="inlineStr">
        <is>
          <t>AA.42.01.02</t>
        </is>
      </c>
      <c r="D47" s="1" t="inlineStr">
        <is>
          <t xml:space="preserve">    分付</t>
        </is>
      </c>
      <c r="K47" t="inlineStr">
        <is>
          <t>是</t>
        </is>
      </c>
      <c r="M47" t="inlineStr">
        <is>
          <t>42.01.02</t>
        </is>
      </c>
      <c r="N47" t="inlineStr">
        <is>
          <t>LAST</t>
        </is>
      </c>
    </row>
    <row r="48">
      <c r="A48" s="7" t="inlineStr">
        <is>
          <t>二级</t>
        </is>
      </c>
      <c r="B48" s="7" t="inlineStr">
        <is>
          <t>资产余额</t>
        </is>
      </c>
      <c r="C48" s="7" t="inlineStr">
        <is>
          <t>AA.42.02</t>
        </is>
      </c>
      <c r="D48" s="7" t="inlineStr">
        <is>
          <t xml:space="preserve">  汽车金融</t>
        </is>
      </c>
      <c r="K48" t="inlineStr">
        <is>
          <t>是</t>
        </is>
      </c>
      <c r="M48" t="inlineStr">
        <is>
          <t>42.02</t>
        </is>
      </c>
      <c r="N48" t="inlineStr">
        <is>
          <t>LAST</t>
        </is>
      </c>
    </row>
    <row r="49">
      <c r="A49" s="7" t="inlineStr">
        <is>
          <t>二级</t>
        </is>
      </c>
      <c r="B49" s="7" t="inlineStr">
        <is>
          <t>资产余额</t>
        </is>
      </c>
      <c r="C49" s="7" t="inlineStr">
        <is>
          <t>AA.42.03</t>
        </is>
      </c>
      <c r="D49" s="7" t="inlineStr">
        <is>
          <t xml:space="preserve">  财富</t>
        </is>
      </c>
      <c r="K49" t="inlineStr">
        <is>
          <t>是</t>
        </is>
      </c>
      <c r="M49" t="inlineStr">
        <is>
          <t>42.03</t>
        </is>
      </c>
      <c r="N49" t="inlineStr">
        <is>
          <t>LAST</t>
        </is>
      </c>
    </row>
    <row r="50">
      <c r="A50" s="7" t="inlineStr">
        <is>
          <t>二级</t>
        </is>
      </c>
      <c r="B50" s="7" t="inlineStr">
        <is>
          <t>资产余额</t>
        </is>
      </c>
      <c r="C50" s="7" t="inlineStr">
        <is>
          <t>AA.42.04</t>
        </is>
      </c>
      <c r="D50" s="7" t="inlineStr">
        <is>
          <t xml:space="preserve">  小鹅</t>
        </is>
      </c>
      <c r="K50" t="inlineStr">
        <is>
          <t>是</t>
        </is>
      </c>
      <c r="M50" t="inlineStr">
        <is>
          <t>42.04</t>
        </is>
      </c>
      <c r="N50" t="inlineStr">
        <is>
          <t>LAST</t>
        </is>
      </c>
    </row>
    <row r="51">
      <c r="A51" s="7" t="inlineStr">
        <is>
          <t>二级</t>
        </is>
      </c>
      <c r="B51" s="7" t="inlineStr">
        <is>
          <t>资产余额</t>
        </is>
      </c>
      <c r="C51" s="7" t="inlineStr">
        <is>
          <t>AA.42.05</t>
        </is>
      </c>
      <c r="D51" s="7" t="inlineStr">
        <is>
          <t xml:space="preserve">  企业金融</t>
        </is>
      </c>
      <c r="F51" t="inlineStr">
        <is>
          <t>AA.42.05.01</t>
        </is>
      </c>
      <c r="K51" t="inlineStr">
        <is>
          <t>是</t>
        </is>
      </c>
      <c r="M51" t="inlineStr">
        <is>
          <t>42.05</t>
        </is>
      </c>
    </row>
    <row r="52">
      <c r="A52" s="1" t="inlineStr">
        <is>
          <t>三级</t>
        </is>
      </c>
      <c r="B52" s="1" t="inlineStr">
        <is>
          <t>资产余额</t>
        </is>
      </c>
      <c r="C52" s="1" t="inlineStr">
        <is>
          <t>AA.42.05.01</t>
        </is>
      </c>
      <c r="D52" s="1" t="inlineStr">
        <is>
          <t xml:space="preserve">    一般贷款</t>
        </is>
      </c>
      <c r="K52" t="inlineStr">
        <is>
          <t>是</t>
        </is>
      </c>
      <c r="M52" t="inlineStr">
        <is>
          <t>42.05.01</t>
        </is>
      </c>
      <c r="N52" t="inlineStr">
        <is>
          <t>LAST</t>
        </is>
      </c>
    </row>
    <row r="53">
      <c r="A53" s="1" t="n"/>
      <c r="B53" s="1" t="n"/>
      <c r="C53" s="1" t="n"/>
      <c r="D53" s="1" t="n"/>
    </row>
    <row r="54">
      <c r="A54" s="7" t="inlineStr">
        <is>
          <t>一级</t>
        </is>
      </c>
      <c r="B54" s="7" t="inlineStr">
        <is>
          <t>支出</t>
        </is>
      </c>
      <c r="C54" s="7" t="inlineStr">
        <is>
          <t>AA.43</t>
        </is>
      </c>
      <c r="D54" s="7" t="inlineStr">
        <is>
          <t>核销净额</t>
        </is>
      </c>
      <c r="F54" t="inlineStr">
        <is>
          <t>AA.43.01+AA.43.02+AA.43.03+AA.43.04+AA.43.05</t>
        </is>
      </c>
      <c r="K54" t="inlineStr">
        <is>
          <t>是</t>
        </is>
      </c>
      <c r="M54" t="inlineStr">
        <is>
          <t>43</t>
        </is>
      </c>
    </row>
    <row r="55">
      <c r="A55" s="7" t="inlineStr">
        <is>
          <t>二级</t>
        </is>
      </c>
      <c r="B55" s="7" t="inlineStr">
        <is>
          <t>支出</t>
        </is>
      </c>
      <c r="C55" s="7" t="inlineStr">
        <is>
          <t>AA.43.01</t>
        </is>
      </c>
      <c r="D55" s="7" t="inlineStr">
        <is>
          <t xml:space="preserve">  泛微粒贷</t>
        </is>
      </c>
      <c r="F55" t="inlineStr">
        <is>
          <t>AA.43.01.01+AA.43.01.02</t>
        </is>
      </c>
      <c r="K55" t="inlineStr">
        <is>
          <t>是</t>
        </is>
      </c>
      <c r="M55" t="inlineStr">
        <is>
          <t>43.01</t>
        </is>
      </c>
    </row>
    <row r="56">
      <c r="A56" s="1" t="inlineStr">
        <is>
          <t>三级</t>
        </is>
      </c>
      <c r="B56" s="1" t="inlineStr">
        <is>
          <t>支出</t>
        </is>
      </c>
      <c r="C56" s="1" t="inlineStr">
        <is>
          <t>AA.43.01.01</t>
        </is>
      </c>
      <c r="D56" s="1" t="inlineStr">
        <is>
          <t xml:space="preserve">    微粒贷</t>
        </is>
      </c>
      <c r="K56" t="inlineStr">
        <is>
          <t>是</t>
        </is>
      </c>
      <c r="M56" t="inlineStr">
        <is>
          <t>43.01.01</t>
        </is>
      </c>
      <c r="N56" t="inlineStr">
        <is>
          <t>SUM</t>
        </is>
      </c>
    </row>
    <row r="57">
      <c r="A57" s="1" t="inlineStr">
        <is>
          <t>三级</t>
        </is>
      </c>
      <c r="B57" s="1" t="inlineStr">
        <is>
          <t>支出</t>
        </is>
      </c>
      <c r="C57" s="1" t="inlineStr">
        <is>
          <t>AA.43.01.02</t>
        </is>
      </c>
      <c r="D57" s="1" t="inlineStr">
        <is>
          <t xml:space="preserve">    分付</t>
        </is>
      </c>
      <c r="K57" t="inlineStr">
        <is>
          <t>是</t>
        </is>
      </c>
      <c r="M57" t="inlineStr">
        <is>
          <t>43.01.02</t>
        </is>
      </c>
      <c r="N57" t="inlineStr">
        <is>
          <t>SUM</t>
        </is>
      </c>
    </row>
    <row r="58">
      <c r="A58" s="7" t="inlineStr">
        <is>
          <t>二级</t>
        </is>
      </c>
      <c r="B58" s="7" t="inlineStr">
        <is>
          <t>支出</t>
        </is>
      </c>
      <c r="C58" s="7" t="inlineStr">
        <is>
          <t>AA.43.02</t>
        </is>
      </c>
      <c r="D58" s="7" t="inlineStr">
        <is>
          <t xml:space="preserve">  汽车金融</t>
        </is>
      </c>
      <c r="K58" t="inlineStr">
        <is>
          <t>是</t>
        </is>
      </c>
      <c r="M58" t="inlineStr">
        <is>
          <t>43.02</t>
        </is>
      </c>
      <c r="N58" t="inlineStr">
        <is>
          <t>SUM</t>
        </is>
      </c>
    </row>
    <row r="59">
      <c r="A59" s="7" t="inlineStr">
        <is>
          <t>二级</t>
        </is>
      </c>
      <c r="B59" s="7" t="inlineStr">
        <is>
          <t>支出</t>
        </is>
      </c>
      <c r="C59" s="7" t="inlineStr">
        <is>
          <t>AA.43.03</t>
        </is>
      </c>
      <c r="D59" s="7" t="inlineStr">
        <is>
          <t xml:space="preserve">  财富</t>
        </is>
      </c>
      <c r="K59" t="inlineStr">
        <is>
          <t>是</t>
        </is>
      </c>
      <c r="M59" t="inlineStr">
        <is>
          <t>43.03</t>
        </is>
      </c>
      <c r="N59" t="inlineStr">
        <is>
          <t>SUM</t>
        </is>
      </c>
    </row>
    <row r="60">
      <c r="A60" s="7" t="inlineStr">
        <is>
          <t>二级</t>
        </is>
      </c>
      <c r="B60" s="7" t="inlineStr">
        <is>
          <t>支出</t>
        </is>
      </c>
      <c r="C60" s="7" t="inlineStr">
        <is>
          <t>AA.43.04</t>
        </is>
      </c>
      <c r="D60" s="7" t="inlineStr">
        <is>
          <t xml:space="preserve">  小鹅</t>
        </is>
      </c>
      <c r="K60" t="inlineStr">
        <is>
          <t>是</t>
        </is>
      </c>
      <c r="M60" t="inlineStr">
        <is>
          <t>43.04</t>
        </is>
      </c>
      <c r="N60" t="inlineStr">
        <is>
          <t>SUM</t>
        </is>
      </c>
    </row>
    <row r="61">
      <c r="A61" s="7" t="inlineStr">
        <is>
          <t>二级</t>
        </is>
      </c>
      <c r="B61" s="7" t="inlineStr">
        <is>
          <t>支出</t>
        </is>
      </c>
      <c r="C61" s="7" t="inlineStr">
        <is>
          <t>AA.43.05</t>
        </is>
      </c>
      <c r="D61" s="7" t="inlineStr">
        <is>
          <t xml:space="preserve">  企业金融</t>
        </is>
      </c>
      <c r="F61" t="inlineStr">
        <is>
          <t>AA.43.05.01</t>
        </is>
      </c>
      <c r="K61" t="inlineStr">
        <is>
          <t>是</t>
        </is>
      </c>
      <c r="M61" t="inlineStr">
        <is>
          <t>43.05</t>
        </is>
      </c>
    </row>
    <row r="62">
      <c r="A62" s="1" t="inlineStr">
        <is>
          <t>三级</t>
        </is>
      </c>
      <c r="B62" s="1" t="inlineStr">
        <is>
          <t>支出</t>
        </is>
      </c>
      <c r="C62" s="1" t="inlineStr">
        <is>
          <t>AA.43.05.01</t>
        </is>
      </c>
      <c r="D62" s="1" t="inlineStr">
        <is>
          <t xml:space="preserve">    一般贷款</t>
        </is>
      </c>
      <c r="K62" t="inlineStr">
        <is>
          <t>是</t>
        </is>
      </c>
      <c r="M62" t="inlineStr">
        <is>
          <t>43.05.01</t>
        </is>
      </c>
      <c r="N62" t="inlineStr">
        <is>
          <t>SUM</t>
        </is>
      </c>
    </row>
    <row r="63">
      <c r="A63" s="1" t="n"/>
      <c r="B63" s="1" t="n"/>
      <c r="C63" s="1" t="n"/>
      <c r="D63" s="1" t="n"/>
    </row>
    <row r="64">
      <c r="A64" s="7" t="inlineStr">
        <is>
          <t>一级</t>
        </is>
      </c>
      <c r="B64" s="7" t="n"/>
      <c r="C64" s="7" t="inlineStr">
        <is>
          <t>AA.44</t>
        </is>
      </c>
      <c r="D64" s="7" t="inlineStr">
        <is>
          <t>代偿和转让</t>
        </is>
      </c>
      <c r="F64" t="inlineStr">
        <is>
          <t>AA.44.01+AA.44.02+AA.44.03+AA.44.04+AA.44.05</t>
        </is>
      </c>
      <c r="K64" t="inlineStr">
        <is>
          <t>是</t>
        </is>
      </c>
      <c r="M64" t="inlineStr">
        <is>
          <t>44</t>
        </is>
      </c>
    </row>
    <row r="65">
      <c r="A65" s="7" t="inlineStr">
        <is>
          <t>二级</t>
        </is>
      </c>
      <c r="B65" s="7" t="inlineStr">
        <is>
          <t>支出</t>
        </is>
      </c>
      <c r="C65" s="7" t="inlineStr">
        <is>
          <t>AA.44.01</t>
        </is>
      </c>
      <c r="D65" s="7" t="inlineStr">
        <is>
          <t>微粒贷保险代偿金额</t>
        </is>
      </c>
      <c r="F65" t="inlineStr">
        <is>
          <t>AA.44.01.01</t>
        </is>
      </c>
      <c r="K65" t="inlineStr">
        <is>
          <t>是</t>
        </is>
      </c>
      <c r="M65" t="inlineStr">
        <is>
          <t>44.01</t>
        </is>
      </c>
    </row>
    <row r="66">
      <c r="A66" s="1" t="inlineStr">
        <is>
          <t>三级</t>
        </is>
      </c>
      <c r="B66" s="1" t="inlineStr">
        <is>
          <t>支出</t>
        </is>
      </c>
      <c r="C66" s="1" t="inlineStr">
        <is>
          <t>AA.44.01.01</t>
        </is>
      </c>
      <c r="D66" s="1" t="inlineStr">
        <is>
          <t xml:space="preserve">  微粒贷保险代偿净额</t>
        </is>
      </c>
      <c r="K66" t="inlineStr">
        <is>
          <t>是</t>
        </is>
      </c>
      <c r="M66" t="inlineStr">
        <is>
          <t>44.01.01</t>
        </is>
      </c>
      <c r="N66" t="inlineStr">
        <is>
          <t>SUM</t>
        </is>
      </c>
    </row>
    <row r="67">
      <c r="A67" s="7" t="inlineStr">
        <is>
          <t>二级</t>
        </is>
      </c>
      <c r="B67" s="7" t="inlineStr">
        <is>
          <t>支出</t>
        </is>
      </c>
      <c r="C67" s="7" t="inlineStr">
        <is>
          <t>AA.44.02</t>
        </is>
      </c>
      <c r="D67" s="7" t="inlineStr">
        <is>
          <t>汽金代偿金代偿金额</t>
        </is>
      </c>
      <c r="K67" t="inlineStr">
        <is>
          <t>是</t>
        </is>
      </c>
      <c r="M67" t="inlineStr">
        <is>
          <t>44.02</t>
        </is>
      </c>
      <c r="N67" t="inlineStr">
        <is>
          <t>SUM</t>
        </is>
      </c>
    </row>
    <row r="68">
      <c r="A68" s="7" t="inlineStr">
        <is>
          <t>二级</t>
        </is>
      </c>
      <c r="B68" s="7" t="inlineStr">
        <is>
          <t>支出</t>
        </is>
      </c>
      <c r="C68" s="7" t="inlineStr">
        <is>
          <t>AA.44.03</t>
        </is>
      </c>
      <c r="D68" s="7" t="inlineStr">
        <is>
          <t>企金担保代偿金额</t>
        </is>
      </c>
      <c r="K68" t="inlineStr">
        <is>
          <t>是</t>
        </is>
      </c>
      <c r="M68" t="inlineStr">
        <is>
          <t>44.03</t>
        </is>
      </c>
      <c r="N68" t="inlineStr">
        <is>
          <t>SUM</t>
        </is>
      </c>
    </row>
    <row r="69">
      <c r="A69" s="7" t="inlineStr">
        <is>
          <t>二级</t>
        </is>
      </c>
      <c r="B69" s="7" t="inlineStr">
        <is>
          <t>支出</t>
        </is>
      </c>
      <c r="C69" s="7" t="inlineStr">
        <is>
          <t>AA.44.04</t>
        </is>
      </c>
      <c r="D69" s="7" t="inlineStr">
        <is>
          <t>企金保险代偿金额</t>
        </is>
      </c>
      <c r="K69" t="inlineStr">
        <is>
          <t>是</t>
        </is>
      </c>
      <c r="M69" t="inlineStr">
        <is>
          <t>44.04</t>
        </is>
      </c>
      <c r="N69" t="inlineStr">
        <is>
          <t>SUM</t>
        </is>
      </c>
    </row>
    <row r="70">
      <c r="A70" s="7" t="inlineStr">
        <is>
          <t>二级</t>
        </is>
      </c>
      <c r="B70" s="7" t="inlineStr">
        <is>
          <t>支出</t>
        </is>
      </c>
      <c r="C70" s="7" t="inlineStr">
        <is>
          <t>AA.44.05</t>
        </is>
      </c>
      <c r="D70" s="7" t="inlineStr">
        <is>
          <t>企金不良转让金额</t>
        </is>
      </c>
      <c r="F70" t="inlineStr">
        <is>
          <t>AA.44.05.01</t>
        </is>
      </c>
      <c r="K70" t="inlineStr">
        <is>
          <t>是</t>
        </is>
      </c>
      <c r="M70" t="inlineStr">
        <is>
          <t>44.05</t>
        </is>
      </c>
    </row>
    <row r="71">
      <c r="A71" s="1" t="inlineStr">
        <is>
          <t>三级</t>
        </is>
      </c>
      <c r="B71" s="1" t="inlineStr">
        <is>
          <t>支出</t>
        </is>
      </c>
      <c r="C71" s="1" t="inlineStr">
        <is>
          <t>AA.44.05.01</t>
        </is>
      </c>
      <c r="D71" s="1" t="inlineStr">
        <is>
          <t>企金不良转让净额</t>
        </is>
      </c>
      <c r="K71" t="inlineStr">
        <is>
          <t>是</t>
        </is>
      </c>
      <c r="M71" t="inlineStr">
        <is>
          <t>44.05.01</t>
        </is>
      </c>
      <c r="N71" t="inlineStr">
        <is>
          <t>SUM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xSplit="3" ySplit="1" topLeftCell="D27" activePane="bottomRight" state="frozen"/>
      <selection activeCell="A1" sqref="A1"/>
      <selection pane="topRight" activeCell="A1" sqref="A1"/>
      <selection pane="bottomLeft" activeCell="A1" sqref="A1"/>
      <selection pane="bottomRight" activeCell="J49" sqref="J49"/>
    </sheetView>
  </sheetViews>
  <sheetFormatPr baseColWidth="8" defaultColWidth="9" defaultRowHeight="15" customHeight="1"/>
  <cols>
    <col width="8.66071428571429" customWidth="1" style="5" min="1" max="2"/>
    <col width="9.080357142857141" customWidth="1" style="5" min="3" max="3"/>
    <col width="18.4107142857143" customWidth="1" style="5" min="4" max="4"/>
    <col width="8.66071428571429" customWidth="1" style="5" min="5" max="16384"/>
  </cols>
  <sheetData>
    <row r="1" customFormat="1" s="1">
      <c r="A1" s="2" t="inlineStr">
        <is>
          <t>科目层级</t>
        </is>
      </c>
      <c r="B1" s="2" t="inlineStr">
        <is>
          <t>科目性质</t>
        </is>
      </c>
      <c r="C1" s="3" t="inlineStr">
        <is>
          <t>科目代码</t>
        </is>
      </c>
      <c r="D1" s="2" t="inlineStr">
        <is>
          <t>科目名称</t>
        </is>
      </c>
      <c r="E1" s="3" t="inlineStr">
        <is>
          <t>录入粒度</t>
        </is>
      </c>
      <c r="F1" s="3" t="inlineStr">
        <is>
          <t>年预算公式</t>
        </is>
      </c>
      <c r="G1" s="3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t="inlineStr">
        <is>
          <t>规则</t>
        </is>
      </c>
    </row>
    <row r="2">
      <c r="A2" s="1" t="inlineStr">
        <is>
          <t>一级</t>
        </is>
      </c>
      <c r="B2" s="1" t="inlineStr">
        <is>
          <t>资产日均</t>
        </is>
      </c>
      <c r="C2" s="1" t="inlineStr">
        <is>
          <t>AA.50</t>
        </is>
      </c>
      <c r="D2" s="1" t="inlineStr">
        <is>
          <t>生息资产日均规模</t>
        </is>
      </c>
      <c r="F2" t="inlineStr">
        <is>
          <t>AA.50.01+AA.50.02+AA.50.03+AA.50.04</t>
        </is>
      </c>
      <c r="K2" t="inlineStr">
        <is>
          <t>是</t>
        </is>
      </c>
      <c r="M2" t="inlineStr">
        <is>
          <t>50</t>
        </is>
      </c>
    </row>
    <row r="3">
      <c r="A3" s="1" t="inlineStr">
        <is>
          <t>二级</t>
        </is>
      </c>
      <c r="B3" s="1" t="inlineStr">
        <is>
          <t>资产日均</t>
        </is>
      </c>
      <c r="C3" s="1" t="inlineStr">
        <is>
          <t>AA.11.01</t>
        </is>
      </c>
      <c r="D3" s="1" t="inlineStr">
        <is>
          <t xml:space="preserve">  各项贷款</t>
        </is>
      </c>
      <c r="F3" t="inlineStr">
        <is>
          <t>AA.11.01.01+AA.11.01.02</t>
        </is>
      </c>
      <c r="K3" t="inlineStr">
        <is>
          <t>是</t>
        </is>
      </c>
      <c r="M3" t="inlineStr">
        <is>
          <t>11.01</t>
        </is>
      </c>
    </row>
    <row r="4">
      <c r="A4" s="1" t="inlineStr">
        <is>
          <t>二级</t>
        </is>
      </c>
      <c r="B4" s="1" t="inlineStr">
        <is>
          <t>资产日均</t>
        </is>
      </c>
      <c r="C4" s="1" t="inlineStr">
        <is>
          <t>AA.23</t>
        </is>
      </c>
      <c r="D4" s="1" t="inlineStr">
        <is>
          <t xml:space="preserve">  存放央行</t>
        </is>
      </c>
      <c r="K4" t="inlineStr">
        <is>
          <t>是</t>
        </is>
      </c>
      <c r="M4" t="inlineStr">
        <is>
          <t>23</t>
        </is>
      </c>
      <c r="N4" t="inlineStr">
        <is>
          <t>AVG</t>
        </is>
      </c>
    </row>
    <row r="5">
      <c r="A5" s="1" t="inlineStr">
        <is>
          <t>二级</t>
        </is>
      </c>
      <c r="B5" s="1" t="inlineStr">
        <is>
          <t>资产日均</t>
        </is>
      </c>
      <c r="C5" s="1" t="inlineStr">
        <is>
          <t>AA.25.01</t>
        </is>
      </c>
      <c r="D5" s="1" t="inlineStr">
        <is>
          <t xml:space="preserve">  存放同业</t>
        </is>
      </c>
      <c r="K5" t="inlineStr">
        <is>
          <t>是</t>
        </is>
      </c>
      <c r="M5" t="inlineStr">
        <is>
          <t>25.01</t>
        </is>
      </c>
      <c r="N5" t="inlineStr">
        <is>
          <t>AVG</t>
        </is>
      </c>
    </row>
    <row r="6">
      <c r="A6" s="1" t="inlineStr">
        <is>
          <t>二级</t>
        </is>
      </c>
      <c r="B6" s="1" t="inlineStr">
        <is>
          <t>资产日均</t>
        </is>
      </c>
      <c r="C6" s="1" t="inlineStr">
        <is>
          <t>AA.25.02</t>
        </is>
      </c>
      <c r="D6" s="1" t="inlineStr">
        <is>
          <t xml:space="preserve">  拆放同业</t>
        </is>
      </c>
      <c r="K6" t="inlineStr">
        <is>
          <t>是</t>
        </is>
      </c>
      <c r="M6" t="inlineStr">
        <is>
          <t>25.02</t>
        </is>
      </c>
      <c r="N6" t="inlineStr">
        <is>
          <t>AVG</t>
        </is>
      </c>
    </row>
    <row r="7">
      <c r="A7" s="1" t="inlineStr">
        <is>
          <t>二级</t>
        </is>
      </c>
      <c r="B7" s="1" t="inlineStr">
        <is>
          <t>资产日均</t>
        </is>
      </c>
      <c r="C7" s="1" t="inlineStr">
        <is>
          <t>AA.25.03</t>
        </is>
      </c>
      <c r="D7" s="1" t="inlineStr">
        <is>
          <t xml:space="preserve">  买入返售</t>
        </is>
      </c>
      <c r="K7" t="inlineStr">
        <is>
          <t>是</t>
        </is>
      </c>
      <c r="M7" t="inlineStr">
        <is>
          <t>25.03</t>
        </is>
      </c>
      <c r="N7" t="inlineStr">
        <is>
          <t>AVG</t>
        </is>
      </c>
    </row>
    <row r="8">
      <c r="A8" s="1" t="inlineStr">
        <is>
          <t>二级</t>
        </is>
      </c>
      <c r="B8" s="1" t="inlineStr">
        <is>
          <t>资产日均</t>
        </is>
      </c>
      <c r="C8" s="1" t="inlineStr">
        <is>
          <t>AA.25.04</t>
        </is>
      </c>
      <c r="D8" s="1" t="inlineStr">
        <is>
          <t xml:space="preserve">  债券投资</t>
        </is>
      </c>
      <c r="K8" t="inlineStr">
        <is>
          <t>是</t>
        </is>
      </c>
      <c r="M8" t="inlineStr">
        <is>
          <t>25.04</t>
        </is>
      </c>
      <c r="N8" t="inlineStr">
        <is>
          <t>AVG</t>
        </is>
      </c>
    </row>
    <row r="9">
      <c r="A9" s="1" t="inlineStr">
        <is>
          <t>一级</t>
        </is>
      </c>
      <c r="B9" s="1" t="inlineStr">
        <is>
          <t>负债日均</t>
        </is>
      </c>
      <c r="C9" s="1" t="inlineStr">
        <is>
          <t>AA.51</t>
        </is>
      </c>
      <c r="D9" s="1" t="inlineStr">
        <is>
          <t>付息负债日均规模</t>
        </is>
      </c>
      <c r="K9" t="inlineStr">
        <is>
          <t>是</t>
        </is>
      </c>
      <c r="M9" t="inlineStr">
        <is>
          <t>51</t>
        </is>
      </c>
      <c r="N9" t="inlineStr">
        <is>
          <t>AVG</t>
        </is>
      </c>
    </row>
    <row r="10">
      <c r="A10" s="1" t="inlineStr">
        <is>
          <t>二级</t>
        </is>
      </c>
      <c r="B10" s="1" t="inlineStr">
        <is>
          <t>负债日均</t>
        </is>
      </c>
      <c r="C10" s="1" t="inlineStr">
        <is>
          <t>AA.13.01</t>
        </is>
      </c>
      <c r="D10" s="1" t="inlineStr">
        <is>
          <t xml:space="preserve">  各项存款</t>
        </is>
      </c>
      <c r="K10" t="inlineStr">
        <is>
          <t>是</t>
        </is>
      </c>
      <c r="M10" t="inlineStr">
        <is>
          <t>13.01</t>
        </is>
      </c>
      <c r="N10" t="inlineStr">
        <is>
          <t>AVG</t>
        </is>
      </c>
    </row>
    <row r="11">
      <c r="A11" s="1" t="inlineStr">
        <is>
          <t>二级</t>
        </is>
      </c>
      <c r="B11" s="1" t="inlineStr">
        <is>
          <t>负债日均</t>
        </is>
      </c>
      <c r="C11" s="1" t="inlineStr">
        <is>
          <t>AA.27.01</t>
        </is>
      </c>
      <c r="D11" s="1" t="inlineStr">
        <is>
          <t xml:space="preserve">  向央行借款</t>
        </is>
      </c>
      <c r="K11" t="inlineStr">
        <is>
          <t>是</t>
        </is>
      </c>
      <c r="M11" t="inlineStr">
        <is>
          <t>27.01</t>
        </is>
      </c>
      <c r="N11" t="inlineStr">
        <is>
          <t>AVG</t>
        </is>
      </c>
    </row>
    <row r="12">
      <c r="A12" s="1" t="inlineStr">
        <is>
          <t>二级</t>
        </is>
      </c>
      <c r="B12" s="1" t="inlineStr">
        <is>
          <t>负债日均</t>
        </is>
      </c>
      <c r="C12" s="1" t="inlineStr">
        <is>
          <t>AA.27.02</t>
        </is>
      </c>
      <c r="D12" s="1" t="inlineStr">
        <is>
          <t xml:space="preserve">  同业存放</t>
        </is>
      </c>
      <c r="K12" t="inlineStr">
        <is>
          <t>是</t>
        </is>
      </c>
      <c r="M12" t="inlineStr">
        <is>
          <t>27.02</t>
        </is>
      </c>
      <c r="N12" t="inlineStr">
        <is>
          <t>AVG</t>
        </is>
      </c>
    </row>
    <row r="13">
      <c r="A13" s="1" t="inlineStr">
        <is>
          <t>二级</t>
        </is>
      </c>
      <c r="B13" s="1" t="inlineStr">
        <is>
          <t>负债日均</t>
        </is>
      </c>
      <c r="C13" s="9" t="inlineStr">
        <is>
          <t>AA.27.03</t>
        </is>
      </c>
      <c r="D13" s="1" t="inlineStr">
        <is>
          <t xml:space="preserve">  同业拆入</t>
        </is>
      </c>
      <c r="K13" t="inlineStr">
        <is>
          <t>是</t>
        </is>
      </c>
      <c r="M13" t="inlineStr">
        <is>
          <t>27.03</t>
        </is>
      </c>
      <c r="N13" t="inlineStr">
        <is>
          <t>AVG</t>
        </is>
      </c>
    </row>
    <row r="14">
      <c r="A14" s="1" t="inlineStr">
        <is>
          <t>二级</t>
        </is>
      </c>
      <c r="B14" s="1" t="inlineStr">
        <is>
          <t>负债日均</t>
        </is>
      </c>
      <c r="C14" s="9" t="inlineStr">
        <is>
          <t>AA.27.04</t>
        </is>
      </c>
      <c r="D14" s="1" t="inlineStr">
        <is>
          <t xml:space="preserve">  转贷款</t>
        </is>
      </c>
      <c r="K14" t="inlineStr">
        <is>
          <t>是</t>
        </is>
      </c>
      <c r="M14" t="inlineStr">
        <is>
          <t>27.04</t>
        </is>
      </c>
      <c r="N14" t="inlineStr">
        <is>
          <t>AVG</t>
        </is>
      </c>
    </row>
    <row r="15">
      <c r="A15" s="1" t="inlineStr">
        <is>
          <t>二级</t>
        </is>
      </c>
      <c r="B15" s="1" t="inlineStr">
        <is>
          <t>负债日均</t>
        </is>
      </c>
      <c r="C15" s="9" t="inlineStr">
        <is>
          <t>AA.27.06</t>
        </is>
      </c>
      <c r="D15" s="1" t="inlineStr">
        <is>
          <t xml:space="preserve">  发行同业存单</t>
        </is>
      </c>
      <c r="K15" t="inlineStr">
        <is>
          <t>是</t>
        </is>
      </c>
      <c r="M15" t="inlineStr">
        <is>
          <t>27.06</t>
        </is>
      </c>
      <c r="N15" t="inlineStr">
        <is>
          <t>AVG</t>
        </is>
      </c>
    </row>
    <row r="16">
      <c r="A16" s="1" t="n"/>
      <c r="B16" s="1" t="n"/>
      <c r="C16" s="1" t="n"/>
      <c r="D16" s="1" t="n"/>
    </row>
    <row r="17">
      <c r="A17" s="1" t="inlineStr">
        <is>
          <t>一级</t>
        </is>
      </c>
      <c r="B17" s="1" t="inlineStr">
        <is>
          <t>收入</t>
        </is>
      </c>
      <c r="C17" s="9" t="inlineStr">
        <is>
          <t>AA.14</t>
        </is>
      </c>
      <c r="D17" s="1" t="inlineStr">
        <is>
          <t>生息资产利息收入</t>
        </is>
      </c>
      <c r="F17" t="inlineStr">
        <is>
          <t>AA.14.01+AA.14.02+AA.14.03</t>
        </is>
      </c>
      <c r="K17" t="inlineStr">
        <is>
          <t>是</t>
        </is>
      </c>
      <c r="M17" t="inlineStr">
        <is>
          <t>14</t>
        </is>
      </c>
    </row>
    <row r="18">
      <c r="A18" s="1" t="inlineStr">
        <is>
          <t>二级</t>
        </is>
      </c>
      <c r="B18" s="1" t="inlineStr">
        <is>
          <t>收入</t>
        </is>
      </c>
      <c r="C18" s="9" t="inlineStr">
        <is>
          <t>AA.14.01</t>
        </is>
      </c>
      <c r="D18" s="1" t="inlineStr">
        <is>
          <t xml:space="preserve">  各项贷款</t>
        </is>
      </c>
      <c r="K18" t="inlineStr">
        <is>
          <t>是</t>
        </is>
      </c>
      <c r="M18" t="inlineStr">
        <is>
          <t>14.01</t>
        </is>
      </c>
      <c r="N18" t="inlineStr">
        <is>
          <t>SUM</t>
        </is>
      </c>
    </row>
    <row r="19">
      <c r="A19" t="inlineStr">
        <is>
          <t>二级</t>
        </is>
      </c>
      <c r="C19" t="inlineStr">
        <is>
          <t>AA.14.02</t>
        </is>
      </c>
      <c r="D19" t="inlineStr">
        <is>
          <t>AA.14.02</t>
        </is>
      </c>
    </row>
    <row r="20">
      <c r="A20" s="1" t="inlineStr">
        <is>
          <t>二级</t>
        </is>
      </c>
      <c r="B20" s="1" t="inlineStr">
        <is>
          <t>收入</t>
        </is>
      </c>
      <c r="C20" s="9" t="inlineStr">
        <is>
          <t>AA.14.02.01</t>
        </is>
      </c>
      <c r="D20" s="1" t="inlineStr">
        <is>
          <t xml:space="preserve">  存放央行</t>
        </is>
      </c>
      <c r="K20" t="inlineStr">
        <is>
          <t>是</t>
        </is>
      </c>
      <c r="M20" t="inlineStr">
        <is>
          <t>14.02.01</t>
        </is>
      </c>
      <c r="N20" t="inlineStr">
        <is>
          <t>SUM</t>
        </is>
      </c>
    </row>
    <row r="21">
      <c r="A21" s="1" t="inlineStr">
        <is>
          <t>二级</t>
        </is>
      </c>
      <c r="B21" s="1" t="inlineStr">
        <is>
          <t>收入</t>
        </is>
      </c>
      <c r="C21" s="9" t="inlineStr">
        <is>
          <t>AA.14.02.02</t>
        </is>
      </c>
      <c r="D21" s="1" t="inlineStr">
        <is>
          <t xml:space="preserve">  存放同业</t>
        </is>
      </c>
      <c r="K21" t="inlineStr">
        <is>
          <t>是</t>
        </is>
      </c>
      <c r="M21" t="inlineStr">
        <is>
          <t>14.02.02</t>
        </is>
      </c>
      <c r="N21" t="inlineStr">
        <is>
          <t>SUM</t>
        </is>
      </c>
    </row>
    <row r="22">
      <c r="A22" s="1" t="inlineStr">
        <is>
          <t>二级</t>
        </is>
      </c>
      <c r="B22" s="1" t="inlineStr">
        <is>
          <t>收入</t>
        </is>
      </c>
      <c r="C22" s="9" t="inlineStr">
        <is>
          <t>AA.14.02.03</t>
        </is>
      </c>
      <c r="D22" s="1" t="inlineStr">
        <is>
          <t xml:space="preserve">  拆放同业</t>
        </is>
      </c>
      <c r="K22" t="inlineStr">
        <is>
          <t>是</t>
        </is>
      </c>
      <c r="M22" t="inlineStr">
        <is>
          <t>14.02.03</t>
        </is>
      </c>
      <c r="N22" t="inlineStr">
        <is>
          <t>SUM</t>
        </is>
      </c>
    </row>
    <row r="23">
      <c r="A23" s="1" t="inlineStr">
        <is>
          <t>二级</t>
        </is>
      </c>
      <c r="B23" s="1" t="inlineStr">
        <is>
          <t>收入</t>
        </is>
      </c>
      <c r="C23" s="9" t="inlineStr">
        <is>
          <t>AA.14.02.04</t>
        </is>
      </c>
      <c r="D23" s="1" t="inlineStr">
        <is>
          <t xml:space="preserve">  买入返售</t>
        </is>
      </c>
      <c r="K23" t="inlineStr">
        <is>
          <t>是</t>
        </is>
      </c>
      <c r="M23" t="inlineStr">
        <is>
          <t>14.02.04</t>
        </is>
      </c>
      <c r="N23" t="inlineStr">
        <is>
          <t>SUM</t>
        </is>
      </c>
    </row>
    <row r="24">
      <c r="A24" s="1" t="inlineStr">
        <is>
          <t>二级</t>
        </is>
      </c>
      <c r="B24" s="1" t="inlineStr">
        <is>
          <t>收入</t>
        </is>
      </c>
      <c r="C24" s="9" t="inlineStr">
        <is>
          <t>AA.14.03</t>
        </is>
      </c>
      <c r="D24" s="1" t="inlineStr">
        <is>
          <t xml:space="preserve">  债券投资</t>
        </is>
      </c>
      <c r="K24" t="inlineStr">
        <is>
          <t>是</t>
        </is>
      </c>
      <c r="M24" t="inlineStr">
        <is>
          <t>14.03</t>
        </is>
      </c>
      <c r="N24" t="inlineStr">
        <is>
          <t>SUM</t>
        </is>
      </c>
    </row>
    <row r="25">
      <c r="A25" s="1" t="inlineStr">
        <is>
          <t>二级</t>
        </is>
      </c>
      <c r="B25" s="1" t="inlineStr">
        <is>
          <t>收入</t>
        </is>
      </c>
      <c r="C25" s="9" t="inlineStr">
        <is>
          <t>AA.14.02.05</t>
        </is>
      </c>
      <c r="D25" s="1" t="inlineStr">
        <is>
          <t xml:space="preserve">  同业存单投资</t>
        </is>
      </c>
      <c r="K25" t="inlineStr">
        <is>
          <t>是</t>
        </is>
      </c>
      <c r="M25" t="inlineStr">
        <is>
          <t>14.02.05</t>
        </is>
      </c>
      <c r="N25" t="inlineStr">
        <is>
          <t>SUM</t>
        </is>
      </c>
    </row>
    <row r="26">
      <c r="A26" s="1" t="inlineStr">
        <is>
          <t>一级</t>
        </is>
      </c>
      <c r="B26" s="1" t="inlineStr">
        <is>
          <t>支出</t>
        </is>
      </c>
      <c r="C26" s="9" t="inlineStr">
        <is>
          <t>AA.16</t>
        </is>
      </c>
      <c r="D26" s="1" t="inlineStr">
        <is>
          <t>付息负债利息支出</t>
        </is>
      </c>
      <c r="F26" t="inlineStr">
        <is>
          <t>AA.16.01+AA.16.02</t>
        </is>
      </c>
      <c r="K26" t="inlineStr">
        <is>
          <t>是</t>
        </is>
      </c>
      <c r="M26" t="inlineStr">
        <is>
          <t>16</t>
        </is>
      </c>
    </row>
    <row r="27">
      <c r="A27" s="1" t="inlineStr">
        <is>
          <t>二级</t>
        </is>
      </c>
      <c r="B27" s="1" t="inlineStr">
        <is>
          <t>支出</t>
        </is>
      </c>
      <c r="C27" s="9" t="inlineStr">
        <is>
          <t>AA.16.01</t>
        </is>
      </c>
      <c r="D27" s="1" t="inlineStr">
        <is>
          <t xml:space="preserve">  各项存款</t>
        </is>
      </c>
      <c r="K27" t="inlineStr">
        <is>
          <t>是</t>
        </is>
      </c>
      <c r="M27" t="inlineStr">
        <is>
          <t>16.01</t>
        </is>
      </c>
      <c r="N27" t="inlineStr">
        <is>
          <t>SUM</t>
        </is>
      </c>
    </row>
    <row r="28">
      <c r="A28" t="inlineStr">
        <is>
          <t>二级</t>
        </is>
      </c>
      <c r="C28" t="inlineStr">
        <is>
          <t>AA.16.02</t>
        </is>
      </c>
      <c r="D28" t="inlineStr">
        <is>
          <t>AA.16.02</t>
        </is>
      </c>
    </row>
    <row r="29">
      <c r="A29" s="1" t="inlineStr">
        <is>
          <t>二级</t>
        </is>
      </c>
      <c r="B29" s="1" t="inlineStr">
        <is>
          <t>支出</t>
        </is>
      </c>
      <c r="C29" s="9" t="inlineStr">
        <is>
          <t>AA.16.02.01</t>
        </is>
      </c>
      <c r="D29" s="1" t="inlineStr">
        <is>
          <t xml:space="preserve">  向央行借款</t>
        </is>
      </c>
      <c r="K29" t="inlineStr">
        <is>
          <t>是</t>
        </is>
      </c>
      <c r="M29" t="inlineStr">
        <is>
          <t>16.02.01</t>
        </is>
      </c>
      <c r="N29" t="inlineStr">
        <is>
          <t>SUM</t>
        </is>
      </c>
    </row>
    <row r="30">
      <c r="A30" s="1" t="inlineStr">
        <is>
          <t>二级</t>
        </is>
      </c>
      <c r="B30" s="1" t="inlineStr">
        <is>
          <t>支出</t>
        </is>
      </c>
      <c r="C30" s="9" t="inlineStr">
        <is>
          <t>AA.16.02.02</t>
        </is>
      </c>
      <c r="D30" s="1" t="inlineStr">
        <is>
          <t xml:space="preserve">  同业存放</t>
        </is>
      </c>
      <c r="K30" t="inlineStr">
        <is>
          <t>是</t>
        </is>
      </c>
      <c r="M30" t="inlineStr">
        <is>
          <t>16.02.02</t>
        </is>
      </c>
      <c r="N30" t="inlineStr">
        <is>
          <t>SUM</t>
        </is>
      </c>
    </row>
    <row r="31">
      <c r="A31" s="1" t="inlineStr">
        <is>
          <t>二级</t>
        </is>
      </c>
      <c r="B31" s="1" t="inlineStr">
        <is>
          <t>支出</t>
        </is>
      </c>
      <c r="C31" s="9" t="inlineStr">
        <is>
          <t>AA.16.02.03</t>
        </is>
      </c>
      <c r="D31" s="1" t="inlineStr">
        <is>
          <t xml:space="preserve">  同业拆入</t>
        </is>
      </c>
      <c r="K31" t="inlineStr">
        <is>
          <t>是</t>
        </is>
      </c>
      <c r="M31" t="inlineStr">
        <is>
          <t>16.02.03</t>
        </is>
      </c>
      <c r="N31" t="inlineStr">
        <is>
          <t>SUM</t>
        </is>
      </c>
    </row>
    <row r="32">
      <c r="A32" s="1" t="inlineStr">
        <is>
          <t>二级</t>
        </is>
      </c>
      <c r="B32" s="1" t="inlineStr">
        <is>
          <t>支出</t>
        </is>
      </c>
      <c r="C32" s="9" t="inlineStr">
        <is>
          <t>AA.16.02.04</t>
        </is>
      </c>
      <c r="D32" s="1" t="inlineStr">
        <is>
          <t xml:space="preserve">  转贷款</t>
        </is>
      </c>
      <c r="K32" t="inlineStr">
        <is>
          <t>是</t>
        </is>
      </c>
      <c r="M32" t="inlineStr">
        <is>
          <t>16.02.04</t>
        </is>
      </c>
      <c r="N32" t="inlineStr">
        <is>
          <t>SUM</t>
        </is>
      </c>
    </row>
    <row r="33">
      <c r="A33" s="1" t="inlineStr">
        <is>
          <t>二级</t>
        </is>
      </c>
      <c r="B33" s="1" t="inlineStr">
        <is>
          <t>支出</t>
        </is>
      </c>
      <c r="C33" s="9" t="inlineStr">
        <is>
          <t>AA.16.02.05</t>
        </is>
      </c>
      <c r="D33" s="1" t="inlineStr">
        <is>
          <t xml:space="preserve">  卖出回购</t>
        </is>
      </c>
      <c r="K33" t="inlineStr">
        <is>
          <t>是</t>
        </is>
      </c>
      <c r="M33" t="inlineStr">
        <is>
          <t>16.02.05</t>
        </is>
      </c>
      <c r="N33" t="inlineStr">
        <is>
          <t>SUM</t>
        </is>
      </c>
    </row>
    <row r="34">
      <c r="A34" s="1" t="inlineStr">
        <is>
          <t>二级</t>
        </is>
      </c>
      <c r="B34" s="1" t="inlineStr">
        <is>
          <t>支出</t>
        </is>
      </c>
      <c r="C34" s="9" t="inlineStr">
        <is>
          <t>AA.16.02.06</t>
        </is>
      </c>
      <c r="D34" s="1" t="inlineStr">
        <is>
          <t xml:space="preserve">  发行同业存单</t>
        </is>
      </c>
      <c r="K34" t="inlineStr">
        <is>
          <t>是</t>
        </is>
      </c>
      <c r="M34" t="inlineStr">
        <is>
          <t>16.02.06</t>
        </is>
      </c>
      <c r="N34" t="inlineStr">
        <is>
          <t>SUM</t>
        </is>
      </c>
    </row>
    <row r="35">
      <c r="A35" s="1" t="n"/>
      <c r="B35" s="1" t="n"/>
      <c r="C35" s="1" t="n"/>
      <c r="D35" s="1" t="n"/>
    </row>
    <row r="36">
      <c r="A36" s="1" t="inlineStr">
        <is>
          <t>一级</t>
        </is>
      </c>
      <c r="B36" s="1" t="inlineStr">
        <is>
          <t>其他</t>
        </is>
      </c>
      <c r="C36" s="1" t="inlineStr">
        <is>
          <t>AA.52</t>
        </is>
      </c>
      <c r="D36" s="1" t="inlineStr">
        <is>
          <t>生息资产收息率</t>
        </is>
      </c>
      <c r="F36" t="inlineStr">
        <is>
          <t>AA.52.01+AA.52.02+AA.52.03+AA.52.04+AA.52.05+AA.52.06+AA.52.07</t>
        </is>
      </c>
      <c r="H36" s="5">
        <f>H19/H2</f>
        <v/>
      </c>
      <c r="I36" s="5">
        <f>I19/I2</f>
        <v/>
      </c>
      <c r="J36" s="5" t="inlineStr">
        <is>
          <t>率年化指标</t>
        </is>
      </c>
      <c r="K36" t="inlineStr">
        <is>
          <t>是</t>
        </is>
      </c>
      <c r="M36" t="inlineStr">
        <is>
          <t>52</t>
        </is>
      </c>
    </row>
    <row r="37">
      <c r="A37" s="1" t="inlineStr">
        <is>
          <t>二级</t>
        </is>
      </c>
      <c r="B37" s="1" t="inlineStr">
        <is>
          <t>其他</t>
        </is>
      </c>
      <c r="C37" s="5" t="inlineStr">
        <is>
          <t>AA.52.01</t>
        </is>
      </c>
      <c r="D37" s="1" t="inlineStr">
        <is>
          <t xml:space="preserve">  各项贷款</t>
        </is>
      </c>
      <c r="H37" s="5">
        <f>H20/H3</f>
        <v/>
      </c>
      <c r="I37" s="5">
        <f>I20/I3</f>
        <v/>
      </c>
      <c r="J37" s="5" t="inlineStr">
        <is>
          <t>率年化指标</t>
        </is>
      </c>
      <c r="K37" t="inlineStr">
        <is>
          <t>是</t>
        </is>
      </c>
      <c r="M37" t="inlineStr">
        <is>
          <t>52.01</t>
        </is>
      </c>
      <c r="N37" t="inlineStr">
        <is>
          <t>WGT</t>
        </is>
      </c>
    </row>
    <row r="38">
      <c r="A38" s="1" t="inlineStr">
        <is>
          <t>二级</t>
        </is>
      </c>
      <c r="B38" s="1" t="inlineStr">
        <is>
          <t>其他</t>
        </is>
      </c>
      <c r="C38" s="5" t="inlineStr">
        <is>
          <t>AA.52.02</t>
        </is>
      </c>
      <c r="D38" s="1" t="inlineStr">
        <is>
          <t xml:space="preserve">  存放央行</t>
        </is>
      </c>
      <c r="H38" s="5">
        <f>H21/H4</f>
        <v/>
      </c>
      <c r="I38" s="5">
        <f>I21/I4</f>
        <v/>
      </c>
      <c r="J38" s="5" t="inlineStr">
        <is>
          <t>率年化指标</t>
        </is>
      </c>
      <c r="K38" t="inlineStr">
        <is>
          <t>是</t>
        </is>
      </c>
      <c r="M38" t="inlineStr">
        <is>
          <t>52.02</t>
        </is>
      </c>
      <c r="N38" t="inlineStr">
        <is>
          <t>WGT</t>
        </is>
      </c>
    </row>
    <row r="39">
      <c r="A39" s="1" t="inlineStr">
        <is>
          <t>二级</t>
        </is>
      </c>
      <c r="B39" s="1" t="inlineStr">
        <is>
          <t>其他</t>
        </is>
      </c>
      <c r="C39" s="5" t="inlineStr">
        <is>
          <t>AA.52.03</t>
        </is>
      </c>
      <c r="D39" s="1" t="inlineStr">
        <is>
          <t xml:space="preserve">  存放同业</t>
        </is>
      </c>
      <c r="H39" s="5">
        <f>H22/H5</f>
        <v/>
      </c>
      <c r="I39" s="5">
        <f>I22/I5</f>
        <v/>
      </c>
      <c r="J39" s="5" t="inlineStr">
        <is>
          <t>率年化指标</t>
        </is>
      </c>
      <c r="K39" t="inlineStr">
        <is>
          <t>是</t>
        </is>
      </c>
      <c r="M39" t="inlineStr">
        <is>
          <t>52.03</t>
        </is>
      </c>
      <c r="N39" t="inlineStr">
        <is>
          <t>WGT</t>
        </is>
      </c>
    </row>
    <row r="40">
      <c r="A40" s="1" t="inlineStr">
        <is>
          <t>二级</t>
        </is>
      </c>
      <c r="B40" s="1" t="inlineStr">
        <is>
          <t>其他</t>
        </is>
      </c>
      <c r="C40" s="5" t="inlineStr">
        <is>
          <t>AA.52.04</t>
        </is>
      </c>
      <c r="D40" s="1" t="inlineStr">
        <is>
          <t xml:space="preserve">  拆放同业</t>
        </is>
      </c>
      <c r="H40" s="5">
        <f>H23/H6</f>
        <v/>
      </c>
      <c r="I40" s="5">
        <f>I23/I6</f>
        <v/>
      </c>
      <c r="J40" s="5" t="inlineStr">
        <is>
          <t>率年化指标</t>
        </is>
      </c>
      <c r="K40" t="inlineStr">
        <is>
          <t>是</t>
        </is>
      </c>
      <c r="M40" t="inlineStr">
        <is>
          <t>52.04</t>
        </is>
      </c>
      <c r="N40" t="inlineStr">
        <is>
          <t>WGT</t>
        </is>
      </c>
    </row>
    <row r="41">
      <c r="A41" s="1" t="inlineStr">
        <is>
          <t>二级</t>
        </is>
      </c>
      <c r="B41" s="1" t="inlineStr">
        <is>
          <t>其他</t>
        </is>
      </c>
      <c r="C41" s="5" t="inlineStr">
        <is>
          <t>AA.52.05</t>
        </is>
      </c>
      <c r="D41" s="1" t="inlineStr">
        <is>
          <t xml:space="preserve">  买入返售</t>
        </is>
      </c>
      <c r="H41" s="5">
        <f>H24/H7</f>
        <v/>
      </c>
      <c r="I41" s="5">
        <f>I24/I7</f>
        <v/>
      </c>
      <c r="J41" s="5" t="inlineStr">
        <is>
          <t>率年化指标</t>
        </is>
      </c>
      <c r="K41" t="inlineStr">
        <is>
          <t>是</t>
        </is>
      </c>
      <c r="M41" t="inlineStr">
        <is>
          <t>52.05</t>
        </is>
      </c>
      <c r="N41" t="inlineStr">
        <is>
          <t>WGT</t>
        </is>
      </c>
    </row>
    <row r="42">
      <c r="A42" s="1" t="inlineStr">
        <is>
          <t>二级</t>
        </is>
      </c>
      <c r="B42" s="1" t="inlineStr">
        <is>
          <t>其他</t>
        </is>
      </c>
      <c r="C42" s="5" t="inlineStr">
        <is>
          <t>AA.52.06</t>
        </is>
      </c>
      <c r="D42" s="1" t="inlineStr">
        <is>
          <t xml:space="preserve">  债券投资</t>
        </is>
      </c>
      <c r="H42" s="5">
        <f>H25/H8</f>
        <v/>
      </c>
      <c r="I42" s="5">
        <f>I25/I8</f>
        <v/>
      </c>
      <c r="J42" s="5" t="inlineStr">
        <is>
          <t>率年化指标</t>
        </is>
      </c>
      <c r="K42" t="inlineStr">
        <is>
          <t>是</t>
        </is>
      </c>
      <c r="M42" t="inlineStr">
        <is>
          <t>52.06</t>
        </is>
      </c>
      <c r="N42" t="inlineStr">
        <is>
          <t>WGT</t>
        </is>
      </c>
    </row>
    <row r="43">
      <c r="A43" s="1" t="inlineStr">
        <is>
          <t>二级</t>
        </is>
      </c>
      <c r="B43" s="1" t="inlineStr">
        <is>
          <t>其他</t>
        </is>
      </c>
      <c r="C43" s="5" t="inlineStr">
        <is>
          <t>AA.52.07</t>
        </is>
      </c>
      <c r="D43" s="1" t="inlineStr">
        <is>
          <t xml:space="preserve">  同业存单投资</t>
        </is>
      </c>
      <c r="H43" s="5">
        <f>H26/H9</f>
        <v/>
      </c>
      <c r="I43" s="5">
        <f>I26/I9</f>
        <v/>
      </c>
      <c r="J43" s="5" t="inlineStr">
        <is>
          <t>率年化指标</t>
        </is>
      </c>
      <c r="K43" t="inlineStr">
        <is>
          <t>是</t>
        </is>
      </c>
      <c r="M43" t="inlineStr">
        <is>
          <t>52.07</t>
        </is>
      </c>
      <c r="N43" t="inlineStr">
        <is>
          <t>WGT</t>
        </is>
      </c>
    </row>
    <row r="44">
      <c r="A44" s="1" t="inlineStr">
        <is>
          <t>一级</t>
        </is>
      </c>
      <c r="B44" s="1" t="inlineStr">
        <is>
          <t>其他</t>
        </is>
      </c>
      <c r="C44" s="1" t="inlineStr">
        <is>
          <t>AA.53</t>
        </is>
      </c>
      <c r="D44" s="1" t="inlineStr">
        <is>
          <t>付息负债付息率</t>
        </is>
      </c>
      <c r="F44" t="inlineStr">
        <is>
          <t>AA.53.01+AA.53.02+AA.53.03+AA.53.04+AA.53.05+AA.53.06+AA.53.07</t>
        </is>
      </c>
      <c r="H44" s="5">
        <f>H27/H10</f>
        <v/>
      </c>
      <c r="I44" s="5">
        <f>I27/I10</f>
        <v/>
      </c>
      <c r="J44" s="5" t="inlineStr">
        <is>
          <t>率年化指标</t>
        </is>
      </c>
      <c r="K44" t="inlineStr">
        <is>
          <t>是</t>
        </is>
      </c>
      <c r="M44" t="inlineStr">
        <is>
          <t>53</t>
        </is>
      </c>
    </row>
    <row r="45">
      <c r="A45" s="1" t="inlineStr">
        <is>
          <t>二级</t>
        </is>
      </c>
      <c r="B45" s="1" t="inlineStr">
        <is>
          <t>其他</t>
        </is>
      </c>
      <c r="C45" s="1" t="inlineStr">
        <is>
          <t>AA.53.01</t>
        </is>
      </c>
      <c r="D45" s="1" t="inlineStr">
        <is>
          <t xml:space="preserve">  各项存款</t>
        </is>
      </c>
      <c r="H45" s="5">
        <f>H28/H11</f>
        <v/>
      </c>
      <c r="I45" s="5">
        <f>I28/I11</f>
        <v/>
      </c>
      <c r="J45" s="5" t="inlineStr">
        <is>
          <t>率年化指标</t>
        </is>
      </c>
      <c r="K45" t="inlineStr">
        <is>
          <t>是</t>
        </is>
      </c>
      <c r="M45" t="inlineStr">
        <is>
          <t>53.01</t>
        </is>
      </c>
      <c r="N45" t="inlineStr">
        <is>
          <t>WGT</t>
        </is>
      </c>
    </row>
    <row r="46">
      <c r="A46" s="1" t="inlineStr">
        <is>
          <t>二级</t>
        </is>
      </c>
      <c r="B46" s="1" t="inlineStr">
        <is>
          <t>其他</t>
        </is>
      </c>
      <c r="C46" s="1" t="inlineStr">
        <is>
          <t>AA.53.02</t>
        </is>
      </c>
      <c r="D46" s="1" t="inlineStr">
        <is>
          <t xml:space="preserve">  向央行借款</t>
        </is>
      </c>
      <c r="H46" s="5">
        <f>H29/H12</f>
        <v/>
      </c>
      <c r="I46" s="5">
        <f>I29/I12</f>
        <v/>
      </c>
      <c r="J46" s="5" t="inlineStr">
        <is>
          <t>率年化指标</t>
        </is>
      </c>
      <c r="K46" t="inlineStr">
        <is>
          <t>是</t>
        </is>
      </c>
      <c r="M46" t="inlineStr">
        <is>
          <t>53.02</t>
        </is>
      </c>
      <c r="N46" t="inlineStr">
        <is>
          <t>WGT</t>
        </is>
      </c>
    </row>
    <row r="47">
      <c r="A47" s="1" t="inlineStr">
        <is>
          <t>二级</t>
        </is>
      </c>
      <c r="B47" s="1" t="inlineStr">
        <is>
          <t>其他</t>
        </is>
      </c>
      <c r="C47" s="1" t="inlineStr">
        <is>
          <t>AA.53.03</t>
        </is>
      </c>
      <c r="D47" s="1" t="inlineStr">
        <is>
          <t xml:space="preserve">  同业存放</t>
        </is>
      </c>
      <c r="H47" s="5">
        <f>H30/H13</f>
        <v/>
      </c>
      <c r="I47" s="5">
        <f>I30/I13</f>
        <v/>
      </c>
      <c r="J47" s="5" t="inlineStr">
        <is>
          <t>率年化指标</t>
        </is>
      </c>
      <c r="K47" t="inlineStr">
        <is>
          <t>是</t>
        </is>
      </c>
      <c r="M47" t="inlineStr">
        <is>
          <t>53.03</t>
        </is>
      </c>
      <c r="N47" t="inlineStr">
        <is>
          <t>WGT</t>
        </is>
      </c>
    </row>
    <row r="48">
      <c r="A48" s="1" t="inlineStr">
        <is>
          <t>二级</t>
        </is>
      </c>
      <c r="B48" s="1" t="inlineStr">
        <is>
          <t>其他</t>
        </is>
      </c>
      <c r="C48" s="1" t="inlineStr">
        <is>
          <t>AA.53.04</t>
        </is>
      </c>
      <c r="D48" s="1" t="inlineStr">
        <is>
          <t xml:space="preserve">  同业拆入</t>
        </is>
      </c>
      <c r="H48" s="5">
        <f>H31/H14</f>
        <v/>
      </c>
      <c r="I48" s="5">
        <f>I31/I14</f>
        <v/>
      </c>
      <c r="J48" s="5" t="inlineStr">
        <is>
          <t>率年化指标</t>
        </is>
      </c>
      <c r="K48" t="inlineStr">
        <is>
          <t>是</t>
        </is>
      </c>
      <c r="M48" t="inlineStr">
        <is>
          <t>53.04</t>
        </is>
      </c>
      <c r="N48" t="inlineStr">
        <is>
          <t>WGT</t>
        </is>
      </c>
    </row>
    <row r="49">
      <c r="A49" s="1" t="inlineStr">
        <is>
          <t>二级</t>
        </is>
      </c>
      <c r="B49" s="1" t="inlineStr">
        <is>
          <t>其他</t>
        </is>
      </c>
      <c r="C49" s="1" t="inlineStr">
        <is>
          <t>AA.53.05</t>
        </is>
      </c>
      <c r="D49" s="1" t="inlineStr">
        <is>
          <t xml:space="preserve">  转贷款</t>
        </is>
      </c>
      <c r="H49" s="5">
        <f>H32/H15</f>
        <v/>
      </c>
      <c r="I49" s="5">
        <f>I32/I15</f>
        <v/>
      </c>
      <c r="J49" s="5" t="inlineStr">
        <is>
          <t>率年化指标</t>
        </is>
      </c>
      <c r="K49" t="inlineStr">
        <is>
          <t>是</t>
        </is>
      </c>
      <c r="M49" t="inlineStr">
        <is>
          <t>53.05</t>
        </is>
      </c>
      <c r="N49" t="inlineStr">
        <is>
          <t>WGT</t>
        </is>
      </c>
    </row>
    <row r="50">
      <c r="A50" s="1" t="inlineStr">
        <is>
          <t>二级</t>
        </is>
      </c>
      <c r="B50" s="1" t="inlineStr">
        <is>
          <t>其他</t>
        </is>
      </c>
      <c r="C50" s="1" t="inlineStr">
        <is>
          <t>AA.53.06</t>
        </is>
      </c>
      <c r="D50" s="1" t="inlineStr">
        <is>
          <t xml:space="preserve">  卖出回购</t>
        </is>
      </c>
      <c r="H50" s="5">
        <f>H33/H16</f>
        <v/>
      </c>
      <c r="I50" s="5">
        <f>I33/I16</f>
        <v/>
      </c>
      <c r="J50" s="5" t="inlineStr">
        <is>
          <t>率年化指标</t>
        </is>
      </c>
      <c r="K50" t="inlineStr">
        <is>
          <t>是</t>
        </is>
      </c>
      <c r="M50" t="inlineStr">
        <is>
          <t>53.06</t>
        </is>
      </c>
      <c r="N50" t="inlineStr">
        <is>
          <t>WGT</t>
        </is>
      </c>
    </row>
    <row r="51">
      <c r="A51" s="1" t="inlineStr">
        <is>
          <t>二级</t>
        </is>
      </c>
      <c r="B51" s="1" t="inlineStr">
        <is>
          <t>其他</t>
        </is>
      </c>
      <c r="C51" s="1" t="inlineStr">
        <is>
          <t>AA.53.07</t>
        </is>
      </c>
      <c r="D51" s="1" t="inlineStr">
        <is>
          <t xml:space="preserve">  发行同业存单</t>
        </is>
      </c>
      <c r="H51" s="5">
        <f>H34/H17</f>
        <v/>
      </c>
      <c r="I51" s="5">
        <f>I34/I17</f>
        <v/>
      </c>
      <c r="J51" s="5" t="inlineStr">
        <is>
          <t>率年化指标</t>
        </is>
      </c>
      <c r="K51" t="inlineStr">
        <is>
          <t>是</t>
        </is>
      </c>
      <c r="M51" t="inlineStr">
        <is>
          <t>53.07</t>
        </is>
      </c>
      <c r="N51" t="inlineStr">
        <is>
          <t>WGT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13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E31" sqref="E31"/>
    </sheetView>
  </sheetViews>
  <sheetFormatPr baseColWidth="8" defaultColWidth="9" defaultRowHeight="15" customHeight="1"/>
  <cols>
    <col width="10.8303571428571" customWidth="1" min="3" max="3"/>
    <col width="17.5" customWidth="1" min="4" max="4"/>
  </cols>
  <sheetData>
    <row r="1" ht="16.8" customFormat="1" customHeight="1" s="1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" t="inlineStr">
        <is>
          <t>录入粒度</t>
        </is>
      </c>
      <c r="F1" t="inlineStr">
        <is>
          <t>年预算公式</t>
        </is>
      </c>
      <c r="G1" t="inlineStr">
        <is>
          <t>年预测公式</t>
        </is>
      </c>
      <c r="H1" t="inlineStr">
        <is>
          <t>实际月公式</t>
        </is>
      </c>
      <c r="I1" t="inlineStr">
        <is>
          <t>预测月公式</t>
        </is>
      </c>
      <c r="J1" t="inlineStr">
        <is>
          <t>公式说明</t>
        </is>
      </c>
      <c r="K1" t="inlineStr">
        <is>
          <t>横向汇总</t>
        </is>
      </c>
      <c r="L1" t="inlineStr">
        <is>
          <t>纵向汇总</t>
        </is>
      </c>
      <c r="M1" t="inlineStr">
        <is>
          <t>逻辑码</t>
        </is>
      </c>
      <c r="N1" t="inlineStr">
        <is>
          <t>规则</t>
        </is>
      </c>
    </row>
    <row r="2" ht="16.8" customHeight="1">
      <c r="A2" s="7" t="inlineStr">
        <is>
          <t>一级</t>
        </is>
      </c>
      <c r="B2" s="1" t="inlineStr">
        <is>
          <t>收入</t>
        </is>
      </c>
      <c r="C2" s="8" t="inlineStr">
        <is>
          <t>A.01</t>
        </is>
      </c>
      <c r="D2" s="7" t="inlineStr">
        <is>
          <t>营业收入</t>
        </is>
      </c>
      <c r="F2" t="inlineStr">
        <is>
          <t>A.01.01+A.01.02+A.01.03</t>
        </is>
      </c>
      <c r="K2" t="inlineStr">
        <is>
          <t>是</t>
        </is>
      </c>
      <c r="M2" t="inlineStr">
        <is>
          <t>01</t>
        </is>
      </c>
    </row>
    <row r="3" ht="16.8" customHeight="1">
      <c r="A3" s="1" t="inlineStr">
        <is>
          <t>二级</t>
        </is>
      </c>
      <c r="B3" s="1" t="inlineStr">
        <is>
          <t>收入</t>
        </is>
      </c>
      <c r="C3" s="8" t="inlineStr">
        <is>
          <t>A.01.01</t>
        </is>
      </c>
      <c r="D3" s="1" t="inlineStr">
        <is>
          <t xml:space="preserve">  利息净收入</t>
        </is>
      </c>
      <c r="F3" t="inlineStr">
        <is>
          <t>A.01.01.01+A.01.01.02</t>
        </is>
      </c>
      <c r="K3" t="inlineStr">
        <is>
          <t>是</t>
        </is>
      </c>
      <c r="M3" t="inlineStr">
        <is>
          <t>01.01</t>
        </is>
      </c>
    </row>
    <row r="4" ht="16.8" customHeight="1">
      <c r="A4" s="1" t="inlineStr">
        <is>
          <t>三级</t>
        </is>
      </c>
      <c r="B4" s="1" t="inlineStr">
        <is>
          <t>收入</t>
        </is>
      </c>
      <c r="C4" s="9" t="inlineStr">
        <is>
          <t>A.01.01.01</t>
        </is>
      </c>
      <c r="D4" s="1" t="inlineStr">
        <is>
          <t xml:space="preserve">    资产业务</t>
        </is>
      </c>
      <c r="M4" t="inlineStr">
        <is>
          <t>01.01.01</t>
        </is>
      </c>
      <c r="N4" t="inlineStr">
        <is>
          <t>SUM</t>
        </is>
      </c>
    </row>
    <row r="5" ht="16.8" customHeight="1">
      <c r="A5" s="10" t="inlineStr">
        <is>
          <t>一级</t>
        </is>
      </c>
      <c r="B5" s="10" t="inlineStr">
        <is>
          <t>收入</t>
        </is>
      </c>
      <c r="C5" s="10" t="inlineStr">
        <is>
          <t>A.14</t>
        </is>
      </c>
      <c r="D5" s="10" t="inlineStr">
        <is>
          <t xml:space="preserve">      利息收入</t>
        </is>
      </c>
      <c r="K5" t="inlineStr">
        <is>
          <t>是</t>
        </is>
      </c>
      <c r="M5" t="inlineStr">
        <is>
          <t>14</t>
        </is>
      </c>
      <c r="N5" t="inlineStr">
        <is>
          <t>SUM</t>
        </is>
      </c>
    </row>
    <row r="6" ht="16.8" customHeight="1">
      <c r="A6" s="1" t="inlineStr">
        <is>
          <t>一级</t>
        </is>
      </c>
      <c r="B6" s="1" t="inlineStr">
        <is>
          <t>支出</t>
        </is>
      </c>
      <c r="C6" s="9" t="inlineStr">
        <is>
          <t>A.15</t>
        </is>
      </c>
      <c r="D6" s="1" t="inlineStr">
        <is>
          <t xml:space="preserve">      FTP成本</t>
        </is>
      </c>
      <c r="M6" t="inlineStr">
        <is>
          <t>15</t>
        </is>
      </c>
      <c r="N6" t="inlineStr">
        <is>
          <t>SUM</t>
        </is>
      </c>
    </row>
    <row r="7" ht="16.8" customHeight="1">
      <c r="A7" s="1" t="inlineStr">
        <is>
          <t>三级</t>
        </is>
      </c>
      <c r="B7" s="1" t="inlineStr">
        <is>
          <t>收入</t>
        </is>
      </c>
      <c r="C7" s="9" t="inlineStr">
        <is>
          <t>A.01.01.02</t>
        </is>
      </c>
      <c r="D7" s="1" t="inlineStr">
        <is>
          <t xml:space="preserve">    负债业务</t>
        </is>
      </c>
      <c r="M7" t="inlineStr">
        <is>
          <t>01.01.02</t>
        </is>
      </c>
      <c r="N7" t="inlineStr">
        <is>
          <t>SUM</t>
        </is>
      </c>
    </row>
    <row r="8" ht="16.8" customHeight="1">
      <c r="A8" s="7" t="inlineStr">
        <is>
          <t>一级</t>
        </is>
      </c>
      <c r="B8" s="1" t="inlineStr">
        <is>
          <t>支出</t>
        </is>
      </c>
      <c r="C8" s="9" t="inlineStr">
        <is>
          <t>A.16</t>
        </is>
      </c>
      <c r="D8" s="1" t="inlineStr">
        <is>
          <t xml:space="preserve">      利息支出</t>
        </is>
      </c>
      <c r="K8" t="inlineStr">
        <is>
          <t>是</t>
        </is>
      </c>
      <c r="M8" t="inlineStr">
        <is>
          <t>16</t>
        </is>
      </c>
      <c r="N8" t="inlineStr">
        <is>
          <t>SUM</t>
        </is>
      </c>
    </row>
    <row r="9" ht="16.8" customHeight="1">
      <c r="A9" s="7" t="inlineStr">
        <is>
          <t>一级</t>
        </is>
      </c>
      <c r="B9" s="1" t="inlineStr">
        <is>
          <t>支出</t>
        </is>
      </c>
      <c r="C9" s="9" t="inlineStr">
        <is>
          <t>A.17</t>
        </is>
      </c>
      <c r="D9" s="1" t="inlineStr">
        <is>
          <t xml:space="preserve">      FTP收入</t>
        </is>
      </c>
      <c r="M9" t="inlineStr">
        <is>
          <t>17</t>
        </is>
      </c>
      <c r="N9" t="inlineStr">
        <is>
          <t>SUM</t>
        </is>
      </c>
    </row>
    <row r="10" ht="16.8" customHeight="1">
      <c r="A10" s="1" t="inlineStr">
        <is>
          <t>二级</t>
        </is>
      </c>
      <c r="B10" s="1" t="inlineStr">
        <is>
          <t>收入</t>
        </is>
      </c>
      <c r="C10" s="8" t="inlineStr">
        <is>
          <t>A.01.02</t>
        </is>
      </c>
      <c r="D10" s="1" t="inlineStr">
        <is>
          <t xml:space="preserve">  净手续费收入</t>
        </is>
      </c>
      <c r="K10" t="inlineStr">
        <is>
          <t>是</t>
        </is>
      </c>
      <c r="M10" t="inlineStr">
        <is>
          <t>01.02</t>
        </is>
      </c>
      <c r="N10" t="inlineStr">
        <is>
          <t>SUM</t>
        </is>
      </c>
    </row>
    <row r="11" ht="16.8" customHeight="1">
      <c r="A11" s="11" t="inlineStr">
        <is>
          <t>一级</t>
        </is>
      </c>
      <c r="B11" s="11" t="inlineStr">
        <is>
          <t>收入</t>
        </is>
      </c>
      <c r="C11" s="8" t="inlineStr">
        <is>
          <t>A.18</t>
        </is>
      </c>
      <c r="D11" s="1" t="inlineStr">
        <is>
          <t xml:space="preserve">    手续费收入</t>
        </is>
      </c>
      <c r="K11" t="inlineStr">
        <is>
          <t>是</t>
        </is>
      </c>
      <c r="M11" t="inlineStr">
        <is>
          <t>18</t>
        </is>
      </c>
      <c r="N11" t="inlineStr">
        <is>
          <t>SUM</t>
        </is>
      </c>
    </row>
    <row r="12" ht="16.8" customHeight="1">
      <c r="A12" s="11" t="inlineStr">
        <is>
          <t>一级</t>
        </is>
      </c>
      <c r="B12" s="11" t="inlineStr">
        <is>
          <t>支出</t>
        </is>
      </c>
      <c r="C12" s="8" t="inlineStr">
        <is>
          <t>A.19</t>
        </is>
      </c>
      <c r="D12" s="1" t="inlineStr">
        <is>
          <t xml:space="preserve">    手续费支出</t>
        </is>
      </c>
      <c r="K12" t="inlineStr">
        <is>
          <t>是</t>
        </is>
      </c>
      <c r="M12" t="inlineStr">
        <is>
          <t>19</t>
        </is>
      </c>
      <c r="N12" t="inlineStr">
        <is>
          <t>SUM</t>
        </is>
      </c>
    </row>
    <row r="13" ht="16.8" customHeight="1">
      <c r="A13" s="1" t="inlineStr">
        <is>
          <t>二级</t>
        </is>
      </c>
      <c r="B13" s="1" t="inlineStr">
        <is>
          <t>收入</t>
        </is>
      </c>
      <c r="C13" s="8" t="inlineStr">
        <is>
          <t>A.01.03</t>
        </is>
      </c>
      <c r="D13" s="1" t="inlineStr">
        <is>
          <t xml:space="preserve">  其他营收</t>
        </is>
      </c>
      <c r="K13" t="inlineStr">
        <is>
          <t>是</t>
        </is>
      </c>
      <c r="M13" t="inlineStr">
        <is>
          <t>01.03</t>
        </is>
      </c>
      <c r="N13" t="inlineStr">
        <is>
          <t>SUM</t>
        </is>
      </c>
    </row>
    <row r="14" ht="16.8" customHeight="1">
      <c r="A14" s="7" t="inlineStr">
        <is>
          <t>一级</t>
        </is>
      </c>
      <c r="B14" s="1" t="inlineStr">
        <is>
          <t>支出</t>
        </is>
      </c>
      <c r="C14" s="8" t="inlineStr">
        <is>
          <t>A.02</t>
        </is>
      </c>
      <c r="D14" s="7" t="inlineStr">
        <is>
          <t>减：风险成本</t>
        </is>
      </c>
      <c r="K14" t="inlineStr">
        <is>
          <t>是</t>
        </is>
      </c>
      <c r="M14" t="inlineStr">
        <is>
          <t>02</t>
        </is>
      </c>
      <c r="N14" t="inlineStr">
        <is>
          <t>SUM</t>
        </is>
      </c>
    </row>
    <row r="15" ht="16.8" customHeight="1">
      <c r="A15" s="7" t="inlineStr">
        <is>
          <t>一级</t>
        </is>
      </c>
      <c r="B15" s="1" t="inlineStr">
        <is>
          <t>收入</t>
        </is>
      </c>
      <c r="C15" s="8" t="inlineStr">
        <is>
          <t>A.03</t>
        </is>
      </c>
      <c r="D15" s="7" t="inlineStr">
        <is>
          <t>净收入</t>
        </is>
      </c>
      <c r="K15" t="inlineStr">
        <is>
          <t>是</t>
        </is>
      </c>
      <c r="M15" t="inlineStr">
        <is>
          <t>03</t>
        </is>
      </c>
      <c r="N15" t="inlineStr">
        <is>
          <t>SUM</t>
        </is>
      </c>
    </row>
    <row r="16" ht="16.8" customHeight="1">
      <c r="A16" s="7" t="inlineStr">
        <is>
          <t>一级</t>
        </is>
      </c>
      <c r="B16" s="1" t="inlineStr">
        <is>
          <t>支出</t>
        </is>
      </c>
      <c r="C16" s="8" t="inlineStr">
        <is>
          <t>A.04</t>
        </is>
      </c>
      <c r="D16" s="7" t="inlineStr">
        <is>
          <t>减：税金及附加</t>
        </is>
      </c>
      <c r="K16" t="inlineStr">
        <is>
          <t>是</t>
        </is>
      </c>
      <c r="M16" t="inlineStr">
        <is>
          <t>04</t>
        </is>
      </c>
      <c r="N16" t="inlineStr">
        <is>
          <t>SUM</t>
        </is>
      </c>
    </row>
    <row r="17" ht="16.8" customHeight="1">
      <c r="A17" s="7" t="inlineStr">
        <is>
          <t>一级</t>
        </is>
      </c>
      <c r="B17" s="1" t="inlineStr">
        <is>
          <t>支出</t>
        </is>
      </c>
      <c r="C17" s="8" t="inlineStr">
        <is>
          <t>A.05</t>
        </is>
      </c>
      <c r="D17" s="7" t="inlineStr">
        <is>
          <t>减：直接费用</t>
        </is>
      </c>
      <c r="F17" t="inlineStr">
        <is>
          <t>A.90.01+A.90.09+A.90.03+A.90.04+A.90.05</t>
        </is>
      </c>
      <c r="K17" t="inlineStr">
        <is>
          <t>是</t>
        </is>
      </c>
      <c r="M17" t="inlineStr">
        <is>
          <t>05</t>
        </is>
      </c>
    </row>
    <row r="18" ht="16.8" customHeight="1">
      <c r="A18" s="1" t="inlineStr">
        <is>
          <t>二级</t>
        </is>
      </c>
      <c r="B18" s="1" t="inlineStr">
        <is>
          <t>支出</t>
        </is>
      </c>
      <c r="C18" s="8" t="inlineStr">
        <is>
          <t>A.05.01</t>
        </is>
      </c>
      <c r="D18" s="1" t="inlineStr">
        <is>
          <t xml:space="preserve">  人力费用（不含IT）</t>
        </is>
      </c>
      <c r="F18" t="inlineStr">
        <is>
          <t>A.90.01.01+A.90.01.02</t>
        </is>
      </c>
      <c r="K18" t="inlineStr">
        <is>
          <t>是</t>
        </is>
      </c>
      <c r="M18" t="inlineStr">
        <is>
          <t>05.01</t>
        </is>
      </c>
    </row>
    <row r="19" ht="16.8" customHeight="1">
      <c r="A19" s="1" t="inlineStr">
        <is>
          <t>三级</t>
        </is>
      </c>
      <c r="B19" s="1" t="inlineStr">
        <is>
          <t>支出</t>
        </is>
      </c>
      <c r="C19" s="9" t="inlineStr">
        <is>
          <t>A.05.01.01</t>
        </is>
      </c>
      <c r="D19" s="1" t="inlineStr">
        <is>
          <t xml:space="preserve">    常规人力</t>
        </is>
      </c>
      <c r="F19" t="inlineStr">
        <is>
          <t>A.90.01.01.01+A.90.01.01.02+A.90.01.01.03+A.90.01.01.04.001+A.90.01.01.05.001</t>
        </is>
      </c>
      <c r="K19" t="inlineStr">
        <is>
          <t>是</t>
        </is>
      </c>
      <c r="M19" t="inlineStr">
        <is>
          <t>05.01.01</t>
        </is>
      </c>
    </row>
    <row r="20" ht="16.8" customHeight="1">
      <c r="A20" s="1" t="inlineStr">
        <is>
          <t>三级</t>
        </is>
      </c>
      <c r="B20" s="1" t="inlineStr">
        <is>
          <t>支出</t>
        </is>
      </c>
      <c r="C20" s="9" t="inlineStr">
        <is>
          <t>A.05.01.02</t>
        </is>
      </c>
      <c r="D20" s="1" t="inlineStr">
        <is>
          <t xml:space="preserve">    特别人力</t>
        </is>
      </c>
      <c r="F20" t="inlineStr">
        <is>
          <t>A.90.01.02.01+A.90.01.02.02+A.90.01.02.03+A.90.01.02.04.001+A.90.01.02.05.001</t>
        </is>
      </c>
      <c r="K20" t="inlineStr">
        <is>
          <t>是</t>
        </is>
      </c>
      <c r="M20" t="inlineStr">
        <is>
          <t>05.01.02</t>
        </is>
      </c>
    </row>
    <row r="21" ht="16.8" customHeight="1">
      <c r="A21" s="1" t="inlineStr">
        <is>
          <t>二级</t>
        </is>
      </c>
      <c r="B21" s="1" t="inlineStr">
        <is>
          <t>支出</t>
        </is>
      </c>
      <c r="C21" s="8" t="inlineStr">
        <is>
          <t>A.05.02</t>
        </is>
      </c>
      <c r="D21" s="1" t="inlineStr">
        <is>
          <t xml:space="preserve">  业务费用</t>
        </is>
      </c>
      <c r="K21" t="inlineStr">
        <is>
          <t>是</t>
        </is>
      </c>
      <c r="N21" t="inlineStr">
        <is>
          <t>SUM</t>
        </is>
      </c>
    </row>
    <row r="22" ht="16.8" customHeight="1">
      <c r="A22" s="1" t="inlineStr">
        <is>
          <t>三级</t>
        </is>
      </c>
      <c r="B22" s="1" t="inlineStr">
        <is>
          <t>支出</t>
        </is>
      </c>
      <c r="C22" s="9" t="inlineStr">
        <is>
          <t>A.05.02.01</t>
        </is>
      </c>
      <c r="D22" s="1" t="inlineStr">
        <is>
          <t xml:space="preserve">    营销费用</t>
        </is>
      </c>
      <c r="K22" t="inlineStr">
        <is>
          <t>是</t>
        </is>
      </c>
      <c r="N22" t="inlineStr">
        <is>
          <t>SUM</t>
        </is>
      </c>
    </row>
    <row r="23" ht="16.8" customHeight="1">
      <c r="A23" s="1" t="inlineStr">
        <is>
          <t>三级</t>
        </is>
      </c>
      <c r="B23" s="1" t="inlineStr">
        <is>
          <t>支出</t>
        </is>
      </c>
      <c r="C23" s="9" t="inlineStr">
        <is>
          <t>A.05.02.02</t>
        </is>
      </c>
      <c r="D23" s="1" t="inlineStr">
        <is>
          <t xml:space="preserve">    运营费用</t>
        </is>
      </c>
      <c r="K23" t="inlineStr">
        <is>
          <t>是</t>
        </is>
      </c>
      <c r="N23" t="inlineStr">
        <is>
          <t>SUM</t>
        </is>
      </c>
    </row>
    <row r="24" ht="16.8" customHeight="1">
      <c r="A24" s="1" t="inlineStr">
        <is>
          <t>二级</t>
        </is>
      </c>
      <c r="B24" s="1" t="inlineStr">
        <is>
          <t>支出</t>
        </is>
      </c>
      <c r="C24" s="8" t="inlineStr">
        <is>
          <t>A.05.03</t>
        </is>
      </c>
      <c r="D24" s="1" t="inlineStr">
        <is>
          <t xml:space="preserve">  IT费用</t>
        </is>
      </c>
      <c r="F24" t="inlineStr">
        <is>
          <t>A.90.03.01+A.90.03.02+A.90.03.03+A.90.03.04</t>
        </is>
      </c>
      <c r="K24" t="inlineStr">
        <is>
          <t>是</t>
        </is>
      </c>
      <c r="M24" t="inlineStr">
        <is>
          <t>05.03</t>
        </is>
      </c>
    </row>
    <row r="25" ht="16.8" customHeight="1">
      <c r="A25" s="1" t="inlineStr">
        <is>
          <t>三级</t>
        </is>
      </c>
      <c r="B25" s="1" t="inlineStr">
        <is>
          <t>支出</t>
        </is>
      </c>
      <c r="C25" s="9" t="inlineStr">
        <is>
          <t>A.05.03.01</t>
        </is>
      </c>
      <c r="D25" s="1" t="inlineStr">
        <is>
          <t xml:space="preserve">    IT人力</t>
        </is>
      </c>
      <c r="F25" t="inlineStr">
        <is>
          <t>A.90.03.01.01+A.90.03.01.02</t>
        </is>
      </c>
      <c r="K25" t="inlineStr">
        <is>
          <t>是</t>
        </is>
      </c>
      <c r="M25" t="inlineStr">
        <is>
          <t>05.03.01</t>
        </is>
      </c>
    </row>
    <row r="26" ht="16.8" customHeight="1">
      <c r="A26" s="1" t="inlineStr">
        <is>
          <t>四级</t>
        </is>
      </c>
      <c r="B26" s="1" t="inlineStr">
        <is>
          <t>支出</t>
        </is>
      </c>
      <c r="C26" s="9" t="inlineStr">
        <is>
          <t>A.05.03.01.01</t>
        </is>
      </c>
      <c r="D26" s="1" t="inlineStr">
        <is>
          <t xml:space="preserve">      IT常规人力</t>
        </is>
      </c>
      <c r="K26" t="inlineStr">
        <is>
          <t>是</t>
        </is>
      </c>
      <c r="M26" t="inlineStr">
        <is>
          <t>05.03.01.01</t>
        </is>
      </c>
      <c r="N26" t="inlineStr">
        <is>
          <t>SUM</t>
        </is>
      </c>
    </row>
    <row r="27" ht="16.8" customHeight="1">
      <c r="A27" s="1" t="inlineStr">
        <is>
          <t>四级</t>
        </is>
      </c>
      <c r="B27" s="1" t="inlineStr">
        <is>
          <t>支出</t>
        </is>
      </c>
      <c r="C27" s="9" t="inlineStr">
        <is>
          <t>A.05.03.01.02</t>
        </is>
      </c>
      <c r="D27" s="1" t="inlineStr">
        <is>
          <t xml:space="preserve">      IT特别人力</t>
        </is>
      </c>
      <c r="K27" t="inlineStr">
        <is>
          <t>是</t>
        </is>
      </c>
      <c r="M27" t="inlineStr">
        <is>
          <t>05.03.01.02</t>
        </is>
      </c>
      <c r="N27" t="inlineStr">
        <is>
          <t>SUM</t>
        </is>
      </c>
    </row>
    <row r="28" ht="16.8" customHeight="1">
      <c r="A28" s="1" t="inlineStr">
        <is>
          <t>三级</t>
        </is>
      </c>
      <c r="B28" s="1" t="inlineStr">
        <is>
          <t>支出</t>
        </is>
      </c>
      <c r="C28" s="9" t="inlineStr">
        <is>
          <t>A.05.03.02</t>
        </is>
      </c>
      <c r="D28" s="1" t="inlineStr">
        <is>
          <t xml:space="preserve">    科技费用</t>
        </is>
      </c>
      <c r="K28" t="inlineStr">
        <is>
          <t>是</t>
        </is>
      </c>
      <c r="M28" t="inlineStr">
        <is>
          <t>05.03.02</t>
        </is>
      </c>
      <c r="N28" t="inlineStr">
        <is>
          <t>SUM</t>
        </is>
      </c>
    </row>
    <row r="29" ht="16.8" customHeight="1">
      <c r="A29" s="1" t="inlineStr">
        <is>
          <t>三级</t>
        </is>
      </c>
      <c r="B29" s="1" t="inlineStr">
        <is>
          <t>支出</t>
        </is>
      </c>
      <c r="C29" s="9" t="inlineStr">
        <is>
          <t>A.05.03.03</t>
        </is>
      </c>
      <c r="D29" s="1" t="inlineStr">
        <is>
          <t xml:space="preserve">    IT职场</t>
        </is>
      </c>
      <c r="K29" t="inlineStr">
        <is>
          <t>是</t>
        </is>
      </c>
      <c r="M29" t="inlineStr">
        <is>
          <t>05.03.03</t>
        </is>
      </c>
      <c r="N29" t="inlineStr">
        <is>
          <t>SUM</t>
        </is>
      </c>
    </row>
    <row r="30" ht="16.8" customHeight="1">
      <c r="A30" s="1" t="inlineStr">
        <is>
          <t>三级</t>
        </is>
      </c>
      <c r="B30" s="1" t="inlineStr">
        <is>
          <t>支出</t>
        </is>
      </c>
      <c r="C30" s="9" t="inlineStr">
        <is>
          <t>A.05.03.04</t>
        </is>
      </c>
      <c r="D30" s="1" t="inlineStr">
        <is>
          <t xml:space="preserve">    IT日常</t>
        </is>
      </c>
      <c r="K30" t="inlineStr">
        <is>
          <t>是</t>
        </is>
      </c>
      <c r="M30" t="inlineStr">
        <is>
          <t>05.03.04</t>
        </is>
      </c>
      <c r="N30" t="inlineStr">
        <is>
          <t>SUM</t>
        </is>
      </c>
    </row>
    <row r="31" ht="16.8" customHeight="1">
      <c r="A31" s="1" t="inlineStr">
        <is>
          <t>二级</t>
        </is>
      </c>
      <c r="B31" s="1" t="inlineStr">
        <is>
          <t>支出</t>
        </is>
      </c>
      <c r="C31" s="8" t="inlineStr">
        <is>
          <t>A.05.04</t>
        </is>
      </c>
      <c r="D31" s="1" t="inlineStr">
        <is>
          <t xml:space="preserve">  职场费用</t>
        </is>
      </c>
      <c r="K31" t="inlineStr">
        <is>
          <t>是</t>
        </is>
      </c>
      <c r="M31" t="inlineStr">
        <is>
          <t>05.04</t>
        </is>
      </c>
      <c r="N31" t="inlineStr">
        <is>
          <t>SUM</t>
        </is>
      </c>
    </row>
    <row r="32" ht="16.8" customHeight="1">
      <c r="A32" s="1" t="inlineStr">
        <is>
          <t>二级</t>
        </is>
      </c>
      <c r="B32" s="1" t="inlineStr">
        <is>
          <t>支出</t>
        </is>
      </c>
      <c r="C32" s="8" t="inlineStr">
        <is>
          <t>A.05.05</t>
        </is>
      </c>
      <c r="D32" s="1" t="inlineStr">
        <is>
          <t xml:space="preserve">  日常费用</t>
        </is>
      </c>
      <c r="K32" t="inlineStr">
        <is>
          <t>是</t>
        </is>
      </c>
      <c r="M32" t="inlineStr">
        <is>
          <t>05.05</t>
        </is>
      </c>
      <c r="N32" t="inlineStr">
        <is>
          <t>SUM</t>
        </is>
      </c>
    </row>
    <row r="33" ht="16.8" customHeight="1">
      <c r="A33" s="7" t="inlineStr">
        <is>
          <t>一级</t>
        </is>
      </c>
      <c r="B33" s="1" t="inlineStr">
        <is>
          <t>收入</t>
        </is>
      </c>
      <c r="C33" s="8" t="inlineStr">
        <is>
          <t>A.06</t>
        </is>
      </c>
      <c r="D33" s="7" t="inlineStr">
        <is>
          <t>加：营业外净收入</t>
        </is>
      </c>
      <c r="K33" t="inlineStr">
        <is>
          <t>是</t>
        </is>
      </c>
      <c r="M33" t="inlineStr">
        <is>
          <t>06</t>
        </is>
      </c>
      <c r="N33" t="inlineStr">
        <is>
          <t>SUM</t>
        </is>
      </c>
    </row>
    <row r="34" ht="16.8" customHeight="1">
      <c r="A34" s="7" t="inlineStr">
        <is>
          <t>一级</t>
        </is>
      </c>
      <c r="B34" s="1" t="inlineStr">
        <is>
          <t>利润</t>
        </is>
      </c>
      <c r="C34" s="8" t="inlineStr">
        <is>
          <t>A.07</t>
        </is>
      </c>
      <c r="D34" s="7" t="inlineStr">
        <is>
          <t>分摊前利润</t>
        </is>
      </c>
      <c r="M34" t="inlineStr">
        <is>
          <t>07</t>
        </is>
      </c>
      <c r="N34" t="inlineStr">
        <is>
          <t>SUM</t>
        </is>
      </c>
    </row>
    <row r="35" ht="16.8" customHeight="1">
      <c r="A35" s="7" t="inlineStr">
        <is>
          <t>一级</t>
        </is>
      </c>
      <c r="B35" s="1" t="inlineStr">
        <is>
          <t>支出</t>
        </is>
      </c>
      <c r="C35" s="8" t="inlineStr">
        <is>
          <t>A.08</t>
        </is>
      </c>
      <c r="D35" s="7" t="inlineStr">
        <is>
          <t>减：固定管理费</t>
        </is>
      </c>
      <c r="M35" t="inlineStr">
        <is>
          <t>08</t>
        </is>
      </c>
      <c r="N35" t="inlineStr">
        <is>
          <t>SUM</t>
        </is>
      </c>
    </row>
    <row r="36" ht="16.8" customHeight="1">
      <c r="A36" s="7" t="inlineStr">
        <is>
          <t>一级</t>
        </is>
      </c>
      <c r="B36" s="1" t="inlineStr">
        <is>
          <t>利润</t>
        </is>
      </c>
      <c r="C36" s="8" t="inlineStr">
        <is>
          <t>A.09</t>
        </is>
      </c>
      <c r="D36" s="7" t="inlineStr">
        <is>
          <t>税前利润</t>
        </is>
      </c>
      <c r="K36" t="inlineStr">
        <is>
          <t>是</t>
        </is>
      </c>
      <c r="M36" t="inlineStr">
        <is>
          <t>09</t>
        </is>
      </c>
      <c r="N36" t="inlineStr">
        <is>
          <t>SUM</t>
        </is>
      </c>
    </row>
    <row r="37">
      <c r="A37" s="10" t="n"/>
      <c r="B37" s="10" t="n"/>
      <c r="C37" s="10" t="n"/>
      <c r="D37" s="10" t="n"/>
    </row>
    <row r="38" ht="16.8" customHeight="1">
      <c r="A38" s="7" t="inlineStr">
        <is>
          <t>一级</t>
        </is>
      </c>
      <c r="B38" s="7" t="inlineStr">
        <is>
          <t>资产余额</t>
        </is>
      </c>
      <c r="C38" s="11" t="inlineStr">
        <is>
          <t>A.10</t>
        </is>
      </c>
      <c r="D38" s="11" t="inlineStr">
        <is>
          <t>管理贷款余额</t>
        </is>
      </c>
      <c r="F38" t="inlineStr">
        <is>
          <t>A.10.01+A.10.02+A.10.03</t>
        </is>
      </c>
      <c r="M38" t="inlineStr">
        <is>
          <t>10</t>
        </is>
      </c>
    </row>
    <row r="39" ht="16.8" customHeight="1">
      <c r="A39" s="1" t="inlineStr">
        <is>
          <t>二级</t>
        </is>
      </c>
      <c r="B39" s="7" t="inlineStr">
        <is>
          <t>资产余额</t>
        </is>
      </c>
      <c r="C39" s="10" t="inlineStr">
        <is>
          <t>A.10.01</t>
        </is>
      </c>
      <c r="D39" s="10" t="inlineStr">
        <is>
          <t xml:space="preserve">  自持余额</t>
        </is>
      </c>
      <c r="F39" t="inlineStr">
        <is>
          <t>A.10.01.01</t>
        </is>
      </c>
      <c r="M39" t="inlineStr">
        <is>
          <t>10.01</t>
        </is>
      </c>
    </row>
    <row r="40" ht="16.8" customHeight="1">
      <c r="A40" s="1" t="inlineStr">
        <is>
          <t>三级</t>
        </is>
      </c>
      <c r="B40" s="7" t="inlineStr">
        <is>
          <t>资产余额</t>
        </is>
      </c>
      <c r="C40" s="10" t="inlineStr">
        <is>
          <t>A.10.01.01</t>
        </is>
      </c>
      <c r="D40" s="10" t="inlineStr">
        <is>
          <t xml:space="preserve">    一般贷款</t>
        </is>
      </c>
      <c r="M40" t="inlineStr">
        <is>
          <t>10.01.01</t>
        </is>
      </c>
      <c r="N40" t="inlineStr">
        <is>
          <t>LAST</t>
        </is>
      </c>
    </row>
    <row r="41" ht="16.8" customHeight="1">
      <c r="A41" s="1" t="inlineStr">
        <is>
          <t>二级</t>
        </is>
      </c>
      <c r="B41" s="7" t="inlineStr">
        <is>
          <t>资产余额</t>
        </is>
      </c>
      <c r="C41" s="10" t="inlineStr">
        <is>
          <t>A.10.02</t>
        </is>
      </c>
      <c r="D41" s="10" t="inlineStr">
        <is>
          <t xml:space="preserve">  联贷</t>
        </is>
      </c>
      <c r="M41" t="inlineStr">
        <is>
          <t>10.02</t>
        </is>
      </c>
      <c r="N41" t="inlineStr">
        <is>
          <t>LAST</t>
        </is>
      </c>
    </row>
    <row r="42" ht="16.8" customHeight="1">
      <c r="A42" s="1" t="inlineStr">
        <is>
          <t>二级</t>
        </is>
      </c>
      <c r="B42" s="7" t="inlineStr">
        <is>
          <t>资产余额</t>
        </is>
      </c>
      <c r="C42" s="10" t="inlineStr">
        <is>
          <t>A.10.03</t>
        </is>
      </c>
      <c r="D42" s="10" t="inlineStr">
        <is>
          <t xml:space="preserve">  流转</t>
        </is>
      </c>
      <c r="M42" t="inlineStr">
        <is>
          <t>10.03</t>
        </is>
      </c>
      <c r="N42" t="inlineStr">
        <is>
          <t>LAST</t>
        </is>
      </c>
    </row>
    <row r="43" ht="16.8" customHeight="1">
      <c r="A43" s="7" t="inlineStr">
        <is>
          <t>一级</t>
        </is>
      </c>
      <c r="B43" s="7" t="inlineStr">
        <is>
          <t>资产日均</t>
        </is>
      </c>
      <c r="C43" s="11" t="inlineStr">
        <is>
          <t>A.11</t>
        </is>
      </c>
      <c r="D43" s="11" t="inlineStr">
        <is>
          <t>管理贷款日均</t>
        </is>
      </c>
      <c r="F43" t="inlineStr">
        <is>
          <t>A.11.01+A.11.02+A.11.03</t>
        </is>
      </c>
      <c r="M43" t="inlineStr">
        <is>
          <t>11</t>
        </is>
      </c>
    </row>
    <row r="44" ht="16.8" customHeight="1">
      <c r="A44" s="1" t="inlineStr">
        <is>
          <t>二级</t>
        </is>
      </c>
      <c r="B44" s="7" t="inlineStr">
        <is>
          <t>资产日均</t>
        </is>
      </c>
      <c r="C44" s="10" t="inlineStr">
        <is>
          <t>A.11.01</t>
        </is>
      </c>
      <c r="D44" s="10" t="inlineStr">
        <is>
          <t xml:space="preserve">  自持</t>
        </is>
      </c>
      <c r="F44" t="inlineStr">
        <is>
          <t>A.11.01.01</t>
        </is>
      </c>
      <c r="M44" t="inlineStr">
        <is>
          <t>11.01</t>
        </is>
      </c>
    </row>
    <row r="45" ht="16.8" customHeight="1">
      <c r="A45" s="1" t="inlineStr">
        <is>
          <t>三级</t>
        </is>
      </c>
      <c r="B45" s="7" t="inlineStr">
        <is>
          <t>资产日均</t>
        </is>
      </c>
      <c r="C45" s="10" t="inlineStr">
        <is>
          <t>A.11.01.01</t>
        </is>
      </c>
      <c r="D45" s="10" t="inlineStr">
        <is>
          <t xml:space="preserve">    一般贷款</t>
        </is>
      </c>
      <c r="M45" t="inlineStr">
        <is>
          <t>11.01.01</t>
        </is>
      </c>
      <c r="N45" t="inlineStr">
        <is>
          <t>AVG</t>
        </is>
      </c>
    </row>
    <row r="46" ht="16.8" customHeight="1">
      <c r="A46" s="1" t="inlineStr">
        <is>
          <t>二级</t>
        </is>
      </c>
      <c r="B46" s="7" t="inlineStr">
        <is>
          <t>资产日均</t>
        </is>
      </c>
      <c r="C46" s="10" t="inlineStr">
        <is>
          <t>A.11.02</t>
        </is>
      </c>
      <c r="D46" s="10" t="inlineStr">
        <is>
          <t xml:space="preserve">  联贷</t>
        </is>
      </c>
      <c r="M46" t="inlineStr">
        <is>
          <t>11.02</t>
        </is>
      </c>
      <c r="N46" t="inlineStr">
        <is>
          <t>AVG</t>
        </is>
      </c>
    </row>
    <row r="47" ht="16.8" customHeight="1">
      <c r="A47" s="1" t="inlineStr">
        <is>
          <t>二级</t>
        </is>
      </c>
      <c r="B47" s="7" t="inlineStr">
        <is>
          <t>资产日均</t>
        </is>
      </c>
      <c r="C47" s="10" t="inlineStr">
        <is>
          <t>A.11.03</t>
        </is>
      </c>
      <c r="D47" s="10" t="inlineStr">
        <is>
          <t xml:space="preserve">  流转</t>
        </is>
      </c>
      <c r="M47" t="inlineStr">
        <is>
          <t>11.03</t>
        </is>
      </c>
      <c r="N47" t="inlineStr">
        <is>
          <t>AVG</t>
        </is>
      </c>
    </row>
    <row r="48">
      <c r="A48" s="10" t="n"/>
      <c r="B48" s="7" t="n"/>
      <c r="C48" s="10" t="n"/>
      <c r="D48" s="10" t="n"/>
    </row>
    <row r="49" ht="16.8" customHeight="1">
      <c r="A49" s="10" t="inlineStr">
        <is>
          <t>一级</t>
        </is>
      </c>
      <c r="B49" s="10" t="inlineStr">
        <is>
          <t>负债余额</t>
        </is>
      </c>
      <c r="C49" s="10" t="inlineStr">
        <is>
          <t>A.12</t>
        </is>
      </c>
      <c r="D49" s="10" t="inlineStr">
        <is>
          <t>管理资产余额</t>
        </is>
      </c>
      <c r="F49" t="inlineStr">
        <is>
          <t>A.12.01+A.12.02+A.12.03+A.12.04</t>
        </is>
      </c>
      <c r="M49" t="inlineStr">
        <is>
          <t>12</t>
        </is>
      </c>
    </row>
    <row r="50" ht="16.8" customHeight="1">
      <c r="A50" s="10" t="inlineStr">
        <is>
          <t>二级</t>
        </is>
      </c>
      <c r="B50" s="10" t="inlineStr">
        <is>
          <t>负债余额</t>
        </is>
      </c>
      <c r="C50" s="10" t="inlineStr">
        <is>
          <t>A.12.01</t>
        </is>
      </c>
      <c r="D50" s="10" t="inlineStr">
        <is>
          <t xml:space="preserve">  各项存款</t>
        </is>
      </c>
      <c r="M50" t="inlineStr">
        <is>
          <t>12.01</t>
        </is>
      </c>
      <c r="N50" t="inlineStr">
        <is>
          <t>LAST</t>
        </is>
      </c>
    </row>
    <row r="51" ht="16.8" customHeight="1">
      <c r="A51" s="10" t="inlineStr">
        <is>
          <t>二级</t>
        </is>
      </c>
      <c r="B51" s="10" t="inlineStr">
        <is>
          <t>负债余额</t>
        </is>
      </c>
      <c r="C51" s="10" t="inlineStr">
        <is>
          <t>A.12.02</t>
        </is>
      </c>
      <c r="D51" s="10" t="inlineStr">
        <is>
          <t xml:space="preserve">  代销理财</t>
        </is>
      </c>
      <c r="M51" t="inlineStr">
        <is>
          <t>12.02</t>
        </is>
      </c>
      <c r="N51" t="inlineStr">
        <is>
          <t>LAST</t>
        </is>
      </c>
    </row>
    <row r="52" ht="16.8" customHeight="1">
      <c r="A52" s="10" t="inlineStr">
        <is>
          <t>二级</t>
        </is>
      </c>
      <c r="B52" s="10" t="inlineStr">
        <is>
          <t>负债余额</t>
        </is>
      </c>
      <c r="C52" s="10" t="inlineStr">
        <is>
          <t>A.12.03</t>
        </is>
      </c>
      <c r="D52" s="10" t="inlineStr">
        <is>
          <t xml:space="preserve">  商户结算便利应付款</t>
        </is>
      </c>
      <c r="M52" t="inlineStr">
        <is>
          <t>12.03</t>
        </is>
      </c>
      <c r="N52" t="inlineStr">
        <is>
          <t>LAST</t>
        </is>
      </c>
    </row>
    <row r="53" ht="16.8" customHeight="1">
      <c r="A53" s="10" t="inlineStr">
        <is>
          <t>二级</t>
        </is>
      </c>
      <c r="B53" s="10" t="inlineStr">
        <is>
          <t>负债余额</t>
        </is>
      </c>
      <c r="C53" s="10" t="inlineStr">
        <is>
          <t>A.12.04</t>
        </is>
      </c>
      <c r="D53" s="10" t="inlineStr">
        <is>
          <t xml:space="preserve">  存款服务</t>
        </is>
      </c>
      <c r="M53" t="inlineStr">
        <is>
          <t>12.04</t>
        </is>
      </c>
      <c r="N53" t="inlineStr">
        <is>
          <t>LAST</t>
        </is>
      </c>
    </row>
    <row r="54" ht="16.8" customHeight="1">
      <c r="A54" s="10" t="inlineStr">
        <is>
          <t>一级</t>
        </is>
      </c>
      <c r="B54" s="10" t="inlineStr">
        <is>
          <t>负债日均</t>
        </is>
      </c>
      <c r="C54" s="10" t="inlineStr">
        <is>
          <t>A.13</t>
        </is>
      </c>
      <c r="D54" s="10" t="inlineStr">
        <is>
          <t>管理资产日均</t>
        </is>
      </c>
      <c r="F54" t="inlineStr">
        <is>
          <t>A.13.01+A.13.02+A.13.03+A.13.04</t>
        </is>
      </c>
      <c r="M54" t="inlineStr">
        <is>
          <t>13</t>
        </is>
      </c>
    </row>
    <row r="55" ht="16.8" customHeight="1">
      <c r="A55" s="10" t="inlineStr">
        <is>
          <t>二级</t>
        </is>
      </c>
      <c r="B55" s="10" t="inlineStr">
        <is>
          <t>负债日均</t>
        </is>
      </c>
      <c r="C55" s="10" t="inlineStr">
        <is>
          <t>A.13.01</t>
        </is>
      </c>
      <c r="D55" s="10" t="inlineStr">
        <is>
          <t xml:space="preserve">  各项存款</t>
        </is>
      </c>
      <c r="M55" t="inlineStr">
        <is>
          <t>13.01</t>
        </is>
      </c>
      <c r="N55" t="inlineStr">
        <is>
          <t>AVG</t>
        </is>
      </c>
    </row>
    <row r="56" ht="16.8" customHeight="1">
      <c r="A56" s="10" t="inlineStr">
        <is>
          <t>二级</t>
        </is>
      </c>
      <c r="B56" s="10" t="inlineStr">
        <is>
          <t>负债日均</t>
        </is>
      </c>
      <c r="C56" s="10" t="inlineStr">
        <is>
          <t>A.13.02</t>
        </is>
      </c>
      <c r="D56" s="10" t="inlineStr">
        <is>
          <t xml:space="preserve">  代销理财</t>
        </is>
      </c>
      <c r="M56" t="inlineStr">
        <is>
          <t>13.02</t>
        </is>
      </c>
      <c r="N56" t="inlineStr">
        <is>
          <t>AVG</t>
        </is>
      </c>
    </row>
    <row r="57" ht="16.8" customHeight="1">
      <c r="A57" s="10" t="inlineStr">
        <is>
          <t>二级</t>
        </is>
      </c>
      <c r="B57" s="10" t="inlineStr">
        <is>
          <t>负债日均</t>
        </is>
      </c>
      <c r="C57" s="10" t="inlineStr">
        <is>
          <t>A.13.03</t>
        </is>
      </c>
      <c r="D57" s="10" t="inlineStr">
        <is>
          <t xml:space="preserve">  商户结算便利应付款</t>
        </is>
      </c>
      <c r="M57" t="inlineStr">
        <is>
          <t>13.03</t>
        </is>
      </c>
      <c r="N57" t="inlineStr">
        <is>
          <t>AVG</t>
        </is>
      </c>
    </row>
    <row r="58" ht="16.8" customHeight="1">
      <c r="A58" s="10" t="inlineStr">
        <is>
          <t>二级</t>
        </is>
      </c>
      <c r="B58" s="10" t="inlineStr">
        <is>
          <t>负债日均</t>
        </is>
      </c>
      <c r="C58" s="10" t="inlineStr">
        <is>
          <t>A.13.04</t>
        </is>
      </c>
      <c r="D58" s="10" t="inlineStr">
        <is>
          <t xml:space="preserve">  存款服务</t>
        </is>
      </c>
      <c r="M58" t="inlineStr">
        <is>
          <t>13.04</t>
        </is>
      </c>
      <c r="N58" t="inlineStr">
        <is>
          <t>AVG</t>
        </is>
      </c>
    </row>
    <row r="59"/>
    <row r="60" ht="16.8" customHeight="1">
      <c r="A60" t="inlineStr">
        <is>
          <t>层级</t>
        </is>
      </c>
      <c r="B60" t="inlineStr">
        <is>
          <t>性质</t>
        </is>
      </c>
      <c r="C60" t="inlineStr">
        <is>
          <t>科目代码</t>
        </is>
      </c>
      <c r="D60" t="inlineStr">
        <is>
          <t>科目名称</t>
        </is>
      </c>
      <c r="F60" t="inlineStr">
        <is>
          <t>年预算公式</t>
        </is>
      </c>
      <c r="J60" t="inlineStr">
        <is>
          <t>公式说明</t>
        </is>
      </c>
      <c r="K60" t="inlineStr">
        <is>
          <t>横向汇总</t>
        </is>
      </c>
      <c r="M60" t="inlineStr">
        <is>
          <t>录入粒度</t>
        </is>
      </c>
    </row>
    <row r="61" ht="16.8" customHeight="1">
      <c r="A61" t="inlineStr">
        <is>
          <t>一级</t>
        </is>
      </c>
      <c r="B61" t="inlineStr">
        <is>
          <t>支出</t>
        </is>
      </c>
      <c r="C61" t="inlineStr">
        <is>
          <t>A.90</t>
        </is>
      </c>
      <c r="D61" t="inlineStr">
        <is>
          <t>减:业务及管理费</t>
        </is>
      </c>
      <c r="F61" t="inlineStr">
        <is>
          <t>A.90.01+A.90.03</t>
        </is>
      </c>
      <c r="K61" t="inlineStr">
        <is>
          <t>是</t>
        </is>
      </c>
      <c r="M61" t="inlineStr">
        <is>
          <t>05</t>
        </is>
      </c>
    </row>
    <row r="62" ht="16.8" customHeight="1">
      <c r="A62" t="inlineStr">
        <is>
          <t>二级</t>
        </is>
      </c>
      <c r="B62" t="inlineStr">
        <is>
          <t>支出</t>
        </is>
      </c>
      <c r="C62" t="inlineStr">
        <is>
          <t>A.90.01</t>
        </is>
      </c>
      <c r="D62" t="inlineStr">
        <is>
          <t>直接费用</t>
        </is>
      </c>
      <c r="F62" t="inlineStr">
        <is>
          <t>A.90.01.01+A.90.01.02</t>
        </is>
      </c>
      <c r="K62" t="inlineStr">
        <is>
          <t>是</t>
        </is>
      </c>
      <c r="M62" t="inlineStr">
        <is>
          <t>05.01</t>
        </is>
      </c>
    </row>
    <row r="63" ht="16.8" customHeight="1">
      <c r="A63" t="inlineStr">
        <is>
          <t>三级</t>
        </is>
      </c>
      <c r="B63" t="inlineStr">
        <is>
          <t>支出</t>
        </is>
      </c>
      <c r="C63" t="inlineStr">
        <is>
          <t>A.90.01.01</t>
        </is>
      </c>
      <c r="D63" t="inlineStr">
        <is>
          <t>直接费用</t>
        </is>
      </c>
      <c r="F63" t="inlineStr">
        <is>
          <t>A.90.01.01.01+A.90.01.01.02+A.90.01.01.03+A.90.01.01.04.001+A.90.01.01.05.001</t>
        </is>
      </c>
      <c r="K63" t="inlineStr">
        <is>
          <t>是</t>
        </is>
      </c>
      <c r="M63" t="inlineStr">
        <is>
          <t>05.01.01</t>
        </is>
      </c>
    </row>
    <row r="64" ht="16.8" customHeight="1">
      <c r="A64" t="inlineStr">
        <is>
          <t>四级</t>
        </is>
      </c>
      <c r="B64" t="inlineStr">
        <is>
          <t>支出</t>
        </is>
      </c>
      <c r="C64" t="inlineStr">
        <is>
          <t>A.90.01.01.01</t>
        </is>
      </c>
      <c r="D64" t="inlineStr">
        <is>
          <t>人力（不含IT)</t>
        </is>
      </c>
      <c r="F64" t="inlineStr">
        <is>
          <t>A.90.01.01.01.001+A.90.01.01.01.002</t>
        </is>
      </c>
      <c r="K64" t="inlineStr">
        <is>
          <t>是</t>
        </is>
      </c>
      <c r="M64" t="inlineStr">
        <is>
          <t>05.01.01.01</t>
        </is>
      </c>
    </row>
    <row r="65" ht="16.8" customHeight="1">
      <c r="A65" t="inlineStr">
        <is>
          <t>五级</t>
        </is>
      </c>
      <c r="B65" t="inlineStr">
        <is>
          <t>支出</t>
        </is>
      </c>
      <c r="C65" t="inlineStr">
        <is>
          <t>A.90.01.01.01.001</t>
        </is>
      </c>
      <c r="D65" t="inlineStr">
        <is>
          <t>业务人力</t>
        </is>
      </c>
      <c r="K65" t="inlineStr">
        <is>
          <t>是</t>
        </is>
      </c>
      <c r="M65" t="inlineStr">
        <is>
          <t>05.01.01.01.001</t>
        </is>
      </c>
      <c r="N65" t="inlineStr">
        <is>
          <t>SUM</t>
        </is>
      </c>
    </row>
    <row r="66" ht="16.8" customHeight="1">
      <c r="A66" t="inlineStr">
        <is>
          <t>五级</t>
        </is>
      </c>
      <c r="B66" t="inlineStr">
        <is>
          <t>支出</t>
        </is>
      </c>
      <c r="C66" t="inlineStr">
        <is>
          <t>A.90.01.01.01.002</t>
        </is>
      </c>
      <c r="D66" t="inlineStr">
        <is>
          <t>特别人力</t>
        </is>
      </c>
      <c r="K66" t="inlineStr">
        <is>
          <t>是</t>
        </is>
      </c>
      <c r="M66" t="inlineStr">
        <is>
          <t>05.01.01.01.002</t>
        </is>
      </c>
      <c r="N66" t="inlineStr">
        <is>
          <t>SUM</t>
        </is>
      </c>
    </row>
    <row r="67" ht="16.8" customHeight="1">
      <c r="A67" t="inlineStr">
        <is>
          <t>四级</t>
        </is>
      </c>
      <c r="B67" t="inlineStr">
        <is>
          <t>支出</t>
        </is>
      </c>
      <c r="C67" t="inlineStr">
        <is>
          <t>A.90.01.01.02</t>
        </is>
      </c>
      <c r="D67" t="inlineStr">
        <is>
          <t>业务费用</t>
        </is>
      </c>
      <c r="F67" t="inlineStr">
        <is>
          <t>A.90.01.01.02.001+A.90.01.01.02.002</t>
        </is>
      </c>
      <c r="K67" t="inlineStr">
        <is>
          <t>是</t>
        </is>
      </c>
      <c r="M67" t="inlineStr">
        <is>
          <t>05.01.01.02</t>
        </is>
      </c>
    </row>
    <row r="68" ht="16.8" customHeight="1">
      <c r="A68" t="inlineStr">
        <is>
          <t>五级</t>
        </is>
      </c>
      <c r="B68" t="inlineStr">
        <is>
          <t>支出</t>
        </is>
      </c>
      <c r="C68" t="inlineStr">
        <is>
          <t>A.90.01.01.02.001</t>
        </is>
      </c>
      <c r="D68" t="inlineStr">
        <is>
          <t>营销</t>
        </is>
      </c>
      <c r="K68" t="inlineStr">
        <is>
          <t>是</t>
        </is>
      </c>
      <c r="M68" t="inlineStr">
        <is>
          <t>05.01.01.02.001</t>
        </is>
      </c>
      <c r="N68" t="inlineStr">
        <is>
          <t>SUM</t>
        </is>
      </c>
    </row>
    <row r="69" ht="16.8" customHeight="1">
      <c r="A69" t="inlineStr">
        <is>
          <t>五级</t>
        </is>
      </c>
      <c r="B69" t="inlineStr">
        <is>
          <t>支出</t>
        </is>
      </c>
      <c r="C69" t="inlineStr">
        <is>
          <t>A.90.01.01.02.002</t>
        </is>
      </c>
      <c r="D69" t="inlineStr">
        <is>
          <t>运营</t>
        </is>
      </c>
      <c r="K69" t="inlineStr">
        <is>
          <t>是</t>
        </is>
      </c>
      <c r="M69" t="inlineStr">
        <is>
          <t>05.01.01.02.002</t>
        </is>
      </c>
      <c r="N69" t="inlineStr">
        <is>
          <t>SUM</t>
        </is>
      </c>
    </row>
    <row r="70" ht="16.8" customHeight="1">
      <c r="A70" t="inlineStr">
        <is>
          <t>四级</t>
        </is>
      </c>
      <c r="B70" t="inlineStr">
        <is>
          <t>支出</t>
        </is>
      </c>
      <c r="C70" t="inlineStr">
        <is>
          <t>A.90.01.01.03</t>
        </is>
      </c>
      <c r="D70" t="inlineStr">
        <is>
          <t>IT</t>
        </is>
      </c>
      <c r="F70" t="inlineStr">
        <is>
          <t>A.90.01.01.03.01+A.90.01.01.03.02.001+A.90.01.01.03.03.001+A.90.01.01.03.04.001</t>
        </is>
      </c>
      <c r="K70" t="inlineStr">
        <is>
          <t>是</t>
        </is>
      </c>
      <c r="M70" t="inlineStr">
        <is>
          <t>05.01.01.03</t>
        </is>
      </c>
    </row>
    <row r="71" ht="16.8" customHeight="1">
      <c r="A71" t="inlineStr">
        <is>
          <t>五级</t>
        </is>
      </c>
      <c r="B71" t="inlineStr">
        <is>
          <t>支出</t>
        </is>
      </c>
      <c r="C71" t="inlineStr">
        <is>
          <t>A.90.01.01.03.01</t>
        </is>
      </c>
      <c r="D71" t="inlineStr">
        <is>
          <t>IT人力</t>
        </is>
      </c>
      <c r="F71" t="inlineStr">
        <is>
          <t>A.90.01.01.03.01.001+A.90.01.01.03.01.002</t>
        </is>
      </c>
      <c r="K71" t="inlineStr">
        <is>
          <t>是</t>
        </is>
      </c>
      <c r="M71" t="inlineStr">
        <is>
          <t>05.01.01.03.01</t>
        </is>
      </c>
    </row>
    <row r="72" ht="16.8" customHeight="1">
      <c r="A72" t="inlineStr">
        <is>
          <t>六级</t>
        </is>
      </c>
      <c r="B72" t="inlineStr">
        <is>
          <t>支出</t>
        </is>
      </c>
      <c r="C72" t="inlineStr">
        <is>
          <t>A.90.01.01.03.01.001</t>
        </is>
      </c>
      <c r="D72" t="inlineStr">
        <is>
          <t>IT常规人力</t>
        </is>
      </c>
      <c r="K72" t="inlineStr">
        <is>
          <t>是</t>
        </is>
      </c>
      <c r="M72" t="inlineStr">
        <is>
          <t>05.01.01.03.01.001</t>
        </is>
      </c>
      <c r="N72" t="inlineStr">
        <is>
          <t>SUM</t>
        </is>
      </c>
    </row>
    <row r="73" ht="16.8" customHeight="1">
      <c r="A73" t="inlineStr">
        <is>
          <t>六级</t>
        </is>
      </c>
      <c r="B73" t="inlineStr">
        <is>
          <t>支出</t>
        </is>
      </c>
      <c r="C73" t="inlineStr">
        <is>
          <t>A.90.01.01.03.01.002</t>
        </is>
      </c>
      <c r="D73" t="inlineStr">
        <is>
          <t>IT特别人力</t>
        </is>
      </c>
      <c r="K73" t="inlineStr">
        <is>
          <t>是</t>
        </is>
      </c>
      <c r="M73" t="inlineStr">
        <is>
          <t>05.01.01.03.01.002</t>
        </is>
      </c>
      <c r="N73" t="inlineStr">
        <is>
          <t>SUM</t>
        </is>
      </c>
    </row>
    <row r="74" ht="16.8" customHeight="1">
      <c r="A74" t="inlineStr">
        <is>
          <t>五级</t>
        </is>
      </c>
      <c r="B74" t="inlineStr">
        <is>
          <t>支出</t>
        </is>
      </c>
      <c r="C74" t="inlineStr">
        <is>
          <t>A.90.01.01.03.02</t>
        </is>
      </c>
      <c r="D74" t="inlineStr">
        <is>
          <t>科技</t>
        </is>
      </c>
      <c r="K74" t="inlineStr">
        <is>
          <t>是</t>
        </is>
      </c>
      <c r="M74" t="inlineStr">
        <is>
          <t>05.01.01.03.02</t>
        </is>
      </c>
      <c r="N74" t="inlineStr">
        <is>
          <t>SUM</t>
        </is>
      </c>
    </row>
    <row r="75" ht="16.8" customHeight="1">
      <c r="A75" t="inlineStr">
        <is>
          <t>五级</t>
        </is>
      </c>
      <c r="B75" t="inlineStr">
        <is>
          <t>支出</t>
        </is>
      </c>
      <c r="C75" t="inlineStr">
        <is>
          <t>A.90.01.01.03.03</t>
        </is>
      </c>
      <c r="D75" t="inlineStr">
        <is>
          <t>IT职场</t>
        </is>
      </c>
      <c r="K75" t="inlineStr">
        <is>
          <t>是</t>
        </is>
      </c>
      <c r="M75" t="inlineStr">
        <is>
          <t>05.01.01.03.03</t>
        </is>
      </c>
      <c r="N75" t="inlineStr">
        <is>
          <t>SUM</t>
        </is>
      </c>
    </row>
    <row r="76" ht="16.8" customHeight="1">
      <c r="A76" t="inlineStr">
        <is>
          <t>五级</t>
        </is>
      </c>
      <c r="B76" t="inlineStr">
        <is>
          <t>支出</t>
        </is>
      </c>
      <c r="C76" t="inlineStr">
        <is>
          <t>A.90.01.01.03.04</t>
        </is>
      </c>
      <c r="D76" t="inlineStr">
        <is>
          <t>IT日常</t>
        </is>
      </c>
      <c r="K76" t="inlineStr">
        <is>
          <t>是</t>
        </is>
      </c>
      <c r="M76" t="inlineStr">
        <is>
          <t>05.01.01.03.04</t>
        </is>
      </c>
      <c r="N76" t="inlineStr">
        <is>
          <t>SUM</t>
        </is>
      </c>
    </row>
    <row r="77" ht="16.8" customHeight="1">
      <c r="A77" t="inlineStr">
        <is>
          <t>四级</t>
        </is>
      </c>
      <c r="B77" t="inlineStr">
        <is>
          <t>支出</t>
        </is>
      </c>
      <c r="C77" t="inlineStr">
        <is>
          <t>A.90.01.01.04</t>
        </is>
      </c>
      <c r="D77" t="inlineStr">
        <is>
          <t>AA.05.01.01.04</t>
        </is>
      </c>
      <c r="F77" t="inlineStr">
        <is>
          <t>A.90.01.01.04.001</t>
        </is>
      </c>
      <c r="K77" t="inlineStr">
        <is>
          <t>是</t>
        </is>
      </c>
      <c r="M77" t="inlineStr">
        <is>
          <t>05.01.01.04</t>
        </is>
      </c>
      <c r="N77" t="inlineStr">
        <is>
          <t>SUM</t>
        </is>
      </c>
    </row>
    <row r="78" ht="16.8" customHeight="1">
      <c r="A78" t="inlineStr">
        <is>
          <t>五级</t>
        </is>
      </c>
      <c r="B78" t="inlineStr">
        <is>
          <t>支出</t>
        </is>
      </c>
      <c r="C78" t="inlineStr">
        <is>
          <t>A.90.01.01.04.001</t>
        </is>
      </c>
      <c r="D78" t="inlineStr">
        <is>
          <t>职场</t>
        </is>
      </c>
      <c r="K78" t="inlineStr">
        <is>
          <t>是</t>
        </is>
      </c>
      <c r="M78" t="inlineStr">
        <is>
          <t>05.01.01.04.001</t>
        </is>
      </c>
      <c r="N78" t="inlineStr">
        <is>
          <t>SUM</t>
        </is>
      </c>
    </row>
    <row r="79" ht="16.8" customHeight="1">
      <c r="A79" t="inlineStr">
        <is>
          <t>四级</t>
        </is>
      </c>
      <c r="B79" t="inlineStr">
        <is>
          <t>支出</t>
        </is>
      </c>
      <c r="C79" t="inlineStr">
        <is>
          <t>A.90.01.01.05</t>
        </is>
      </c>
      <c r="D79" t="inlineStr">
        <is>
          <t>AA.05.01.01.05</t>
        </is>
      </c>
      <c r="F79" t="inlineStr">
        <is>
          <t>A.90.01.01.05.001</t>
        </is>
      </c>
      <c r="K79" t="inlineStr">
        <is>
          <t>是</t>
        </is>
      </c>
      <c r="M79" t="inlineStr">
        <is>
          <t>05.01.01.05</t>
        </is>
      </c>
      <c r="N79" t="inlineStr">
        <is>
          <t>SUM</t>
        </is>
      </c>
    </row>
    <row r="80" ht="16.8" customHeight="1">
      <c r="A80" t="inlineStr">
        <is>
          <t>五级</t>
        </is>
      </c>
      <c r="B80" t="inlineStr">
        <is>
          <t>支出</t>
        </is>
      </c>
      <c r="C80" t="inlineStr">
        <is>
          <t>A.90.01.01.05.001</t>
        </is>
      </c>
      <c r="D80" t="inlineStr">
        <is>
          <t>日常</t>
        </is>
      </c>
      <c r="K80" t="inlineStr">
        <is>
          <t>是</t>
        </is>
      </c>
      <c r="M80" t="inlineStr">
        <is>
          <t>05.01.01.05.001</t>
        </is>
      </c>
      <c r="N80" t="inlineStr">
        <is>
          <t>SUM</t>
        </is>
      </c>
    </row>
    <row r="81" ht="16.8" customHeight="1">
      <c r="A81" t="inlineStr">
        <is>
          <t>三级</t>
        </is>
      </c>
      <c r="B81" t="inlineStr">
        <is>
          <t>支出</t>
        </is>
      </c>
      <c r="C81" t="inlineStr">
        <is>
          <t>A.90.01.02</t>
        </is>
      </c>
      <c r="D81" t="inlineStr">
        <is>
          <t>间接费用</t>
        </is>
      </c>
      <c r="F81" t="inlineStr">
        <is>
          <t>A.90.01.02.01+A.90.01.02.02+A.90.01.02.03+A.90.01.02.04.001+A.90.01.02.05.001</t>
        </is>
      </c>
      <c r="K81" t="inlineStr">
        <is>
          <t>是</t>
        </is>
      </c>
      <c r="M81" t="inlineStr">
        <is>
          <t>05.01.02</t>
        </is>
      </c>
    </row>
    <row r="82" ht="16.8" customHeight="1">
      <c r="A82" t="inlineStr">
        <is>
          <t>四级</t>
        </is>
      </c>
      <c r="B82" t="inlineStr">
        <is>
          <t>支出</t>
        </is>
      </c>
      <c r="C82" t="inlineStr">
        <is>
          <t>A.90.01.02.01</t>
        </is>
      </c>
      <c r="D82" t="inlineStr">
        <is>
          <t>人力（不含IT)</t>
        </is>
      </c>
      <c r="F82" t="inlineStr">
        <is>
          <t>A.90.01.02.01.001+A.90.01.02.01.002</t>
        </is>
      </c>
      <c r="K82" t="inlineStr">
        <is>
          <t>是</t>
        </is>
      </c>
      <c r="M82" t="inlineStr">
        <is>
          <t>05.01.02.01</t>
        </is>
      </c>
    </row>
    <row r="83" ht="16.8" customHeight="1">
      <c r="A83" t="inlineStr">
        <is>
          <t>五级</t>
        </is>
      </c>
      <c r="B83" t="inlineStr">
        <is>
          <t>支出</t>
        </is>
      </c>
      <c r="C83" t="inlineStr">
        <is>
          <t>A.90.01.02.01.001</t>
        </is>
      </c>
      <c r="D83" t="inlineStr">
        <is>
          <t>业务人力</t>
        </is>
      </c>
      <c r="K83" t="inlineStr">
        <is>
          <t>是</t>
        </is>
      </c>
      <c r="M83" t="inlineStr">
        <is>
          <t>05.01.02.01.001</t>
        </is>
      </c>
      <c r="N83" t="inlineStr">
        <is>
          <t>SUM</t>
        </is>
      </c>
    </row>
    <row r="84" ht="16.8" customHeight="1">
      <c r="A84" t="inlineStr">
        <is>
          <t>五级</t>
        </is>
      </c>
      <c r="B84" t="inlineStr">
        <is>
          <t>支出</t>
        </is>
      </c>
      <c r="C84" t="inlineStr">
        <is>
          <t>A.90.01.02.01.002</t>
        </is>
      </c>
      <c r="D84" t="inlineStr">
        <is>
          <t>特别人力</t>
        </is>
      </c>
      <c r="K84" t="inlineStr">
        <is>
          <t>是</t>
        </is>
      </c>
      <c r="M84" t="inlineStr">
        <is>
          <t>05.01.02.01.002</t>
        </is>
      </c>
      <c r="N84" t="inlineStr">
        <is>
          <t>SUM</t>
        </is>
      </c>
    </row>
    <row r="85" ht="16.8" customHeight="1">
      <c r="A85" t="inlineStr">
        <is>
          <t>四级</t>
        </is>
      </c>
      <c r="B85" t="inlineStr">
        <is>
          <t>支出</t>
        </is>
      </c>
      <c r="C85" t="inlineStr">
        <is>
          <t>A.90.01.02.02</t>
        </is>
      </c>
      <c r="D85" t="inlineStr">
        <is>
          <t>业务费用</t>
        </is>
      </c>
      <c r="F85" t="inlineStr">
        <is>
          <t>A.90.01.02.02.001+A.90.01.02.02.002</t>
        </is>
      </c>
      <c r="K85" t="inlineStr">
        <is>
          <t>是</t>
        </is>
      </c>
      <c r="M85" t="inlineStr">
        <is>
          <t>05.01.02.02</t>
        </is>
      </c>
    </row>
    <row r="86" ht="16.8" customHeight="1">
      <c r="A86" t="inlineStr">
        <is>
          <t>五级</t>
        </is>
      </c>
      <c r="B86" t="inlineStr">
        <is>
          <t>支出</t>
        </is>
      </c>
      <c r="C86" t="inlineStr">
        <is>
          <t>A.90.01.02.02.001</t>
        </is>
      </c>
      <c r="D86" t="inlineStr">
        <is>
          <t>营销</t>
        </is>
      </c>
      <c r="K86" t="inlineStr">
        <is>
          <t>是</t>
        </is>
      </c>
      <c r="M86" t="inlineStr">
        <is>
          <t>05.01.02.02.001</t>
        </is>
      </c>
      <c r="N86" t="inlineStr">
        <is>
          <t>SUM</t>
        </is>
      </c>
    </row>
    <row r="87" ht="16.8" customHeight="1">
      <c r="A87" t="inlineStr">
        <is>
          <t>五级</t>
        </is>
      </c>
      <c r="B87" t="inlineStr">
        <is>
          <t>支出</t>
        </is>
      </c>
      <c r="C87" t="inlineStr">
        <is>
          <t>A.90.01.02.02.002</t>
        </is>
      </c>
      <c r="D87" t="inlineStr">
        <is>
          <t>运营</t>
        </is>
      </c>
      <c r="K87" t="inlineStr">
        <is>
          <t>是</t>
        </is>
      </c>
      <c r="M87" t="inlineStr">
        <is>
          <t>05.01.02.02.002</t>
        </is>
      </c>
      <c r="N87" t="inlineStr">
        <is>
          <t>SUM</t>
        </is>
      </c>
    </row>
    <row r="88" ht="16.8" customHeight="1">
      <c r="A88" t="inlineStr">
        <is>
          <t>四级</t>
        </is>
      </c>
      <c r="B88" t="inlineStr">
        <is>
          <t>支出</t>
        </is>
      </c>
      <c r="C88" t="inlineStr">
        <is>
          <t>A.90.01.02.03</t>
        </is>
      </c>
      <c r="D88" t="inlineStr">
        <is>
          <t>IT</t>
        </is>
      </c>
      <c r="F88" t="inlineStr">
        <is>
          <t>A.90.01.02.03.01+A.90.01.02.03.02.001+A.90.01.02.03.03.001+A.90.01.02.03.04.001</t>
        </is>
      </c>
      <c r="K88" t="inlineStr">
        <is>
          <t>是</t>
        </is>
      </c>
      <c r="M88" t="inlineStr">
        <is>
          <t>05.01.02.03</t>
        </is>
      </c>
    </row>
    <row r="89" ht="16.8" customHeight="1">
      <c r="A89" t="inlineStr">
        <is>
          <t>五级</t>
        </is>
      </c>
      <c r="B89" t="inlineStr">
        <is>
          <t>支出</t>
        </is>
      </c>
      <c r="C89" t="inlineStr">
        <is>
          <t>A.90.01.02.03.01</t>
        </is>
      </c>
      <c r="D89" t="inlineStr">
        <is>
          <t>IT人力</t>
        </is>
      </c>
      <c r="F89" t="inlineStr">
        <is>
          <t>A.90.01.02.03.01.001+A.90.01.02.03.01.002</t>
        </is>
      </c>
      <c r="K89" t="inlineStr">
        <is>
          <t>是</t>
        </is>
      </c>
      <c r="M89" t="inlineStr">
        <is>
          <t>05.01.02.03.01</t>
        </is>
      </c>
    </row>
    <row r="90" ht="16.8" customHeight="1">
      <c r="A90" t="inlineStr">
        <is>
          <t>六级</t>
        </is>
      </c>
      <c r="B90" t="inlineStr">
        <is>
          <t>支出</t>
        </is>
      </c>
      <c r="C90" t="inlineStr">
        <is>
          <t>A.90.01.02.03.01.001</t>
        </is>
      </c>
      <c r="D90" t="inlineStr">
        <is>
          <t>IT常规人力</t>
        </is>
      </c>
      <c r="K90" t="inlineStr">
        <is>
          <t>是</t>
        </is>
      </c>
      <c r="M90" t="inlineStr">
        <is>
          <t>05.01.02.03.01.001</t>
        </is>
      </c>
      <c r="N90" t="inlineStr">
        <is>
          <t>SUM</t>
        </is>
      </c>
    </row>
    <row r="91" ht="16.8" customHeight="1">
      <c r="A91" t="inlineStr">
        <is>
          <t>六级</t>
        </is>
      </c>
      <c r="B91" t="inlineStr">
        <is>
          <t>支出</t>
        </is>
      </c>
      <c r="C91" t="inlineStr">
        <is>
          <t>A.90.01.02.03.01.002</t>
        </is>
      </c>
      <c r="D91" t="inlineStr">
        <is>
          <t>IT特别人力</t>
        </is>
      </c>
      <c r="K91" t="inlineStr">
        <is>
          <t>是</t>
        </is>
      </c>
      <c r="M91" t="inlineStr">
        <is>
          <t>05.01.02.03.01.002</t>
        </is>
      </c>
      <c r="N91" t="inlineStr">
        <is>
          <t>SUM</t>
        </is>
      </c>
    </row>
    <row r="92" ht="16.8" customHeight="1">
      <c r="A92" t="inlineStr">
        <is>
          <t>五级</t>
        </is>
      </c>
      <c r="B92" t="inlineStr">
        <is>
          <t>支出</t>
        </is>
      </c>
      <c r="C92" t="inlineStr">
        <is>
          <t>A.90.01.02.03.02</t>
        </is>
      </c>
      <c r="D92" t="inlineStr">
        <is>
          <t>AA.05.01.02.03.02</t>
        </is>
      </c>
      <c r="F92" t="inlineStr">
        <is>
          <t>A.90.01.02.03.02.001</t>
        </is>
      </c>
      <c r="K92" t="inlineStr">
        <is>
          <t>是</t>
        </is>
      </c>
      <c r="M92" t="inlineStr">
        <is>
          <t>05.01.02.03.02</t>
        </is>
      </c>
      <c r="N92" t="inlineStr">
        <is>
          <t>SUM</t>
        </is>
      </c>
    </row>
    <row r="93" ht="16.8" customHeight="1">
      <c r="A93" t="inlineStr">
        <is>
          <t>六级</t>
        </is>
      </c>
      <c r="B93" t="inlineStr">
        <is>
          <t>支出</t>
        </is>
      </c>
      <c r="C93" t="inlineStr">
        <is>
          <t>A.90.01.02.03.02.001</t>
        </is>
      </c>
      <c r="D93" t="inlineStr">
        <is>
          <t>科技</t>
        </is>
      </c>
      <c r="K93" t="inlineStr">
        <is>
          <t>是</t>
        </is>
      </c>
      <c r="M93" t="inlineStr">
        <is>
          <t>05.01.02.03.02.001</t>
        </is>
      </c>
      <c r="N93" t="inlineStr">
        <is>
          <t>SUM</t>
        </is>
      </c>
    </row>
    <row r="94" ht="16.8" customHeight="1">
      <c r="A94" t="inlineStr">
        <is>
          <t>五级</t>
        </is>
      </c>
      <c r="B94" t="inlineStr">
        <is>
          <t>支出</t>
        </is>
      </c>
      <c r="C94" t="inlineStr">
        <is>
          <t>A.90.01.02.03.03</t>
        </is>
      </c>
      <c r="D94" t="inlineStr">
        <is>
          <t>AA.05.01.02.03.03</t>
        </is>
      </c>
      <c r="F94" t="inlineStr">
        <is>
          <t>A.90.01.02.03.03.001</t>
        </is>
      </c>
      <c r="K94" t="inlineStr">
        <is>
          <t>是</t>
        </is>
      </c>
      <c r="M94" t="inlineStr">
        <is>
          <t>05.01.02.03.03</t>
        </is>
      </c>
      <c r="N94" t="inlineStr">
        <is>
          <t>SUM</t>
        </is>
      </c>
    </row>
    <row r="95" ht="16.8" customHeight="1">
      <c r="A95" t="inlineStr">
        <is>
          <t>六级</t>
        </is>
      </c>
      <c r="B95" t="inlineStr">
        <is>
          <t>支出</t>
        </is>
      </c>
      <c r="C95" t="inlineStr">
        <is>
          <t>A.90.01.02.03.03.001</t>
        </is>
      </c>
      <c r="D95" t="inlineStr">
        <is>
          <t>IT职场</t>
        </is>
      </c>
      <c r="K95" t="inlineStr">
        <is>
          <t>是</t>
        </is>
      </c>
      <c r="M95" t="inlineStr">
        <is>
          <t>05.01.02.03.03.001</t>
        </is>
      </c>
      <c r="N95" t="inlineStr">
        <is>
          <t>SUM</t>
        </is>
      </c>
    </row>
    <row r="96" ht="16.8" customHeight="1">
      <c r="A96" t="inlineStr">
        <is>
          <t>五级</t>
        </is>
      </c>
      <c r="B96" t="inlineStr">
        <is>
          <t>支出</t>
        </is>
      </c>
      <c r="C96" t="inlineStr">
        <is>
          <t>A.90.01.02.03.04</t>
        </is>
      </c>
      <c r="D96" t="inlineStr">
        <is>
          <t>AA.05.01.02.03.04</t>
        </is>
      </c>
      <c r="F96" t="inlineStr">
        <is>
          <t>A.90.01.02.03.04.001</t>
        </is>
      </c>
      <c r="K96" t="inlineStr">
        <is>
          <t>是</t>
        </is>
      </c>
      <c r="M96" t="inlineStr">
        <is>
          <t>05.01.02.03.04</t>
        </is>
      </c>
      <c r="N96" t="inlineStr">
        <is>
          <t>SUM</t>
        </is>
      </c>
    </row>
    <row r="97" ht="16.8" customHeight="1">
      <c r="A97" t="inlineStr">
        <is>
          <t>六级</t>
        </is>
      </c>
      <c r="B97" t="inlineStr">
        <is>
          <t>支出</t>
        </is>
      </c>
      <c r="C97" t="inlineStr">
        <is>
          <t>A.90.01.02.03.04.001</t>
        </is>
      </c>
      <c r="D97" t="inlineStr">
        <is>
          <t>IT日常</t>
        </is>
      </c>
      <c r="K97" t="inlineStr">
        <is>
          <t>是</t>
        </is>
      </c>
      <c r="M97" t="inlineStr">
        <is>
          <t>05.01.02.03.04.001</t>
        </is>
      </c>
      <c r="N97" t="inlineStr">
        <is>
          <t>SUM</t>
        </is>
      </c>
    </row>
    <row r="98" ht="16.8" customHeight="1">
      <c r="A98" t="inlineStr">
        <is>
          <t>四级</t>
        </is>
      </c>
      <c r="B98" t="inlineStr">
        <is>
          <t>支出</t>
        </is>
      </c>
      <c r="C98" t="inlineStr">
        <is>
          <t>A.90.01.02.04</t>
        </is>
      </c>
      <c r="D98" t="inlineStr">
        <is>
          <t>AA.05.01.02.04</t>
        </is>
      </c>
      <c r="F98" t="inlineStr">
        <is>
          <t>A.90.01.02.04.001</t>
        </is>
      </c>
      <c r="K98" t="inlineStr">
        <is>
          <t>是</t>
        </is>
      </c>
      <c r="M98" t="inlineStr">
        <is>
          <t>05.01.02.04</t>
        </is>
      </c>
      <c r="N98" t="inlineStr">
        <is>
          <t>SUM</t>
        </is>
      </c>
    </row>
    <row r="99" ht="16.8" customHeight="1">
      <c r="A99" t="inlineStr">
        <is>
          <t>五级</t>
        </is>
      </c>
      <c r="B99" t="inlineStr">
        <is>
          <t>支出</t>
        </is>
      </c>
      <c r="C99" t="inlineStr">
        <is>
          <t>A.90.01.02.04.001</t>
        </is>
      </c>
      <c r="D99" t="inlineStr">
        <is>
          <t>职场</t>
        </is>
      </c>
      <c r="K99" t="inlineStr">
        <is>
          <t>是</t>
        </is>
      </c>
      <c r="M99" t="inlineStr">
        <is>
          <t>05.01.02.04.001</t>
        </is>
      </c>
      <c r="N99" t="inlineStr">
        <is>
          <t>SUM</t>
        </is>
      </c>
    </row>
    <row r="100" ht="16.8" customHeight="1">
      <c r="A100" t="inlineStr">
        <is>
          <t>四级</t>
        </is>
      </c>
      <c r="B100" t="inlineStr">
        <is>
          <t>支出</t>
        </is>
      </c>
      <c r="C100" t="inlineStr">
        <is>
          <t>A.90.01.02.05</t>
        </is>
      </c>
      <c r="D100" t="inlineStr">
        <is>
          <t>AA.05.01.02.05</t>
        </is>
      </c>
      <c r="F100" t="inlineStr">
        <is>
          <t>A.90.01.02.05.001</t>
        </is>
      </c>
      <c r="K100" t="inlineStr">
        <is>
          <t>是</t>
        </is>
      </c>
      <c r="M100" t="inlineStr">
        <is>
          <t>05.01.02.05</t>
        </is>
      </c>
      <c r="N100" t="inlineStr">
        <is>
          <t>SUM</t>
        </is>
      </c>
    </row>
    <row r="101" ht="16.8" customHeight="1">
      <c r="A101" t="inlineStr">
        <is>
          <t>五级</t>
        </is>
      </c>
      <c r="B101" t="inlineStr">
        <is>
          <t>支出</t>
        </is>
      </c>
      <c r="C101" t="inlineStr">
        <is>
          <t>A.90.01.02.05.001</t>
        </is>
      </c>
      <c r="D101" t="inlineStr">
        <is>
          <t>日常</t>
        </is>
      </c>
      <c r="K101" t="inlineStr">
        <is>
          <t>是</t>
        </is>
      </c>
      <c r="M101" t="inlineStr">
        <is>
          <t>05.01.02.05.001</t>
        </is>
      </c>
      <c r="N101" t="inlineStr">
        <is>
          <t>SUM</t>
        </is>
      </c>
    </row>
    <row r="102" ht="16.8" customHeight="1">
      <c r="A102" t="inlineStr">
        <is>
          <t>二级</t>
        </is>
      </c>
      <c r="B102" t="inlineStr">
        <is>
          <t>支出</t>
        </is>
      </c>
      <c r="C102" t="inlineStr">
        <is>
          <t>A.90.02</t>
        </is>
      </c>
      <c r="D102" t="inlineStr">
        <is>
          <t>业务费用</t>
        </is>
      </c>
      <c r="F102" t="inlineStr">
        <is>
          <t>A.90.02.01+A.90.02.02</t>
        </is>
      </c>
      <c r="K102" t="inlineStr">
        <is>
          <t>是</t>
        </is>
      </c>
      <c r="N102" t="inlineStr">
        <is>
          <t>SUM</t>
        </is>
      </c>
    </row>
    <row r="103" ht="16.8" customHeight="1">
      <c r="A103" t="inlineStr">
        <is>
          <t>三级</t>
        </is>
      </c>
      <c r="B103" t="inlineStr">
        <is>
          <t>支出</t>
        </is>
      </c>
      <c r="C103" t="inlineStr">
        <is>
          <t>A.90.02.01</t>
        </is>
      </c>
      <c r="D103" t="inlineStr">
        <is>
          <t>营销费用</t>
        </is>
      </c>
      <c r="K103" t="inlineStr">
        <is>
          <t>是</t>
        </is>
      </c>
      <c r="N103" t="inlineStr">
        <is>
          <t>SUM</t>
        </is>
      </c>
    </row>
    <row r="104" ht="16.8" customHeight="1">
      <c r="A104" t="inlineStr">
        <is>
          <t>三级</t>
        </is>
      </c>
      <c r="B104" t="inlineStr">
        <is>
          <t>支出</t>
        </is>
      </c>
      <c r="C104" t="inlineStr">
        <is>
          <t>A.90.02.02</t>
        </is>
      </c>
      <c r="D104" t="inlineStr">
        <is>
          <t>运营费用</t>
        </is>
      </c>
      <c r="K104" t="inlineStr">
        <is>
          <t>是</t>
        </is>
      </c>
      <c r="N104" t="inlineStr">
        <is>
          <t>SUM</t>
        </is>
      </c>
    </row>
    <row r="105" ht="16.8" customHeight="1">
      <c r="A105" t="inlineStr">
        <is>
          <t>二级</t>
        </is>
      </c>
      <c r="B105" t="inlineStr">
        <is>
          <t>支出</t>
        </is>
      </c>
      <c r="C105" t="inlineStr">
        <is>
          <t>A.90.03</t>
        </is>
      </c>
      <c r="D105" t="inlineStr">
        <is>
          <t>业务支出评估</t>
        </is>
      </c>
      <c r="F105" t="inlineStr">
        <is>
          <t>A.90.03.09</t>
        </is>
      </c>
      <c r="K105" t="inlineStr">
        <is>
          <t>是</t>
        </is>
      </c>
      <c r="M105" t="inlineStr">
        <is>
          <t>05.02</t>
        </is>
      </c>
    </row>
    <row r="106" ht="16.8" customHeight="1">
      <c r="A106" t="inlineStr">
        <is>
          <t>三级</t>
        </is>
      </c>
      <c r="B106" t="inlineStr">
        <is>
          <t>支出</t>
        </is>
      </c>
      <c r="C106" t="inlineStr">
        <is>
          <t>A.90.03.09</t>
        </is>
      </c>
      <c r="D106" t="inlineStr">
        <is>
          <t>客户经营指标</t>
        </is>
      </c>
      <c r="F106" t="inlineStr">
        <is>
          <t>A.90.03.09.01+A.90.03.09.02+A.90.03.09.03</t>
        </is>
      </c>
      <c r="K106" t="inlineStr">
        <is>
          <t>是</t>
        </is>
      </c>
      <c r="M106" t="inlineStr">
        <is>
          <t>05.02.09</t>
        </is>
      </c>
    </row>
    <row r="107" ht="16.8" customHeight="1">
      <c r="A107" t="inlineStr">
        <is>
          <t>四级</t>
        </is>
      </c>
      <c r="B107" t="inlineStr">
        <is>
          <t>支出</t>
        </is>
      </c>
      <c r="C107" t="inlineStr">
        <is>
          <t>A.90.03.09.01</t>
        </is>
      </c>
      <c r="D107" t="inlineStr">
        <is>
          <t>客户营销与投入</t>
        </is>
      </c>
      <c r="F107" t="inlineStr">
        <is>
          <t>A.90.03.09.01.001+A.90.03.09.01.002+A.90.03.09.01.003+A.90.03.09.01.004</t>
        </is>
      </c>
      <c r="K107" t="inlineStr">
        <is>
          <t>是</t>
        </is>
      </c>
      <c r="M107" t="inlineStr">
        <is>
          <t>05.02.09.01</t>
        </is>
      </c>
    </row>
    <row r="108" ht="16.8" customHeight="1">
      <c r="A108" t="inlineStr">
        <is>
          <t>五级</t>
        </is>
      </c>
      <c r="B108" t="inlineStr">
        <is>
          <t>支出</t>
        </is>
      </c>
      <c r="C108" t="inlineStr">
        <is>
          <t>A.90.03.09.01.001</t>
        </is>
      </c>
      <c r="D108" t="inlineStr">
        <is>
          <t>新客营销支出</t>
        </is>
      </c>
      <c r="K108" t="inlineStr">
        <is>
          <t>是</t>
        </is>
      </c>
      <c r="M108" t="inlineStr">
        <is>
          <t>05.02.09.01.001</t>
        </is>
      </c>
      <c r="N108" t="inlineStr">
        <is>
          <t>SUM</t>
        </is>
      </c>
    </row>
    <row r="109" ht="16.8" customHeight="1">
      <c r="A109" t="inlineStr">
        <is>
          <t>五级</t>
        </is>
      </c>
      <c r="B109" t="inlineStr">
        <is>
          <t>支出</t>
        </is>
      </c>
      <c r="C109" t="inlineStr">
        <is>
          <t>A.90.03.09.01.002</t>
        </is>
      </c>
      <c r="D109" t="inlineStr">
        <is>
          <t>存客营销支出</t>
        </is>
      </c>
      <c r="K109" t="inlineStr">
        <is>
          <t>是</t>
        </is>
      </c>
      <c r="M109" t="inlineStr">
        <is>
          <t>05.02.09.01.002</t>
        </is>
      </c>
      <c r="N109" t="inlineStr">
        <is>
          <t>SUM</t>
        </is>
      </c>
    </row>
    <row r="110" ht="16.8" customHeight="1">
      <c r="A110" t="inlineStr">
        <is>
          <t>五级</t>
        </is>
      </c>
      <c r="B110" t="inlineStr">
        <is>
          <t>支出</t>
        </is>
      </c>
      <c r="C110" t="inlineStr">
        <is>
          <t>A.90.03.09.01.003</t>
        </is>
      </c>
      <c r="D110" t="inlineStr">
        <is>
          <t>新开通客户投入</t>
        </is>
      </c>
      <c r="K110" t="inlineStr">
        <is>
          <t>是</t>
        </is>
      </c>
      <c r="M110" t="inlineStr">
        <is>
          <t>05.02.09.01.003</t>
        </is>
      </c>
      <c r="N110" t="inlineStr">
        <is>
          <t>SUM</t>
        </is>
      </c>
    </row>
    <row r="111" ht="16.8" customHeight="1">
      <c r="A111" t="inlineStr">
        <is>
          <t>五级</t>
        </is>
      </c>
      <c r="B111" t="inlineStr">
        <is>
          <t>支出</t>
        </is>
      </c>
      <c r="C111" t="inlineStr">
        <is>
          <t>A.90.03.09.01.004</t>
        </is>
      </c>
      <c r="D111" t="inlineStr">
        <is>
          <t>新发放投入</t>
        </is>
      </c>
      <c r="K111" t="inlineStr">
        <is>
          <t>是</t>
        </is>
      </c>
      <c r="M111" t="inlineStr">
        <is>
          <t>05.02.09.01.004</t>
        </is>
      </c>
      <c r="N111" t="inlineStr">
        <is>
          <t>SUM</t>
        </is>
      </c>
    </row>
    <row r="112" ht="16.8" customHeight="1">
      <c r="A112" t="inlineStr">
        <is>
          <t>四级</t>
        </is>
      </c>
      <c r="B112" t="inlineStr">
        <is>
          <t>支出</t>
        </is>
      </c>
      <c r="C112" t="inlineStr">
        <is>
          <t>A.90.03.09.02</t>
        </is>
      </c>
      <c r="D112" t="inlineStr">
        <is>
          <t>客户规模与数量</t>
        </is>
      </c>
      <c r="F112" t="inlineStr">
        <is>
          <t>A.90.03.09.02.101+A.90.03.09.02.102+A.90.03.09.02.103</t>
        </is>
      </c>
      <c r="K112" t="inlineStr">
        <is>
          <t>是</t>
        </is>
      </c>
      <c r="M112" t="inlineStr">
        <is>
          <t>05.02.09.02</t>
        </is>
      </c>
    </row>
    <row r="113" ht="16.8" customHeight="1">
      <c r="A113" t="inlineStr">
        <is>
          <t>五级</t>
        </is>
      </c>
      <c r="B113" t="inlineStr">
        <is>
          <t>支出</t>
        </is>
      </c>
      <c r="C113" t="inlineStr">
        <is>
          <t>A.90.03.09.02.001</t>
        </is>
      </c>
      <c r="D113" t="inlineStr">
        <is>
          <t>新客日均LUM</t>
        </is>
      </c>
      <c r="K113" t="inlineStr">
        <is>
          <t>是</t>
        </is>
      </c>
      <c r="M113" t="inlineStr">
        <is>
          <t>05.02.09.02.001</t>
        </is>
      </c>
      <c r="N113" t="inlineStr">
        <is>
          <t>SUM</t>
        </is>
      </c>
    </row>
    <row r="114" ht="16.8" customHeight="1">
      <c r="A114" t="inlineStr">
        <is>
          <t>五级</t>
        </is>
      </c>
      <c r="B114" t="inlineStr">
        <is>
          <t>支出</t>
        </is>
      </c>
      <c r="C114" t="inlineStr">
        <is>
          <t>A.90.03.09.02.002</t>
        </is>
      </c>
      <c r="D114" t="inlineStr">
        <is>
          <t>存客日均LUM</t>
        </is>
      </c>
      <c r="K114" t="inlineStr">
        <is>
          <t>是</t>
        </is>
      </c>
      <c r="M114" t="inlineStr">
        <is>
          <t>05.02.09.02.002</t>
        </is>
      </c>
      <c r="N114" t="inlineStr">
        <is>
          <t>SUM</t>
        </is>
      </c>
    </row>
    <row r="115" ht="16.8" customHeight="1">
      <c r="A115" t="inlineStr">
        <is>
          <t>五级</t>
        </is>
      </c>
      <c r="B115" t="inlineStr">
        <is>
          <t>支出</t>
        </is>
      </c>
      <c r="C115" t="inlineStr">
        <is>
          <t>A.90.03.09.02.003</t>
        </is>
      </c>
      <c r="D115" t="inlineStr">
        <is>
          <t>新开通客户数</t>
        </is>
      </c>
      <c r="K115" t="inlineStr">
        <is>
          <t>是</t>
        </is>
      </c>
      <c r="M115" t="inlineStr">
        <is>
          <t>05.02.09.02.003</t>
        </is>
      </c>
      <c r="N115" t="inlineStr">
        <is>
          <t>SUM</t>
        </is>
      </c>
    </row>
    <row r="116" ht="16.8" customHeight="1">
      <c r="A116" t="inlineStr">
        <is>
          <t>五级</t>
        </is>
      </c>
      <c r="B116" t="inlineStr">
        <is>
          <t>支出</t>
        </is>
      </c>
      <c r="C116" t="inlineStr">
        <is>
          <t>A.90.03.09.02.004</t>
        </is>
      </c>
      <c r="D116" t="inlineStr">
        <is>
          <t>平均有效客户数</t>
        </is>
      </c>
      <c r="K116" t="inlineStr">
        <is>
          <t>是</t>
        </is>
      </c>
      <c r="M116" t="inlineStr">
        <is>
          <t>05.02.09.02.004</t>
        </is>
      </c>
      <c r="N116" t="inlineStr">
        <is>
          <t>SUM</t>
        </is>
      </c>
    </row>
    <row r="117" ht="16.8" customHeight="1">
      <c r="A117" t="inlineStr">
        <is>
          <t>五级</t>
        </is>
      </c>
      <c r="B117" t="inlineStr">
        <is>
          <t>支出</t>
        </is>
      </c>
      <c r="C117" t="inlineStr">
        <is>
          <t>A.90.03.09.02.005</t>
        </is>
      </c>
      <c r="D117" t="inlineStr">
        <is>
          <t>新发放LUM</t>
        </is>
      </c>
      <c r="K117" t="inlineStr">
        <is>
          <t>是</t>
        </is>
      </c>
      <c r="M117" t="inlineStr">
        <is>
          <t>05.02.09.02.005</t>
        </is>
      </c>
      <c r="N117" t="inlineStr">
        <is>
          <t>SUM</t>
        </is>
      </c>
    </row>
    <row r="118" ht="16.8" customHeight="1">
      <c r="A118" t="inlineStr">
        <is>
          <t>五级</t>
        </is>
      </c>
      <c r="B118" t="inlineStr">
        <is>
          <t>支出</t>
        </is>
      </c>
      <c r="C118" t="inlineStr">
        <is>
          <t>A.90.03.09.02.006</t>
        </is>
      </c>
      <c r="D118" t="inlineStr">
        <is>
          <t>新发放LUM（标服）</t>
        </is>
      </c>
      <c r="K118" t="inlineStr">
        <is>
          <t>是</t>
        </is>
      </c>
      <c r="M118" t="inlineStr">
        <is>
          <t>05.02.09.02.006</t>
        </is>
      </c>
      <c r="N118" t="inlineStr">
        <is>
          <t>SUM</t>
        </is>
      </c>
    </row>
    <row r="119" ht="16.8" customHeight="1">
      <c r="A119" t="inlineStr">
        <is>
          <t>五级</t>
        </is>
      </c>
      <c r="B119" t="inlineStr">
        <is>
          <t>支出</t>
        </is>
      </c>
      <c r="C119" t="inlineStr">
        <is>
          <t>A.90.03.09.02.007</t>
        </is>
      </c>
      <c r="D119" t="inlineStr">
        <is>
          <t>存客日均AuM</t>
        </is>
      </c>
      <c r="K119" t="inlineStr">
        <is>
          <t>是</t>
        </is>
      </c>
      <c r="M119" t="inlineStr">
        <is>
          <t>05.02.09.02.007</t>
        </is>
      </c>
      <c r="N119" t="inlineStr">
        <is>
          <t>SUM</t>
        </is>
      </c>
    </row>
    <row r="120" ht="16.8" customHeight="1">
      <c r="A120" t="inlineStr">
        <is>
          <t>五级</t>
        </is>
      </c>
      <c r="B120" t="inlineStr">
        <is>
          <t>支出</t>
        </is>
      </c>
      <c r="C120" t="inlineStr">
        <is>
          <t>A.90.03.09.02.008</t>
        </is>
      </c>
      <c r="D120" t="inlineStr">
        <is>
          <t>新客AuM余额</t>
        </is>
      </c>
      <c r="K120" t="inlineStr">
        <is>
          <t>是</t>
        </is>
      </c>
      <c r="M120" t="inlineStr">
        <is>
          <t>05.02.09.02.008</t>
        </is>
      </c>
      <c r="N120" t="inlineStr">
        <is>
          <t>SUM</t>
        </is>
      </c>
    </row>
    <row r="121" ht="16.8" customHeight="1">
      <c r="A121" t="inlineStr">
        <is>
          <t>五级</t>
        </is>
      </c>
      <c r="B121" t="inlineStr">
        <is>
          <t>支出</t>
        </is>
      </c>
      <c r="C121" t="inlineStr">
        <is>
          <t>A.90.03.09.02.009</t>
        </is>
      </c>
      <c r="D121" t="inlineStr">
        <is>
          <t>MFAU客户数</t>
        </is>
      </c>
      <c r="K121" t="inlineStr">
        <is>
          <t>是</t>
        </is>
      </c>
      <c r="M121" t="inlineStr">
        <is>
          <t>05.02.09.02.009</t>
        </is>
      </c>
      <c r="N121" t="inlineStr">
        <is>
          <t>SUM</t>
        </is>
      </c>
    </row>
    <row r="122" ht="16.8" customHeight="1">
      <c r="A122" t="inlineStr">
        <is>
          <t>五级</t>
        </is>
      </c>
      <c r="B122" t="inlineStr">
        <is>
          <t>支出</t>
        </is>
      </c>
      <c r="C122" t="inlineStr">
        <is>
          <t>A.90.03.09.02.010</t>
        </is>
      </c>
      <c r="D122" t="inlineStr">
        <is>
          <t>日均LUM</t>
        </is>
      </c>
      <c r="K122" t="inlineStr">
        <is>
          <t>是</t>
        </is>
      </c>
      <c r="M122" t="inlineStr">
        <is>
          <t>05.02.09.02.010</t>
        </is>
      </c>
      <c r="N122" t="inlineStr">
        <is>
          <t>SUM</t>
        </is>
      </c>
    </row>
    <row r="123" ht="16.8" customHeight="1">
      <c r="A123" t="inlineStr">
        <is>
          <t>五级</t>
        </is>
      </c>
      <c r="B123" t="inlineStr">
        <is>
          <t>支出</t>
        </is>
      </c>
      <c r="C123" t="inlineStr">
        <is>
          <t>A.90.03.09.02.011</t>
        </is>
      </c>
      <c r="D123" t="inlineStr">
        <is>
          <t>日均AuM</t>
        </is>
      </c>
      <c r="K123" t="inlineStr">
        <is>
          <t>是</t>
        </is>
      </c>
      <c r="M123" t="inlineStr">
        <is>
          <t>05.02.09.02.011</t>
        </is>
      </c>
      <c r="N123" t="inlineStr">
        <is>
          <t>SUM</t>
        </is>
      </c>
    </row>
    <row r="124" ht="16.8" customHeight="1">
      <c r="A124" t="inlineStr">
        <is>
          <t>五级</t>
        </is>
      </c>
      <c r="B124" t="inlineStr">
        <is>
          <t>支出</t>
        </is>
      </c>
      <c r="C124" t="inlineStr">
        <is>
          <t>A.90.03.09.02.101</t>
        </is>
      </c>
      <c r="D124" t="inlineStr">
        <is>
          <t>LUM规模</t>
        </is>
      </c>
      <c r="F124" t="inlineStr">
        <is>
          <t>A.90.03.09.02.001+A.90.03.09.02.002+A.90.03.09.02.005+A.90.03.09.02.006+A.90.03.09.02.010</t>
        </is>
      </c>
      <c r="K124" t="inlineStr">
        <is>
          <t>是</t>
        </is>
      </c>
      <c r="M124" t="inlineStr">
        <is>
          <t>05.02.09.02.101</t>
        </is>
      </c>
    </row>
    <row r="125" ht="16.8" customHeight="1">
      <c r="A125" t="inlineStr">
        <is>
          <t>五级</t>
        </is>
      </c>
      <c r="B125" t="inlineStr">
        <is>
          <t>支出</t>
        </is>
      </c>
      <c r="C125" t="inlineStr">
        <is>
          <t>A.90.03.09.02.102</t>
        </is>
      </c>
      <c r="D125" t="inlineStr">
        <is>
          <t>AuM规模</t>
        </is>
      </c>
      <c r="F125" t="inlineStr">
        <is>
          <t>A.90.03.09.02.007+A.90.03.09.02.008+A.90.03.09.02.011</t>
        </is>
      </c>
      <c r="K125" t="inlineStr">
        <is>
          <t>是</t>
        </is>
      </c>
      <c r="M125" t="inlineStr">
        <is>
          <t>05.02.09.02.102</t>
        </is>
      </c>
    </row>
    <row r="126" ht="16.8" customHeight="1">
      <c r="A126" t="inlineStr">
        <is>
          <t>五级</t>
        </is>
      </c>
      <c r="B126" t="inlineStr">
        <is>
          <t>支出</t>
        </is>
      </c>
      <c r="C126" t="inlineStr">
        <is>
          <t>A.90.03.09.02.103</t>
        </is>
      </c>
      <c r="D126" t="inlineStr">
        <is>
          <t>客户数量</t>
        </is>
      </c>
      <c r="F126" t="inlineStr">
        <is>
          <t>A.90.03.09.02.003+A.90.03.09.02.004+A.90.03.09.02.009</t>
        </is>
      </c>
      <c r="K126" t="inlineStr">
        <is>
          <t>是</t>
        </is>
      </c>
      <c r="M126" t="inlineStr">
        <is>
          <t>05.02.09.02.103</t>
        </is>
      </c>
    </row>
    <row r="127" ht="16.8" customHeight="1">
      <c r="A127" t="inlineStr">
        <is>
          <t>四级</t>
        </is>
      </c>
      <c r="B127" t="inlineStr">
        <is>
          <t>支出</t>
        </is>
      </c>
      <c r="C127" t="inlineStr">
        <is>
          <t>A.90.03.09.03</t>
        </is>
      </c>
      <c r="D127" t="inlineStr">
        <is>
          <t>客户回收与催收</t>
        </is>
      </c>
      <c r="F127" t="inlineStr">
        <is>
          <t>A.90.03.09.03.001+A.90.03.09.03.002+A.90.03.09.03.003</t>
        </is>
      </c>
      <c r="K127" t="inlineStr">
        <is>
          <t>是</t>
        </is>
      </c>
      <c r="M127" t="inlineStr">
        <is>
          <t>05.02.09.03</t>
        </is>
      </c>
    </row>
    <row r="128" ht="16.8" customHeight="1">
      <c r="A128" t="inlineStr">
        <is>
          <t>五级</t>
        </is>
      </c>
      <c r="B128" t="inlineStr">
        <is>
          <t>支出</t>
        </is>
      </c>
      <c r="C128" t="inlineStr">
        <is>
          <t>A.90.03.09.03.001</t>
        </is>
      </c>
      <c r="D128" t="inlineStr">
        <is>
          <t>内催回收额</t>
        </is>
      </c>
      <c r="K128" t="inlineStr">
        <is>
          <t>是</t>
        </is>
      </c>
      <c r="M128" t="inlineStr">
        <is>
          <t>05.02.09.03.001</t>
        </is>
      </c>
      <c r="N128" t="inlineStr">
        <is>
          <t>SUM</t>
        </is>
      </c>
    </row>
    <row r="129" ht="16.8" customHeight="1">
      <c r="A129" t="inlineStr">
        <is>
          <t>五级</t>
        </is>
      </c>
      <c r="B129" t="inlineStr">
        <is>
          <t>支出</t>
        </is>
      </c>
      <c r="C129" t="inlineStr">
        <is>
          <t>A.90.03.09.03.002</t>
        </is>
      </c>
      <c r="D129" t="inlineStr">
        <is>
          <t>M6-压降金额</t>
        </is>
      </c>
      <c r="K129" t="inlineStr">
        <is>
          <t>是</t>
        </is>
      </c>
      <c r="M129" t="inlineStr">
        <is>
          <t>05.02.09.03.002</t>
        </is>
      </c>
      <c r="N129" t="inlineStr">
        <is>
          <t>SUM</t>
        </is>
      </c>
    </row>
    <row r="130" ht="16.8" customHeight="1">
      <c r="A130" t="inlineStr">
        <is>
          <t>五级</t>
        </is>
      </c>
      <c r="B130" t="inlineStr">
        <is>
          <t>支出</t>
        </is>
      </c>
      <c r="C130" t="inlineStr">
        <is>
          <t>A.90.03.09.03.003</t>
        </is>
      </c>
      <c r="D130" t="inlineStr">
        <is>
          <t>M7+现金回收额</t>
        </is>
      </c>
      <c r="K130" t="inlineStr">
        <is>
          <t>是</t>
        </is>
      </c>
      <c r="M130" t="inlineStr">
        <is>
          <t>05.02.09.03.003</t>
        </is>
      </c>
      <c r="N130" t="inlineStr">
        <is>
          <t>SUM</t>
        </is>
      </c>
    </row>
    <row r="131" ht="16.8" customHeight="1"/>
    <row r="132" ht="16.8" customHeight="1"/>
    <row r="133" ht="16.8" customHeight="1"/>
    <row r="134" ht="16.8" customHeight="1"/>
    <row r="135" ht="16.8" customHeight="1"/>
    <row r="136" ht="16.8" customHeight="1"/>
    <row r="137" ht="16.8" customHeight="1"/>
    <row r="138" ht="16.8" customHeight="1"/>
    <row r="139" ht="16.8" customHeight="1"/>
    <row r="140" ht="16.8" customHeight="1"/>
    <row r="141" ht="16.8" customHeight="1"/>
    <row r="142" ht="16.8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37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N1" sqref="N1"/>
    </sheetView>
  </sheetViews>
  <sheetFormatPr baseColWidth="8" defaultColWidth="9" defaultRowHeight="15" customHeight="1"/>
  <cols>
    <col width="8.66071428571429" customWidth="1" style="5" min="1" max="2"/>
    <col width="13" customWidth="1" style="5" min="3" max="3"/>
    <col width="33.0803571428571" customWidth="1" style="5" min="4" max="4"/>
    <col width="8.66071428571429" customWidth="1" style="5" min="5" max="9"/>
    <col width="18.25" customWidth="1" style="5" min="10" max="10"/>
    <col width="8.66071428571429" customWidth="1" style="5" min="11" max="16384"/>
  </cols>
  <sheetData>
    <row r="1" customFormat="1" s="1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3" t="inlineStr">
        <is>
          <t>录入粒度</t>
        </is>
      </c>
      <c r="F1" s="3" t="inlineStr">
        <is>
          <t>年预算公式</t>
        </is>
      </c>
      <c r="G1" s="3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6" t="inlineStr">
        <is>
          <t>规则</t>
        </is>
      </c>
      <c r="O1" s="6" t="n"/>
    </row>
    <row r="2">
      <c r="A2" s="7" t="inlineStr">
        <is>
          <t>一级</t>
        </is>
      </c>
      <c r="B2" s="1" t="inlineStr">
        <is>
          <t>收入</t>
        </is>
      </c>
      <c r="C2" s="8" t="inlineStr">
        <is>
          <t>A01.01</t>
        </is>
      </c>
      <c r="D2" s="7" t="inlineStr">
        <is>
          <t>营业收入</t>
        </is>
      </c>
      <c r="F2" t="inlineStr">
        <is>
          <t>A01.01.01+A01.01.02+A01.01.03</t>
        </is>
      </c>
      <c r="H2" s="5">
        <f>H3+H6+H7</f>
        <v/>
      </c>
      <c r="I2" s="5">
        <f>I3+I6+I7</f>
        <v/>
      </c>
      <c r="M2" t="inlineStr">
        <is>
          <t>01</t>
        </is>
      </c>
    </row>
    <row r="3">
      <c r="A3" s="7" t="inlineStr">
        <is>
          <t>二级</t>
        </is>
      </c>
      <c r="B3" s="1" t="inlineStr">
        <is>
          <t>收入</t>
        </is>
      </c>
      <c r="C3" s="8" t="inlineStr">
        <is>
          <t>A01.01.01</t>
        </is>
      </c>
      <c r="D3" s="7" t="inlineStr">
        <is>
          <t xml:space="preserve">  利息净收入</t>
        </is>
      </c>
      <c r="F3" t="inlineStr">
        <is>
          <t>A01.01.01.01+A01.01.01.02</t>
        </is>
      </c>
      <c r="H3" s="5">
        <f>H4+H5</f>
        <v/>
      </c>
      <c r="I3" s="5">
        <f>I4+I5</f>
        <v/>
      </c>
      <c r="M3" t="inlineStr">
        <is>
          <t>01.01</t>
        </is>
      </c>
    </row>
    <row r="4">
      <c r="A4" s="1" t="inlineStr">
        <is>
          <t>三级</t>
        </is>
      </c>
      <c r="B4" s="1" t="inlineStr">
        <is>
          <t>收入</t>
        </is>
      </c>
      <c r="C4" s="9" t="inlineStr">
        <is>
          <t>A01.01.01.01</t>
        </is>
      </c>
      <c r="D4" s="1" t="inlineStr">
        <is>
          <t xml:space="preserve">    资产业务</t>
        </is>
      </c>
      <c r="H4" s="5">
        <f>H63-H97</f>
        <v/>
      </c>
      <c r="I4" s="5">
        <f>I63-I97</f>
        <v/>
      </c>
      <c r="M4" t="inlineStr">
        <is>
          <t>01.01.01</t>
        </is>
      </c>
      <c r="N4" t="inlineStr">
        <is>
          <t>SUM</t>
        </is>
      </c>
    </row>
    <row r="5">
      <c r="A5" s="1" t="inlineStr">
        <is>
          <t>三级</t>
        </is>
      </c>
      <c r="B5" s="1" t="inlineStr">
        <is>
          <t>收入</t>
        </is>
      </c>
      <c r="C5" s="9" t="inlineStr">
        <is>
          <t>A01.01.01.02</t>
        </is>
      </c>
      <c r="D5" s="1" t="inlineStr">
        <is>
          <t xml:space="preserve">    负债业务</t>
        </is>
      </c>
      <c r="H5" s="5">
        <f>H116-H109</f>
        <v/>
      </c>
      <c r="I5" s="5">
        <f>I116-I109</f>
        <v/>
      </c>
      <c r="M5" t="inlineStr">
        <is>
          <t>01.01.02</t>
        </is>
      </c>
      <c r="N5" t="inlineStr">
        <is>
          <t>SUM</t>
        </is>
      </c>
    </row>
    <row r="6">
      <c r="A6" s="7" t="inlineStr">
        <is>
          <t>二级</t>
        </is>
      </c>
      <c r="B6" s="1" t="inlineStr">
        <is>
          <t>收入</t>
        </is>
      </c>
      <c r="C6" s="8" t="inlineStr">
        <is>
          <t>A01.01.02</t>
        </is>
      </c>
      <c r="D6" s="7" t="inlineStr">
        <is>
          <t xml:space="preserve">  手续费净收入</t>
        </is>
      </c>
      <c r="H6" s="5">
        <f>H123-H140</f>
        <v/>
      </c>
      <c r="I6" s="5">
        <f>I123-I140</f>
        <v/>
      </c>
      <c r="M6" t="inlineStr">
        <is>
          <t>01.02</t>
        </is>
      </c>
      <c r="N6" t="inlineStr">
        <is>
          <t>SUM</t>
        </is>
      </c>
    </row>
    <row r="7">
      <c r="A7" s="7" t="inlineStr">
        <is>
          <t>二级</t>
        </is>
      </c>
      <c r="B7" s="1" t="inlineStr">
        <is>
          <t>收入</t>
        </is>
      </c>
      <c r="C7" s="8" t="inlineStr">
        <is>
          <t>A01.01.03</t>
        </is>
      </c>
      <c r="D7" s="7" t="inlineStr">
        <is>
          <t xml:space="preserve">  其他营收</t>
        </is>
      </c>
      <c r="H7" s="5">
        <f>H162+H164</f>
        <v/>
      </c>
      <c r="I7" s="5">
        <f>I162+I164</f>
        <v/>
      </c>
      <c r="M7" t="inlineStr">
        <is>
          <t>01.03</t>
        </is>
      </c>
      <c r="N7" t="inlineStr">
        <is>
          <t>SUM</t>
        </is>
      </c>
    </row>
    <row r="8">
      <c r="A8" s="7" t="inlineStr">
        <is>
          <t>一级</t>
        </is>
      </c>
      <c r="B8" s="1" t="inlineStr">
        <is>
          <t>支出</t>
        </is>
      </c>
      <c r="C8" s="8" t="inlineStr">
        <is>
          <t>A01.02</t>
        </is>
      </c>
      <c r="D8" s="7" t="inlineStr">
        <is>
          <t>减：风险成本</t>
        </is>
      </c>
      <c r="M8" t="inlineStr">
        <is>
          <t>02</t>
        </is>
      </c>
      <c r="N8" t="inlineStr">
        <is>
          <t>SUM</t>
        </is>
      </c>
    </row>
    <row r="9">
      <c r="A9" s="7" t="inlineStr">
        <is>
          <t>一级</t>
        </is>
      </c>
      <c r="B9" s="1" t="inlineStr">
        <is>
          <t>收入</t>
        </is>
      </c>
      <c r="C9" s="8" t="inlineStr">
        <is>
          <t>A01.03</t>
        </is>
      </c>
      <c r="D9" s="7" t="inlineStr">
        <is>
          <t>净收入</t>
        </is>
      </c>
      <c r="F9" t="inlineStr">
        <is>
          <t>A01.01-A01.02</t>
        </is>
      </c>
      <c r="H9" s="5">
        <f>H2-H8</f>
        <v/>
      </c>
      <c r="I9" s="5">
        <f>I2-I8</f>
        <v/>
      </c>
      <c r="M9" t="inlineStr">
        <is>
          <t>03</t>
        </is>
      </c>
    </row>
    <row r="10">
      <c r="A10" s="7" t="inlineStr">
        <is>
          <t>一级</t>
        </is>
      </c>
      <c r="B10" s="1" t="inlineStr">
        <is>
          <t>支出</t>
        </is>
      </c>
      <c r="C10" s="8" t="inlineStr">
        <is>
          <t>A01.04</t>
        </is>
      </c>
      <c r="D10" s="7" t="inlineStr">
        <is>
          <t>减：税金及附加</t>
        </is>
      </c>
      <c r="M10" t="inlineStr">
        <is>
          <t>04</t>
        </is>
      </c>
      <c r="N10" t="inlineStr">
        <is>
          <t>SUM</t>
        </is>
      </c>
    </row>
    <row r="11">
      <c r="A11" s="7" t="inlineStr">
        <is>
          <t>一级</t>
        </is>
      </c>
      <c r="B11" s="1" t="inlineStr">
        <is>
          <t>支出</t>
        </is>
      </c>
      <c r="C11" s="8" t="inlineStr">
        <is>
          <t>A01.05</t>
        </is>
      </c>
      <c r="D11" s="7" t="inlineStr">
        <is>
          <t>减：直接费用</t>
        </is>
      </c>
      <c r="F11" t="inlineStr">
        <is>
          <t>A01.90.01+A01.90.02+A01.90.03+A01.90.04+A01.90.05</t>
        </is>
      </c>
      <c r="H11" s="5">
        <f>H12+H15+H18+H25+H26</f>
        <v/>
      </c>
      <c r="I11" s="5">
        <f>I12+I15+I18+I25+I26</f>
        <v/>
      </c>
      <c r="K11" t="inlineStr">
        <is>
          <t>是</t>
        </is>
      </c>
      <c r="M11" t="inlineStr">
        <is>
          <t>05</t>
        </is>
      </c>
    </row>
    <row r="12">
      <c r="A12" s="7" t="inlineStr">
        <is>
          <t>二级</t>
        </is>
      </c>
      <c r="B12" s="1" t="inlineStr">
        <is>
          <t>支出</t>
        </is>
      </c>
      <c r="C12" s="8" t="inlineStr">
        <is>
          <t>A01.05.01</t>
        </is>
      </c>
      <c r="D12" s="7" t="inlineStr">
        <is>
          <t xml:space="preserve">  人力费用（不含IT）</t>
        </is>
      </c>
      <c r="F12" t="inlineStr">
        <is>
          <t>A01.90.01.01+A01.90.01.02</t>
        </is>
      </c>
      <c r="H12" s="5">
        <f>H13+H14</f>
        <v/>
      </c>
      <c r="I12" s="5">
        <f>I13+I14</f>
        <v/>
      </c>
      <c r="K12" t="inlineStr">
        <is>
          <t>是</t>
        </is>
      </c>
      <c r="M12" t="inlineStr">
        <is>
          <t>05.01</t>
        </is>
      </c>
    </row>
    <row r="13">
      <c r="A13" s="1" t="inlineStr">
        <is>
          <t>三级</t>
        </is>
      </c>
      <c r="B13" s="1" t="inlineStr">
        <is>
          <t>支出</t>
        </is>
      </c>
      <c r="C13" s="9" t="inlineStr">
        <is>
          <t>A01.05.01.01</t>
        </is>
      </c>
      <c r="D13" s="1" t="inlineStr">
        <is>
          <t xml:space="preserve">    常规人力</t>
        </is>
      </c>
      <c r="F13" t="inlineStr">
        <is>
          <t>A01.90.01.01.01+A01.90.01.01.02+A01.90.01.01.03+A01.90.01.01.04.001+A01.90.01.01.05.001</t>
        </is>
      </c>
      <c r="K13" t="inlineStr">
        <is>
          <t>是</t>
        </is>
      </c>
      <c r="M13" t="inlineStr">
        <is>
          <t>05.01.01</t>
        </is>
      </c>
    </row>
    <row r="14">
      <c r="A14" s="1" t="inlineStr">
        <is>
          <t>三级</t>
        </is>
      </c>
      <c r="B14" s="1" t="inlineStr">
        <is>
          <t>支出</t>
        </is>
      </c>
      <c r="C14" s="9" t="inlineStr">
        <is>
          <t>A01.05.01.02</t>
        </is>
      </c>
      <c r="D14" s="1" t="inlineStr">
        <is>
          <t xml:space="preserve">    特别人力</t>
        </is>
      </c>
      <c r="F14" t="inlineStr">
        <is>
          <t>A01.90.01.02.01+A01.90.01.02.02+A01.90.01.02.03+A01.90.01.02.04.001+A01.90.01.02.05.001</t>
        </is>
      </c>
      <c r="K14" t="inlineStr">
        <is>
          <t>是</t>
        </is>
      </c>
      <c r="M14" t="inlineStr">
        <is>
          <t>05.01.02</t>
        </is>
      </c>
    </row>
    <row r="15">
      <c r="A15" s="7" t="inlineStr">
        <is>
          <t>二级</t>
        </is>
      </c>
      <c r="B15" s="1" t="inlineStr">
        <is>
          <t>支出</t>
        </is>
      </c>
      <c r="C15" s="8" t="inlineStr">
        <is>
          <t>A01.05.02</t>
        </is>
      </c>
      <c r="D15" s="7" t="inlineStr">
        <is>
          <t xml:space="preserve">  业务费用</t>
        </is>
      </c>
      <c r="F15" t="inlineStr">
        <is>
          <t>A01.90.02.01+A01.90.02.02+A01.90.02.09</t>
        </is>
      </c>
      <c r="H15" s="5">
        <f>H16+H17</f>
        <v/>
      </c>
      <c r="I15" s="5">
        <f>I16+I17</f>
        <v/>
      </c>
      <c r="K15" t="inlineStr">
        <is>
          <t>是</t>
        </is>
      </c>
      <c r="M15" t="inlineStr">
        <is>
          <t>05.02</t>
        </is>
      </c>
    </row>
    <row r="16">
      <c r="A16" s="1" t="inlineStr">
        <is>
          <t>三级</t>
        </is>
      </c>
      <c r="B16" s="1" t="inlineStr">
        <is>
          <t>支出</t>
        </is>
      </c>
      <c r="C16" s="9" t="inlineStr">
        <is>
          <t>A01.05.02.01</t>
        </is>
      </c>
      <c r="D16" s="1" t="inlineStr">
        <is>
          <t xml:space="preserve">    营销费用</t>
        </is>
      </c>
      <c r="K16" t="inlineStr">
        <is>
          <t>是</t>
        </is>
      </c>
      <c r="M16" t="inlineStr">
        <is>
          <t>05.02.01</t>
        </is>
      </c>
      <c r="N16" t="inlineStr">
        <is>
          <t>SUM</t>
        </is>
      </c>
    </row>
    <row r="17">
      <c r="A17" s="1" t="inlineStr">
        <is>
          <t>三级</t>
        </is>
      </c>
      <c r="B17" s="1" t="inlineStr">
        <is>
          <t>支出</t>
        </is>
      </c>
      <c r="C17" s="9" t="inlineStr">
        <is>
          <t>A01.05.02.02</t>
        </is>
      </c>
      <c r="D17" s="1" t="inlineStr">
        <is>
          <t xml:space="preserve">    运营费用</t>
        </is>
      </c>
      <c r="K17" t="inlineStr">
        <is>
          <t>是</t>
        </is>
      </c>
      <c r="M17" t="inlineStr">
        <is>
          <t>05.02.02</t>
        </is>
      </c>
      <c r="N17" t="inlineStr">
        <is>
          <t>SUM</t>
        </is>
      </c>
    </row>
    <row r="18">
      <c r="A18" s="7" t="inlineStr">
        <is>
          <t>二级</t>
        </is>
      </c>
      <c r="B18" s="1" t="inlineStr">
        <is>
          <t>支出</t>
        </is>
      </c>
      <c r="C18" s="8" t="inlineStr">
        <is>
          <t>A01.05.03</t>
        </is>
      </c>
      <c r="D18" s="7" t="inlineStr">
        <is>
          <t xml:space="preserve">  IT费用</t>
        </is>
      </c>
      <c r="F18" t="inlineStr">
        <is>
          <t>A01.90.03.01+A01.90.03.02+A01.90.03.03+A01.90.03.04</t>
        </is>
      </c>
      <c r="H18" s="5">
        <f>H19+H22+H23+H24</f>
        <v/>
      </c>
      <c r="I18" s="5">
        <f>I19+I22+I23+I24</f>
        <v/>
      </c>
      <c r="K18" t="inlineStr">
        <is>
          <t>是</t>
        </is>
      </c>
      <c r="M18" t="inlineStr">
        <is>
          <t>05.03</t>
        </is>
      </c>
    </row>
    <row r="19">
      <c r="A19" s="1" t="inlineStr">
        <is>
          <t>三级</t>
        </is>
      </c>
      <c r="B19" s="1" t="inlineStr">
        <is>
          <t>支出</t>
        </is>
      </c>
      <c r="C19" s="9" t="inlineStr">
        <is>
          <t>A01.05.03.01</t>
        </is>
      </c>
      <c r="D19" s="1" t="inlineStr">
        <is>
          <t xml:space="preserve">    IT人力</t>
        </is>
      </c>
      <c r="F19" t="inlineStr">
        <is>
          <t>A01.90.03.01.01+A01.90.03.01.02</t>
        </is>
      </c>
      <c r="H19" s="5">
        <f>H20+H21</f>
        <v/>
      </c>
      <c r="I19" s="5">
        <f>I20+I21</f>
        <v/>
      </c>
      <c r="K19" t="inlineStr">
        <is>
          <t>是</t>
        </is>
      </c>
      <c r="M19" t="inlineStr">
        <is>
          <t>05.03.01</t>
        </is>
      </c>
    </row>
    <row r="20">
      <c r="A20" s="1" t="inlineStr">
        <is>
          <t>四级</t>
        </is>
      </c>
      <c r="B20" s="1" t="inlineStr">
        <is>
          <t>支出</t>
        </is>
      </c>
      <c r="C20" s="9" t="inlineStr">
        <is>
          <t>A01.05.03.01.01</t>
        </is>
      </c>
      <c r="D20" s="1" t="inlineStr">
        <is>
          <t xml:space="preserve">      IT常规人力</t>
        </is>
      </c>
      <c r="K20" t="inlineStr">
        <is>
          <t>是</t>
        </is>
      </c>
      <c r="M20" t="inlineStr">
        <is>
          <t>05.03.01.01</t>
        </is>
      </c>
      <c r="N20" t="inlineStr">
        <is>
          <t>SUM</t>
        </is>
      </c>
    </row>
    <row r="21">
      <c r="A21" s="1" t="inlineStr">
        <is>
          <t>四级</t>
        </is>
      </c>
      <c r="B21" s="1" t="inlineStr">
        <is>
          <t>支出</t>
        </is>
      </c>
      <c r="C21" s="9" t="inlineStr">
        <is>
          <t>A01.05.03.01.02</t>
        </is>
      </c>
      <c r="D21" s="1" t="inlineStr">
        <is>
          <t xml:space="preserve">      IT特别人力</t>
        </is>
      </c>
      <c r="K21" t="inlineStr">
        <is>
          <t>是</t>
        </is>
      </c>
      <c r="M21" t="inlineStr">
        <is>
          <t>05.03.01.02</t>
        </is>
      </c>
      <c r="N21" t="inlineStr">
        <is>
          <t>SUM</t>
        </is>
      </c>
    </row>
    <row r="22">
      <c r="A22" s="1" t="inlineStr">
        <is>
          <t>三级</t>
        </is>
      </c>
      <c r="B22" s="1" t="inlineStr">
        <is>
          <t>支出</t>
        </is>
      </c>
      <c r="C22" s="9" t="inlineStr">
        <is>
          <t>A01.05.03.02</t>
        </is>
      </c>
      <c r="D22" s="1" t="inlineStr">
        <is>
          <t xml:space="preserve">    科技费用</t>
        </is>
      </c>
      <c r="K22" t="inlineStr">
        <is>
          <t>是</t>
        </is>
      </c>
      <c r="M22" t="inlineStr">
        <is>
          <t>05.03.02</t>
        </is>
      </c>
      <c r="N22" t="inlineStr">
        <is>
          <t>SUM</t>
        </is>
      </c>
    </row>
    <row r="23">
      <c r="A23" s="1" t="inlineStr">
        <is>
          <t>三级</t>
        </is>
      </c>
      <c r="B23" s="1" t="inlineStr">
        <is>
          <t>支出</t>
        </is>
      </c>
      <c r="C23" s="9" t="inlineStr">
        <is>
          <t>A01.05.03.03</t>
        </is>
      </c>
      <c r="D23" s="1" t="inlineStr">
        <is>
          <t xml:space="preserve">    IT职场</t>
        </is>
      </c>
      <c r="K23" t="inlineStr">
        <is>
          <t>是</t>
        </is>
      </c>
      <c r="M23" t="inlineStr">
        <is>
          <t>05.03.03</t>
        </is>
      </c>
      <c r="N23" t="inlineStr">
        <is>
          <t>SUM</t>
        </is>
      </c>
    </row>
    <row r="24">
      <c r="A24" s="1" t="inlineStr">
        <is>
          <t>三级</t>
        </is>
      </c>
      <c r="B24" s="1" t="inlineStr">
        <is>
          <t>支出</t>
        </is>
      </c>
      <c r="C24" s="9" t="inlineStr">
        <is>
          <t>A01.05.03.04</t>
        </is>
      </c>
      <c r="D24" s="1" t="inlineStr">
        <is>
          <t xml:space="preserve">    IT日常</t>
        </is>
      </c>
      <c r="K24" t="inlineStr">
        <is>
          <t>是</t>
        </is>
      </c>
      <c r="M24" t="inlineStr">
        <is>
          <t>05.03.04</t>
        </is>
      </c>
      <c r="N24" t="inlineStr">
        <is>
          <t>SUM</t>
        </is>
      </c>
    </row>
    <row r="25">
      <c r="A25" s="7" t="inlineStr">
        <is>
          <t>二级</t>
        </is>
      </c>
      <c r="B25" s="1" t="inlineStr">
        <is>
          <t>支出</t>
        </is>
      </c>
      <c r="C25" s="8" t="inlineStr">
        <is>
          <t>A01.05.04</t>
        </is>
      </c>
      <c r="D25" s="7" t="inlineStr">
        <is>
          <t xml:space="preserve">  职场费用</t>
        </is>
      </c>
      <c r="K25" t="inlineStr">
        <is>
          <t>是</t>
        </is>
      </c>
      <c r="M25" t="inlineStr">
        <is>
          <t>05.04</t>
        </is>
      </c>
      <c r="N25" t="inlineStr">
        <is>
          <t>SUM</t>
        </is>
      </c>
    </row>
    <row r="26">
      <c r="A26" s="7" t="inlineStr">
        <is>
          <t>二级</t>
        </is>
      </c>
      <c r="B26" s="1" t="inlineStr">
        <is>
          <t>支出</t>
        </is>
      </c>
      <c r="C26" s="8" t="inlineStr">
        <is>
          <t>A01.05.05</t>
        </is>
      </c>
      <c r="D26" s="7" t="inlineStr">
        <is>
          <t xml:space="preserve">  日常费用</t>
        </is>
      </c>
      <c r="K26" t="inlineStr">
        <is>
          <t>是</t>
        </is>
      </c>
      <c r="M26" t="inlineStr">
        <is>
          <t>05.05</t>
        </is>
      </c>
      <c r="N26" t="inlineStr">
        <is>
          <t>SUM</t>
        </is>
      </c>
    </row>
    <row r="27">
      <c r="A27" s="7" t="inlineStr">
        <is>
          <t>一级</t>
        </is>
      </c>
      <c r="B27" s="1" t="inlineStr">
        <is>
          <t>收入</t>
        </is>
      </c>
      <c r="C27" s="8" t="inlineStr">
        <is>
          <t>A01.06</t>
        </is>
      </c>
      <c r="D27" s="7" t="inlineStr">
        <is>
          <t>加：营业外净收入</t>
        </is>
      </c>
      <c r="M27" t="inlineStr">
        <is>
          <t>06</t>
        </is>
      </c>
      <c r="N27" t="inlineStr">
        <is>
          <t>SUM</t>
        </is>
      </c>
    </row>
    <row r="28">
      <c r="A28" s="7" t="inlineStr">
        <is>
          <t>一级</t>
        </is>
      </c>
      <c r="B28" s="1" t="inlineStr">
        <is>
          <t>利润</t>
        </is>
      </c>
      <c r="C28" s="8" t="inlineStr">
        <is>
          <t>A01.07</t>
        </is>
      </c>
      <c r="D28" s="7" t="inlineStr">
        <is>
          <t>分摊前利润</t>
        </is>
      </c>
      <c r="F28" t="inlineStr">
        <is>
          <t>A01.03-A01.04-A01.90+A01.06</t>
        </is>
      </c>
      <c r="H28" s="5">
        <f>H9-H10-H11+H27</f>
        <v/>
      </c>
      <c r="I28" s="5">
        <f>I9-I10-I11+I27</f>
        <v/>
      </c>
      <c r="M28" t="inlineStr">
        <is>
          <t>07</t>
        </is>
      </c>
    </row>
    <row r="29">
      <c r="A29" s="7" t="inlineStr">
        <is>
          <t>一级</t>
        </is>
      </c>
      <c r="B29" s="1" t="inlineStr">
        <is>
          <t>支出</t>
        </is>
      </c>
      <c r="C29" s="8" t="inlineStr">
        <is>
          <t>A01.08</t>
        </is>
      </c>
      <c r="D29" s="7" t="inlineStr">
        <is>
          <t>减：固定管理费</t>
        </is>
      </c>
      <c r="M29" t="inlineStr">
        <is>
          <t>08</t>
        </is>
      </c>
      <c r="N29" t="inlineStr">
        <is>
          <t>SUM</t>
        </is>
      </c>
    </row>
    <row r="30">
      <c r="A30" s="7" t="inlineStr">
        <is>
          <t>一级</t>
        </is>
      </c>
      <c r="B30" s="1" t="inlineStr">
        <is>
          <t>利润</t>
        </is>
      </c>
      <c r="C30" s="8" t="inlineStr">
        <is>
          <t>A01.09</t>
        </is>
      </c>
      <c r="D30" s="7" t="inlineStr">
        <is>
          <t>税前利润</t>
        </is>
      </c>
      <c r="F30" t="inlineStr">
        <is>
          <t>A01.07-A01.08</t>
        </is>
      </c>
      <c r="H30" s="5">
        <f>H28-H29</f>
        <v/>
      </c>
      <c r="I30" s="5">
        <f>I28-I29</f>
        <v/>
      </c>
      <c r="M30" t="inlineStr">
        <is>
          <t>09</t>
        </is>
      </c>
    </row>
    <row r="31">
      <c r="A31" s="1" t="n"/>
      <c r="B31" s="1" t="n"/>
      <c r="C31" s="10" t="n"/>
      <c r="D31" s="10" t="n"/>
    </row>
    <row r="32">
      <c r="A32" s="7" t="inlineStr">
        <is>
          <t>一级</t>
        </is>
      </c>
      <c r="B32" s="1" t="inlineStr">
        <is>
          <t>资产余额</t>
        </is>
      </c>
      <c r="C32" s="11" t="inlineStr">
        <is>
          <t>A01.10</t>
        </is>
      </c>
      <c r="D32" s="11" t="inlineStr">
        <is>
          <t>管理贷款余额</t>
        </is>
      </c>
      <c r="F32" t="inlineStr">
        <is>
          <t>A01.10.01+A01.10.02+A01.10.03</t>
        </is>
      </c>
      <c r="H32" s="5">
        <f>H33+H38+H39</f>
        <v/>
      </c>
      <c r="I32" s="5">
        <f>I33+I38+I39</f>
        <v/>
      </c>
      <c r="M32" t="inlineStr">
        <is>
          <t>10</t>
        </is>
      </c>
    </row>
    <row r="33">
      <c r="A33" s="7" t="inlineStr">
        <is>
          <t>二级</t>
        </is>
      </c>
      <c r="B33" s="1" t="inlineStr">
        <is>
          <t>资产余额</t>
        </is>
      </c>
      <c r="C33" s="11" t="inlineStr">
        <is>
          <t>A01.10.01</t>
        </is>
      </c>
      <c r="D33" s="11" t="inlineStr">
        <is>
          <t xml:space="preserve">  自持余额</t>
        </is>
      </c>
      <c r="F33" t="inlineStr">
        <is>
          <t>A01.10.01.01</t>
        </is>
      </c>
      <c r="H33" s="5">
        <f>H34</f>
        <v/>
      </c>
      <c r="I33" s="5">
        <f>I34</f>
        <v/>
      </c>
      <c r="M33" t="inlineStr">
        <is>
          <t>10.01</t>
        </is>
      </c>
    </row>
    <row r="34">
      <c r="A34" s="1" t="inlineStr">
        <is>
          <t>三级</t>
        </is>
      </c>
      <c r="B34" s="1" t="inlineStr">
        <is>
          <t>资产余额</t>
        </is>
      </c>
      <c r="C34" s="10" t="inlineStr">
        <is>
          <t>A01.10.01.01</t>
        </is>
      </c>
      <c r="D34" s="10" t="inlineStr">
        <is>
          <t xml:space="preserve">    一般贷款</t>
        </is>
      </c>
      <c r="F34" t="inlineStr">
        <is>
          <t>A01.10.01.01.01+A01.10.01.01.02</t>
        </is>
      </c>
      <c r="H34" s="5">
        <f>H35+H37</f>
        <v/>
      </c>
      <c r="I34" s="5">
        <f>I35+I37</f>
        <v/>
      </c>
      <c r="M34" t="inlineStr">
        <is>
          <t>10.01.01</t>
        </is>
      </c>
    </row>
    <row r="35">
      <c r="A35" s="1" t="inlineStr">
        <is>
          <t>四级</t>
        </is>
      </c>
      <c r="B35" s="1" t="inlineStr">
        <is>
          <t>资产余额</t>
        </is>
      </c>
      <c r="C35" s="10" t="inlineStr">
        <is>
          <t>A01.10.01.01.01</t>
        </is>
      </c>
      <c r="D35" s="10" t="inlineStr">
        <is>
          <t xml:space="preserve">      微粒贷</t>
        </is>
      </c>
      <c r="F35" t="inlineStr">
        <is>
          <t>A01.10.01.01.01.01</t>
        </is>
      </c>
      <c r="M35" t="inlineStr">
        <is>
          <t>10.01.01.01</t>
        </is>
      </c>
    </row>
    <row r="36">
      <c r="A36" s="1" t="inlineStr">
        <is>
          <t>五级</t>
        </is>
      </c>
      <c r="B36" s="1" t="inlineStr">
        <is>
          <t>资产余额</t>
        </is>
      </c>
      <c r="C36" s="10" t="inlineStr">
        <is>
          <t>A01.10.01.01.01.01</t>
        </is>
      </c>
      <c r="D36" s="10" t="inlineStr">
        <is>
          <t xml:space="preserve">        其中：分期</t>
        </is>
      </c>
      <c r="M36" t="inlineStr">
        <is>
          <t>10.01.01.01.01</t>
        </is>
      </c>
      <c r="N36" t="inlineStr">
        <is>
          <t>LAST</t>
        </is>
      </c>
    </row>
    <row r="37">
      <c r="A37" s="1" t="inlineStr">
        <is>
          <t>四级</t>
        </is>
      </c>
      <c r="B37" s="1" t="inlineStr">
        <is>
          <t>资产余额</t>
        </is>
      </c>
      <c r="C37" s="10" t="inlineStr">
        <is>
          <t>A01.10.01.01.02</t>
        </is>
      </c>
      <c r="D37" s="10" t="inlineStr">
        <is>
          <t xml:space="preserve">      分付</t>
        </is>
      </c>
      <c r="M37" t="inlineStr">
        <is>
          <t>10.01.01.02</t>
        </is>
      </c>
      <c r="N37" t="inlineStr">
        <is>
          <t>LAST</t>
        </is>
      </c>
    </row>
    <row r="38">
      <c r="A38" s="7" t="inlineStr">
        <is>
          <t>二级</t>
        </is>
      </c>
      <c r="B38" s="1" t="inlineStr">
        <is>
          <t>资产余额</t>
        </is>
      </c>
      <c r="C38" s="11" t="inlineStr">
        <is>
          <t>A01.10.02</t>
        </is>
      </c>
      <c r="D38" s="11" t="inlineStr">
        <is>
          <t xml:space="preserve">  联贷</t>
        </is>
      </c>
      <c r="M38" t="inlineStr">
        <is>
          <t>10.02</t>
        </is>
      </c>
      <c r="N38" t="inlineStr">
        <is>
          <t>LAST</t>
        </is>
      </c>
    </row>
    <row r="39">
      <c r="A39" s="7" t="inlineStr">
        <is>
          <t>二级</t>
        </is>
      </c>
      <c r="B39" s="1" t="inlineStr">
        <is>
          <t>资产余额</t>
        </is>
      </c>
      <c r="C39" s="11" t="inlineStr">
        <is>
          <t>A01.10.03</t>
        </is>
      </c>
      <c r="D39" s="11" t="inlineStr">
        <is>
          <t xml:space="preserve">  流转</t>
        </is>
      </c>
      <c r="M39" t="inlineStr">
        <is>
          <t>10.03</t>
        </is>
      </c>
      <c r="N39" t="inlineStr">
        <is>
          <t>LAST</t>
        </is>
      </c>
    </row>
    <row r="40">
      <c r="A40" s="7" t="inlineStr">
        <is>
          <t>一级</t>
        </is>
      </c>
      <c r="B40" s="1" t="inlineStr">
        <is>
          <t>资产日均</t>
        </is>
      </c>
      <c r="C40" s="11" t="inlineStr">
        <is>
          <t>A01.11</t>
        </is>
      </c>
      <c r="D40" s="11" t="inlineStr">
        <is>
          <t>管理贷款日均</t>
        </is>
      </c>
      <c r="F40" t="inlineStr">
        <is>
          <t>A01.11.01+A01.11.02+A01.11.03</t>
        </is>
      </c>
      <c r="H40" s="5">
        <f>H41+H46+H47</f>
        <v/>
      </c>
      <c r="I40" s="5">
        <f>I41+I46+I47</f>
        <v/>
      </c>
      <c r="M40" t="inlineStr">
        <is>
          <t>11</t>
        </is>
      </c>
    </row>
    <row r="41">
      <c r="A41" s="7" t="inlineStr">
        <is>
          <t>二级</t>
        </is>
      </c>
      <c r="B41" s="1" t="inlineStr">
        <is>
          <t>资产日均</t>
        </is>
      </c>
      <c r="C41" s="11" t="inlineStr">
        <is>
          <t>A01.11.01</t>
        </is>
      </c>
      <c r="D41" s="11" t="inlineStr">
        <is>
          <t xml:space="preserve">  自持</t>
        </is>
      </c>
      <c r="F41" t="inlineStr">
        <is>
          <t>A01.11.01.01</t>
        </is>
      </c>
      <c r="H41" s="5">
        <f>H42</f>
        <v/>
      </c>
      <c r="I41" s="5">
        <f>I42</f>
        <v/>
      </c>
      <c r="M41" t="inlineStr">
        <is>
          <t>11.01</t>
        </is>
      </c>
    </row>
    <row r="42">
      <c r="A42" s="1" t="inlineStr">
        <is>
          <t>三级</t>
        </is>
      </c>
      <c r="B42" s="1" t="inlineStr">
        <is>
          <t>资产日均</t>
        </is>
      </c>
      <c r="C42" s="10" t="inlineStr">
        <is>
          <t>A01.11.01.01</t>
        </is>
      </c>
      <c r="D42" s="10" t="inlineStr">
        <is>
          <t xml:space="preserve">    一般贷款</t>
        </is>
      </c>
      <c r="F42" t="inlineStr">
        <is>
          <t>A01.11.01.01.01+A01.11.01.01.02</t>
        </is>
      </c>
      <c r="H42" s="5">
        <f>H43+H45</f>
        <v/>
      </c>
      <c r="I42" s="5">
        <f>I43+I45</f>
        <v/>
      </c>
      <c r="M42" t="inlineStr">
        <is>
          <t>11.01.01</t>
        </is>
      </c>
    </row>
    <row r="43">
      <c r="A43" s="1" t="inlineStr">
        <is>
          <t>四级</t>
        </is>
      </c>
      <c r="B43" s="1" t="inlineStr">
        <is>
          <t>资产日均</t>
        </is>
      </c>
      <c r="C43" s="10" t="inlineStr">
        <is>
          <t>A01.11.01.01.01</t>
        </is>
      </c>
      <c r="D43" s="10" t="inlineStr">
        <is>
          <t xml:space="preserve">      微粒贷</t>
        </is>
      </c>
      <c r="F43" t="inlineStr">
        <is>
          <t>A01.11.01.01.01.01</t>
        </is>
      </c>
      <c r="M43" t="inlineStr">
        <is>
          <t>11.01.01.01</t>
        </is>
      </c>
    </row>
    <row r="44">
      <c r="A44" s="1" t="inlineStr">
        <is>
          <t>五级</t>
        </is>
      </c>
      <c r="B44" s="1" t="inlineStr">
        <is>
          <t>资产日均</t>
        </is>
      </c>
      <c r="C44" s="10" t="inlineStr">
        <is>
          <t>A01.11.01.01.01.01</t>
        </is>
      </c>
      <c r="D44" s="10" t="inlineStr">
        <is>
          <t xml:space="preserve">        其中：分期</t>
        </is>
      </c>
      <c r="M44" t="inlineStr">
        <is>
          <t>11.01.01.01.01</t>
        </is>
      </c>
      <c r="N44" t="inlineStr">
        <is>
          <t>AVG</t>
        </is>
      </c>
    </row>
    <row r="45">
      <c r="A45" s="1" t="inlineStr">
        <is>
          <t>四级</t>
        </is>
      </c>
      <c r="B45" s="1" t="inlineStr">
        <is>
          <t>资产日均</t>
        </is>
      </c>
      <c r="C45" s="10" t="inlineStr">
        <is>
          <t>A01.11.01.01.02</t>
        </is>
      </c>
      <c r="D45" s="10" t="inlineStr">
        <is>
          <t xml:space="preserve">      分付</t>
        </is>
      </c>
      <c r="M45" t="inlineStr">
        <is>
          <t>11.01.01.02</t>
        </is>
      </c>
      <c r="N45" t="inlineStr">
        <is>
          <t>AVG</t>
        </is>
      </c>
    </row>
    <row r="46">
      <c r="A46" s="7" t="inlineStr">
        <is>
          <t>二级</t>
        </is>
      </c>
      <c r="B46" s="1" t="inlineStr">
        <is>
          <t>资产日均</t>
        </is>
      </c>
      <c r="C46" s="11" t="inlineStr">
        <is>
          <t>A01.11.02</t>
        </is>
      </c>
      <c r="D46" s="11" t="inlineStr">
        <is>
          <t xml:space="preserve">  联贷</t>
        </is>
      </c>
      <c r="M46" t="inlineStr">
        <is>
          <t>11.02</t>
        </is>
      </c>
      <c r="N46" t="inlineStr">
        <is>
          <t>AVG</t>
        </is>
      </c>
    </row>
    <row r="47">
      <c r="A47" s="7" t="inlineStr">
        <is>
          <t>二级</t>
        </is>
      </c>
      <c r="B47" s="1" t="inlineStr">
        <is>
          <t>资产日均</t>
        </is>
      </c>
      <c r="C47" s="11" t="inlineStr">
        <is>
          <t>A01.11.03</t>
        </is>
      </c>
      <c r="D47" s="11" t="inlineStr">
        <is>
          <t xml:space="preserve">  流转</t>
        </is>
      </c>
      <c r="M47" t="inlineStr">
        <is>
          <t>11.03</t>
        </is>
      </c>
      <c r="N47" t="inlineStr">
        <is>
          <t>AVG</t>
        </is>
      </c>
    </row>
    <row r="48">
      <c r="A48" s="7" t="n"/>
      <c r="B48" s="1" t="n"/>
      <c r="C48" s="11" t="n"/>
      <c r="D48" s="11" t="n"/>
    </row>
    <row r="49">
      <c r="A49" s="7" t="inlineStr">
        <is>
          <t>一级</t>
        </is>
      </c>
      <c r="B49" s="1" t="inlineStr">
        <is>
          <t>负债余额</t>
        </is>
      </c>
      <c r="C49" s="11" t="inlineStr">
        <is>
          <t>A01.12</t>
        </is>
      </c>
      <c r="D49" s="11" t="inlineStr">
        <is>
          <t>管理资产余额</t>
        </is>
      </c>
      <c r="F49" t="inlineStr">
        <is>
          <t>A01.12.01</t>
        </is>
      </c>
      <c r="H49" s="5">
        <f>H50</f>
        <v/>
      </c>
      <c r="I49" s="5">
        <f>I50</f>
        <v/>
      </c>
      <c r="M49" t="inlineStr">
        <is>
          <t>12</t>
        </is>
      </c>
    </row>
    <row r="50">
      <c r="A50" s="7" t="inlineStr">
        <is>
          <t>二级</t>
        </is>
      </c>
      <c r="B50" s="1" t="inlineStr">
        <is>
          <t>负债余额</t>
        </is>
      </c>
      <c r="C50" s="11" t="inlineStr">
        <is>
          <t>A01.12.01</t>
        </is>
      </c>
      <c r="D50" s="11" t="inlineStr">
        <is>
          <t xml:space="preserve">  存款</t>
        </is>
      </c>
      <c r="M50" t="inlineStr">
        <is>
          <t>12.01</t>
        </is>
      </c>
      <c r="N50" t="inlineStr">
        <is>
          <t>LAST</t>
        </is>
      </c>
    </row>
    <row r="51">
      <c r="A51" s="7" t="inlineStr">
        <is>
          <t>一级</t>
        </is>
      </c>
      <c r="B51" s="1" t="inlineStr">
        <is>
          <t>负债日均</t>
        </is>
      </c>
      <c r="C51" s="11" t="inlineStr">
        <is>
          <t>A01.13</t>
        </is>
      </c>
      <c r="D51" s="11" t="inlineStr">
        <is>
          <t>管理资产日均</t>
        </is>
      </c>
      <c r="F51" t="inlineStr">
        <is>
          <t>A01.13.01</t>
        </is>
      </c>
      <c r="H51" s="5">
        <f>H52</f>
        <v/>
      </c>
      <c r="I51" s="5">
        <f>I52</f>
        <v/>
      </c>
      <c r="M51" t="inlineStr">
        <is>
          <t>13</t>
        </is>
      </c>
    </row>
    <row r="52">
      <c r="A52" s="7" t="inlineStr">
        <is>
          <t>二级</t>
        </is>
      </c>
      <c r="B52" s="1" t="inlineStr">
        <is>
          <t>负债日均</t>
        </is>
      </c>
      <c r="C52" s="11" t="inlineStr">
        <is>
          <t>A01.13.01</t>
        </is>
      </c>
      <c r="D52" s="11" t="inlineStr">
        <is>
          <t xml:space="preserve">  存款</t>
        </is>
      </c>
      <c r="M52" t="inlineStr">
        <is>
          <t>13.01</t>
        </is>
      </c>
      <c r="N52" t="inlineStr">
        <is>
          <t>AVG</t>
        </is>
      </c>
    </row>
    <row r="53">
      <c r="A53" s="7" t="n"/>
      <c r="B53" s="1" t="n"/>
      <c r="C53" s="11" t="n"/>
      <c r="D53" s="11" t="n"/>
    </row>
    <row r="54">
      <c r="A54" s="7" t="inlineStr">
        <is>
          <t>一级</t>
        </is>
      </c>
      <c r="B54" s="1" t="inlineStr">
        <is>
          <t>资产余额</t>
        </is>
      </c>
      <c r="C54" s="11" t="inlineStr">
        <is>
          <t>A01.24</t>
        </is>
      </c>
      <c r="D54" s="11" t="inlineStr">
        <is>
          <t>同业资产余额</t>
        </is>
      </c>
      <c r="F54" t="inlineStr">
        <is>
          <t>A01.24.01</t>
        </is>
      </c>
      <c r="H54" s="5">
        <f>H55</f>
        <v/>
      </c>
      <c r="I54" s="5">
        <f>I55</f>
        <v/>
      </c>
      <c r="M54" t="inlineStr">
        <is>
          <t>24</t>
        </is>
      </c>
    </row>
    <row r="55">
      <c r="A55" s="1" t="inlineStr">
        <is>
          <t>二级</t>
        </is>
      </c>
      <c r="B55" s="1" t="inlineStr">
        <is>
          <t>资产余额</t>
        </is>
      </c>
      <c r="C55" s="10" t="inlineStr">
        <is>
          <t>A01.24.01</t>
        </is>
      </c>
      <c r="D55" s="10" t="inlineStr">
        <is>
          <t xml:space="preserve">  存放同业余额</t>
        </is>
      </c>
      <c r="M55" t="inlineStr">
        <is>
          <t>24.01</t>
        </is>
      </c>
      <c r="N55" t="inlineStr">
        <is>
          <t>LAST</t>
        </is>
      </c>
    </row>
    <row r="56">
      <c r="A56" s="7" t="inlineStr">
        <is>
          <t>一级</t>
        </is>
      </c>
      <c r="B56" s="1" t="inlineStr">
        <is>
          <t>资产日均</t>
        </is>
      </c>
      <c r="C56" s="11" t="inlineStr">
        <is>
          <t>A01.25</t>
        </is>
      </c>
      <c r="D56" s="11" t="inlineStr">
        <is>
          <t>同业资产日均</t>
        </is>
      </c>
      <c r="F56" t="inlineStr">
        <is>
          <t>A01.25.01</t>
        </is>
      </c>
      <c r="H56" s="5">
        <f>H57</f>
        <v/>
      </c>
      <c r="I56" s="5">
        <f>I57</f>
        <v/>
      </c>
      <c r="M56" t="inlineStr">
        <is>
          <t>25</t>
        </is>
      </c>
    </row>
    <row r="57">
      <c r="A57" s="1" t="inlineStr">
        <is>
          <t>二级</t>
        </is>
      </c>
      <c r="B57" s="1" t="inlineStr">
        <is>
          <t>资产日均</t>
        </is>
      </c>
      <c r="C57" s="10" t="inlineStr">
        <is>
          <t>A01.25.01</t>
        </is>
      </c>
      <c r="D57" s="10" t="inlineStr">
        <is>
          <t xml:space="preserve">  存放同业日均</t>
        </is>
      </c>
      <c r="M57" t="inlineStr">
        <is>
          <t>25.01</t>
        </is>
      </c>
      <c r="N57" t="inlineStr">
        <is>
          <t>AVG</t>
        </is>
      </c>
    </row>
    <row r="58">
      <c r="A58" s="7" t="inlineStr">
        <is>
          <t>一级</t>
        </is>
      </c>
      <c r="B58" s="1" t="inlineStr">
        <is>
          <t>负债余额</t>
        </is>
      </c>
      <c r="C58" s="11" t="inlineStr">
        <is>
          <t>A01.26</t>
        </is>
      </c>
      <c r="D58" s="11" t="inlineStr">
        <is>
          <t>同业负债余额</t>
        </is>
      </c>
      <c r="F58" t="inlineStr">
        <is>
          <t>A01.26.02</t>
        </is>
      </c>
      <c r="H58" s="5">
        <f>H59</f>
        <v/>
      </c>
      <c r="I58" s="5">
        <f>I59</f>
        <v/>
      </c>
      <c r="M58" t="inlineStr">
        <is>
          <t>26</t>
        </is>
      </c>
    </row>
    <row r="59">
      <c r="A59" s="1" t="inlineStr">
        <is>
          <t>二级</t>
        </is>
      </c>
      <c r="B59" s="1" t="inlineStr">
        <is>
          <t>负债余额</t>
        </is>
      </c>
      <c r="C59" s="10" t="inlineStr">
        <is>
          <t>A01.26.02</t>
        </is>
      </c>
      <c r="D59" s="10" t="inlineStr">
        <is>
          <t xml:space="preserve">  同业存放余额</t>
        </is>
      </c>
      <c r="M59" t="inlineStr">
        <is>
          <t>26.02</t>
        </is>
      </c>
      <c r="N59" t="inlineStr">
        <is>
          <t>LAST</t>
        </is>
      </c>
    </row>
    <row r="60">
      <c r="A60" s="7" t="inlineStr">
        <is>
          <t>一级</t>
        </is>
      </c>
      <c r="B60" s="1" t="inlineStr">
        <is>
          <t>负债日均</t>
        </is>
      </c>
      <c r="C60" s="11" t="inlineStr">
        <is>
          <t>A01.27</t>
        </is>
      </c>
      <c r="D60" s="11" t="inlineStr">
        <is>
          <t>同业负债日均</t>
        </is>
      </c>
      <c r="F60" t="inlineStr">
        <is>
          <t>A01.27.02</t>
        </is>
      </c>
      <c r="H60" s="5">
        <f>H61</f>
        <v/>
      </c>
      <c r="I60" s="5">
        <f>I61</f>
        <v/>
      </c>
      <c r="M60" t="inlineStr">
        <is>
          <t>27</t>
        </is>
      </c>
    </row>
    <row r="61">
      <c r="A61" s="1" t="inlineStr">
        <is>
          <t>二级</t>
        </is>
      </c>
      <c r="B61" s="1" t="inlineStr">
        <is>
          <t>负债日均</t>
        </is>
      </c>
      <c r="C61" s="10" t="inlineStr">
        <is>
          <t>A01.27.02</t>
        </is>
      </c>
      <c r="D61" s="10" t="inlineStr">
        <is>
          <t xml:space="preserve">  同业存放日均</t>
        </is>
      </c>
      <c r="M61" t="inlineStr">
        <is>
          <t>27.02</t>
        </is>
      </c>
      <c r="N61" t="inlineStr">
        <is>
          <t>AVG</t>
        </is>
      </c>
    </row>
    <row r="62">
      <c r="A62" s="7" t="n"/>
      <c r="B62" s="1" t="n"/>
      <c r="C62" s="11" t="n"/>
      <c r="D62" s="11" t="n"/>
    </row>
    <row r="63">
      <c r="A63" s="7" t="inlineStr">
        <is>
          <t>一级</t>
        </is>
      </c>
      <c r="B63" s="7" t="inlineStr">
        <is>
          <t>收入</t>
        </is>
      </c>
      <c r="C63" s="11" t="inlineStr">
        <is>
          <t>A01.14</t>
        </is>
      </c>
      <c r="D63" s="11" t="inlineStr">
        <is>
          <t>利息收入</t>
        </is>
      </c>
      <c r="E63" s="12" t="n"/>
      <c r="F63" s="12" t="inlineStr">
        <is>
          <t>A01.14.01+A01.14.02</t>
        </is>
      </c>
      <c r="G63" s="12" t="n"/>
      <c r="H63" s="12">
        <f>H64+H93</f>
        <v/>
      </c>
      <c r="I63" s="12">
        <f>I64+I93</f>
        <v/>
      </c>
      <c r="J63" s="12" t="n"/>
      <c r="M63" t="inlineStr">
        <is>
          <t>14</t>
        </is>
      </c>
    </row>
    <row r="64">
      <c r="A64" s="7" t="inlineStr">
        <is>
          <t>二级</t>
        </is>
      </c>
      <c r="B64" s="7" t="inlineStr">
        <is>
          <t>收入</t>
        </is>
      </c>
      <c r="C64" s="11" t="inlineStr">
        <is>
          <t>A01.14.01</t>
        </is>
      </c>
      <c r="D64" s="11" t="inlineStr">
        <is>
          <t xml:space="preserve">  贷款利息收入</t>
        </is>
      </c>
      <c r="E64" s="12" t="n"/>
      <c r="F64" s="12" t="inlineStr">
        <is>
          <t>A01.14.01.01+A01.14.01.02</t>
        </is>
      </c>
      <c r="G64" s="12" t="n"/>
      <c r="H64" s="12">
        <f>H65+H83</f>
        <v/>
      </c>
      <c r="I64" s="12">
        <f>I65+I83</f>
        <v/>
      </c>
      <c r="J64" s="12" t="n"/>
      <c r="M64" t="inlineStr">
        <is>
          <t>14.01</t>
        </is>
      </c>
    </row>
    <row r="65" customFormat="1" s="12">
      <c r="A65" s="7" t="inlineStr">
        <is>
          <t>三级</t>
        </is>
      </c>
      <c r="B65" s="7" t="inlineStr">
        <is>
          <t>收入</t>
        </is>
      </c>
      <c r="C65" s="11" t="inlineStr">
        <is>
          <t>A01.14.01.01</t>
        </is>
      </c>
      <c r="D65" s="11" t="inlineStr">
        <is>
          <t xml:space="preserve">    微粒贷利息收入</t>
        </is>
      </c>
      <c r="F65" t="inlineStr">
        <is>
          <t>A01.14.01.01.01+A01.14.01.01.02+A01.14.01.01.03+A01.14.01.01.04+A01.14.01.01.05+A01.14.01.01.06</t>
        </is>
      </c>
      <c r="I65" s="12">
        <f>I67+I80-I73-I78-I81</f>
        <v/>
      </c>
      <c r="M65" t="inlineStr">
        <is>
          <t>14.01.01</t>
        </is>
      </c>
    </row>
    <row r="66">
      <c r="A66" s="13" t="inlineStr">
        <is>
          <t>四级</t>
        </is>
      </c>
      <c r="B66" s="13" t="inlineStr">
        <is>
          <t>其他</t>
        </is>
      </c>
      <c r="C66" s="14" t="inlineStr">
        <is>
          <t>A01.14.01.01.01</t>
        </is>
      </c>
      <c r="D66" s="14" t="inlineStr">
        <is>
          <t xml:space="preserve">      微粒贷收息率</t>
        </is>
      </c>
      <c r="E66" s="15" t="n"/>
      <c r="F66" s="15" t="n"/>
      <c r="G66" s="15" t="n"/>
      <c r="H66" s="15">
        <f>H65/H43</f>
        <v/>
      </c>
      <c r="I66" s="15">
        <f>I65/I43</f>
        <v/>
      </c>
      <c r="J66" s="15" t="inlineStr">
        <is>
          <t>率年化指标</t>
        </is>
      </c>
      <c r="M66" t="inlineStr">
        <is>
          <t>14.01.01.01</t>
        </is>
      </c>
      <c r="N66" t="inlineStr">
        <is>
          <t>WGT</t>
        </is>
      </c>
    </row>
    <row r="67">
      <c r="A67" s="13" t="inlineStr">
        <is>
          <t>四级</t>
        </is>
      </c>
      <c r="B67" s="13" t="inlineStr">
        <is>
          <t>收入</t>
        </is>
      </c>
      <c r="C67" s="14" t="inlineStr">
        <is>
          <t>A01.14.01.01.02</t>
        </is>
      </c>
      <c r="D67" s="14" t="inlineStr">
        <is>
          <t xml:space="preserve">      微粒贷利息收入（渠道费、清仓回购前）</t>
        </is>
      </c>
      <c r="E67" s="15" t="n"/>
      <c r="F67" s="15" t="inlineStr">
        <is>
          <t>A01.14.01.01.02.01+A01.14.01.01.02.02+A01.14.01.01.02.03+A01.14.01.01.02.04+A01.14.01.01.02.05</t>
        </is>
      </c>
      <c r="G67" s="15" t="n"/>
      <c r="H67" s="15">
        <f>H65-H80+H73+H78+H81</f>
        <v/>
      </c>
      <c r="I67" s="15">
        <f>I43*I69/1.06*(1-I70)</f>
        <v/>
      </c>
      <c r="J67" s="15" t="inlineStr">
        <is>
          <t>收支月化指标（仅预测月）</t>
        </is>
      </c>
      <c r="M67" t="inlineStr">
        <is>
          <t>14.01.01.02</t>
        </is>
      </c>
    </row>
    <row r="68">
      <c r="A68" s="1" t="inlineStr">
        <is>
          <t>五级</t>
        </is>
      </c>
      <c r="B68" s="1" t="inlineStr">
        <is>
          <t>其他</t>
        </is>
      </c>
      <c r="C68" s="10" t="inlineStr">
        <is>
          <t>A01.14.01.01.02.01</t>
        </is>
      </c>
      <c r="D68" s="10" t="inlineStr">
        <is>
          <t xml:space="preserve">        微粒贷平均利率（渠道费、清仓回购前）</t>
        </is>
      </c>
      <c r="H68" s="5">
        <f>H67/H43</f>
        <v/>
      </c>
      <c r="I68" s="5">
        <f>I67/I43</f>
        <v/>
      </c>
      <c r="J68" s="5" t="inlineStr">
        <is>
          <t>率年化指标</t>
        </is>
      </c>
      <c r="M68" t="inlineStr">
        <is>
          <t>14.01.01.02.01</t>
        </is>
      </c>
      <c r="N68" t="inlineStr">
        <is>
          <t>WGT</t>
        </is>
      </c>
    </row>
    <row r="69">
      <c r="A69" s="1" t="inlineStr">
        <is>
          <t>五级</t>
        </is>
      </c>
      <c r="B69" s="1" t="inlineStr">
        <is>
          <t>其他</t>
        </is>
      </c>
      <c r="C69" s="10" t="inlineStr">
        <is>
          <t>A01.14.01.01.02.02</t>
        </is>
      </c>
      <c r="D69" s="10" t="inlineStr">
        <is>
          <t xml:space="preserve">        微粒贷平均财务利率</t>
        </is>
      </c>
      <c r="M69" t="inlineStr">
        <is>
          <t>14.01.01.02.02</t>
        </is>
      </c>
      <c r="N69" t="inlineStr">
        <is>
          <t>WGT</t>
        </is>
      </c>
    </row>
    <row r="70">
      <c r="A70" s="1" t="inlineStr">
        <is>
          <t>五级</t>
        </is>
      </c>
      <c r="B70" s="1" t="inlineStr">
        <is>
          <t>其他</t>
        </is>
      </c>
      <c r="C70" s="10" t="inlineStr">
        <is>
          <t>A01.14.01.01.02.03</t>
        </is>
      </c>
      <c r="D70" s="10" t="inlineStr">
        <is>
          <t xml:space="preserve">        微粒贷逾期90+占比</t>
        </is>
      </c>
      <c r="M70" t="inlineStr">
        <is>
          <t>14.01.01.02.03</t>
        </is>
      </c>
      <c r="N70" t="inlineStr">
        <is>
          <t>WGT</t>
        </is>
      </c>
    </row>
    <row r="71">
      <c r="A71" s="1" t="inlineStr">
        <is>
          <t>五级</t>
        </is>
      </c>
      <c r="B71" s="1" t="inlineStr">
        <is>
          <t>其他</t>
        </is>
      </c>
      <c r="C71" s="10" t="inlineStr">
        <is>
          <t>A01.14.01.01.02.04</t>
        </is>
      </c>
      <c r="D71" s="10" t="inlineStr">
        <is>
          <t xml:space="preserve">        微粒贷财务利率调整幅度</t>
        </is>
      </c>
      <c r="M71" t="inlineStr">
        <is>
          <t>14.01.01.02.04</t>
        </is>
      </c>
      <c r="N71" t="inlineStr">
        <is>
          <t>WGT</t>
        </is>
      </c>
    </row>
    <row r="72">
      <c r="A72" s="1" t="inlineStr">
        <is>
          <t>五级</t>
        </is>
      </c>
      <c r="B72" s="1" t="inlineStr">
        <is>
          <t>其他</t>
        </is>
      </c>
      <c r="C72" s="10" t="inlineStr">
        <is>
          <t>A01.14.01.01.02.05</t>
        </is>
      </c>
      <c r="D72" s="10" t="inlineStr">
        <is>
          <t xml:space="preserve">        微粒贷自营联贷差异</t>
        </is>
      </c>
      <c r="M72" t="inlineStr">
        <is>
          <t>14.01.01.02.05</t>
        </is>
      </c>
      <c r="N72" t="inlineStr">
        <is>
          <t>WGT</t>
        </is>
      </c>
    </row>
    <row r="73">
      <c r="A73" s="13" t="inlineStr">
        <is>
          <t>四级</t>
        </is>
      </c>
      <c r="B73" s="13" t="inlineStr">
        <is>
          <t>支出</t>
        </is>
      </c>
      <c r="C73" s="14" t="inlineStr">
        <is>
          <t>A01.14.01.01.03</t>
        </is>
      </c>
      <c r="D73" s="14" t="inlineStr">
        <is>
          <t xml:space="preserve">      微粒贷自营腾讯渠道费</t>
        </is>
      </c>
      <c r="E73" s="15" t="n"/>
      <c r="F73" s="15" t="inlineStr">
        <is>
          <t>A01.14.01.01.03.01+A01.14.01.01.03.02+A01.14.01.01.03.03+A01.14.01.01.03.04</t>
        </is>
      </c>
      <c r="G73" s="15" t="n"/>
      <c r="H73" s="15" t="n"/>
      <c r="I73" s="15">
        <f>(I43*(I69/1.06*(1-I70)*0.995-I77)-I78)*I75*(1-I76)/1.06</f>
        <v/>
      </c>
      <c r="J73" s="15" t="inlineStr">
        <is>
          <t>收支月化指标</t>
        </is>
      </c>
      <c r="M73" t="inlineStr">
        <is>
          <t>14.01.01.03</t>
        </is>
      </c>
    </row>
    <row r="74">
      <c r="A74" s="1" t="inlineStr">
        <is>
          <t>五级</t>
        </is>
      </c>
      <c r="B74" s="1" t="inlineStr">
        <is>
          <t>其他</t>
        </is>
      </c>
      <c r="C74" s="10" t="inlineStr">
        <is>
          <t>A01.14.01.01.03.01</t>
        </is>
      </c>
      <c r="D74" s="10" t="inlineStr">
        <is>
          <t xml:space="preserve">        微粒贷自营腾讯渠道费率</t>
        </is>
      </c>
      <c r="H74" s="5">
        <f>H73/H43</f>
        <v/>
      </c>
      <c r="I74" s="5">
        <f>I73/I43</f>
        <v/>
      </c>
      <c r="J74" s="5" t="inlineStr">
        <is>
          <t>率年化指标</t>
        </is>
      </c>
      <c r="M74" t="inlineStr">
        <is>
          <t>14.01.01.03.01</t>
        </is>
      </c>
      <c r="N74" t="inlineStr">
        <is>
          <t>WGT</t>
        </is>
      </c>
    </row>
    <row r="75">
      <c r="A75" s="1" t="inlineStr">
        <is>
          <t>五级</t>
        </is>
      </c>
      <c r="B75" s="1" t="inlineStr">
        <is>
          <t>其他</t>
        </is>
      </c>
      <c r="C75" s="10" t="inlineStr">
        <is>
          <t>A01.14.01.01.03.02</t>
        </is>
      </c>
      <c r="D75" s="10" t="inlineStr">
        <is>
          <t xml:space="preserve">        微粒贷合同渠道费率</t>
        </is>
      </c>
      <c r="M75" t="inlineStr">
        <is>
          <t>14.01.01.03.02</t>
        </is>
      </c>
      <c r="N75" t="inlineStr">
        <is>
          <t>WGT</t>
        </is>
      </c>
    </row>
    <row r="76">
      <c r="A76" s="1" t="inlineStr">
        <is>
          <t>五级</t>
        </is>
      </c>
      <c r="B76" s="1" t="inlineStr">
        <is>
          <t>其他</t>
        </is>
      </c>
      <c r="C76" s="10" t="inlineStr">
        <is>
          <t>A01.14.01.01.03.03</t>
        </is>
      </c>
      <c r="D76" s="10" t="inlineStr">
        <is>
          <t xml:space="preserve">        微粒贷免收渠道费占比</t>
        </is>
      </c>
      <c r="M76" t="inlineStr">
        <is>
          <t>14.01.01.03.03</t>
        </is>
      </c>
      <c r="N76" t="inlineStr">
        <is>
          <t>WGT</t>
        </is>
      </c>
    </row>
    <row r="77">
      <c r="A77" s="1" t="inlineStr">
        <is>
          <t>五级</t>
        </is>
      </c>
      <c r="B77" s="1" t="inlineStr">
        <is>
          <t>其他</t>
        </is>
      </c>
      <c r="C77" s="10" t="inlineStr">
        <is>
          <t>A01.14.01.01.03.04</t>
        </is>
      </c>
      <c r="D77" s="10" t="inlineStr">
        <is>
          <t xml:space="preserve">        AA+同业存单收益率</t>
        </is>
      </c>
      <c r="H77" s="5">
        <f>A02微账户!H142</f>
        <v/>
      </c>
      <c r="I77" s="5">
        <f>A02微账户!I142</f>
        <v/>
      </c>
      <c r="M77" t="inlineStr">
        <is>
          <t>14.01.01.03.04</t>
        </is>
      </c>
      <c r="N77" t="inlineStr">
        <is>
          <t>WGT</t>
        </is>
      </c>
    </row>
    <row r="78">
      <c r="A78" s="13" t="inlineStr">
        <is>
          <t>四级</t>
        </is>
      </c>
      <c r="B78" s="13" t="inlineStr">
        <is>
          <t>支出</t>
        </is>
      </c>
      <c r="C78" s="14" t="inlineStr">
        <is>
          <t>A01.14.01.01.04</t>
        </is>
      </c>
      <c r="D78" s="14" t="inlineStr">
        <is>
          <t xml:space="preserve">      微粒贷电信分期渠道费</t>
        </is>
      </c>
      <c r="E78" s="15" t="n"/>
      <c r="F78" s="15" t="inlineStr">
        <is>
          <t>A01.14.01.01.04.01</t>
        </is>
      </c>
      <c r="G78" s="15" t="n"/>
      <c r="H78" s="15" t="n"/>
      <c r="I78" s="15">
        <f>I44*I79</f>
        <v/>
      </c>
      <c r="J78" s="15" t="inlineStr">
        <is>
          <t>收支月化指标</t>
        </is>
      </c>
      <c r="M78" t="inlineStr">
        <is>
          <t>14.01.01.04</t>
        </is>
      </c>
    </row>
    <row r="79">
      <c r="A79" s="1" t="inlineStr">
        <is>
          <t>五级</t>
        </is>
      </c>
      <c r="B79" s="1" t="inlineStr">
        <is>
          <t>其他</t>
        </is>
      </c>
      <c r="C79" s="10" t="inlineStr">
        <is>
          <t>A01.14.01.01.04.01</t>
        </is>
      </c>
      <c r="D79" s="10" t="inlineStr">
        <is>
          <t xml:space="preserve">        微粒贷电信分期渠道费率</t>
        </is>
      </c>
      <c r="H79" s="5">
        <f>H78/H44</f>
        <v/>
      </c>
      <c r="J79" s="5" t="inlineStr">
        <is>
          <t>率年化指标</t>
        </is>
      </c>
      <c r="M79" t="inlineStr">
        <is>
          <t>14.01.01.04.01</t>
        </is>
      </c>
      <c r="N79" t="inlineStr">
        <is>
          <t>WGT</t>
        </is>
      </c>
    </row>
    <row r="80">
      <c r="A80" s="13" t="inlineStr">
        <is>
          <t>四级</t>
        </is>
      </c>
      <c r="B80" s="13" t="inlineStr">
        <is>
          <t>收入</t>
        </is>
      </c>
      <c r="C80" s="14" t="inlineStr">
        <is>
          <t>A01.14.01.01.05</t>
        </is>
      </c>
      <c r="D80" s="14" t="inlineStr">
        <is>
          <t xml:space="preserve">      微粒贷清仓回购利息收入</t>
        </is>
      </c>
      <c r="E80" s="15" t="n"/>
      <c r="F80" s="15" t="n"/>
      <c r="G80" s="15" t="n"/>
      <c r="H80" s="15" t="n"/>
      <c r="I80" s="15" t="n"/>
      <c r="J80" s="15" t="n"/>
      <c r="M80" t="inlineStr">
        <is>
          <t>14.01.01.05</t>
        </is>
      </c>
      <c r="N80" t="inlineStr">
        <is>
          <t>SUM</t>
        </is>
      </c>
    </row>
    <row r="81">
      <c r="A81" s="13" t="inlineStr">
        <is>
          <t>四级</t>
        </is>
      </c>
      <c r="B81" s="13" t="inlineStr">
        <is>
          <t>支出</t>
        </is>
      </c>
      <c r="C81" s="14" t="inlineStr">
        <is>
          <t>A01.14.01.01.06</t>
        </is>
      </c>
      <c r="D81" s="14" t="inlineStr">
        <is>
          <t xml:space="preserve">      微粒贷清仓回购腾讯渠道费</t>
        </is>
      </c>
      <c r="E81" s="15" t="n"/>
      <c r="F81" s="15" t="n"/>
      <c r="G81" s="15" t="n"/>
      <c r="H81" s="15">
        <f>H80*H75*(1-H76)/1.06</f>
        <v/>
      </c>
      <c r="I81" s="15">
        <f>I80*I75*(1-I76)/1.06</f>
        <v/>
      </c>
      <c r="J81" s="15" t="n"/>
      <c r="M81" t="inlineStr">
        <is>
          <t>14.01.01.06</t>
        </is>
      </c>
      <c r="N81" t="inlineStr">
        <is>
          <t>SUM</t>
        </is>
      </c>
    </row>
    <row r="82" customFormat="1" s="5">
      <c r="A82" s="1" t="n"/>
      <c r="B82" s="1" t="n"/>
      <c r="C82" s="10" t="n"/>
      <c r="D82" s="10" t="n"/>
    </row>
    <row r="83">
      <c r="A83" s="7" t="inlineStr">
        <is>
          <t>三级</t>
        </is>
      </c>
      <c r="B83" s="7" t="inlineStr">
        <is>
          <t>收入</t>
        </is>
      </c>
      <c r="C83" s="11" t="inlineStr">
        <is>
          <t>A01.14.01.02</t>
        </is>
      </c>
      <c r="D83" s="11" t="inlineStr">
        <is>
          <t xml:space="preserve">    分付利息收入</t>
        </is>
      </c>
      <c r="F83" t="inlineStr">
        <is>
          <t>A01.14.01.02.01+A01.14.01.02.02+A01.14.01.02.03</t>
        </is>
      </c>
      <c r="I83" s="5">
        <f>I85-I88</f>
        <v/>
      </c>
      <c r="M83" t="inlineStr">
        <is>
          <t>14.01.02</t>
        </is>
      </c>
    </row>
    <row r="84">
      <c r="A84" s="13" t="inlineStr">
        <is>
          <t>四级</t>
        </is>
      </c>
      <c r="B84" s="13" t="inlineStr">
        <is>
          <t>其他</t>
        </is>
      </c>
      <c r="C84" s="14" t="inlineStr">
        <is>
          <t>A01.14.01.02.01</t>
        </is>
      </c>
      <c r="D84" s="14" t="inlineStr">
        <is>
          <t xml:space="preserve">      分付收息率</t>
        </is>
      </c>
      <c r="E84" s="15" t="n"/>
      <c r="F84" s="15" t="n"/>
      <c r="G84" s="15" t="n"/>
      <c r="H84" s="15">
        <f>H83/H45</f>
        <v/>
      </c>
      <c r="I84" s="15">
        <f>I83/I45</f>
        <v/>
      </c>
      <c r="J84" s="15" t="inlineStr">
        <is>
          <t>率年化指标</t>
        </is>
      </c>
      <c r="M84" t="inlineStr">
        <is>
          <t>14.01.02.01</t>
        </is>
      </c>
      <c r="N84" t="inlineStr">
        <is>
          <t>WGT</t>
        </is>
      </c>
    </row>
    <row r="85">
      <c r="A85" s="13" t="inlineStr">
        <is>
          <t>四级</t>
        </is>
      </c>
      <c r="B85" s="13" t="inlineStr">
        <is>
          <t>收入</t>
        </is>
      </c>
      <c r="C85" s="14" t="inlineStr">
        <is>
          <t>A01.14.01.02.02</t>
        </is>
      </c>
      <c r="D85" s="14" t="inlineStr">
        <is>
          <t xml:space="preserve">      分付利息收入（渠道费前）</t>
        </is>
      </c>
      <c r="E85" s="15" t="n"/>
      <c r="F85" s="15" t="inlineStr">
        <is>
          <t>A01.14.01.02.02.01+A01.14.01.02.02.02</t>
        </is>
      </c>
      <c r="G85" s="15" t="n"/>
      <c r="H85" s="15">
        <f>H83+H88</f>
        <v/>
      </c>
      <c r="I85" s="15">
        <f>I45*I87</f>
        <v/>
      </c>
      <c r="J85" s="15" t="inlineStr">
        <is>
          <t>收支月化指标</t>
        </is>
      </c>
      <c r="M85" t="inlineStr">
        <is>
          <t>14.01.02.02</t>
        </is>
      </c>
    </row>
    <row r="86">
      <c r="A86" s="1" t="inlineStr">
        <is>
          <t>五级</t>
        </is>
      </c>
      <c r="B86" s="1" t="inlineStr">
        <is>
          <t>其他</t>
        </is>
      </c>
      <c r="C86" s="10" t="inlineStr">
        <is>
          <t>A01.14.01.02.02.01</t>
        </is>
      </c>
      <c r="D86" s="10" t="inlineStr">
        <is>
          <t xml:space="preserve">        分付对客利率</t>
        </is>
      </c>
      <c r="M86" t="inlineStr">
        <is>
          <t>14.01.02.02.01</t>
        </is>
      </c>
      <c r="N86" t="inlineStr">
        <is>
          <t>WGT</t>
        </is>
      </c>
    </row>
    <row r="87">
      <c r="A87" s="1" t="inlineStr">
        <is>
          <t>五级</t>
        </is>
      </c>
      <c r="B87" s="1" t="inlineStr">
        <is>
          <t>其他</t>
        </is>
      </c>
      <c r="C87" s="10" t="inlineStr">
        <is>
          <t>A01.14.01.02.02.02</t>
        </is>
      </c>
      <c r="D87" s="10" t="inlineStr">
        <is>
          <t xml:space="preserve">        分付平均利率（渠道费前）</t>
        </is>
      </c>
      <c r="H87" s="5">
        <f>H85/H45</f>
        <v/>
      </c>
      <c r="I87" s="5">
        <f>I86*0.9957/1.06</f>
        <v/>
      </c>
      <c r="J87" s="5" t="inlineStr">
        <is>
          <t>率年化指标（仅实际月）</t>
        </is>
      </c>
      <c r="M87" t="inlineStr">
        <is>
          <t>14.01.02.02.02</t>
        </is>
      </c>
      <c r="N87" t="inlineStr">
        <is>
          <t>WGT</t>
        </is>
      </c>
    </row>
    <row r="88">
      <c r="A88" s="13" t="inlineStr">
        <is>
          <t>四级</t>
        </is>
      </c>
      <c r="B88" s="13" t="inlineStr">
        <is>
          <t>支出</t>
        </is>
      </c>
      <c r="C88" s="14" t="inlineStr">
        <is>
          <t>A01.14.01.02.03</t>
        </is>
      </c>
      <c r="D88" s="14" t="inlineStr">
        <is>
          <t xml:space="preserve">      分付腾讯渠道费</t>
        </is>
      </c>
      <c r="E88" s="15" t="n"/>
      <c r="F88" s="15" t="inlineStr">
        <is>
          <t>A01.14.01.02.03.01+A01.14.01.02.03.02+A01.14.01.02.03.03</t>
        </is>
      </c>
      <c r="G88" s="15" t="n"/>
      <c r="H88" s="15" t="n"/>
      <c r="I88" s="15">
        <f>I85*I90*I91</f>
        <v/>
      </c>
      <c r="J88" s="15" t="n"/>
      <c r="M88" t="inlineStr">
        <is>
          <t>14.01.02.03</t>
        </is>
      </c>
    </row>
    <row r="89">
      <c r="A89" s="1" t="inlineStr">
        <is>
          <t>五级</t>
        </is>
      </c>
      <c r="B89" s="1" t="inlineStr">
        <is>
          <t>其他</t>
        </is>
      </c>
      <c r="C89" s="10" t="inlineStr">
        <is>
          <t>A01.14.01.02.03.01</t>
        </is>
      </c>
      <c r="D89" s="10" t="inlineStr">
        <is>
          <t xml:space="preserve">        分付腾讯渠道费率</t>
        </is>
      </c>
      <c r="H89" s="5">
        <f>H88/H45</f>
        <v/>
      </c>
      <c r="I89" s="5">
        <f>I88/I45</f>
        <v/>
      </c>
      <c r="J89" s="5" t="inlineStr">
        <is>
          <t>率年化指标</t>
        </is>
      </c>
      <c r="M89" t="inlineStr">
        <is>
          <t>14.01.02.03.01</t>
        </is>
      </c>
      <c r="N89" t="inlineStr">
        <is>
          <t>WGT</t>
        </is>
      </c>
    </row>
    <row r="90">
      <c r="A90" s="1" t="inlineStr">
        <is>
          <t>五级</t>
        </is>
      </c>
      <c r="B90" s="1" t="inlineStr">
        <is>
          <t>其他</t>
        </is>
      </c>
      <c r="C90" s="10" t="inlineStr">
        <is>
          <t>A01.14.01.02.03.02</t>
        </is>
      </c>
      <c r="D90" s="10" t="inlineStr">
        <is>
          <t xml:space="preserve">        分付腾讯合同渠道费率</t>
        </is>
      </c>
      <c r="M90" t="inlineStr">
        <is>
          <t>14.01.02.03.02</t>
        </is>
      </c>
      <c r="N90" t="inlineStr">
        <is>
          <t>WGT</t>
        </is>
      </c>
    </row>
    <row r="91">
      <c r="A91" s="1" t="inlineStr">
        <is>
          <t>五级</t>
        </is>
      </c>
      <c r="B91" s="1" t="inlineStr">
        <is>
          <t>其他</t>
        </is>
      </c>
      <c r="C91" s="10" t="inlineStr">
        <is>
          <t>A01.14.01.02.03.03</t>
        </is>
      </c>
      <c r="D91" s="10" t="inlineStr">
        <is>
          <t xml:space="preserve">        分付实收利息比例</t>
        </is>
      </c>
      <c r="M91" t="inlineStr">
        <is>
          <t>14.01.02.03.03</t>
        </is>
      </c>
      <c r="N91" t="inlineStr">
        <is>
          <t>WGT</t>
        </is>
      </c>
    </row>
    <row r="92">
      <c r="A92" s="1" t="n"/>
      <c r="B92" s="1" t="n"/>
      <c r="C92" s="10" t="n"/>
      <c r="D92" s="10" t="n"/>
    </row>
    <row r="93">
      <c r="A93" s="7" t="inlineStr">
        <is>
          <t>二级</t>
        </is>
      </c>
      <c r="B93" s="1" t="inlineStr">
        <is>
          <t>收入</t>
        </is>
      </c>
      <c r="C93" s="11" t="inlineStr">
        <is>
          <t>A01.14.02</t>
        </is>
      </c>
      <c r="D93" s="11" t="inlineStr">
        <is>
          <t xml:space="preserve">  金融机构往来利息收入</t>
        </is>
      </c>
      <c r="F93" t="inlineStr">
        <is>
          <t>A01.14.02.02</t>
        </is>
      </c>
      <c r="H93" s="5">
        <f>H94</f>
        <v/>
      </c>
      <c r="I93" s="5">
        <f>I94</f>
        <v/>
      </c>
      <c r="M93" t="inlineStr">
        <is>
          <t>14.02</t>
        </is>
      </c>
    </row>
    <row r="94">
      <c r="A94" s="7" t="inlineStr">
        <is>
          <t>三级</t>
        </is>
      </c>
      <c r="B94" s="1" t="inlineStr">
        <is>
          <t>收入</t>
        </is>
      </c>
      <c r="C94" s="11" t="inlineStr">
        <is>
          <t>A01.14.02.02</t>
        </is>
      </c>
      <c r="D94" s="11" t="inlineStr">
        <is>
          <t xml:space="preserve">    存放同业利息收入</t>
        </is>
      </c>
      <c r="F94" t="inlineStr">
        <is>
          <t>A01.14.02.02.01</t>
        </is>
      </c>
      <c r="I94" s="5">
        <f>I57*I95</f>
        <v/>
      </c>
      <c r="J94" s="5" t="inlineStr">
        <is>
          <t>收支月化指标</t>
        </is>
      </c>
      <c r="M94" t="inlineStr">
        <is>
          <t>14.02.02</t>
        </is>
      </c>
    </row>
    <row r="95">
      <c r="A95" s="1" t="inlineStr">
        <is>
          <t>四级</t>
        </is>
      </c>
      <c r="B95" s="1" t="inlineStr">
        <is>
          <t>其他</t>
        </is>
      </c>
      <c r="C95" s="10" t="inlineStr">
        <is>
          <t>A01.14.02.02.01</t>
        </is>
      </c>
      <c r="D95" s="10" t="inlineStr">
        <is>
          <t xml:space="preserve">      存放同业收息率</t>
        </is>
      </c>
      <c r="H95" s="5">
        <f>H94/H57</f>
        <v/>
      </c>
      <c r="J95" s="5" t="inlineStr">
        <is>
          <t>率年化指标</t>
        </is>
      </c>
      <c r="M95" t="inlineStr">
        <is>
          <t>14.02.02.01</t>
        </is>
      </c>
      <c r="N95" t="inlineStr">
        <is>
          <t>WGT</t>
        </is>
      </c>
    </row>
    <row r="96">
      <c r="A96" s="1" t="n"/>
      <c r="B96" s="1" t="n"/>
      <c r="C96" s="10" t="n"/>
      <c r="D96" s="10" t="n"/>
    </row>
    <row r="97">
      <c r="A97" s="7" t="inlineStr">
        <is>
          <t>一级</t>
        </is>
      </c>
      <c r="B97" s="7" t="inlineStr">
        <is>
          <t>支出</t>
        </is>
      </c>
      <c r="C97" s="11" t="inlineStr">
        <is>
          <t>A01.15</t>
        </is>
      </c>
      <c r="D97" s="11" t="inlineStr">
        <is>
          <t>FTP成本</t>
        </is>
      </c>
      <c r="E97" s="12" t="n"/>
      <c r="F97" s="12" t="inlineStr">
        <is>
          <t>A01.15.01+A01.15.02+A01.15.99</t>
        </is>
      </c>
      <c r="G97" s="12" t="n"/>
      <c r="H97" s="12">
        <f>H98+H103+H106</f>
        <v/>
      </c>
      <c r="I97" s="12">
        <f>I98+I103+I106</f>
        <v/>
      </c>
      <c r="J97" s="12" t="n"/>
      <c r="M97" t="inlineStr">
        <is>
          <t>15</t>
        </is>
      </c>
    </row>
    <row r="98">
      <c r="A98" s="7" t="inlineStr">
        <is>
          <t>二级</t>
        </is>
      </c>
      <c r="B98" s="7" t="inlineStr">
        <is>
          <t>支出</t>
        </is>
      </c>
      <c r="C98" s="11" t="inlineStr">
        <is>
          <t>A01.15.01</t>
        </is>
      </c>
      <c r="D98" s="11" t="inlineStr">
        <is>
          <t xml:space="preserve">  贷款FTP成本</t>
        </is>
      </c>
      <c r="E98" s="12" t="n"/>
      <c r="F98" s="12" t="inlineStr">
        <is>
          <t>A01.15.01.01+A01.15.01.02</t>
        </is>
      </c>
      <c r="G98" s="12" t="n"/>
      <c r="H98" s="12">
        <f>H99+H101</f>
        <v/>
      </c>
      <c r="I98" s="12">
        <f>I99+I101</f>
        <v/>
      </c>
      <c r="J98" s="12" t="n"/>
      <c r="M98" t="inlineStr">
        <is>
          <t>15.01</t>
        </is>
      </c>
    </row>
    <row r="99">
      <c r="A99" s="1" t="inlineStr">
        <is>
          <t>三级</t>
        </is>
      </c>
      <c r="B99" s="1" t="inlineStr">
        <is>
          <t>支出</t>
        </is>
      </c>
      <c r="C99" s="10" t="inlineStr">
        <is>
          <t>A01.15.01.01</t>
        </is>
      </c>
      <c r="D99" s="10" t="inlineStr">
        <is>
          <t xml:space="preserve">    微粒贷FTP成本</t>
        </is>
      </c>
      <c r="F99" t="inlineStr">
        <is>
          <t>A01.15.01.01.01</t>
        </is>
      </c>
      <c r="I99" s="5">
        <f>I43*I100</f>
        <v/>
      </c>
      <c r="J99" s="5" t="inlineStr">
        <is>
          <t>收支月化指标</t>
        </is>
      </c>
      <c r="M99" t="inlineStr">
        <is>
          <t>15.01.01</t>
        </is>
      </c>
    </row>
    <row r="100">
      <c r="A100" s="1" t="inlineStr">
        <is>
          <t>四级</t>
        </is>
      </c>
      <c r="B100" s="1" t="inlineStr">
        <is>
          <t>其他</t>
        </is>
      </c>
      <c r="C100" s="10" t="inlineStr">
        <is>
          <t>A01.15.01.01.01</t>
        </is>
      </c>
      <c r="D100" s="10" t="inlineStr">
        <is>
          <t xml:space="preserve">      微粒贷FTP</t>
        </is>
      </c>
      <c r="H100" s="5">
        <f>H99/H43</f>
        <v/>
      </c>
      <c r="J100" s="5" t="inlineStr">
        <is>
          <t>率年化指标</t>
        </is>
      </c>
      <c r="M100" t="inlineStr">
        <is>
          <t>15.01.01.01</t>
        </is>
      </c>
      <c r="N100" t="inlineStr">
        <is>
          <t>WGT</t>
        </is>
      </c>
    </row>
    <row r="101">
      <c r="A101" s="1" t="inlineStr">
        <is>
          <t>三级</t>
        </is>
      </c>
      <c r="B101" s="1" t="inlineStr">
        <is>
          <t>支出</t>
        </is>
      </c>
      <c r="C101" s="10" t="inlineStr">
        <is>
          <t>A01.15.01.02</t>
        </is>
      </c>
      <c r="D101" s="10" t="inlineStr">
        <is>
          <t xml:space="preserve">    分付FTP成本</t>
        </is>
      </c>
      <c r="F101" t="inlineStr">
        <is>
          <t>A01.15.01.02.01</t>
        </is>
      </c>
      <c r="I101" s="5">
        <f>I45*I102</f>
        <v/>
      </c>
      <c r="J101" s="5" t="inlineStr">
        <is>
          <t>收支月化指标</t>
        </is>
      </c>
      <c r="M101" t="inlineStr">
        <is>
          <t>15.01.02</t>
        </is>
      </c>
    </row>
    <row r="102">
      <c r="A102" s="1" t="inlineStr">
        <is>
          <t>四级</t>
        </is>
      </c>
      <c r="B102" s="1" t="inlineStr">
        <is>
          <t>其他</t>
        </is>
      </c>
      <c r="C102" s="10" t="inlineStr">
        <is>
          <t>A01.15.01.02.01</t>
        </is>
      </c>
      <c r="D102" s="10" t="inlineStr">
        <is>
          <t xml:space="preserve">      分付FTP</t>
        </is>
      </c>
      <c r="H102" s="5">
        <f>H101/H45</f>
        <v/>
      </c>
      <c r="J102" s="5" t="inlineStr">
        <is>
          <t>率年化指标</t>
        </is>
      </c>
      <c r="M102" t="inlineStr">
        <is>
          <t>15.01.02.01</t>
        </is>
      </c>
      <c r="N102" t="inlineStr">
        <is>
          <t>WGT</t>
        </is>
      </c>
    </row>
    <row r="103">
      <c r="A103" s="7" t="inlineStr">
        <is>
          <t>二级</t>
        </is>
      </c>
      <c r="B103" s="7" t="inlineStr">
        <is>
          <t>支出</t>
        </is>
      </c>
      <c r="C103" s="11" t="inlineStr">
        <is>
          <t>A01.15.02</t>
        </is>
      </c>
      <c r="D103" s="11" t="inlineStr">
        <is>
          <t xml:space="preserve">  金融机构往来FTP成本</t>
        </is>
      </c>
      <c r="E103" s="12" t="n"/>
      <c r="F103" s="12" t="inlineStr">
        <is>
          <t>A01.15.02.02</t>
        </is>
      </c>
      <c r="G103" s="12" t="n"/>
      <c r="H103" s="12">
        <f>H104</f>
        <v/>
      </c>
      <c r="I103" s="12">
        <f>I104</f>
        <v/>
      </c>
      <c r="J103" s="12" t="n"/>
      <c r="M103" t="inlineStr">
        <is>
          <t>15.02</t>
        </is>
      </c>
    </row>
    <row r="104">
      <c r="A104" s="1" t="inlineStr">
        <is>
          <t>三级</t>
        </is>
      </c>
      <c r="B104" s="1" t="inlineStr">
        <is>
          <t>支出</t>
        </is>
      </c>
      <c r="C104" s="10" t="inlineStr">
        <is>
          <t>A01.15.02.02</t>
        </is>
      </c>
      <c r="D104" s="10" t="inlineStr">
        <is>
          <t xml:space="preserve">    存放同业FTP成本</t>
        </is>
      </c>
      <c r="F104" t="inlineStr">
        <is>
          <t>A01.15.02.02.01</t>
        </is>
      </c>
      <c r="I104" s="5">
        <f>I57*I105</f>
        <v/>
      </c>
      <c r="J104" s="5" t="inlineStr">
        <is>
          <t>收支月化指标</t>
        </is>
      </c>
      <c r="M104" t="inlineStr">
        <is>
          <t>15.02.02</t>
        </is>
      </c>
    </row>
    <row r="105">
      <c r="A105" s="1" t="inlineStr">
        <is>
          <t>四级</t>
        </is>
      </c>
      <c r="B105" s="1" t="inlineStr">
        <is>
          <t>其他</t>
        </is>
      </c>
      <c r="C105" s="10" t="inlineStr">
        <is>
          <t>A01.15.02.02.01</t>
        </is>
      </c>
      <c r="D105" s="10" t="inlineStr">
        <is>
          <t xml:space="preserve">      存放同业FTP</t>
        </is>
      </c>
      <c r="H105" s="5">
        <f>H104/H57</f>
        <v/>
      </c>
      <c r="J105" s="5" t="inlineStr">
        <is>
          <t>率年化指标</t>
        </is>
      </c>
      <c r="M105" t="inlineStr">
        <is>
          <t>15.02.02.01</t>
        </is>
      </c>
      <c r="N105" t="inlineStr">
        <is>
          <t>WGT</t>
        </is>
      </c>
    </row>
    <row r="106">
      <c r="A106" s="7" t="inlineStr">
        <is>
          <t>二级</t>
        </is>
      </c>
      <c r="B106" s="7" t="inlineStr">
        <is>
          <t>支出</t>
        </is>
      </c>
      <c r="C106" s="11" t="inlineStr">
        <is>
          <t>A01.15.99</t>
        </is>
      </c>
      <c r="D106" s="11" t="inlineStr">
        <is>
          <t xml:space="preserve">  其他FTP成本</t>
        </is>
      </c>
      <c r="E106" s="12" t="n"/>
      <c r="F106" s="12" t="inlineStr">
        <is>
          <t>A01.15.99.01</t>
        </is>
      </c>
      <c r="G106" s="12" t="n"/>
      <c r="H106" s="12">
        <f>H107</f>
        <v/>
      </c>
      <c r="I106" s="12">
        <f>I107</f>
        <v/>
      </c>
      <c r="J106" s="12" t="n"/>
      <c r="M106" t="inlineStr">
        <is>
          <t>15.99</t>
        </is>
      </c>
    </row>
    <row r="107">
      <c r="A107" s="1" t="inlineStr">
        <is>
          <t>三级</t>
        </is>
      </c>
      <c r="B107" s="1" t="inlineStr">
        <is>
          <t>支出</t>
        </is>
      </c>
      <c r="C107" s="10" t="inlineStr">
        <is>
          <t>A01.15.99.01</t>
        </is>
      </c>
      <c r="D107" s="10" t="inlineStr">
        <is>
          <t xml:space="preserve">    流动性备付</t>
        </is>
      </c>
      <c r="M107" t="inlineStr">
        <is>
          <t>15.99.01</t>
        </is>
      </c>
      <c r="N107" t="inlineStr">
        <is>
          <t>SUM</t>
        </is>
      </c>
    </row>
    <row r="108">
      <c r="A108" s="1" t="n"/>
      <c r="B108" s="1" t="n"/>
      <c r="C108" s="10" t="n"/>
      <c r="D108" s="10" t="n"/>
    </row>
    <row r="109" customFormat="1" s="12">
      <c r="A109" s="7" t="inlineStr">
        <is>
          <t>一级</t>
        </is>
      </c>
      <c r="B109" s="7" t="inlineStr">
        <is>
          <t>支出</t>
        </is>
      </c>
      <c r="C109" s="11" t="inlineStr">
        <is>
          <t>A01.16</t>
        </is>
      </c>
      <c r="D109" s="11" t="inlineStr">
        <is>
          <t>利息支出</t>
        </is>
      </c>
      <c r="F109" t="inlineStr">
        <is>
          <t>A01.16.01+A01.16.02</t>
        </is>
      </c>
      <c r="H109" s="12">
        <f>H110+H112</f>
        <v/>
      </c>
      <c r="I109" s="12">
        <f>I110+I112</f>
        <v/>
      </c>
      <c r="M109" t="inlineStr">
        <is>
          <t>16</t>
        </is>
      </c>
    </row>
    <row r="110">
      <c r="A110" s="7" t="inlineStr">
        <is>
          <t>二级</t>
        </is>
      </c>
      <c r="B110" s="7" t="inlineStr">
        <is>
          <t>支出</t>
        </is>
      </c>
      <c r="C110" s="11" t="inlineStr">
        <is>
          <t>A01.16.01</t>
        </is>
      </c>
      <c r="D110" s="11" t="inlineStr">
        <is>
          <t xml:space="preserve">  存款利息支出</t>
        </is>
      </c>
      <c r="E110" s="12" t="n"/>
      <c r="F110" s="12" t="inlineStr">
        <is>
          <t>A01.16.01.01</t>
        </is>
      </c>
      <c r="G110" s="12" t="n"/>
      <c r="H110" s="12" t="n"/>
      <c r="I110" s="12">
        <f>I52*I111</f>
        <v/>
      </c>
      <c r="J110" s="5" t="inlineStr">
        <is>
          <t>收支月化指标</t>
        </is>
      </c>
      <c r="M110" t="inlineStr">
        <is>
          <t>16.01</t>
        </is>
      </c>
    </row>
    <row r="111">
      <c r="A111" s="1" t="inlineStr">
        <is>
          <t>三级</t>
        </is>
      </c>
      <c r="B111" s="1" t="inlineStr">
        <is>
          <t>其他</t>
        </is>
      </c>
      <c r="C111" s="10" t="inlineStr">
        <is>
          <t>A01.16.01.01</t>
        </is>
      </c>
      <c r="D111" s="10" t="inlineStr">
        <is>
          <t xml:space="preserve">    存款付息率</t>
        </is>
      </c>
      <c r="H111" s="5">
        <f>H110/H52</f>
        <v/>
      </c>
      <c r="J111" s="5" t="inlineStr">
        <is>
          <t>率年化指标</t>
        </is>
      </c>
      <c r="M111" t="inlineStr">
        <is>
          <t>16.01.01</t>
        </is>
      </c>
      <c r="N111" t="inlineStr">
        <is>
          <t>WGT</t>
        </is>
      </c>
    </row>
    <row r="112">
      <c r="A112" s="7" t="inlineStr">
        <is>
          <t>二级</t>
        </is>
      </c>
      <c r="B112" s="7" t="inlineStr">
        <is>
          <t>支出</t>
        </is>
      </c>
      <c r="C112" s="11" t="inlineStr">
        <is>
          <t>A01.16.02</t>
        </is>
      </c>
      <c r="D112" s="11" t="inlineStr">
        <is>
          <t>金融机构往来利息支出</t>
        </is>
      </c>
      <c r="E112" s="12" t="n"/>
      <c r="F112" s="12" t="inlineStr">
        <is>
          <t>A01.16.02.02</t>
        </is>
      </c>
      <c r="G112" s="12" t="n"/>
      <c r="H112" s="12">
        <f>H113</f>
        <v/>
      </c>
      <c r="I112" s="12">
        <f>I113</f>
        <v/>
      </c>
      <c r="J112" s="12" t="n"/>
      <c r="M112" t="inlineStr">
        <is>
          <t>16.02</t>
        </is>
      </c>
    </row>
    <row r="113">
      <c r="A113" s="1" t="inlineStr">
        <is>
          <t>三级</t>
        </is>
      </c>
      <c r="B113" s="1" t="inlineStr">
        <is>
          <t>支出</t>
        </is>
      </c>
      <c r="C113" s="10" t="inlineStr">
        <is>
          <t>A01.16.02.02</t>
        </is>
      </c>
      <c r="D113" s="10" t="inlineStr">
        <is>
          <t xml:space="preserve">  同业存放利息支出</t>
        </is>
      </c>
      <c r="F113" t="inlineStr">
        <is>
          <t>A01.16.02.02.01</t>
        </is>
      </c>
      <c r="I113" s="5">
        <f>I61*I114</f>
        <v/>
      </c>
      <c r="J113" s="5" t="inlineStr">
        <is>
          <t>收支月化指标</t>
        </is>
      </c>
      <c r="M113" t="inlineStr">
        <is>
          <t>16.02.02</t>
        </is>
      </c>
    </row>
    <row r="114">
      <c r="A114" s="1" t="inlineStr">
        <is>
          <t>四级</t>
        </is>
      </c>
      <c r="B114" s="1" t="inlineStr">
        <is>
          <t>其他</t>
        </is>
      </c>
      <c r="C114" s="10" t="inlineStr">
        <is>
          <t>A01.16.02.02.01</t>
        </is>
      </c>
      <c r="D114" s="10" t="inlineStr">
        <is>
          <t xml:space="preserve">    同业存放付息率</t>
        </is>
      </c>
      <c r="H114" s="5">
        <f>H113/H61</f>
        <v/>
      </c>
      <c r="J114" s="5" t="inlineStr">
        <is>
          <t>率年化指标</t>
        </is>
      </c>
      <c r="M114" t="inlineStr">
        <is>
          <t>16.02.02.01</t>
        </is>
      </c>
      <c r="N114" t="inlineStr">
        <is>
          <t>WGT</t>
        </is>
      </c>
    </row>
    <row r="115">
      <c r="A115" s="1" t="n"/>
      <c r="B115" s="1" t="n"/>
      <c r="C115" s="10" t="n"/>
      <c r="D115" s="10" t="n"/>
    </row>
    <row r="116" customFormat="1" s="12">
      <c r="A116" s="7" t="inlineStr">
        <is>
          <t>一级</t>
        </is>
      </c>
      <c r="B116" s="7" t="inlineStr">
        <is>
          <t>收入</t>
        </is>
      </c>
      <c r="C116" s="11" t="inlineStr">
        <is>
          <t>A01.17</t>
        </is>
      </c>
      <c r="D116" s="11" t="inlineStr">
        <is>
          <t>FTP收入</t>
        </is>
      </c>
      <c r="F116" t="inlineStr">
        <is>
          <t>A01.17.01+A01.17.02</t>
        </is>
      </c>
      <c r="H116" s="12">
        <f>H117+H119</f>
        <v/>
      </c>
      <c r="I116" s="12">
        <f>I117+I119</f>
        <v/>
      </c>
      <c r="M116" t="inlineStr">
        <is>
          <t>17</t>
        </is>
      </c>
    </row>
    <row r="117" customFormat="1" s="12">
      <c r="A117" s="7" t="inlineStr">
        <is>
          <t>二级</t>
        </is>
      </c>
      <c r="B117" s="7" t="inlineStr">
        <is>
          <t>收入</t>
        </is>
      </c>
      <c r="C117" s="11" t="inlineStr">
        <is>
          <t>A01.17.01</t>
        </is>
      </c>
      <c r="D117" s="11" t="inlineStr">
        <is>
          <t xml:space="preserve">  存款FTP收入</t>
        </is>
      </c>
      <c r="F117" t="inlineStr">
        <is>
          <t>A01.17.01.01</t>
        </is>
      </c>
      <c r="I117" s="12">
        <f>I52*I118</f>
        <v/>
      </c>
      <c r="J117" s="5" t="inlineStr">
        <is>
          <t>收支月化指标</t>
        </is>
      </c>
      <c r="M117" t="inlineStr">
        <is>
          <t>17.01</t>
        </is>
      </c>
    </row>
    <row r="118">
      <c r="A118" s="5" t="inlineStr">
        <is>
          <t>三级</t>
        </is>
      </c>
      <c r="B118" s="5" t="inlineStr">
        <is>
          <t>其他</t>
        </is>
      </c>
      <c r="C118" s="10" t="inlineStr">
        <is>
          <t>A01.17.01.01</t>
        </is>
      </c>
      <c r="D118" s="5" t="inlineStr">
        <is>
          <t xml:space="preserve">    存款FTP</t>
        </is>
      </c>
      <c r="H118" s="5">
        <f>H117/H52</f>
        <v/>
      </c>
      <c r="J118" s="5" t="inlineStr">
        <is>
          <t>率年化指标</t>
        </is>
      </c>
      <c r="M118" t="inlineStr">
        <is>
          <t>17.01.01</t>
        </is>
      </c>
      <c r="N118" t="inlineStr">
        <is>
          <t>WGT</t>
        </is>
      </c>
    </row>
    <row r="119" customFormat="1" s="12">
      <c r="A119" s="12" t="inlineStr">
        <is>
          <t>二级</t>
        </is>
      </c>
      <c r="B119" s="12" t="inlineStr">
        <is>
          <t>收入</t>
        </is>
      </c>
      <c r="C119" s="11" t="inlineStr">
        <is>
          <t>A01.17.02</t>
        </is>
      </c>
      <c r="D119" s="12" t="inlineStr">
        <is>
          <t xml:space="preserve">  金融机构往来FTP收入</t>
        </is>
      </c>
      <c r="F119" t="inlineStr">
        <is>
          <t>A01.17.02.02</t>
        </is>
      </c>
      <c r="H119" s="12">
        <f>H120</f>
        <v/>
      </c>
      <c r="I119" s="12">
        <f>I120</f>
        <v/>
      </c>
      <c r="M119" t="inlineStr">
        <is>
          <t>17.02</t>
        </is>
      </c>
    </row>
    <row r="120">
      <c r="A120" s="5" t="inlineStr">
        <is>
          <t>三级</t>
        </is>
      </c>
      <c r="B120" s="5" t="inlineStr">
        <is>
          <t>收入</t>
        </is>
      </c>
      <c r="C120" s="10" t="inlineStr">
        <is>
          <t>A01.17.02.02</t>
        </is>
      </c>
      <c r="D120" s="5" t="inlineStr">
        <is>
          <t xml:space="preserve">    同业存放FTP收入</t>
        </is>
      </c>
      <c r="F120" t="inlineStr">
        <is>
          <t>A01.17.02.02.01</t>
        </is>
      </c>
      <c r="I120" s="5">
        <f>I61*I121</f>
        <v/>
      </c>
      <c r="J120" s="5" t="inlineStr">
        <is>
          <t>收支月化指标</t>
        </is>
      </c>
      <c r="M120" t="inlineStr">
        <is>
          <t>17.02.02</t>
        </is>
      </c>
    </row>
    <row r="121">
      <c r="A121" s="5" t="inlineStr">
        <is>
          <t>四级</t>
        </is>
      </c>
      <c r="B121" s="5" t="inlineStr">
        <is>
          <t>其他</t>
        </is>
      </c>
      <c r="C121" s="10" t="inlineStr">
        <is>
          <t>A01.17.02.02.01</t>
        </is>
      </c>
      <c r="D121" s="5" t="inlineStr">
        <is>
          <t xml:space="preserve">      同业存放FTP</t>
        </is>
      </c>
      <c r="H121" s="5">
        <f>H120/H61</f>
        <v/>
      </c>
      <c r="J121" s="5" t="inlineStr">
        <is>
          <t>率年化指标</t>
        </is>
      </c>
      <c r="M121" t="inlineStr">
        <is>
          <t>17.02.02.01</t>
        </is>
      </c>
      <c r="N121" t="inlineStr">
        <is>
          <t>WGT</t>
        </is>
      </c>
    </row>
    <row r="122">
      <c r="C122" s="10" t="n"/>
    </row>
    <row r="123">
      <c r="A123" s="7" t="inlineStr">
        <is>
          <t>一级</t>
        </is>
      </c>
      <c r="B123" s="1" t="inlineStr">
        <is>
          <t>收入</t>
        </is>
      </c>
      <c r="C123" s="11" t="inlineStr">
        <is>
          <t>A01.18</t>
        </is>
      </c>
      <c r="D123" s="11" t="inlineStr">
        <is>
          <t>手续费收入</t>
        </is>
      </c>
      <c r="F123" t="inlineStr">
        <is>
          <t>A01.18.01+A01.18.02+A01.18.04+A01.18.06+A01.18.99</t>
        </is>
      </c>
      <c r="I123" s="5">
        <f>I124+I132+I136+I137+I138</f>
        <v/>
      </c>
      <c r="M123" t="inlineStr">
        <is>
          <t>18</t>
        </is>
      </c>
    </row>
    <row r="124">
      <c r="A124" s="7" t="inlineStr">
        <is>
          <t>二级</t>
        </is>
      </c>
      <c r="B124" s="1" t="inlineStr">
        <is>
          <t>收入</t>
        </is>
      </c>
      <c r="C124" s="11" t="inlineStr">
        <is>
          <t>A01.18.01</t>
        </is>
      </c>
      <c r="D124" s="11" t="inlineStr">
        <is>
          <t xml:space="preserve">  微粒贷联贷分成收入</t>
        </is>
      </c>
      <c r="F124" t="inlineStr">
        <is>
          <t>A01.18.01.01+A01.18.01.02+A01.18.01.03</t>
        </is>
      </c>
      <c r="I124" s="5">
        <f>I126+I131</f>
        <v/>
      </c>
      <c r="M124" t="inlineStr">
        <is>
          <t>18.01</t>
        </is>
      </c>
    </row>
    <row r="125">
      <c r="A125" s="1" t="inlineStr">
        <is>
          <t>三级</t>
        </is>
      </c>
      <c r="B125" s="1" t="inlineStr">
        <is>
          <t>其他</t>
        </is>
      </c>
      <c r="C125" s="10" t="inlineStr">
        <is>
          <t>A01.18.01.01</t>
        </is>
      </c>
      <c r="D125" s="10" t="inlineStr">
        <is>
          <t xml:space="preserve">    微粒贷联贷总收益率</t>
        </is>
      </c>
      <c r="H125" s="5">
        <f>H124/H46</f>
        <v/>
      </c>
      <c r="I125" s="5">
        <f>I124/I46</f>
        <v/>
      </c>
      <c r="J125" s="5" t="inlineStr">
        <is>
          <t>率年化指标</t>
        </is>
      </c>
      <c r="M125" t="inlineStr">
        <is>
          <t>18.01.01</t>
        </is>
      </c>
      <c r="N125" t="inlineStr">
        <is>
          <t>WGT</t>
        </is>
      </c>
    </row>
    <row r="126">
      <c r="A126" s="1" t="inlineStr">
        <is>
          <t>三级</t>
        </is>
      </c>
      <c r="B126" s="1" t="inlineStr">
        <is>
          <t>收入</t>
        </is>
      </c>
      <c r="C126" s="10" t="inlineStr">
        <is>
          <t>A01.18.01.02</t>
        </is>
      </c>
      <c r="D126" s="10" t="inlineStr">
        <is>
          <t xml:space="preserve">    微粒贷联贷平台费收入</t>
        </is>
      </c>
      <c r="F126" t="inlineStr">
        <is>
          <t>A01.18.01.02.01+A01.18.01.02.02+A01.18.01.02.03+A01.18.01.02.04</t>
        </is>
      </c>
      <c r="I126" s="5">
        <f>I46*I127</f>
        <v/>
      </c>
      <c r="J126" s="5" t="inlineStr">
        <is>
          <t>收支月化指标</t>
        </is>
      </c>
      <c r="M126" t="inlineStr">
        <is>
          <t>18.01.02</t>
        </is>
      </c>
    </row>
    <row r="127">
      <c r="A127" s="1" t="inlineStr">
        <is>
          <t>四级</t>
        </is>
      </c>
      <c r="B127" s="1" t="inlineStr">
        <is>
          <t>其他</t>
        </is>
      </c>
      <c r="C127" s="10" t="inlineStr">
        <is>
          <t>A01.18.01.02.01</t>
        </is>
      </c>
      <c r="D127" s="10" t="inlineStr">
        <is>
          <t xml:space="preserve">      微粒贷联贷收益率</t>
        </is>
      </c>
      <c r="H127" s="5">
        <f>H126/H46</f>
        <v/>
      </c>
      <c r="I127" s="5">
        <f>I128*I129*I130/1.06</f>
        <v/>
      </c>
      <c r="J127" s="5" t="inlineStr">
        <is>
          <t>率年化指标（仅实际月）</t>
        </is>
      </c>
      <c r="M127" t="inlineStr">
        <is>
          <t>18.01.02.01</t>
        </is>
      </c>
      <c r="N127" t="inlineStr">
        <is>
          <t>WGT</t>
        </is>
      </c>
    </row>
    <row r="128">
      <c r="A128" s="1" t="inlineStr">
        <is>
          <t>四级</t>
        </is>
      </c>
      <c r="B128" s="1" t="inlineStr">
        <is>
          <t>其他</t>
        </is>
      </c>
      <c r="C128" s="10" t="inlineStr">
        <is>
          <t>A01.18.01.02.02</t>
        </is>
      </c>
      <c r="D128" s="10" t="inlineStr">
        <is>
          <t xml:space="preserve">      微粒贷联贷平均财务利率</t>
        </is>
      </c>
      <c r="I128" s="5">
        <f>I69+I72</f>
        <v/>
      </c>
      <c r="M128" t="inlineStr">
        <is>
          <t>18.01.02.02</t>
        </is>
      </c>
      <c r="N128" t="inlineStr">
        <is>
          <t>WGT</t>
        </is>
      </c>
    </row>
    <row r="129">
      <c r="A129" s="1" t="inlineStr">
        <is>
          <t>四级</t>
        </is>
      </c>
      <c r="B129" s="1" t="inlineStr">
        <is>
          <t>其他</t>
        </is>
      </c>
      <c r="C129" s="10" t="inlineStr">
        <is>
          <t>A01.18.01.02.03</t>
        </is>
      </c>
      <c r="D129" s="10" t="inlineStr">
        <is>
          <t xml:space="preserve">      平台费率</t>
        </is>
      </c>
      <c r="M129" t="inlineStr">
        <is>
          <t>18.01.02.03</t>
        </is>
      </c>
      <c r="N129" t="inlineStr">
        <is>
          <t>WGT</t>
        </is>
      </c>
    </row>
    <row r="130">
      <c r="A130" s="1" t="inlineStr">
        <is>
          <t>四级</t>
        </is>
      </c>
      <c r="B130" s="1" t="inlineStr">
        <is>
          <t>其他</t>
        </is>
      </c>
      <c r="C130" s="10" t="inlineStr">
        <is>
          <t>A01.18.01.02.04</t>
        </is>
      </c>
      <c r="D130" s="10" t="inlineStr">
        <is>
          <t xml:space="preserve">      折扣率</t>
        </is>
      </c>
      <c r="M130" t="inlineStr">
        <is>
          <t>18.01.02.04</t>
        </is>
      </c>
      <c r="N130" t="inlineStr">
        <is>
          <t>WGT</t>
        </is>
      </c>
    </row>
    <row r="131">
      <c r="A131" s="1" t="inlineStr">
        <is>
          <t>三级</t>
        </is>
      </c>
      <c r="B131" s="1" t="inlineStr">
        <is>
          <t>收入</t>
        </is>
      </c>
      <c r="C131" s="10" t="inlineStr">
        <is>
          <t>A01.18.01.03</t>
        </is>
      </c>
      <c r="D131" s="10" t="inlineStr">
        <is>
          <t xml:space="preserve">    微粒贷信托收益</t>
        </is>
      </c>
      <c r="M131" t="inlineStr">
        <is>
          <t>18.01.03</t>
        </is>
      </c>
      <c r="N131" t="inlineStr">
        <is>
          <t>SUM</t>
        </is>
      </c>
    </row>
    <row r="132">
      <c r="A132" s="7" t="inlineStr">
        <is>
          <t>二级</t>
        </is>
      </c>
      <c r="B132" s="1" t="inlineStr">
        <is>
          <t>收入</t>
        </is>
      </c>
      <c r="C132" s="11" t="inlineStr">
        <is>
          <t>A01.18.06</t>
        </is>
      </c>
      <c r="D132" s="11" t="inlineStr">
        <is>
          <t xml:space="preserve">  微粒贷同业催收费收入</t>
        </is>
      </c>
      <c r="F132" t="inlineStr">
        <is>
          <t>A01.18.06.01+A01.18.06.02</t>
        </is>
      </c>
      <c r="I132" s="5">
        <f>I141*I134*I135</f>
        <v/>
      </c>
      <c r="M132" t="inlineStr">
        <is>
          <t>18.06</t>
        </is>
      </c>
    </row>
    <row r="133">
      <c r="A133" s="1" t="inlineStr">
        <is>
          <t>三级</t>
        </is>
      </c>
      <c r="B133" s="1" t="inlineStr">
        <is>
          <t>其他</t>
        </is>
      </c>
      <c r="C133" s="10" t="inlineStr">
        <is>
          <t>A01.18.06.01</t>
        </is>
      </c>
      <c r="D133" s="10" t="inlineStr">
        <is>
          <t xml:space="preserve">    收益率</t>
        </is>
      </c>
      <c r="H133" s="5">
        <f>H132/H46</f>
        <v/>
      </c>
      <c r="I133" s="5">
        <f>I132/I46</f>
        <v/>
      </c>
      <c r="J133" s="5" t="inlineStr">
        <is>
          <t>率年化指标</t>
        </is>
      </c>
      <c r="M133" t="inlineStr">
        <is>
          <t>18.06.01</t>
        </is>
      </c>
      <c r="N133" t="inlineStr">
        <is>
          <t>WGT</t>
        </is>
      </c>
    </row>
    <row r="134">
      <c r="A134" s="1" t="inlineStr">
        <is>
          <t>四级</t>
        </is>
      </c>
      <c r="B134" s="1" t="inlineStr">
        <is>
          <t>其他</t>
        </is>
      </c>
      <c r="C134" s="10" t="inlineStr">
        <is>
          <t>A01.18.06.02.01</t>
        </is>
      </c>
      <c r="D134" s="10" t="inlineStr">
        <is>
          <t xml:space="preserve">      规模占比</t>
        </is>
      </c>
      <c r="H134" s="5">
        <f>H46/H40</f>
        <v/>
      </c>
      <c r="I134" s="5">
        <f>I46/I40</f>
        <v/>
      </c>
      <c r="M134" t="inlineStr">
        <is>
          <t>18.06.02.01</t>
        </is>
      </c>
      <c r="N134" t="inlineStr">
        <is>
          <t>WGT</t>
        </is>
      </c>
    </row>
    <row r="135">
      <c r="A135" s="1" t="inlineStr">
        <is>
          <t>四级</t>
        </is>
      </c>
      <c r="B135" s="1" t="inlineStr">
        <is>
          <t>其他</t>
        </is>
      </c>
      <c r="C135" s="10" t="inlineStr">
        <is>
          <t>A01.18.06.02.02</t>
        </is>
      </c>
      <c r="D135" s="10" t="inlineStr">
        <is>
          <t xml:space="preserve">      系数</t>
        </is>
      </c>
      <c r="H135" s="5">
        <f>H132/(H141*H134)</f>
        <v/>
      </c>
      <c r="M135" t="inlineStr">
        <is>
          <t>18.06.02.02</t>
        </is>
      </c>
      <c r="N135" t="inlineStr">
        <is>
          <t>WGT</t>
        </is>
      </c>
    </row>
    <row r="136">
      <c r="A136" s="7" t="inlineStr">
        <is>
          <t>二级</t>
        </is>
      </c>
      <c r="B136" s="1" t="inlineStr">
        <is>
          <t>收入</t>
        </is>
      </c>
      <c r="C136" s="11" t="inlineStr">
        <is>
          <t>A01.18.02</t>
        </is>
      </c>
      <c r="D136" s="11" t="inlineStr">
        <is>
          <t xml:space="preserve">  微粒贷资产流转收入</t>
        </is>
      </c>
      <c r="M136" t="inlineStr">
        <is>
          <t>18.02</t>
        </is>
      </c>
      <c r="N136" t="inlineStr">
        <is>
          <t>SUM</t>
        </is>
      </c>
    </row>
    <row r="137">
      <c r="A137" s="7" t="inlineStr">
        <is>
          <t>二级</t>
        </is>
      </c>
      <c r="B137" s="1" t="inlineStr">
        <is>
          <t>收入</t>
        </is>
      </c>
      <c r="C137" s="11" t="inlineStr">
        <is>
          <t>A01.18.04</t>
        </is>
      </c>
      <c r="D137" s="11" t="inlineStr">
        <is>
          <t xml:space="preserve">  微粒贷导流收入</t>
        </is>
      </c>
      <c r="M137" t="inlineStr">
        <is>
          <t>18.04</t>
        </is>
      </c>
      <c r="N137" t="inlineStr">
        <is>
          <t>SUM</t>
        </is>
      </c>
    </row>
    <row r="138">
      <c r="A138" s="7" t="inlineStr">
        <is>
          <t>二级</t>
        </is>
      </c>
      <c r="B138" s="1" t="inlineStr">
        <is>
          <t>收入</t>
        </is>
      </c>
      <c r="C138" s="11" t="inlineStr">
        <is>
          <t>A01.18.99</t>
        </is>
      </c>
      <c r="D138" s="11" t="inlineStr">
        <is>
          <t xml:space="preserve">  结算便利等其他</t>
        </is>
      </c>
      <c r="H138" s="5">
        <f>H123-H124-H132-H136-H137</f>
        <v/>
      </c>
      <c r="M138" t="inlineStr">
        <is>
          <t>18.99</t>
        </is>
      </c>
      <c r="N138" t="inlineStr">
        <is>
          <t>SUM</t>
        </is>
      </c>
    </row>
    <row r="139">
      <c r="A139" s="1" t="n"/>
      <c r="B139" s="1" t="n"/>
      <c r="C139" s="10" t="n"/>
      <c r="D139" s="10" t="n"/>
    </row>
    <row r="140">
      <c r="A140" s="7" t="inlineStr">
        <is>
          <t>一级</t>
        </is>
      </c>
      <c r="B140" s="1" t="inlineStr">
        <is>
          <t>支出</t>
        </is>
      </c>
      <c r="C140" s="11" t="inlineStr">
        <is>
          <t>A01.19</t>
        </is>
      </c>
      <c r="D140" s="11" t="inlineStr">
        <is>
          <t>手续费支出</t>
        </is>
      </c>
      <c r="F140" t="inlineStr">
        <is>
          <t>A01.19.01+A01.19.02+A01.19.03+A01.19.04+A01.19.06+A01.19.07+A01.19.08+A01.19.09+A01.19.99</t>
        </is>
      </c>
      <c r="I140" s="5">
        <f>I141+I143+I145+I147+I148+I155+I156+I159+I160</f>
        <v/>
      </c>
      <c r="M140" t="inlineStr">
        <is>
          <t>19</t>
        </is>
      </c>
    </row>
    <row r="141">
      <c r="A141" s="7" t="inlineStr">
        <is>
          <t>二级</t>
        </is>
      </c>
      <c r="B141" s="1" t="inlineStr">
        <is>
          <t>支出</t>
        </is>
      </c>
      <c r="C141" s="11" t="inlineStr">
        <is>
          <t>A01.19.01</t>
        </is>
      </c>
      <c r="D141" s="11" t="inlineStr">
        <is>
          <t xml:space="preserve">  催收费</t>
        </is>
      </c>
      <c r="F141" t="inlineStr">
        <is>
          <t>A01.19.01.01</t>
        </is>
      </c>
      <c r="I141" s="5">
        <f>I40*I142</f>
        <v/>
      </c>
      <c r="J141" s="5" t="inlineStr">
        <is>
          <t>收支月化指标</t>
        </is>
      </c>
      <c r="M141" t="inlineStr">
        <is>
          <t>19.01</t>
        </is>
      </c>
    </row>
    <row r="142">
      <c r="A142" s="1" t="inlineStr">
        <is>
          <t>三级</t>
        </is>
      </c>
      <c r="B142" s="1" t="inlineStr">
        <is>
          <t>其他</t>
        </is>
      </c>
      <c r="C142" s="10" t="inlineStr">
        <is>
          <t>A01.19.01.01</t>
        </is>
      </c>
      <c r="D142" s="10" t="inlineStr">
        <is>
          <t xml:space="preserve">    费率</t>
        </is>
      </c>
      <c r="H142" s="5">
        <f>H141/H40</f>
        <v/>
      </c>
      <c r="J142" s="5" t="inlineStr">
        <is>
          <t>率年化指标</t>
        </is>
      </c>
      <c r="M142" t="inlineStr">
        <is>
          <t>19.01.01</t>
        </is>
      </c>
      <c r="N142" t="inlineStr">
        <is>
          <t>WGT</t>
        </is>
      </c>
    </row>
    <row r="143">
      <c r="A143" s="7" t="inlineStr">
        <is>
          <t>二级</t>
        </is>
      </c>
      <c r="B143" s="1" t="inlineStr">
        <is>
          <t>支出</t>
        </is>
      </c>
      <c r="C143" s="11" t="inlineStr">
        <is>
          <t>A01.19.02</t>
        </is>
      </c>
      <c r="D143" s="11" t="inlineStr">
        <is>
          <t xml:space="preserve">  征信费</t>
        </is>
      </c>
      <c r="F143" t="inlineStr">
        <is>
          <t>A01.19.02.01</t>
        </is>
      </c>
      <c r="I143" s="5">
        <f>I40*I144</f>
        <v/>
      </c>
      <c r="J143" s="5" t="inlineStr">
        <is>
          <t>收支月化指标</t>
        </is>
      </c>
      <c r="M143" t="inlineStr">
        <is>
          <t>19.02</t>
        </is>
      </c>
    </row>
    <row r="144">
      <c r="A144" s="1" t="inlineStr">
        <is>
          <t>三级</t>
        </is>
      </c>
      <c r="B144" s="1" t="inlineStr">
        <is>
          <t>其他</t>
        </is>
      </c>
      <c r="C144" s="10" t="inlineStr">
        <is>
          <t>A01.19.02.01</t>
        </is>
      </c>
      <c r="D144" s="10" t="inlineStr">
        <is>
          <t xml:space="preserve">    费率</t>
        </is>
      </c>
      <c r="H144" s="5">
        <f>H143/H40</f>
        <v/>
      </c>
      <c r="J144" s="5" t="inlineStr">
        <is>
          <t>率年化指标</t>
        </is>
      </c>
      <c r="M144" t="inlineStr">
        <is>
          <t>19.02.01</t>
        </is>
      </c>
      <c r="N144" t="inlineStr">
        <is>
          <t>WGT</t>
        </is>
      </c>
    </row>
    <row r="145">
      <c r="A145" s="7" t="inlineStr">
        <is>
          <t>二级</t>
        </is>
      </c>
      <c r="B145" s="1" t="inlineStr">
        <is>
          <t>支出</t>
        </is>
      </c>
      <c r="C145" s="11" t="inlineStr">
        <is>
          <t>A01.19.03</t>
        </is>
      </c>
      <c r="D145" s="11" t="inlineStr">
        <is>
          <t xml:space="preserve">  清算费</t>
        </is>
      </c>
      <c r="F145" t="inlineStr">
        <is>
          <t>A01.19.03.01</t>
        </is>
      </c>
      <c r="I145" s="5">
        <f>I40*I146</f>
        <v/>
      </c>
      <c r="J145" s="5" t="inlineStr">
        <is>
          <t>收支月化指标</t>
        </is>
      </c>
      <c r="M145" t="inlineStr">
        <is>
          <t>19.03</t>
        </is>
      </c>
    </row>
    <row r="146">
      <c r="A146" s="1" t="inlineStr">
        <is>
          <t>三级</t>
        </is>
      </c>
      <c r="B146" s="1" t="inlineStr">
        <is>
          <t>其他</t>
        </is>
      </c>
      <c r="C146" s="10" t="inlineStr">
        <is>
          <t>A01.19.03.01</t>
        </is>
      </c>
      <c r="D146" s="10" t="inlineStr">
        <is>
          <t xml:space="preserve">    费率</t>
        </is>
      </c>
      <c r="H146" s="5">
        <f>H145/H40</f>
        <v/>
      </c>
      <c r="J146" s="5" t="inlineStr">
        <is>
          <t>率年化指标</t>
        </is>
      </c>
      <c r="M146" t="inlineStr">
        <is>
          <t>19.03.01</t>
        </is>
      </c>
      <c r="N146" t="inlineStr">
        <is>
          <t>WGT</t>
        </is>
      </c>
    </row>
    <row r="147">
      <c r="A147" s="7" t="inlineStr">
        <is>
          <t>二级</t>
        </is>
      </c>
      <c r="B147" s="1" t="inlineStr">
        <is>
          <t>支出</t>
        </is>
      </c>
      <c r="C147" s="11" t="inlineStr">
        <is>
          <t>A01.19.04</t>
        </is>
      </c>
      <c r="D147" s="11" t="inlineStr">
        <is>
          <t xml:space="preserve">  代偿保费</t>
        </is>
      </c>
      <c r="M147" t="inlineStr">
        <is>
          <t>19.04</t>
        </is>
      </c>
      <c r="N147" t="inlineStr">
        <is>
          <t>SUM</t>
        </is>
      </c>
    </row>
    <row r="148">
      <c r="A148" s="7" t="inlineStr">
        <is>
          <t>二级</t>
        </is>
      </c>
      <c r="B148" s="1" t="inlineStr">
        <is>
          <t>支出</t>
        </is>
      </c>
      <c r="C148" s="11" t="inlineStr">
        <is>
          <t>A01.19.06</t>
        </is>
      </c>
      <c r="D148" s="11" t="inlineStr">
        <is>
          <t xml:space="preserve">  微粒贷联贷腾讯渠道费</t>
        </is>
      </c>
      <c r="F148" t="inlineStr">
        <is>
          <t>A01.19.06.01+A01.19.06.02+A01.19.06.03</t>
        </is>
      </c>
      <c r="I148" s="5">
        <f>I150+I154</f>
        <v/>
      </c>
      <c r="M148" t="inlineStr">
        <is>
          <t>19.06</t>
        </is>
      </c>
    </row>
    <row r="149">
      <c r="A149" s="1" t="inlineStr">
        <is>
          <t>三级</t>
        </is>
      </c>
      <c r="B149" s="1" t="inlineStr">
        <is>
          <t>其他</t>
        </is>
      </c>
      <c r="C149" s="10" t="inlineStr">
        <is>
          <t>A01.19.06.01</t>
        </is>
      </c>
      <c r="D149" s="10" t="inlineStr">
        <is>
          <t xml:space="preserve">    微粒贷联贷总渠道费率</t>
        </is>
      </c>
      <c r="H149" s="5">
        <f>H148/H46</f>
        <v/>
      </c>
      <c r="I149" s="5">
        <f>I148/I46</f>
        <v/>
      </c>
      <c r="J149" s="5" t="inlineStr">
        <is>
          <t>率年化指标</t>
        </is>
      </c>
      <c r="M149" t="inlineStr">
        <is>
          <t>19.06.01</t>
        </is>
      </c>
      <c r="N149" t="inlineStr">
        <is>
          <t>WGT</t>
        </is>
      </c>
    </row>
    <row r="150">
      <c r="A150" s="1" t="inlineStr">
        <is>
          <t>三级</t>
        </is>
      </c>
      <c r="B150" s="1" t="inlineStr">
        <is>
          <t>支出</t>
        </is>
      </c>
      <c r="C150" s="10" t="inlineStr">
        <is>
          <t>A01.19.06.02</t>
        </is>
      </c>
      <c r="D150" s="10" t="inlineStr">
        <is>
          <t xml:space="preserve">    微粒贷联贷平台费收入渠道费</t>
        </is>
      </c>
      <c r="F150" t="inlineStr">
        <is>
          <t>A01.19.06.02.01+A01.19.06.02.02+A01.19.06.02.03</t>
        </is>
      </c>
      <c r="I150" s="5">
        <f>I46*I128*(1-I152)*I129/1.06*I75*(1-I153)/1.06</f>
        <v/>
      </c>
      <c r="J150" s="5" t="inlineStr">
        <is>
          <t>收支月化指标</t>
        </is>
      </c>
      <c r="M150" t="inlineStr">
        <is>
          <t>19.06.02</t>
        </is>
      </c>
    </row>
    <row r="151">
      <c r="A151" s="1" t="inlineStr">
        <is>
          <t>四级</t>
        </is>
      </c>
      <c r="B151" s="1" t="inlineStr">
        <is>
          <t>其他</t>
        </is>
      </c>
      <c r="C151" s="10" t="inlineStr">
        <is>
          <t>A01.19.06.02.01</t>
        </is>
      </c>
      <c r="D151" s="10" t="inlineStr">
        <is>
          <t xml:space="preserve">      微粒贷联贷渠道费率</t>
        </is>
      </c>
      <c r="H151" s="5">
        <f>H150/H46</f>
        <v/>
      </c>
      <c r="I151" s="5">
        <f>I150/I46</f>
        <v/>
      </c>
      <c r="J151" s="5" t="inlineStr">
        <is>
          <t>率年化指标</t>
        </is>
      </c>
      <c r="M151" t="inlineStr">
        <is>
          <t>19.06.02.01</t>
        </is>
      </c>
      <c r="N151" t="inlineStr">
        <is>
          <t>WGT</t>
        </is>
      </c>
    </row>
    <row r="152">
      <c r="A152" s="1" t="inlineStr">
        <is>
          <t>四级</t>
        </is>
      </c>
      <c r="B152" s="1" t="inlineStr">
        <is>
          <t>其他</t>
        </is>
      </c>
      <c r="C152" s="10" t="inlineStr">
        <is>
          <t>A01.19.06.02.02</t>
        </is>
      </c>
      <c r="D152" s="10" t="inlineStr">
        <is>
          <t xml:space="preserve">      微粒贷联贷逾期90+占比</t>
        </is>
      </c>
      <c r="M152" t="inlineStr">
        <is>
          <t>19.06.02.02</t>
        </is>
      </c>
      <c r="N152" t="inlineStr">
        <is>
          <t>WGT</t>
        </is>
      </c>
    </row>
    <row r="153">
      <c r="A153" s="1" t="inlineStr">
        <is>
          <t>四级</t>
        </is>
      </c>
      <c r="B153" s="1" t="inlineStr">
        <is>
          <t>其他</t>
        </is>
      </c>
      <c r="C153" s="10" t="inlineStr">
        <is>
          <t>A01.19.06.02.03</t>
        </is>
      </c>
      <c r="D153" s="10" t="inlineStr">
        <is>
          <t xml:space="preserve">      微粒贷联贷免收渠道费占比</t>
        </is>
      </c>
      <c r="M153" t="inlineStr">
        <is>
          <t>19.06.02.03</t>
        </is>
      </c>
      <c r="N153" t="inlineStr">
        <is>
          <t>WGT</t>
        </is>
      </c>
    </row>
    <row r="154">
      <c r="A154" s="1" t="inlineStr">
        <is>
          <t>三级</t>
        </is>
      </c>
      <c r="B154" s="1" t="inlineStr">
        <is>
          <t>支出</t>
        </is>
      </c>
      <c r="C154" s="10" t="inlineStr">
        <is>
          <t>A01.19.06.03</t>
        </is>
      </c>
      <c r="D154" s="10" t="inlineStr">
        <is>
          <t xml:space="preserve">    微粒贷信托收益渠道费</t>
        </is>
      </c>
      <c r="M154" t="inlineStr">
        <is>
          <t>19.06.03</t>
        </is>
      </c>
      <c r="N154" t="inlineStr">
        <is>
          <t>SUM</t>
        </is>
      </c>
    </row>
    <row r="155">
      <c r="A155" s="7" t="inlineStr">
        <is>
          <t>二级</t>
        </is>
      </c>
      <c r="B155" s="1" t="inlineStr">
        <is>
          <t>支出</t>
        </is>
      </c>
      <c r="C155" s="11" t="inlineStr">
        <is>
          <t>A01.19.07</t>
        </is>
      </c>
      <c r="D155" s="11" t="inlineStr">
        <is>
          <t xml:space="preserve">  微粒贷流转腾讯渠道费</t>
        </is>
      </c>
      <c r="M155" t="inlineStr">
        <is>
          <t>19.07</t>
        </is>
      </c>
      <c r="N155" t="inlineStr">
        <is>
          <t>SUM</t>
        </is>
      </c>
    </row>
    <row r="156">
      <c r="A156" s="7" t="inlineStr">
        <is>
          <t>二级</t>
        </is>
      </c>
      <c r="B156" s="1" t="inlineStr">
        <is>
          <t>支出</t>
        </is>
      </c>
      <c r="C156" s="11" t="inlineStr">
        <is>
          <t>A01.19.08</t>
        </is>
      </c>
      <c r="D156" s="11" t="inlineStr">
        <is>
          <t xml:space="preserve">  微粒贷导流腾讯渠道费</t>
        </is>
      </c>
      <c r="F156" t="inlineStr">
        <is>
          <t>A01.19.08.01+A01.19.08.02</t>
        </is>
      </c>
      <c r="I156" s="5">
        <f>I137*I157*I158/1.06</f>
        <v/>
      </c>
      <c r="M156" t="inlineStr">
        <is>
          <t>19.08</t>
        </is>
      </c>
    </row>
    <row r="157">
      <c r="A157" s="1" t="inlineStr">
        <is>
          <t>三级</t>
        </is>
      </c>
      <c r="B157" s="1" t="inlineStr">
        <is>
          <t>其他</t>
        </is>
      </c>
      <c r="C157" s="10" t="inlineStr">
        <is>
          <t>A01.19.08.01</t>
        </is>
      </c>
      <c r="D157" s="10" t="inlineStr">
        <is>
          <t xml:space="preserve">    微粒贷导流合同渠道费率</t>
        </is>
      </c>
      <c r="M157" t="inlineStr">
        <is>
          <t>19.08.01</t>
        </is>
      </c>
      <c r="N157" t="inlineStr">
        <is>
          <t>WGT</t>
        </is>
      </c>
    </row>
    <row r="158">
      <c r="A158" s="1" t="inlineStr">
        <is>
          <t>三级</t>
        </is>
      </c>
      <c r="B158" s="1" t="inlineStr">
        <is>
          <t>其他</t>
        </is>
      </c>
      <c r="C158" s="10" t="inlineStr">
        <is>
          <t>A01.19.08.02</t>
        </is>
      </c>
      <c r="D158" s="10" t="inlineStr">
        <is>
          <t xml:space="preserve">    系数</t>
        </is>
      </c>
      <c r="M158" t="inlineStr">
        <is>
          <t>19.08.02</t>
        </is>
      </c>
      <c r="N158" t="inlineStr">
        <is>
          <t>WGT</t>
        </is>
      </c>
    </row>
    <row r="159">
      <c r="A159" s="7" t="inlineStr">
        <is>
          <t>二级</t>
        </is>
      </c>
      <c r="B159" s="1" t="inlineStr">
        <is>
          <t>支出</t>
        </is>
      </c>
      <c r="C159" s="11" t="inlineStr">
        <is>
          <t>A01.19.09</t>
        </is>
      </c>
      <c r="D159" s="11" t="inlineStr">
        <is>
          <t xml:space="preserve">  微粒贷电信分期渠道费</t>
        </is>
      </c>
      <c r="M159" t="inlineStr">
        <is>
          <t>19.09</t>
        </is>
      </c>
      <c r="N159" t="inlineStr">
        <is>
          <t>SUM</t>
        </is>
      </c>
    </row>
    <row r="160">
      <c r="A160" s="7" t="inlineStr">
        <is>
          <t>二级</t>
        </is>
      </c>
      <c r="B160" s="1" t="inlineStr">
        <is>
          <t>支出</t>
        </is>
      </c>
      <c r="C160" s="11" t="inlineStr">
        <is>
          <t>A01.19.99</t>
        </is>
      </c>
      <c r="D160" s="11" t="inlineStr">
        <is>
          <t xml:space="preserve">  其他</t>
        </is>
      </c>
      <c r="M160" t="inlineStr">
        <is>
          <t>19.99</t>
        </is>
      </c>
      <c r="N160" t="inlineStr">
        <is>
          <t>SUM</t>
        </is>
      </c>
    </row>
    <row r="161">
      <c r="A161" s="1" t="n"/>
      <c r="B161" s="1" t="n"/>
      <c r="C161" s="10" t="n"/>
      <c r="D161" s="10" t="n"/>
    </row>
    <row r="162">
      <c r="A162" s="11" t="inlineStr">
        <is>
          <t>一级</t>
        </is>
      </c>
      <c r="B162" s="10" t="inlineStr">
        <is>
          <t>收入</t>
        </is>
      </c>
      <c r="C162" s="11" t="inlineStr">
        <is>
          <t>A01.20</t>
        </is>
      </c>
      <c r="D162" s="11" t="inlineStr">
        <is>
          <t>其他外部营收</t>
        </is>
      </c>
      <c r="M162" t="inlineStr">
        <is>
          <t>20</t>
        </is>
      </c>
      <c r="N162" t="inlineStr">
        <is>
          <t>SUM</t>
        </is>
      </c>
    </row>
    <row r="163">
      <c r="A163" s="1" t="n"/>
      <c r="B163" s="1" t="n"/>
      <c r="C163" s="10" t="n"/>
      <c r="D163" s="10" t="n"/>
    </row>
    <row r="164">
      <c r="A164" s="7" t="inlineStr">
        <is>
          <t>一级</t>
        </is>
      </c>
      <c r="B164" s="1" t="inlineStr">
        <is>
          <t>收入</t>
        </is>
      </c>
      <c r="C164" s="11" t="inlineStr">
        <is>
          <t>A01.21</t>
        </is>
      </c>
      <c r="D164" s="11" t="inlineStr">
        <is>
          <t>内部营业净收入</t>
        </is>
      </c>
      <c r="M164" t="inlineStr">
        <is>
          <t>21</t>
        </is>
      </c>
      <c r="N164" t="inlineStr">
        <is>
          <t>SUM</t>
        </is>
      </c>
    </row>
    <row r="165">
      <c r="A165" s="1" t="n"/>
      <c r="B165" s="1" t="n"/>
      <c r="C165" s="10" t="n"/>
      <c r="D165" s="10" t="n"/>
    </row>
    <row r="166"/>
    <row r="167">
      <c r="A167" t="inlineStr">
        <is>
          <t>层级</t>
        </is>
      </c>
      <c r="B167" t="inlineStr">
        <is>
          <t>性质</t>
        </is>
      </c>
      <c r="C167" t="inlineStr">
        <is>
          <t>科目代码</t>
        </is>
      </c>
      <c r="D167" t="inlineStr">
        <is>
          <t>科目名称</t>
        </is>
      </c>
      <c r="E167" t="inlineStr">
        <is>
          <t>录入粒度</t>
        </is>
      </c>
      <c r="F167" t="inlineStr">
        <is>
          <t>年预算公式</t>
        </is>
      </c>
      <c r="J167" t="inlineStr">
        <is>
          <t>公式说明</t>
        </is>
      </c>
      <c r="K167" t="inlineStr">
        <is>
          <t>横向汇总</t>
        </is>
      </c>
    </row>
    <row r="168">
      <c r="A168" t="inlineStr">
        <is>
          <t>一级</t>
        </is>
      </c>
      <c r="B168" t="inlineStr">
        <is>
          <t>支出</t>
        </is>
      </c>
      <c r="C168" t="inlineStr">
        <is>
          <t>A01.90</t>
        </is>
      </c>
      <c r="D168" t="inlineStr">
        <is>
          <t>减:业务及管理费</t>
        </is>
      </c>
      <c r="F168" t="inlineStr">
        <is>
          <t>A01.90.01+A01.90.03</t>
        </is>
      </c>
      <c r="K168" t="inlineStr">
        <is>
          <t>是</t>
        </is>
      </c>
      <c r="M168" t="inlineStr">
        <is>
          <t>05</t>
        </is>
      </c>
    </row>
    <row r="169">
      <c r="A169" t="inlineStr">
        <is>
          <t>二级</t>
        </is>
      </c>
      <c r="B169" t="inlineStr">
        <is>
          <t>支出</t>
        </is>
      </c>
      <c r="C169" t="inlineStr">
        <is>
          <t>A01.90.01</t>
        </is>
      </c>
      <c r="D169" t="inlineStr">
        <is>
          <t>直接费用</t>
        </is>
      </c>
      <c r="F169" t="inlineStr">
        <is>
          <t>A01.90.01.01+A01.90.01.02</t>
        </is>
      </c>
      <c r="K169" t="inlineStr">
        <is>
          <t>是</t>
        </is>
      </c>
      <c r="M169" t="inlineStr">
        <is>
          <t>05.01</t>
        </is>
      </c>
    </row>
    <row r="170">
      <c r="A170" t="inlineStr">
        <is>
          <t>三级</t>
        </is>
      </c>
      <c r="B170" t="inlineStr">
        <is>
          <t>支出</t>
        </is>
      </c>
      <c r="C170" t="inlineStr">
        <is>
          <t>A01.90.01.01</t>
        </is>
      </c>
      <c r="D170" t="inlineStr">
        <is>
          <t>直接费用</t>
        </is>
      </c>
      <c r="F170" t="inlineStr">
        <is>
          <t>A01.90.01.01.01+A01.90.01.01.02+A01.90.01.01.03+A01.90.01.01.04.001+A01.90.01.01.05.001</t>
        </is>
      </c>
      <c r="K170" t="inlineStr">
        <is>
          <t>是</t>
        </is>
      </c>
      <c r="M170" t="inlineStr">
        <is>
          <t>05.01.01</t>
        </is>
      </c>
    </row>
    <row r="171">
      <c r="A171" t="inlineStr">
        <is>
          <t>四级</t>
        </is>
      </c>
      <c r="B171" t="inlineStr">
        <is>
          <t>支出</t>
        </is>
      </c>
      <c r="C171" t="inlineStr">
        <is>
          <t>A01.90.01.01.01</t>
        </is>
      </c>
      <c r="D171" t="inlineStr">
        <is>
          <t>人力（不含IT)</t>
        </is>
      </c>
      <c r="F171" t="inlineStr">
        <is>
          <t>A01.90.01.01.01.001+A01.90.01.01.01.002</t>
        </is>
      </c>
      <c r="K171" t="inlineStr">
        <is>
          <t>是</t>
        </is>
      </c>
      <c r="M171" t="inlineStr">
        <is>
          <t>05.01.01.01</t>
        </is>
      </c>
    </row>
    <row r="172">
      <c r="A172" t="inlineStr">
        <is>
          <t>五级</t>
        </is>
      </c>
      <c r="B172" t="inlineStr">
        <is>
          <t>支出</t>
        </is>
      </c>
      <c r="C172" t="inlineStr">
        <is>
          <t>A01.90.01.01.01.001</t>
        </is>
      </c>
      <c r="D172" t="inlineStr">
        <is>
          <t>业务人力</t>
        </is>
      </c>
      <c r="K172" t="inlineStr">
        <is>
          <t>是</t>
        </is>
      </c>
      <c r="M172" t="inlineStr">
        <is>
          <t>05.01.01.01.001</t>
        </is>
      </c>
      <c r="N172" t="inlineStr">
        <is>
          <t>SUM</t>
        </is>
      </c>
    </row>
    <row r="173">
      <c r="A173" t="inlineStr">
        <is>
          <t>五级</t>
        </is>
      </c>
      <c r="B173" t="inlineStr">
        <is>
          <t>支出</t>
        </is>
      </c>
      <c r="C173" t="inlineStr">
        <is>
          <t>A01.90.01.01.01.002</t>
        </is>
      </c>
      <c r="D173" t="inlineStr">
        <is>
          <t>特别人力</t>
        </is>
      </c>
      <c r="K173" t="inlineStr">
        <is>
          <t>是</t>
        </is>
      </c>
      <c r="M173" t="inlineStr">
        <is>
          <t>05.01.01.01.002</t>
        </is>
      </c>
      <c r="N173" t="inlineStr">
        <is>
          <t>SUM</t>
        </is>
      </c>
    </row>
    <row r="174">
      <c r="A174" t="inlineStr">
        <is>
          <t>四级</t>
        </is>
      </c>
      <c r="B174" t="inlineStr">
        <is>
          <t>支出</t>
        </is>
      </c>
      <c r="C174" t="inlineStr">
        <is>
          <t>A01.90.01.01.02</t>
        </is>
      </c>
      <c r="D174" t="inlineStr">
        <is>
          <t>业务费用</t>
        </is>
      </c>
      <c r="F174" t="inlineStr">
        <is>
          <t>A01.90.01.01.02.001+A01.90.01.01.02.002</t>
        </is>
      </c>
      <c r="K174" t="inlineStr">
        <is>
          <t>是</t>
        </is>
      </c>
      <c r="M174" t="inlineStr">
        <is>
          <t>05.01.01.02</t>
        </is>
      </c>
    </row>
    <row r="175">
      <c r="A175" t="inlineStr">
        <is>
          <t>五级</t>
        </is>
      </c>
      <c r="B175" t="inlineStr">
        <is>
          <t>支出</t>
        </is>
      </c>
      <c r="C175" t="inlineStr">
        <is>
          <t>A01.90.01.01.02.001</t>
        </is>
      </c>
      <c r="D175" t="inlineStr">
        <is>
          <t>营销</t>
        </is>
      </c>
      <c r="K175" t="inlineStr">
        <is>
          <t>是</t>
        </is>
      </c>
      <c r="M175" t="inlineStr">
        <is>
          <t>05.01.01.02.001</t>
        </is>
      </c>
      <c r="N175" t="inlineStr">
        <is>
          <t>SUM</t>
        </is>
      </c>
    </row>
    <row r="176">
      <c r="A176" t="inlineStr">
        <is>
          <t>五级</t>
        </is>
      </c>
      <c r="B176" t="inlineStr">
        <is>
          <t>支出</t>
        </is>
      </c>
      <c r="C176" t="inlineStr">
        <is>
          <t>A01.90.01.01.02.002</t>
        </is>
      </c>
      <c r="D176" t="inlineStr">
        <is>
          <t>运营</t>
        </is>
      </c>
      <c r="K176" t="inlineStr">
        <is>
          <t>是</t>
        </is>
      </c>
      <c r="M176" t="inlineStr">
        <is>
          <t>05.01.01.02.002</t>
        </is>
      </c>
      <c r="N176" t="inlineStr">
        <is>
          <t>SUM</t>
        </is>
      </c>
    </row>
    <row r="177">
      <c r="A177" t="inlineStr">
        <is>
          <t>四级</t>
        </is>
      </c>
      <c r="B177" t="inlineStr">
        <is>
          <t>支出</t>
        </is>
      </c>
      <c r="C177" t="inlineStr">
        <is>
          <t>A01.90.01.01.03</t>
        </is>
      </c>
      <c r="D177" t="inlineStr">
        <is>
          <t>IT</t>
        </is>
      </c>
      <c r="F177" t="inlineStr">
        <is>
          <t>A01.90.01.01.03.01+A01.90.01.01.03.02.001+A01.90.01.01.03.03.001+A01.90.01.01.03.04.001</t>
        </is>
      </c>
      <c r="K177" t="inlineStr">
        <is>
          <t>是</t>
        </is>
      </c>
      <c r="M177" t="inlineStr">
        <is>
          <t>05.01.01.03</t>
        </is>
      </c>
    </row>
    <row r="178">
      <c r="A178" t="inlineStr">
        <is>
          <t>五级</t>
        </is>
      </c>
      <c r="B178" t="inlineStr">
        <is>
          <t>支出</t>
        </is>
      </c>
      <c r="C178" t="inlineStr">
        <is>
          <t>A01.90.01.01.03.01</t>
        </is>
      </c>
      <c r="D178" t="inlineStr">
        <is>
          <t>IT人力</t>
        </is>
      </c>
      <c r="F178" t="inlineStr">
        <is>
          <t>A01.90.01.01.03.01.001+A01.90.01.01.03.01.002</t>
        </is>
      </c>
      <c r="K178" t="inlineStr">
        <is>
          <t>是</t>
        </is>
      </c>
      <c r="M178" t="inlineStr">
        <is>
          <t>05.01.01.03.01</t>
        </is>
      </c>
    </row>
    <row r="179">
      <c r="A179" t="inlineStr">
        <is>
          <t>六级</t>
        </is>
      </c>
      <c r="B179" t="inlineStr">
        <is>
          <t>支出</t>
        </is>
      </c>
      <c r="C179" t="inlineStr">
        <is>
          <t>A01.90.01.01.03.01.001</t>
        </is>
      </c>
      <c r="D179" t="inlineStr">
        <is>
          <t>IT常规人力</t>
        </is>
      </c>
      <c r="K179" t="inlineStr">
        <is>
          <t>是</t>
        </is>
      </c>
      <c r="M179" t="inlineStr">
        <is>
          <t>05.01.01.03.01.001</t>
        </is>
      </c>
      <c r="N179" t="inlineStr">
        <is>
          <t>SUM</t>
        </is>
      </c>
    </row>
    <row r="180">
      <c r="A180" t="inlineStr">
        <is>
          <t>六级</t>
        </is>
      </c>
      <c r="B180" t="inlineStr">
        <is>
          <t>支出</t>
        </is>
      </c>
      <c r="C180" t="inlineStr">
        <is>
          <t>A01.90.01.01.03.01.002</t>
        </is>
      </c>
      <c r="D180" t="inlineStr">
        <is>
          <t>IT特别人力</t>
        </is>
      </c>
      <c r="K180" t="inlineStr">
        <is>
          <t>是</t>
        </is>
      </c>
      <c r="M180" t="inlineStr">
        <is>
          <t>05.01.01.03.01.002</t>
        </is>
      </c>
      <c r="N180" t="inlineStr">
        <is>
          <t>SUM</t>
        </is>
      </c>
    </row>
    <row r="181">
      <c r="A181" t="inlineStr">
        <is>
          <t>五级</t>
        </is>
      </c>
      <c r="B181" t="inlineStr">
        <is>
          <t>支出</t>
        </is>
      </c>
      <c r="C181" t="inlineStr">
        <is>
          <t>A01.90.01.01.03.02</t>
        </is>
      </c>
      <c r="D181" t="inlineStr">
        <is>
          <t>科技</t>
        </is>
      </c>
      <c r="K181" t="inlineStr">
        <is>
          <t>是</t>
        </is>
      </c>
      <c r="M181" t="inlineStr">
        <is>
          <t>05.01.01.03.02</t>
        </is>
      </c>
      <c r="N181" t="inlineStr">
        <is>
          <t>SUM</t>
        </is>
      </c>
    </row>
    <row r="182">
      <c r="A182" t="inlineStr">
        <is>
          <t>五级</t>
        </is>
      </c>
      <c r="B182" t="inlineStr">
        <is>
          <t>支出</t>
        </is>
      </c>
      <c r="C182" t="inlineStr">
        <is>
          <t>A01.90.01.01.03.03</t>
        </is>
      </c>
      <c r="D182" t="inlineStr">
        <is>
          <t>IT职场</t>
        </is>
      </c>
      <c r="K182" t="inlineStr">
        <is>
          <t>是</t>
        </is>
      </c>
      <c r="M182" t="inlineStr">
        <is>
          <t>05.01.01.03.03</t>
        </is>
      </c>
      <c r="N182" t="inlineStr">
        <is>
          <t>SUM</t>
        </is>
      </c>
    </row>
    <row r="183">
      <c r="A183" t="inlineStr">
        <is>
          <t>五级</t>
        </is>
      </c>
      <c r="B183" t="inlineStr">
        <is>
          <t>支出</t>
        </is>
      </c>
      <c r="C183" t="inlineStr">
        <is>
          <t>A01.90.01.01.03.04</t>
        </is>
      </c>
      <c r="D183" t="inlineStr">
        <is>
          <t>IT日常</t>
        </is>
      </c>
      <c r="K183" t="inlineStr">
        <is>
          <t>是</t>
        </is>
      </c>
      <c r="M183" t="inlineStr">
        <is>
          <t>05.01.01.03.04</t>
        </is>
      </c>
      <c r="N183" t="inlineStr">
        <is>
          <t>SUM</t>
        </is>
      </c>
    </row>
    <row r="184">
      <c r="A184" t="inlineStr">
        <is>
          <t>四级</t>
        </is>
      </c>
      <c r="B184" t="inlineStr">
        <is>
          <t>支出</t>
        </is>
      </c>
      <c r="C184" t="inlineStr">
        <is>
          <t>A01.90.01.01.04</t>
        </is>
      </c>
      <c r="D184" t="inlineStr">
        <is>
          <t>AA.05.01.01.04</t>
        </is>
      </c>
      <c r="F184" t="inlineStr">
        <is>
          <t>A01.90.01.01.04.001</t>
        </is>
      </c>
      <c r="K184" t="inlineStr">
        <is>
          <t>是</t>
        </is>
      </c>
      <c r="M184" t="inlineStr">
        <is>
          <t>05.01.01.04</t>
        </is>
      </c>
      <c r="N184" t="inlineStr">
        <is>
          <t>SUM</t>
        </is>
      </c>
    </row>
    <row r="185">
      <c r="A185" t="inlineStr">
        <is>
          <t>五级</t>
        </is>
      </c>
      <c r="B185" t="inlineStr">
        <is>
          <t>支出</t>
        </is>
      </c>
      <c r="C185" t="inlineStr">
        <is>
          <t>A01.90.01.01.04.001</t>
        </is>
      </c>
      <c r="D185" t="inlineStr">
        <is>
          <t>职场</t>
        </is>
      </c>
      <c r="K185" t="inlineStr">
        <is>
          <t>是</t>
        </is>
      </c>
      <c r="M185" t="inlineStr">
        <is>
          <t>05.01.01.04.001</t>
        </is>
      </c>
      <c r="N185" t="inlineStr">
        <is>
          <t>SUM</t>
        </is>
      </c>
    </row>
    <row r="186">
      <c r="A186" t="inlineStr">
        <is>
          <t>四级</t>
        </is>
      </c>
      <c r="B186" t="inlineStr">
        <is>
          <t>支出</t>
        </is>
      </c>
      <c r="C186" t="inlineStr">
        <is>
          <t>A01.90.01.01.05</t>
        </is>
      </c>
      <c r="D186" t="inlineStr">
        <is>
          <t>AA.05.01.01.05</t>
        </is>
      </c>
      <c r="F186" t="inlineStr">
        <is>
          <t>A01.90.01.01.05.001</t>
        </is>
      </c>
      <c r="K186" t="inlineStr">
        <is>
          <t>是</t>
        </is>
      </c>
      <c r="M186" t="inlineStr">
        <is>
          <t>05.01.01.05</t>
        </is>
      </c>
      <c r="N186" t="inlineStr">
        <is>
          <t>SUM</t>
        </is>
      </c>
    </row>
    <row r="187">
      <c r="A187" t="inlineStr">
        <is>
          <t>五级</t>
        </is>
      </c>
      <c r="B187" t="inlineStr">
        <is>
          <t>支出</t>
        </is>
      </c>
      <c r="C187" t="inlineStr">
        <is>
          <t>A01.90.01.01.05.001</t>
        </is>
      </c>
      <c r="D187" t="inlineStr">
        <is>
          <t>日常</t>
        </is>
      </c>
      <c r="K187" t="inlineStr">
        <is>
          <t>是</t>
        </is>
      </c>
      <c r="M187" t="inlineStr">
        <is>
          <t>05.01.01.05.001</t>
        </is>
      </c>
      <c r="N187" t="inlineStr">
        <is>
          <t>SUM</t>
        </is>
      </c>
    </row>
    <row r="188">
      <c r="A188" t="inlineStr">
        <is>
          <t>三级</t>
        </is>
      </c>
      <c r="B188" t="inlineStr">
        <is>
          <t>支出</t>
        </is>
      </c>
      <c r="C188" t="inlineStr">
        <is>
          <t>A01.90.01.02</t>
        </is>
      </c>
      <c r="D188" t="inlineStr">
        <is>
          <t>间接费用</t>
        </is>
      </c>
      <c r="F188" t="inlineStr">
        <is>
          <t>A01.90.01.02.01+A01.90.01.02.02+A01.90.01.02.03+A01.90.01.02.04.001+A01.90.01.02.05.001</t>
        </is>
      </c>
      <c r="K188" t="inlineStr">
        <is>
          <t>是</t>
        </is>
      </c>
      <c r="M188" t="inlineStr">
        <is>
          <t>05.01.02</t>
        </is>
      </c>
    </row>
    <row r="189">
      <c r="A189" t="inlineStr">
        <is>
          <t>四级</t>
        </is>
      </c>
      <c r="B189" t="inlineStr">
        <is>
          <t>支出</t>
        </is>
      </c>
      <c r="C189" t="inlineStr">
        <is>
          <t>A01.90.01.02.01</t>
        </is>
      </c>
      <c r="D189" t="inlineStr">
        <is>
          <t>人力（不含IT)</t>
        </is>
      </c>
      <c r="F189" t="inlineStr">
        <is>
          <t>A01.90.01.02.01.001+A01.90.01.02.01.002</t>
        </is>
      </c>
      <c r="K189" t="inlineStr">
        <is>
          <t>是</t>
        </is>
      </c>
      <c r="M189" t="inlineStr">
        <is>
          <t>05.01.02.01</t>
        </is>
      </c>
    </row>
    <row r="190">
      <c r="A190" t="inlineStr">
        <is>
          <t>五级</t>
        </is>
      </c>
      <c r="B190" t="inlineStr">
        <is>
          <t>支出</t>
        </is>
      </c>
      <c r="C190" t="inlineStr">
        <is>
          <t>A01.90.01.02.01.001</t>
        </is>
      </c>
      <c r="D190" t="inlineStr">
        <is>
          <t>业务人力</t>
        </is>
      </c>
      <c r="K190" t="inlineStr">
        <is>
          <t>是</t>
        </is>
      </c>
      <c r="M190" t="inlineStr">
        <is>
          <t>05.01.02.01.001</t>
        </is>
      </c>
      <c r="N190" t="inlineStr">
        <is>
          <t>SUM</t>
        </is>
      </c>
    </row>
    <row r="191">
      <c r="A191" t="inlineStr">
        <is>
          <t>五级</t>
        </is>
      </c>
      <c r="B191" t="inlineStr">
        <is>
          <t>支出</t>
        </is>
      </c>
      <c r="C191" t="inlineStr">
        <is>
          <t>A01.90.01.02.01.002</t>
        </is>
      </c>
      <c r="D191" t="inlineStr">
        <is>
          <t>特别人力</t>
        </is>
      </c>
      <c r="K191" t="inlineStr">
        <is>
          <t>是</t>
        </is>
      </c>
      <c r="M191" t="inlineStr">
        <is>
          <t>05.01.02.01.002</t>
        </is>
      </c>
      <c r="N191" t="inlineStr">
        <is>
          <t>SUM</t>
        </is>
      </c>
    </row>
    <row r="192">
      <c r="A192" t="inlineStr">
        <is>
          <t>四级</t>
        </is>
      </c>
      <c r="B192" t="inlineStr">
        <is>
          <t>支出</t>
        </is>
      </c>
      <c r="C192" t="inlineStr">
        <is>
          <t>A01.90.01.02.02</t>
        </is>
      </c>
      <c r="D192" t="inlineStr">
        <is>
          <t>业务费用</t>
        </is>
      </c>
      <c r="F192" t="inlineStr">
        <is>
          <t>A01.90.01.02.02.001+A01.90.01.02.02.002</t>
        </is>
      </c>
      <c r="K192" t="inlineStr">
        <is>
          <t>是</t>
        </is>
      </c>
      <c r="M192" t="inlineStr">
        <is>
          <t>05.01.02.02</t>
        </is>
      </c>
    </row>
    <row r="193">
      <c r="A193" t="inlineStr">
        <is>
          <t>五级</t>
        </is>
      </c>
      <c r="B193" t="inlineStr">
        <is>
          <t>支出</t>
        </is>
      </c>
      <c r="C193" t="inlineStr">
        <is>
          <t>A01.90.01.02.02.001</t>
        </is>
      </c>
      <c r="D193" t="inlineStr">
        <is>
          <t>营销</t>
        </is>
      </c>
      <c r="K193" t="inlineStr">
        <is>
          <t>是</t>
        </is>
      </c>
      <c r="M193" t="inlineStr">
        <is>
          <t>05.01.02.02.001</t>
        </is>
      </c>
      <c r="N193" t="inlineStr">
        <is>
          <t>SUM</t>
        </is>
      </c>
    </row>
    <row r="194">
      <c r="A194" t="inlineStr">
        <is>
          <t>五级</t>
        </is>
      </c>
      <c r="B194" t="inlineStr">
        <is>
          <t>支出</t>
        </is>
      </c>
      <c r="C194" t="inlineStr">
        <is>
          <t>A01.90.01.02.02.002</t>
        </is>
      </c>
      <c r="D194" t="inlineStr">
        <is>
          <t>运营</t>
        </is>
      </c>
      <c r="K194" t="inlineStr">
        <is>
          <t>是</t>
        </is>
      </c>
      <c r="M194" t="inlineStr">
        <is>
          <t>05.01.02.02.002</t>
        </is>
      </c>
      <c r="N194" t="inlineStr">
        <is>
          <t>SUM</t>
        </is>
      </c>
    </row>
    <row r="195">
      <c r="A195" t="inlineStr">
        <is>
          <t>四级</t>
        </is>
      </c>
      <c r="B195" t="inlineStr">
        <is>
          <t>支出</t>
        </is>
      </c>
      <c r="C195" t="inlineStr">
        <is>
          <t>A01.90.01.02.03</t>
        </is>
      </c>
      <c r="D195" t="inlineStr">
        <is>
          <t>IT</t>
        </is>
      </c>
      <c r="F195" t="inlineStr">
        <is>
          <t>A01.90.01.02.03.01+A01.90.01.02.03.02.001+A01.90.01.02.03.03.001+A01.90.01.02.03.04.001</t>
        </is>
      </c>
      <c r="K195" t="inlineStr">
        <is>
          <t>是</t>
        </is>
      </c>
      <c r="M195" t="inlineStr">
        <is>
          <t>05.01.02.03</t>
        </is>
      </c>
    </row>
    <row r="196">
      <c r="A196" t="inlineStr">
        <is>
          <t>五级</t>
        </is>
      </c>
      <c r="B196" t="inlineStr">
        <is>
          <t>支出</t>
        </is>
      </c>
      <c r="C196" t="inlineStr">
        <is>
          <t>A01.90.01.02.03.01</t>
        </is>
      </c>
      <c r="D196" t="inlineStr">
        <is>
          <t>IT人力</t>
        </is>
      </c>
      <c r="F196" t="inlineStr">
        <is>
          <t>A01.90.01.02.03.01.001+A01.90.01.02.03.01.002</t>
        </is>
      </c>
      <c r="K196" t="inlineStr">
        <is>
          <t>是</t>
        </is>
      </c>
      <c r="M196" t="inlineStr">
        <is>
          <t>05.01.02.03.01</t>
        </is>
      </c>
    </row>
    <row r="197">
      <c r="A197" t="inlineStr">
        <is>
          <t>六级</t>
        </is>
      </c>
      <c r="B197" t="inlineStr">
        <is>
          <t>支出</t>
        </is>
      </c>
      <c r="C197" t="inlineStr">
        <is>
          <t>A01.90.01.02.03.01.001</t>
        </is>
      </c>
      <c r="D197" t="inlineStr">
        <is>
          <t>IT常规人力</t>
        </is>
      </c>
      <c r="K197" t="inlineStr">
        <is>
          <t>是</t>
        </is>
      </c>
      <c r="M197" t="inlineStr">
        <is>
          <t>05.01.02.03.01.001</t>
        </is>
      </c>
      <c r="N197" t="inlineStr">
        <is>
          <t>SUM</t>
        </is>
      </c>
    </row>
    <row r="198">
      <c r="A198" t="inlineStr">
        <is>
          <t>六级</t>
        </is>
      </c>
      <c r="B198" t="inlineStr">
        <is>
          <t>支出</t>
        </is>
      </c>
      <c r="C198" t="inlineStr">
        <is>
          <t>A01.90.01.02.03.01.002</t>
        </is>
      </c>
      <c r="D198" t="inlineStr">
        <is>
          <t>IT特别人力</t>
        </is>
      </c>
      <c r="K198" t="inlineStr">
        <is>
          <t>是</t>
        </is>
      </c>
      <c r="M198" t="inlineStr">
        <is>
          <t>05.01.02.03.01.002</t>
        </is>
      </c>
      <c r="N198" t="inlineStr">
        <is>
          <t>SUM</t>
        </is>
      </c>
    </row>
    <row r="199">
      <c r="A199" t="inlineStr">
        <is>
          <t>五级</t>
        </is>
      </c>
      <c r="B199" t="inlineStr">
        <is>
          <t>支出</t>
        </is>
      </c>
      <c r="C199" t="inlineStr">
        <is>
          <t>A01.90.01.02.03.02</t>
        </is>
      </c>
      <c r="D199" t="inlineStr">
        <is>
          <t>AA.05.01.02.03.02</t>
        </is>
      </c>
      <c r="F199" t="inlineStr">
        <is>
          <t>A01.90.01.02.03.02.001</t>
        </is>
      </c>
      <c r="K199" t="inlineStr">
        <is>
          <t>是</t>
        </is>
      </c>
      <c r="M199" t="inlineStr">
        <is>
          <t>05.01.02.03.02</t>
        </is>
      </c>
      <c r="N199" t="inlineStr">
        <is>
          <t>SUM</t>
        </is>
      </c>
    </row>
    <row r="200">
      <c r="A200" t="inlineStr">
        <is>
          <t>六级</t>
        </is>
      </c>
      <c r="B200" t="inlineStr">
        <is>
          <t>支出</t>
        </is>
      </c>
      <c r="C200" t="inlineStr">
        <is>
          <t>A01.90.01.02.03.02.001</t>
        </is>
      </c>
      <c r="D200" t="inlineStr">
        <is>
          <t>科技</t>
        </is>
      </c>
      <c r="K200" t="inlineStr">
        <is>
          <t>是</t>
        </is>
      </c>
      <c r="M200" t="inlineStr">
        <is>
          <t>05.01.02.03.02.001</t>
        </is>
      </c>
      <c r="N200" t="inlineStr">
        <is>
          <t>SUM</t>
        </is>
      </c>
    </row>
    <row r="201">
      <c r="A201" t="inlineStr">
        <is>
          <t>五级</t>
        </is>
      </c>
      <c r="B201" t="inlineStr">
        <is>
          <t>支出</t>
        </is>
      </c>
      <c r="C201" t="inlineStr">
        <is>
          <t>A01.90.01.02.03.03</t>
        </is>
      </c>
      <c r="D201" t="inlineStr">
        <is>
          <t>AA.05.01.02.03.03</t>
        </is>
      </c>
      <c r="F201" t="inlineStr">
        <is>
          <t>A01.90.01.02.03.03.001</t>
        </is>
      </c>
      <c r="K201" t="inlineStr">
        <is>
          <t>是</t>
        </is>
      </c>
      <c r="M201" t="inlineStr">
        <is>
          <t>05.01.02.03.03</t>
        </is>
      </c>
      <c r="N201" t="inlineStr">
        <is>
          <t>SUM</t>
        </is>
      </c>
    </row>
    <row r="202">
      <c r="A202" t="inlineStr">
        <is>
          <t>六级</t>
        </is>
      </c>
      <c r="B202" t="inlineStr">
        <is>
          <t>支出</t>
        </is>
      </c>
      <c r="C202" t="inlineStr">
        <is>
          <t>A01.90.01.02.03.03.001</t>
        </is>
      </c>
      <c r="D202" t="inlineStr">
        <is>
          <t>IT职场</t>
        </is>
      </c>
      <c r="K202" t="inlineStr">
        <is>
          <t>是</t>
        </is>
      </c>
      <c r="M202" t="inlineStr">
        <is>
          <t>05.01.02.03.03.001</t>
        </is>
      </c>
      <c r="N202" t="inlineStr">
        <is>
          <t>SUM</t>
        </is>
      </c>
    </row>
    <row r="203">
      <c r="A203" t="inlineStr">
        <is>
          <t>五级</t>
        </is>
      </c>
      <c r="B203" t="inlineStr">
        <is>
          <t>支出</t>
        </is>
      </c>
      <c r="C203" t="inlineStr">
        <is>
          <t>A01.90.01.02.03.04</t>
        </is>
      </c>
      <c r="D203" t="inlineStr">
        <is>
          <t>AA.05.01.02.03.04</t>
        </is>
      </c>
      <c r="F203" t="inlineStr">
        <is>
          <t>A01.90.01.02.03.04.001</t>
        </is>
      </c>
      <c r="K203" t="inlineStr">
        <is>
          <t>是</t>
        </is>
      </c>
      <c r="M203" t="inlineStr">
        <is>
          <t>05.01.02.03.04</t>
        </is>
      </c>
      <c r="N203" t="inlineStr">
        <is>
          <t>SUM</t>
        </is>
      </c>
    </row>
    <row r="204">
      <c r="A204" t="inlineStr">
        <is>
          <t>六级</t>
        </is>
      </c>
      <c r="B204" t="inlineStr">
        <is>
          <t>支出</t>
        </is>
      </c>
      <c r="C204" t="inlineStr">
        <is>
          <t>A01.90.01.02.03.04.001</t>
        </is>
      </c>
      <c r="D204" t="inlineStr">
        <is>
          <t>IT日常</t>
        </is>
      </c>
      <c r="K204" t="inlineStr">
        <is>
          <t>是</t>
        </is>
      </c>
      <c r="M204" t="inlineStr">
        <is>
          <t>05.01.02.03.04.001</t>
        </is>
      </c>
      <c r="N204" t="inlineStr">
        <is>
          <t>SUM</t>
        </is>
      </c>
    </row>
    <row r="205">
      <c r="A205" t="inlineStr">
        <is>
          <t>四级</t>
        </is>
      </c>
      <c r="B205" t="inlineStr">
        <is>
          <t>支出</t>
        </is>
      </c>
      <c r="C205" t="inlineStr">
        <is>
          <t>A01.90.01.02.04</t>
        </is>
      </c>
      <c r="D205" t="inlineStr">
        <is>
          <t>AA.05.01.02.04</t>
        </is>
      </c>
      <c r="F205" t="inlineStr">
        <is>
          <t>A01.90.01.02.04.001</t>
        </is>
      </c>
      <c r="K205" t="inlineStr">
        <is>
          <t>是</t>
        </is>
      </c>
      <c r="M205" t="inlineStr">
        <is>
          <t>05.01.02.04</t>
        </is>
      </c>
      <c r="N205" t="inlineStr">
        <is>
          <t>SUM</t>
        </is>
      </c>
    </row>
    <row r="206">
      <c r="A206" t="inlineStr">
        <is>
          <t>五级</t>
        </is>
      </c>
      <c r="B206" t="inlineStr">
        <is>
          <t>支出</t>
        </is>
      </c>
      <c r="C206" t="inlineStr">
        <is>
          <t>A01.90.01.02.04.001</t>
        </is>
      </c>
      <c r="D206" t="inlineStr">
        <is>
          <t>职场</t>
        </is>
      </c>
      <c r="K206" t="inlineStr">
        <is>
          <t>是</t>
        </is>
      </c>
      <c r="M206" t="inlineStr">
        <is>
          <t>05.01.02.04.001</t>
        </is>
      </c>
      <c r="N206" t="inlineStr">
        <is>
          <t>SUM</t>
        </is>
      </c>
    </row>
    <row r="207">
      <c r="A207" t="inlineStr">
        <is>
          <t>四级</t>
        </is>
      </c>
      <c r="B207" t="inlineStr">
        <is>
          <t>支出</t>
        </is>
      </c>
      <c r="C207" t="inlineStr">
        <is>
          <t>A01.90.01.02.05</t>
        </is>
      </c>
      <c r="D207" t="inlineStr">
        <is>
          <t>AA.05.01.02.05</t>
        </is>
      </c>
      <c r="F207" t="inlineStr">
        <is>
          <t>A01.90.01.02.05.001</t>
        </is>
      </c>
      <c r="K207" t="inlineStr">
        <is>
          <t>是</t>
        </is>
      </c>
      <c r="M207" t="inlineStr">
        <is>
          <t>05.01.02.05</t>
        </is>
      </c>
      <c r="N207" t="inlineStr">
        <is>
          <t>SUM</t>
        </is>
      </c>
    </row>
    <row r="208">
      <c r="A208" t="inlineStr">
        <is>
          <t>五级</t>
        </is>
      </c>
      <c r="B208" t="inlineStr">
        <is>
          <t>支出</t>
        </is>
      </c>
      <c r="C208" t="inlineStr">
        <is>
          <t>A01.90.01.02.05.001</t>
        </is>
      </c>
      <c r="D208" t="inlineStr">
        <is>
          <t>日常</t>
        </is>
      </c>
      <c r="K208" t="inlineStr">
        <is>
          <t>是</t>
        </is>
      </c>
      <c r="M208" t="inlineStr">
        <is>
          <t>05.01.02.05.001</t>
        </is>
      </c>
      <c r="N208" t="inlineStr">
        <is>
          <t>SUM</t>
        </is>
      </c>
    </row>
    <row r="209">
      <c r="A209" t="inlineStr">
        <is>
          <t>二级</t>
        </is>
      </c>
      <c r="B209" t="inlineStr">
        <is>
          <t>支出</t>
        </is>
      </c>
      <c r="C209" t="inlineStr">
        <is>
          <t>A01.90.02</t>
        </is>
      </c>
      <c r="D209" t="inlineStr">
        <is>
          <t>业务费用</t>
        </is>
      </c>
      <c r="F209" t="inlineStr">
        <is>
          <t>A01.90.02.01+A01.90.02.02</t>
        </is>
      </c>
      <c r="K209" t="inlineStr">
        <is>
          <t>是</t>
        </is>
      </c>
      <c r="N209" t="inlineStr">
        <is>
          <t>SUM</t>
        </is>
      </c>
    </row>
    <row r="210">
      <c r="A210" t="inlineStr">
        <is>
          <t>三级</t>
        </is>
      </c>
      <c r="B210" t="inlineStr">
        <is>
          <t>支出</t>
        </is>
      </c>
      <c r="C210" t="inlineStr">
        <is>
          <t>A01.90.02.01</t>
        </is>
      </c>
      <c r="D210" t="inlineStr">
        <is>
          <t>营销费用</t>
        </is>
      </c>
      <c r="K210" t="inlineStr">
        <is>
          <t>是</t>
        </is>
      </c>
      <c r="N210" t="inlineStr">
        <is>
          <t>SUM</t>
        </is>
      </c>
    </row>
    <row r="211">
      <c r="A211" t="inlineStr">
        <is>
          <t>三级</t>
        </is>
      </c>
      <c r="B211" t="inlineStr">
        <is>
          <t>支出</t>
        </is>
      </c>
      <c r="C211" t="inlineStr">
        <is>
          <t>A01.90.02.02</t>
        </is>
      </c>
      <c r="D211" t="inlineStr">
        <is>
          <t>运营费用</t>
        </is>
      </c>
      <c r="K211" t="inlineStr">
        <is>
          <t>是</t>
        </is>
      </c>
      <c r="N211" t="inlineStr">
        <is>
          <t>SUM</t>
        </is>
      </c>
    </row>
    <row r="212">
      <c r="A212" t="inlineStr">
        <is>
          <t>二级</t>
        </is>
      </c>
      <c r="B212" t="inlineStr">
        <is>
          <t>支出</t>
        </is>
      </c>
      <c r="C212" t="inlineStr">
        <is>
          <t>A01.90.03</t>
        </is>
      </c>
      <c r="D212" t="inlineStr">
        <is>
          <t>业务支出评估</t>
        </is>
      </c>
      <c r="F212" t="inlineStr">
        <is>
          <t>A01.90.03.09</t>
        </is>
      </c>
      <c r="K212" t="inlineStr">
        <is>
          <t>是</t>
        </is>
      </c>
      <c r="M212" t="inlineStr">
        <is>
          <t>05.02</t>
        </is>
      </c>
    </row>
    <row r="213">
      <c r="A213" t="inlineStr">
        <is>
          <t>三级</t>
        </is>
      </c>
      <c r="B213" t="inlineStr">
        <is>
          <t>支出</t>
        </is>
      </c>
      <c r="C213" t="inlineStr">
        <is>
          <t>A01.90.03.09</t>
        </is>
      </c>
      <c r="D213" t="inlineStr">
        <is>
          <t>客户经营指标</t>
        </is>
      </c>
      <c r="F213" t="inlineStr">
        <is>
          <t>A01.90.03.09.01+A01.90.03.09.02+A01.90.03.09.03</t>
        </is>
      </c>
      <c r="K213" t="inlineStr">
        <is>
          <t>是</t>
        </is>
      </c>
      <c r="M213" t="inlineStr">
        <is>
          <t>05.02.09</t>
        </is>
      </c>
    </row>
    <row r="214">
      <c r="A214" t="inlineStr">
        <is>
          <t>四级</t>
        </is>
      </c>
      <c r="B214" t="inlineStr">
        <is>
          <t>支出</t>
        </is>
      </c>
      <c r="C214" t="inlineStr">
        <is>
          <t>A01.90.03.09.01</t>
        </is>
      </c>
      <c r="D214" t="inlineStr">
        <is>
          <t>客户营销与投入</t>
        </is>
      </c>
      <c r="F214" t="inlineStr">
        <is>
          <t>A01.90.03.09.01.001+A01.90.03.09.01.002+A01.90.03.09.01.003+A01.90.03.09.01.004</t>
        </is>
      </c>
      <c r="K214" t="inlineStr">
        <is>
          <t>是</t>
        </is>
      </c>
      <c r="M214" t="inlineStr">
        <is>
          <t>05.02.09.01</t>
        </is>
      </c>
    </row>
    <row r="215">
      <c r="A215" t="inlineStr">
        <is>
          <t>五级</t>
        </is>
      </c>
      <c r="B215" t="inlineStr">
        <is>
          <t>支出</t>
        </is>
      </c>
      <c r="C215" t="inlineStr">
        <is>
          <t>A01.90.03.09.01.001</t>
        </is>
      </c>
      <c r="D215" t="inlineStr">
        <is>
          <t>新客营销支出</t>
        </is>
      </c>
      <c r="K215" t="inlineStr">
        <is>
          <t>是</t>
        </is>
      </c>
      <c r="M215" t="inlineStr">
        <is>
          <t>05.02.09.01.001</t>
        </is>
      </c>
      <c r="N215" t="inlineStr">
        <is>
          <t>SUM</t>
        </is>
      </c>
    </row>
    <row r="216">
      <c r="A216" t="inlineStr">
        <is>
          <t>五级</t>
        </is>
      </c>
      <c r="B216" t="inlineStr">
        <is>
          <t>支出</t>
        </is>
      </c>
      <c r="C216" t="inlineStr">
        <is>
          <t>A01.90.03.09.01.002</t>
        </is>
      </c>
      <c r="D216" t="inlineStr">
        <is>
          <t>存客营销支出</t>
        </is>
      </c>
      <c r="K216" t="inlineStr">
        <is>
          <t>是</t>
        </is>
      </c>
      <c r="M216" t="inlineStr">
        <is>
          <t>05.02.09.01.002</t>
        </is>
      </c>
      <c r="N216" t="inlineStr">
        <is>
          <t>SUM</t>
        </is>
      </c>
    </row>
    <row r="217">
      <c r="A217" t="inlineStr">
        <is>
          <t>五级</t>
        </is>
      </c>
      <c r="B217" t="inlineStr">
        <is>
          <t>支出</t>
        </is>
      </c>
      <c r="C217" t="inlineStr">
        <is>
          <t>A01.90.03.09.01.003</t>
        </is>
      </c>
      <c r="D217" t="inlineStr">
        <is>
          <t>新开通客户投入</t>
        </is>
      </c>
      <c r="K217" t="inlineStr">
        <is>
          <t>是</t>
        </is>
      </c>
      <c r="M217" t="inlineStr">
        <is>
          <t>05.02.09.01.003</t>
        </is>
      </c>
      <c r="N217" t="inlineStr">
        <is>
          <t>SUM</t>
        </is>
      </c>
    </row>
    <row r="218">
      <c r="A218" t="inlineStr">
        <is>
          <t>五级</t>
        </is>
      </c>
      <c r="B218" t="inlineStr">
        <is>
          <t>支出</t>
        </is>
      </c>
      <c r="C218" t="inlineStr">
        <is>
          <t>A01.90.03.09.01.004</t>
        </is>
      </c>
      <c r="D218" t="inlineStr">
        <is>
          <t>新发放投入</t>
        </is>
      </c>
      <c r="K218" t="inlineStr">
        <is>
          <t>是</t>
        </is>
      </c>
      <c r="M218" t="inlineStr">
        <is>
          <t>05.02.09.01.004</t>
        </is>
      </c>
      <c r="N218" t="inlineStr">
        <is>
          <t>SUM</t>
        </is>
      </c>
    </row>
    <row r="219">
      <c r="A219" t="inlineStr">
        <is>
          <t>四级</t>
        </is>
      </c>
      <c r="B219" t="inlineStr">
        <is>
          <t>支出</t>
        </is>
      </c>
      <c r="C219" t="inlineStr">
        <is>
          <t>A01.90.03.09.02</t>
        </is>
      </c>
      <c r="D219" t="inlineStr">
        <is>
          <t>客户规模与数量</t>
        </is>
      </c>
      <c r="F219" t="inlineStr">
        <is>
          <t>A01.90.03.09.02.101+A01.90.03.09.02.102+A01.90.03.09.02.103</t>
        </is>
      </c>
      <c r="K219" t="inlineStr">
        <is>
          <t>是</t>
        </is>
      </c>
      <c r="M219" t="inlineStr">
        <is>
          <t>05.02.09.02</t>
        </is>
      </c>
    </row>
    <row r="220">
      <c r="A220" t="inlineStr">
        <is>
          <t>五级</t>
        </is>
      </c>
      <c r="B220" t="inlineStr">
        <is>
          <t>支出</t>
        </is>
      </c>
      <c r="C220" t="inlineStr">
        <is>
          <t>A01.90.03.09.02.001</t>
        </is>
      </c>
      <c r="D220" t="inlineStr">
        <is>
          <t>新客日均LUM</t>
        </is>
      </c>
      <c r="K220" t="inlineStr">
        <is>
          <t>是</t>
        </is>
      </c>
      <c r="M220" t="inlineStr">
        <is>
          <t>05.02.09.02.001</t>
        </is>
      </c>
      <c r="N220" t="inlineStr">
        <is>
          <t>SUM</t>
        </is>
      </c>
    </row>
    <row r="221">
      <c r="A221" t="inlineStr">
        <is>
          <t>五级</t>
        </is>
      </c>
      <c r="B221" t="inlineStr">
        <is>
          <t>支出</t>
        </is>
      </c>
      <c r="C221" t="inlineStr">
        <is>
          <t>A01.90.03.09.02.002</t>
        </is>
      </c>
      <c r="D221" t="inlineStr">
        <is>
          <t>存客日均LUM</t>
        </is>
      </c>
      <c r="K221" t="inlineStr">
        <is>
          <t>是</t>
        </is>
      </c>
      <c r="M221" t="inlineStr">
        <is>
          <t>05.02.09.02.002</t>
        </is>
      </c>
      <c r="N221" t="inlineStr">
        <is>
          <t>SUM</t>
        </is>
      </c>
    </row>
    <row r="222">
      <c r="A222" t="inlineStr">
        <is>
          <t>五级</t>
        </is>
      </c>
      <c r="B222" t="inlineStr">
        <is>
          <t>支出</t>
        </is>
      </c>
      <c r="C222" t="inlineStr">
        <is>
          <t>A01.90.03.09.02.003</t>
        </is>
      </c>
      <c r="D222" t="inlineStr">
        <is>
          <t>新开通客户数</t>
        </is>
      </c>
      <c r="K222" t="inlineStr">
        <is>
          <t>是</t>
        </is>
      </c>
      <c r="M222" t="inlineStr">
        <is>
          <t>05.02.09.02.003</t>
        </is>
      </c>
      <c r="N222" t="inlineStr">
        <is>
          <t>SUM</t>
        </is>
      </c>
    </row>
    <row r="223">
      <c r="A223" t="inlineStr">
        <is>
          <t>五级</t>
        </is>
      </c>
      <c r="B223" t="inlineStr">
        <is>
          <t>支出</t>
        </is>
      </c>
      <c r="C223" t="inlineStr">
        <is>
          <t>A01.90.03.09.02.004</t>
        </is>
      </c>
      <c r="D223" t="inlineStr">
        <is>
          <t>平均有效客户数</t>
        </is>
      </c>
      <c r="K223" t="inlineStr">
        <is>
          <t>是</t>
        </is>
      </c>
      <c r="M223" t="inlineStr">
        <is>
          <t>05.02.09.02.004</t>
        </is>
      </c>
      <c r="N223" t="inlineStr">
        <is>
          <t>SUM</t>
        </is>
      </c>
    </row>
    <row r="224">
      <c r="A224" t="inlineStr">
        <is>
          <t>五级</t>
        </is>
      </c>
      <c r="B224" t="inlineStr">
        <is>
          <t>支出</t>
        </is>
      </c>
      <c r="C224" t="inlineStr">
        <is>
          <t>A01.90.03.09.02.005</t>
        </is>
      </c>
      <c r="D224" t="inlineStr">
        <is>
          <t>新发放LUM</t>
        </is>
      </c>
      <c r="K224" t="inlineStr">
        <is>
          <t>是</t>
        </is>
      </c>
      <c r="M224" t="inlineStr">
        <is>
          <t>05.02.09.02.005</t>
        </is>
      </c>
      <c r="N224" t="inlineStr">
        <is>
          <t>SUM</t>
        </is>
      </c>
    </row>
    <row r="225">
      <c r="A225" t="inlineStr">
        <is>
          <t>五级</t>
        </is>
      </c>
      <c r="B225" t="inlineStr">
        <is>
          <t>支出</t>
        </is>
      </c>
      <c r="C225" t="inlineStr">
        <is>
          <t>A01.90.03.09.02.006</t>
        </is>
      </c>
      <c r="D225" t="inlineStr">
        <is>
          <t>新发放LUM（标服）</t>
        </is>
      </c>
      <c r="K225" t="inlineStr">
        <is>
          <t>是</t>
        </is>
      </c>
      <c r="M225" t="inlineStr">
        <is>
          <t>05.02.09.02.006</t>
        </is>
      </c>
      <c r="N225" t="inlineStr">
        <is>
          <t>SUM</t>
        </is>
      </c>
    </row>
    <row r="226">
      <c r="A226" t="inlineStr">
        <is>
          <t>五级</t>
        </is>
      </c>
      <c r="B226" t="inlineStr">
        <is>
          <t>支出</t>
        </is>
      </c>
      <c r="C226" t="inlineStr">
        <is>
          <t>A01.90.03.09.02.007</t>
        </is>
      </c>
      <c r="D226" t="inlineStr">
        <is>
          <t>存客日均AuM</t>
        </is>
      </c>
      <c r="K226" t="inlineStr">
        <is>
          <t>是</t>
        </is>
      </c>
      <c r="M226" t="inlineStr">
        <is>
          <t>05.02.09.02.007</t>
        </is>
      </c>
      <c r="N226" t="inlineStr">
        <is>
          <t>SUM</t>
        </is>
      </c>
    </row>
    <row r="227">
      <c r="A227" t="inlineStr">
        <is>
          <t>五级</t>
        </is>
      </c>
      <c r="B227" t="inlineStr">
        <is>
          <t>支出</t>
        </is>
      </c>
      <c r="C227" t="inlineStr">
        <is>
          <t>A01.90.03.09.02.008</t>
        </is>
      </c>
      <c r="D227" t="inlineStr">
        <is>
          <t>新客AuM余额</t>
        </is>
      </c>
      <c r="K227" t="inlineStr">
        <is>
          <t>是</t>
        </is>
      </c>
      <c r="M227" t="inlineStr">
        <is>
          <t>05.02.09.02.008</t>
        </is>
      </c>
      <c r="N227" t="inlineStr">
        <is>
          <t>SUM</t>
        </is>
      </c>
    </row>
    <row r="228">
      <c r="A228" t="inlineStr">
        <is>
          <t>五级</t>
        </is>
      </c>
      <c r="B228" t="inlineStr">
        <is>
          <t>支出</t>
        </is>
      </c>
      <c r="C228" t="inlineStr">
        <is>
          <t>A01.90.03.09.02.009</t>
        </is>
      </c>
      <c r="D228" t="inlineStr">
        <is>
          <t>MFAU客户数</t>
        </is>
      </c>
      <c r="K228" t="inlineStr">
        <is>
          <t>是</t>
        </is>
      </c>
      <c r="M228" t="inlineStr">
        <is>
          <t>05.02.09.02.009</t>
        </is>
      </c>
      <c r="N228" t="inlineStr">
        <is>
          <t>SUM</t>
        </is>
      </c>
    </row>
    <row r="229">
      <c r="A229" t="inlineStr">
        <is>
          <t>五级</t>
        </is>
      </c>
      <c r="B229" t="inlineStr">
        <is>
          <t>支出</t>
        </is>
      </c>
      <c r="C229" t="inlineStr">
        <is>
          <t>A01.90.03.09.02.010</t>
        </is>
      </c>
      <c r="D229" t="inlineStr">
        <is>
          <t>日均LUM</t>
        </is>
      </c>
      <c r="K229" t="inlineStr">
        <is>
          <t>是</t>
        </is>
      </c>
      <c r="M229" t="inlineStr">
        <is>
          <t>05.02.09.02.010</t>
        </is>
      </c>
      <c r="N229" t="inlineStr">
        <is>
          <t>SUM</t>
        </is>
      </c>
    </row>
    <row r="230">
      <c r="A230" t="inlineStr">
        <is>
          <t>五级</t>
        </is>
      </c>
      <c r="B230" t="inlineStr">
        <is>
          <t>支出</t>
        </is>
      </c>
      <c r="C230" t="inlineStr">
        <is>
          <t>A01.90.03.09.02.011</t>
        </is>
      </c>
      <c r="D230" t="inlineStr">
        <is>
          <t>日均AuM</t>
        </is>
      </c>
      <c r="K230" t="inlineStr">
        <is>
          <t>是</t>
        </is>
      </c>
      <c r="M230" t="inlineStr">
        <is>
          <t>05.02.09.02.011</t>
        </is>
      </c>
      <c r="N230" t="inlineStr">
        <is>
          <t>SUM</t>
        </is>
      </c>
    </row>
    <row r="231">
      <c r="A231" t="inlineStr">
        <is>
          <t>五级</t>
        </is>
      </c>
      <c r="B231" t="inlineStr">
        <is>
          <t>支出</t>
        </is>
      </c>
      <c r="C231" t="inlineStr">
        <is>
          <t>A01.90.03.09.02.101</t>
        </is>
      </c>
      <c r="D231" t="inlineStr">
        <is>
          <t>LUM规模</t>
        </is>
      </c>
      <c r="F231" t="inlineStr">
        <is>
          <t>A01.90.03.09.02.001+A01.90.03.09.02.002+A01.90.03.09.02.005+A01.90.03.09.02.006+A01.90.03.09.02.010</t>
        </is>
      </c>
      <c r="K231" t="inlineStr">
        <is>
          <t>是</t>
        </is>
      </c>
      <c r="M231" t="inlineStr">
        <is>
          <t>05.02.09.02.101</t>
        </is>
      </c>
    </row>
    <row r="232">
      <c r="A232" t="inlineStr">
        <is>
          <t>五级</t>
        </is>
      </c>
      <c r="B232" t="inlineStr">
        <is>
          <t>支出</t>
        </is>
      </c>
      <c r="C232" t="inlineStr">
        <is>
          <t>A01.90.03.09.02.102</t>
        </is>
      </c>
      <c r="D232" t="inlineStr">
        <is>
          <t>AuM规模</t>
        </is>
      </c>
      <c r="F232" t="inlineStr">
        <is>
          <t>A01.90.03.09.02.007+A01.90.03.09.02.008+A01.90.03.09.02.011</t>
        </is>
      </c>
      <c r="K232" t="inlineStr">
        <is>
          <t>是</t>
        </is>
      </c>
      <c r="M232" t="inlineStr">
        <is>
          <t>05.02.09.02.102</t>
        </is>
      </c>
    </row>
    <row r="233">
      <c r="A233" t="inlineStr">
        <is>
          <t>五级</t>
        </is>
      </c>
      <c r="B233" t="inlineStr">
        <is>
          <t>支出</t>
        </is>
      </c>
      <c r="C233" t="inlineStr">
        <is>
          <t>A01.90.03.09.02.103</t>
        </is>
      </c>
      <c r="D233" t="inlineStr">
        <is>
          <t>客户数量</t>
        </is>
      </c>
      <c r="F233" t="inlineStr">
        <is>
          <t>A01.90.03.09.02.003+A01.90.03.09.02.004+A01.90.03.09.02.009</t>
        </is>
      </c>
      <c r="K233" t="inlineStr">
        <is>
          <t>是</t>
        </is>
      </c>
      <c r="M233" t="inlineStr">
        <is>
          <t>05.02.09.02.103</t>
        </is>
      </c>
    </row>
    <row r="234">
      <c r="A234" t="inlineStr">
        <is>
          <t>四级</t>
        </is>
      </c>
      <c r="B234" t="inlineStr">
        <is>
          <t>支出</t>
        </is>
      </c>
      <c r="C234" t="inlineStr">
        <is>
          <t>A01.90.03.09.03</t>
        </is>
      </c>
      <c r="D234" t="inlineStr">
        <is>
          <t>客户回收与催收</t>
        </is>
      </c>
      <c r="F234" t="inlineStr">
        <is>
          <t>A01.90.03.09.03.001+A01.90.03.09.03.002+A01.90.03.09.03.003</t>
        </is>
      </c>
      <c r="K234" t="inlineStr">
        <is>
          <t>是</t>
        </is>
      </c>
      <c r="M234" t="inlineStr">
        <is>
          <t>05.02.09.03</t>
        </is>
      </c>
    </row>
    <row r="235">
      <c r="A235" t="inlineStr">
        <is>
          <t>五级</t>
        </is>
      </c>
      <c r="B235" t="inlineStr">
        <is>
          <t>支出</t>
        </is>
      </c>
      <c r="C235" t="inlineStr">
        <is>
          <t>A01.90.03.09.03.001</t>
        </is>
      </c>
      <c r="D235" t="inlineStr">
        <is>
          <t>内催回收额</t>
        </is>
      </c>
      <c r="K235" t="inlineStr">
        <is>
          <t>是</t>
        </is>
      </c>
      <c r="M235" t="inlineStr">
        <is>
          <t>05.02.09.03.001</t>
        </is>
      </c>
      <c r="N235" t="inlineStr">
        <is>
          <t>SUM</t>
        </is>
      </c>
    </row>
    <row r="236">
      <c r="A236" t="inlineStr">
        <is>
          <t>五级</t>
        </is>
      </c>
      <c r="B236" t="inlineStr">
        <is>
          <t>支出</t>
        </is>
      </c>
      <c r="C236" t="inlineStr">
        <is>
          <t>A01.90.03.09.03.002</t>
        </is>
      </c>
      <c r="D236" t="inlineStr">
        <is>
          <t>M6-压降金额</t>
        </is>
      </c>
      <c r="K236" t="inlineStr">
        <is>
          <t>是</t>
        </is>
      </c>
      <c r="M236" t="inlineStr">
        <is>
          <t>05.02.09.03.002</t>
        </is>
      </c>
      <c r="N236" t="inlineStr">
        <is>
          <t>SUM</t>
        </is>
      </c>
    </row>
    <row r="237">
      <c r="A237" t="inlineStr">
        <is>
          <t>五级</t>
        </is>
      </c>
      <c r="B237" t="inlineStr">
        <is>
          <t>支出</t>
        </is>
      </c>
      <c r="C237" t="inlineStr">
        <is>
          <t>A01.90.03.09.03.003</t>
        </is>
      </c>
      <c r="D237" t="inlineStr">
        <is>
          <t>M7+现金回收额</t>
        </is>
      </c>
      <c r="K237" t="inlineStr">
        <is>
          <t>是</t>
        </is>
      </c>
      <c r="M237" t="inlineStr">
        <is>
          <t>05.02.09.03.003</t>
        </is>
      </c>
      <c r="N237" t="inlineStr">
        <is>
          <t>SUM</t>
        </is>
      </c>
    </row>
    <row r="238"/>
    <row r="239"/>
    <row r="240"/>
    <row r="241"/>
    <row r="242"/>
    <row r="243"/>
    <row r="244"/>
    <row r="245"/>
    <row r="246"/>
    <row r="247"/>
    <row r="248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4"/>
  <sheetViews>
    <sheetView workbookViewId="0">
      <pane xSplit="4" ySplit="1" topLeftCell="E370" activePane="bottomRight" state="frozen"/>
      <selection activeCell="A1" sqref="A1"/>
      <selection pane="topRight" activeCell="A1" sqref="A1"/>
      <selection pane="bottomLeft" activeCell="A1" sqref="A1"/>
      <selection pane="bottomRight" activeCell="J12" sqref="J12"/>
    </sheetView>
  </sheetViews>
  <sheetFormatPr baseColWidth="8" defaultColWidth="9" defaultRowHeight="15" customHeight="1"/>
  <cols>
    <col width="8.66071428571429" customWidth="1" style="5" min="1" max="2"/>
    <col width="13" customWidth="1" style="5" min="3" max="3"/>
    <col width="24.6607142857143" customWidth="1" style="5" min="4" max="4"/>
    <col width="8.66071428571429" customWidth="1" style="5" min="5" max="9"/>
    <col width="19.8303571428571" customWidth="1" style="5" min="10" max="10"/>
    <col width="8.66071428571429" customWidth="1" style="5" min="11" max="16384"/>
  </cols>
  <sheetData>
    <row r="1" customFormat="1" s="1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3" t="inlineStr">
        <is>
          <t>录入粒度</t>
        </is>
      </c>
      <c r="F1" s="3" t="inlineStr">
        <is>
          <t>年预算公式</t>
        </is>
      </c>
      <c r="G1" s="3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6" t="n"/>
      <c r="O1" s="6" t="n"/>
      <c r="P1" t="inlineStr">
        <is>
          <t>规则</t>
        </is>
      </c>
    </row>
    <row r="2">
      <c r="A2" s="7" t="inlineStr">
        <is>
          <t>一级</t>
        </is>
      </c>
      <c r="B2" s="1" t="inlineStr">
        <is>
          <t>收入</t>
        </is>
      </c>
      <c r="C2" s="8" t="inlineStr">
        <is>
          <t>A02.01</t>
        </is>
      </c>
      <c r="D2" s="7" t="inlineStr">
        <is>
          <t>营业收入</t>
        </is>
      </c>
      <c r="F2" t="inlineStr">
        <is>
          <t>A02.01.01+A02.01.02+A02.01.03</t>
        </is>
      </c>
      <c r="H2" s="5">
        <f>H3+H6+H7</f>
        <v/>
      </c>
      <c r="I2" s="5">
        <f>I3+I6+I7</f>
        <v/>
      </c>
      <c r="M2" t="inlineStr">
        <is>
          <t>01</t>
        </is>
      </c>
    </row>
    <row r="3">
      <c r="A3" s="7" t="inlineStr">
        <is>
          <t>二级</t>
        </is>
      </c>
      <c r="B3" s="1" t="inlineStr">
        <is>
          <t>收入</t>
        </is>
      </c>
      <c r="C3" s="8" t="inlineStr">
        <is>
          <t>A02.01.01</t>
        </is>
      </c>
      <c r="D3" s="7" t="inlineStr">
        <is>
          <t xml:space="preserve">  利息净收入</t>
        </is>
      </c>
      <c r="F3" t="inlineStr">
        <is>
          <t>A02.01.01.01+A02.01.01.02</t>
        </is>
      </c>
      <c r="H3" s="5">
        <f>H4+H5</f>
        <v/>
      </c>
      <c r="I3" s="5">
        <f>I4+I5</f>
        <v/>
      </c>
      <c r="M3" t="inlineStr">
        <is>
          <t>01.01</t>
        </is>
      </c>
    </row>
    <row r="4">
      <c r="A4" s="1" t="inlineStr">
        <is>
          <t>三级</t>
        </is>
      </c>
      <c r="B4" s="1" t="inlineStr">
        <is>
          <t>收入</t>
        </is>
      </c>
      <c r="C4" s="9" t="inlineStr">
        <is>
          <t>A02.01.01.01</t>
        </is>
      </c>
      <c r="D4" s="1" t="inlineStr">
        <is>
          <t xml:space="preserve">    资产业务</t>
        </is>
      </c>
      <c r="H4" s="5">
        <f>H56-H61</f>
        <v/>
      </c>
      <c r="I4" s="5">
        <f>I56-I61</f>
        <v/>
      </c>
      <c r="M4" t="inlineStr">
        <is>
          <t>01.01.01</t>
        </is>
      </c>
      <c r="P4" t="inlineStr">
        <is>
          <t>SUM</t>
        </is>
      </c>
    </row>
    <row r="5">
      <c r="A5" s="1" t="inlineStr">
        <is>
          <t>三级</t>
        </is>
      </c>
      <c r="B5" s="1" t="inlineStr">
        <is>
          <t>收入</t>
        </is>
      </c>
      <c r="C5" s="9" t="inlineStr">
        <is>
          <t>A02.01.01.02</t>
        </is>
      </c>
      <c r="D5" s="1" t="inlineStr">
        <is>
          <t xml:space="preserve">    负债业务</t>
        </is>
      </c>
      <c r="H5" s="5">
        <f>H102-H69</f>
        <v/>
      </c>
      <c r="I5" s="5">
        <f>I102-I69</f>
        <v/>
      </c>
      <c r="M5" t="inlineStr">
        <is>
          <t>01.01.02</t>
        </is>
      </c>
      <c r="P5" t="inlineStr">
        <is>
          <t>SUM</t>
        </is>
      </c>
    </row>
    <row r="6">
      <c r="A6" s="7" t="inlineStr">
        <is>
          <t>二级</t>
        </is>
      </c>
      <c r="B6" s="1" t="inlineStr">
        <is>
          <t>收入</t>
        </is>
      </c>
      <c r="C6" s="8" t="inlineStr">
        <is>
          <t>A02.01.02</t>
        </is>
      </c>
      <c r="D6" s="7" t="inlineStr">
        <is>
          <t xml:space="preserve">  手续费净收入</t>
        </is>
      </c>
      <c r="H6" s="5">
        <f>H125-H130</f>
        <v/>
      </c>
      <c r="I6" s="5">
        <f>I125-I130</f>
        <v/>
      </c>
      <c r="M6" t="inlineStr">
        <is>
          <t>01.02</t>
        </is>
      </c>
      <c r="P6" t="inlineStr">
        <is>
          <t>SUM</t>
        </is>
      </c>
    </row>
    <row r="7">
      <c r="A7" s="7" t="inlineStr">
        <is>
          <t>二级</t>
        </is>
      </c>
      <c r="B7" s="1" t="inlineStr">
        <is>
          <t>收入</t>
        </is>
      </c>
      <c r="C7" s="8" t="inlineStr">
        <is>
          <t>A02.01.03</t>
        </is>
      </c>
      <c r="D7" s="7" t="inlineStr">
        <is>
          <t xml:space="preserve">  其他营收</t>
        </is>
      </c>
      <c r="H7" s="5">
        <f>H136+H138</f>
        <v/>
      </c>
      <c r="I7" s="5">
        <f>I136+I138</f>
        <v/>
      </c>
      <c r="M7" t="inlineStr">
        <is>
          <t>01.03</t>
        </is>
      </c>
      <c r="P7" t="inlineStr">
        <is>
          <t>SUM</t>
        </is>
      </c>
    </row>
    <row r="8">
      <c r="A8" s="7" t="inlineStr">
        <is>
          <t>一级</t>
        </is>
      </c>
      <c r="B8" s="1" t="inlineStr">
        <is>
          <t>支出</t>
        </is>
      </c>
      <c r="C8" s="8" t="inlineStr">
        <is>
          <t>A02.02</t>
        </is>
      </c>
      <c r="D8" s="7" t="inlineStr">
        <is>
          <t>减：风险成本</t>
        </is>
      </c>
      <c r="M8" t="inlineStr">
        <is>
          <t>02</t>
        </is>
      </c>
      <c r="P8" t="inlineStr">
        <is>
          <t>SUM</t>
        </is>
      </c>
    </row>
    <row r="9">
      <c r="A9" s="7" t="inlineStr">
        <is>
          <t>一级</t>
        </is>
      </c>
      <c r="B9" s="1" t="inlineStr">
        <is>
          <t>收入</t>
        </is>
      </c>
      <c r="C9" s="8" t="inlineStr">
        <is>
          <t>A02.03</t>
        </is>
      </c>
      <c r="D9" s="7" t="inlineStr">
        <is>
          <t>净收入</t>
        </is>
      </c>
      <c r="F9" t="inlineStr">
        <is>
          <t>A02.01-A02.02</t>
        </is>
      </c>
      <c r="H9" s="5">
        <f>H2-H8</f>
        <v/>
      </c>
      <c r="I9" s="5">
        <f>I2-I8</f>
        <v/>
      </c>
      <c r="M9" t="inlineStr">
        <is>
          <t>03</t>
        </is>
      </c>
    </row>
    <row r="10">
      <c r="A10" s="7" t="inlineStr">
        <is>
          <t>一级</t>
        </is>
      </c>
      <c r="B10" s="1" t="inlineStr">
        <is>
          <t>支出</t>
        </is>
      </c>
      <c r="C10" s="8" t="inlineStr">
        <is>
          <t>A02.04</t>
        </is>
      </c>
      <c r="D10" s="7" t="inlineStr">
        <is>
          <t>减：税金及附加</t>
        </is>
      </c>
      <c r="M10" t="inlineStr">
        <is>
          <t>04</t>
        </is>
      </c>
      <c r="P10" t="inlineStr">
        <is>
          <t>SUM</t>
        </is>
      </c>
    </row>
    <row r="11">
      <c r="A11" s="7" t="inlineStr">
        <is>
          <t>一级</t>
        </is>
      </c>
      <c r="B11" s="1" t="inlineStr">
        <is>
          <t>支出</t>
        </is>
      </c>
      <c r="C11" s="8" t="inlineStr">
        <is>
          <t>A02.05</t>
        </is>
      </c>
      <c r="D11" s="7" t="inlineStr">
        <is>
          <t>减：直接费用</t>
        </is>
      </c>
      <c r="F11" t="inlineStr">
        <is>
          <t>A02.90.01+A02.90.02+A02.90.03+A02.90.04+A02.90.05</t>
        </is>
      </c>
      <c r="H11" s="5">
        <f>H12+H15+H18+H25+H26</f>
        <v/>
      </c>
      <c r="I11" s="5">
        <f>I12+I15+I18+I25+I26</f>
        <v/>
      </c>
      <c r="K11" t="inlineStr">
        <is>
          <t>是</t>
        </is>
      </c>
      <c r="M11" t="inlineStr">
        <is>
          <t>05</t>
        </is>
      </c>
    </row>
    <row r="12">
      <c r="A12" s="7" t="inlineStr">
        <is>
          <t>二级</t>
        </is>
      </c>
      <c r="B12" s="1" t="inlineStr">
        <is>
          <t>支出</t>
        </is>
      </c>
      <c r="C12" s="8" t="inlineStr">
        <is>
          <t>A02.05.01</t>
        </is>
      </c>
      <c r="D12" s="7" t="inlineStr">
        <is>
          <t xml:space="preserve">  人力费用（不含IT）</t>
        </is>
      </c>
      <c r="F12" t="inlineStr">
        <is>
          <t>A02.90.01.01+A02.90.01.02</t>
        </is>
      </c>
      <c r="H12" s="5">
        <f>H13+H14</f>
        <v/>
      </c>
      <c r="I12" s="5">
        <f>I13+I14</f>
        <v/>
      </c>
      <c r="K12" t="inlineStr">
        <is>
          <t>是</t>
        </is>
      </c>
      <c r="M12" t="inlineStr">
        <is>
          <t>05.01</t>
        </is>
      </c>
    </row>
    <row r="13">
      <c r="A13" s="1" t="inlineStr">
        <is>
          <t>三级</t>
        </is>
      </c>
      <c r="B13" s="1" t="inlineStr">
        <is>
          <t>支出</t>
        </is>
      </c>
      <c r="C13" s="9" t="inlineStr">
        <is>
          <t>A02.05.01.01</t>
        </is>
      </c>
      <c r="D13" s="1" t="inlineStr">
        <is>
          <t xml:space="preserve">    常规人力</t>
        </is>
      </c>
      <c r="F13" t="inlineStr">
        <is>
          <t>A02.90.01.01.01+A02.90.01.01.02+A02.90.01.01.03+A02.90.01.01.04.001+A02.90.01.01.05.001</t>
        </is>
      </c>
      <c r="K13" t="inlineStr">
        <is>
          <t>是</t>
        </is>
      </c>
      <c r="M13" t="inlineStr">
        <is>
          <t>05.01.01</t>
        </is>
      </c>
    </row>
    <row r="14">
      <c r="A14" s="1" t="inlineStr">
        <is>
          <t>三级</t>
        </is>
      </c>
      <c r="B14" s="1" t="inlineStr">
        <is>
          <t>支出</t>
        </is>
      </c>
      <c r="C14" s="9" t="inlineStr">
        <is>
          <t>A02.05.01.02</t>
        </is>
      </c>
      <c r="D14" s="1" t="inlineStr">
        <is>
          <t xml:space="preserve">    特别人力</t>
        </is>
      </c>
      <c r="F14" t="inlineStr">
        <is>
          <t>A02.90.01.02.01+A02.90.01.02.02+A02.90.01.02.03+A02.90.01.02.04.001+A02.90.01.02.05.001</t>
        </is>
      </c>
      <c r="K14" t="inlineStr">
        <is>
          <t>是</t>
        </is>
      </c>
      <c r="M14" t="inlineStr">
        <is>
          <t>05.01.02</t>
        </is>
      </c>
    </row>
    <row r="15">
      <c r="A15" s="7" t="inlineStr">
        <is>
          <t>二级</t>
        </is>
      </c>
      <c r="B15" s="1" t="inlineStr">
        <is>
          <t>支出</t>
        </is>
      </c>
      <c r="C15" s="8" t="inlineStr">
        <is>
          <t>A02.05.02</t>
        </is>
      </c>
      <c r="D15" s="7" t="inlineStr">
        <is>
          <t xml:space="preserve">  业务费用</t>
        </is>
      </c>
      <c r="F15" t="inlineStr">
        <is>
          <t>A02.90.02.01+A02.90.02.02+A02.90.02.09</t>
        </is>
      </c>
      <c r="H15" s="5">
        <f>H16+H17</f>
        <v/>
      </c>
      <c r="I15" s="5">
        <f>I16+I17</f>
        <v/>
      </c>
      <c r="K15" t="inlineStr">
        <is>
          <t>是</t>
        </is>
      </c>
      <c r="M15" t="inlineStr">
        <is>
          <t>05.02</t>
        </is>
      </c>
    </row>
    <row r="16">
      <c r="A16" s="1" t="inlineStr">
        <is>
          <t>三级</t>
        </is>
      </c>
      <c r="B16" s="1" t="inlineStr">
        <is>
          <t>支出</t>
        </is>
      </c>
      <c r="C16" s="9" t="inlineStr">
        <is>
          <t>A02.05.02.01</t>
        </is>
      </c>
      <c r="D16" s="1" t="inlineStr">
        <is>
          <t xml:space="preserve">    营销费用</t>
        </is>
      </c>
      <c r="K16" t="inlineStr">
        <is>
          <t>是</t>
        </is>
      </c>
      <c r="M16" t="inlineStr">
        <is>
          <t>05.02.01</t>
        </is>
      </c>
      <c r="P16" t="inlineStr">
        <is>
          <t>SUM</t>
        </is>
      </c>
    </row>
    <row r="17">
      <c r="A17" s="1" t="inlineStr">
        <is>
          <t>三级</t>
        </is>
      </c>
      <c r="B17" s="1" t="inlineStr">
        <is>
          <t>支出</t>
        </is>
      </c>
      <c r="C17" s="9" t="inlineStr">
        <is>
          <t>A02.05.02.02</t>
        </is>
      </c>
      <c r="D17" s="1" t="inlineStr">
        <is>
          <t xml:space="preserve">    运营费用</t>
        </is>
      </c>
      <c r="K17" t="inlineStr">
        <is>
          <t>是</t>
        </is>
      </c>
      <c r="M17" t="inlineStr">
        <is>
          <t>05.02.02</t>
        </is>
      </c>
      <c r="P17" t="inlineStr">
        <is>
          <t>SUM</t>
        </is>
      </c>
    </row>
    <row r="18">
      <c r="A18" s="7" t="inlineStr">
        <is>
          <t>二级</t>
        </is>
      </c>
      <c r="B18" s="1" t="inlineStr">
        <is>
          <t>支出</t>
        </is>
      </c>
      <c r="C18" s="8" t="inlineStr">
        <is>
          <t>A02.05.03</t>
        </is>
      </c>
      <c r="D18" s="7" t="inlineStr">
        <is>
          <t xml:space="preserve">  IT费用</t>
        </is>
      </c>
      <c r="F18" t="inlineStr">
        <is>
          <t>A02.90.03.01+A02.90.03.02+A02.90.03.03+A02.90.03.04</t>
        </is>
      </c>
      <c r="H18" s="5">
        <f>H19+H22+H23+H24</f>
        <v/>
      </c>
      <c r="I18" s="5">
        <f>I19+I22+I23+I24</f>
        <v/>
      </c>
      <c r="K18" t="inlineStr">
        <is>
          <t>是</t>
        </is>
      </c>
      <c r="M18" t="inlineStr">
        <is>
          <t>05.03</t>
        </is>
      </c>
    </row>
    <row r="19">
      <c r="A19" s="1" t="inlineStr">
        <is>
          <t>三级</t>
        </is>
      </c>
      <c r="B19" s="1" t="inlineStr">
        <is>
          <t>支出</t>
        </is>
      </c>
      <c r="C19" s="9" t="inlineStr">
        <is>
          <t>A02.05.03.01</t>
        </is>
      </c>
      <c r="D19" s="1" t="inlineStr">
        <is>
          <t xml:space="preserve">    IT人力</t>
        </is>
      </c>
      <c r="F19" t="inlineStr">
        <is>
          <t>A02.90.03.01.01+A02.90.03.01.02</t>
        </is>
      </c>
      <c r="H19" s="5">
        <f>H20+H21</f>
        <v/>
      </c>
      <c r="I19" s="5">
        <f>I20+I21</f>
        <v/>
      </c>
      <c r="K19" t="inlineStr">
        <is>
          <t>是</t>
        </is>
      </c>
      <c r="M19" t="inlineStr">
        <is>
          <t>05.03.01</t>
        </is>
      </c>
    </row>
    <row r="20">
      <c r="A20" s="1" t="inlineStr">
        <is>
          <t>四级</t>
        </is>
      </c>
      <c r="B20" s="1" t="inlineStr">
        <is>
          <t>支出</t>
        </is>
      </c>
      <c r="C20" s="9" t="inlineStr">
        <is>
          <t>A02.05.03.01.01</t>
        </is>
      </c>
      <c r="D20" s="1" t="inlineStr">
        <is>
          <t xml:space="preserve">      IT常规人力</t>
        </is>
      </c>
      <c r="K20" t="inlineStr">
        <is>
          <t>是</t>
        </is>
      </c>
      <c r="M20" t="inlineStr">
        <is>
          <t>05.03.01.01</t>
        </is>
      </c>
      <c r="P20" t="inlineStr">
        <is>
          <t>SUM</t>
        </is>
      </c>
    </row>
    <row r="21">
      <c r="A21" s="1" t="inlineStr">
        <is>
          <t>四级</t>
        </is>
      </c>
      <c r="B21" s="1" t="inlineStr">
        <is>
          <t>支出</t>
        </is>
      </c>
      <c r="C21" s="9" t="inlineStr">
        <is>
          <t>A02.05.03.01.02</t>
        </is>
      </c>
      <c r="D21" s="1" t="inlineStr">
        <is>
          <t xml:space="preserve">      IT特别人力</t>
        </is>
      </c>
      <c r="K21" t="inlineStr">
        <is>
          <t>是</t>
        </is>
      </c>
      <c r="M21" t="inlineStr">
        <is>
          <t>05.03.01.02</t>
        </is>
      </c>
      <c r="P21" t="inlineStr">
        <is>
          <t>SUM</t>
        </is>
      </c>
    </row>
    <row r="22">
      <c r="A22" s="1" t="inlineStr">
        <is>
          <t>三级</t>
        </is>
      </c>
      <c r="B22" s="1" t="inlineStr">
        <is>
          <t>支出</t>
        </is>
      </c>
      <c r="C22" s="9" t="inlineStr">
        <is>
          <t>A02.05.03.02</t>
        </is>
      </c>
      <c r="D22" s="1" t="inlineStr">
        <is>
          <t xml:space="preserve">    科技费用</t>
        </is>
      </c>
      <c r="K22" t="inlineStr">
        <is>
          <t>是</t>
        </is>
      </c>
      <c r="M22" t="inlineStr">
        <is>
          <t>05.03.02</t>
        </is>
      </c>
      <c r="P22" t="inlineStr">
        <is>
          <t>SUM</t>
        </is>
      </c>
    </row>
    <row r="23">
      <c r="A23" s="1" t="inlineStr">
        <is>
          <t>三级</t>
        </is>
      </c>
      <c r="B23" s="1" t="inlineStr">
        <is>
          <t>支出</t>
        </is>
      </c>
      <c r="C23" s="9" t="inlineStr">
        <is>
          <t>A02.05.03.03</t>
        </is>
      </c>
      <c r="D23" s="1" t="inlineStr">
        <is>
          <t xml:space="preserve">    IT职场</t>
        </is>
      </c>
      <c r="K23" t="inlineStr">
        <is>
          <t>是</t>
        </is>
      </c>
      <c r="M23" t="inlineStr">
        <is>
          <t>05.03.03</t>
        </is>
      </c>
      <c r="P23" t="inlineStr">
        <is>
          <t>SUM</t>
        </is>
      </c>
    </row>
    <row r="24">
      <c r="A24" s="1" t="inlineStr">
        <is>
          <t>三级</t>
        </is>
      </c>
      <c r="B24" s="1" t="inlineStr">
        <is>
          <t>支出</t>
        </is>
      </c>
      <c r="C24" s="9" t="inlineStr">
        <is>
          <t>A02.05.03.04</t>
        </is>
      </c>
      <c r="D24" s="1" t="inlineStr">
        <is>
          <t xml:space="preserve">    IT日常</t>
        </is>
      </c>
      <c r="K24" t="inlineStr">
        <is>
          <t>是</t>
        </is>
      </c>
      <c r="M24" t="inlineStr">
        <is>
          <t>05.03.04</t>
        </is>
      </c>
      <c r="P24" t="inlineStr">
        <is>
          <t>SUM</t>
        </is>
      </c>
    </row>
    <row r="25">
      <c r="A25" s="7" t="inlineStr">
        <is>
          <t>二级</t>
        </is>
      </c>
      <c r="B25" s="1" t="inlineStr">
        <is>
          <t>支出</t>
        </is>
      </c>
      <c r="C25" s="8" t="inlineStr">
        <is>
          <t>A02.05.04</t>
        </is>
      </c>
      <c r="D25" s="7" t="inlineStr">
        <is>
          <t xml:space="preserve">  职场费用</t>
        </is>
      </c>
      <c r="K25" t="inlineStr">
        <is>
          <t>是</t>
        </is>
      </c>
      <c r="M25" t="inlineStr">
        <is>
          <t>05.04</t>
        </is>
      </c>
      <c r="P25" t="inlineStr">
        <is>
          <t>SUM</t>
        </is>
      </c>
    </row>
    <row r="26">
      <c r="A26" s="7" t="inlineStr">
        <is>
          <t>二级</t>
        </is>
      </c>
      <c r="B26" s="1" t="inlineStr">
        <is>
          <t>支出</t>
        </is>
      </c>
      <c r="C26" s="8" t="inlineStr">
        <is>
          <t>A02.05.05</t>
        </is>
      </c>
      <c r="D26" s="7" t="inlineStr">
        <is>
          <t xml:space="preserve">  日常费用</t>
        </is>
      </c>
      <c r="K26" t="inlineStr">
        <is>
          <t>是</t>
        </is>
      </c>
      <c r="M26" t="inlineStr">
        <is>
          <t>05.05</t>
        </is>
      </c>
      <c r="P26" t="inlineStr">
        <is>
          <t>SUM</t>
        </is>
      </c>
    </row>
    <row r="27">
      <c r="A27" s="7" t="inlineStr">
        <is>
          <t>一级</t>
        </is>
      </c>
      <c r="B27" s="1" t="inlineStr">
        <is>
          <t>收入</t>
        </is>
      </c>
      <c r="C27" s="8" t="inlineStr">
        <is>
          <t>A02.06</t>
        </is>
      </c>
      <c r="D27" s="7" t="inlineStr">
        <is>
          <t>加：营业外净收入</t>
        </is>
      </c>
      <c r="M27" t="inlineStr">
        <is>
          <t>06</t>
        </is>
      </c>
      <c r="P27" t="inlineStr">
        <is>
          <t>SUM</t>
        </is>
      </c>
    </row>
    <row r="28">
      <c r="A28" s="7" t="inlineStr">
        <is>
          <t>一级</t>
        </is>
      </c>
      <c r="B28" s="1" t="inlineStr">
        <is>
          <t>利润</t>
        </is>
      </c>
      <c r="C28" s="8" t="inlineStr">
        <is>
          <t>A02.07</t>
        </is>
      </c>
      <c r="D28" s="7" t="inlineStr">
        <is>
          <t>分摊前利润</t>
        </is>
      </c>
      <c r="F28" t="inlineStr">
        <is>
          <t>A02.03-A02.04-A02.90+A02.06</t>
        </is>
      </c>
      <c r="H28" s="5">
        <f>H9-H10-H11+H27</f>
        <v/>
      </c>
      <c r="I28" s="5">
        <f>I9-I10-I11+I27</f>
        <v/>
      </c>
      <c r="M28" t="inlineStr">
        <is>
          <t>07</t>
        </is>
      </c>
    </row>
    <row r="29">
      <c r="A29" s="7" t="inlineStr">
        <is>
          <t>一级</t>
        </is>
      </c>
      <c r="B29" s="1" t="inlineStr">
        <is>
          <t>支出</t>
        </is>
      </c>
      <c r="C29" s="8" t="inlineStr">
        <is>
          <t>A02.08</t>
        </is>
      </c>
      <c r="D29" s="7" t="inlineStr">
        <is>
          <t>减：固定管理费</t>
        </is>
      </c>
      <c r="M29" t="inlineStr">
        <is>
          <t>08</t>
        </is>
      </c>
      <c r="P29" t="inlineStr">
        <is>
          <t>SUM</t>
        </is>
      </c>
    </row>
    <row r="30">
      <c r="A30" s="7" t="inlineStr">
        <is>
          <t>一级</t>
        </is>
      </c>
      <c r="B30" s="1" t="inlineStr">
        <is>
          <t>利润</t>
        </is>
      </c>
      <c r="C30" s="8" t="inlineStr">
        <is>
          <t>A02.09</t>
        </is>
      </c>
      <c r="D30" s="7" t="inlineStr">
        <is>
          <t>税前利润</t>
        </is>
      </c>
      <c r="F30" t="inlineStr">
        <is>
          <t>A02.07-A02.08</t>
        </is>
      </c>
      <c r="H30" s="5">
        <f>H28-H29</f>
        <v/>
      </c>
      <c r="I30" s="5">
        <f>I28-I29</f>
        <v/>
      </c>
      <c r="M30" t="inlineStr">
        <is>
          <t>09</t>
        </is>
      </c>
    </row>
    <row r="31">
      <c r="A31" s="10" t="n"/>
      <c r="B31" s="10" t="n"/>
      <c r="C31" s="10" t="n"/>
      <c r="D31" s="10" t="n"/>
    </row>
    <row r="32">
      <c r="A32" s="11" t="inlineStr">
        <is>
          <t>一级</t>
        </is>
      </c>
      <c r="B32" s="11" t="inlineStr">
        <is>
          <t>负债余额</t>
        </is>
      </c>
      <c r="C32" s="11" t="inlineStr">
        <is>
          <t>A02.12</t>
        </is>
      </c>
      <c r="D32" s="11" t="inlineStr">
        <is>
          <t>管理资产余额</t>
        </is>
      </c>
      <c r="F32" t="inlineStr">
        <is>
          <t>A02.12.01+A02.12.02+A02.12.03+A02.12.04</t>
        </is>
      </c>
      <c r="H32" s="5">
        <f>H33+H36+H37+H38</f>
        <v/>
      </c>
      <c r="I32" s="5">
        <f>I33+I36+I37+I38</f>
        <v/>
      </c>
      <c r="M32" t="inlineStr">
        <is>
          <t>12</t>
        </is>
      </c>
    </row>
    <row r="33">
      <c r="A33" s="11" t="inlineStr">
        <is>
          <t>二级</t>
        </is>
      </c>
      <c r="B33" s="11" t="inlineStr">
        <is>
          <t>负债余额</t>
        </is>
      </c>
      <c r="C33" s="11" t="inlineStr">
        <is>
          <t>A02.12.01</t>
        </is>
      </c>
      <c r="D33" s="11" t="inlineStr">
        <is>
          <t xml:space="preserve">  零钱+</t>
        </is>
      </c>
      <c r="F33" t="inlineStr">
        <is>
          <t>A02.12.01.01</t>
        </is>
      </c>
      <c r="H33" s="5">
        <f>H34+H35</f>
        <v/>
      </c>
      <c r="I33" s="5">
        <f>I34+I35</f>
        <v/>
      </c>
      <c r="M33" t="inlineStr">
        <is>
          <t>12.01</t>
        </is>
      </c>
    </row>
    <row r="34">
      <c r="A34" s="10" t="inlineStr">
        <is>
          <t>三级</t>
        </is>
      </c>
      <c r="B34" s="11" t="inlineStr">
        <is>
          <t>负债余额</t>
        </is>
      </c>
      <c r="C34" s="10" t="inlineStr">
        <is>
          <t>A02.12.01.01</t>
        </is>
      </c>
      <c r="D34" s="10" t="inlineStr">
        <is>
          <t xml:space="preserve">    经营部分</t>
        </is>
      </c>
      <c r="M34" t="inlineStr">
        <is>
          <t>12.01.01</t>
        </is>
      </c>
      <c r="P34" t="inlineStr">
        <is>
          <t>LAST</t>
        </is>
      </c>
    </row>
    <row r="35">
      <c r="A35" s="10" t="inlineStr">
        <is>
          <t>三级</t>
        </is>
      </c>
      <c r="B35" s="11" t="inlineStr">
        <is>
          <t>负债余额</t>
        </is>
      </c>
      <c r="C35" s="10" t="inlineStr">
        <is>
          <t>A02.17.01.01.04</t>
        </is>
      </c>
      <c r="D35" s="10" t="inlineStr">
        <is>
          <t xml:space="preserve">    流动性专项备付</t>
        </is>
      </c>
      <c r="F35" t="inlineStr">
        <is>
          <t>A02.17.01.01.04.01+A02.17.01.01.04.02</t>
        </is>
      </c>
    </row>
    <row r="36">
      <c r="A36" s="11" t="inlineStr">
        <is>
          <t>二级</t>
        </is>
      </c>
      <c r="B36" s="11" t="inlineStr">
        <is>
          <t>负债余额</t>
        </is>
      </c>
      <c r="C36" s="11" t="inlineStr">
        <is>
          <t>A02.12.02</t>
        </is>
      </c>
      <c r="D36" s="11" t="inlineStr">
        <is>
          <t xml:space="preserve">  零钱通</t>
        </is>
      </c>
      <c r="M36" t="inlineStr">
        <is>
          <t>12.02</t>
        </is>
      </c>
      <c r="P36" t="inlineStr">
        <is>
          <t>LAST</t>
        </is>
      </c>
    </row>
    <row r="37">
      <c r="A37" s="11" t="inlineStr">
        <is>
          <t>二级</t>
        </is>
      </c>
      <c r="B37" s="11" t="inlineStr">
        <is>
          <t>负债余额</t>
        </is>
      </c>
      <c r="C37" s="11" t="inlineStr">
        <is>
          <t>A02.12.03</t>
        </is>
      </c>
      <c r="D37" s="11" t="inlineStr">
        <is>
          <t xml:space="preserve">  商户结算便利应付款</t>
        </is>
      </c>
      <c r="M37" t="inlineStr">
        <is>
          <t>12.03</t>
        </is>
      </c>
      <c r="P37" t="inlineStr">
        <is>
          <t>LAST</t>
        </is>
      </c>
    </row>
    <row r="38">
      <c r="A38" s="11" t="inlineStr">
        <is>
          <t>二级</t>
        </is>
      </c>
      <c r="B38" s="11" t="inlineStr">
        <is>
          <t>负债余额</t>
        </is>
      </c>
      <c r="C38" s="11" t="inlineStr">
        <is>
          <t>A02.12.04</t>
        </is>
      </c>
      <c r="D38" s="11" t="inlineStr">
        <is>
          <t xml:space="preserve">  存款服务</t>
        </is>
      </c>
      <c r="M38" t="inlineStr">
        <is>
          <t>12.04</t>
        </is>
      </c>
      <c r="P38" t="inlineStr">
        <is>
          <t>LAST</t>
        </is>
      </c>
    </row>
    <row r="39">
      <c r="A39" s="11" t="inlineStr">
        <is>
          <t>一级</t>
        </is>
      </c>
      <c r="B39" s="11" t="inlineStr">
        <is>
          <t>负债日均</t>
        </is>
      </c>
      <c r="C39" s="11" t="inlineStr">
        <is>
          <t>A02.13</t>
        </is>
      </c>
      <c r="D39" s="11" t="inlineStr">
        <is>
          <t>管理资产日均</t>
        </is>
      </c>
      <c r="F39" t="inlineStr">
        <is>
          <t>A02.13.01+A02.13.02+A02.13.03+A02.13.04</t>
        </is>
      </c>
      <c r="H39" s="5">
        <f>H40+H43+H44+H45</f>
        <v/>
      </c>
      <c r="I39" s="5">
        <f>I40+I43+I44+I45</f>
        <v/>
      </c>
      <c r="M39" t="inlineStr">
        <is>
          <t>13</t>
        </is>
      </c>
    </row>
    <row r="40">
      <c r="A40" s="11" t="inlineStr">
        <is>
          <t>二级</t>
        </is>
      </c>
      <c r="B40" s="11" t="inlineStr">
        <is>
          <t>负债日均</t>
        </is>
      </c>
      <c r="C40" s="11" t="inlineStr">
        <is>
          <t>A02.13.01</t>
        </is>
      </c>
      <c r="D40" s="11" t="inlineStr">
        <is>
          <t xml:space="preserve">  零钱+</t>
        </is>
      </c>
      <c r="F40" t="inlineStr">
        <is>
          <t>A02.13.01.01+A02.13.01.02</t>
        </is>
      </c>
      <c r="H40" s="5">
        <f>H41+H42</f>
        <v/>
      </c>
      <c r="I40" s="5">
        <f>I41+I42</f>
        <v/>
      </c>
      <c r="M40" t="inlineStr">
        <is>
          <t>13.01</t>
        </is>
      </c>
    </row>
    <row r="41">
      <c r="A41" s="10" t="inlineStr">
        <is>
          <t>三级</t>
        </is>
      </c>
      <c r="B41" s="11" t="inlineStr">
        <is>
          <t>负债日均</t>
        </is>
      </c>
      <c r="C41" s="10" t="inlineStr">
        <is>
          <t>A02.13.01.01</t>
        </is>
      </c>
      <c r="D41" s="10" t="inlineStr">
        <is>
          <t xml:space="preserve">    经营部分</t>
        </is>
      </c>
      <c r="M41" t="inlineStr">
        <is>
          <t>13.01.01</t>
        </is>
      </c>
      <c r="P41" t="inlineStr">
        <is>
          <t>AVG</t>
        </is>
      </c>
    </row>
    <row r="42">
      <c r="A42" s="10" t="inlineStr">
        <is>
          <t>三级</t>
        </is>
      </c>
      <c r="B42" s="11" t="inlineStr">
        <is>
          <t>负债日均</t>
        </is>
      </c>
      <c r="C42" s="10" t="inlineStr">
        <is>
          <t>A02.13.01.02</t>
        </is>
      </c>
      <c r="D42" s="10" t="inlineStr">
        <is>
          <t xml:space="preserve">    流动性专项备付</t>
        </is>
      </c>
      <c r="M42" t="inlineStr">
        <is>
          <t>13.01.02</t>
        </is>
      </c>
      <c r="P42" t="inlineStr">
        <is>
          <t>AVG</t>
        </is>
      </c>
    </row>
    <row r="43">
      <c r="A43" s="11" t="inlineStr">
        <is>
          <t>二级</t>
        </is>
      </c>
      <c r="B43" s="11" t="inlineStr">
        <is>
          <t>负债日均</t>
        </is>
      </c>
      <c r="C43" s="11" t="inlineStr">
        <is>
          <t>A02.13.02</t>
        </is>
      </c>
      <c r="D43" s="11" t="inlineStr">
        <is>
          <t xml:space="preserve">  零钱通</t>
        </is>
      </c>
      <c r="M43" t="inlineStr">
        <is>
          <t>13.02</t>
        </is>
      </c>
      <c r="P43" t="inlineStr">
        <is>
          <t>AVG</t>
        </is>
      </c>
    </row>
    <row r="44">
      <c r="A44" s="11" t="inlineStr">
        <is>
          <t>二级</t>
        </is>
      </c>
      <c r="B44" s="11" t="inlineStr">
        <is>
          <t>负债日均</t>
        </is>
      </c>
      <c r="C44" s="11" t="inlineStr">
        <is>
          <t>A02.13.03</t>
        </is>
      </c>
      <c r="D44" s="11" t="inlineStr">
        <is>
          <t xml:space="preserve">  商户结算便利应付款</t>
        </is>
      </c>
      <c r="M44" t="inlineStr">
        <is>
          <t>13.03</t>
        </is>
      </c>
      <c r="P44" t="inlineStr">
        <is>
          <t>AVG</t>
        </is>
      </c>
    </row>
    <row r="45">
      <c r="A45" s="11" t="inlineStr">
        <is>
          <t>二级</t>
        </is>
      </c>
      <c r="B45" s="11" t="inlineStr">
        <is>
          <t>负债日均</t>
        </is>
      </c>
      <c r="C45" s="11" t="inlineStr">
        <is>
          <t>A02.13.04</t>
        </is>
      </c>
      <c r="D45" s="11" t="inlineStr">
        <is>
          <t xml:space="preserve">  存款服务</t>
        </is>
      </c>
      <c r="M45" t="inlineStr">
        <is>
          <t>13.04</t>
        </is>
      </c>
      <c r="P45" t="inlineStr">
        <is>
          <t>AVG</t>
        </is>
      </c>
    </row>
    <row r="46">
      <c r="A46" s="11" t="n"/>
      <c r="B46" s="11" t="n"/>
      <c r="C46" s="11" t="n"/>
      <c r="D46" s="11" t="n"/>
    </row>
    <row r="47">
      <c r="A47" s="7" t="inlineStr">
        <is>
          <t>一级</t>
        </is>
      </c>
      <c r="B47" s="1" t="inlineStr">
        <is>
          <t>资产余额</t>
        </is>
      </c>
      <c r="C47" s="11" t="inlineStr">
        <is>
          <t>A02.24</t>
        </is>
      </c>
      <c r="D47" s="11" t="inlineStr">
        <is>
          <t>同业资产余额</t>
        </is>
      </c>
      <c r="F47" t="inlineStr">
        <is>
          <t>A02.24.01</t>
        </is>
      </c>
      <c r="H47" s="5">
        <f>H48</f>
        <v/>
      </c>
      <c r="I47" s="5">
        <f>I48</f>
        <v/>
      </c>
      <c r="M47" t="inlineStr">
        <is>
          <t>24</t>
        </is>
      </c>
    </row>
    <row r="48">
      <c r="A48" s="1" t="inlineStr">
        <is>
          <t>二级</t>
        </is>
      </c>
      <c r="B48" s="1" t="inlineStr">
        <is>
          <t>资产余额</t>
        </is>
      </c>
      <c r="C48" s="10" t="inlineStr">
        <is>
          <t>A02.24.01</t>
        </is>
      </c>
      <c r="D48" s="10" t="inlineStr">
        <is>
          <t xml:space="preserve">  存放同业余额</t>
        </is>
      </c>
      <c r="M48" t="inlineStr">
        <is>
          <t>24.01</t>
        </is>
      </c>
      <c r="P48" t="inlineStr">
        <is>
          <t>LAST</t>
        </is>
      </c>
    </row>
    <row r="49">
      <c r="A49" s="7" t="inlineStr">
        <is>
          <t>一级</t>
        </is>
      </c>
      <c r="B49" s="1" t="inlineStr">
        <is>
          <t>资产日均</t>
        </is>
      </c>
      <c r="C49" s="11" t="inlineStr">
        <is>
          <t>A02.25</t>
        </is>
      </c>
      <c r="D49" s="11" t="inlineStr">
        <is>
          <t>同业资产日均</t>
        </is>
      </c>
      <c r="F49" t="inlineStr">
        <is>
          <t>A02.25.01</t>
        </is>
      </c>
      <c r="H49" s="5">
        <f>H50</f>
        <v/>
      </c>
      <c r="I49" s="5">
        <f>I50</f>
        <v/>
      </c>
      <c r="M49" t="inlineStr">
        <is>
          <t>25</t>
        </is>
      </c>
    </row>
    <row r="50">
      <c r="A50" s="1" t="inlineStr">
        <is>
          <t>二级</t>
        </is>
      </c>
      <c r="B50" s="1" t="inlineStr">
        <is>
          <t>资产日均</t>
        </is>
      </c>
      <c r="C50" s="10" t="inlineStr">
        <is>
          <t>A02.25.01</t>
        </is>
      </c>
      <c r="D50" s="10" t="inlineStr">
        <is>
          <t xml:space="preserve">  存放同业日均</t>
        </is>
      </c>
      <c r="M50" t="inlineStr">
        <is>
          <t>25.01</t>
        </is>
      </c>
      <c r="P50" t="inlineStr">
        <is>
          <t>AVG</t>
        </is>
      </c>
    </row>
    <row r="51">
      <c r="A51" s="7" t="inlineStr">
        <is>
          <t>一级</t>
        </is>
      </c>
      <c r="B51" s="1" t="inlineStr">
        <is>
          <t>负债余额</t>
        </is>
      </c>
      <c r="C51" s="11" t="inlineStr">
        <is>
          <t>A02.26</t>
        </is>
      </c>
      <c r="D51" s="11" t="inlineStr">
        <is>
          <t>同业负债余额</t>
        </is>
      </c>
      <c r="F51" t="inlineStr">
        <is>
          <t>A02.26.02</t>
        </is>
      </c>
      <c r="H51" s="5">
        <f>H52</f>
        <v/>
      </c>
      <c r="I51" s="5">
        <f>I52</f>
        <v/>
      </c>
      <c r="M51" t="inlineStr">
        <is>
          <t>26</t>
        </is>
      </c>
    </row>
    <row r="52">
      <c r="A52" s="1" t="inlineStr">
        <is>
          <t>二级</t>
        </is>
      </c>
      <c r="B52" s="1" t="inlineStr">
        <is>
          <t>负债余额</t>
        </is>
      </c>
      <c r="C52" s="10" t="inlineStr">
        <is>
          <t>A02.26.02</t>
        </is>
      </c>
      <c r="D52" s="10" t="inlineStr">
        <is>
          <t xml:space="preserve">  同业存放余额</t>
        </is>
      </c>
      <c r="M52" t="inlineStr">
        <is>
          <t>26.02</t>
        </is>
      </c>
      <c r="P52" t="inlineStr">
        <is>
          <t>LAST</t>
        </is>
      </c>
    </row>
    <row r="53">
      <c r="A53" s="7" t="inlineStr">
        <is>
          <t>一级</t>
        </is>
      </c>
      <c r="B53" s="1" t="inlineStr">
        <is>
          <t>负债日均</t>
        </is>
      </c>
      <c r="C53" s="11" t="inlineStr">
        <is>
          <t>A02.27</t>
        </is>
      </c>
      <c r="D53" s="11" t="inlineStr">
        <is>
          <t>同业负债日均</t>
        </is>
      </c>
      <c r="F53" t="inlineStr">
        <is>
          <t>A02.27.02</t>
        </is>
      </c>
      <c r="H53" s="5">
        <f>H54</f>
        <v/>
      </c>
      <c r="I53" s="5">
        <f>I54</f>
        <v/>
      </c>
      <c r="M53" t="inlineStr">
        <is>
          <t>27</t>
        </is>
      </c>
    </row>
    <row r="54">
      <c r="A54" s="1" t="inlineStr">
        <is>
          <t>二级</t>
        </is>
      </c>
      <c r="B54" s="1" t="inlineStr">
        <is>
          <t>负债日均</t>
        </is>
      </c>
      <c r="C54" s="10" t="inlineStr">
        <is>
          <t>A02.27.02</t>
        </is>
      </c>
      <c r="D54" s="10" t="inlineStr">
        <is>
          <t xml:space="preserve">  同业存放日均</t>
        </is>
      </c>
      <c r="M54" t="inlineStr">
        <is>
          <t>27.02</t>
        </is>
      </c>
      <c r="P54" t="inlineStr">
        <is>
          <t>AVG</t>
        </is>
      </c>
    </row>
    <row r="55">
      <c r="A55" s="11" t="n"/>
      <c r="B55" s="11" t="n"/>
      <c r="C55" s="11" t="n"/>
      <c r="D55" s="11" t="n"/>
    </row>
    <row r="56">
      <c r="A56" s="7" t="inlineStr">
        <is>
          <t>一级</t>
        </is>
      </c>
      <c r="B56" s="7" t="inlineStr">
        <is>
          <t>收入</t>
        </is>
      </c>
      <c r="C56" s="11" t="inlineStr">
        <is>
          <t>A02.14</t>
        </is>
      </c>
      <c r="D56" s="11" t="inlineStr">
        <is>
          <t>利息收入</t>
        </is>
      </c>
      <c r="F56" t="inlineStr">
        <is>
          <t>A02.14.02</t>
        </is>
      </c>
      <c r="H56" s="5">
        <f>H57</f>
        <v/>
      </c>
      <c r="I56" s="5">
        <f>I57</f>
        <v/>
      </c>
      <c r="M56" t="inlineStr">
        <is>
          <t>14</t>
        </is>
      </c>
    </row>
    <row r="57">
      <c r="A57" s="7" t="inlineStr">
        <is>
          <t>二级</t>
        </is>
      </c>
      <c r="B57" s="1" t="inlineStr">
        <is>
          <t>收入</t>
        </is>
      </c>
      <c r="C57" s="11" t="inlineStr">
        <is>
          <t>A02.14.02</t>
        </is>
      </c>
      <c r="D57" s="11" t="inlineStr">
        <is>
          <t xml:space="preserve">  金融机构往来利息收入</t>
        </is>
      </c>
      <c r="F57" t="inlineStr">
        <is>
          <t>A02.14.02.02</t>
        </is>
      </c>
      <c r="H57" s="5">
        <f>H58</f>
        <v/>
      </c>
      <c r="I57" s="5">
        <f>I58</f>
        <v/>
      </c>
      <c r="M57" t="inlineStr">
        <is>
          <t>14.02</t>
        </is>
      </c>
    </row>
    <row r="58">
      <c r="A58" s="7" t="inlineStr">
        <is>
          <t>三级</t>
        </is>
      </c>
      <c r="B58" s="1" t="inlineStr">
        <is>
          <t>收入</t>
        </is>
      </c>
      <c r="C58" s="11" t="inlineStr">
        <is>
          <t>A02.14.02.02</t>
        </is>
      </c>
      <c r="D58" s="11" t="inlineStr">
        <is>
          <t xml:space="preserve">    存放同业利息收入</t>
        </is>
      </c>
      <c r="F58" t="inlineStr">
        <is>
          <t>A02.14.02.02.01</t>
        </is>
      </c>
      <c r="I58" s="5">
        <f>I50*I59</f>
        <v/>
      </c>
      <c r="J58" s="5" t="inlineStr">
        <is>
          <t>收支月化指标</t>
        </is>
      </c>
      <c r="M58" t="inlineStr">
        <is>
          <t>14.02.02</t>
        </is>
      </c>
    </row>
    <row r="59">
      <c r="A59" s="1" t="inlineStr">
        <is>
          <t>四级</t>
        </is>
      </c>
      <c r="B59" s="1" t="inlineStr">
        <is>
          <t>其他</t>
        </is>
      </c>
      <c r="C59" s="10" t="inlineStr">
        <is>
          <t>A02.14.02.02.01</t>
        </is>
      </c>
      <c r="D59" s="10" t="inlineStr">
        <is>
          <t xml:space="preserve">      存放同业收息率</t>
        </is>
      </c>
      <c r="H59" s="5">
        <f>H58/H50</f>
        <v/>
      </c>
      <c r="J59" s="5" t="inlineStr">
        <is>
          <t>率年化指标</t>
        </is>
      </c>
      <c r="M59" t="inlineStr">
        <is>
          <t>14.02.02.01</t>
        </is>
      </c>
      <c r="P59" t="inlineStr">
        <is>
          <t>WGT</t>
        </is>
      </c>
    </row>
    <row r="60">
      <c r="C60" s="10" t="n"/>
      <c r="D60" s="10" t="n"/>
    </row>
    <row r="61">
      <c r="A61" s="7" t="inlineStr">
        <is>
          <t>一级</t>
        </is>
      </c>
      <c r="B61" s="7" t="inlineStr">
        <is>
          <t>支出</t>
        </is>
      </c>
      <c r="C61" s="11" t="inlineStr">
        <is>
          <t>A02.15</t>
        </is>
      </c>
      <c r="D61" s="11" t="inlineStr">
        <is>
          <t>FTP成本</t>
        </is>
      </c>
      <c r="F61" t="inlineStr">
        <is>
          <t>A02.15.02+A02.15.99</t>
        </is>
      </c>
      <c r="H61" s="5">
        <f>H62+H65</f>
        <v/>
      </c>
      <c r="I61" s="5">
        <f>I62+I65</f>
        <v/>
      </c>
      <c r="M61" t="inlineStr">
        <is>
          <t>15</t>
        </is>
      </c>
    </row>
    <row r="62">
      <c r="A62" s="7" t="inlineStr">
        <is>
          <t>二级</t>
        </is>
      </c>
      <c r="B62" s="7" t="inlineStr">
        <is>
          <t>支出</t>
        </is>
      </c>
      <c r="C62" s="11" t="inlineStr">
        <is>
          <t>A02.15.02</t>
        </is>
      </c>
      <c r="D62" s="11" t="inlineStr">
        <is>
          <t xml:space="preserve">  金融机构往来FTP成本</t>
        </is>
      </c>
      <c r="F62" t="inlineStr">
        <is>
          <t>A02.15.02.02</t>
        </is>
      </c>
      <c r="H62" s="5">
        <f>H63</f>
        <v/>
      </c>
      <c r="I62" s="5">
        <f>I63</f>
        <v/>
      </c>
      <c r="M62" t="inlineStr">
        <is>
          <t>15.02</t>
        </is>
      </c>
    </row>
    <row r="63">
      <c r="A63" s="1" t="inlineStr">
        <is>
          <t>三级</t>
        </is>
      </c>
      <c r="B63" s="1" t="inlineStr">
        <is>
          <t>支出</t>
        </is>
      </c>
      <c r="C63" s="10" t="inlineStr">
        <is>
          <t>A02.15.02.02</t>
        </is>
      </c>
      <c r="D63" s="10" t="inlineStr">
        <is>
          <t xml:space="preserve">    存放同业FTP成本</t>
        </is>
      </c>
      <c r="F63" t="inlineStr">
        <is>
          <t>A02.15.02.02.01</t>
        </is>
      </c>
      <c r="I63" s="5">
        <f>I50*I64</f>
        <v/>
      </c>
      <c r="J63" s="5" t="inlineStr">
        <is>
          <t>收支月化指标</t>
        </is>
      </c>
      <c r="M63" t="inlineStr">
        <is>
          <t>15.02.02</t>
        </is>
      </c>
    </row>
    <row r="64">
      <c r="A64" s="1" t="inlineStr">
        <is>
          <t>四级</t>
        </is>
      </c>
      <c r="B64" s="1" t="inlineStr">
        <is>
          <t>其他</t>
        </is>
      </c>
      <c r="C64" s="10" t="inlineStr">
        <is>
          <t>A02.15.02.02.01</t>
        </is>
      </c>
      <c r="D64" s="10" t="inlineStr">
        <is>
          <t xml:space="preserve">      存放同业FTP</t>
        </is>
      </c>
      <c r="H64" s="5">
        <f>H63/H50</f>
        <v/>
      </c>
      <c r="J64" s="5" t="inlineStr">
        <is>
          <t>率年化指标</t>
        </is>
      </c>
      <c r="M64" t="inlineStr">
        <is>
          <t>15.02.02.01</t>
        </is>
      </c>
      <c r="P64" t="inlineStr">
        <is>
          <t>WGT</t>
        </is>
      </c>
    </row>
    <row r="65">
      <c r="A65" s="12" t="inlineStr">
        <is>
          <t>二级</t>
        </is>
      </c>
      <c r="B65" s="12" t="inlineStr">
        <is>
          <t>支出</t>
        </is>
      </c>
      <c r="C65" s="11" t="inlineStr">
        <is>
          <t>A02.15.99</t>
        </is>
      </c>
      <c r="D65" s="11" t="inlineStr">
        <is>
          <t xml:space="preserve">  其他FTP成本</t>
        </is>
      </c>
      <c r="F65" t="inlineStr">
        <is>
          <t>A02.15.99.01+A02.15.99.02</t>
        </is>
      </c>
      <c r="H65" s="5">
        <f>H66+H67</f>
        <v/>
      </c>
      <c r="I65" s="5">
        <f>I66+I67</f>
        <v/>
      </c>
      <c r="M65" t="inlineStr">
        <is>
          <t>15.99</t>
        </is>
      </c>
    </row>
    <row r="66">
      <c r="A66" s="10" t="inlineStr">
        <is>
          <t>三级</t>
        </is>
      </c>
      <c r="B66" s="10" t="inlineStr">
        <is>
          <t>支出</t>
        </is>
      </c>
      <c r="C66" s="10" t="inlineStr">
        <is>
          <t>A02.15.99.01</t>
        </is>
      </c>
      <c r="D66" s="10" t="inlineStr">
        <is>
          <t xml:space="preserve">    商户结算便利服务FTP成本</t>
        </is>
      </c>
      <c r="M66" t="inlineStr">
        <is>
          <t>15.99.01</t>
        </is>
      </c>
      <c r="P66" t="inlineStr">
        <is>
          <t>SUM</t>
        </is>
      </c>
    </row>
    <row r="67">
      <c r="A67" s="10" t="inlineStr">
        <is>
          <t>三级</t>
        </is>
      </c>
      <c r="B67" s="10" t="inlineStr">
        <is>
          <t>支出</t>
        </is>
      </c>
      <c r="C67" s="10" t="inlineStr">
        <is>
          <t>A02.15.99.02</t>
        </is>
      </c>
      <c r="D67" s="10" t="inlineStr">
        <is>
          <t xml:space="preserve">    数字人民FTP成本</t>
        </is>
      </c>
      <c r="M67" t="inlineStr">
        <is>
          <t>15.99.02</t>
        </is>
      </c>
      <c r="P67" t="inlineStr">
        <is>
          <t>SUM</t>
        </is>
      </c>
    </row>
    <row r="68">
      <c r="C68" s="10" t="n"/>
      <c r="D68" s="10" t="n"/>
    </row>
    <row r="69">
      <c r="A69" s="7" t="inlineStr">
        <is>
          <t>一级</t>
        </is>
      </c>
      <c r="B69" s="7" t="inlineStr">
        <is>
          <t>支出</t>
        </is>
      </c>
      <c r="C69" s="11" t="inlineStr">
        <is>
          <t>A02.16</t>
        </is>
      </c>
      <c r="D69" s="11" t="inlineStr">
        <is>
          <t>利息支出</t>
        </is>
      </c>
      <c r="F69" t="inlineStr">
        <is>
          <t>A02.16.01+A02.16.02</t>
        </is>
      </c>
      <c r="H69" s="5">
        <f>H70+H98</f>
        <v/>
      </c>
      <c r="I69" s="5">
        <f>I70+I98</f>
        <v/>
      </c>
      <c r="M69" t="inlineStr">
        <is>
          <t>16</t>
        </is>
      </c>
    </row>
    <row r="70">
      <c r="A70" s="7" t="inlineStr">
        <is>
          <t>二级</t>
        </is>
      </c>
      <c r="B70" s="7" t="inlineStr">
        <is>
          <t>支出</t>
        </is>
      </c>
      <c r="C70" s="11" t="inlineStr">
        <is>
          <t>A02.16.01</t>
        </is>
      </c>
      <c r="D70" s="11" t="inlineStr">
        <is>
          <t xml:space="preserve">  存款利息支出</t>
        </is>
      </c>
      <c r="F70" t="inlineStr">
        <is>
          <t>A02.16.01.01+A02.16.01.02+A02.16.01.03</t>
        </is>
      </c>
      <c r="H70" s="5">
        <f>H71+H89+H93</f>
        <v/>
      </c>
      <c r="I70" s="5">
        <f>I71+I89+I93</f>
        <v/>
      </c>
      <c r="M70" t="inlineStr">
        <is>
          <t>16.01</t>
        </is>
      </c>
    </row>
    <row r="71">
      <c r="A71" s="11" t="inlineStr">
        <is>
          <t>三级</t>
        </is>
      </c>
      <c r="B71" s="11" t="inlineStr">
        <is>
          <t>支出</t>
        </is>
      </c>
      <c r="C71" s="11" t="inlineStr">
        <is>
          <t>A02.16.01.01</t>
        </is>
      </c>
      <c r="D71" s="11" t="inlineStr">
        <is>
          <t xml:space="preserve">    零钱+利息支出</t>
        </is>
      </c>
      <c r="F71" s="5" t="inlineStr">
        <is>
          <t>A02.16.01.01.01+A02.16.01.01.02+A02.16.01.01.03+A02.16.01.01.04+A02.16.01.01.05</t>
        </is>
      </c>
      <c r="H71" s="5">
        <f>H77+H83</f>
        <v/>
      </c>
      <c r="I71" s="5">
        <f>I77+I83</f>
        <v/>
      </c>
      <c r="M71" t="inlineStr">
        <is>
          <t>16.01.01</t>
        </is>
      </c>
    </row>
    <row r="72">
      <c r="A72" s="14" t="inlineStr">
        <is>
          <t>四级</t>
        </is>
      </c>
      <c r="B72" s="15" t="inlineStr">
        <is>
          <t>其他</t>
        </is>
      </c>
      <c r="C72" s="14" t="inlineStr">
        <is>
          <t>A02.16.01.01.01</t>
        </is>
      </c>
      <c r="D72" s="14" t="inlineStr">
        <is>
          <t xml:space="preserve">      零钱+付息率</t>
        </is>
      </c>
      <c r="E72" s="15" t="n"/>
      <c r="F72" s="15" t="n"/>
      <c r="G72" s="15" t="n"/>
      <c r="H72" s="15">
        <f>H71/H40</f>
        <v/>
      </c>
      <c r="I72" s="15">
        <f>I71/I40</f>
        <v/>
      </c>
      <c r="J72" s="15" t="inlineStr">
        <is>
          <t>率年化指标</t>
        </is>
      </c>
      <c r="M72" t="inlineStr">
        <is>
          <t>16.01.01.01</t>
        </is>
      </c>
      <c r="P72" t="inlineStr">
        <is>
          <t>WGT</t>
        </is>
      </c>
    </row>
    <row r="73">
      <c r="A73" s="14" t="inlineStr">
        <is>
          <t>四级</t>
        </is>
      </c>
      <c r="B73" s="14" t="inlineStr">
        <is>
          <t>支出</t>
        </is>
      </c>
      <c r="C73" s="14" t="inlineStr">
        <is>
          <t>A02.16.01.01.02</t>
        </is>
      </c>
      <c r="D73" s="14" t="inlineStr">
        <is>
          <t xml:space="preserve">      零钱+腾讯渠道费</t>
        </is>
      </c>
      <c r="E73" s="15" t="n"/>
      <c r="F73" s="15" t="inlineStr">
        <is>
          <t>A02.16.01.01.02.01</t>
        </is>
      </c>
      <c r="G73" s="15" t="n"/>
      <c r="H73" s="15">
        <f>H81+H87</f>
        <v/>
      </c>
      <c r="I73" s="15">
        <f>I81+I87</f>
        <v/>
      </c>
      <c r="J73" s="15" t="n"/>
      <c r="M73" t="inlineStr">
        <is>
          <t>16.01.01.02</t>
        </is>
      </c>
    </row>
    <row r="74">
      <c r="A74" s="10" t="inlineStr">
        <is>
          <t>五级</t>
        </is>
      </c>
      <c r="B74" s="5" t="inlineStr">
        <is>
          <t>其他</t>
        </is>
      </c>
      <c r="C74" s="10" t="inlineStr">
        <is>
          <t>A02.16.01.01.02.01</t>
        </is>
      </c>
      <c r="D74" s="10" t="inlineStr">
        <is>
          <t xml:space="preserve">        零钱+腾讯渠道费率</t>
        </is>
      </c>
      <c r="H74" s="5">
        <f>H73/H40</f>
        <v/>
      </c>
      <c r="I74" s="5">
        <f>I73/I40</f>
        <v/>
      </c>
      <c r="J74" s="5" t="inlineStr">
        <is>
          <t>率年化指标</t>
        </is>
      </c>
      <c r="M74" t="inlineStr">
        <is>
          <t>16.01.01.02.01</t>
        </is>
      </c>
      <c r="P74" t="inlineStr">
        <is>
          <t>WGT</t>
        </is>
      </c>
    </row>
    <row r="75">
      <c r="A75" s="14" t="inlineStr">
        <is>
          <t>四级</t>
        </is>
      </c>
      <c r="B75" s="14" t="inlineStr">
        <is>
          <t>支出</t>
        </is>
      </c>
      <c r="C75" s="14" t="inlineStr">
        <is>
          <t>A02.16.01.01.03</t>
        </is>
      </c>
      <c r="D75" s="14" t="inlineStr">
        <is>
          <t xml:space="preserve">      零钱+对客利息支出</t>
        </is>
      </c>
      <c r="E75" s="15" t="n"/>
      <c r="F75" s="15" t="inlineStr">
        <is>
          <t>A02.16.01.01.03.01</t>
        </is>
      </c>
      <c r="G75" s="15" t="n"/>
      <c r="H75" s="15">
        <f>H79+H85</f>
        <v/>
      </c>
      <c r="I75" s="15">
        <f>I79+I85</f>
        <v/>
      </c>
      <c r="J75" s="15" t="n"/>
      <c r="M75" t="inlineStr">
        <is>
          <t>16.01.01.03</t>
        </is>
      </c>
    </row>
    <row r="76">
      <c r="A76" s="10" t="inlineStr">
        <is>
          <t>五级</t>
        </is>
      </c>
      <c r="B76" s="5" t="inlineStr">
        <is>
          <t>其他</t>
        </is>
      </c>
      <c r="C76" s="10" t="inlineStr">
        <is>
          <t>A02.16.01.01.03.01</t>
        </is>
      </c>
      <c r="D76" s="10" t="inlineStr">
        <is>
          <t xml:space="preserve">        零钱+对客付息率</t>
        </is>
      </c>
      <c r="H76" s="5">
        <f>H75/H40</f>
        <v/>
      </c>
      <c r="I76" s="5">
        <f>I75/I40</f>
        <v/>
      </c>
      <c r="J76" s="5" t="inlineStr">
        <is>
          <t>率年化指标</t>
        </is>
      </c>
      <c r="M76" t="inlineStr">
        <is>
          <t>16.01.01.03.01</t>
        </is>
      </c>
      <c r="P76" t="inlineStr">
        <is>
          <t>WGT</t>
        </is>
      </c>
    </row>
    <row r="77">
      <c r="A77" s="14" t="inlineStr">
        <is>
          <t>四级</t>
        </is>
      </c>
      <c r="B77" s="14" t="inlineStr">
        <is>
          <t>支出</t>
        </is>
      </c>
      <c r="C77" s="14" t="inlineStr">
        <is>
          <t>A02.16.01.01.04</t>
        </is>
      </c>
      <c r="D77" s="14" t="inlineStr">
        <is>
          <t xml:space="preserve">      经营部分利息支出</t>
        </is>
      </c>
      <c r="E77" s="15" t="n"/>
      <c r="F77" s="15" t="inlineStr">
        <is>
          <t>A02.16.01.01.04.01+A02.16.01.01.04.02+A02.16.01.01.04.03+A02.16.01.01.04.04+A02.16.01.01.04.05</t>
        </is>
      </c>
      <c r="G77" s="15" t="n"/>
      <c r="H77" s="15" t="n"/>
      <c r="I77" s="15">
        <f>I79+I81</f>
        <v/>
      </c>
      <c r="J77" s="15" t="n"/>
      <c r="M77" t="inlineStr">
        <is>
          <t>16.01.01.04</t>
        </is>
      </c>
    </row>
    <row r="78">
      <c r="A78" s="10" t="inlineStr">
        <is>
          <t>五级</t>
        </is>
      </c>
      <c r="B78" s="5" t="inlineStr">
        <is>
          <t>其他</t>
        </is>
      </c>
      <c r="C78" s="10" t="inlineStr">
        <is>
          <t>A02.16.01.01.04.01</t>
        </is>
      </c>
      <c r="D78" s="10" t="inlineStr">
        <is>
          <t xml:space="preserve">        经营部分付息率</t>
        </is>
      </c>
      <c r="H78" s="5">
        <f>H77/H41</f>
        <v/>
      </c>
      <c r="I78" s="5">
        <f>I77/I41</f>
        <v/>
      </c>
      <c r="J78" s="5" t="inlineStr">
        <is>
          <t>率年化指标</t>
        </is>
      </c>
      <c r="M78" t="inlineStr">
        <is>
          <t>16.01.01.04.01</t>
        </is>
      </c>
      <c r="P78" t="inlineStr">
        <is>
          <t>WGT</t>
        </is>
      </c>
    </row>
    <row r="79">
      <c r="A79" s="10" t="inlineStr">
        <is>
          <t>五级</t>
        </is>
      </c>
      <c r="B79" s="10" t="inlineStr">
        <is>
          <t>支出</t>
        </is>
      </c>
      <c r="C79" s="10" t="inlineStr">
        <is>
          <t>A02.16.01.01.04.02</t>
        </is>
      </c>
      <c r="D79" s="10" t="inlineStr">
        <is>
          <t xml:space="preserve">        经营部分对客利息支出</t>
        </is>
      </c>
      <c r="H79" s="5">
        <f>H77-H81</f>
        <v/>
      </c>
      <c r="I79" s="5">
        <f>I41*I80</f>
        <v/>
      </c>
      <c r="J79" s="5" t="inlineStr">
        <is>
          <t>收支月化指标（仅预测月）</t>
        </is>
      </c>
      <c r="M79" t="inlineStr">
        <is>
          <t>16.01.01.04.02</t>
        </is>
      </c>
      <c r="P79" t="inlineStr">
        <is>
          <t>SUM</t>
        </is>
      </c>
    </row>
    <row r="80">
      <c r="A80" s="10" t="inlineStr">
        <is>
          <t>五级</t>
        </is>
      </c>
      <c r="B80" s="5" t="inlineStr">
        <is>
          <t>其他</t>
        </is>
      </c>
      <c r="C80" s="10" t="inlineStr">
        <is>
          <t>A02.16.01.01.04.03</t>
        </is>
      </c>
      <c r="D80" s="10" t="inlineStr">
        <is>
          <t xml:space="preserve">        经营部分对客付息率</t>
        </is>
      </c>
      <c r="H80" s="5">
        <f>H79/H41</f>
        <v/>
      </c>
      <c r="I80" s="5">
        <f t="array" ref="I80">I150*DAYS_YEAR()/360</f>
        <v/>
      </c>
      <c r="J80" s="5" t="inlineStr">
        <is>
          <t>率年化指标（仅实际月）</t>
        </is>
      </c>
      <c r="M80" t="inlineStr">
        <is>
          <t>16.01.01.04.03</t>
        </is>
      </c>
      <c r="P80" t="inlineStr">
        <is>
          <t>WGT</t>
        </is>
      </c>
    </row>
    <row r="81">
      <c r="A81" s="10" t="inlineStr">
        <is>
          <t>五级</t>
        </is>
      </c>
      <c r="B81" s="10" t="inlineStr">
        <is>
          <t>支出</t>
        </is>
      </c>
      <c r="C81" s="10" t="inlineStr">
        <is>
          <t>A02.16.01.01.04.04</t>
        </is>
      </c>
      <c r="D81" s="10" t="inlineStr">
        <is>
          <t xml:space="preserve">        经营部分腾讯渠道费</t>
        </is>
      </c>
      <c r="I81" s="5">
        <f>I41*I82</f>
        <v/>
      </c>
      <c r="J81" s="5" t="inlineStr">
        <is>
          <t>收支月化指标</t>
        </is>
      </c>
      <c r="M81" t="inlineStr">
        <is>
          <t>16.01.01.04.04</t>
        </is>
      </c>
      <c r="P81" t="inlineStr">
        <is>
          <t>SUM</t>
        </is>
      </c>
    </row>
    <row r="82">
      <c r="A82" s="10" t="inlineStr">
        <is>
          <t>五级</t>
        </is>
      </c>
      <c r="B82" s="5" t="inlineStr">
        <is>
          <t>其他</t>
        </is>
      </c>
      <c r="C82" s="10" t="inlineStr">
        <is>
          <t>A02.16.01.01.04.05</t>
        </is>
      </c>
      <c r="D82" s="10" t="inlineStr">
        <is>
          <t xml:space="preserve">        经营部分腾讯渠道费率</t>
        </is>
      </c>
      <c r="H82" s="5">
        <f>H81/H41</f>
        <v/>
      </c>
      <c r="I82" s="5">
        <f t="array" ref="I82">(I151*DAYS_YEAR()/360*I144+I152*DAYS_YEAR()/360*0.05+I142*MAX(0,MIN(1-I144-0.05,I143))+I145*MAX(0,1-I144-5%-I143)-I80)*0.85</f>
        <v/>
      </c>
      <c r="J82" s="5" t="inlineStr">
        <is>
          <t>率年化指标（仅实际月）</t>
        </is>
      </c>
      <c r="M82" t="inlineStr">
        <is>
          <t>16.01.01.04.05</t>
        </is>
      </c>
      <c r="P82" t="inlineStr">
        <is>
          <t>WGT</t>
        </is>
      </c>
    </row>
    <row r="83">
      <c r="A83" s="14" t="inlineStr">
        <is>
          <t>四级</t>
        </is>
      </c>
      <c r="B83" s="14" t="inlineStr">
        <is>
          <t>支出</t>
        </is>
      </c>
      <c r="C83" s="14" t="inlineStr">
        <is>
          <t>A02.16.01.01.05</t>
        </is>
      </c>
      <c r="D83" s="14" t="inlineStr">
        <is>
          <t xml:space="preserve">      流动性专项备付利息支出</t>
        </is>
      </c>
      <c r="E83" s="15" t="n"/>
      <c r="F83" s="15" t="inlineStr">
        <is>
          <t>A02.16.01.01.05.01+A02.16.01.01.05.02+A02.16.01.01.05.03+A02.16.01.01.05.04+A02.16.01.01.05.05</t>
        </is>
      </c>
      <c r="G83" s="15" t="n"/>
      <c r="H83" s="15" t="n"/>
      <c r="I83" s="15">
        <f>I85+I87</f>
        <v/>
      </c>
      <c r="J83" s="15" t="n"/>
      <c r="M83" t="inlineStr">
        <is>
          <t>16.01.01.05</t>
        </is>
      </c>
    </row>
    <row r="84">
      <c r="A84" s="10" t="inlineStr">
        <is>
          <t>五级</t>
        </is>
      </c>
      <c r="B84" s="5" t="inlineStr">
        <is>
          <t>其他</t>
        </is>
      </c>
      <c r="C84" s="10" t="inlineStr">
        <is>
          <t>A02.16.01.01.05.01</t>
        </is>
      </c>
      <c r="D84" s="10" t="inlineStr">
        <is>
          <t xml:space="preserve">        专项备付付息率</t>
        </is>
      </c>
      <c r="H84" s="5">
        <f>H83/H42</f>
        <v/>
      </c>
      <c r="I84" s="5">
        <f>I83/I42</f>
        <v/>
      </c>
      <c r="J84" s="5" t="inlineStr">
        <is>
          <t>率年化指标</t>
        </is>
      </c>
      <c r="M84" t="inlineStr">
        <is>
          <t>16.01.01.05.01</t>
        </is>
      </c>
      <c r="P84" t="inlineStr">
        <is>
          <t>WGT</t>
        </is>
      </c>
    </row>
    <row r="85">
      <c r="A85" s="10" t="inlineStr">
        <is>
          <t>五级</t>
        </is>
      </c>
      <c r="B85" s="10" t="inlineStr">
        <is>
          <t>支出</t>
        </is>
      </c>
      <c r="C85" s="10" t="inlineStr">
        <is>
          <t>A02.16.01.01.05.02</t>
        </is>
      </c>
      <c r="D85" s="10" t="inlineStr">
        <is>
          <t xml:space="preserve">        专项备付对客利息支出</t>
        </is>
      </c>
      <c r="H85" s="5">
        <f>H83-H87</f>
        <v/>
      </c>
      <c r="I85" s="5">
        <f>I42*I86</f>
        <v/>
      </c>
      <c r="J85" s="5" t="inlineStr">
        <is>
          <t>收支月化指标（仅预测月）</t>
        </is>
      </c>
      <c r="M85" t="inlineStr">
        <is>
          <t>16.01.01.05.02</t>
        </is>
      </c>
      <c r="P85" t="inlineStr">
        <is>
          <t>SUM</t>
        </is>
      </c>
    </row>
    <row r="86">
      <c r="A86" s="10" t="inlineStr">
        <is>
          <t>五级</t>
        </is>
      </c>
      <c r="B86" s="5" t="inlineStr">
        <is>
          <t>其他</t>
        </is>
      </c>
      <c r="C86" s="10" t="inlineStr">
        <is>
          <t>A02.16.01.01.05.03</t>
        </is>
      </c>
      <c r="D86" s="10" t="inlineStr">
        <is>
          <t xml:space="preserve">        专项备付对客付息率</t>
        </is>
      </c>
      <c r="H86" s="5">
        <f>H85/H42</f>
        <v/>
      </c>
      <c r="I86" s="5">
        <f t="array" ref="I86">I150*DAYS_YEAR()/360</f>
        <v/>
      </c>
      <c r="J86" s="5" t="inlineStr">
        <is>
          <t>率年化指标（仅实际月）</t>
        </is>
      </c>
      <c r="M86" t="inlineStr">
        <is>
          <t>16.01.01.05.03</t>
        </is>
      </c>
      <c r="P86" t="inlineStr">
        <is>
          <t>WGT</t>
        </is>
      </c>
    </row>
    <row r="87">
      <c r="A87" s="10" t="inlineStr">
        <is>
          <t>五级</t>
        </is>
      </c>
      <c r="B87" s="10" t="inlineStr">
        <is>
          <t>支出</t>
        </is>
      </c>
      <c r="C87" s="10" t="inlineStr">
        <is>
          <t>A02.16.01.01.05.04</t>
        </is>
      </c>
      <c r="D87" s="10" t="inlineStr">
        <is>
          <t xml:space="preserve">        专项备付腾讯渠道费</t>
        </is>
      </c>
      <c r="I87" s="5">
        <f>I42*I88</f>
        <v/>
      </c>
      <c r="J87" s="5" t="inlineStr">
        <is>
          <t>收支月化指标</t>
        </is>
      </c>
      <c r="M87" t="inlineStr">
        <is>
          <t>16.01.01.05.04</t>
        </is>
      </c>
      <c r="P87" t="inlineStr">
        <is>
          <t>SUM</t>
        </is>
      </c>
    </row>
    <row r="88">
      <c r="A88" s="10" t="inlineStr">
        <is>
          <t>五级</t>
        </is>
      </c>
      <c r="B88" s="5" t="inlineStr">
        <is>
          <t>其他</t>
        </is>
      </c>
      <c r="C88" s="10" t="inlineStr">
        <is>
          <t>A02.16.01.01.05.05</t>
        </is>
      </c>
      <c r="D88" s="10" t="inlineStr">
        <is>
          <t xml:space="preserve">        专项备付腾讯渠道费率</t>
        </is>
      </c>
      <c r="H88" s="5">
        <f>H87/H42</f>
        <v/>
      </c>
      <c r="I88" s="5">
        <f t="array" ref="I88">(I151*DAYS_YEAR()/360*I144+I152*DAYS_YEAR()/360*(1-I144-I148)+I149*I148-I86)*0.85</f>
        <v/>
      </c>
      <c r="J88" s="5" t="inlineStr">
        <is>
          <t>率年化指标（仅实际月）</t>
        </is>
      </c>
      <c r="M88" t="inlineStr">
        <is>
          <t>16.01.01.05.05</t>
        </is>
      </c>
      <c r="P88" t="inlineStr">
        <is>
          <t>WGT</t>
        </is>
      </c>
    </row>
    <row r="89">
      <c r="A89" s="11" t="inlineStr">
        <is>
          <t>三级</t>
        </is>
      </c>
      <c r="B89" s="11" t="inlineStr">
        <is>
          <t>支出</t>
        </is>
      </c>
      <c r="C89" s="11" t="inlineStr">
        <is>
          <t>A02.16.01.02</t>
        </is>
      </c>
      <c r="D89" s="11" t="inlineStr">
        <is>
          <t xml:space="preserve">    WE卡存款利息支出</t>
        </is>
      </c>
      <c r="F89" t="inlineStr">
        <is>
          <t>A02.16.01.02.01+A02.16.01.02.02+A02.16.01.02.03</t>
        </is>
      </c>
      <c r="I89" s="5">
        <f>I91*I92</f>
        <v/>
      </c>
      <c r="J89" s="5" t="inlineStr">
        <is>
          <t>收支月化指标</t>
        </is>
      </c>
      <c r="M89" t="inlineStr">
        <is>
          <t>16.01.02</t>
        </is>
      </c>
    </row>
    <row r="90">
      <c r="A90" s="5" t="inlineStr">
        <is>
          <t>四级</t>
        </is>
      </c>
      <c r="B90" s="5" t="inlineStr">
        <is>
          <t>负债余额</t>
        </is>
      </c>
      <c r="C90" s="10" t="inlineStr">
        <is>
          <t>A02.16.01.02.01</t>
        </is>
      </c>
      <c r="D90" s="10" t="inlineStr">
        <is>
          <t xml:space="preserve">      WE卡存款余额</t>
        </is>
      </c>
      <c r="M90" t="inlineStr">
        <is>
          <t>16.01.02.01</t>
        </is>
      </c>
      <c r="P90" t="inlineStr">
        <is>
          <t>LAST</t>
        </is>
      </c>
    </row>
    <row r="91">
      <c r="A91" s="5" t="inlineStr">
        <is>
          <t>四级</t>
        </is>
      </c>
      <c r="B91" s="5" t="inlineStr">
        <is>
          <t>负债日均</t>
        </is>
      </c>
      <c r="C91" s="10" t="inlineStr">
        <is>
          <t>A02.16.01.02.02</t>
        </is>
      </c>
      <c r="D91" s="10" t="inlineStr">
        <is>
          <t xml:space="preserve">      WE卡存款日均</t>
        </is>
      </c>
      <c r="M91" t="inlineStr">
        <is>
          <t>16.01.02.02</t>
        </is>
      </c>
      <c r="P91" t="inlineStr">
        <is>
          <t>AVG</t>
        </is>
      </c>
    </row>
    <row r="92">
      <c r="A92" s="5" t="inlineStr">
        <is>
          <t>四级</t>
        </is>
      </c>
      <c r="B92" s="5" t="inlineStr">
        <is>
          <t>其他</t>
        </is>
      </c>
      <c r="C92" s="10" t="inlineStr">
        <is>
          <t>A02.16.01.02.03</t>
        </is>
      </c>
      <c r="D92" s="10" t="inlineStr">
        <is>
          <t xml:space="preserve">      WE卡存款付息率</t>
        </is>
      </c>
      <c r="H92" s="5">
        <f>H89/H91</f>
        <v/>
      </c>
      <c r="J92" s="5" t="inlineStr">
        <is>
          <t>率年化指标</t>
        </is>
      </c>
      <c r="M92" t="inlineStr">
        <is>
          <t>16.01.02.03</t>
        </is>
      </c>
      <c r="P92" t="inlineStr">
        <is>
          <t>WGT</t>
        </is>
      </c>
    </row>
    <row r="93">
      <c r="A93" s="11" t="inlineStr">
        <is>
          <t>三级</t>
        </is>
      </c>
      <c r="B93" s="11" t="inlineStr">
        <is>
          <t>支出</t>
        </is>
      </c>
      <c r="C93" s="11" t="inlineStr">
        <is>
          <t>A02.16.01.03</t>
        </is>
      </c>
      <c r="D93" s="11" t="inlineStr">
        <is>
          <t xml:space="preserve">    数字人民币存款利息支出</t>
        </is>
      </c>
      <c r="F93" t="inlineStr">
        <is>
          <t>A02.16.01.03.01+A02.16.01.03.02+A02.16.01.03.03</t>
        </is>
      </c>
      <c r="I93" s="5">
        <f>I95*I96</f>
        <v/>
      </c>
      <c r="J93" s="5" t="inlineStr">
        <is>
          <t>收支月化指标</t>
        </is>
      </c>
      <c r="M93" t="inlineStr">
        <is>
          <t>16.01.03</t>
        </is>
      </c>
    </row>
    <row r="94">
      <c r="A94" s="5" t="inlineStr">
        <is>
          <t>四级</t>
        </is>
      </c>
      <c r="B94" s="5" t="inlineStr">
        <is>
          <t>负债余额</t>
        </is>
      </c>
      <c r="C94" s="10" t="inlineStr">
        <is>
          <t>A02.16.01.03.01</t>
        </is>
      </c>
      <c r="D94" s="10" t="inlineStr">
        <is>
          <t xml:space="preserve">      数字人民存款币余额</t>
        </is>
      </c>
      <c r="M94" t="inlineStr">
        <is>
          <t>16.01.03.01</t>
        </is>
      </c>
      <c r="P94" t="inlineStr">
        <is>
          <t>LAST</t>
        </is>
      </c>
    </row>
    <row r="95">
      <c r="A95" s="5" t="inlineStr">
        <is>
          <t>四级</t>
        </is>
      </c>
      <c r="B95" s="5" t="inlineStr">
        <is>
          <t>负债日均</t>
        </is>
      </c>
      <c r="C95" s="10" t="inlineStr">
        <is>
          <t>A02.16.01.03.02</t>
        </is>
      </c>
      <c r="D95" s="10" t="inlineStr">
        <is>
          <t xml:space="preserve">      数字人民币存款日均</t>
        </is>
      </c>
      <c r="M95" t="inlineStr">
        <is>
          <t>16.01.03.02</t>
        </is>
      </c>
      <c r="P95" t="inlineStr">
        <is>
          <t>AVG</t>
        </is>
      </c>
    </row>
    <row r="96">
      <c r="A96" s="5" t="inlineStr">
        <is>
          <t>四级</t>
        </is>
      </c>
      <c r="B96" s="5" t="inlineStr">
        <is>
          <t>其他</t>
        </is>
      </c>
      <c r="C96" s="10" t="inlineStr">
        <is>
          <t>A02.16.01.03.03</t>
        </is>
      </c>
      <c r="D96" s="10" t="inlineStr">
        <is>
          <t xml:space="preserve">      数字人民币存款付息率</t>
        </is>
      </c>
      <c r="H96" s="5">
        <f>H93/H95</f>
        <v/>
      </c>
      <c r="J96" s="5" t="inlineStr">
        <is>
          <t>率年化指标</t>
        </is>
      </c>
      <c r="M96" t="inlineStr">
        <is>
          <t>16.01.03.03</t>
        </is>
      </c>
      <c r="P96" t="inlineStr">
        <is>
          <t>WGT</t>
        </is>
      </c>
    </row>
    <row r="97">
      <c r="A97" s="10" t="n"/>
      <c r="B97" s="10" t="n"/>
      <c r="C97" s="10" t="n"/>
      <c r="D97" s="10" t="n"/>
    </row>
    <row r="98">
      <c r="A98" s="7" t="inlineStr">
        <is>
          <t>二级</t>
        </is>
      </c>
      <c r="B98" s="7" t="inlineStr">
        <is>
          <t>支出</t>
        </is>
      </c>
      <c r="C98" s="11" t="inlineStr">
        <is>
          <t>A02.16.02</t>
        </is>
      </c>
      <c r="D98" s="11" t="inlineStr">
        <is>
          <t>金融机构往来利息支出</t>
        </is>
      </c>
      <c r="E98" s="12" t="n"/>
      <c r="F98" s="12" t="inlineStr">
        <is>
          <t>A02.16.02.02</t>
        </is>
      </c>
      <c r="G98" s="12" t="n"/>
      <c r="H98" s="12">
        <f>H99</f>
        <v/>
      </c>
      <c r="I98" s="12">
        <f>I99</f>
        <v/>
      </c>
      <c r="J98" s="12" t="n"/>
      <c r="M98" t="inlineStr">
        <is>
          <t>16.02</t>
        </is>
      </c>
    </row>
    <row r="99">
      <c r="A99" s="1" t="inlineStr">
        <is>
          <t>三级</t>
        </is>
      </c>
      <c r="B99" s="1" t="inlineStr">
        <is>
          <t>支出</t>
        </is>
      </c>
      <c r="C99" s="10" t="inlineStr">
        <is>
          <t>A02.16.02.02</t>
        </is>
      </c>
      <c r="D99" s="10" t="inlineStr">
        <is>
          <t xml:space="preserve">  同业存放利息支出</t>
        </is>
      </c>
      <c r="F99" t="inlineStr">
        <is>
          <t>A02.16.02.02.01</t>
        </is>
      </c>
      <c r="I99" s="5">
        <f>I54*I100</f>
        <v/>
      </c>
      <c r="J99" s="5" t="inlineStr">
        <is>
          <t>收支月化指标</t>
        </is>
      </c>
      <c r="M99" t="inlineStr">
        <is>
          <t>16.02.02</t>
        </is>
      </c>
    </row>
    <row r="100">
      <c r="A100" s="1" t="inlineStr">
        <is>
          <t>四级</t>
        </is>
      </c>
      <c r="B100" s="1" t="inlineStr">
        <is>
          <t>其他</t>
        </is>
      </c>
      <c r="C100" s="10" t="inlineStr">
        <is>
          <t>A02.16.02.02.01</t>
        </is>
      </c>
      <c r="D100" s="10" t="inlineStr">
        <is>
          <t xml:space="preserve">    同业存放付息率</t>
        </is>
      </c>
      <c r="H100" s="5">
        <f>H99/H54</f>
        <v/>
      </c>
      <c r="J100" s="5" t="inlineStr">
        <is>
          <t>率年化指标</t>
        </is>
      </c>
      <c r="M100" t="inlineStr">
        <is>
          <t>16.02.02.01</t>
        </is>
      </c>
      <c r="P100" t="inlineStr">
        <is>
          <t>WGT</t>
        </is>
      </c>
    </row>
    <row r="101">
      <c r="C101" s="10" t="n"/>
      <c r="D101" s="10" t="n"/>
    </row>
    <row r="102">
      <c r="A102" s="7" t="inlineStr">
        <is>
          <t>一级</t>
        </is>
      </c>
      <c r="B102" s="7" t="inlineStr">
        <is>
          <t>收入</t>
        </is>
      </c>
      <c r="C102" s="11" t="inlineStr">
        <is>
          <t>A02.17</t>
        </is>
      </c>
      <c r="D102" s="11" t="inlineStr">
        <is>
          <t>FTP收入</t>
        </is>
      </c>
      <c r="F102" t="inlineStr">
        <is>
          <t>A02.17.01+A02.17.02+A02.17.99</t>
        </is>
      </c>
      <c r="H102" s="5">
        <f>H103+H117+H120</f>
        <v/>
      </c>
      <c r="I102" s="5">
        <f>I103+I117+I120</f>
        <v/>
      </c>
    </row>
    <row r="103">
      <c r="A103" s="7" t="inlineStr">
        <is>
          <t>二级</t>
        </is>
      </c>
      <c r="B103" s="7" t="inlineStr">
        <is>
          <t>收入</t>
        </is>
      </c>
      <c r="C103" s="11" t="inlineStr">
        <is>
          <t>A02.17.01</t>
        </is>
      </c>
      <c r="D103" s="11" t="inlineStr">
        <is>
          <t xml:space="preserve">  存款FTP收入</t>
        </is>
      </c>
      <c r="E103" s="12" t="n"/>
      <c r="F103" s="12" t="inlineStr">
        <is>
          <t>A02.17.01.01+A02.17.01.02+A02.17.01.03</t>
        </is>
      </c>
      <c r="G103" s="12" t="n"/>
      <c r="H103" s="12">
        <f>H104+H113+H115</f>
        <v/>
      </c>
      <c r="I103" s="12">
        <f>I104+I113+I115</f>
        <v/>
      </c>
      <c r="J103" s="12" t="n"/>
    </row>
    <row r="104">
      <c r="A104" s="1" t="inlineStr">
        <is>
          <t>三级</t>
        </is>
      </c>
      <c r="B104" s="1" t="inlineStr">
        <is>
          <t>收入</t>
        </is>
      </c>
      <c r="C104" s="10" t="inlineStr">
        <is>
          <t>A02.17.01.01</t>
        </is>
      </c>
      <c r="D104" s="10" t="inlineStr">
        <is>
          <t xml:space="preserve">    零钱+FTP收入</t>
        </is>
      </c>
      <c r="F104" t="inlineStr">
        <is>
          <t>A02.17.01.01.01+A02.17.01.01.02+A02.17.01.01.03+A02.17.01.01.04</t>
        </is>
      </c>
      <c r="H104" s="5">
        <f>H107+H110</f>
        <v/>
      </c>
      <c r="I104" s="5">
        <f>I107+I110</f>
        <v/>
      </c>
    </row>
    <row r="105">
      <c r="A105" s="13" t="inlineStr">
        <is>
          <t>四级</t>
        </is>
      </c>
      <c r="B105" s="13" t="inlineStr">
        <is>
          <t>其他</t>
        </is>
      </c>
      <c r="C105" s="14" t="inlineStr">
        <is>
          <t>A02.17.01.01.01</t>
        </is>
      </c>
      <c r="D105" s="14" t="inlineStr">
        <is>
          <t xml:space="preserve">      零钱+FTP</t>
        </is>
      </c>
      <c r="E105" s="15" t="n"/>
      <c r="F105" s="15" t="n"/>
      <c r="G105" s="15" t="n"/>
      <c r="H105" s="15">
        <f>H104/H40</f>
        <v/>
      </c>
      <c r="I105" s="15">
        <f>I104/I40</f>
        <v/>
      </c>
      <c r="J105" s="15" t="inlineStr">
        <is>
          <t>率年化指标</t>
        </is>
      </c>
      <c r="P105" t="inlineStr">
        <is>
          <t>WGT</t>
        </is>
      </c>
    </row>
    <row r="106">
      <c r="A106" s="13" t="inlineStr">
        <is>
          <t>四级</t>
        </is>
      </c>
      <c r="B106" s="13" t="inlineStr">
        <is>
          <t>其他</t>
        </is>
      </c>
      <c r="C106" s="14" t="inlineStr">
        <is>
          <t>A02.17.01.01.02</t>
        </is>
      </c>
      <c r="D106" s="14" t="inlineStr">
        <is>
          <t xml:space="preserve">      零钱+FTP点差</t>
        </is>
      </c>
      <c r="E106" s="15" t="n"/>
      <c r="F106" s="15" t="n"/>
      <c r="G106" s="15" t="n"/>
      <c r="H106" s="15">
        <f>H105-H72</f>
        <v/>
      </c>
      <c r="I106" s="15">
        <f>I105-I72</f>
        <v/>
      </c>
      <c r="J106" s="15" t="n"/>
      <c r="P106" t="inlineStr">
        <is>
          <t>WGT</t>
        </is>
      </c>
    </row>
    <row r="107">
      <c r="A107" s="13" t="inlineStr">
        <is>
          <t>四级</t>
        </is>
      </c>
      <c r="B107" s="13" t="inlineStr">
        <is>
          <t>收入</t>
        </is>
      </c>
      <c r="C107" s="14" t="inlineStr">
        <is>
          <t>A02.17.01.01.03</t>
        </is>
      </c>
      <c r="D107" s="14" t="inlineStr">
        <is>
          <t xml:space="preserve">      经营部分FTP收入</t>
        </is>
      </c>
      <c r="E107" s="15" t="n"/>
      <c r="F107" s="15" t="inlineStr">
        <is>
          <t>A02.17.01.01.03.01+A02.17.01.01.03.02</t>
        </is>
      </c>
      <c r="G107" s="15" t="n"/>
      <c r="H107" s="15" t="n"/>
      <c r="I107" s="15">
        <f>I41*I108</f>
        <v/>
      </c>
      <c r="J107" s="15" t="inlineStr">
        <is>
          <t>收支月化指标</t>
        </is>
      </c>
    </row>
    <row r="108">
      <c r="A108" s="1" t="inlineStr">
        <is>
          <t>五级</t>
        </is>
      </c>
      <c r="B108" s="1" t="inlineStr">
        <is>
          <t>其他</t>
        </is>
      </c>
      <c r="C108" s="10" t="inlineStr">
        <is>
          <t>A02.17.01.01.03.01</t>
        </is>
      </c>
      <c r="D108" s="10" t="inlineStr">
        <is>
          <t xml:space="preserve">        经营部分FTP</t>
        </is>
      </c>
      <c r="H108" s="5">
        <f>H107/H41</f>
        <v/>
      </c>
      <c r="I108" s="5">
        <f>I78+I109</f>
        <v/>
      </c>
      <c r="J108" s="5" t="inlineStr">
        <is>
          <t>率年化指标（仅实际月）</t>
        </is>
      </c>
      <c r="P108" t="inlineStr">
        <is>
          <t>WGT</t>
        </is>
      </c>
    </row>
    <row r="109">
      <c r="A109" s="1" t="inlineStr">
        <is>
          <t>五级</t>
        </is>
      </c>
      <c r="B109" s="1" t="inlineStr">
        <is>
          <t>其他</t>
        </is>
      </c>
      <c r="C109" s="10" t="inlineStr">
        <is>
          <t>A02.17.01.01.03.02</t>
        </is>
      </c>
      <c r="D109" s="10" t="inlineStr">
        <is>
          <t xml:space="preserve">        经营部分FTP点差</t>
        </is>
      </c>
      <c r="H109" s="5">
        <f>H108-H78</f>
        <v/>
      </c>
      <c r="P109" t="inlineStr">
        <is>
          <t>WGT</t>
        </is>
      </c>
    </row>
    <row r="110">
      <c r="A110" s="13" t="n"/>
      <c r="B110" s="13" t="n"/>
      <c r="C110" s="14" t="n"/>
      <c r="D110" s="14" t="n"/>
      <c r="E110" s="15" t="n"/>
      <c r="F110" s="15" t="n"/>
      <c r="G110" s="15" t="n"/>
      <c r="H110" s="15" t="n"/>
      <c r="I110" s="15" t="n"/>
      <c r="J110" s="15" t="n"/>
    </row>
    <row r="111">
      <c r="A111" s="1" t="inlineStr">
        <is>
          <t>五级</t>
        </is>
      </c>
      <c r="B111" s="1" t="inlineStr">
        <is>
          <t>其他</t>
        </is>
      </c>
      <c r="C111" s="10" t="inlineStr">
        <is>
          <t>A02.17.01.01.04.01</t>
        </is>
      </c>
      <c r="D111" s="10" t="inlineStr">
        <is>
          <t xml:space="preserve">        专项备付FTP</t>
        </is>
      </c>
      <c r="H111" s="5">
        <f>H110/H42</f>
        <v/>
      </c>
      <c r="I111" s="5">
        <f>I84+I112</f>
        <v/>
      </c>
      <c r="J111" s="5" t="inlineStr">
        <is>
          <t>率年化指标（仅实际月）</t>
        </is>
      </c>
      <c r="P111" t="inlineStr">
        <is>
          <t>WGT</t>
        </is>
      </c>
    </row>
    <row r="112">
      <c r="A112" s="1" t="inlineStr">
        <is>
          <t>五级</t>
        </is>
      </c>
      <c r="B112" s="1" t="inlineStr">
        <is>
          <t>其他</t>
        </is>
      </c>
      <c r="C112" s="10" t="inlineStr">
        <is>
          <t>A02.17.01.01.04.02</t>
        </is>
      </c>
      <c r="D112" s="10" t="inlineStr">
        <is>
          <t xml:space="preserve">        专项备付FTP点差</t>
        </is>
      </c>
      <c r="H112" s="5">
        <f>H111-H84</f>
        <v/>
      </c>
      <c r="P112" t="inlineStr">
        <is>
          <t>WGT</t>
        </is>
      </c>
    </row>
    <row r="113">
      <c r="A113" s="1" t="inlineStr">
        <is>
          <t>三级</t>
        </is>
      </c>
      <c r="B113" s="1" t="inlineStr">
        <is>
          <t>收入</t>
        </is>
      </c>
      <c r="C113" s="10" t="inlineStr">
        <is>
          <t>A02.17.01.02</t>
        </is>
      </c>
      <c r="D113" s="5" t="inlineStr">
        <is>
          <t xml:space="preserve">    WE卡存款FTP收入</t>
        </is>
      </c>
      <c r="F113" t="inlineStr">
        <is>
          <t>A02.17.01.02.01</t>
        </is>
      </c>
      <c r="I113" s="5">
        <f>I91*I114</f>
        <v/>
      </c>
      <c r="J113" s="5" t="inlineStr">
        <is>
          <t>收支月化指标</t>
        </is>
      </c>
    </row>
    <row r="114">
      <c r="A114" s="1" t="inlineStr">
        <is>
          <t>四级</t>
        </is>
      </c>
      <c r="B114" s="1" t="inlineStr">
        <is>
          <t>其他</t>
        </is>
      </c>
      <c r="C114" s="10" t="inlineStr">
        <is>
          <t>A02.17.01.02.01</t>
        </is>
      </c>
      <c r="D114" s="5" t="inlineStr">
        <is>
          <t xml:space="preserve">      WE卡存款FTP</t>
        </is>
      </c>
      <c r="H114" s="5">
        <f>H113/H91</f>
        <v/>
      </c>
      <c r="J114" s="5" t="inlineStr">
        <is>
          <t>率年化指标</t>
        </is>
      </c>
      <c r="P114" t="inlineStr">
        <is>
          <t>WGT</t>
        </is>
      </c>
    </row>
    <row r="115">
      <c r="A115" s="1" t="inlineStr">
        <is>
          <t>三级</t>
        </is>
      </c>
      <c r="B115" s="1" t="inlineStr">
        <is>
          <t>收入</t>
        </is>
      </c>
      <c r="C115" s="10" t="inlineStr">
        <is>
          <t>A02.17.01.03</t>
        </is>
      </c>
      <c r="D115" s="5" t="inlineStr">
        <is>
          <t xml:space="preserve">    数字人民币存款FTP收入</t>
        </is>
      </c>
      <c r="F115" t="inlineStr">
        <is>
          <t>A02.17.01.03.01</t>
        </is>
      </c>
      <c r="I115" s="5">
        <f>I95*I116</f>
        <v/>
      </c>
      <c r="J115" s="5" t="inlineStr">
        <is>
          <t>收支月化指标</t>
        </is>
      </c>
    </row>
    <row r="116">
      <c r="A116" s="1" t="inlineStr">
        <is>
          <t>四级</t>
        </is>
      </c>
      <c r="B116" s="1" t="inlineStr">
        <is>
          <t>其他</t>
        </is>
      </c>
      <c r="C116" s="10" t="inlineStr">
        <is>
          <t>A02.17.01.03.01</t>
        </is>
      </c>
      <c r="D116" s="5" t="inlineStr">
        <is>
          <t xml:space="preserve">      数字人民币存款FTP</t>
        </is>
      </c>
      <c r="H116" s="5">
        <f>H115/H95</f>
        <v/>
      </c>
      <c r="J116" s="5" t="inlineStr">
        <is>
          <t>率年化指标</t>
        </is>
      </c>
      <c r="P116" t="inlineStr">
        <is>
          <t>WGT</t>
        </is>
      </c>
    </row>
    <row r="117">
      <c r="A117" s="12" t="inlineStr">
        <is>
          <t>二级</t>
        </is>
      </c>
      <c r="B117" s="12" t="inlineStr">
        <is>
          <t>收入</t>
        </is>
      </c>
      <c r="C117" s="11" t="inlineStr">
        <is>
          <t>A02.17.02</t>
        </is>
      </c>
      <c r="D117" s="12" t="inlineStr">
        <is>
          <t xml:space="preserve">  金融机构往来FTP收入</t>
        </is>
      </c>
      <c r="E117" s="12" t="n"/>
      <c r="F117" s="12" t="inlineStr">
        <is>
          <t>A02.17.02.02</t>
        </is>
      </c>
      <c r="G117" s="12" t="n"/>
      <c r="H117" s="12">
        <f>H118</f>
        <v/>
      </c>
      <c r="I117" s="12">
        <f>I118</f>
        <v/>
      </c>
      <c r="J117" s="12" t="n"/>
    </row>
    <row r="118">
      <c r="A118" s="5" t="inlineStr">
        <is>
          <t>三级</t>
        </is>
      </c>
      <c r="B118" s="5" t="inlineStr">
        <is>
          <t>收入</t>
        </is>
      </c>
      <c r="C118" s="10" t="inlineStr">
        <is>
          <t>A02.17.02.02</t>
        </is>
      </c>
      <c r="D118" s="5" t="inlineStr">
        <is>
          <t xml:space="preserve">    同业存放FTP收入</t>
        </is>
      </c>
      <c r="F118" t="inlineStr">
        <is>
          <t>A02.17.02.02.01</t>
        </is>
      </c>
      <c r="I118" s="5">
        <f>I54*I119</f>
        <v/>
      </c>
      <c r="J118" s="5" t="inlineStr">
        <is>
          <t>收支月化指标</t>
        </is>
      </c>
    </row>
    <row r="119">
      <c r="A119" s="5" t="inlineStr">
        <is>
          <t>四级</t>
        </is>
      </c>
      <c r="B119" s="5" t="inlineStr">
        <is>
          <t>其他</t>
        </is>
      </c>
      <c r="C119" s="10" t="inlineStr">
        <is>
          <t>A02.17.02.02.01</t>
        </is>
      </c>
      <c r="D119" s="5" t="inlineStr">
        <is>
          <t xml:space="preserve">      同业存放FTP</t>
        </is>
      </c>
      <c r="H119" s="5">
        <f>H118/H54</f>
        <v/>
      </c>
      <c r="J119" s="5" t="inlineStr">
        <is>
          <t>率年化指标</t>
        </is>
      </c>
      <c r="P119" t="inlineStr">
        <is>
          <t>WGT</t>
        </is>
      </c>
    </row>
    <row r="120">
      <c r="A120" s="12" t="inlineStr">
        <is>
          <t>二级</t>
        </is>
      </c>
      <c r="B120" s="12" t="inlineStr">
        <is>
          <t>收入</t>
        </is>
      </c>
      <c r="C120" s="11" t="inlineStr">
        <is>
          <t>A02.17.99</t>
        </is>
      </c>
      <c r="D120" s="11" t="inlineStr">
        <is>
          <t xml:space="preserve">  其他FTP收入</t>
        </is>
      </c>
      <c r="E120" s="12" t="n"/>
      <c r="F120" s="12" t="inlineStr">
        <is>
          <t>A02.17.99.01+A02.17.99.02</t>
        </is>
      </c>
      <c r="G120" s="12" t="n"/>
      <c r="H120" s="12">
        <f>H121+H123</f>
        <v/>
      </c>
      <c r="I120" s="12">
        <f>I121+I123</f>
        <v/>
      </c>
      <c r="J120" s="12" t="n"/>
    </row>
    <row r="121">
      <c r="A121" s="10" t="inlineStr">
        <is>
          <t>三级</t>
        </is>
      </c>
      <c r="B121" s="10" t="inlineStr">
        <is>
          <t>收入</t>
        </is>
      </c>
      <c r="C121" s="10" t="inlineStr">
        <is>
          <t>A02.17.99.01</t>
        </is>
      </c>
      <c r="D121" s="10" t="inlineStr">
        <is>
          <t xml:space="preserve">    商户结算便利应付款FTP收入</t>
        </is>
      </c>
      <c r="F121" t="inlineStr">
        <is>
          <t>A02.17.99.01.01</t>
        </is>
      </c>
      <c r="I121" s="5">
        <f>I44*I122</f>
        <v/>
      </c>
    </row>
    <row r="122">
      <c r="A122" s="10" t="inlineStr">
        <is>
          <t>四级</t>
        </is>
      </c>
      <c r="B122" s="10" t="inlineStr">
        <is>
          <t>其他</t>
        </is>
      </c>
      <c r="C122" s="10" t="inlineStr">
        <is>
          <t>A02.17.99.01.01</t>
        </is>
      </c>
      <c r="D122" s="10" t="inlineStr">
        <is>
          <t xml:space="preserve">      商户结算便利应付款FTP</t>
        </is>
      </c>
      <c r="H122" s="5">
        <f>H121/H44</f>
        <v/>
      </c>
      <c r="J122" s="5" t="inlineStr">
        <is>
          <t>率年化指标</t>
        </is>
      </c>
      <c r="P122" t="inlineStr">
        <is>
          <t>WGT</t>
        </is>
      </c>
    </row>
    <row r="123">
      <c r="A123" s="10" t="inlineStr">
        <is>
          <t>三级</t>
        </is>
      </c>
      <c r="B123" s="10" t="inlineStr">
        <is>
          <t>收入</t>
        </is>
      </c>
      <c r="C123" s="10" t="inlineStr">
        <is>
          <t>A02.17.99.02</t>
        </is>
      </c>
      <c r="D123" s="10" t="inlineStr">
        <is>
          <t xml:space="preserve">    零钱通净申购款FTP收入</t>
        </is>
      </c>
      <c r="P123" t="inlineStr">
        <is>
          <t>SUM</t>
        </is>
      </c>
    </row>
    <row r="124">
      <c r="A124" s="10" t="n"/>
      <c r="B124" s="10" t="n"/>
      <c r="C124" s="10" t="n"/>
      <c r="D124" s="10" t="n"/>
    </row>
    <row r="125">
      <c r="A125" s="7" t="inlineStr">
        <is>
          <t>一级</t>
        </is>
      </c>
      <c r="B125" s="1" t="inlineStr">
        <is>
          <t>收入</t>
        </is>
      </c>
      <c r="C125" s="11" t="inlineStr">
        <is>
          <t>A02.18</t>
        </is>
      </c>
      <c r="D125" s="11" t="inlineStr">
        <is>
          <t>手续费收入</t>
        </is>
      </c>
      <c r="F125" t="inlineStr">
        <is>
          <t>A02.18.05+A02.18.99</t>
        </is>
      </c>
      <c r="I125" s="5">
        <f>I126+I128</f>
        <v/>
      </c>
      <c r="M125" t="inlineStr">
        <is>
          <t>18</t>
        </is>
      </c>
    </row>
    <row r="126">
      <c r="A126" s="11" t="inlineStr">
        <is>
          <t>二级</t>
        </is>
      </c>
      <c r="B126" s="11" t="inlineStr">
        <is>
          <t>收入</t>
        </is>
      </c>
      <c r="C126" s="11" t="inlineStr">
        <is>
          <t>A02.18.05</t>
        </is>
      </c>
      <c r="D126" s="11" t="inlineStr">
        <is>
          <t xml:space="preserve">  零钱通收入</t>
        </is>
      </c>
      <c r="F126" t="inlineStr">
        <is>
          <t>A02.18.05.01</t>
        </is>
      </c>
      <c r="I126" s="5">
        <f>I43*I127</f>
        <v/>
      </c>
      <c r="J126" s="5" t="inlineStr">
        <is>
          <t>收支月化指标</t>
        </is>
      </c>
      <c r="M126" t="inlineStr">
        <is>
          <t>18.05</t>
        </is>
      </c>
    </row>
    <row r="127">
      <c r="A127" s="10" t="inlineStr">
        <is>
          <t>三级</t>
        </is>
      </c>
      <c r="B127" s="10" t="inlineStr">
        <is>
          <t>其他</t>
        </is>
      </c>
      <c r="C127" s="10" t="inlineStr">
        <is>
          <t>A02.18.05.01</t>
        </is>
      </c>
      <c r="D127" s="10" t="inlineStr">
        <is>
          <t xml:space="preserve">    零钱通收益率</t>
        </is>
      </c>
      <c r="H127" s="5">
        <f>H126/H43</f>
        <v/>
      </c>
      <c r="J127" s="5" t="inlineStr">
        <is>
          <t>率年化指标</t>
        </is>
      </c>
      <c r="M127" t="inlineStr">
        <is>
          <t>18.05.01</t>
        </is>
      </c>
      <c r="P127" t="inlineStr">
        <is>
          <t>WGT</t>
        </is>
      </c>
    </row>
    <row r="128">
      <c r="A128" s="11" t="inlineStr">
        <is>
          <t>二级</t>
        </is>
      </c>
      <c r="B128" s="11" t="inlineStr">
        <is>
          <t>收入</t>
        </is>
      </c>
      <c r="C128" s="11" t="inlineStr">
        <is>
          <t>A02.18.99</t>
        </is>
      </c>
      <c r="D128" s="11" t="inlineStr">
        <is>
          <t xml:space="preserve">  其他</t>
        </is>
      </c>
      <c r="H128" s="5">
        <f>H125-H126</f>
        <v/>
      </c>
      <c r="M128" t="inlineStr">
        <is>
          <t>18.99</t>
        </is>
      </c>
      <c r="P128" t="inlineStr">
        <is>
          <t>SUM</t>
        </is>
      </c>
    </row>
    <row r="129">
      <c r="A129" s="10" t="n"/>
      <c r="B129" s="10" t="n"/>
      <c r="C129" s="10" t="n"/>
      <c r="D129" s="10" t="n"/>
    </row>
    <row r="130">
      <c r="A130" s="11" t="inlineStr">
        <is>
          <t>一级</t>
        </is>
      </c>
      <c r="B130" s="11" t="inlineStr">
        <is>
          <t>支出</t>
        </is>
      </c>
      <c r="C130" s="11" t="inlineStr">
        <is>
          <t>A02.19</t>
        </is>
      </c>
      <c r="D130" s="11" t="inlineStr">
        <is>
          <t>手续费支出</t>
        </is>
      </c>
      <c r="F130" t="inlineStr">
        <is>
          <t>A02.19.10+A02.19.11+A02.19.99</t>
        </is>
      </c>
      <c r="I130" s="5">
        <f>I131+I133+I134</f>
        <v/>
      </c>
      <c r="M130" t="inlineStr">
        <is>
          <t>19</t>
        </is>
      </c>
    </row>
    <row r="131">
      <c r="A131" s="11" t="inlineStr">
        <is>
          <t>二级</t>
        </is>
      </c>
      <c r="B131" s="11" t="inlineStr">
        <is>
          <t>支出</t>
        </is>
      </c>
      <c r="C131" s="11" t="inlineStr">
        <is>
          <t>A02.19.10</t>
        </is>
      </c>
      <c r="D131" s="11" t="inlineStr">
        <is>
          <t xml:space="preserve">  零钱通腾讯渠道费</t>
        </is>
      </c>
      <c r="F131" t="inlineStr">
        <is>
          <t>A02.19.10.01</t>
        </is>
      </c>
      <c r="I131" s="5">
        <f>I126*0.925</f>
        <v/>
      </c>
      <c r="M131" t="inlineStr">
        <is>
          <t>19.10</t>
        </is>
      </c>
    </row>
    <row r="132">
      <c r="A132" s="10" t="inlineStr">
        <is>
          <t>三级</t>
        </is>
      </c>
      <c r="B132" s="10" t="inlineStr">
        <is>
          <t>其他</t>
        </is>
      </c>
      <c r="C132" s="10" t="inlineStr">
        <is>
          <t>A02.19.10.01</t>
        </is>
      </c>
      <c r="D132" s="10" t="inlineStr">
        <is>
          <t xml:space="preserve">    零钱通腾讯渠道费率</t>
        </is>
      </c>
      <c r="H132" s="5">
        <f>H131/H43</f>
        <v/>
      </c>
      <c r="I132" s="5">
        <f>I131/I43</f>
        <v/>
      </c>
      <c r="J132" s="5" t="inlineStr">
        <is>
          <t>率年化指标</t>
        </is>
      </c>
      <c r="M132" t="inlineStr">
        <is>
          <t>19.10.01</t>
        </is>
      </c>
      <c r="P132" t="inlineStr">
        <is>
          <t>WGT</t>
        </is>
      </c>
    </row>
    <row r="133">
      <c r="A133" s="11" t="inlineStr">
        <is>
          <t>二级</t>
        </is>
      </c>
      <c r="B133" s="11" t="inlineStr">
        <is>
          <t>支出</t>
        </is>
      </c>
      <c r="C133" s="11" t="inlineStr">
        <is>
          <t>A02.19.11</t>
        </is>
      </c>
      <c r="D133" s="11" t="inlineStr">
        <is>
          <t xml:space="preserve">  商户结算便利应付款腾讯渠道费</t>
        </is>
      </c>
      <c r="I133" s="5">
        <f>I44*(1-I144-0.05)*I142*0.85</f>
        <v/>
      </c>
      <c r="J133" s="5" t="inlineStr">
        <is>
          <t>收支月化指标</t>
        </is>
      </c>
      <c r="M133" t="inlineStr">
        <is>
          <t>19.11</t>
        </is>
      </c>
      <c r="P133" t="inlineStr">
        <is>
          <t>SUM</t>
        </is>
      </c>
    </row>
    <row r="134">
      <c r="A134" s="11" t="inlineStr">
        <is>
          <t>二级</t>
        </is>
      </c>
      <c r="B134" s="11" t="inlineStr">
        <is>
          <t>支出</t>
        </is>
      </c>
      <c r="C134" s="11" t="inlineStr">
        <is>
          <t>A02.19.99</t>
        </is>
      </c>
      <c r="D134" s="11" t="inlineStr">
        <is>
          <t xml:space="preserve">  其他</t>
        </is>
      </c>
      <c r="H134" s="5">
        <f>H130-H131-H133</f>
        <v/>
      </c>
      <c r="M134" t="inlineStr">
        <is>
          <t>19.99</t>
        </is>
      </c>
      <c r="P134" t="inlineStr">
        <is>
          <t>SUM</t>
        </is>
      </c>
    </row>
    <row r="135">
      <c r="A135" s="10" t="n"/>
      <c r="B135" s="10" t="n"/>
      <c r="C135" s="10" t="n"/>
      <c r="D135" s="10" t="n"/>
    </row>
    <row r="136">
      <c r="A136" s="11" t="inlineStr">
        <is>
          <t>一级</t>
        </is>
      </c>
      <c r="B136" s="11" t="inlineStr">
        <is>
          <t>收入</t>
        </is>
      </c>
      <c r="C136" s="11" t="inlineStr">
        <is>
          <t>A02.20</t>
        </is>
      </c>
      <c r="D136" s="11" t="inlineStr">
        <is>
          <t>其他外部营收</t>
        </is>
      </c>
      <c r="M136" t="inlineStr">
        <is>
          <t>20</t>
        </is>
      </c>
      <c r="P136" t="inlineStr">
        <is>
          <t>SUM</t>
        </is>
      </c>
    </row>
    <row r="137">
      <c r="A137" s="10" t="n"/>
      <c r="B137" s="10" t="n"/>
      <c r="C137" s="10" t="n"/>
      <c r="D137" s="10" t="n"/>
    </row>
    <row r="138">
      <c r="A138" s="11" t="inlineStr">
        <is>
          <t>一级</t>
        </is>
      </c>
      <c r="B138" s="11" t="inlineStr">
        <is>
          <t>收入</t>
        </is>
      </c>
      <c r="C138" s="11" t="inlineStr">
        <is>
          <t>A02.21</t>
        </is>
      </c>
      <c r="D138" s="11" t="inlineStr">
        <is>
          <t>内部营业净收入</t>
        </is>
      </c>
      <c r="M138" t="inlineStr">
        <is>
          <t>21</t>
        </is>
      </c>
      <c r="P138" t="inlineStr">
        <is>
          <t>SUM</t>
        </is>
      </c>
    </row>
    <row r="139">
      <c r="A139" s="10" t="n"/>
      <c r="B139" s="10" t="n"/>
      <c r="C139" s="10" t="n"/>
      <c r="D139" s="10" t="n"/>
    </row>
    <row r="140">
      <c r="A140" s="10" t="n"/>
      <c r="B140" s="10" t="n"/>
      <c r="C140" s="10" t="n"/>
      <c r="D140" s="10" t="n"/>
    </row>
    <row r="141">
      <c r="A141" s="11" t="inlineStr">
        <is>
          <t>一级</t>
        </is>
      </c>
      <c r="B141" s="11" t="n"/>
      <c r="C141" s="11" t="inlineStr">
        <is>
          <t>A02.99</t>
        </is>
      </c>
      <c r="D141" s="11" t="inlineStr">
        <is>
          <t>微账户参数</t>
        </is>
      </c>
      <c r="F141" t="inlineStr">
        <is>
          <t>A02.99.01+A02.99.02+A02.99.03+A02.99.04+A02.99.05+A02.99.06+A02.99.07+A02.99.08+A02.99.09</t>
        </is>
      </c>
      <c r="M141" t="inlineStr">
        <is>
          <t>99</t>
        </is>
      </c>
    </row>
    <row r="142">
      <c r="A142" s="10" t="inlineStr">
        <is>
          <t>二级</t>
        </is>
      </c>
      <c r="B142" s="10" t="inlineStr">
        <is>
          <t>其他</t>
        </is>
      </c>
      <c r="C142" s="10" t="inlineStr">
        <is>
          <t>A02.99.01</t>
        </is>
      </c>
      <c r="D142" s="10" t="inlineStr">
        <is>
          <t xml:space="preserve">  AA+同业存单收益率</t>
        </is>
      </c>
      <c r="M142" t="inlineStr">
        <is>
          <t>99.01</t>
        </is>
      </c>
      <c r="P142" t="inlineStr">
        <is>
          <t>WGT</t>
        </is>
      </c>
    </row>
    <row r="143">
      <c r="A143" s="10" t="inlineStr">
        <is>
          <t>二级</t>
        </is>
      </c>
      <c r="B143" s="10" t="inlineStr">
        <is>
          <t>其他</t>
        </is>
      </c>
      <c r="C143" s="10" t="inlineStr">
        <is>
          <t>A02.99.02</t>
        </is>
      </c>
      <c r="D143" s="10" t="inlineStr">
        <is>
          <t xml:space="preserve">  各项贷款（不含票据）/微账户</t>
        </is>
      </c>
      <c r="M143" t="inlineStr">
        <is>
          <t>99.02</t>
        </is>
      </c>
      <c r="P143" t="inlineStr">
        <is>
          <t>WGT</t>
        </is>
      </c>
    </row>
    <row r="144">
      <c r="A144" s="10" t="inlineStr">
        <is>
          <t>二级</t>
        </is>
      </c>
      <c r="B144" s="10" t="inlineStr">
        <is>
          <t>其他</t>
        </is>
      </c>
      <c r="C144" s="10" t="inlineStr">
        <is>
          <t>A02.99.03</t>
        </is>
      </c>
      <c r="D144" s="10" t="inlineStr">
        <is>
          <t xml:space="preserve">  法定存款准备金率</t>
        </is>
      </c>
      <c r="M144" t="inlineStr">
        <is>
          <t>99.03</t>
        </is>
      </c>
      <c r="P144" t="inlineStr">
        <is>
          <t>WGT</t>
        </is>
      </c>
    </row>
    <row r="145">
      <c r="A145" s="10" t="inlineStr">
        <is>
          <t>二级</t>
        </is>
      </c>
      <c r="B145" s="10" t="inlineStr">
        <is>
          <t>其他</t>
        </is>
      </c>
      <c r="C145" s="10" t="inlineStr">
        <is>
          <t>A02.99.04</t>
        </is>
      </c>
      <c r="D145" s="10" t="inlineStr">
        <is>
          <t xml:space="preserve">  同业资产收益率（不含存放央行）</t>
        </is>
      </c>
      <c r="F145" t="inlineStr">
        <is>
          <t>A02.99.04.01+A02.99.04.02</t>
        </is>
      </c>
      <c r="H145" s="5">
        <f>H146/H147</f>
        <v/>
      </c>
      <c r="I145" s="5">
        <f>I146/I147</f>
        <v/>
      </c>
      <c r="J145" s="5" t="inlineStr">
        <is>
          <t>率年化指标</t>
        </is>
      </c>
      <c r="M145" t="inlineStr">
        <is>
          <t>99.04</t>
        </is>
      </c>
    </row>
    <row r="146">
      <c r="A146" s="10" t="inlineStr">
        <is>
          <t>三级</t>
        </is>
      </c>
      <c r="B146" s="10" t="inlineStr">
        <is>
          <t>收入</t>
        </is>
      </c>
      <c r="C146" s="10" t="inlineStr">
        <is>
          <t>A02.99.04.01</t>
        </is>
      </c>
      <c r="D146" s="10" t="inlineStr">
        <is>
          <t xml:space="preserve">    同业利息收入</t>
        </is>
      </c>
      <c r="M146" t="inlineStr">
        <is>
          <t>99.04.01</t>
        </is>
      </c>
      <c r="P146" t="inlineStr">
        <is>
          <t>SUM</t>
        </is>
      </c>
    </row>
    <row r="147">
      <c r="A147" s="10" t="inlineStr">
        <is>
          <t>三级</t>
        </is>
      </c>
      <c r="B147" s="10" t="inlineStr">
        <is>
          <t>资产日均</t>
        </is>
      </c>
      <c r="C147" s="10" t="inlineStr">
        <is>
          <t>A02.99.04.02</t>
        </is>
      </c>
      <c r="D147" s="10" t="inlineStr">
        <is>
          <t xml:space="preserve">    同业日均规模</t>
        </is>
      </c>
      <c r="M147" t="inlineStr">
        <is>
          <t>99.04.02</t>
        </is>
      </c>
      <c r="P147" t="inlineStr">
        <is>
          <t>AVG</t>
        </is>
      </c>
    </row>
    <row r="148">
      <c r="A148" s="10" t="inlineStr">
        <is>
          <t>二级</t>
        </is>
      </c>
      <c r="B148" s="10" t="inlineStr">
        <is>
          <t>其他</t>
        </is>
      </c>
      <c r="C148" s="10" t="inlineStr">
        <is>
          <t>A02.99.05</t>
        </is>
      </c>
      <c r="D148" s="10" t="inlineStr">
        <is>
          <t xml:space="preserve">  存放同业比例</t>
        </is>
      </c>
      <c r="M148" t="inlineStr">
        <is>
          <t>99.05</t>
        </is>
      </c>
      <c r="P148" t="inlineStr">
        <is>
          <t>WGT</t>
        </is>
      </c>
    </row>
    <row r="149">
      <c r="A149" s="10" t="inlineStr">
        <is>
          <t>二级</t>
        </is>
      </c>
      <c r="B149" s="10" t="inlineStr">
        <is>
          <t>其他</t>
        </is>
      </c>
      <c r="C149" s="10" t="inlineStr">
        <is>
          <t>A02.99.06</t>
        </is>
      </c>
      <c r="D149" s="10" t="inlineStr">
        <is>
          <t xml:space="preserve">  存放同业利率</t>
        </is>
      </c>
      <c r="M149" t="inlineStr">
        <is>
          <t>99.06</t>
        </is>
      </c>
      <c r="P149" t="inlineStr">
        <is>
          <t>WGT</t>
        </is>
      </c>
    </row>
    <row r="150">
      <c r="A150" s="10" t="inlineStr">
        <is>
          <t>二级</t>
        </is>
      </c>
      <c r="B150" s="5" t="inlineStr">
        <is>
          <t>其他</t>
        </is>
      </c>
      <c r="C150" s="10" t="inlineStr">
        <is>
          <t>A02.99.07</t>
        </is>
      </c>
      <c r="D150" s="5" t="inlineStr">
        <is>
          <t xml:space="preserve">  微账户存款对客挂牌利率</t>
        </is>
      </c>
      <c r="M150" t="inlineStr">
        <is>
          <t>99.07</t>
        </is>
      </c>
      <c r="P150" t="inlineStr">
        <is>
          <t>WGT</t>
        </is>
      </c>
    </row>
    <row r="151">
      <c r="A151" s="10" t="inlineStr">
        <is>
          <t>二级</t>
        </is>
      </c>
      <c r="B151" s="5" t="inlineStr">
        <is>
          <t>其他</t>
        </is>
      </c>
      <c r="C151" s="10" t="inlineStr">
        <is>
          <t>A02.99.08</t>
        </is>
      </c>
      <c r="D151" s="5" t="inlineStr">
        <is>
          <t xml:space="preserve">  法定存款准备金利率</t>
        </is>
      </c>
      <c r="M151" t="inlineStr">
        <is>
          <t>99.08</t>
        </is>
      </c>
      <c r="P151" t="inlineStr">
        <is>
          <t>WGT</t>
        </is>
      </c>
    </row>
    <row r="152">
      <c r="A152" s="10" t="inlineStr">
        <is>
          <t>二级</t>
        </is>
      </c>
      <c r="B152" s="5" t="inlineStr">
        <is>
          <t>其他</t>
        </is>
      </c>
      <c r="C152" s="10" t="inlineStr">
        <is>
          <t>A02.99.09</t>
        </is>
      </c>
      <c r="D152" s="5" t="inlineStr">
        <is>
          <t xml:space="preserve">  超额存款准备金利率</t>
        </is>
      </c>
      <c r="M152" t="inlineStr">
        <is>
          <t>99.09</t>
        </is>
      </c>
      <c r="P152" t="inlineStr">
        <is>
          <t>WGT</t>
        </is>
      </c>
    </row>
    <row r="153"/>
    <row r="154">
      <c r="A154" t="inlineStr">
        <is>
          <t>层级</t>
        </is>
      </c>
      <c r="B154" t="inlineStr">
        <is>
          <t>性质</t>
        </is>
      </c>
      <c r="C154" t="inlineStr">
        <is>
          <t>科目代码</t>
        </is>
      </c>
      <c r="D154" t="inlineStr">
        <is>
          <t>科目名称</t>
        </is>
      </c>
      <c r="E154" t="inlineStr">
        <is>
          <t>录入粒度</t>
        </is>
      </c>
      <c r="F154" t="inlineStr">
        <is>
          <t>年预算公式</t>
        </is>
      </c>
      <c r="J154" t="inlineStr">
        <is>
          <t>公式说明</t>
        </is>
      </c>
      <c r="K154" t="inlineStr">
        <is>
          <t>横向汇总</t>
        </is>
      </c>
    </row>
    <row r="155">
      <c r="A155" t="inlineStr">
        <is>
          <t>一级</t>
        </is>
      </c>
      <c r="B155" t="inlineStr">
        <is>
          <t>支出</t>
        </is>
      </c>
      <c r="C155" t="inlineStr">
        <is>
          <t>A02.90</t>
        </is>
      </c>
      <c r="D155" t="inlineStr">
        <is>
          <t>减:业务及管理费</t>
        </is>
      </c>
      <c r="F155" t="inlineStr">
        <is>
          <t>A02.90.01+A02.90.03</t>
        </is>
      </c>
      <c r="K155" t="inlineStr">
        <is>
          <t>是</t>
        </is>
      </c>
      <c r="M155" t="inlineStr">
        <is>
          <t>05</t>
        </is>
      </c>
    </row>
    <row r="156">
      <c r="A156" t="inlineStr">
        <is>
          <t>二级</t>
        </is>
      </c>
      <c r="B156" t="inlineStr">
        <is>
          <t>支出</t>
        </is>
      </c>
      <c r="C156" t="inlineStr">
        <is>
          <t>A02.90.01</t>
        </is>
      </c>
      <c r="D156" t="inlineStr">
        <is>
          <t>直接费用</t>
        </is>
      </c>
      <c r="F156" t="inlineStr">
        <is>
          <t>A02.90.01.01+A02.90.01.02</t>
        </is>
      </c>
      <c r="K156" t="inlineStr">
        <is>
          <t>是</t>
        </is>
      </c>
      <c r="M156" t="inlineStr">
        <is>
          <t>05.01</t>
        </is>
      </c>
    </row>
    <row r="157">
      <c r="A157" t="inlineStr">
        <is>
          <t>三级</t>
        </is>
      </c>
      <c r="B157" t="inlineStr">
        <is>
          <t>支出</t>
        </is>
      </c>
      <c r="C157" t="inlineStr">
        <is>
          <t>A02.90.01.01</t>
        </is>
      </c>
      <c r="D157" t="inlineStr">
        <is>
          <t>直接费用</t>
        </is>
      </c>
      <c r="F157" t="inlineStr">
        <is>
          <t>A02.90.01.01.01+A02.90.01.01.02+A02.90.01.01.03+A02.90.01.01.04.001+A02.90.01.01.05.001</t>
        </is>
      </c>
      <c r="K157" t="inlineStr">
        <is>
          <t>是</t>
        </is>
      </c>
      <c r="M157" t="inlineStr">
        <is>
          <t>05.01.01</t>
        </is>
      </c>
    </row>
    <row r="158">
      <c r="A158" t="inlineStr">
        <is>
          <t>四级</t>
        </is>
      </c>
      <c r="B158" t="inlineStr">
        <is>
          <t>支出</t>
        </is>
      </c>
      <c r="C158" t="inlineStr">
        <is>
          <t>A02.90.01.01.01</t>
        </is>
      </c>
      <c r="D158" t="inlineStr">
        <is>
          <t>人力（不含IT)</t>
        </is>
      </c>
      <c r="F158" t="inlineStr">
        <is>
          <t>A02.90.01.01.01.001+A02.90.01.01.01.002</t>
        </is>
      </c>
      <c r="K158" t="inlineStr">
        <is>
          <t>是</t>
        </is>
      </c>
      <c r="M158" t="inlineStr">
        <is>
          <t>05.01.01.01</t>
        </is>
      </c>
    </row>
    <row r="159">
      <c r="A159" t="inlineStr">
        <is>
          <t>五级</t>
        </is>
      </c>
      <c r="B159" t="inlineStr">
        <is>
          <t>支出</t>
        </is>
      </c>
      <c r="C159" t="inlineStr">
        <is>
          <t>A02.90.01.01.01.001</t>
        </is>
      </c>
      <c r="D159" t="inlineStr">
        <is>
          <t>业务人力</t>
        </is>
      </c>
      <c r="K159" t="inlineStr">
        <is>
          <t>是</t>
        </is>
      </c>
      <c r="M159" t="inlineStr">
        <is>
          <t>05.01.01.01.001</t>
        </is>
      </c>
      <c r="N159" t="inlineStr">
        <is>
          <t>SUM</t>
        </is>
      </c>
    </row>
    <row r="160">
      <c r="A160" t="inlineStr">
        <is>
          <t>五级</t>
        </is>
      </c>
      <c r="B160" t="inlineStr">
        <is>
          <t>支出</t>
        </is>
      </c>
      <c r="C160" t="inlineStr">
        <is>
          <t>A02.90.01.01.01.002</t>
        </is>
      </c>
      <c r="D160" t="inlineStr">
        <is>
          <t>特别人力</t>
        </is>
      </c>
      <c r="K160" t="inlineStr">
        <is>
          <t>是</t>
        </is>
      </c>
      <c r="M160" t="inlineStr">
        <is>
          <t>05.01.01.01.002</t>
        </is>
      </c>
      <c r="N160" t="inlineStr">
        <is>
          <t>SUM</t>
        </is>
      </c>
    </row>
    <row r="161">
      <c r="A161" t="inlineStr">
        <is>
          <t>四级</t>
        </is>
      </c>
      <c r="B161" t="inlineStr">
        <is>
          <t>支出</t>
        </is>
      </c>
      <c r="C161" t="inlineStr">
        <is>
          <t>A02.90.01.01.02</t>
        </is>
      </c>
      <c r="D161" t="inlineStr">
        <is>
          <t>业务费用</t>
        </is>
      </c>
      <c r="F161" t="inlineStr">
        <is>
          <t>A02.90.01.01.02.001+A02.90.01.01.02.002</t>
        </is>
      </c>
      <c r="K161" t="inlineStr">
        <is>
          <t>是</t>
        </is>
      </c>
      <c r="M161" t="inlineStr">
        <is>
          <t>05.01.01.02</t>
        </is>
      </c>
    </row>
    <row r="162">
      <c r="A162" t="inlineStr">
        <is>
          <t>五级</t>
        </is>
      </c>
      <c r="B162" t="inlineStr">
        <is>
          <t>支出</t>
        </is>
      </c>
      <c r="C162" t="inlineStr">
        <is>
          <t>A02.90.01.01.02.001</t>
        </is>
      </c>
      <c r="D162" t="inlineStr">
        <is>
          <t>营销</t>
        </is>
      </c>
      <c r="K162" t="inlineStr">
        <is>
          <t>是</t>
        </is>
      </c>
      <c r="M162" t="inlineStr">
        <is>
          <t>05.01.01.02.001</t>
        </is>
      </c>
      <c r="N162" t="inlineStr">
        <is>
          <t>SUM</t>
        </is>
      </c>
    </row>
    <row r="163">
      <c r="A163" t="inlineStr">
        <is>
          <t>五级</t>
        </is>
      </c>
      <c r="B163" t="inlineStr">
        <is>
          <t>支出</t>
        </is>
      </c>
      <c r="C163" t="inlineStr">
        <is>
          <t>A02.90.01.01.02.002</t>
        </is>
      </c>
      <c r="D163" t="inlineStr">
        <is>
          <t>运营</t>
        </is>
      </c>
      <c r="K163" t="inlineStr">
        <is>
          <t>是</t>
        </is>
      </c>
      <c r="M163" t="inlineStr">
        <is>
          <t>05.01.01.02.002</t>
        </is>
      </c>
      <c r="N163" t="inlineStr">
        <is>
          <t>SUM</t>
        </is>
      </c>
    </row>
    <row r="164">
      <c r="A164" t="inlineStr">
        <is>
          <t>四级</t>
        </is>
      </c>
      <c r="B164" t="inlineStr">
        <is>
          <t>支出</t>
        </is>
      </c>
      <c r="C164" t="inlineStr">
        <is>
          <t>A02.90.01.01.03</t>
        </is>
      </c>
      <c r="D164" t="inlineStr">
        <is>
          <t>IT</t>
        </is>
      </c>
      <c r="F164" t="inlineStr">
        <is>
          <t>A02.90.01.01.03.01+A02.90.01.01.03.02.001+A02.90.01.01.03.03.001+A02.90.01.01.03.04.001</t>
        </is>
      </c>
      <c r="K164" t="inlineStr">
        <is>
          <t>是</t>
        </is>
      </c>
      <c r="M164" t="inlineStr">
        <is>
          <t>05.01.01.03</t>
        </is>
      </c>
    </row>
    <row r="165">
      <c r="A165" t="inlineStr">
        <is>
          <t>五级</t>
        </is>
      </c>
      <c r="B165" t="inlineStr">
        <is>
          <t>支出</t>
        </is>
      </c>
      <c r="C165" t="inlineStr">
        <is>
          <t>A02.90.01.01.03.01</t>
        </is>
      </c>
      <c r="D165" t="inlineStr">
        <is>
          <t>IT人力</t>
        </is>
      </c>
      <c r="F165" t="inlineStr">
        <is>
          <t>A02.90.01.01.03.01.001+A02.90.01.01.03.01.002</t>
        </is>
      </c>
      <c r="K165" t="inlineStr">
        <is>
          <t>是</t>
        </is>
      </c>
      <c r="M165" t="inlineStr">
        <is>
          <t>05.01.01.03.01</t>
        </is>
      </c>
    </row>
    <row r="166">
      <c r="A166" t="inlineStr">
        <is>
          <t>六级</t>
        </is>
      </c>
      <c r="B166" t="inlineStr">
        <is>
          <t>支出</t>
        </is>
      </c>
      <c r="C166" t="inlineStr">
        <is>
          <t>A02.90.01.01.03.01.001</t>
        </is>
      </c>
      <c r="D166" t="inlineStr">
        <is>
          <t>IT常规人力</t>
        </is>
      </c>
      <c r="K166" t="inlineStr">
        <is>
          <t>是</t>
        </is>
      </c>
      <c r="M166" t="inlineStr">
        <is>
          <t>05.01.01.03.01.001</t>
        </is>
      </c>
      <c r="N166" t="inlineStr">
        <is>
          <t>SUM</t>
        </is>
      </c>
    </row>
    <row r="167">
      <c r="A167" t="inlineStr">
        <is>
          <t>六级</t>
        </is>
      </c>
      <c r="B167" t="inlineStr">
        <is>
          <t>支出</t>
        </is>
      </c>
      <c r="C167" t="inlineStr">
        <is>
          <t>A02.90.01.01.03.01.002</t>
        </is>
      </c>
      <c r="D167" t="inlineStr">
        <is>
          <t>IT特别人力</t>
        </is>
      </c>
      <c r="K167" t="inlineStr">
        <is>
          <t>是</t>
        </is>
      </c>
      <c r="M167" t="inlineStr">
        <is>
          <t>05.01.01.03.01.002</t>
        </is>
      </c>
      <c r="N167" t="inlineStr">
        <is>
          <t>SUM</t>
        </is>
      </c>
    </row>
    <row r="168">
      <c r="A168" t="inlineStr">
        <is>
          <t>五级</t>
        </is>
      </c>
      <c r="B168" t="inlineStr">
        <is>
          <t>支出</t>
        </is>
      </c>
      <c r="C168" t="inlineStr">
        <is>
          <t>A02.90.01.01.03.02</t>
        </is>
      </c>
      <c r="D168" t="inlineStr">
        <is>
          <t>科技</t>
        </is>
      </c>
      <c r="K168" t="inlineStr">
        <is>
          <t>是</t>
        </is>
      </c>
      <c r="M168" t="inlineStr">
        <is>
          <t>05.01.01.03.02</t>
        </is>
      </c>
      <c r="N168" t="inlineStr">
        <is>
          <t>SUM</t>
        </is>
      </c>
    </row>
    <row r="169">
      <c r="A169" t="inlineStr">
        <is>
          <t>五级</t>
        </is>
      </c>
      <c r="B169" t="inlineStr">
        <is>
          <t>支出</t>
        </is>
      </c>
      <c r="C169" t="inlineStr">
        <is>
          <t>A02.90.01.01.03.03</t>
        </is>
      </c>
      <c r="D169" t="inlineStr">
        <is>
          <t>IT职场</t>
        </is>
      </c>
      <c r="K169" t="inlineStr">
        <is>
          <t>是</t>
        </is>
      </c>
      <c r="M169" t="inlineStr">
        <is>
          <t>05.01.01.03.03</t>
        </is>
      </c>
      <c r="N169" t="inlineStr">
        <is>
          <t>SUM</t>
        </is>
      </c>
    </row>
    <row r="170">
      <c r="A170" t="inlineStr">
        <is>
          <t>五级</t>
        </is>
      </c>
      <c r="B170" t="inlineStr">
        <is>
          <t>支出</t>
        </is>
      </c>
      <c r="C170" t="inlineStr">
        <is>
          <t>A02.90.01.01.03.04</t>
        </is>
      </c>
      <c r="D170" t="inlineStr">
        <is>
          <t>IT日常</t>
        </is>
      </c>
      <c r="K170" t="inlineStr">
        <is>
          <t>是</t>
        </is>
      </c>
      <c r="M170" t="inlineStr">
        <is>
          <t>05.01.01.03.04</t>
        </is>
      </c>
      <c r="N170" t="inlineStr">
        <is>
          <t>SUM</t>
        </is>
      </c>
    </row>
    <row r="171">
      <c r="A171" t="inlineStr">
        <is>
          <t>四级</t>
        </is>
      </c>
      <c r="B171" t="inlineStr">
        <is>
          <t>支出</t>
        </is>
      </c>
      <c r="C171" t="inlineStr">
        <is>
          <t>A02.90.01.01.04</t>
        </is>
      </c>
      <c r="D171" t="inlineStr">
        <is>
          <t>AA.05.01.01.04</t>
        </is>
      </c>
      <c r="F171" t="inlineStr">
        <is>
          <t>A02.90.01.01.04.001</t>
        </is>
      </c>
      <c r="K171" t="inlineStr">
        <is>
          <t>是</t>
        </is>
      </c>
      <c r="M171" t="inlineStr">
        <is>
          <t>05.01.01.04</t>
        </is>
      </c>
      <c r="N171" t="inlineStr">
        <is>
          <t>SUM</t>
        </is>
      </c>
    </row>
    <row r="172">
      <c r="A172" t="inlineStr">
        <is>
          <t>五级</t>
        </is>
      </c>
      <c r="B172" t="inlineStr">
        <is>
          <t>支出</t>
        </is>
      </c>
      <c r="C172" t="inlineStr">
        <is>
          <t>A02.90.01.01.04.001</t>
        </is>
      </c>
      <c r="D172" t="inlineStr">
        <is>
          <t>职场</t>
        </is>
      </c>
      <c r="K172" t="inlineStr">
        <is>
          <t>是</t>
        </is>
      </c>
      <c r="M172" t="inlineStr">
        <is>
          <t>05.01.01.04.001</t>
        </is>
      </c>
      <c r="N172" t="inlineStr">
        <is>
          <t>SUM</t>
        </is>
      </c>
    </row>
    <row r="173">
      <c r="A173" t="inlineStr">
        <is>
          <t>四级</t>
        </is>
      </c>
      <c r="B173" t="inlineStr">
        <is>
          <t>支出</t>
        </is>
      </c>
      <c r="C173" t="inlineStr">
        <is>
          <t>A02.90.01.01.05</t>
        </is>
      </c>
      <c r="D173" t="inlineStr">
        <is>
          <t>AA.05.01.01.05</t>
        </is>
      </c>
      <c r="F173" t="inlineStr">
        <is>
          <t>A02.90.01.01.05.001</t>
        </is>
      </c>
      <c r="K173" t="inlineStr">
        <is>
          <t>是</t>
        </is>
      </c>
      <c r="M173" t="inlineStr">
        <is>
          <t>05.01.01.05</t>
        </is>
      </c>
      <c r="N173" t="inlineStr">
        <is>
          <t>SUM</t>
        </is>
      </c>
    </row>
    <row r="174">
      <c r="A174" t="inlineStr">
        <is>
          <t>五级</t>
        </is>
      </c>
      <c r="B174" t="inlineStr">
        <is>
          <t>支出</t>
        </is>
      </c>
      <c r="C174" t="inlineStr">
        <is>
          <t>A02.90.01.01.05.001</t>
        </is>
      </c>
      <c r="D174" t="inlineStr">
        <is>
          <t>日常</t>
        </is>
      </c>
      <c r="K174" t="inlineStr">
        <is>
          <t>是</t>
        </is>
      </c>
      <c r="M174" t="inlineStr">
        <is>
          <t>05.01.01.05.001</t>
        </is>
      </c>
      <c r="N174" t="inlineStr">
        <is>
          <t>SUM</t>
        </is>
      </c>
    </row>
    <row r="175">
      <c r="A175" t="inlineStr">
        <is>
          <t>三级</t>
        </is>
      </c>
      <c r="B175" t="inlineStr">
        <is>
          <t>支出</t>
        </is>
      </c>
      <c r="C175" t="inlineStr">
        <is>
          <t>A02.90.01.02</t>
        </is>
      </c>
      <c r="D175" t="inlineStr">
        <is>
          <t>间接费用</t>
        </is>
      </c>
      <c r="F175" t="inlineStr">
        <is>
          <t>A02.90.01.02.01+A02.90.01.02.02+A02.90.01.02.03+A02.90.01.02.04.001+A02.90.01.02.05.001</t>
        </is>
      </c>
      <c r="K175" t="inlineStr">
        <is>
          <t>是</t>
        </is>
      </c>
      <c r="M175" t="inlineStr">
        <is>
          <t>05.01.02</t>
        </is>
      </c>
    </row>
    <row r="176">
      <c r="A176" t="inlineStr">
        <is>
          <t>四级</t>
        </is>
      </c>
      <c r="B176" t="inlineStr">
        <is>
          <t>支出</t>
        </is>
      </c>
      <c r="C176" t="inlineStr">
        <is>
          <t>A02.90.01.02.01</t>
        </is>
      </c>
      <c r="D176" t="inlineStr">
        <is>
          <t>人力（不含IT)</t>
        </is>
      </c>
      <c r="F176" t="inlineStr">
        <is>
          <t>A02.90.01.02.01.001+A02.90.01.02.01.002</t>
        </is>
      </c>
      <c r="K176" t="inlineStr">
        <is>
          <t>是</t>
        </is>
      </c>
      <c r="M176" t="inlineStr">
        <is>
          <t>05.01.02.01</t>
        </is>
      </c>
    </row>
    <row r="177">
      <c r="A177" t="inlineStr">
        <is>
          <t>五级</t>
        </is>
      </c>
      <c r="B177" t="inlineStr">
        <is>
          <t>支出</t>
        </is>
      </c>
      <c r="C177" t="inlineStr">
        <is>
          <t>A02.90.01.02.01.001</t>
        </is>
      </c>
      <c r="D177" t="inlineStr">
        <is>
          <t>业务人力</t>
        </is>
      </c>
      <c r="K177" t="inlineStr">
        <is>
          <t>是</t>
        </is>
      </c>
      <c r="M177" t="inlineStr">
        <is>
          <t>05.01.02.01.001</t>
        </is>
      </c>
      <c r="N177" t="inlineStr">
        <is>
          <t>SUM</t>
        </is>
      </c>
    </row>
    <row r="178">
      <c r="A178" t="inlineStr">
        <is>
          <t>五级</t>
        </is>
      </c>
      <c r="B178" t="inlineStr">
        <is>
          <t>支出</t>
        </is>
      </c>
      <c r="C178" t="inlineStr">
        <is>
          <t>A02.90.01.02.01.002</t>
        </is>
      </c>
      <c r="D178" t="inlineStr">
        <is>
          <t>特别人力</t>
        </is>
      </c>
      <c r="K178" t="inlineStr">
        <is>
          <t>是</t>
        </is>
      </c>
      <c r="M178" t="inlineStr">
        <is>
          <t>05.01.02.01.002</t>
        </is>
      </c>
      <c r="N178" t="inlineStr">
        <is>
          <t>SUM</t>
        </is>
      </c>
    </row>
    <row r="179">
      <c r="A179" t="inlineStr">
        <is>
          <t>四级</t>
        </is>
      </c>
      <c r="B179" t="inlineStr">
        <is>
          <t>支出</t>
        </is>
      </c>
      <c r="C179" t="inlineStr">
        <is>
          <t>A02.90.01.02.02</t>
        </is>
      </c>
      <c r="D179" t="inlineStr">
        <is>
          <t>业务费用</t>
        </is>
      </c>
      <c r="F179" t="inlineStr">
        <is>
          <t>A02.90.01.02.02.001+A02.90.01.02.02.002</t>
        </is>
      </c>
      <c r="K179" t="inlineStr">
        <is>
          <t>是</t>
        </is>
      </c>
      <c r="M179" t="inlineStr">
        <is>
          <t>05.01.02.02</t>
        </is>
      </c>
    </row>
    <row r="180">
      <c r="A180" t="inlineStr">
        <is>
          <t>五级</t>
        </is>
      </c>
      <c r="B180" t="inlineStr">
        <is>
          <t>支出</t>
        </is>
      </c>
      <c r="C180" t="inlineStr">
        <is>
          <t>A02.90.01.02.02.001</t>
        </is>
      </c>
      <c r="D180" t="inlineStr">
        <is>
          <t>营销</t>
        </is>
      </c>
      <c r="K180" t="inlineStr">
        <is>
          <t>是</t>
        </is>
      </c>
      <c r="M180" t="inlineStr">
        <is>
          <t>05.01.02.02.001</t>
        </is>
      </c>
      <c r="N180" t="inlineStr">
        <is>
          <t>SUM</t>
        </is>
      </c>
    </row>
    <row r="181">
      <c r="A181" t="inlineStr">
        <is>
          <t>五级</t>
        </is>
      </c>
      <c r="B181" t="inlineStr">
        <is>
          <t>支出</t>
        </is>
      </c>
      <c r="C181" t="inlineStr">
        <is>
          <t>A02.90.01.02.02.002</t>
        </is>
      </c>
      <c r="D181" t="inlineStr">
        <is>
          <t>运营</t>
        </is>
      </c>
      <c r="K181" t="inlineStr">
        <is>
          <t>是</t>
        </is>
      </c>
      <c r="M181" t="inlineStr">
        <is>
          <t>05.01.02.02.002</t>
        </is>
      </c>
      <c r="N181" t="inlineStr">
        <is>
          <t>SUM</t>
        </is>
      </c>
    </row>
    <row r="182">
      <c r="A182" t="inlineStr">
        <is>
          <t>四级</t>
        </is>
      </c>
      <c r="B182" t="inlineStr">
        <is>
          <t>支出</t>
        </is>
      </c>
      <c r="C182" t="inlineStr">
        <is>
          <t>A02.90.01.02.03</t>
        </is>
      </c>
      <c r="D182" t="inlineStr">
        <is>
          <t>IT</t>
        </is>
      </c>
      <c r="F182" t="inlineStr">
        <is>
          <t>A02.90.01.02.03.01+A02.90.01.02.03.02.001+A02.90.01.02.03.03.001+A02.90.01.02.03.04.001</t>
        </is>
      </c>
      <c r="K182" t="inlineStr">
        <is>
          <t>是</t>
        </is>
      </c>
      <c r="M182" t="inlineStr">
        <is>
          <t>05.01.02.03</t>
        </is>
      </c>
    </row>
    <row r="183">
      <c r="A183" t="inlineStr">
        <is>
          <t>五级</t>
        </is>
      </c>
      <c r="B183" t="inlineStr">
        <is>
          <t>支出</t>
        </is>
      </c>
      <c r="C183" t="inlineStr">
        <is>
          <t>A02.90.01.02.03.01</t>
        </is>
      </c>
      <c r="D183" t="inlineStr">
        <is>
          <t>IT人力</t>
        </is>
      </c>
      <c r="F183" t="inlineStr">
        <is>
          <t>A02.90.01.02.03.01.001+A02.90.01.02.03.01.002</t>
        </is>
      </c>
      <c r="K183" t="inlineStr">
        <is>
          <t>是</t>
        </is>
      </c>
      <c r="M183" t="inlineStr">
        <is>
          <t>05.01.02.03.01</t>
        </is>
      </c>
    </row>
    <row r="184">
      <c r="A184" t="inlineStr">
        <is>
          <t>六级</t>
        </is>
      </c>
      <c r="B184" t="inlineStr">
        <is>
          <t>支出</t>
        </is>
      </c>
      <c r="C184" t="inlineStr">
        <is>
          <t>A02.90.01.02.03.01.001</t>
        </is>
      </c>
      <c r="D184" t="inlineStr">
        <is>
          <t>IT常规人力</t>
        </is>
      </c>
      <c r="K184" t="inlineStr">
        <is>
          <t>是</t>
        </is>
      </c>
      <c r="M184" t="inlineStr">
        <is>
          <t>05.01.02.03.01.001</t>
        </is>
      </c>
      <c r="N184" t="inlineStr">
        <is>
          <t>SUM</t>
        </is>
      </c>
    </row>
    <row r="185">
      <c r="A185" t="inlineStr">
        <is>
          <t>六级</t>
        </is>
      </c>
      <c r="B185" t="inlineStr">
        <is>
          <t>支出</t>
        </is>
      </c>
      <c r="C185" t="inlineStr">
        <is>
          <t>A02.90.01.02.03.01.002</t>
        </is>
      </c>
      <c r="D185" t="inlineStr">
        <is>
          <t>IT特别人力</t>
        </is>
      </c>
      <c r="K185" t="inlineStr">
        <is>
          <t>是</t>
        </is>
      </c>
      <c r="M185" t="inlineStr">
        <is>
          <t>05.01.02.03.01.002</t>
        </is>
      </c>
      <c r="N185" t="inlineStr">
        <is>
          <t>SUM</t>
        </is>
      </c>
    </row>
    <row r="186">
      <c r="A186" t="inlineStr">
        <is>
          <t>五级</t>
        </is>
      </c>
      <c r="B186" t="inlineStr">
        <is>
          <t>支出</t>
        </is>
      </c>
      <c r="C186" t="inlineStr">
        <is>
          <t>A02.90.01.02.03.02</t>
        </is>
      </c>
      <c r="D186" t="inlineStr">
        <is>
          <t>AA.05.01.02.03.02</t>
        </is>
      </c>
      <c r="F186" t="inlineStr">
        <is>
          <t>A02.90.01.02.03.02.001</t>
        </is>
      </c>
      <c r="K186" t="inlineStr">
        <is>
          <t>是</t>
        </is>
      </c>
      <c r="M186" t="inlineStr">
        <is>
          <t>05.01.02.03.02</t>
        </is>
      </c>
      <c r="N186" t="inlineStr">
        <is>
          <t>SUM</t>
        </is>
      </c>
    </row>
    <row r="187">
      <c r="A187" t="inlineStr">
        <is>
          <t>六级</t>
        </is>
      </c>
      <c r="B187" t="inlineStr">
        <is>
          <t>支出</t>
        </is>
      </c>
      <c r="C187" t="inlineStr">
        <is>
          <t>A02.90.01.02.03.02.001</t>
        </is>
      </c>
      <c r="D187" t="inlineStr">
        <is>
          <t>科技</t>
        </is>
      </c>
      <c r="K187" t="inlineStr">
        <is>
          <t>是</t>
        </is>
      </c>
      <c r="M187" t="inlineStr">
        <is>
          <t>05.01.02.03.02.001</t>
        </is>
      </c>
      <c r="N187" t="inlineStr">
        <is>
          <t>SUM</t>
        </is>
      </c>
    </row>
    <row r="188">
      <c r="A188" t="inlineStr">
        <is>
          <t>五级</t>
        </is>
      </c>
      <c r="B188" t="inlineStr">
        <is>
          <t>支出</t>
        </is>
      </c>
      <c r="C188" t="inlineStr">
        <is>
          <t>A02.90.01.02.03.03</t>
        </is>
      </c>
      <c r="D188" t="inlineStr">
        <is>
          <t>AA.05.01.02.03.03</t>
        </is>
      </c>
      <c r="F188" t="inlineStr">
        <is>
          <t>A02.90.01.02.03.03.001</t>
        </is>
      </c>
      <c r="K188" t="inlineStr">
        <is>
          <t>是</t>
        </is>
      </c>
      <c r="M188" t="inlineStr">
        <is>
          <t>05.01.02.03.03</t>
        </is>
      </c>
      <c r="N188" t="inlineStr">
        <is>
          <t>SUM</t>
        </is>
      </c>
    </row>
    <row r="189">
      <c r="A189" t="inlineStr">
        <is>
          <t>六级</t>
        </is>
      </c>
      <c r="B189" t="inlineStr">
        <is>
          <t>支出</t>
        </is>
      </c>
      <c r="C189" t="inlineStr">
        <is>
          <t>A02.90.01.02.03.03.001</t>
        </is>
      </c>
      <c r="D189" t="inlineStr">
        <is>
          <t>IT职场</t>
        </is>
      </c>
      <c r="K189" t="inlineStr">
        <is>
          <t>是</t>
        </is>
      </c>
      <c r="M189" t="inlineStr">
        <is>
          <t>05.01.02.03.03.001</t>
        </is>
      </c>
      <c r="N189" t="inlineStr">
        <is>
          <t>SUM</t>
        </is>
      </c>
    </row>
    <row r="190">
      <c r="A190" t="inlineStr">
        <is>
          <t>五级</t>
        </is>
      </c>
      <c r="B190" t="inlineStr">
        <is>
          <t>支出</t>
        </is>
      </c>
      <c r="C190" t="inlineStr">
        <is>
          <t>A02.90.01.02.03.04</t>
        </is>
      </c>
      <c r="D190" t="inlineStr">
        <is>
          <t>AA.05.01.02.03.04</t>
        </is>
      </c>
      <c r="F190" t="inlineStr">
        <is>
          <t>A02.90.01.02.03.04.001</t>
        </is>
      </c>
      <c r="K190" t="inlineStr">
        <is>
          <t>是</t>
        </is>
      </c>
      <c r="M190" t="inlineStr">
        <is>
          <t>05.01.02.03.04</t>
        </is>
      </c>
      <c r="N190" t="inlineStr">
        <is>
          <t>SUM</t>
        </is>
      </c>
    </row>
    <row r="191">
      <c r="A191" t="inlineStr">
        <is>
          <t>六级</t>
        </is>
      </c>
      <c r="B191" t="inlineStr">
        <is>
          <t>支出</t>
        </is>
      </c>
      <c r="C191" t="inlineStr">
        <is>
          <t>A02.90.01.02.03.04.001</t>
        </is>
      </c>
      <c r="D191" t="inlineStr">
        <is>
          <t>IT日常</t>
        </is>
      </c>
      <c r="K191" t="inlineStr">
        <is>
          <t>是</t>
        </is>
      </c>
      <c r="M191" t="inlineStr">
        <is>
          <t>05.01.02.03.04.001</t>
        </is>
      </c>
      <c r="N191" t="inlineStr">
        <is>
          <t>SUM</t>
        </is>
      </c>
    </row>
    <row r="192">
      <c r="A192" t="inlineStr">
        <is>
          <t>四级</t>
        </is>
      </c>
      <c r="B192" t="inlineStr">
        <is>
          <t>支出</t>
        </is>
      </c>
      <c r="C192" t="inlineStr">
        <is>
          <t>A02.90.01.02.04</t>
        </is>
      </c>
      <c r="D192" t="inlineStr">
        <is>
          <t>AA.05.01.02.04</t>
        </is>
      </c>
      <c r="F192" t="inlineStr">
        <is>
          <t>A02.90.01.02.04.001</t>
        </is>
      </c>
      <c r="K192" t="inlineStr">
        <is>
          <t>是</t>
        </is>
      </c>
      <c r="M192" t="inlineStr">
        <is>
          <t>05.01.02.04</t>
        </is>
      </c>
      <c r="N192" t="inlineStr">
        <is>
          <t>SUM</t>
        </is>
      </c>
    </row>
    <row r="193">
      <c r="A193" t="inlineStr">
        <is>
          <t>五级</t>
        </is>
      </c>
      <c r="B193" t="inlineStr">
        <is>
          <t>支出</t>
        </is>
      </c>
      <c r="C193" t="inlineStr">
        <is>
          <t>A02.90.01.02.04.001</t>
        </is>
      </c>
      <c r="D193" t="inlineStr">
        <is>
          <t>职场</t>
        </is>
      </c>
      <c r="K193" t="inlineStr">
        <is>
          <t>是</t>
        </is>
      </c>
      <c r="M193" t="inlineStr">
        <is>
          <t>05.01.02.04.001</t>
        </is>
      </c>
      <c r="N193" t="inlineStr">
        <is>
          <t>SUM</t>
        </is>
      </c>
    </row>
    <row r="194">
      <c r="A194" t="inlineStr">
        <is>
          <t>四级</t>
        </is>
      </c>
      <c r="B194" t="inlineStr">
        <is>
          <t>支出</t>
        </is>
      </c>
      <c r="C194" t="inlineStr">
        <is>
          <t>A02.90.01.02.05</t>
        </is>
      </c>
      <c r="D194" t="inlineStr">
        <is>
          <t>AA.05.01.02.05</t>
        </is>
      </c>
      <c r="F194" t="inlineStr">
        <is>
          <t>A02.90.01.02.05.001</t>
        </is>
      </c>
      <c r="K194" t="inlineStr">
        <is>
          <t>是</t>
        </is>
      </c>
      <c r="M194" t="inlineStr">
        <is>
          <t>05.01.02.05</t>
        </is>
      </c>
      <c r="N194" t="inlineStr">
        <is>
          <t>SUM</t>
        </is>
      </c>
    </row>
    <row r="195">
      <c r="A195" t="inlineStr">
        <is>
          <t>五级</t>
        </is>
      </c>
      <c r="B195" t="inlineStr">
        <is>
          <t>支出</t>
        </is>
      </c>
      <c r="C195" t="inlineStr">
        <is>
          <t>A02.90.01.02.05.001</t>
        </is>
      </c>
      <c r="D195" t="inlineStr">
        <is>
          <t>日常</t>
        </is>
      </c>
      <c r="K195" t="inlineStr">
        <is>
          <t>是</t>
        </is>
      </c>
      <c r="M195" t="inlineStr">
        <is>
          <t>05.01.02.05.001</t>
        </is>
      </c>
      <c r="N195" t="inlineStr">
        <is>
          <t>SUM</t>
        </is>
      </c>
    </row>
    <row r="196">
      <c r="A196" t="inlineStr">
        <is>
          <t>二级</t>
        </is>
      </c>
      <c r="B196" t="inlineStr">
        <is>
          <t>支出</t>
        </is>
      </c>
      <c r="C196" t="inlineStr">
        <is>
          <t>A02.90.02</t>
        </is>
      </c>
      <c r="D196" t="inlineStr">
        <is>
          <t>业务费用</t>
        </is>
      </c>
      <c r="F196" t="inlineStr">
        <is>
          <t>A02.90.02.01+A02.90.02.02</t>
        </is>
      </c>
      <c r="K196" t="inlineStr">
        <is>
          <t>是</t>
        </is>
      </c>
      <c r="N196" t="inlineStr">
        <is>
          <t>SUM</t>
        </is>
      </c>
    </row>
    <row r="197">
      <c r="A197" t="inlineStr">
        <is>
          <t>三级</t>
        </is>
      </c>
      <c r="B197" t="inlineStr">
        <is>
          <t>支出</t>
        </is>
      </c>
      <c r="C197" t="inlineStr">
        <is>
          <t>A02.90.02.01</t>
        </is>
      </c>
      <c r="D197" t="inlineStr">
        <is>
          <t>营销费用</t>
        </is>
      </c>
      <c r="K197" t="inlineStr">
        <is>
          <t>是</t>
        </is>
      </c>
      <c r="N197" t="inlineStr">
        <is>
          <t>SUM</t>
        </is>
      </c>
    </row>
    <row r="198">
      <c r="A198" t="inlineStr">
        <is>
          <t>三级</t>
        </is>
      </c>
      <c r="B198" t="inlineStr">
        <is>
          <t>支出</t>
        </is>
      </c>
      <c r="C198" t="inlineStr">
        <is>
          <t>A02.90.02.02</t>
        </is>
      </c>
      <c r="D198" t="inlineStr">
        <is>
          <t>运营费用</t>
        </is>
      </c>
      <c r="K198" t="inlineStr">
        <is>
          <t>是</t>
        </is>
      </c>
      <c r="N198" t="inlineStr">
        <is>
          <t>SUM</t>
        </is>
      </c>
    </row>
    <row r="199">
      <c r="A199" t="inlineStr">
        <is>
          <t>二级</t>
        </is>
      </c>
      <c r="B199" t="inlineStr">
        <is>
          <t>支出</t>
        </is>
      </c>
      <c r="C199" t="inlineStr">
        <is>
          <t>A02.90.03</t>
        </is>
      </c>
      <c r="D199" t="inlineStr">
        <is>
          <t>业务支出评估</t>
        </is>
      </c>
      <c r="F199" t="inlineStr">
        <is>
          <t>A02.90.03.09</t>
        </is>
      </c>
      <c r="K199" t="inlineStr">
        <is>
          <t>是</t>
        </is>
      </c>
      <c r="M199" t="inlineStr">
        <is>
          <t>05.02</t>
        </is>
      </c>
    </row>
    <row r="200">
      <c r="A200" t="inlineStr">
        <is>
          <t>三级</t>
        </is>
      </c>
      <c r="B200" t="inlineStr">
        <is>
          <t>支出</t>
        </is>
      </c>
      <c r="C200" t="inlineStr">
        <is>
          <t>A02.90.03.09</t>
        </is>
      </c>
      <c r="D200" t="inlineStr">
        <is>
          <t>客户经营指标</t>
        </is>
      </c>
      <c r="F200" t="inlineStr">
        <is>
          <t>A02.90.03.09.01+A02.90.03.09.02+A02.90.03.09.03</t>
        </is>
      </c>
      <c r="K200" t="inlineStr">
        <is>
          <t>是</t>
        </is>
      </c>
      <c r="M200" t="inlineStr">
        <is>
          <t>05.02.09</t>
        </is>
      </c>
    </row>
    <row r="201">
      <c r="A201" t="inlineStr">
        <is>
          <t>四级</t>
        </is>
      </c>
      <c r="B201" t="inlineStr">
        <is>
          <t>支出</t>
        </is>
      </c>
      <c r="C201" t="inlineStr">
        <is>
          <t>A02.90.03.09.01</t>
        </is>
      </c>
      <c r="D201" t="inlineStr">
        <is>
          <t>客户营销与投入</t>
        </is>
      </c>
      <c r="F201" t="inlineStr">
        <is>
          <t>A02.90.03.09.01.001+A02.90.03.09.01.002+A02.90.03.09.01.003+A02.90.03.09.01.004</t>
        </is>
      </c>
      <c r="K201" t="inlineStr">
        <is>
          <t>是</t>
        </is>
      </c>
      <c r="M201" t="inlineStr">
        <is>
          <t>05.02.09.01</t>
        </is>
      </c>
    </row>
    <row r="202">
      <c r="A202" t="inlineStr">
        <is>
          <t>五级</t>
        </is>
      </c>
      <c r="B202" t="inlineStr">
        <is>
          <t>支出</t>
        </is>
      </c>
      <c r="C202" t="inlineStr">
        <is>
          <t>A02.90.03.09.01.001</t>
        </is>
      </c>
      <c r="D202" t="inlineStr">
        <is>
          <t>新客营销支出</t>
        </is>
      </c>
      <c r="K202" t="inlineStr">
        <is>
          <t>是</t>
        </is>
      </c>
      <c r="M202" t="inlineStr">
        <is>
          <t>05.02.09.01.001</t>
        </is>
      </c>
      <c r="N202" t="inlineStr">
        <is>
          <t>SUM</t>
        </is>
      </c>
    </row>
    <row r="203">
      <c r="A203" t="inlineStr">
        <is>
          <t>五级</t>
        </is>
      </c>
      <c r="B203" t="inlineStr">
        <is>
          <t>支出</t>
        </is>
      </c>
      <c r="C203" t="inlineStr">
        <is>
          <t>A02.90.03.09.01.002</t>
        </is>
      </c>
      <c r="D203" t="inlineStr">
        <is>
          <t>存客营销支出</t>
        </is>
      </c>
      <c r="K203" t="inlineStr">
        <is>
          <t>是</t>
        </is>
      </c>
      <c r="M203" t="inlineStr">
        <is>
          <t>05.02.09.01.002</t>
        </is>
      </c>
      <c r="N203" t="inlineStr">
        <is>
          <t>SUM</t>
        </is>
      </c>
    </row>
    <row r="204">
      <c r="A204" t="inlineStr">
        <is>
          <t>五级</t>
        </is>
      </c>
      <c r="B204" t="inlineStr">
        <is>
          <t>支出</t>
        </is>
      </c>
      <c r="C204" t="inlineStr">
        <is>
          <t>A02.90.03.09.01.003</t>
        </is>
      </c>
      <c r="D204" t="inlineStr">
        <is>
          <t>新开通客户投入</t>
        </is>
      </c>
      <c r="K204" t="inlineStr">
        <is>
          <t>是</t>
        </is>
      </c>
      <c r="M204" t="inlineStr">
        <is>
          <t>05.02.09.01.003</t>
        </is>
      </c>
      <c r="N204" t="inlineStr">
        <is>
          <t>SUM</t>
        </is>
      </c>
    </row>
    <row r="205">
      <c r="A205" t="inlineStr">
        <is>
          <t>五级</t>
        </is>
      </c>
      <c r="B205" t="inlineStr">
        <is>
          <t>支出</t>
        </is>
      </c>
      <c r="C205" t="inlineStr">
        <is>
          <t>A02.90.03.09.01.004</t>
        </is>
      </c>
      <c r="D205" t="inlineStr">
        <is>
          <t>新发放投入</t>
        </is>
      </c>
      <c r="K205" t="inlineStr">
        <is>
          <t>是</t>
        </is>
      </c>
      <c r="M205" t="inlineStr">
        <is>
          <t>05.02.09.01.004</t>
        </is>
      </c>
      <c r="N205" t="inlineStr">
        <is>
          <t>SUM</t>
        </is>
      </c>
    </row>
    <row r="206">
      <c r="A206" t="inlineStr">
        <is>
          <t>四级</t>
        </is>
      </c>
      <c r="B206" t="inlineStr">
        <is>
          <t>支出</t>
        </is>
      </c>
      <c r="C206" t="inlineStr">
        <is>
          <t>A02.90.03.09.02</t>
        </is>
      </c>
      <c r="D206" t="inlineStr">
        <is>
          <t>客户规模与数量</t>
        </is>
      </c>
      <c r="F206" t="inlineStr">
        <is>
          <t>A02.90.03.09.02.101+A02.90.03.09.02.102+A02.90.03.09.02.103</t>
        </is>
      </c>
      <c r="K206" t="inlineStr">
        <is>
          <t>是</t>
        </is>
      </c>
      <c r="M206" t="inlineStr">
        <is>
          <t>05.02.09.02</t>
        </is>
      </c>
    </row>
    <row r="207">
      <c r="A207" t="inlineStr">
        <is>
          <t>五级</t>
        </is>
      </c>
      <c r="B207" t="inlineStr">
        <is>
          <t>支出</t>
        </is>
      </c>
      <c r="C207" t="inlineStr">
        <is>
          <t>A02.90.03.09.02.001</t>
        </is>
      </c>
      <c r="D207" t="inlineStr">
        <is>
          <t>新客日均LUM</t>
        </is>
      </c>
      <c r="K207" t="inlineStr">
        <is>
          <t>是</t>
        </is>
      </c>
      <c r="M207" t="inlineStr">
        <is>
          <t>05.02.09.02.001</t>
        </is>
      </c>
      <c r="N207" t="inlineStr">
        <is>
          <t>SUM</t>
        </is>
      </c>
    </row>
    <row r="208">
      <c r="A208" t="inlineStr">
        <is>
          <t>五级</t>
        </is>
      </c>
      <c r="B208" t="inlineStr">
        <is>
          <t>支出</t>
        </is>
      </c>
      <c r="C208" t="inlineStr">
        <is>
          <t>A02.90.03.09.02.002</t>
        </is>
      </c>
      <c r="D208" t="inlineStr">
        <is>
          <t>存客日均LUM</t>
        </is>
      </c>
      <c r="K208" t="inlineStr">
        <is>
          <t>是</t>
        </is>
      </c>
      <c r="M208" t="inlineStr">
        <is>
          <t>05.02.09.02.002</t>
        </is>
      </c>
      <c r="N208" t="inlineStr">
        <is>
          <t>SUM</t>
        </is>
      </c>
    </row>
    <row r="209">
      <c r="A209" t="inlineStr">
        <is>
          <t>五级</t>
        </is>
      </c>
      <c r="B209" t="inlineStr">
        <is>
          <t>支出</t>
        </is>
      </c>
      <c r="C209" t="inlineStr">
        <is>
          <t>A02.90.03.09.02.003</t>
        </is>
      </c>
      <c r="D209" t="inlineStr">
        <is>
          <t>新开通客户数</t>
        </is>
      </c>
      <c r="K209" t="inlineStr">
        <is>
          <t>是</t>
        </is>
      </c>
      <c r="M209" t="inlineStr">
        <is>
          <t>05.02.09.02.003</t>
        </is>
      </c>
      <c r="N209" t="inlineStr">
        <is>
          <t>SUM</t>
        </is>
      </c>
    </row>
    <row r="210">
      <c r="A210" t="inlineStr">
        <is>
          <t>五级</t>
        </is>
      </c>
      <c r="B210" t="inlineStr">
        <is>
          <t>支出</t>
        </is>
      </c>
      <c r="C210" t="inlineStr">
        <is>
          <t>A02.90.03.09.02.004</t>
        </is>
      </c>
      <c r="D210" t="inlineStr">
        <is>
          <t>平均有效客户数</t>
        </is>
      </c>
      <c r="K210" t="inlineStr">
        <is>
          <t>是</t>
        </is>
      </c>
      <c r="M210" t="inlineStr">
        <is>
          <t>05.02.09.02.004</t>
        </is>
      </c>
      <c r="N210" t="inlineStr">
        <is>
          <t>SUM</t>
        </is>
      </c>
    </row>
    <row r="211">
      <c r="A211" t="inlineStr">
        <is>
          <t>五级</t>
        </is>
      </c>
      <c r="B211" t="inlineStr">
        <is>
          <t>支出</t>
        </is>
      </c>
      <c r="C211" t="inlineStr">
        <is>
          <t>A02.90.03.09.02.005</t>
        </is>
      </c>
      <c r="D211" t="inlineStr">
        <is>
          <t>新发放LUM</t>
        </is>
      </c>
      <c r="K211" t="inlineStr">
        <is>
          <t>是</t>
        </is>
      </c>
      <c r="M211" t="inlineStr">
        <is>
          <t>05.02.09.02.005</t>
        </is>
      </c>
      <c r="N211" t="inlineStr">
        <is>
          <t>SUM</t>
        </is>
      </c>
    </row>
    <row r="212">
      <c r="A212" t="inlineStr">
        <is>
          <t>五级</t>
        </is>
      </c>
      <c r="B212" t="inlineStr">
        <is>
          <t>支出</t>
        </is>
      </c>
      <c r="C212" t="inlineStr">
        <is>
          <t>A02.90.03.09.02.006</t>
        </is>
      </c>
      <c r="D212" t="inlineStr">
        <is>
          <t>新发放LUM（标服）</t>
        </is>
      </c>
      <c r="K212" t="inlineStr">
        <is>
          <t>是</t>
        </is>
      </c>
      <c r="M212" t="inlineStr">
        <is>
          <t>05.02.09.02.006</t>
        </is>
      </c>
      <c r="N212" t="inlineStr">
        <is>
          <t>SUM</t>
        </is>
      </c>
    </row>
    <row r="213">
      <c r="A213" t="inlineStr">
        <is>
          <t>五级</t>
        </is>
      </c>
      <c r="B213" t="inlineStr">
        <is>
          <t>支出</t>
        </is>
      </c>
      <c r="C213" t="inlineStr">
        <is>
          <t>A02.90.03.09.02.007</t>
        </is>
      </c>
      <c r="D213" t="inlineStr">
        <is>
          <t>存客日均AuM</t>
        </is>
      </c>
      <c r="K213" t="inlineStr">
        <is>
          <t>是</t>
        </is>
      </c>
      <c r="M213" t="inlineStr">
        <is>
          <t>05.02.09.02.007</t>
        </is>
      </c>
      <c r="N213" t="inlineStr">
        <is>
          <t>SUM</t>
        </is>
      </c>
    </row>
    <row r="214">
      <c r="A214" t="inlineStr">
        <is>
          <t>五级</t>
        </is>
      </c>
      <c r="B214" t="inlineStr">
        <is>
          <t>支出</t>
        </is>
      </c>
      <c r="C214" t="inlineStr">
        <is>
          <t>A02.90.03.09.02.008</t>
        </is>
      </c>
      <c r="D214" t="inlineStr">
        <is>
          <t>新客AuM余额</t>
        </is>
      </c>
      <c r="K214" t="inlineStr">
        <is>
          <t>是</t>
        </is>
      </c>
      <c r="M214" t="inlineStr">
        <is>
          <t>05.02.09.02.008</t>
        </is>
      </c>
      <c r="N214" t="inlineStr">
        <is>
          <t>SUM</t>
        </is>
      </c>
    </row>
    <row r="215">
      <c r="A215" t="inlineStr">
        <is>
          <t>五级</t>
        </is>
      </c>
      <c r="B215" t="inlineStr">
        <is>
          <t>支出</t>
        </is>
      </c>
      <c r="C215" t="inlineStr">
        <is>
          <t>A02.90.03.09.02.009</t>
        </is>
      </c>
      <c r="D215" t="inlineStr">
        <is>
          <t>MFAU客户数</t>
        </is>
      </c>
      <c r="K215" t="inlineStr">
        <is>
          <t>是</t>
        </is>
      </c>
      <c r="M215" t="inlineStr">
        <is>
          <t>05.02.09.02.009</t>
        </is>
      </c>
      <c r="N215" t="inlineStr">
        <is>
          <t>SUM</t>
        </is>
      </c>
    </row>
    <row r="216">
      <c r="A216" t="inlineStr">
        <is>
          <t>五级</t>
        </is>
      </c>
      <c r="B216" t="inlineStr">
        <is>
          <t>支出</t>
        </is>
      </c>
      <c r="C216" t="inlineStr">
        <is>
          <t>A02.90.03.09.02.010</t>
        </is>
      </c>
      <c r="D216" t="inlineStr">
        <is>
          <t>日均LUM</t>
        </is>
      </c>
      <c r="K216" t="inlineStr">
        <is>
          <t>是</t>
        </is>
      </c>
      <c r="M216" t="inlineStr">
        <is>
          <t>05.02.09.02.010</t>
        </is>
      </c>
      <c r="N216" t="inlineStr">
        <is>
          <t>SUM</t>
        </is>
      </c>
    </row>
    <row r="217">
      <c r="A217" t="inlineStr">
        <is>
          <t>五级</t>
        </is>
      </c>
      <c r="B217" t="inlineStr">
        <is>
          <t>支出</t>
        </is>
      </c>
      <c r="C217" t="inlineStr">
        <is>
          <t>A02.90.03.09.02.011</t>
        </is>
      </c>
      <c r="D217" t="inlineStr">
        <is>
          <t>日均AuM</t>
        </is>
      </c>
      <c r="K217" t="inlineStr">
        <is>
          <t>是</t>
        </is>
      </c>
      <c r="M217" t="inlineStr">
        <is>
          <t>05.02.09.02.011</t>
        </is>
      </c>
      <c r="N217" t="inlineStr">
        <is>
          <t>SUM</t>
        </is>
      </c>
    </row>
    <row r="218">
      <c r="A218" t="inlineStr">
        <is>
          <t>五级</t>
        </is>
      </c>
      <c r="B218" t="inlineStr">
        <is>
          <t>支出</t>
        </is>
      </c>
      <c r="C218" t="inlineStr">
        <is>
          <t>A02.90.03.09.02.101</t>
        </is>
      </c>
      <c r="D218" t="inlineStr">
        <is>
          <t>LUM规模</t>
        </is>
      </c>
      <c r="F218" t="inlineStr">
        <is>
          <t>A02.90.03.09.02.001+A02.90.03.09.02.002+A02.90.03.09.02.005+A02.90.03.09.02.006+A02.90.03.09.02.010</t>
        </is>
      </c>
      <c r="K218" t="inlineStr">
        <is>
          <t>是</t>
        </is>
      </c>
      <c r="M218" t="inlineStr">
        <is>
          <t>05.02.09.02.101</t>
        </is>
      </c>
    </row>
    <row r="219">
      <c r="A219" t="inlineStr">
        <is>
          <t>五级</t>
        </is>
      </c>
      <c r="B219" t="inlineStr">
        <is>
          <t>支出</t>
        </is>
      </c>
      <c r="C219" t="inlineStr">
        <is>
          <t>A02.90.03.09.02.102</t>
        </is>
      </c>
      <c r="D219" t="inlineStr">
        <is>
          <t>AuM规模</t>
        </is>
      </c>
      <c r="F219" t="inlineStr">
        <is>
          <t>A02.90.03.09.02.007+A02.90.03.09.02.008+A02.90.03.09.02.011</t>
        </is>
      </c>
      <c r="K219" t="inlineStr">
        <is>
          <t>是</t>
        </is>
      </c>
      <c r="M219" t="inlineStr">
        <is>
          <t>05.02.09.02.102</t>
        </is>
      </c>
    </row>
    <row r="220">
      <c r="A220" t="inlineStr">
        <is>
          <t>五级</t>
        </is>
      </c>
      <c r="B220" t="inlineStr">
        <is>
          <t>支出</t>
        </is>
      </c>
      <c r="C220" t="inlineStr">
        <is>
          <t>A02.90.03.09.02.103</t>
        </is>
      </c>
      <c r="D220" t="inlineStr">
        <is>
          <t>客户数量</t>
        </is>
      </c>
      <c r="F220" t="inlineStr">
        <is>
          <t>A02.90.03.09.02.003+A02.90.03.09.02.004+A02.90.03.09.02.009</t>
        </is>
      </c>
      <c r="K220" t="inlineStr">
        <is>
          <t>是</t>
        </is>
      </c>
      <c r="M220" t="inlineStr">
        <is>
          <t>05.02.09.02.103</t>
        </is>
      </c>
    </row>
    <row r="221">
      <c r="A221" t="inlineStr">
        <is>
          <t>四级</t>
        </is>
      </c>
      <c r="B221" t="inlineStr">
        <is>
          <t>支出</t>
        </is>
      </c>
      <c r="C221" t="inlineStr">
        <is>
          <t>A02.90.03.09.03</t>
        </is>
      </c>
      <c r="D221" t="inlineStr">
        <is>
          <t>客户回收与催收</t>
        </is>
      </c>
      <c r="F221" t="inlineStr">
        <is>
          <t>A02.90.03.09.03.001+A02.90.03.09.03.002+A02.90.03.09.03.003</t>
        </is>
      </c>
      <c r="K221" t="inlineStr">
        <is>
          <t>是</t>
        </is>
      </c>
      <c r="M221" t="inlineStr">
        <is>
          <t>05.02.09.03</t>
        </is>
      </c>
    </row>
    <row r="222">
      <c r="A222" t="inlineStr">
        <is>
          <t>五级</t>
        </is>
      </c>
      <c r="B222" t="inlineStr">
        <is>
          <t>支出</t>
        </is>
      </c>
      <c r="C222" t="inlineStr">
        <is>
          <t>A02.90.03.09.03.001</t>
        </is>
      </c>
      <c r="D222" t="inlineStr">
        <is>
          <t>内催回收额</t>
        </is>
      </c>
      <c r="K222" t="inlineStr">
        <is>
          <t>是</t>
        </is>
      </c>
      <c r="M222" t="inlineStr">
        <is>
          <t>05.02.09.03.001</t>
        </is>
      </c>
      <c r="N222" t="inlineStr">
        <is>
          <t>SUM</t>
        </is>
      </c>
    </row>
    <row r="223">
      <c r="A223" t="inlineStr">
        <is>
          <t>五级</t>
        </is>
      </c>
      <c r="B223" t="inlineStr">
        <is>
          <t>支出</t>
        </is>
      </c>
      <c r="C223" t="inlineStr">
        <is>
          <t>A02.90.03.09.03.002</t>
        </is>
      </c>
      <c r="D223" t="inlineStr">
        <is>
          <t>M6-压降金额</t>
        </is>
      </c>
      <c r="K223" t="inlineStr">
        <is>
          <t>是</t>
        </is>
      </c>
      <c r="M223" t="inlineStr">
        <is>
          <t>05.02.09.03.002</t>
        </is>
      </c>
      <c r="N223" t="inlineStr">
        <is>
          <t>SUM</t>
        </is>
      </c>
    </row>
    <row r="224">
      <c r="A224" t="inlineStr">
        <is>
          <t>五级</t>
        </is>
      </c>
      <c r="B224" t="inlineStr">
        <is>
          <t>支出</t>
        </is>
      </c>
      <c r="C224" t="inlineStr">
        <is>
          <t>A02.90.03.09.03.003</t>
        </is>
      </c>
      <c r="D224" t="inlineStr">
        <is>
          <t>M7+现金回收额</t>
        </is>
      </c>
      <c r="K224" t="inlineStr">
        <is>
          <t>是</t>
        </is>
      </c>
      <c r="M224" t="inlineStr">
        <is>
          <t>05.02.09.03.003</t>
        </is>
      </c>
      <c r="N224" t="inlineStr">
        <is>
          <t>SUM</t>
        </is>
      </c>
    </row>
    <row r="225"/>
    <row r="226"/>
    <row r="227"/>
    <row r="228"/>
    <row r="229"/>
    <row r="230"/>
    <row r="231"/>
    <row r="232"/>
    <row r="233"/>
    <row r="234"/>
    <row r="23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177"/>
  <sheetViews>
    <sheetView workbookViewId="0">
      <pane xSplit="4" ySplit="1" topLeftCell="E41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 customHeight="1"/>
  <cols>
    <col width="8.66071428571429" customWidth="1" style="5" min="1" max="2"/>
    <col width="11" customWidth="1" style="5" min="3" max="3"/>
    <col width="17.5" customWidth="1" style="5" min="4" max="4"/>
    <col width="8.66071428571429" customWidth="1" style="5" min="5" max="9"/>
    <col width="10.1607142857143" customWidth="1" style="5" min="10" max="10"/>
    <col width="8.66071428571429" customWidth="1" style="5" min="11" max="16384"/>
  </cols>
  <sheetData>
    <row r="1" customFormat="1" s="1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3" t="inlineStr">
        <is>
          <t>录入粒度</t>
        </is>
      </c>
      <c r="F1" s="3" t="inlineStr">
        <is>
          <t>年预算公式</t>
        </is>
      </c>
      <c r="G1" s="3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6" t="n"/>
      <c r="O1" s="6" t="n"/>
      <c r="P1" t="inlineStr">
        <is>
          <t>规则</t>
        </is>
      </c>
    </row>
    <row r="2">
      <c r="A2" s="7" t="inlineStr">
        <is>
          <t>一级</t>
        </is>
      </c>
      <c r="B2" s="1" t="inlineStr">
        <is>
          <t>收入</t>
        </is>
      </c>
      <c r="C2" s="8" t="inlineStr">
        <is>
          <t>A03.01</t>
        </is>
      </c>
      <c r="D2" s="7" t="inlineStr">
        <is>
          <t>营业收入</t>
        </is>
      </c>
      <c r="F2" t="inlineStr">
        <is>
          <t>A03.01.01+A03.01.02+A03.01.03</t>
        </is>
      </c>
      <c r="H2" s="5">
        <f>H3+H6+H7</f>
        <v/>
      </c>
      <c r="I2" s="5">
        <f>I3+I6+I7</f>
        <v/>
      </c>
      <c r="M2" t="inlineStr">
        <is>
          <t>01</t>
        </is>
      </c>
    </row>
    <row r="3">
      <c r="A3" s="1" t="inlineStr">
        <is>
          <t>二级</t>
        </is>
      </c>
      <c r="B3" s="1" t="inlineStr">
        <is>
          <t>收入</t>
        </is>
      </c>
      <c r="C3" s="8" t="inlineStr">
        <is>
          <t>A03.01.01</t>
        </is>
      </c>
      <c r="D3" s="7" t="inlineStr">
        <is>
          <t xml:space="preserve">  利息净收入</t>
        </is>
      </c>
      <c r="F3" t="inlineStr">
        <is>
          <t>A03.01.01.01+A03.01.01.02</t>
        </is>
      </c>
      <c r="H3" s="5">
        <f>H4+H5</f>
        <v/>
      </c>
      <c r="I3" s="5">
        <f>I4+I5</f>
        <v/>
      </c>
      <c r="M3" t="inlineStr">
        <is>
          <t>01.01</t>
        </is>
      </c>
    </row>
    <row r="4">
      <c r="A4" s="1" t="inlineStr">
        <is>
          <t>三级</t>
        </is>
      </c>
      <c r="B4" s="1" t="inlineStr">
        <is>
          <t>收入</t>
        </is>
      </c>
      <c r="C4" s="9" t="inlineStr">
        <is>
          <t>A03.01.01.01</t>
        </is>
      </c>
      <c r="D4" s="1" t="inlineStr">
        <is>
          <t xml:space="preserve">    资产业务</t>
        </is>
      </c>
      <c r="H4" s="5">
        <f>H53-H57</f>
        <v/>
      </c>
      <c r="I4" s="5">
        <f>I53-I57</f>
        <v/>
      </c>
      <c r="M4" t="inlineStr">
        <is>
          <t>01.01.01</t>
        </is>
      </c>
      <c r="P4" t="inlineStr">
        <is>
          <t>SUM</t>
        </is>
      </c>
    </row>
    <row r="5">
      <c r="A5" s="1" t="inlineStr">
        <is>
          <t>三级</t>
        </is>
      </c>
      <c r="B5" s="1" t="inlineStr">
        <is>
          <t>收入</t>
        </is>
      </c>
      <c r="C5" s="9" t="inlineStr">
        <is>
          <t>A03.01.01.02</t>
        </is>
      </c>
      <c r="D5" s="1" t="inlineStr">
        <is>
          <t xml:space="preserve">    负债业务</t>
        </is>
      </c>
      <c r="H5" s="5">
        <f>H70-H63</f>
        <v/>
      </c>
      <c r="I5" s="5">
        <f>I70-I63</f>
        <v/>
      </c>
      <c r="M5" t="inlineStr">
        <is>
          <t>01.01.02</t>
        </is>
      </c>
      <c r="P5" t="inlineStr">
        <is>
          <t>SUM</t>
        </is>
      </c>
    </row>
    <row r="6">
      <c r="A6" s="1" t="inlineStr">
        <is>
          <t>二级</t>
        </is>
      </c>
      <c r="B6" s="1" t="inlineStr">
        <is>
          <t>收入</t>
        </is>
      </c>
      <c r="C6" s="8" t="inlineStr">
        <is>
          <t>A03.01.02</t>
        </is>
      </c>
      <c r="D6" s="7" t="inlineStr">
        <is>
          <t xml:space="preserve">  手续费净收入</t>
        </is>
      </c>
      <c r="H6" s="5">
        <f>H82-H88</f>
        <v/>
      </c>
      <c r="I6" s="5">
        <f>I82-I88</f>
        <v/>
      </c>
      <c r="M6" t="inlineStr">
        <is>
          <t>01.02</t>
        </is>
      </c>
      <c r="P6" t="inlineStr">
        <is>
          <t>SUM</t>
        </is>
      </c>
    </row>
    <row r="7">
      <c r="A7" s="1" t="inlineStr">
        <is>
          <t>二级</t>
        </is>
      </c>
      <c r="B7" s="1" t="inlineStr">
        <is>
          <t>收入</t>
        </is>
      </c>
      <c r="C7" s="8" t="inlineStr">
        <is>
          <t>A03.01.03</t>
        </is>
      </c>
      <c r="D7" s="7" t="inlineStr">
        <is>
          <t xml:space="preserve">  其他营收</t>
        </is>
      </c>
      <c r="H7" s="5">
        <f>H102+H104</f>
        <v/>
      </c>
      <c r="I7" s="5">
        <f>I102+I104</f>
        <v/>
      </c>
      <c r="M7" t="inlineStr">
        <is>
          <t>01.03</t>
        </is>
      </c>
      <c r="P7" t="inlineStr">
        <is>
          <t>SUM</t>
        </is>
      </c>
    </row>
    <row r="8">
      <c r="A8" s="7" t="inlineStr">
        <is>
          <t>一级</t>
        </is>
      </c>
      <c r="B8" s="1" t="inlineStr">
        <is>
          <t>支出</t>
        </is>
      </c>
      <c r="C8" s="8" t="inlineStr">
        <is>
          <t>A03.02</t>
        </is>
      </c>
      <c r="D8" s="7" t="inlineStr">
        <is>
          <t>减：风险成本</t>
        </is>
      </c>
      <c r="M8" t="inlineStr">
        <is>
          <t>02</t>
        </is>
      </c>
      <c r="P8" t="inlineStr">
        <is>
          <t>SUM</t>
        </is>
      </c>
    </row>
    <row r="9">
      <c r="A9" s="7" t="inlineStr">
        <is>
          <t>一级</t>
        </is>
      </c>
      <c r="B9" s="1" t="inlineStr">
        <is>
          <t>收入</t>
        </is>
      </c>
      <c r="C9" s="8" t="inlineStr">
        <is>
          <t>A03.03</t>
        </is>
      </c>
      <c r="D9" s="7" t="inlineStr">
        <is>
          <t>净收入</t>
        </is>
      </c>
      <c r="F9" t="inlineStr">
        <is>
          <t>A03.01-A03.02</t>
        </is>
      </c>
      <c r="H9" s="5">
        <f>H2-H8</f>
        <v/>
      </c>
      <c r="I9" s="5">
        <f>I2-I8</f>
        <v/>
      </c>
      <c r="M9" t="inlineStr">
        <is>
          <t>03</t>
        </is>
      </c>
    </row>
    <row r="10">
      <c r="A10" s="7" t="inlineStr">
        <is>
          <t>一级</t>
        </is>
      </c>
      <c r="B10" s="1" t="inlineStr">
        <is>
          <t>支出</t>
        </is>
      </c>
      <c r="C10" s="8" t="inlineStr">
        <is>
          <t>A03.04</t>
        </is>
      </c>
      <c r="D10" s="7" t="inlineStr">
        <is>
          <t>减：税金及附加</t>
        </is>
      </c>
      <c r="M10" t="inlineStr">
        <is>
          <t>04</t>
        </is>
      </c>
      <c r="P10" t="inlineStr">
        <is>
          <t>SUM</t>
        </is>
      </c>
    </row>
    <row r="11">
      <c r="A11" s="7" t="inlineStr">
        <is>
          <t>一级</t>
        </is>
      </c>
      <c r="B11" s="1" t="inlineStr">
        <is>
          <t>支出</t>
        </is>
      </c>
      <c r="C11" s="8" t="inlineStr">
        <is>
          <t>A03.05</t>
        </is>
      </c>
      <c r="D11" s="7" t="inlineStr">
        <is>
          <t>减：直接费用</t>
        </is>
      </c>
      <c r="F11" t="inlineStr">
        <is>
          <t>A03.90.01+A03.90.02+A03.90.03+A03.90.04+A03.90.05</t>
        </is>
      </c>
      <c r="H11" s="5">
        <f>H12+H15+H18+H25+H26</f>
        <v/>
      </c>
      <c r="I11" s="5">
        <f>I12+I15+I18+I25+I26</f>
        <v/>
      </c>
      <c r="K11" t="inlineStr">
        <is>
          <t>是</t>
        </is>
      </c>
      <c r="M11" t="inlineStr">
        <is>
          <t>05</t>
        </is>
      </c>
    </row>
    <row r="12">
      <c r="A12" s="1" t="inlineStr">
        <is>
          <t>二级</t>
        </is>
      </c>
      <c r="B12" s="1" t="inlineStr">
        <is>
          <t>支出</t>
        </is>
      </c>
      <c r="C12" s="8" t="inlineStr">
        <is>
          <t>A03.05.01</t>
        </is>
      </c>
      <c r="D12" s="7" t="inlineStr">
        <is>
          <t xml:space="preserve">  人力费用（不含IT）</t>
        </is>
      </c>
      <c r="F12" t="inlineStr">
        <is>
          <t>A03.90.01.01+A03.90.01.02</t>
        </is>
      </c>
      <c r="H12" s="5">
        <f>H13+H14</f>
        <v/>
      </c>
      <c r="I12" s="5">
        <f>I13+I14</f>
        <v/>
      </c>
      <c r="K12" t="inlineStr">
        <is>
          <t>是</t>
        </is>
      </c>
      <c r="M12" t="inlineStr">
        <is>
          <t>05.01</t>
        </is>
      </c>
    </row>
    <row r="13">
      <c r="A13" s="1" t="inlineStr">
        <is>
          <t>三级</t>
        </is>
      </c>
      <c r="B13" s="1" t="inlineStr">
        <is>
          <t>支出</t>
        </is>
      </c>
      <c r="C13" s="9" t="inlineStr">
        <is>
          <t>A03.05.01.01</t>
        </is>
      </c>
      <c r="D13" s="1" t="inlineStr">
        <is>
          <t xml:space="preserve">    常规人力</t>
        </is>
      </c>
      <c r="F13" t="inlineStr">
        <is>
          <t>A03.90.01.01.01+A03.90.01.01.02+A03.90.01.01.03+A03.90.01.01.04.001+A03.90.01.01.05.001</t>
        </is>
      </c>
      <c r="K13" t="inlineStr">
        <is>
          <t>是</t>
        </is>
      </c>
      <c r="M13" t="inlineStr">
        <is>
          <t>05.01.01</t>
        </is>
      </c>
    </row>
    <row r="14">
      <c r="A14" s="1" t="inlineStr">
        <is>
          <t>三级</t>
        </is>
      </c>
      <c r="B14" s="1" t="inlineStr">
        <is>
          <t>支出</t>
        </is>
      </c>
      <c r="C14" s="9" t="inlineStr">
        <is>
          <t>A03.05.01.02</t>
        </is>
      </c>
      <c r="D14" s="1" t="inlineStr">
        <is>
          <t xml:space="preserve">    特别人力</t>
        </is>
      </c>
      <c r="F14" t="inlineStr">
        <is>
          <t>A03.90.01.02.01+A03.90.01.02.02+A03.90.01.02.03+A03.90.01.02.04.001+A03.90.01.02.05.001</t>
        </is>
      </c>
      <c r="K14" t="inlineStr">
        <is>
          <t>是</t>
        </is>
      </c>
      <c r="M14" t="inlineStr">
        <is>
          <t>05.01.02</t>
        </is>
      </c>
    </row>
    <row r="15">
      <c r="A15" s="1" t="inlineStr">
        <is>
          <t>二级</t>
        </is>
      </c>
      <c r="B15" s="1" t="inlineStr">
        <is>
          <t>支出</t>
        </is>
      </c>
      <c r="C15" s="8" t="inlineStr">
        <is>
          <t>A03.05.02</t>
        </is>
      </c>
      <c r="D15" s="7" t="inlineStr">
        <is>
          <t xml:space="preserve">  业务费用</t>
        </is>
      </c>
      <c r="F15" t="inlineStr">
        <is>
          <t>A03.90.02.01+A03.90.02.02+A03.90.02.09</t>
        </is>
      </c>
      <c r="H15" s="5">
        <f>H16+H17</f>
        <v/>
      </c>
      <c r="I15" s="5">
        <f>I16+I17</f>
        <v/>
      </c>
      <c r="K15" t="inlineStr">
        <is>
          <t>是</t>
        </is>
      </c>
      <c r="M15" t="inlineStr">
        <is>
          <t>05.02</t>
        </is>
      </c>
    </row>
    <row r="16">
      <c r="A16" s="1" t="inlineStr">
        <is>
          <t>三级</t>
        </is>
      </c>
      <c r="B16" s="1" t="inlineStr">
        <is>
          <t>支出</t>
        </is>
      </c>
      <c r="C16" s="9" t="inlineStr">
        <is>
          <t>A03.05.02.01</t>
        </is>
      </c>
      <c r="D16" s="1" t="inlineStr">
        <is>
          <t xml:space="preserve">    营销费用</t>
        </is>
      </c>
      <c r="K16" t="inlineStr">
        <is>
          <t>是</t>
        </is>
      </c>
      <c r="M16" t="inlineStr">
        <is>
          <t>05.02.01</t>
        </is>
      </c>
      <c r="P16" t="inlineStr">
        <is>
          <t>SUM</t>
        </is>
      </c>
    </row>
    <row r="17">
      <c r="A17" s="1" t="inlineStr">
        <is>
          <t>三级</t>
        </is>
      </c>
      <c r="B17" s="1" t="inlineStr">
        <is>
          <t>支出</t>
        </is>
      </c>
      <c r="C17" s="9" t="inlineStr">
        <is>
          <t>A03.05.02.02</t>
        </is>
      </c>
      <c r="D17" s="1" t="inlineStr">
        <is>
          <t xml:space="preserve">    运营费用</t>
        </is>
      </c>
      <c r="K17" t="inlineStr">
        <is>
          <t>是</t>
        </is>
      </c>
      <c r="M17" t="inlineStr">
        <is>
          <t>05.02.02</t>
        </is>
      </c>
      <c r="P17" t="inlineStr">
        <is>
          <t>SUM</t>
        </is>
      </c>
    </row>
    <row r="18">
      <c r="A18" s="1" t="inlineStr">
        <is>
          <t>二级</t>
        </is>
      </c>
      <c r="B18" s="1" t="inlineStr">
        <is>
          <t>支出</t>
        </is>
      </c>
      <c r="C18" s="8" t="inlineStr">
        <is>
          <t>A03.05.03</t>
        </is>
      </c>
      <c r="D18" s="7" t="inlineStr">
        <is>
          <t xml:space="preserve">  IT费用</t>
        </is>
      </c>
      <c r="F18" t="inlineStr">
        <is>
          <t>A03.90.03.01+A03.90.03.02+A03.90.03.03+A03.90.03.04</t>
        </is>
      </c>
      <c r="H18" s="5">
        <f>H19+H22+H23+H24</f>
        <v/>
      </c>
      <c r="I18" s="5">
        <f>I19+I22+I23+I24</f>
        <v/>
      </c>
      <c r="K18" t="inlineStr">
        <is>
          <t>是</t>
        </is>
      </c>
      <c r="M18" t="inlineStr">
        <is>
          <t>05.03</t>
        </is>
      </c>
    </row>
    <row r="19">
      <c r="A19" s="1" t="inlineStr">
        <is>
          <t>三级</t>
        </is>
      </c>
      <c r="B19" s="1" t="inlineStr">
        <is>
          <t>支出</t>
        </is>
      </c>
      <c r="C19" s="9" t="inlineStr">
        <is>
          <t>A03.05.03.01</t>
        </is>
      </c>
      <c r="D19" s="1" t="inlineStr">
        <is>
          <t xml:space="preserve">    IT人力</t>
        </is>
      </c>
      <c r="F19" t="inlineStr">
        <is>
          <t>A03.90.03.01.01+A03.90.03.01.02</t>
        </is>
      </c>
      <c r="H19" s="5">
        <f>H20+H21</f>
        <v/>
      </c>
      <c r="I19" s="5">
        <f>I20+I21</f>
        <v/>
      </c>
      <c r="K19" t="inlineStr">
        <is>
          <t>是</t>
        </is>
      </c>
      <c r="M19" t="inlineStr">
        <is>
          <t>05.03.01</t>
        </is>
      </c>
    </row>
    <row r="20">
      <c r="A20" s="1" t="inlineStr">
        <is>
          <t>四级</t>
        </is>
      </c>
      <c r="B20" s="1" t="inlineStr">
        <is>
          <t>支出</t>
        </is>
      </c>
      <c r="C20" s="9" t="inlineStr">
        <is>
          <t>A03.05.03.01.01</t>
        </is>
      </c>
      <c r="D20" s="1" t="inlineStr">
        <is>
          <t xml:space="preserve">      IT常规人力</t>
        </is>
      </c>
      <c r="K20" t="inlineStr">
        <is>
          <t>是</t>
        </is>
      </c>
      <c r="M20" t="inlineStr">
        <is>
          <t>05.03.01.01</t>
        </is>
      </c>
      <c r="P20" t="inlineStr">
        <is>
          <t>SUM</t>
        </is>
      </c>
    </row>
    <row r="21">
      <c r="A21" s="1" t="inlineStr">
        <is>
          <t>四级</t>
        </is>
      </c>
      <c r="B21" s="1" t="inlineStr">
        <is>
          <t>支出</t>
        </is>
      </c>
      <c r="C21" s="9" t="inlineStr">
        <is>
          <t>A03.05.03.01.02</t>
        </is>
      </c>
      <c r="D21" s="1" t="inlineStr">
        <is>
          <t xml:space="preserve">      IT特别人力</t>
        </is>
      </c>
      <c r="K21" t="inlineStr">
        <is>
          <t>是</t>
        </is>
      </c>
      <c r="M21" t="inlineStr">
        <is>
          <t>05.03.01.02</t>
        </is>
      </c>
      <c r="P21" t="inlineStr">
        <is>
          <t>SUM</t>
        </is>
      </c>
    </row>
    <row r="22">
      <c r="A22" s="1" t="inlineStr">
        <is>
          <t>三级</t>
        </is>
      </c>
      <c r="B22" s="1" t="inlineStr">
        <is>
          <t>支出</t>
        </is>
      </c>
      <c r="C22" s="9" t="inlineStr">
        <is>
          <t>A03.05.03.02</t>
        </is>
      </c>
      <c r="D22" s="1" t="inlineStr">
        <is>
          <t xml:space="preserve">    科技费用</t>
        </is>
      </c>
      <c r="K22" t="inlineStr">
        <is>
          <t>是</t>
        </is>
      </c>
      <c r="M22" t="inlineStr">
        <is>
          <t>05.03.02</t>
        </is>
      </c>
      <c r="P22" t="inlineStr">
        <is>
          <t>SUM</t>
        </is>
      </c>
    </row>
    <row r="23">
      <c r="A23" s="1" t="inlineStr">
        <is>
          <t>三级</t>
        </is>
      </c>
      <c r="B23" s="1" t="inlineStr">
        <is>
          <t>支出</t>
        </is>
      </c>
      <c r="C23" s="9" t="inlineStr">
        <is>
          <t>A03.05.03.03</t>
        </is>
      </c>
      <c r="D23" s="1" t="inlineStr">
        <is>
          <t xml:space="preserve">    IT职场</t>
        </is>
      </c>
      <c r="K23" t="inlineStr">
        <is>
          <t>是</t>
        </is>
      </c>
      <c r="M23" t="inlineStr">
        <is>
          <t>05.03.03</t>
        </is>
      </c>
      <c r="P23" t="inlineStr">
        <is>
          <t>SUM</t>
        </is>
      </c>
    </row>
    <row r="24">
      <c r="A24" s="1" t="inlineStr">
        <is>
          <t>三级</t>
        </is>
      </c>
      <c r="B24" s="1" t="inlineStr">
        <is>
          <t>支出</t>
        </is>
      </c>
      <c r="C24" s="9" t="inlineStr">
        <is>
          <t>A03.05.03.04</t>
        </is>
      </c>
      <c r="D24" s="1" t="inlineStr">
        <is>
          <t xml:space="preserve">    IT日常</t>
        </is>
      </c>
      <c r="K24" t="inlineStr">
        <is>
          <t>是</t>
        </is>
      </c>
      <c r="M24" t="inlineStr">
        <is>
          <t>05.03.04</t>
        </is>
      </c>
      <c r="P24" t="inlineStr">
        <is>
          <t>SUM</t>
        </is>
      </c>
    </row>
    <row r="25">
      <c r="A25" s="1" t="inlineStr">
        <is>
          <t>二级</t>
        </is>
      </c>
      <c r="B25" s="1" t="inlineStr">
        <is>
          <t>支出</t>
        </is>
      </c>
      <c r="C25" s="8" t="inlineStr">
        <is>
          <t>A03.05.04</t>
        </is>
      </c>
      <c r="D25" s="7" t="inlineStr">
        <is>
          <t xml:space="preserve">  职场费用</t>
        </is>
      </c>
      <c r="K25" t="inlineStr">
        <is>
          <t>是</t>
        </is>
      </c>
      <c r="M25" t="inlineStr">
        <is>
          <t>05.04</t>
        </is>
      </c>
      <c r="P25" t="inlineStr">
        <is>
          <t>SUM</t>
        </is>
      </c>
    </row>
    <row r="26">
      <c r="A26" s="1" t="inlineStr">
        <is>
          <t>二级</t>
        </is>
      </c>
      <c r="B26" s="1" t="inlineStr">
        <is>
          <t>支出</t>
        </is>
      </c>
      <c r="C26" s="8" t="inlineStr">
        <is>
          <t>A03.05.05</t>
        </is>
      </c>
      <c r="D26" s="7" t="inlineStr">
        <is>
          <t xml:space="preserve">  日常费用</t>
        </is>
      </c>
      <c r="K26" t="inlineStr">
        <is>
          <t>是</t>
        </is>
      </c>
      <c r="M26" t="inlineStr">
        <is>
          <t>05.05</t>
        </is>
      </c>
      <c r="P26" t="inlineStr">
        <is>
          <t>SUM</t>
        </is>
      </c>
    </row>
    <row r="27">
      <c r="A27" s="7" t="inlineStr">
        <is>
          <t>一级</t>
        </is>
      </c>
      <c r="B27" s="1" t="inlineStr">
        <is>
          <t>收入</t>
        </is>
      </c>
      <c r="C27" s="8" t="inlineStr">
        <is>
          <t>A03.06</t>
        </is>
      </c>
      <c r="D27" s="7" t="inlineStr">
        <is>
          <t>加：营业外净收入</t>
        </is>
      </c>
      <c r="M27" t="inlineStr">
        <is>
          <t>06</t>
        </is>
      </c>
      <c r="P27" t="inlineStr">
        <is>
          <t>SUM</t>
        </is>
      </c>
    </row>
    <row r="28">
      <c r="A28" s="7" t="inlineStr">
        <is>
          <t>一级</t>
        </is>
      </c>
      <c r="B28" s="1" t="inlineStr">
        <is>
          <t>利润</t>
        </is>
      </c>
      <c r="C28" s="8" t="inlineStr">
        <is>
          <t>A03.07</t>
        </is>
      </c>
      <c r="D28" s="7" t="inlineStr">
        <is>
          <t>分摊前利润</t>
        </is>
      </c>
      <c r="F28" t="inlineStr">
        <is>
          <t>A03.03-A03.04-A03.90+A03.06</t>
        </is>
      </c>
      <c r="H28" s="5">
        <f>H9-H10-H11+H27</f>
        <v/>
      </c>
      <c r="I28" s="5">
        <f>I9-I10-I11+I27</f>
        <v/>
      </c>
      <c r="M28" t="inlineStr">
        <is>
          <t>07</t>
        </is>
      </c>
    </row>
    <row r="29">
      <c r="A29" s="7" t="inlineStr">
        <is>
          <t>一级</t>
        </is>
      </c>
      <c r="B29" s="1" t="inlineStr">
        <is>
          <t>支出</t>
        </is>
      </c>
      <c r="C29" s="8" t="inlineStr">
        <is>
          <t>A03.08</t>
        </is>
      </c>
      <c r="D29" s="7" t="inlineStr">
        <is>
          <t>减：固定管理费</t>
        </is>
      </c>
      <c r="M29" t="inlineStr">
        <is>
          <t>08</t>
        </is>
      </c>
      <c r="P29" t="inlineStr">
        <is>
          <t>SUM</t>
        </is>
      </c>
    </row>
    <row r="30">
      <c r="A30" s="7" t="inlineStr">
        <is>
          <t>一级</t>
        </is>
      </c>
      <c r="B30" s="1" t="inlineStr">
        <is>
          <t>利润</t>
        </is>
      </c>
      <c r="C30" s="8" t="inlineStr">
        <is>
          <t>A03.09</t>
        </is>
      </c>
      <c r="D30" s="7" t="inlineStr">
        <is>
          <t>税前利润</t>
        </is>
      </c>
      <c r="F30" t="inlineStr">
        <is>
          <t>A03.07-A03.08</t>
        </is>
      </c>
      <c r="H30" s="5">
        <f>H28-H29</f>
        <v/>
      </c>
      <c r="I30" s="5">
        <f>I28-I29</f>
        <v/>
      </c>
      <c r="M30" t="inlineStr">
        <is>
          <t>09</t>
        </is>
      </c>
    </row>
    <row r="31">
      <c r="A31" s="10" t="n"/>
      <c r="B31" s="10" t="n"/>
      <c r="C31" s="10" t="n"/>
      <c r="D31" s="10" t="n"/>
    </row>
    <row r="32">
      <c r="A32" s="7" t="inlineStr">
        <is>
          <t>一级</t>
        </is>
      </c>
      <c r="B32" s="7" t="inlineStr">
        <is>
          <t>资产余额</t>
        </is>
      </c>
      <c r="C32" s="11" t="inlineStr">
        <is>
          <t>A03.10</t>
        </is>
      </c>
      <c r="D32" s="11" t="inlineStr">
        <is>
          <t>管理贷款</t>
        </is>
      </c>
      <c r="F32" t="inlineStr">
        <is>
          <t>A03.10.01+A03.10.02+A03.10.03</t>
        </is>
      </c>
      <c r="H32" s="5">
        <f>H33+H35+H36</f>
        <v/>
      </c>
      <c r="I32" s="5">
        <f>I33+I35+I36</f>
        <v/>
      </c>
      <c r="M32" t="inlineStr">
        <is>
          <t>10</t>
        </is>
      </c>
    </row>
    <row r="33">
      <c r="A33" s="1" t="inlineStr">
        <is>
          <t>二级</t>
        </is>
      </c>
      <c r="B33" s="7" t="inlineStr">
        <is>
          <t>资产余额</t>
        </is>
      </c>
      <c r="C33" s="10" t="inlineStr">
        <is>
          <t>A03.10.01</t>
        </is>
      </c>
      <c r="D33" s="10" t="inlineStr">
        <is>
          <t xml:space="preserve">  自持</t>
        </is>
      </c>
      <c r="F33" t="inlineStr">
        <is>
          <t>A03.10.01.01</t>
        </is>
      </c>
      <c r="H33" s="5">
        <f>H34</f>
        <v/>
      </c>
      <c r="I33" s="5">
        <f>I34</f>
        <v/>
      </c>
      <c r="M33" t="inlineStr">
        <is>
          <t>10.01</t>
        </is>
      </c>
    </row>
    <row r="34">
      <c r="A34" s="1" t="inlineStr">
        <is>
          <t>三级</t>
        </is>
      </c>
      <c r="B34" s="7" t="inlineStr">
        <is>
          <t>资产余额</t>
        </is>
      </c>
      <c r="C34" s="10" t="inlineStr">
        <is>
          <t>A03.10.01.01</t>
        </is>
      </c>
      <c r="D34" s="10" t="inlineStr">
        <is>
          <t xml:space="preserve">    一般贷款</t>
        </is>
      </c>
      <c r="M34" t="inlineStr">
        <is>
          <t>10.01.01</t>
        </is>
      </c>
      <c r="P34" t="inlineStr">
        <is>
          <t>LAST</t>
        </is>
      </c>
    </row>
    <row r="35">
      <c r="A35" s="1" t="inlineStr">
        <is>
          <t>二级</t>
        </is>
      </c>
      <c r="B35" s="7" t="inlineStr">
        <is>
          <t>资产余额</t>
        </is>
      </c>
      <c r="C35" s="10" t="inlineStr">
        <is>
          <t>A03.10.02</t>
        </is>
      </c>
      <c r="D35" s="10" t="inlineStr">
        <is>
          <t xml:space="preserve">  联贷</t>
        </is>
      </c>
      <c r="M35" t="inlineStr">
        <is>
          <t>10.02</t>
        </is>
      </c>
      <c r="P35" t="inlineStr">
        <is>
          <t>LAST</t>
        </is>
      </c>
    </row>
    <row r="36">
      <c r="A36" s="1" t="inlineStr">
        <is>
          <t>二级</t>
        </is>
      </c>
      <c r="B36" s="7" t="inlineStr">
        <is>
          <t>资产余额</t>
        </is>
      </c>
      <c r="C36" s="10" t="inlineStr">
        <is>
          <t>A03.10.03</t>
        </is>
      </c>
      <c r="D36" s="10" t="inlineStr">
        <is>
          <t xml:space="preserve">  流转</t>
        </is>
      </c>
      <c r="M36" t="inlineStr">
        <is>
          <t>10.03</t>
        </is>
      </c>
      <c r="P36" t="inlineStr">
        <is>
          <t>LAST</t>
        </is>
      </c>
    </row>
    <row r="37">
      <c r="A37" s="7" t="inlineStr">
        <is>
          <t>一级</t>
        </is>
      </c>
      <c r="B37" s="7" t="inlineStr">
        <is>
          <t>资产日均</t>
        </is>
      </c>
      <c r="C37" s="11" t="inlineStr">
        <is>
          <t>A03.11</t>
        </is>
      </c>
      <c r="D37" s="11" t="inlineStr">
        <is>
          <t>管理贷款日均</t>
        </is>
      </c>
      <c r="F37" t="inlineStr">
        <is>
          <t>A03.11.01+A03.11.02+A03.11.03</t>
        </is>
      </c>
      <c r="H37" s="5">
        <f>H38+H40+H41</f>
        <v/>
      </c>
      <c r="I37" s="5">
        <f>I38+I40+I41</f>
        <v/>
      </c>
      <c r="M37" t="inlineStr">
        <is>
          <t>11</t>
        </is>
      </c>
    </row>
    <row r="38">
      <c r="A38" s="1" t="inlineStr">
        <is>
          <t>二级</t>
        </is>
      </c>
      <c r="B38" s="7" t="inlineStr">
        <is>
          <t>资产日均</t>
        </is>
      </c>
      <c r="C38" s="10" t="inlineStr">
        <is>
          <t>A03.11.01</t>
        </is>
      </c>
      <c r="D38" s="10" t="inlineStr">
        <is>
          <t xml:space="preserve">  自持</t>
        </is>
      </c>
      <c r="F38" t="inlineStr">
        <is>
          <t>A03.11.01.01</t>
        </is>
      </c>
      <c r="H38" s="5">
        <f>H39</f>
        <v/>
      </c>
      <c r="I38" s="5">
        <f>I39</f>
        <v/>
      </c>
      <c r="M38" t="inlineStr">
        <is>
          <t>11.01</t>
        </is>
      </c>
    </row>
    <row r="39">
      <c r="A39" s="1" t="inlineStr">
        <is>
          <t>三级</t>
        </is>
      </c>
      <c r="B39" s="7" t="inlineStr">
        <is>
          <t>资产日均</t>
        </is>
      </c>
      <c r="C39" s="10" t="inlineStr">
        <is>
          <t>A03.11.01.01</t>
        </is>
      </c>
      <c r="D39" s="10" t="inlineStr">
        <is>
          <t xml:space="preserve">    一般贷款</t>
        </is>
      </c>
      <c r="M39" t="inlineStr">
        <is>
          <t>11.01.01</t>
        </is>
      </c>
      <c r="P39" t="inlineStr">
        <is>
          <t>AVG</t>
        </is>
      </c>
    </row>
    <row r="40">
      <c r="A40" s="1" t="inlineStr">
        <is>
          <t>二级</t>
        </is>
      </c>
      <c r="B40" s="7" t="inlineStr">
        <is>
          <t>资产日均</t>
        </is>
      </c>
      <c r="C40" s="10" t="inlineStr">
        <is>
          <t>A03.11.02</t>
        </is>
      </c>
      <c r="D40" s="10" t="inlineStr">
        <is>
          <t xml:space="preserve">  联贷</t>
        </is>
      </c>
      <c r="M40" t="inlineStr">
        <is>
          <t>11.02</t>
        </is>
      </c>
      <c r="P40" t="inlineStr">
        <is>
          <t>AVG</t>
        </is>
      </c>
    </row>
    <row r="41">
      <c r="A41" s="1" t="inlineStr">
        <is>
          <t>二级</t>
        </is>
      </c>
      <c r="B41" s="7" t="inlineStr">
        <is>
          <t>资产日均</t>
        </is>
      </c>
      <c r="C41" s="10" t="inlineStr">
        <is>
          <t>A03.11.03</t>
        </is>
      </c>
      <c r="D41" s="10" t="inlineStr">
        <is>
          <t xml:space="preserve">  流转</t>
        </is>
      </c>
      <c r="M41" t="inlineStr">
        <is>
          <t>11.03</t>
        </is>
      </c>
      <c r="P41" t="inlineStr">
        <is>
          <t>AVG</t>
        </is>
      </c>
    </row>
    <row r="42">
      <c r="A42" s="1" t="n"/>
      <c r="B42" s="7" t="n"/>
      <c r="C42" s="10" t="n"/>
      <c r="D42" s="10" t="n"/>
    </row>
    <row r="43">
      <c r="A43" s="7" t="inlineStr">
        <is>
          <t>一级</t>
        </is>
      </c>
      <c r="B43" s="1" t="inlineStr">
        <is>
          <t>负债余额</t>
        </is>
      </c>
      <c r="C43" s="11" t="inlineStr">
        <is>
          <t>A03.12</t>
        </is>
      </c>
      <c r="D43" s="11" t="inlineStr">
        <is>
          <t>管理资产余额</t>
        </is>
      </c>
      <c r="F43" t="inlineStr">
        <is>
          <t>A03.12.01</t>
        </is>
      </c>
      <c r="H43" s="5">
        <f>H44</f>
        <v/>
      </c>
      <c r="I43" s="5">
        <f>I44</f>
        <v/>
      </c>
      <c r="M43" t="inlineStr">
        <is>
          <t>12</t>
        </is>
      </c>
    </row>
    <row r="44">
      <c r="A44" s="7" t="inlineStr">
        <is>
          <t>二级</t>
        </is>
      </c>
      <c r="B44" s="1" t="inlineStr">
        <is>
          <t>负债余额</t>
        </is>
      </c>
      <c r="C44" s="11" t="inlineStr">
        <is>
          <t>A03.12.01</t>
        </is>
      </c>
      <c r="D44" s="11" t="inlineStr">
        <is>
          <t xml:space="preserve">  存款</t>
        </is>
      </c>
      <c r="M44" t="inlineStr">
        <is>
          <t>12.01</t>
        </is>
      </c>
      <c r="P44" t="inlineStr">
        <is>
          <t>LAST</t>
        </is>
      </c>
    </row>
    <row r="45">
      <c r="A45" s="7" t="inlineStr">
        <is>
          <t>一级</t>
        </is>
      </c>
      <c r="B45" s="1" t="inlineStr">
        <is>
          <t>负债日均</t>
        </is>
      </c>
      <c r="C45" s="11" t="inlineStr">
        <is>
          <t>A03.13</t>
        </is>
      </c>
      <c r="D45" s="11" t="inlineStr">
        <is>
          <t>管理资产日均</t>
        </is>
      </c>
      <c r="F45" t="inlineStr">
        <is>
          <t>A03.13.01</t>
        </is>
      </c>
      <c r="H45" s="5">
        <f>H46</f>
        <v/>
      </c>
      <c r="I45" s="5">
        <f>I46</f>
        <v/>
      </c>
      <c r="M45" t="inlineStr">
        <is>
          <t>13</t>
        </is>
      </c>
    </row>
    <row r="46">
      <c r="A46" s="7" t="inlineStr">
        <is>
          <t>二级</t>
        </is>
      </c>
      <c r="B46" s="1" t="inlineStr">
        <is>
          <t>负债日均</t>
        </is>
      </c>
      <c r="C46" s="11" t="inlineStr">
        <is>
          <t>A03.13.01</t>
        </is>
      </c>
      <c r="D46" s="11" t="inlineStr">
        <is>
          <t xml:space="preserve">  存款</t>
        </is>
      </c>
      <c r="M46" t="inlineStr">
        <is>
          <t>13.01</t>
        </is>
      </c>
      <c r="P46" t="inlineStr">
        <is>
          <t>AVG</t>
        </is>
      </c>
    </row>
    <row r="47">
      <c r="A47" s="7" t="n"/>
      <c r="B47" s="1" t="n"/>
      <c r="C47" s="11" t="n"/>
      <c r="D47" s="11" t="n"/>
    </row>
    <row r="48">
      <c r="A48" s="7" t="inlineStr">
        <is>
          <t>一级</t>
        </is>
      </c>
      <c r="B48" s="1" t="inlineStr">
        <is>
          <t>负债余额</t>
        </is>
      </c>
      <c r="C48" s="11" t="inlineStr">
        <is>
          <t>A03.26</t>
        </is>
      </c>
      <c r="D48" s="11" t="inlineStr">
        <is>
          <t>同业负债余额</t>
        </is>
      </c>
      <c r="F48" t="inlineStr">
        <is>
          <t>A03.26.02</t>
        </is>
      </c>
      <c r="H48" s="5">
        <f>H49</f>
        <v/>
      </c>
      <c r="I48" s="5">
        <f>I49</f>
        <v/>
      </c>
      <c r="M48" t="inlineStr">
        <is>
          <t>26</t>
        </is>
      </c>
    </row>
    <row r="49">
      <c r="A49" s="1" t="inlineStr">
        <is>
          <t>二级</t>
        </is>
      </c>
      <c r="B49" s="1" t="inlineStr">
        <is>
          <t>负债余额</t>
        </is>
      </c>
      <c r="C49" s="10" t="inlineStr">
        <is>
          <t>A03.26.02</t>
        </is>
      </c>
      <c r="D49" s="10" t="inlineStr">
        <is>
          <t xml:space="preserve">      同业存放余额</t>
        </is>
      </c>
      <c r="M49" t="inlineStr">
        <is>
          <t>26.02</t>
        </is>
      </c>
      <c r="P49" t="inlineStr">
        <is>
          <t>LAST</t>
        </is>
      </c>
    </row>
    <row r="50">
      <c r="A50" s="7" t="inlineStr">
        <is>
          <t>一级</t>
        </is>
      </c>
      <c r="B50" s="1" t="inlineStr">
        <is>
          <t>负债日均</t>
        </is>
      </c>
      <c r="C50" s="11" t="inlineStr">
        <is>
          <t>A03.27</t>
        </is>
      </c>
      <c r="D50" s="11" t="inlineStr">
        <is>
          <t>同业负债日均</t>
        </is>
      </c>
      <c r="F50" t="inlineStr">
        <is>
          <t>A03.27.02</t>
        </is>
      </c>
      <c r="H50" s="5">
        <f>H51</f>
        <v/>
      </c>
      <c r="I50" s="5">
        <f>I51</f>
        <v/>
      </c>
      <c r="M50" t="inlineStr">
        <is>
          <t>27</t>
        </is>
      </c>
    </row>
    <row r="51">
      <c r="A51" s="1" t="inlineStr">
        <is>
          <t>二级</t>
        </is>
      </c>
      <c r="B51" s="1" t="inlineStr">
        <is>
          <t>负债日均</t>
        </is>
      </c>
      <c r="C51" s="10" t="inlineStr">
        <is>
          <t>A03.27.02</t>
        </is>
      </c>
      <c r="D51" s="10" t="inlineStr">
        <is>
          <t xml:space="preserve">      同业存放日均</t>
        </is>
      </c>
      <c r="M51" t="inlineStr">
        <is>
          <t>27.02</t>
        </is>
      </c>
      <c r="P51" t="inlineStr">
        <is>
          <t>AVG</t>
        </is>
      </c>
    </row>
    <row r="52">
      <c r="A52" s="7" t="n"/>
      <c r="B52" s="1" t="n"/>
      <c r="C52" s="11" t="n"/>
      <c r="D52" s="11" t="n"/>
    </row>
    <row r="53">
      <c r="A53" s="11" t="inlineStr">
        <is>
          <t>一级</t>
        </is>
      </c>
      <c r="B53" s="11" t="inlineStr">
        <is>
          <t>收入</t>
        </is>
      </c>
      <c r="C53" s="11" t="inlineStr">
        <is>
          <t>A03.14</t>
        </is>
      </c>
      <c r="D53" s="11" t="inlineStr">
        <is>
          <t>利息收入</t>
        </is>
      </c>
      <c r="F53" t="inlineStr">
        <is>
          <t>A03.14.01</t>
        </is>
      </c>
      <c r="H53" s="5">
        <f>H54</f>
        <v/>
      </c>
      <c r="I53" s="5">
        <f>I54</f>
        <v/>
      </c>
      <c r="M53" t="inlineStr">
        <is>
          <t>14</t>
        </is>
      </c>
    </row>
    <row r="54">
      <c r="A54" s="11" t="inlineStr">
        <is>
          <t>二级</t>
        </is>
      </c>
      <c r="B54" s="11" t="inlineStr">
        <is>
          <t>收入</t>
        </is>
      </c>
      <c r="C54" s="11" t="inlineStr">
        <is>
          <t>A03.14.01</t>
        </is>
      </c>
      <c r="D54" s="11" t="inlineStr">
        <is>
          <t xml:space="preserve">  贷款利息收入</t>
        </is>
      </c>
      <c r="F54" t="inlineStr">
        <is>
          <t>A03.14.01.01</t>
        </is>
      </c>
      <c r="I54" s="5">
        <f>I38*I55</f>
        <v/>
      </c>
      <c r="J54" s="5" t="inlineStr">
        <is>
          <t>收支月化指标</t>
        </is>
      </c>
      <c r="M54" t="inlineStr">
        <is>
          <t>14.01</t>
        </is>
      </c>
    </row>
    <row r="55">
      <c r="A55" s="1" t="inlineStr">
        <is>
          <t>三级</t>
        </is>
      </c>
      <c r="B55" s="1" t="inlineStr">
        <is>
          <t>其他</t>
        </is>
      </c>
      <c r="C55" s="10" t="inlineStr">
        <is>
          <t>A03.14.01.01</t>
        </is>
      </c>
      <c r="D55" s="10" t="inlineStr">
        <is>
          <t xml:space="preserve">    贷款收息率</t>
        </is>
      </c>
      <c r="H55" s="5">
        <f>H54/H38</f>
        <v/>
      </c>
      <c r="J55" s="5" t="inlineStr">
        <is>
          <t>率年化指标</t>
        </is>
      </c>
      <c r="M55" t="inlineStr">
        <is>
          <t>14.01.01</t>
        </is>
      </c>
      <c r="P55" t="inlineStr">
        <is>
          <t>WGT</t>
        </is>
      </c>
    </row>
    <row r="56">
      <c r="A56" s="1" t="n"/>
      <c r="B56" s="1" t="n"/>
      <c r="C56" s="10" t="n"/>
      <c r="D56" s="10" t="n"/>
    </row>
    <row r="57">
      <c r="A57" s="7" t="inlineStr">
        <is>
          <t>一级</t>
        </is>
      </c>
      <c r="B57" s="7" t="inlineStr">
        <is>
          <t>支出</t>
        </is>
      </c>
      <c r="C57" s="11" t="inlineStr">
        <is>
          <t>A03.15</t>
        </is>
      </c>
      <c r="D57" s="11" t="inlineStr">
        <is>
          <t>FTP成本</t>
        </is>
      </c>
      <c r="E57" s="12" t="n"/>
      <c r="F57" s="12" t="inlineStr">
        <is>
          <t>A03.15.01+A03.15.99</t>
        </is>
      </c>
      <c r="G57" s="12" t="n"/>
      <c r="H57" s="12">
        <f>H58+H60</f>
        <v/>
      </c>
      <c r="I57" s="12">
        <f>I58+I60</f>
        <v/>
      </c>
      <c r="J57" s="12" t="n"/>
      <c r="M57" t="inlineStr">
        <is>
          <t>15</t>
        </is>
      </c>
    </row>
    <row r="58">
      <c r="A58" s="7" t="inlineStr">
        <is>
          <t>二级</t>
        </is>
      </c>
      <c r="B58" s="7" t="inlineStr">
        <is>
          <t>支出</t>
        </is>
      </c>
      <c r="C58" s="11" t="inlineStr">
        <is>
          <t>A03.15.01</t>
        </is>
      </c>
      <c r="D58" s="11" t="inlineStr">
        <is>
          <t xml:space="preserve">  贷款FTP成本</t>
        </is>
      </c>
      <c r="E58" s="12" t="n"/>
      <c r="F58" s="12" t="inlineStr">
        <is>
          <t>A03.15.01.01</t>
        </is>
      </c>
      <c r="G58" s="12" t="n"/>
      <c r="H58" s="12" t="n"/>
      <c r="I58" s="12">
        <f>I38*I59</f>
        <v/>
      </c>
      <c r="J58" s="12" t="inlineStr">
        <is>
          <t>收支月化指标</t>
        </is>
      </c>
      <c r="M58" t="inlineStr">
        <is>
          <t>15.01</t>
        </is>
      </c>
    </row>
    <row r="59">
      <c r="A59" s="1" t="inlineStr">
        <is>
          <t>三级</t>
        </is>
      </c>
      <c r="B59" s="1" t="inlineStr">
        <is>
          <t>其他</t>
        </is>
      </c>
      <c r="C59" s="10" t="inlineStr">
        <is>
          <t>A03.15.01.01</t>
        </is>
      </c>
      <c r="D59" s="10" t="inlineStr">
        <is>
          <t xml:space="preserve">    贷款FTP</t>
        </is>
      </c>
      <c r="H59" s="5">
        <f>H58/H38</f>
        <v/>
      </c>
      <c r="J59" s="5" t="inlineStr">
        <is>
          <t>率年化指标</t>
        </is>
      </c>
      <c r="M59" t="inlineStr">
        <is>
          <t>15.01.01</t>
        </is>
      </c>
      <c r="P59" t="inlineStr">
        <is>
          <t>WGT</t>
        </is>
      </c>
    </row>
    <row r="60">
      <c r="A60" s="7" t="inlineStr">
        <is>
          <t>二级</t>
        </is>
      </c>
      <c r="B60" s="7" t="inlineStr">
        <is>
          <t>支出</t>
        </is>
      </c>
      <c r="C60" s="11" t="inlineStr">
        <is>
          <t>A03.15.99</t>
        </is>
      </c>
      <c r="D60" s="11" t="inlineStr">
        <is>
          <t xml:space="preserve">  其他FTP成本</t>
        </is>
      </c>
      <c r="F60" t="inlineStr">
        <is>
          <t>A03.15.99.01</t>
        </is>
      </c>
      <c r="H60" s="5">
        <f>H61</f>
        <v/>
      </c>
      <c r="I60" s="5">
        <f>I61</f>
        <v/>
      </c>
      <c r="M60" t="inlineStr">
        <is>
          <t>15.99</t>
        </is>
      </c>
    </row>
    <row r="61">
      <c r="A61" s="10" t="inlineStr">
        <is>
          <t>三级</t>
        </is>
      </c>
      <c r="B61" s="10" t="inlineStr">
        <is>
          <t>支出</t>
        </is>
      </c>
      <c r="C61" s="10" t="inlineStr">
        <is>
          <t>A03.15.99.01</t>
        </is>
      </c>
      <c r="D61" s="10" t="inlineStr">
        <is>
          <t xml:space="preserve">    流动性备付FTP成本</t>
        </is>
      </c>
      <c r="M61" t="inlineStr">
        <is>
          <t>15.99.01</t>
        </is>
      </c>
      <c r="P61" t="inlineStr">
        <is>
          <t>SUM</t>
        </is>
      </c>
    </row>
    <row r="62">
      <c r="A62" s="1" t="n"/>
      <c r="B62" s="1" t="n"/>
      <c r="C62" s="10" t="n"/>
      <c r="D62" s="10" t="n"/>
    </row>
    <row r="63">
      <c r="A63" s="7" t="inlineStr">
        <is>
          <t>一级</t>
        </is>
      </c>
      <c r="B63" s="7" t="inlineStr">
        <is>
          <t>支出</t>
        </is>
      </c>
      <c r="C63" s="11" t="inlineStr">
        <is>
          <t>A03.16</t>
        </is>
      </c>
      <c r="D63" s="11" t="inlineStr">
        <is>
          <t>利息支出</t>
        </is>
      </c>
      <c r="F63" t="inlineStr">
        <is>
          <t>A03.16.01+A03.16.02</t>
        </is>
      </c>
      <c r="H63" s="5">
        <f>H64+H66</f>
        <v/>
      </c>
      <c r="I63" s="5">
        <f>I64+I66</f>
        <v/>
      </c>
      <c r="M63" t="inlineStr">
        <is>
          <t>16</t>
        </is>
      </c>
    </row>
    <row r="64">
      <c r="A64" s="11" t="inlineStr">
        <is>
          <t>二级</t>
        </is>
      </c>
      <c r="B64" s="11" t="inlineStr">
        <is>
          <t>支出</t>
        </is>
      </c>
      <c r="C64" s="11" t="inlineStr">
        <is>
          <t>A03.16.01</t>
        </is>
      </c>
      <c r="D64" s="11" t="inlineStr">
        <is>
          <t xml:space="preserve">  存款利息支出</t>
        </is>
      </c>
      <c r="F64" t="inlineStr">
        <is>
          <t>A03.16.01.01</t>
        </is>
      </c>
      <c r="I64" s="5">
        <f>I46*I65</f>
        <v/>
      </c>
      <c r="J64" s="5" t="inlineStr">
        <is>
          <t>收支月化指标</t>
        </is>
      </c>
      <c r="M64" t="inlineStr">
        <is>
          <t>16.01</t>
        </is>
      </c>
    </row>
    <row r="65">
      <c r="A65" s="10" t="inlineStr">
        <is>
          <t>三级</t>
        </is>
      </c>
      <c r="B65" s="10" t="inlineStr">
        <is>
          <t>其他</t>
        </is>
      </c>
      <c r="C65" s="10" t="inlineStr">
        <is>
          <t>A03.16.01.01</t>
        </is>
      </c>
      <c r="D65" s="10" t="inlineStr">
        <is>
          <t xml:space="preserve">    存款付息率</t>
        </is>
      </c>
      <c r="H65" s="5">
        <f>H64/H46</f>
        <v/>
      </c>
      <c r="J65" s="5" t="inlineStr">
        <is>
          <t>率年化指标</t>
        </is>
      </c>
      <c r="M65" t="inlineStr">
        <is>
          <t>16.01.01</t>
        </is>
      </c>
      <c r="P65" t="inlineStr">
        <is>
          <t>WGT</t>
        </is>
      </c>
    </row>
    <row r="66">
      <c r="A66" s="7" t="inlineStr">
        <is>
          <t>二级</t>
        </is>
      </c>
      <c r="B66" s="7" t="inlineStr">
        <is>
          <t>支出</t>
        </is>
      </c>
      <c r="C66" s="11" t="inlineStr">
        <is>
          <t>A03.16.02</t>
        </is>
      </c>
      <c r="D66" s="11" t="inlineStr">
        <is>
          <t xml:space="preserve">  金融机构往来利息支出</t>
        </is>
      </c>
      <c r="F66" t="inlineStr">
        <is>
          <t>A03.16.02.02</t>
        </is>
      </c>
      <c r="H66" s="5">
        <f>H67</f>
        <v/>
      </c>
      <c r="I66" s="5">
        <f>I67</f>
        <v/>
      </c>
      <c r="M66" t="inlineStr">
        <is>
          <t>16.02</t>
        </is>
      </c>
    </row>
    <row r="67">
      <c r="A67" s="1" t="inlineStr">
        <is>
          <t>三级</t>
        </is>
      </c>
      <c r="B67" s="1" t="inlineStr">
        <is>
          <t>支出</t>
        </is>
      </c>
      <c r="C67" s="10" t="inlineStr">
        <is>
          <t>A03.16.02.02</t>
        </is>
      </c>
      <c r="D67" s="10" t="inlineStr">
        <is>
          <t xml:space="preserve">    同业存放利息支出</t>
        </is>
      </c>
      <c r="F67" t="inlineStr">
        <is>
          <t>A03.16.02.02.01</t>
        </is>
      </c>
      <c r="I67" s="5">
        <f>I51*I68</f>
        <v/>
      </c>
      <c r="J67" s="5" t="inlineStr">
        <is>
          <t>收支月化指标</t>
        </is>
      </c>
      <c r="M67" t="inlineStr">
        <is>
          <t>16.02.02</t>
        </is>
      </c>
    </row>
    <row r="68">
      <c r="A68" s="1" t="inlineStr">
        <is>
          <t>四级</t>
        </is>
      </c>
      <c r="B68" s="1" t="inlineStr">
        <is>
          <t>其他</t>
        </is>
      </c>
      <c r="C68" s="10" t="inlineStr">
        <is>
          <t>A03.16.02.02.01</t>
        </is>
      </c>
      <c r="D68" s="10" t="inlineStr">
        <is>
          <t xml:space="preserve">      同业存放付息率</t>
        </is>
      </c>
      <c r="H68" s="5">
        <f>H67/H51</f>
        <v/>
      </c>
      <c r="J68" s="5" t="inlineStr">
        <is>
          <t>率年化指标</t>
        </is>
      </c>
      <c r="M68" t="inlineStr">
        <is>
          <t>16.02.02.01</t>
        </is>
      </c>
      <c r="P68" t="inlineStr">
        <is>
          <t>WGT</t>
        </is>
      </c>
    </row>
    <row r="69">
      <c r="A69" s="1" t="n"/>
      <c r="B69" s="1" t="n"/>
      <c r="C69" s="10" t="n"/>
      <c r="D69" s="10" t="n"/>
    </row>
    <row r="70">
      <c r="A70" s="7" t="inlineStr">
        <is>
          <t>一级</t>
        </is>
      </c>
      <c r="B70" s="7" t="inlineStr">
        <is>
          <t>收入</t>
        </is>
      </c>
      <c r="C70" s="11" t="inlineStr">
        <is>
          <t>A03.17</t>
        </is>
      </c>
      <c r="D70" s="11" t="inlineStr">
        <is>
          <t>FTP收入</t>
        </is>
      </c>
      <c r="F70" t="inlineStr">
        <is>
          <t>A03.17.01+A03.17.02+A03.17.99</t>
        </is>
      </c>
      <c r="H70" s="5">
        <f>H71+H73</f>
        <v/>
      </c>
      <c r="I70" s="5">
        <f>I71+I73</f>
        <v/>
      </c>
      <c r="M70" t="inlineStr">
        <is>
          <t>17</t>
        </is>
      </c>
    </row>
    <row r="71">
      <c r="A71" s="7" t="inlineStr">
        <is>
          <t>二级</t>
        </is>
      </c>
      <c r="B71" s="7" t="inlineStr">
        <is>
          <t>收入</t>
        </is>
      </c>
      <c r="C71" s="11" t="inlineStr">
        <is>
          <t>A03.17.01</t>
        </is>
      </c>
      <c r="D71" s="11" t="inlineStr">
        <is>
          <t xml:space="preserve">  存款FTP收入</t>
        </is>
      </c>
      <c r="F71" t="inlineStr">
        <is>
          <t>A03.17.01.01</t>
        </is>
      </c>
      <c r="I71" s="5">
        <f>I46*I72</f>
        <v/>
      </c>
      <c r="J71" s="5" t="inlineStr">
        <is>
          <t>收支月化指标</t>
        </is>
      </c>
      <c r="M71" t="inlineStr">
        <is>
          <t>17.01</t>
        </is>
      </c>
    </row>
    <row r="72">
      <c r="A72" s="1" t="inlineStr">
        <is>
          <t>三级</t>
        </is>
      </c>
      <c r="B72" s="1" t="inlineStr">
        <is>
          <t>其他</t>
        </is>
      </c>
      <c r="C72" s="10" t="inlineStr">
        <is>
          <t>A03.17.01.01</t>
        </is>
      </c>
      <c r="D72" s="10" t="inlineStr">
        <is>
          <t xml:space="preserve">    存款FTP</t>
        </is>
      </c>
      <c r="H72" s="5">
        <f>H71/H46</f>
        <v/>
      </c>
      <c r="J72" s="5" t="inlineStr">
        <is>
          <t>率年化指标</t>
        </is>
      </c>
      <c r="M72" t="inlineStr">
        <is>
          <t>17.01.01</t>
        </is>
      </c>
      <c r="P72" t="inlineStr">
        <is>
          <t>WGT</t>
        </is>
      </c>
    </row>
    <row r="73">
      <c r="A73" s="12" t="inlineStr">
        <is>
          <t>二级</t>
        </is>
      </c>
      <c r="B73" s="12" t="inlineStr">
        <is>
          <t>收入</t>
        </is>
      </c>
      <c r="C73" s="11" t="inlineStr">
        <is>
          <t>A03.17.02</t>
        </is>
      </c>
      <c r="D73" s="12" t="inlineStr">
        <is>
          <t xml:space="preserve">  金融机构往来FTP收入</t>
        </is>
      </c>
      <c r="F73" t="inlineStr">
        <is>
          <t>A03.17.02.02</t>
        </is>
      </c>
      <c r="H73" s="5">
        <f>H74</f>
        <v/>
      </c>
      <c r="I73" s="5">
        <f>I74</f>
        <v/>
      </c>
      <c r="M73" t="inlineStr">
        <is>
          <t>17.02</t>
        </is>
      </c>
    </row>
    <row r="74">
      <c r="A74" s="5" t="inlineStr">
        <is>
          <t>三级</t>
        </is>
      </c>
      <c r="B74" s="5" t="inlineStr">
        <is>
          <t>收入</t>
        </is>
      </c>
      <c r="C74" s="10" t="inlineStr">
        <is>
          <t>A03.17.02.02</t>
        </is>
      </c>
      <c r="D74" s="5" t="inlineStr">
        <is>
          <t xml:space="preserve">    同业存放FTP收入</t>
        </is>
      </c>
      <c r="F74" t="inlineStr">
        <is>
          <t>A03.17.02.02.01</t>
        </is>
      </c>
      <c r="I74" s="5">
        <f>I51*I75</f>
        <v/>
      </c>
      <c r="J74" s="5" t="inlineStr">
        <is>
          <t>收支月化指标</t>
        </is>
      </c>
      <c r="M74" t="inlineStr">
        <is>
          <t>17.02.02</t>
        </is>
      </c>
    </row>
    <row r="75">
      <c r="A75" s="5" t="inlineStr">
        <is>
          <t>四级</t>
        </is>
      </c>
      <c r="B75" s="5" t="inlineStr">
        <is>
          <t>其他</t>
        </is>
      </c>
      <c r="C75" s="10" t="inlineStr">
        <is>
          <t>A03.17.02.02.01</t>
        </is>
      </c>
      <c r="D75" s="5" t="inlineStr">
        <is>
          <t xml:space="preserve">      同业存放FTP</t>
        </is>
      </c>
      <c r="H75" s="5">
        <f>H74/H51</f>
        <v/>
      </c>
      <c r="J75" s="5" t="inlineStr">
        <is>
          <t>率年化指标</t>
        </is>
      </c>
      <c r="M75" t="inlineStr">
        <is>
          <t>17.02.02.01</t>
        </is>
      </c>
      <c r="P75" t="inlineStr">
        <is>
          <t>WGT</t>
        </is>
      </c>
    </row>
    <row r="76">
      <c r="A76" s="7" t="inlineStr">
        <is>
          <t>二级</t>
        </is>
      </c>
      <c r="B76" s="7" t="inlineStr">
        <is>
          <t>收入</t>
        </is>
      </c>
      <c r="C76" s="11" t="inlineStr">
        <is>
          <t>A03.17.99</t>
        </is>
      </c>
      <c r="D76" s="11" t="inlineStr">
        <is>
          <t xml:space="preserve">  其他FTP收入</t>
        </is>
      </c>
      <c r="E76" s="12" t="n"/>
      <c r="F76" s="12" t="inlineStr">
        <is>
          <t>A03.17.99.01</t>
        </is>
      </c>
      <c r="G76" s="12" t="n"/>
      <c r="H76" s="12">
        <f>H77</f>
        <v/>
      </c>
      <c r="I76" s="12">
        <f>I77</f>
        <v/>
      </c>
      <c r="J76" s="12" t="n"/>
      <c r="M76" t="inlineStr">
        <is>
          <t>17.99</t>
        </is>
      </c>
    </row>
    <row r="77">
      <c r="A77" s="1" t="inlineStr">
        <is>
          <t>三级</t>
        </is>
      </c>
      <c r="B77" s="1" t="inlineStr">
        <is>
          <t>收入</t>
        </is>
      </c>
      <c r="C77" s="10" t="inlineStr">
        <is>
          <t>A03.17.99.01</t>
        </is>
      </c>
      <c r="D77" s="10" t="inlineStr">
        <is>
          <t xml:space="preserve">    应付款FTP收入</t>
        </is>
      </c>
      <c r="F77" t="inlineStr">
        <is>
          <t>A03.17.99.01.01+A03.17.99.01.02+A03.17.99.01.03</t>
        </is>
      </c>
      <c r="I77" s="5">
        <f>I79*I80</f>
        <v/>
      </c>
      <c r="J77" s="5" t="inlineStr">
        <is>
          <t>收支月化指标</t>
        </is>
      </c>
      <c r="M77" t="inlineStr">
        <is>
          <t>17.99.01</t>
        </is>
      </c>
    </row>
    <row r="78">
      <c r="A78" s="10" t="inlineStr">
        <is>
          <t>四级</t>
        </is>
      </c>
      <c r="B78" s="10" t="inlineStr">
        <is>
          <t>负债余额</t>
        </is>
      </c>
      <c r="C78" s="10" t="inlineStr">
        <is>
          <t>A03.17.99.01.01</t>
        </is>
      </c>
      <c r="D78" s="10" t="inlineStr">
        <is>
          <t xml:space="preserve">      应付款余额</t>
        </is>
      </c>
      <c r="M78" t="inlineStr">
        <is>
          <t>17.99.01.01</t>
        </is>
      </c>
      <c r="P78" t="inlineStr">
        <is>
          <t>LAST</t>
        </is>
      </c>
    </row>
    <row r="79">
      <c r="A79" s="10" t="inlineStr">
        <is>
          <t>四级</t>
        </is>
      </c>
      <c r="B79" s="10" t="inlineStr">
        <is>
          <t>负债日均</t>
        </is>
      </c>
      <c r="C79" s="10" t="inlineStr">
        <is>
          <t>A03.17.99.01.02</t>
        </is>
      </c>
      <c r="D79" s="10" t="inlineStr">
        <is>
          <t xml:space="preserve">      应付款日均</t>
        </is>
      </c>
      <c r="M79" t="inlineStr">
        <is>
          <t>17.99.01.02</t>
        </is>
      </c>
      <c r="P79" t="inlineStr">
        <is>
          <t>AVG</t>
        </is>
      </c>
    </row>
    <row r="80">
      <c r="A80" s="10" t="inlineStr">
        <is>
          <t>四级</t>
        </is>
      </c>
      <c r="B80" s="1" t="inlineStr">
        <is>
          <t>其他</t>
        </is>
      </c>
      <c r="C80" s="10" t="inlineStr">
        <is>
          <t>A03.17.99.01.03</t>
        </is>
      </c>
      <c r="D80" s="10" t="inlineStr">
        <is>
          <t xml:space="preserve">      应付款FTP</t>
        </is>
      </c>
      <c r="H80" s="5">
        <f>H77/H79</f>
        <v/>
      </c>
      <c r="J80" s="5" t="inlineStr">
        <is>
          <t>率年化指标</t>
        </is>
      </c>
      <c r="M80" t="inlineStr">
        <is>
          <t>17.99.01.03</t>
        </is>
      </c>
      <c r="P80" t="inlineStr">
        <is>
          <t>WGT</t>
        </is>
      </c>
    </row>
    <row r="81">
      <c r="A81" s="10" t="n"/>
      <c r="B81" s="10" t="n"/>
      <c r="C81" s="10" t="n"/>
      <c r="D81" s="10" t="n"/>
    </row>
    <row r="82">
      <c r="A82" s="11" t="inlineStr">
        <is>
          <t>一级</t>
        </is>
      </c>
      <c r="B82" s="11" t="inlineStr">
        <is>
          <t>收入</t>
        </is>
      </c>
      <c r="C82" s="11" t="inlineStr">
        <is>
          <t>A03.18</t>
        </is>
      </c>
      <c r="D82" s="11" t="inlineStr">
        <is>
          <t>手续费收入</t>
        </is>
      </c>
      <c r="F82" t="inlineStr">
        <is>
          <t>A03.18.01+A03.18.07+A03.18.99</t>
        </is>
      </c>
      <c r="I82" s="5">
        <f>I83+I85+I86</f>
        <v/>
      </c>
      <c r="M82" t="inlineStr">
        <is>
          <t>18</t>
        </is>
      </c>
    </row>
    <row r="83">
      <c r="A83" s="11" t="inlineStr">
        <is>
          <t>二级</t>
        </is>
      </c>
      <c r="B83" s="11" t="inlineStr">
        <is>
          <t>收入</t>
        </is>
      </c>
      <c r="C83" s="11" t="inlineStr">
        <is>
          <t>A03.18.01</t>
        </is>
      </c>
      <c r="D83" s="11" t="inlineStr">
        <is>
          <t xml:space="preserve">  联贷分成收入</t>
        </is>
      </c>
      <c r="F83" t="inlineStr">
        <is>
          <t>A03.18.01.01</t>
        </is>
      </c>
      <c r="I83" s="5">
        <f>I40*I84</f>
        <v/>
      </c>
      <c r="J83" s="5" t="inlineStr">
        <is>
          <t>收支月化指标</t>
        </is>
      </c>
      <c r="M83" t="inlineStr">
        <is>
          <t>18.01</t>
        </is>
      </c>
    </row>
    <row r="84">
      <c r="A84" s="10" t="inlineStr">
        <is>
          <t>三级</t>
        </is>
      </c>
      <c r="B84" s="1" t="inlineStr">
        <is>
          <t>其他</t>
        </is>
      </c>
      <c r="C84" s="10" t="inlineStr">
        <is>
          <t>A03.18.01.01</t>
        </is>
      </c>
      <c r="D84" s="10" t="inlineStr">
        <is>
          <t xml:space="preserve">    联贷收益率</t>
        </is>
      </c>
      <c r="H84" s="5">
        <f>H83/H40</f>
        <v/>
      </c>
      <c r="J84" s="5" t="inlineStr">
        <is>
          <t>率年化指标</t>
        </is>
      </c>
      <c r="M84" t="inlineStr">
        <is>
          <t>18.01.01</t>
        </is>
      </c>
      <c r="P84" t="inlineStr">
        <is>
          <t>WGT</t>
        </is>
      </c>
    </row>
    <row r="85">
      <c r="A85" s="11" t="inlineStr">
        <is>
          <t>二级</t>
        </is>
      </c>
      <c r="B85" s="11" t="inlineStr">
        <is>
          <t>收入</t>
        </is>
      </c>
      <c r="C85" s="11" t="inlineStr">
        <is>
          <t>A03.18.07</t>
        </is>
      </c>
      <c r="D85" s="11" t="inlineStr">
        <is>
          <t xml:space="preserve">  对公平台服务费收入</t>
        </is>
      </c>
      <c r="M85" t="inlineStr">
        <is>
          <t>18.07</t>
        </is>
      </c>
      <c r="P85" t="inlineStr">
        <is>
          <t>SUM</t>
        </is>
      </c>
    </row>
    <row r="86">
      <c r="A86" s="11" t="inlineStr">
        <is>
          <t>二级</t>
        </is>
      </c>
      <c r="B86" s="11" t="inlineStr">
        <is>
          <t>收入</t>
        </is>
      </c>
      <c r="C86" s="11" t="inlineStr">
        <is>
          <t>A03.18.99</t>
        </is>
      </c>
      <c r="D86" s="11" t="inlineStr">
        <is>
          <t xml:space="preserve">  其他</t>
        </is>
      </c>
      <c r="H86" s="5">
        <f>H82-H83-H85</f>
        <v/>
      </c>
      <c r="M86" t="inlineStr">
        <is>
          <t>18.99</t>
        </is>
      </c>
      <c r="P86" t="inlineStr">
        <is>
          <t>SUM</t>
        </is>
      </c>
    </row>
    <row r="87">
      <c r="A87" s="10" t="n"/>
      <c r="B87" s="10" t="n"/>
      <c r="C87" s="10" t="n"/>
      <c r="D87" s="10" t="n"/>
    </row>
    <row r="88">
      <c r="A88" s="11" t="inlineStr">
        <is>
          <t>一级</t>
        </is>
      </c>
      <c r="B88" s="11" t="inlineStr">
        <is>
          <t>支出</t>
        </is>
      </c>
      <c r="C88" s="11" t="inlineStr">
        <is>
          <t>A03.19</t>
        </is>
      </c>
      <c r="D88" s="11" t="inlineStr">
        <is>
          <t>手续费支出</t>
        </is>
      </c>
      <c r="F88" t="inlineStr">
        <is>
          <t>A03.19.01+A03.19.02+A03.19.03+A03.19.12+A03.19.99</t>
        </is>
      </c>
      <c r="I88" s="5">
        <f>I89+I91+I93+I95+I100</f>
        <v/>
      </c>
      <c r="M88" t="inlineStr">
        <is>
          <t>19</t>
        </is>
      </c>
    </row>
    <row r="89">
      <c r="A89" s="11" t="inlineStr">
        <is>
          <t>二级</t>
        </is>
      </c>
      <c r="B89" s="11" t="inlineStr">
        <is>
          <t>支出</t>
        </is>
      </c>
      <c r="C89" s="11" t="inlineStr">
        <is>
          <t>A03.19.01</t>
        </is>
      </c>
      <c r="D89" s="11" t="inlineStr">
        <is>
          <t xml:space="preserve">  催收费</t>
        </is>
      </c>
      <c r="F89" t="inlineStr">
        <is>
          <t>A03.19.01.01</t>
        </is>
      </c>
      <c r="I89" s="5">
        <f>I37*I90</f>
        <v/>
      </c>
      <c r="J89" s="5" t="inlineStr">
        <is>
          <t>收支月化指标</t>
        </is>
      </c>
      <c r="M89" t="inlineStr">
        <is>
          <t>19.01</t>
        </is>
      </c>
    </row>
    <row r="90">
      <c r="A90" s="10" t="inlineStr">
        <is>
          <t>三级</t>
        </is>
      </c>
      <c r="B90" s="1" t="inlineStr">
        <is>
          <t>其他</t>
        </is>
      </c>
      <c r="C90" s="10" t="inlineStr">
        <is>
          <t>A03.19.01.01</t>
        </is>
      </c>
      <c r="D90" s="10" t="inlineStr">
        <is>
          <t xml:space="preserve">    费率</t>
        </is>
      </c>
      <c r="H90" s="5">
        <f>H89/H37</f>
        <v/>
      </c>
      <c r="J90" s="5" t="inlineStr">
        <is>
          <t>率年化指标</t>
        </is>
      </c>
      <c r="M90" t="inlineStr">
        <is>
          <t>19.01.01</t>
        </is>
      </c>
      <c r="P90" t="inlineStr">
        <is>
          <t>WGT</t>
        </is>
      </c>
    </row>
    <row r="91">
      <c r="A91" s="11" t="inlineStr">
        <is>
          <t>二级</t>
        </is>
      </c>
      <c r="B91" s="11" t="inlineStr">
        <is>
          <t>支出</t>
        </is>
      </c>
      <c r="C91" s="11" t="inlineStr">
        <is>
          <t>A03.19.02</t>
        </is>
      </c>
      <c r="D91" s="11" t="inlineStr">
        <is>
          <t xml:space="preserve">  征信费</t>
        </is>
      </c>
      <c r="F91" t="inlineStr">
        <is>
          <t>A03.19.02.01</t>
        </is>
      </c>
      <c r="I91" s="5">
        <f>I37*I92</f>
        <v/>
      </c>
      <c r="J91" s="5" t="inlineStr">
        <is>
          <t>收支月化指标</t>
        </is>
      </c>
      <c r="M91" t="inlineStr">
        <is>
          <t>19.02</t>
        </is>
      </c>
    </row>
    <row r="92">
      <c r="A92" s="10" t="inlineStr">
        <is>
          <t>三级</t>
        </is>
      </c>
      <c r="B92" s="1" t="inlineStr">
        <is>
          <t>其他</t>
        </is>
      </c>
      <c r="C92" s="10" t="inlineStr">
        <is>
          <t>A03.19.02.01</t>
        </is>
      </c>
      <c r="D92" s="10" t="inlineStr">
        <is>
          <t xml:space="preserve">    费率</t>
        </is>
      </c>
      <c r="H92" s="5">
        <f>H91/H37</f>
        <v/>
      </c>
      <c r="J92" s="5" t="inlineStr">
        <is>
          <t>率年化指标</t>
        </is>
      </c>
      <c r="M92" t="inlineStr">
        <is>
          <t>19.02.01</t>
        </is>
      </c>
      <c r="P92" t="inlineStr">
        <is>
          <t>WGT</t>
        </is>
      </c>
    </row>
    <row r="93">
      <c r="A93" s="11" t="inlineStr">
        <is>
          <t>二级</t>
        </is>
      </c>
      <c r="B93" s="11" t="inlineStr">
        <is>
          <t>支出</t>
        </is>
      </c>
      <c r="C93" s="11" t="inlineStr">
        <is>
          <t>A03.19.03</t>
        </is>
      </c>
      <c r="D93" s="11" t="inlineStr">
        <is>
          <t xml:space="preserve">  清算费</t>
        </is>
      </c>
      <c r="F93" t="inlineStr">
        <is>
          <t>A03.19.03.01</t>
        </is>
      </c>
      <c r="I93" s="5">
        <f>I37*I94</f>
        <v/>
      </c>
      <c r="J93" s="5" t="inlineStr">
        <is>
          <t>收支月化指标</t>
        </is>
      </c>
      <c r="M93" t="inlineStr">
        <is>
          <t>19.03</t>
        </is>
      </c>
    </row>
    <row r="94">
      <c r="A94" s="10" t="inlineStr">
        <is>
          <t>三级</t>
        </is>
      </c>
      <c r="B94" s="1" t="inlineStr">
        <is>
          <t>其他</t>
        </is>
      </c>
      <c r="C94" s="10" t="inlineStr">
        <is>
          <t>A03.19.03.01</t>
        </is>
      </c>
      <c r="D94" s="10" t="inlineStr">
        <is>
          <t xml:space="preserve">    费率</t>
        </is>
      </c>
      <c r="H94" s="5">
        <f>H93/H37</f>
        <v/>
      </c>
      <c r="J94" s="5" t="inlineStr">
        <is>
          <t>率年化指标</t>
        </is>
      </c>
      <c r="M94" t="inlineStr">
        <is>
          <t>19.03.01</t>
        </is>
      </c>
      <c r="P94" t="inlineStr">
        <is>
          <t>WGT</t>
        </is>
      </c>
    </row>
    <row r="95">
      <c r="A95" s="11" t="inlineStr">
        <is>
          <t>二级</t>
        </is>
      </c>
      <c r="B95" s="11" t="inlineStr">
        <is>
          <t>支出</t>
        </is>
      </c>
      <c r="C95" s="11" t="inlineStr">
        <is>
          <t>A03.19.12</t>
        </is>
      </c>
      <c r="D95" s="11" t="inlineStr">
        <is>
          <t xml:space="preserve">  渠道费</t>
        </is>
      </c>
      <c r="F95" t="inlineStr">
        <is>
          <t>A03.19.12.01</t>
        </is>
      </c>
      <c r="H95" s="5">
        <f>H96+H98</f>
        <v/>
      </c>
      <c r="I95" s="5">
        <f>I96+I98</f>
        <v/>
      </c>
      <c r="M95" t="inlineStr">
        <is>
          <t>19.12</t>
        </is>
      </c>
    </row>
    <row r="96">
      <c r="A96" s="10" t="inlineStr">
        <is>
          <t>三级</t>
        </is>
      </c>
      <c r="B96" s="10" t="inlineStr">
        <is>
          <t>支出</t>
        </is>
      </c>
      <c r="C96" s="10" t="inlineStr">
        <is>
          <t>A03.19.12.01</t>
        </is>
      </c>
      <c r="D96" s="10" t="inlineStr">
        <is>
          <t xml:space="preserve">    自持渠道费</t>
        </is>
      </c>
      <c r="F96" t="inlineStr">
        <is>
          <t>A03.19.12.01.01</t>
        </is>
      </c>
      <c r="I96" s="5">
        <f>I38*I97</f>
        <v/>
      </c>
      <c r="J96" s="5" t="inlineStr">
        <is>
          <t>收支月化指标</t>
        </is>
      </c>
      <c r="M96" t="inlineStr">
        <is>
          <t>19.12.01</t>
        </is>
      </c>
    </row>
    <row r="97">
      <c r="A97" s="10" t="inlineStr">
        <is>
          <t>四级</t>
        </is>
      </c>
      <c r="B97" s="10" t="inlineStr">
        <is>
          <t>其他</t>
        </is>
      </c>
      <c r="C97" s="10" t="inlineStr">
        <is>
          <t>A03.19.12.01.01</t>
        </is>
      </c>
      <c r="D97" s="10" t="inlineStr">
        <is>
          <t xml:space="preserve">      自持渠道费率</t>
        </is>
      </c>
      <c r="H97" s="5">
        <f>H96/H38</f>
        <v/>
      </c>
      <c r="J97" s="5" t="inlineStr">
        <is>
          <t>率年化指标</t>
        </is>
      </c>
      <c r="M97" t="inlineStr">
        <is>
          <t>19.12.01.01</t>
        </is>
      </c>
      <c r="P97" t="inlineStr">
        <is>
          <t>WGT</t>
        </is>
      </c>
    </row>
    <row r="98">
      <c r="A98" s="10" t="n"/>
      <c r="B98" s="10" t="n"/>
      <c r="C98" s="10" t="n"/>
      <c r="D98" s="10" t="n"/>
    </row>
    <row r="99">
      <c r="A99" s="10" t="n"/>
      <c r="B99" s="10" t="n"/>
      <c r="C99" s="10" t="n"/>
      <c r="D99" s="10" t="n"/>
    </row>
    <row r="100">
      <c r="A100" s="11" t="inlineStr">
        <is>
          <t>二级</t>
        </is>
      </c>
      <c r="B100" s="11" t="inlineStr">
        <is>
          <t>支出</t>
        </is>
      </c>
      <c r="C100" s="11" t="inlineStr">
        <is>
          <t>A03.19.99</t>
        </is>
      </c>
      <c r="D100" s="11" t="inlineStr">
        <is>
          <t xml:space="preserve">  其他</t>
        </is>
      </c>
      <c r="H100" s="5">
        <f>H88-H89-H91-H93-H95</f>
        <v/>
      </c>
      <c r="M100" t="inlineStr">
        <is>
          <t>19.99</t>
        </is>
      </c>
      <c r="P100" t="inlineStr">
        <is>
          <t>SUM</t>
        </is>
      </c>
    </row>
    <row r="101">
      <c r="A101" s="10" t="n"/>
      <c r="B101" s="10" t="n"/>
      <c r="C101" s="10" t="n"/>
      <c r="D101" s="10" t="n"/>
    </row>
    <row r="102">
      <c r="A102" s="11" t="inlineStr">
        <is>
          <t>一级</t>
        </is>
      </c>
      <c r="B102" s="11" t="inlineStr">
        <is>
          <t>收入</t>
        </is>
      </c>
      <c r="C102" s="11" t="inlineStr">
        <is>
          <t>A03.20</t>
        </is>
      </c>
      <c r="D102" s="11" t="inlineStr">
        <is>
          <t>其他外部营收</t>
        </is>
      </c>
      <c r="M102" t="inlineStr">
        <is>
          <t>20</t>
        </is>
      </c>
      <c r="P102" t="inlineStr">
        <is>
          <t>SUM</t>
        </is>
      </c>
    </row>
    <row r="103">
      <c r="A103" s="10" t="n"/>
      <c r="B103" s="10" t="n"/>
      <c r="C103" s="10" t="n"/>
      <c r="D103" s="10" t="n"/>
    </row>
    <row r="104">
      <c r="A104" s="11" t="inlineStr">
        <is>
          <t>一级</t>
        </is>
      </c>
      <c r="B104" s="11" t="inlineStr">
        <is>
          <t>收入</t>
        </is>
      </c>
      <c r="C104" s="11" t="inlineStr">
        <is>
          <t>A03.21</t>
        </is>
      </c>
      <c r="D104" s="11" t="inlineStr">
        <is>
          <t>内部营业净收入</t>
        </is>
      </c>
      <c r="M104" t="inlineStr">
        <is>
          <t>21</t>
        </is>
      </c>
      <c r="P104" t="inlineStr">
        <is>
          <t>SUM</t>
        </is>
      </c>
    </row>
    <row r="105">
      <c r="A105" s="10" t="n"/>
      <c r="B105" s="10" t="n"/>
      <c r="C105" s="10" t="n"/>
      <c r="D105" s="10" t="n"/>
    </row>
    <row r="106"/>
    <row r="107">
      <c r="A107" t="inlineStr">
        <is>
          <t>层级</t>
        </is>
      </c>
      <c r="B107" t="inlineStr">
        <is>
          <t>性质</t>
        </is>
      </c>
      <c r="C107" t="inlineStr">
        <is>
          <t>科目代码</t>
        </is>
      </c>
      <c r="D107" t="inlineStr">
        <is>
          <t>科目名称</t>
        </is>
      </c>
      <c r="E107" t="inlineStr">
        <is>
          <t>录入粒度</t>
        </is>
      </c>
      <c r="F107" t="inlineStr">
        <is>
          <t>年预算公式</t>
        </is>
      </c>
      <c r="J107" t="inlineStr">
        <is>
          <t>公式说明</t>
        </is>
      </c>
      <c r="K107" t="inlineStr">
        <is>
          <t>横向汇总</t>
        </is>
      </c>
    </row>
    <row r="108">
      <c r="A108" t="inlineStr">
        <is>
          <t>一级</t>
        </is>
      </c>
      <c r="B108" t="inlineStr">
        <is>
          <t>支出</t>
        </is>
      </c>
      <c r="C108" t="inlineStr">
        <is>
          <t>A03.90</t>
        </is>
      </c>
      <c r="D108" t="inlineStr">
        <is>
          <t>减:业务及管理费</t>
        </is>
      </c>
      <c r="F108" t="inlineStr">
        <is>
          <t>A03.90.01+A03.90.03</t>
        </is>
      </c>
      <c r="K108" t="inlineStr">
        <is>
          <t>是</t>
        </is>
      </c>
      <c r="M108" t="inlineStr">
        <is>
          <t>05</t>
        </is>
      </c>
    </row>
    <row r="109">
      <c r="A109" t="inlineStr">
        <is>
          <t>二级</t>
        </is>
      </c>
      <c r="B109" t="inlineStr">
        <is>
          <t>支出</t>
        </is>
      </c>
      <c r="C109" t="inlineStr">
        <is>
          <t>A03.90.01</t>
        </is>
      </c>
      <c r="D109" t="inlineStr">
        <is>
          <t>直接费用</t>
        </is>
      </c>
      <c r="F109" t="inlineStr">
        <is>
          <t>A03.90.01.01+A03.90.01.02</t>
        </is>
      </c>
      <c r="K109" t="inlineStr">
        <is>
          <t>是</t>
        </is>
      </c>
      <c r="M109" t="inlineStr">
        <is>
          <t>05.01</t>
        </is>
      </c>
    </row>
    <row r="110">
      <c r="A110" t="inlineStr">
        <is>
          <t>三级</t>
        </is>
      </c>
      <c r="B110" t="inlineStr">
        <is>
          <t>支出</t>
        </is>
      </c>
      <c r="C110" t="inlineStr">
        <is>
          <t>A03.90.01.01</t>
        </is>
      </c>
      <c r="D110" t="inlineStr">
        <is>
          <t>直接费用</t>
        </is>
      </c>
      <c r="F110" t="inlineStr">
        <is>
          <t>A03.90.01.01.01+A03.90.01.01.02+A03.90.01.01.03+A03.90.01.01.04.001+A03.90.01.01.05.001</t>
        </is>
      </c>
      <c r="K110" t="inlineStr">
        <is>
          <t>是</t>
        </is>
      </c>
      <c r="M110" t="inlineStr">
        <is>
          <t>05.01.01</t>
        </is>
      </c>
    </row>
    <row r="111">
      <c r="A111" t="inlineStr">
        <is>
          <t>四级</t>
        </is>
      </c>
      <c r="B111" t="inlineStr">
        <is>
          <t>支出</t>
        </is>
      </c>
      <c r="C111" t="inlineStr">
        <is>
          <t>A03.90.01.01.01</t>
        </is>
      </c>
      <c r="D111" t="inlineStr">
        <is>
          <t>人力（不含IT)</t>
        </is>
      </c>
      <c r="F111" t="inlineStr">
        <is>
          <t>A03.90.01.01.01.001+A03.90.01.01.01.002</t>
        </is>
      </c>
      <c r="K111" t="inlineStr">
        <is>
          <t>是</t>
        </is>
      </c>
      <c r="M111" t="inlineStr">
        <is>
          <t>05.01.01.01</t>
        </is>
      </c>
    </row>
    <row r="112">
      <c r="A112" t="inlineStr">
        <is>
          <t>五级</t>
        </is>
      </c>
      <c r="B112" t="inlineStr">
        <is>
          <t>支出</t>
        </is>
      </c>
      <c r="C112" t="inlineStr">
        <is>
          <t>A03.90.01.01.01.001</t>
        </is>
      </c>
      <c r="D112" t="inlineStr">
        <is>
          <t>业务人力</t>
        </is>
      </c>
      <c r="K112" t="inlineStr">
        <is>
          <t>是</t>
        </is>
      </c>
      <c r="M112" t="inlineStr">
        <is>
          <t>05.01.01.01.001</t>
        </is>
      </c>
      <c r="N112" t="inlineStr">
        <is>
          <t>SUM</t>
        </is>
      </c>
    </row>
    <row r="113">
      <c r="A113" t="inlineStr">
        <is>
          <t>五级</t>
        </is>
      </c>
      <c r="B113" t="inlineStr">
        <is>
          <t>支出</t>
        </is>
      </c>
      <c r="C113" t="inlineStr">
        <is>
          <t>A03.90.01.01.01.002</t>
        </is>
      </c>
      <c r="D113" t="inlineStr">
        <is>
          <t>特别人力</t>
        </is>
      </c>
      <c r="K113" t="inlineStr">
        <is>
          <t>是</t>
        </is>
      </c>
      <c r="M113" t="inlineStr">
        <is>
          <t>05.01.01.01.002</t>
        </is>
      </c>
      <c r="N113" t="inlineStr">
        <is>
          <t>SUM</t>
        </is>
      </c>
    </row>
    <row r="114">
      <c r="A114" t="inlineStr">
        <is>
          <t>四级</t>
        </is>
      </c>
      <c r="B114" t="inlineStr">
        <is>
          <t>支出</t>
        </is>
      </c>
      <c r="C114" t="inlineStr">
        <is>
          <t>A03.90.01.01.02</t>
        </is>
      </c>
      <c r="D114" t="inlineStr">
        <is>
          <t>业务费用</t>
        </is>
      </c>
      <c r="F114" t="inlineStr">
        <is>
          <t>A03.90.01.01.02.001+A03.90.01.01.02.002</t>
        </is>
      </c>
      <c r="K114" t="inlineStr">
        <is>
          <t>是</t>
        </is>
      </c>
      <c r="M114" t="inlineStr">
        <is>
          <t>05.01.01.02</t>
        </is>
      </c>
    </row>
    <row r="115">
      <c r="A115" t="inlineStr">
        <is>
          <t>五级</t>
        </is>
      </c>
      <c r="B115" t="inlineStr">
        <is>
          <t>支出</t>
        </is>
      </c>
      <c r="C115" t="inlineStr">
        <is>
          <t>A03.90.01.01.02.001</t>
        </is>
      </c>
      <c r="D115" t="inlineStr">
        <is>
          <t>营销</t>
        </is>
      </c>
      <c r="K115" t="inlineStr">
        <is>
          <t>是</t>
        </is>
      </c>
      <c r="M115" t="inlineStr">
        <is>
          <t>05.01.01.02.001</t>
        </is>
      </c>
      <c r="N115" t="inlineStr">
        <is>
          <t>SUM</t>
        </is>
      </c>
    </row>
    <row r="116">
      <c r="A116" t="inlineStr">
        <is>
          <t>五级</t>
        </is>
      </c>
      <c r="B116" t="inlineStr">
        <is>
          <t>支出</t>
        </is>
      </c>
      <c r="C116" t="inlineStr">
        <is>
          <t>A03.90.01.01.02.002</t>
        </is>
      </c>
      <c r="D116" t="inlineStr">
        <is>
          <t>运营</t>
        </is>
      </c>
      <c r="K116" t="inlineStr">
        <is>
          <t>是</t>
        </is>
      </c>
      <c r="M116" t="inlineStr">
        <is>
          <t>05.01.01.02.002</t>
        </is>
      </c>
      <c r="N116" t="inlineStr">
        <is>
          <t>SUM</t>
        </is>
      </c>
    </row>
    <row r="117">
      <c r="A117" t="inlineStr">
        <is>
          <t>四级</t>
        </is>
      </c>
      <c r="B117" t="inlineStr">
        <is>
          <t>支出</t>
        </is>
      </c>
      <c r="C117" t="inlineStr">
        <is>
          <t>A03.90.01.01.03</t>
        </is>
      </c>
      <c r="D117" t="inlineStr">
        <is>
          <t>IT</t>
        </is>
      </c>
      <c r="F117" t="inlineStr">
        <is>
          <t>A03.90.01.01.03.01+A03.90.01.01.03.02.001+A03.90.01.01.03.03.001+A03.90.01.01.03.04.001</t>
        </is>
      </c>
      <c r="K117" t="inlineStr">
        <is>
          <t>是</t>
        </is>
      </c>
      <c r="M117" t="inlineStr">
        <is>
          <t>05.01.01.03</t>
        </is>
      </c>
    </row>
    <row r="118">
      <c r="A118" t="inlineStr">
        <is>
          <t>五级</t>
        </is>
      </c>
      <c r="B118" t="inlineStr">
        <is>
          <t>支出</t>
        </is>
      </c>
      <c r="C118" t="inlineStr">
        <is>
          <t>A03.90.01.01.03.01</t>
        </is>
      </c>
      <c r="D118" t="inlineStr">
        <is>
          <t>IT人力</t>
        </is>
      </c>
      <c r="F118" t="inlineStr">
        <is>
          <t>A03.90.01.01.03.01.001+A03.90.01.01.03.01.002</t>
        </is>
      </c>
      <c r="K118" t="inlineStr">
        <is>
          <t>是</t>
        </is>
      </c>
      <c r="M118" t="inlineStr">
        <is>
          <t>05.01.01.03.01</t>
        </is>
      </c>
    </row>
    <row r="119">
      <c r="A119" t="inlineStr">
        <is>
          <t>六级</t>
        </is>
      </c>
      <c r="B119" t="inlineStr">
        <is>
          <t>支出</t>
        </is>
      </c>
      <c r="C119" t="inlineStr">
        <is>
          <t>A03.90.01.01.03.01.001</t>
        </is>
      </c>
      <c r="D119" t="inlineStr">
        <is>
          <t>IT常规人力</t>
        </is>
      </c>
      <c r="K119" t="inlineStr">
        <is>
          <t>是</t>
        </is>
      </c>
      <c r="M119" t="inlineStr">
        <is>
          <t>05.01.01.03.01.001</t>
        </is>
      </c>
      <c r="N119" t="inlineStr">
        <is>
          <t>SUM</t>
        </is>
      </c>
    </row>
    <row r="120">
      <c r="A120" t="inlineStr">
        <is>
          <t>六级</t>
        </is>
      </c>
      <c r="B120" t="inlineStr">
        <is>
          <t>支出</t>
        </is>
      </c>
      <c r="C120" t="inlineStr">
        <is>
          <t>A03.90.01.01.03.01.002</t>
        </is>
      </c>
      <c r="D120" t="inlineStr">
        <is>
          <t>IT特别人力</t>
        </is>
      </c>
      <c r="K120" t="inlineStr">
        <is>
          <t>是</t>
        </is>
      </c>
      <c r="M120" t="inlineStr">
        <is>
          <t>05.01.01.03.01.002</t>
        </is>
      </c>
      <c r="N120" t="inlineStr">
        <is>
          <t>SUM</t>
        </is>
      </c>
    </row>
    <row r="121">
      <c r="A121" t="inlineStr">
        <is>
          <t>五级</t>
        </is>
      </c>
      <c r="B121" t="inlineStr">
        <is>
          <t>支出</t>
        </is>
      </c>
      <c r="C121" t="inlineStr">
        <is>
          <t>A03.90.01.01.03.02</t>
        </is>
      </c>
      <c r="D121" t="inlineStr">
        <is>
          <t>科技</t>
        </is>
      </c>
      <c r="K121" t="inlineStr">
        <is>
          <t>是</t>
        </is>
      </c>
      <c r="M121" t="inlineStr">
        <is>
          <t>05.01.01.03.02</t>
        </is>
      </c>
      <c r="N121" t="inlineStr">
        <is>
          <t>SUM</t>
        </is>
      </c>
    </row>
    <row r="122">
      <c r="A122" t="inlineStr">
        <is>
          <t>五级</t>
        </is>
      </c>
      <c r="B122" t="inlineStr">
        <is>
          <t>支出</t>
        </is>
      </c>
      <c r="C122" t="inlineStr">
        <is>
          <t>A03.90.01.01.03.03</t>
        </is>
      </c>
      <c r="D122" t="inlineStr">
        <is>
          <t>IT职场</t>
        </is>
      </c>
      <c r="K122" t="inlineStr">
        <is>
          <t>是</t>
        </is>
      </c>
      <c r="M122" t="inlineStr">
        <is>
          <t>05.01.01.03.03</t>
        </is>
      </c>
      <c r="N122" t="inlineStr">
        <is>
          <t>SUM</t>
        </is>
      </c>
    </row>
    <row r="123">
      <c r="A123" t="inlineStr">
        <is>
          <t>五级</t>
        </is>
      </c>
      <c r="B123" t="inlineStr">
        <is>
          <t>支出</t>
        </is>
      </c>
      <c r="C123" t="inlineStr">
        <is>
          <t>A03.90.01.01.03.04</t>
        </is>
      </c>
      <c r="D123" t="inlineStr">
        <is>
          <t>IT日常</t>
        </is>
      </c>
      <c r="K123" t="inlineStr">
        <is>
          <t>是</t>
        </is>
      </c>
      <c r="M123" t="inlineStr">
        <is>
          <t>05.01.01.03.04</t>
        </is>
      </c>
      <c r="N123" t="inlineStr">
        <is>
          <t>SUM</t>
        </is>
      </c>
    </row>
    <row r="124">
      <c r="A124" t="inlineStr">
        <is>
          <t>四级</t>
        </is>
      </c>
      <c r="B124" t="inlineStr">
        <is>
          <t>支出</t>
        </is>
      </c>
      <c r="C124" t="inlineStr">
        <is>
          <t>A03.90.01.01.04</t>
        </is>
      </c>
      <c r="D124" t="inlineStr">
        <is>
          <t>AA.05.01.01.04</t>
        </is>
      </c>
      <c r="F124" t="inlineStr">
        <is>
          <t>A03.90.01.01.04.001</t>
        </is>
      </c>
      <c r="K124" t="inlineStr">
        <is>
          <t>是</t>
        </is>
      </c>
      <c r="M124" t="inlineStr">
        <is>
          <t>05.01.01.04</t>
        </is>
      </c>
      <c r="N124" t="inlineStr">
        <is>
          <t>SUM</t>
        </is>
      </c>
    </row>
    <row r="125">
      <c r="A125" t="inlineStr">
        <is>
          <t>五级</t>
        </is>
      </c>
      <c r="B125" t="inlineStr">
        <is>
          <t>支出</t>
        </is>
      </c>
      <c r="C125" t="inlineStr">
        <is>
          <t>A03.90.01.01.04.001</t>
        </is>
      </c>
      <c r="D125" t="inlineStr">
        <is>
          <t>职场</t>
        </is>
      </c>
      <c r="K125" t="inlineStr">
        <is>
          <t>是</t>
        </is>
      </c>
      <c r="M125" t="inlineStr">
        <is>
          <t>05.01.01.04.001</t>
        </is>
      </c>
      <c r="N125" t="inlineStr">
        <is>
          <t>SUM</t>
        </is>
      </c>
    </row>
    <row r="126">
      <c r="A126" t="inlineStr">
        <is>
          <t>四级</t>
        </is>
      </c>
      <c r="B126" t="inlineStr">
        <is>
          <t>支出</t>
        </is>
      </c>
      <c r="C126" t="inlineStr">
        <is>
          <t>A03.90.01.01.05</t>
        </is>
      </c>
      <c r="D126" t="inlineStr">
        <is>
          <t>AA.05.01.01.05</t>
        </is>
      </c>
      <c r="F126" t="inlineStr">
        <is>
          <t>A03.90.01.01.05.001</t>
        </is>
      </c>
      <c r="K126" t="inlineStr">
        <is>
          <t>是</t>
        </is>
      </c>
      <c r="M126" t="inlineStr">
        <is>
          <t>05.01.01.05</t>
        </is>
      </c>
      <c r="N126" t="inlineStr">
        <is>
          <t>SUM</t>
        </is>
      </c>
    </row>
    <row r="127">
      <c r="A127" t="inlineStr">
        <is>
          <t>五级</t>
        </is>
      </c>
      <c r="B127" t="inlineStr">
        <is>
          <t>支出</t>
        </is>
      </c>
      <c r="C127" t="inlineStr">
        <is>
          <t>A03.90.01.01.05.001</t>
        </is>
      </c>
      <c r="D127" t="inlineStr">
        <is>
          <t>日常</t>
        </is>
      </c>
      <c r="K127" t="inlineStr">
        <is>
          <t>是</t>
        </is>
      </c>
      <c r="M127" t="inlineStr">
        <is>
          <t>05.01.01.05.001</t>
        </is>
      </c>
      <c r="N127" t="inlineStr">
        <is>
          <t>SUM</t>
        </is>
      </c>
    </row>
    <row r="128">
      <c r="A128" t="inlineStr">
        <is>
          <t>三级</t>
        </is>
      </c>
      <c r="B128" t="inlineStr">
        <is>
          <t>支出</t>
        </is>
      </c>
      <c r="C128" t="inlineStr">
        <is>
          <t>A03.90.01.02</t>
        </is>
      </c>
      <c r="D128" t="inlineStr">
        <is>
          <t>间接费用</t>
        </is>
      </c>
      <c r="F128" t="inlineStr">
        <is>
          <t>A03.90.01.02.01+A03.90.01.02.02+A03.90.01.02.03+A03.90.01.02.04.001+A03.90.01.02.05.001</t>
        </is>
      </c>
      <c r="K128" t="inlineStr">
        <is>
          <t>是</t>
        </is>
      </c>
      <c r="M128" t="inlineStr">
        <is>
          <t>05.01.02</t>
        </is>
      </c>
    </row>
    <row r="129">
      <c r="A129" t="inlineStr">
        <is>
          <t>四级</t>
        </is>
      </c>
      <c r="B129" t="inlineStr">
        <is>
          <t>支出</t>
        </is>
      </c>
      <c r="C129" t="inlineStr">
        <is>
          <t>A03.90.01.02.01</t>
        </is>
      </c>
      <c r="D129" t="inlineStr">
        <is>
          <t>人力（不含IT)</t>
        </is>
      </c>
      <c r="F129" t="inlineStr">
        <is>
          <t>A03.90.01.02.01.001+A03.90.01.02.01.002</t>
        </is>
      </c>
      <c r="K129" t="inlineStr">
        <is>
          <t>是</t>
        </is>
      </c>
      <c r="M129" t="inlineStr">
        <is>
          <t>05.01.02.01</t>
        </is>
      </c>
    </row>
    <row r="130">
      <c r="A130" t="inlineStr">
        <is>
          <t>五级</t>
        </is>
      </c>
      <c r="B130" t="inlineStr">
        <is>
          <t>支出</t>
        </is>
      </c>
      <c r="C130" t="inlineStr">
        <is>
          <t>A03.90.01.02.01.001</t>
        </is>
      </c>
      <c r="D130" t="inlineStr">
        <is>
          <t>业务人力</t>
        </is>
      </c>
      <c r="K130" t="inlineStr">
        <is>
          <t>是</t>
        </is>
      </c>
      <c r="M130" t="inlineStr">
        <is>
          <t>05.01.02.01.001</t>
        </is>
      </c>
      <c r="N130" t="inlineStr">
        <is>
          <t>SUM</t>
        </is>
      </c>
    </row>
    <row r="131">
      <c r="A131" t="inlineStr">
        <is>
          <t>五级</t>
        </is>
      </c>
      <c r="B131" t="inlineStr">
        <is>
          <t>支出</t>
        </is>
      </c>
      <c r="C131" t="inlineStr">
        <is>
          <t>A03.90.01.02.01.002</t>
        </is>
      </c>
      <c r="D131" t="inlineStr">
        <is>
          <t>特别人力</t>
        </is>
      </c>
      <c r="K131" t="inlineStr">
        <is>
          <t>是</t>
        </is>
      </c>
      <c r="M131" t="inlineStr">
        <is>
          <t>05.01.02.01.002</t>
        </is>
      </c>
      <c r="N131" t="inlineStr">
        <is>
          <t>SUM</t>
        </is>
      </c>
    </row>
    <row r="132">
      <c r="A132" t="inlineStr">
        <is>
          <t>四级</t>
        </is>
      </c>
      <c r="B132" t="inlineStr">
        <is>
          <t>支出</t>
        </is>
      </c>
      <c r="C132" t="inlineStr">
        <is>
          <t>A03.90.01.02.02</t>
        </is>
      </c>
      <c r="D132" t="inlineStr">
        <is>
          <t>业务费用</t>
        </is>
      </c>
      <c r="F132" t="inlineStr">
        <is>
          <t>A03.90.01.02.02.001+A03.90.01.02.02.002</t>
        </is>
      </c>
      <c r="K132" t="inlineStr">
        <is>
          <t>是</t>
        </is>
      </c>
      <c r="M132" t="inlineStr">
        <is>
          <t>05.01.02.02</t>
        </is>
      </c>
    </row>
    <row r="133">
      <c r="A133" t="inlineStr">
        <is>
          <t>五级</t>
        </is>
      </c>
      <c r="B133" t="inlineStr">
        <is>
          <t>支出</t>
        </is>
      </c>
      <c r="C133" t="inlineStr">
        <is>
          <t>A03.90.01.02.02.001</t>
        </is>
      </c>
      <c r="D133" t="inlineStr">
        <is>
          <t>营销</t>
        </is>
      </c>
      <c r="K133" t="inlineStr">
        <is>
          <t>是</t>
        </is>
      </c>
      <c r="M133" t="inlineStr">
        <is>
          <t>05.01.02.02.001</t>
        </is>
      </c>
      <c r="N133" t="inlineStr">
        <is>
          <t>SUM</t>
        </is>
      </c>
    </row>
    <row r="134">
      <c r="A134" t="inlineStr">
        <is>
          <t>五级</t>
        </is>
      </c>
      <c r="B134" t="inlineStr">
        <is>
          <t>支出</t>
        </is>
      </c>
      <c r="C134" t="inlineStr">
        <is>
          <t>A03.90.01.02.02.002</t>
        </is>
      </c>
      <c r="D134" t="inlineStr">
        <is>
          <t>运营</t>
        </is>
      </c>
      <c r="K134" t="inlineStr">
        <is>
          <t>是</t>
        </is>
      </c>
      <c r="M134" t="inlineStr">
        <is>
          <t>05.01.02.02.002</t>
        </is>
      </c>
      <c r="N134" t="inlineStr">
        <is>
          <t>SUM</t>
        </is>
      </c>
    </row>
    <row r="135">
      <c r="A135" t="inlineStr">
        <is>
          <t>四级</t>
        </is>
      </c>
      <c r="B135" t="inlineStr">
        <is>
          <t>支出</t>
        </is>
      </c>
      <c r="C135" t="inlineStr">
        <is>
          <t>A03.90.01.02.03</t>
        </is>
      </c>
      <c r="D135" t="inlineStr">
        <is>
          <t>IT</t>
        </is>
      </c>
      <c r="F135" t="inlineStr">
        <is>
          <t>A03.90.01.02.03.01+A03.90.01.02.03.02.001+A03.90.01.02.03.03.001+A03.90.01.02.03.04.001</t>
        </is>
      </c>
      <c r="K135" t="inlineStr">
        <is>
          <t>是</t>
        </is>
      </c>
      <c r="M135" t="inlineStr">
        <is>
          <t>05.01.02.03</t>
        </is>
      </c>
    </row>
    <row r="136">
      <c r="A136" t="inlineStr">
        <is>
          <t>五级</t>
        </is>
      </c>
      <c r="B136" t="inlineStr">
        <is>
          <t>支出</t>
        </is>
      </c>
      <c r="C136" t="inlineStr">
        <is>
          <t>A03.90.01.02.03.01</t>
        </is>
      </c>
      <c r="D136" t="inlineStr">
        <is>
          <t>IT人力</t>
        </is>
      </c>
      <c r="F136" t="inlineStr">
        <is>
          <t>A03.90.01.02.03.01.001+A03.90.01.02.03.01.002</t>
        </is>
      </c>
      <c r="K136" t="inlineStr">
        <is>
          <t>是</t>
        </is>
      </c>
      <c r="M136" t="inlineStr">
        <is>
          <t>05.01.02.03.01</t>
        </is>
      </c>
    </row>
    <row r="137">
      <c r="A137" t="inlineStr">
        <is>
          <t>六级</t>
        </is>
      </c>
      <c r="B137" t="inlineStr">
        <is>
          <t>支出</t>
        </is>
      </c>
      <c r="C137" t="inlineStr">
        <is>
          <t>A03.90.01.02.03.01.001</t>
        </is>
      </c>
      <c r="D137" t="inlineStr">
        <is>
          <t>IT常规人力</t>
        </is>
      </c>
      <c r="K137" t="inlineStr">
        <is>
          <t>是</t>
        </is>
      </c>
      <c r="M137" t="inlineStr">
        <is>
          <t>05.01.02.03.01.001</t>
        </is>
      </c>
      <c r="N137" t="inlineStr">
        <is>
          <t>SUM</t>
        </is>
      </c>
    </row>
    <row r="138">
      <c r="A138" t="inlineStr">
        <is>
          <t>六级</t>
        </is>
      </c>
      <c r="B138" t="inlineStr">
        <is>
          <t>支出</t>
        </is>
      </c>
      <c r="C138" t="inlineStr">
        <is>
          <t>A03.90.01.02.03.01.002</t>
        </is>
      </c>
      <c r="D138" t="inlineStr">
        <is>
          <t>IT特别人力</t>
        </is>
      </c>
      <c r="K138" t="inlineStr">
        <is>
          <t>是</t>
        </is>
      </c>
      <c r="M138" t="inlineStr">
        <is>
          <t>05.01.02.03.01.002</t>
        </is>
      </c>
      <c r="N138" t="inlineStr">
        <is>
          <t>SUM</t>
        </is>
      </c>
    </row>
    <row r="139">
      <c r="A139" t="inlineStr">
        <is>
          <t>五级</t>
        </is>
      </c>
      <c r="B139" t="inlineStr">
        <is>
          <t>支出</t>
        </is>
      </c>
      <c r="C139" t="inlineStr">
        <is>
          <t>A03.90.01.02.03.02</t>
        </is>
      </c>
      <c r="D139" t="inlineStr">
        <is>
          <t>AA.05.01.02.03.02</t>
        </is>
      </c>
      <c r="F139" t="inlineStr">
        <is>
          <t>A03.90.01.02.03.02.001</t>
        </is>
      </c>
      <c r="K139" t="inlineStr">
        <is>
          <t>是</t>
        </is>
      </c>
      <c r="M139" t="inlineStr">
        <is>
          <t>05.01.02.03.02</t>
        </is>
      </c>
      <c r="N139" t="inlineStr">
        <is>
          <t>SUM</t>
        </is>
      </c>
    </row>
    <row r="140">
      <c r="A140" t="inlineStr">
        <is>
          <t>六级</t>
        </is>
      </c>
      <c r="B140" t="inlineStr">
        <is>
          <t>支出</t>
        </is>
      </c>
      <c r="C140" t="inlineStr">
        <is>
          <t>A03.90.01.02.03.02.001</t>
        </is>
      </c>
      <c r="D140" t="inlineStr">
        <is>
          <t>科技</t>
        </is>
      </c>
      <c r="K140" t="inlineStr">
        <is>
          <t>是</t>
        </is>
      </c>
      <c r="M140" t="inlineStr">
        <is>
          <t>05.01.02.03.02.001</t>
        </is>
      </c>
      <c r="N140" t="inlineStr">
        <is>
          <t>SUM</t>
        </is>
      </c>
    </row>
    <row r="141">
      <c r="A141" t="inlineStr">
        <is>
          <t>五级</t>
        </is>
      </c>
      <c r="B141" t="inlineStr">
        <is>
          <t>支出</t>
        </is>
      </c>
      <c r="C141" t="inlineStr">
        <is>
          <t>A03.90.01.02.03.03</t>
        </is>
      </c>
      <c r="D141" t="inlineStr">
        <is>
          <t>AA.05.01.02.03.03</t>
        </is>
      </c>
      <c r="F141" t="inlineStr">
        <is>
          <t>A03.90.01.02.03.03.001</t>
        </is>
      </c>
      <c r="K141" t="inlineStr">
        <is>
          <t>是</t>
        </is>
      </c>
      <c r="M141" t="inlineStr">
        <is>
          <t>05.01.02.03.03</t>
        </is>
      </c>
      <c r="N141" t="inlineStr">
        <is>
          <t>SUM</t>
        </is>
      </c>
    </row>
    <row r="142">
      <c r="A142" t="inlineStr">
        <is>
          <t>六级</t>
        </is>
      </c>
      <c r="B142" t="inlineStr">
        <is>
          <t>支出</t>
        </is>
      </c>
      <c r="C142" t="inlineStr">
        <is>
          <t>A03.90.01.02.03.03.001</t>
        </is>
      </c>
      <c r="D142" t="inlineStr">
        <is>
          <t>IT职场</t>
        </is>
      </c>
      <c r="K142" t="inlineStr">
        <is>
          <t>是</t>
        </is>
      </c>
      <c r="M142" t="inlineStr">
        <is>
          <t>05.01.02.03.03.001</t>
        </is>
      </c>
      <c r="N142" t="inlineStr">
        <is>
          <t>SUM</t>
        </is>
      </c>
    </row>
    <row r="143">
      <c r="A143" t="inlineStr">
        <is>
          <t>五级</t>
        </is>
      </c>
      <c r="B143" t="inlineStr">
        <is>
          <t>支出</t>
        </is>
      </c>
      <c r="C143" t="inlineStr">
        <is>
          <t>A03.90.01.02.03.04</t>
        </is>
      </c>
      <c r="D143" t="inlineStr">
        <is>
          <t>AA.05.01.02.03.04</t>
        </is>
      </c>
      <c r="F143" t="inlineStr">
        <is>
          <t>A03.90.01.02.03.04.001</t>
        </is>
      </c>
      <c r="K143" t="inlineStr">
        <is>
          <t>是</t>
        </is>
      </c>
      <c r="M143" t="inlineStr">
        <is>
          <t>05.01.02.03.04</t>
        </is>
      </c>
      <c r="N143" t="inlineStr">
        <is>
          <t>SUM</t>
        </is>
      </c>
    </row>
    <row r="144">
      <c r="A144" t="inlineStr">
        <is>
          <t>六级</t>
        </is>
      </c>
      <c r="B144" t="inlineStr">
        <is>
          <t>支出</t>
        </is>
      </c>
      <c r="C144" t="inlineStr">
        <is>
          <t>A03.90.01.02.03.04.001</t>
        </is>
      </c>
      <c r="D144" t="inlineStr">
        <is>
          <t>IT日常</t>
        </is>
      </c>
      <c r="K144" t="inlineStr">
        <is>
          <t>是</t>
        </is>
      </c>
      <c r="M144" t="inlineStr">
        <is>
          <t>05.01.02.03.04.001</t>
        </is>
      </c>
      <c r="N144" t="inlineStr">
        <is>
          <t>SUM</t>
        </is>
      </c>
    </row>
    <row r="145">
      <c r="A145" t="inlineStr">
        <is>
          <t>四级</t>
        </is>
      </c>
      <c r="B145" t="inlineStr">
        <is>
          <t>支出</t>
        </is>
      </c>
      <c r="C145" t="inlineStr">
        <is>
          <t>A03.90.01.02.04</t>
        </is>
      </c>
      <c r="D145" t="inlineStr">
        <is>
          <t>AA.05.01.02.04</t>
        </is>
      </c>
      <c r="F145" t="inlineStr">
        <is>
          <t>A03.90.01.02.04.001</t>
        </is>
      </c>
      <c r="K145" t="inlineStr">
        <is>
          <t>是</t>
        </is>
      </c>
      <c r="M145" t="inlineStr">
        <is>
          <t>05.01.02.04</t>
        </is>
      </c>
      <c r="N145" t="inlineStr">
        <is>
          <t>SUM</t>
        </is>
      </c>
    </row>
    <row r="146">
      <c r="A146" t="inlineStr">
        <is>
          <t>五级</t>
        </is>
      </c>
      <c r="B146" t="inlineStr">
        <is>
          <t>支出</t>
        </is>
      </c>
      <c r="C146" t="inlineStr">
        <is>
          <t>A03.90.01.02.04.001</t>
        </is>
      </c>
      <c r="D146" t="inlineStr">
        <is>
          <t>职场</t>
        </is>
      </c>
      <c r="K146" t="inlineStr">
        <is>
          <t>是</t>
        </is>
      </c>
      <c r="M146" t="inlineStr">
        <is>
          <t>05.01.02.04.001</t>
        </is>
      </c>
      <c r="N146" t="inlineStr">
        <is>
          <t>SUM</t>
        </is>
      </c>
    </row>
    <row r="147">
      <c r="A147" t="inlineStr">
        <is>
          <t>四级</t>
        </is>
      </c>
      <c r="B147" t="inlineStr">
        <is>
          <t>支出</t>
        </is>
      </c>
      <c r="C147" t="inlineStr">
        <is>
          <t>A03.90.01.02.05</t>
        </is>
      </c>
      <c r="D147" t="inlineStr">
        <is>
          <t>AA.05.01.02.05</t>
        </is>
      </c>
      <c r="F147" t="inlineStr">
        <is>
          <t>A03.90.01.02.05.001</t>
        </is>
      </c>
      <c r="K147" t="inlineStr">
        <is>
          <t>是</t>
        </is>
      </c>
      <c r="M147" t="inlineStr">
        <is>
          <t>05.01.02.05</t>
        </is>
      </c>
      <c r="N147" t="inlineStr">
        <is>
          <t>SUM</t>
        </is>
      </c>
    </row>
    <row r="148">
      <c r="A148" t="inlineStr">
        <is>
          <t>五级</t>
        </is>
      </c>
      <c r="B148" t="inlineStr">
        <is>
          <t>支出</t>
        </is>
      </c>
      <c r="C148" t="inlineStr">
        <is>
          <t>A03.90.01.02.05.001</t>
        </is>
      </c>
      <c r="D148" t="inlineStr">
        <is>
          <t>日常</t>
        </is>
      </c>
      <c r="K148" t="inlineStr">
        <is>
          <t>是</t>
        </is>
      </c>
      <c r="M148" t="inlineStr">
        <is>
          <t>05.01.02.05.001</t>
        </is>
      </c>
      <c r="N148" t="inlineStr">
        <is>
          <t>SUM</t>
        </is>
      </c>
    </row>
    <row r="149">
      <c r="A149" t="inlineStr">
        <is>
          <t>二级</t>
        </is>
      </c>
      <c r="B149" t="inlineStr">
        <is>
          <t>支出</t>
        </is>
      </c>
      <c r="C149" t="inlineStr">
        <is>
          <t>A03.90.02</t>
        </is>
      </c>
      <c r="D149" t="inlineStr">
        <is>
          <t>业务费用</t>
        </is>
      </c>
      <c r="F149" t="inlineStr">
        <is>
          <t>A03.90.02.01+A03.90.02.02</t>
        </is>
      </c>
      <c r="K149" t="inlineStr">
        <is>
          <t>是</t>
        </is>
      </c>
      <c r="N149" t="inlineStr">
        <is>
          <t>SUM</t>
        </is>
      </c>
    </row>
    <row r="150">
      <c r="A150" t="inlineStr">
        <is>
          <t>三级</t>
        </is>
      </c>
      <c r="B150" t="inlineStr">
        <is>
          <t>支出</t>
        </is>
      </c>
      <c r="C150" t="inlineStr">
        <is>
          <t>A03.90.02.01</t>
        </is>
      </c>
      <c r="D150" t="inlineStr">
        <is>
          <t>营销费用</t>
        </is>
      </c>
      <c r="K150" t="inlineStr">
        <is>
          <t>是</t>
        </is>
      </c>
      <c r="N150" t="inlineStr">
        <is>
          <t>SUM</t>
        </is>
      </c>
    </row>
    <row r="151">
      <c r="A151" t="inlineStr">
        <is>
          <t>三级</t>
        </is>
      </c>
      <c r="B151" t="inlineStr">
        <is>
          <t>支出</t>
        </is>
      </c>
      <c r="C151" t="inlineStr">
        <is>
          <t>A03.90.02.02</t>
        </is>
      </c>
      <c r="D151" t="inlineStr">
        <is>
          <t>运营费用</t>
        </is>
      </c>
      <c r="K151" t="inlineStr">
        <is>
          <t>是</t>
        </is>
      </c>
      <c r="N151" t="inlineStr">
        <is>
          <t>SUM</t>
        </is>
      </c>
    </row>
    <row r="152">
      <c r="A152" t="inlineStr">
        <is>
          <t>二级</t>
        </is>
      </c>
      <c r="B152" t="inlineStr">
        <is>
          <t>支出</t>
        </is>
      </c>
      <c r="C152" t="inlineStr">
        <is>
          <t>A03.90.03</t>
        </is>
      </c>
      <c r="D152" t="inlineStr">
        <is>
          <t>业务支出评估</t>
        </is>
      </c>
      <c r="F152" t="inlineStr">
        <is>
          <t>A03.90.03.09</t>
        </is>
      </c>
      <c r="K152" t="inlineStr">
        <is>
          <t>是</t>
        </is>
      </c>
      <c r="M152" t="inlineStr">
        <is>
          <t>05.02</t>
        </is>
      </c>
    </row>
    <row r="153">
      <c r="A153" t="inlineStr">
        <is>
          <t>三级</t>
        </is>
      </c>
      <c r="B153" t="inlineStr">
        <is>
          <t>支出</t>
        </is>
      </c>
      <c r="C153" t="inlineStr">
        <is>
          <t>A03.90.03.09</t>
        </is>
      </c>
      <c r="D153" t="inlineStr">
        <is>
          <t>客户经营指标</t>
        </is>
      </c>
      <c r="F153" t="inlineStr">
        <is>
          <t>A03.90.03.09.01+A03.90.03.09.02+A03.90.03.09.03</t>
        </is>
      </c>
      <c r="K153" t="inlineStr">
        <is>
          <t>是</t>
        </is>
      </c>
      <c r="M153" t="inlineStr">
        <is>
          <t>05.02.09</t>
        </is>
      </c>
    </row>
    <row r="154">
      <c r="A154" t="inlineStr">
        <is>
          <t>四级</t>
        </is>
      </c>
      <c r="B154" t="inlineStr">
        <is>
          <t>支出</t>
        </is>
      </c>
      <c r="C154" t="inlineStr">
        <is>
          <t>A03.90.03.09.01</t>
        </is>
      </c>
      <c r="D154" t="inlineStr">
        <is>
          <t>客户营销与投入</t>
        </is>
      </c>
      <c r="F154" t="inlineStr">
        <is>
          <t>A03.90.03.09.01.001+A03.90.03.09.01.002+A03.90.03.09.01.003+A03.90.03.09.01.004</t>
        </is>
      </c>
      <c r="K154" t="inlineStr">
        <is>
          <t>是</t>
        </is>
      </c>
      <c r="M154" t="inlineStr">
        <is>
          <t>05.02.09.01</t>
        </is>
      </c>
    </row>
    <row r="155">
      <c r="A155" t="inlineStr">
        <is>
          <t>五级</t>
        </is>
      </c>
      <c r="B155" t="inlineStr">
        <is>
          <t>支出</t>
        </is>
      </c>
      <c r="C155" t="inlineStr">
        <is>
          <t>A03.90.03.09.01.001</t>
        </is>
      </c>
      <c r="D155" t="inlineStr">
        <is>
          <t>新客营销支出</t>
        </is>
      </c>
      <c r="K155" t="inlineStr">
        <is>
          <t>是</t>
        </is>
      </c>
      <c r="M155" t="inlineStr">
        <is>
          <t>05.02.09.01.001</t>
        </is>
      </c>
      <c r="N155" t="inlineStr">
        <is>
          <t>SUM</t>
        </is>
      </c>
    </row>
    <row r="156">
      <c r="A156" t="inlineStr">
        <is>
          <t>五级</t>
        </is>
      </c>
      <c r="B156" t="inlineStr">
        <is>
          <t>支出</t>
        </is>
      </c>
      <c r="C156" t="inlineStr">
        <is>
          <t>A03.90.03.09.01.002</t>
        </is>
      </c>
      <c r="D156" t="inlineStr">
        <is>
          <t>存客营销支出</t>
        </is>
      </c>
      <c r="K156" t="inlineStr">
        <is>
          <t>是</t>
        </is>
      </c>
      <c r="M156" t="inlineStr">
        <is>
          <t>05.02.09.01.002</t>
        </is>
      </c>
      <c r="N156" t="inlineStr">
        <is>
          <t>SUM</t>
        </is>
      </c>
    </row>
    <row r="157">
      <c r="A157" t="inlineStr">
        <is>
          <t>五级</t>
        </is>
      </c>
      <c r="B157" t="inlineStr">
        <is>
          <t>支出</t>
        </is>
      </c>
      <c r="C157" t="inlineStr">
        <is>
          <t>A03.90.03.09.01.003</t>
        </is>
      </c>
      <c r="D157" t="inlineStr">
        <is>
          <t>新开通客户投入</t>
        </is>
      </c>
      <c r="K157" t="inlineStr">
        <is>
          <t>是</t>
        </is>
      </c>
      <c r="M157" t="inlineStr">
        <is>
          <t>05.02.09.01.003</t>
        </is>
      </c>
      <c r="N157" t="inlineStr">
        <is>
          <t>SUM</t>
        </is>
      </c>
    </row>
    <row r="158">
      <c r="A158" t="inlineStr">
        <is>
          <t>五级</t>
        </is>
      </c>
      <c r="B158" t="inlineStr">
        <is>
          <t>支出</t>
        </is>
      </c>
      <c r="C158" t="inlineStr">
        <is>
          <t>A03.90.03.09.01.004</t>
        </is>
      </c>
      <c r="D158" t="inlineStr">
        <is>
          <t>新发放投入</t>
        </is>
      </c>
      <c r="K158" t="inlineStr">
        <is>
          <t>是</t>
        </is>
      </c>
      <c r="M158" t="inlineStr">
        <is>
          <t>05.02.09.01.004</t>
        </is>
      </c>
      <c r="N158" t="inlineStr">
        <is>
          <t>SUM</t>
        </is>
      </c>
    </row>
    <row r="159">
      <c r="A159" t="inlineStr">
        <is>
          <t>四级</t>
        </is>
      </c>
      <c r="B159" t="inlineStr">
        <is>
          <t>支出</t>
        </is>
      </c>
      <c r="C159" t="inlineStr">
        <is>
          <t>A03.90.03.09.02</t>
        </is>
      </c>
      <c r="D159" t="inlineStr">
        <is>
          <t>客户规模与数量</t>
        </is>
      </c>
      <c r="F159" t="inlineStr">
        <is>
          <t>A03.90.03.09.02.101+A03.90.03.09.02.102+A03.90.03.09.02.103</t>
        </is>
      </c>
      <c r="K159" t="inlineStr">
        <is>
          <t>是</t>
        </is>
      </c>
      <c r="M159" t="inlineStr">
        <is>
          <t>05.02.09.02</t>
        </is>
      </c>
    </row>
    <row r="160">
      <c r="A160" t="inlineStr">
        <is>
          <t>五级</t>
        </is>
      </c>
      <c r="B160" t="inlineStr">
        <is>
          <t>支出</t>
        </is>
      </c>
      <c r="C160" t="inlineStr">
        <is>
          <t>A03.90.03.09.02.001</t>
        </is>
      </c>
      <c r="D160" t="inlineStr">
        <is>
          <t>新客日均LUM</t>
        </is>
      </c>
      <c r="K160" t="inlineStr">
        <is>
          <t>是</t>
        </is>
      </c>
      <c r="M160" t="inlineStr">
        <is>
          <t>05.02.09.02.001</t>
        </is>
      </c>
      <c r="N160" t="inlineStr">
        <is>
          <t>SUM</t>
        </is>
      </c>
    </row>
    <row r="161">
      <c r="A161" t="inlineStr">
        <is>
          <t>五级</t>
        </is>
      </c>
      <c r="B161" t="inlineStr">
        <is>
          <t>支出</t>
        </is>
      </c>
      <c r="C161" t="inlineStr">
        <is>
          <t>A03.90.03.09.02.002</t>
        </is>
      </c>
      <c r="D161" t="inlineStr">
        <is>
          <t>存客日均LUM</t>
        </is>
      </c>
      <c r="K161" t="inlineStr">
        <is>
          <t>是</t>
        </is>
      </c>
      <c r="M161" t="inlineStr">
        <is>
          <t>05.02.09.02.002</t>
        </is>
      </c>
      <c r="N161" t="inlineStr">
        <is>
          <t>SUM</t>
        </is>
      </c>
    </row>
    <row r="162">
      <c r="A162" t="inlineStr">
        <is>
          <t>五级</t>
        </is>
      </c>
      <c r="B162" t="inlineStr">
        <is>
          <t>支出</t>
        </is>
      </c>
      <c r="C162" t="inlineStr">
        <is>
          <t>A03.90.03.09.02.003</t>
        </is>
      </c>
      <c r="D162" t="inlineStr">
        <is>
          <t>新开通客户数</t>
        </is>
      </c>
      <c r="K162" t="inlineStr">
        <is>
          <t>是</t>
        </is>
      </c>
      <c r="M162" t="inlineStr">
        <is>
          <t>05.02.09.02.003</t>
        </is>
      </c>
      <c r="N162" t="inlineStr">
        <is>
          <t>SUM</t>
        </is>
      </c>
    </row>
    <row r="163">
      <c r="A163" t="inlineStr">
        <is>
          <t>五级</t>
        </is>
      </c>
      <c r="B163" t="inlineStr">
        <is>
          <t>支出</t>
        </is>
      </c>
      <c r="C163" t="inlineStr">
        <is>
          <t>A03.90.03.09.02.004</t>
        </is>
      </c>
      <c r="D163" t="inlineStr">
        <is>
          <t>平均有效客户数</t>
        </is>
      </c>
      <c r="K163" t="inlineStr">
        <is>
          <t>是</t>
        </is>
      </c>
      <c r="M163" t="inlineStr">
        <is>
          <t>05.02.09.02.004</t>
        </is>
      </c>
      <c r="N163" t="inlineStr">
        <is>
          <t>SUM</t>
        </is>
      </c>
    </row>
    <row r="164">
      <c r="A164" t="inlineStr">
        <is>
          <t>五级</t>
        </is>
      </c>
      <c r="B164" t="inlineStr">
        <is>
          <t>支出</t>
        </is>
      </c>
      <c r="C164" t="inlineStr">
        <is>
          <t>A03.90.03.09.02.005</t>
        </is>
      </c>
      <c r="D164" t="inlineStr">
        <is>
          <t>新发放LUM</t>
        </is>
      </c>
      <c r="K164" t="inlineStr">
        <is>
          <t>是</t>
        </is>
      </c>
      <c r="M164" t="inlineStr">
        <is>
          <t>05.02.09.02.005</t>
        </is>
      </c>
      <c r="N164" t="inlineStr">
        <is>
          <t>SUM</t>
        </is>
      </c>
    </row>
    <row r="165">
      <c r="A165" t="inlineStr">
        <is>
          <t>五级</t>
        </is>
      </c>
      <c r="B165" t="inlineStr">
        <is>
          <t>支出</t>
        </is>
      </c>
      <c r="C165" t="inlineStr">
        <is>
          <t>A03.90.03.09.02.006</t>
        </is>
      </c>
      <c r="D165" t="inlineStr">
        <is>
          <t>新发放LUM（标服）</t>
        </is>
      </c>
      <c r="K165" t="inlineStr">
        <is>
          <t>是</t>
        </is>
      </c>
      <c r="M165" t="inlineStr">
        <is>
          <t>05.02.09.02.006</t>
        </is>
      </c>
      <c r="N165" t="inlineStr">
        <is>
          <t>SUM</t>
        </is>
      </c>
    </row>
    <row r="166">
      <c r="A166" t="inlineStr">
        <is>
          <t>五级</t>
        </is>
      </c>
      <c r="B166" t="inlineStr">
        <is>
          <t>支出</t>
        </is>
      </c>
      <c r="C166" t="inlineStr">
        <is>
          <t>A03.90.03.09.02.007</t>
        </is>
      </c>
      <c r="D166" t="inlineStr">
        <is>
          <t>存客日均AuM</t>
        </is>
      </c>
      <c r="K166" t="inlineStr">
        <is>
          <t>是</t>
        </is>
      </c>
      <c r="M166" t="inlineStr">
        <is>
          <t>05.02.09.02.007</t>
        </is>
      </c>
      <c r="N166" t="inlineStr">
        <is>
          <t>SUM</t>
        </is>
      </c>
    </row>
    <row r="167">
      <c r="A167" t="inlineStr">
        <is>
          <t>五级</t>
        </is>
      </c>
      <c r="B167" t="inlineStr">
        <is>
          <t>支出</t>
        </is>
      </c>
      <c r="C167" t="inlineStr">
        <is>
          <t>A03.90.03.09.02.008</t>
        </is>
      </c>
      <c r="D167" t="inlineStr">
        <is>
          <t>新客AuM余额</t>
        </is>
      </c>
      <c r="K167" t="inlineStr">
        <is>
          <t>是</t>
        </is>
      </c>
      <c r="M167" t="inlineStr">
        <is>
          <t>05.02.09.02.008</t>
        </is>
      </c>
      <c r="N167" t="inlineStr">
        <is>
          <t>SUM</t>
        </is>
      </c>
    </row>
    <row r="168">
      <c r="A168" t="inlineStr">
        <is>
          <t>五级</t>
        </is>
      </c>
      <c r="B168" t="inlineStr">
        <is>
          <t>支出</t>
        </is>
      </c>
      <c r="C168" t="inlineStr">
        <is>
          <t>A03.90.03.09.02.009</t>
        </is>
      </c>
      <c r="D168" t="inlineStr">
        <is>
          <t>MFAU客户数</t>
        </is>
      </c>
      <c r="K168" t="inlineStr">
        <is>
          <t>是</t>
        </is>
      </c>
      <c r="M168" t="inlineStr">
        <is>
          <t>05.02.09.02.009</t>
        </is>
      </c>
      <c r="N168" t="inlineStr">
        <is>
          <t>SUM</t>
        </is>
      </c>
    </row>
    <row r="169">
      <c r="A169" t="inlineStr">
        <is>
          <t>五级</t>
        </is>
      </c>
      <c r="B169" t="inlineStr">
        <is>
          <t>支出</t>
        </is>
      </c>
      <c r="C169" t="inlineStr">
        <is>
          <t>A03.90.03.09.02.010</t>
        </is>
      </c>
      <c r="D169" t="inlineStr">
        <is>
          <t>日均LUM</t>
        </is>
      </c>
      <c r="K169" t="inlineStr">
        <is>
          <t>是</t>
        </is>
      </c>
      <c r="M169" t="inlineStr">
        <is>
          <t>05.02.09.02.010</t>
        </is>
      </c>
      <c r="N169" t="inlineStr">
        <is>
          <t>SUM</t>
        </is>
      </c>
    </row>
    <row r="170">
      <c r="A170" t="inlineStr">
        <is>
          <t>五级</t>
        </is>
      </c>
      <c r="B170" t="inlineStr">
        <is>
          <t>支出</t>
        </is>
      </c>
      <c r="C170" t="inlineStr">
        <is>
          <t>A03.90.03.09.02.011</t>
        </is>
      </c>
      <c r="D170" t="inlineStr">
        <is>
          <t>日均AuM</t>
        </is>
      </c>
      <c r="K170" t="inlineStr">
        <is>
          <t>是</t>
        </is>
      </c>
      <c r="M170" t="inlineStr">
        <is>
          <t>05.02.09.02.011</t>
        </is>
      </c>
      <c r="N170" t="inlineStr">
        <is>
          <t>SUM</t>
        </is>
      </c>
    </row>
    <row r="171">
      <c r="A171" t="inlineStr">
        <is>
          <t>五级</t>
        </is>
      </c>
      <c r="B171" t="inlineStr">
        <is>
          <t>支出</t>
        </is>
      </c>
      <c r="C171" t="inlineStr">
        <is>
          <t>A03.90.03.09.02.101</t>
        </is>
      </c>
      <c r="D171" t="inlineStr">
        <is>
          <t>LUM规模</t>
        </is>
      </c>
      <c r="F171" t="inlineStr">
        <is>
          <t>A03.90.03.09.02.001+A03.90.03.09.02.002+A03.90.03.09.02.005+A03.90.03.09.02.006+A03.90.03.09.02.010</t>
        </is>
      </c>
      <c r="K171" t="inlineStr">
        <is>
          <t>是</t>
        </is>
      </c>
      <c r="M171" t="inlineStr">
        <is>
          <t>05.02.09.02.101</t>
        </is>
      </c>
    </row>
    <row r="172">
      <c r="A172" t="inlineStr">
        <is>
          <t>五级</t>
        </is>
      </c>
      <c r="B172" t="inlineStr">
        <is>
          <t>支出</t>
        </is>
      </c>
      <c r="C172" t="inlineStr">
        <is>
          <t>A03.90.03.09.02.102</t>
        </is>
      </c>
      <c r="D172" t="inlineStr">
        <is>
          <t>AuM规模</t>
        </is>
      </c>
      <c r="F172" t="inlineStr">
        <is>
          <t>A03.90.03.09.02.007+A03.90.03.09.02.008+A03.90.03.09.02.011</t>
        </is>
      </c>
      <c r="K172" t="inlineStr">
        <is>
          <t>是</t>
        </is>
      </c>
      <c r="M172" t="inlineStr">
        <is>
          <t>05.02.09.02.102</t>
        </is>
      </c>
    </row>
    <row r="173">
      <c r="A173" t="inlineStr">
        <is>
          <t>五级</t>
        </is>
      </c>
      <c r="B173" t="inlineStr">
        <is>
          <t>支出</t>
        </is>
      </c>
      <c r="C173" t="inlineStr">
        <is>
          <t>A03.90.03.09.02.103</t>
        </is>
      </c>
      <c r="D173" t="inlineStr">
        <is>
          <t>客户数量</t>
        </is>
      </c>
      <c r="F173" t="inlineStr">
        <is>
          <t>A03.90.03.09.02.003+A03.90.03.09.02.004+A03.90.03.09.02.009</t>
        </is>
      </c>
      <c r="K173" t="inlineStr">
        <is>
          <t>是</t>
        </is>
      </c>
      <c r="M173" t="inlineStr">
        <is>
          <t>05.02.09.02.103</t>
        </is>
      </c>
    </row>
    <row r="174">
      <c r="A174" t="inlineStr">
        <is>
          <t>四级</t>
        </is>
      </c>
      <c r="B174" t="inlineStr">
        <is>
          <t>支出</t>
        </is>
      </c>
      <c r="C174" t="inlineStr">
        <is>
          <t>A03.90.03.09.03</t>
        </is>
      </c>
      <c r="D174" t="inlineStr">
        <is>
          <t>客户回收与催收</t>
        </is>
      </c>
      <c r="F174" t="inlineStr">
        <is>
          <t>A03.90.03.09.03.001+A03.90.03.09.03.002+A03.90.03.09.03.003</t>
        </is>
      </c>
      <c r="K174" t="inlineStr">
        <is>
          <t>是</t>
        </is>
      </c>
      <c r="M174" t="inlineStr">
        <is>
          <t>05.02.09.03</t>
        </is>
      </c>
    </row>
    <row r="175">
      <c r="A175" t="inlineStr">
        <is>
          <t>五级</t>
        </is>
      </c>
      <c r="B175" t="inlineStr">
        <is>
          <t>支出</t>
        </is>
      </c>
      <c r="C175" t="inlineStr">
        <is>
          <t>A03.90.03.09.03.001</t>
        </is>
      </c>
      <c r="D175" t="inlineStr">
        <is>
          <t>内催回收额</t>
        </is>
      </c>
      <c r="K175" t="inlineStr">
        <is>
          <t>是</t>
        </is>
      </c>
      <c r="M175" t="inlineStr">
        <is>
          <t>05.02.09.03.001</t>
        </is>
      </c>
      <c r="N175" t="inlineStr">
        <is>
          <t>SUM</t>
        </is>
      </c>
    </row>
    <row r="176">
      <c r="A176" t="inlineStr">
        <is>
          <t>五级</t>
        </is>
      </c>
      <c r="B176" t="inlineStr">
        <is>
          <t>支出</t>
        </is>
      </c>
      <c r="C176" t="inlineStr">
        <is>
          <t>A03.90.03.09.03.002</t>
        </is>
      </c>
      <c r="D176" t="inlineStr">
        <is>
          <t>M6-压降金额</t>
        </is>
      </c>
      <c r="K176" t="inlineStr">
        <is>
          <t>是</t>
        </is>
      </c>
      <c r="M176" t="inlineStr">
        <is>
          <t>05.02.09.03.002</t>
        </is>
      </c>
      <c r="N176" t="inlineStr">
        <is>
          <t>SUM</t>
        </is>
      </c>
    </row>
    <row r="177">
      <c r="A177" t="inlineStr">
        <is>
          <t>五级</t>
        </is>
      </c>
      <c r="B177" t="inlineStr">
        <is>
          <t>支出</t>
        </is>
      </c>
      <c r="C177" t="inlineStr">
        <is>
          <t>A03.90.03.09.03.003</t>
        </is>
      </c>
      <c r="D177" t="inlineStr">
        <is>
          <t>M7+现金回收额</t>
        </is>
      </c>
      <c r="K177" t="inlineStr">
        <is>
          <t>是</t>
        </is>
      </c>
      <c r="M177" t="inlineStr">
        <is>
          <t>05.02.09.03.003</t>
        </is>
      </c>
      <c r="N177" t="inlineStr">
        <is>
          <t>SUM</t>
        </is>
      </c>
    </row>
    <row r="178"/>
    <row r="179"/>
    <row r="180"/>
    <row r="181"/>
    <row r="182"/>
    <row r="183"/>
    <row r="184"/>
    <row r="185"/>
    <row r="186"/>
    <row r="187"/>
    <row r="188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192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N22" sqref="N22"/>
    </sheetView>
  </sheetViews>
  <sheetFormatPr baseColWidth="8" defaultColWidth="9" defaultRowHeight="15" customHeight="1"/>
  <cols>
    <col width="8.66071428571429" customWidth="1" style="5" min="1" max="2"/>
    <col width="11" customWidth="1" style="5" min="3" max="3"/>
    <col width="17.5" customWidth="1" style="5" min="4" max="4"/>
    <col width="8.66071428571429" customWidth="1" style="5" min="5" max="9"/>
    <col width="10.1607142857143" customWidth="1" style="5" min="10" max="10"/>
    <col width="8.66071428571429" customWidth="1" style="5" min="11" max="16384"/>
  </cols>
  <sheetData>
    <row r="1" customFormat="1" s="1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3" t="inlineStr">
        <is>
          <t>录入粒度</t>
        </is>
      </c>
      <c r="F1" s="3" t="inlineStr">
        <is>
          <t>年预算公式</t>
        </is>
      </c>
      <c r="G1" s="3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6" t="n"/>
      <c r="O1" s="6" t="n"/>
      <c r="P1" t="inlineStr">
        <is>
          <t>规则</t>
        </is>
      </c>
    </row>
    <row r="2">
      <c r="A2" s="7" t="inlineStr">
        <is>
          <t>一级</t>
        </is>
      </c>
      <c r="B2" s="1" t="inlineStr">
        <is>
          <t>收入</t>
        </is>
      </c>
      <c r="C2" s="8" t="inlineStr">
        <is>
          <t>A04.01</t>
        </is>
      </c>
      <c r="D2" s="7" t="inlineStr">
        <is>
          <t>营业收入</t>
        </is>
      </c>
      <c r="F2" t="inlineStr">
        <is>
          <t>A04.01.01+A04.01.02+A04.01.03</t>
        </is>
      </c>
      <c r="H2" s="5">
        <f>H3+H6+H7</f>
        <v/>
      </c>
      <c r="I2" s="5">
        <f>I3+I6+I7</f>
        <v/>
      </c>
      <c r="M2" t="inlineStr">
        <is>
          <t>01</t>
        </is>
      </c>
    </row>
    <row r="3">
      <c r="A3" s="1" t="inlineStr">
        <is>
          <t>二级</t>
        </is>
      </c>
      <c r="B3" s="1" t="inlineStr">
        <is>
          <t>收入</t>
        </is>
      </c>
      <c r="C3" s="8" t="inlineStr">
        <is>
          <t>A04.01.01</t>
        </is>
      </c>
      <c r="D3" s="1" t="inlineStr">
        <is>
          <t xml:space="preserve">  利息净收入</t>
        </is>
      </c>
      <c r="F3" t="inlineStr">
        <is>
          <t>A04.01.01.01+A04.01.01.02</t>
        </is>
      </c>
      <c r="H3" s="5">
        <f>H4+H5</f>
        <v/>
      </c>
      <c r="I3" s="5">
        <f>I4+I5</f>
        <v/>
      </c>
      <c r="M3" t="inlineStr">
        <is>
          <t>01.01</t>
        </is>
      </c>
    </row>
    <row r="4">
      <c r="A4" s="1" t="inlineStr">
        <is>
          <t>三级</t>
        </is>
      </c>
      <c r="B4" s="1" t="inlineStr">
        <is>
          <t>收入</t>
        </is>
      </c>
      <c r="C4" s="9" t="inlineStr">
        <is>
          <t>A04.01.01.01</t>
        </is>
      </c>
      <c r="D4" s="1" t="inlineStr">
        <is>
          <t xml:space="preserve">    资产业务</t>
        </is>
      </c>
      <c r="H4" s="5">
        <f>H63-H71</f>
        <v/>
      </c>
      <c r="I4" s="5">
        <f>I63-I71</f>
        <v/>
      </c>
      <c r="M4" t="inlineStr">
        <is>
          <t>01.01.01</t>
        </is>
      </c>
      <c r="P4" t="inlineStr">
        <is>
          <t>SUM</t>
        </is>
      </c>
    </row>
    <row r="5">
      <c r="A5" s="1" t="inlineStr">
        <is>
          <t>三级</t>
        </is>
      </c>
      <c r="B5" s="1" t="inlineStr">
        <is>
          <t>收入</t>
        </is>
      </c>
      <c r="C5" s="9" t="inlineStr">
        <is>
          <t>A04.01.01.02</t>
        </is>
      </c>
      <c r="D5" s="1" t="inlineStr">
        <is>
          <t xml:space="preserve">    负债业务</t>
        </is>
      </c>
      <c r="H5" s="5">
        <f>H91-H80</f>
        <v/>
      </c>
      <c r="I5" s="5">
        <f>I91-I80</f>
        <v/>
      </c>
      <c r="M5" t="inlineStr">
        <is>
          <t>01.01.02</t>
        </is>
      </c>
      <c r="P5" t="inlineStr">
        <is>
          <t>SUM</t>
        </is>
      </c>
    </row>
    <row r="6">
      <c r="A6" s="1" t="inlineStr">
        <is>
          <t>二级</t>
        </is>
      </c>
      <c r="B6" s="1" t="inlineStr">
        <is>
          <t>收入</t>
        </is>
      </c>
      <c r="C6" s="8" t="inlineStr">
        <is>
          <t>A04.01.02</t>
        </is>
      </c>
      <c r="D6" s="1" t="inlineStr">
        <is>
          <t xml:space="preserve">  手续费净收入</t>
        </is>
      </c>
      <c r="H6" s="5">
        <f>H105-H110</f>
        <v/>
      </c>
      <c r="I6" s="5">
        <f>I105-I110</f>
        <v/>
      </c>
      <c r="M6" t="inlineStr">
        <is>
          <t>01.02</t>
        </is>
      </c>
      <c r="P6" t="inlineStr">
        <is>
          <t>SUM</t>
        </is>
      </c>
    </row>
    <row r="7">
      <c r="A7" s="1" t="inlineStr">
        <is>
          <t>二级</t>
        </is>
      </c>
      <c r="B7" s="1" t="inlineStr">
        <is>
          <t>收入</t>
        </is>
      </c>
      <c r="C7" s="8" t="inlineStr">
        <is>
          <t>A04.01.03</t>
        </is>
      </c>
      <c r="D7" s="1" t="inlineStr">
        <is>
          <t xml:space="preserve">  其他营收</t>
        </is>
      </c>
      <c r="H7" s="5">
        <f>H117+H119</f>
        <v/>
      </c>
      <c r="I7" s="5">
        <f>I117+I119</f>
        <v/>
      </c>
      <c r="M7" t="inlineStr">
        <is>
          <t>01.03</t>
        </is>
      </c>
      <c r="P7" t="inlineStr">
        <is>
          <t>SUM</t>
        </is>
      </c>
    </row>
    <row r="8">
      <c r="A8" s="7" t="inlineStr">
        <is>
          <t>一级</t>
        </is>
      </c>
      <c r="B8" s="1" t="inlineStr">
        <is>
          <t>支出</t>
        </is>
      </c>
      <c r="C8" s="8" t="inlineStr">
        <is>
          <t>A04.02</t>
        </is>
      </c>
      <c r="D8" s="7" t="inlineStr">
        <is>
          <t>减：风险成本</t>
        </is>
      </c>
      <c r="M8" t="inlineStr">
        <is>
          <t>02</t>
        </is>
      </c>
      <c r="P8" t="inlineStr">
        <is>
          <t>SUM</t>
        </is>
      </c>
    </row>
    <row r="9">
      <c r="A9" s="7" t="inlineStr">
        <is>
          <t>一级</t>
        </is>
      </c>
      <c r="B9" s="1" t="inlineStr">
        <is>
          <t>收入</t>
        </is>
      </c>
      <c r="C9" s="8" t="inlineStr">
        <is>
          <t>A04.03</t>
        </is>
      </c>
      <c r="D9" s="7" t="inlineStr">
        <is>
          <t>净收入</t>
        </is>
      </c>
      <c r="F9" t="inlineStr">
        <is>
          <t>A04.01-A04.02</t>
        </is>
      </c>
      <c r="H9" s="5">
        <f>H2-H8</f>
        <v/>
      </c>
      <c r="I9" s="5">
        <f>I2-I8</f>
        <v/>
      </c>
      <c r="M9" t="inlineStr">
        <is>
          <t>03</t>
        </is>
      </c>
    </row>
    <row r="10">
      <c r="A10" s="7" t="inlineStr">
        <is>
          <t>一级</t>
        </is>
      </c>
      <c r="B10" s="1" t="inlineStr">
        <is>
          <t>支出</t>
        </is>
      </c>
      <c r="C10" s="8" t="inlineStr">
        <is>
          <t>A04.04</t>
        </is>
      </c>
      <c r="D10" s="7" t="inlineStr">
        <is>
          <t>减：税金及附加</t>
        </is>
      </c>
      <c r="M10" t="inlineStr">
        <is>
          <t>04</t>
        </is>
      </c>
      <c r="P10" t="inlineStr">
        <is>
          <t>SUM</t>
        </is>
      </c>
    </row>
    <row r="11">
      <c r="A11" s="7" t="inlineStr">
        <is>
          <t>一级</t>
        </is>
      </c>
      <c r="B11" s="1" t="inlineStr">
        <is>
          <t>支出</t>
        </is>
      </c>
      <c r="C11" s="8" t="inlineStr">
        <is>
          <t>A04.05</t>
        </is>
      </c>
      <c r="D11" s="7" t="inlineStr">
        <is>
          <t>减：直接费用</t>
        </is>
      </c>
      <c r="F11" t="inlineStr">
        <is>
          <t>A04.90.01+A04.90.02+A04.90.03+A04.90.04+A04.90.05</t>
        </is>
      </c>
      <c r="H11" s="5">
        <f>H12+H15+H18+H25+H26</f>
        <v/>
      </c>
      <c r="I11" s="5">
        <f>I12+I15+I18+I25+I26</f>
        <v/>
      </c>
      <c r="K11" t="inlineStr">
        <is>
          <t>是</t>
        </is>
      </c>
      <c r="M11" t="inlineStr">
        <is>
          <t>05</t>
        </is>
      </c>
    </row>
    <row r="12">
      <c r="A12" s="1" t="inlineStr">
        <is>
          <t>二级</t>
        </is>
      </c>
      <c r="B12" s="1" t="inlineStr">
        <is>
          <t>支出</t>
        </is>
      </c>
      <c r="C12" s="8" t="inlineStr">
        <is>
          <t>A04.05.01</t>
        </is>
      </c>
      <c r="D12" s="1" t="inlineStr">
        <is>
          <t xml:space="preserve">  人力费用（不含IT）</t>
        </is>
      </c>
      <c r="F12" t="inlineStr">
        <is>
          <t>A04.90.01.01+A04.90.01.02</t>
        </is>
      </c>
      <c r="H12" s="5">
        <f>H13+H14</f>
        <v/>
      </c>
      <c r="I12" s="5">
        <f>I13+I14</f>
        <v/>
      </c>
      <c r="K12" t="inlineStr">
        <is>
          <t>是</t>
        </is>
      </c>
      <c r="M12" t="inlineStr">
        <is>
          <t>05.01</t>
        </is>
      </c>
    </row>
    <row r="13">
      <c r="A13" s="1" t="inlineStr">
        <is>
          <t>三级</t>
        </is>
      </c>
      <c r="B13" s="1" t="inlineStr">
        <is>
          <t>支出</t>
        </is>
      </c>
      <c r="C13" s="9" t="inlineStr">
        <is>
          <t>A04.05.01.01</t>
        </is>
      </c>
      <c r="D13" s="1" t="inlineStr">
        <is>
          <t xml:space="preserve">    常规人力</t>
        </is>
      </c>
      <c r="F13" t="inlineStr">
        <is>
          <t>A04.90.01.01.01+A04.90.01.01.02+A04.90.01.01.03+A04.90.01.01.04.001+A04.90.01.01.05.001</t>
        </is>
      </c>
      <c r="K13" t="inlineStr">
        <is>
          <t>是</t>
        </is>
      </c>
      <c r="M13" t="inlineStr">
        <is>
          <t>05.01.01</t>
        </is>
      </c>
    </row>
    <row r="14">
      <c r="A14" s="1" t="inlineStr">
        <is>
          <t>三级</t>
        </is>
      </c>
      <c r="B14" s="1" t="inlineStr">
        <is>
          <t>支出</t>
        </is>
      </c>
      <c r="C14" s="9" t="inlineStr">
        <is>
          <t>A04.05.01.02</t>
        </is>
      </c>
      <c r="D14" s="1" t="inlineStr">
        <is>
          <t xml:space="preserve">    特别人力</t>
        </is>
      </c>
      <c r="F14" t="inlineStr">
        <is>
          <t>A04.90.01.02.01+A04.90.01.02.02+A04.90.01.02.03+A04.90.01.02.04.001+A04.90.01.02.05.001</t>
        </is>
      </c>
      <c r="K14" t="inlineStr">
        <is>
          <t>是</t>
        </is>
      </c>
      <c r="M14" t="inlineStr">
        <is>
          <t>05.01.02</t>
        </is>
      </c>
    </row>
    <row r="15">
      <c r="A15" s="1" t="inlineStr">
        <is>
          <t>二级</t>
        </is>
      </c>
      <c r="B15" s="1" t="inlineStr">
        <is>
          <t>支出</t>
        </is>
      </c>
      <c r="C15" s="8" t="inlineStr">
        <is>
          <t>A04.05.02</t>
        </is>
      </c>
      <c r="D15" s="1" t="inlineStr">
        <is>
          <t xml:space="preserve">  业务费用</t>
        </is>
      </c>
      <c r="F15" t="inlineStr">
        <is>
          <t>A04.90.02.01+A04.90.02.02+A04.90.02.09</t>
        </is>
      </c>
      <c r="H15" s="5">
        <f>H16+H17</f>
        <v/>
      </c>
      <c r="I15" s="5">
        <f>I16+I17</f>
        <v/>
      </c>
      <c r="K15" t="inlineStr">
        <is>
          <t>是</t>
        </is>
      </c>
      <c r="M15" t="inlineStr">
        <is>
          <t>05.02</t>
        </is>
      </c>
    </row>
    <row r="16">
      <c r="A16" s="1" t="inlineStr">
        <is>
          <t>三级</t>
        </is>
      </c>
      <c r="B16" s="1" t="inlineStr">
        <is>
          <t>支出</t>
        </is>
      </c>
      <c r="C16" s="9" t="inlineStr">
        <is>
          <t>A04.05.02.01</t>
        </is>
      </c>
      <c r="D16" s="1" t="inlineStr">
        <is>
          <t xml:space="preserve">    营销费用</t>
        </is>
      </c>
      <c r="K16" t="inlineStr">
        <is>
          <t>是</t>
        </is>
      </c>
      <c r="M16" t="inlineStr">
        <is>
          <t>05.02.01</t>
        </is>
      </c>
      <c r="P16" t="inlineStr">
        <is>
          <t>SUM</t>
        </is>
      </c>
    </row>
    <row r="17">
      <c r="A17" s="1" t="inlineStr">
        <is>
          <t>三级</t>
        </is>
      </c>
      <c r="B17" s="1" t="inlineStr">
        <is>
          <t>支出</t>
        </is>
      </c>
      <c r="C17" s="9" t="inlineStr">
        <is>
          <t>A04.05.02.02</t>
        </is>
      </c>
      <c r="D17" s="1" t="inlineStr">
        <is>
          <t xml:space="preserve">    运营费用</t>
        </is>
      </c>
      <c r="K17" t="inlineStr">
        <is>
          <t>是</t>
        </is>
      </c>
      <c r="M17" t="inlineStr">
        <is>
          <t>05.02.02</t>
        </is>
      </c>
      <c r="P17" t="inlineStr">
        <is>
          <t>SUM</t>
        </is>
      </c>
    </row>
    <row r="18">
      <c r="A18" s="1" t="inlineStr">
        <is>
          <t>二级</t>
        </is>
      </c>
      <c r="B18" s="1" t="inlineStr">
        <is>
          <t>支出</t>
        </is>
      </c>
      <c r="C18" s="8" t="inlineStr">
        <is>
          <t>A04.05.03</t>
        </is>
      </c>
      <c r="D18" s="1" t="inlineStr">
        <is>
          <t xml:space="preserve">  IT费用</t>
        </is>
      </c>
      <c r="F18" t="inlineStr">
        <is>
          <t>A04.90.03.01+A04.90.03.02+A04.90.03.03+A04.90.03.04</t>
        </is>
      </c>
      <c r="H18" s="5">
        <f>H19+H22+H23+H24</f>
        <v/>
      </c>
      <c r="I18" s="5">
        <f>I19+I22+I23+I24</f>
        <v/>
      </c>
      <c r="K18" t="inlineStr">
        <is>
          <t>是</t>
        </is>
      </c>
      <c r="M18" t="inlineStr">
        <is>
          <t>05.03</t>
        </is>
      </c>
    </row>
    <row r="19">
      <c r="A19" s="1" t="inlineStr">
        <is>
          <t>三级</t>
        </is>
      </c>
      <c r="B19" s="1" t="inlineStr">
        <is>
          <t>支出</t>
        </is>
      </c>
      <c r="C19" s="9" t="inlineStr">
        <is>
          <t>A04.05.03.01</t>
        </is>
      </c>
      <c r="D19" s="1" t="inlineStr">
        <is>
          <t xml:space="preserve">    IT人力</t>
        </is>
      </c>
      <c r="F19" t="inlineStr">
        <is>
          <t>A04.90.03.01.01+A04.90.03.01.02</t>
        </is>
      </c>
      <c r="H19" s="5">
        <f>H20+H21</f>
        <v/>
      </c>
      <c r="I19" s="5">
        <f>I20+I21</f>
        <v/>
      </c>
      <c r="K19" t="inlineStr">
        <is>
          <t>是</t>
        </is>
      </c>
      <c r="M19" t="inlineStr">
        <is>
          <t>05.03.01</t>
        </is>
      </c>
    </row>
    <row r="20">
      <c r="A20" s="1" t="inlineStr">
        <is>
          <t>四级</t>
        </is>
      </c>
      <c r="B20" s="1" t="inlineStr">
        <is>
          <t>支出</t>
        </is>
      </c>
      <c r="C20" s="9" t="inlineStr">
        <is>
          <t>A04.05.03.01.01</t>
        </is>
      </c>
      <c r="D20" s="1" t="inlineStr">
        <is>
          <t xml:space="preserve">      IT常规人力</t>
        </is>
      </c>
      <c r="K20" t="inlineStr">
        <is>
          <t>是</t>
        </is>
      </c>
      <c r="M20" t="inlineStr">
        <is>
          <t>05.03.01.01</t>
        </is>
      </c>
      <c r="P20" t="inlineStr">
        <is>
          <t>SUM</t>
        </is>
      </c>
    </row>
    <row r="21">
      <c r="A21" s="1" t="inlineStr">
        <is>
          <t>四级</t>
        </is>
      </c>
      <c r="B21" s="1" t="inlineStr">
        <is>
          <t>支出</t>
        </is>
      </c>
      <c r="C21" s="9" t="inlineStr">
        <is>
          <t>A04.05.03.01.02</t>
        </is>
      </c>
      <c r="D21" s="1" t="inlineStr">
        <is>
          <t xml:space="preserve">      IT特别人力</t>
        </is>
      </c>
      <c r="K21" t="inlineStr">
        <is>
          <t>是</t>
        </is>
      </c>
      <c r="M21" t="inlineStr">
        <is>
          <t>05.03.01.02</t>
        </is>
      </c>
      <c r="P21" t="inlineStr">
        <is>
          <t>SUM</t>
        </is>
      </c>
    </row>
    <row r="22">
      <c r="A22" s="1" t="inlineStr">
        <is>
          <t>三级</t>
        </is>
      </c>
      <c r="B22" s="1" t="inlineStr">
        <is>
          <t>支出</t>
        </is>
      </c>
      <c r="C22" s="9" t="inlineStr">
        <is>
          <t>A04.05.03.02</t>
        </is>
      </c>
      <c r="D22" s="1" t="inlineStr">
        <is>
          <t xml:space="preserve">    科技费用</t>
        </is>
      </c>
      <c r="K22" t="inlineStr">
        <is>
          <t>是</t>
        </is>
      </c>
      <c r="M22" t="inlineStr">
        <is>
          <t>05.03.02</t>
        </is>
      </c>
      <c r="P22" t="inlineStr">
        <is>
          <t>SUM</t>
        </is>
      </c>
    </row>
    <row r="23">
      <c r="A23" s="1" t="inlineStr">
        <is>
          <t>三级</t>
        </is>
      </c>
      <c r="B23" s="1" t="inlineStr">
        <is>
          <t>支出</t>
        </is>
      </c>
      <c r="C23" s="9" t="inlineStr">
        <is>
          <t>A04.05.03.03</t>
        </is>
      </c>
      <c r="D23" s="1" t="inlineStr">
        <is>
          <t xml:space="preserve">    IT职场</t>
        </is>
      </c>
      <c r="K23" t="inlineStr">
        <is>
          <t>是</t>
        </is>
      </c>
      <c r="M23" t="inlineStr">
        <is>
          <t>05.03.03</t>
        </is>
      </c>
      <c r="P23" t="inlineStr">
        <is>
          <t>SUM</t>
        </is>
      </c>
    </row>
    <row r="24">
      <c r="A24" s="1" t="inlineStr">
        <is>
          <t>三级</t>
        </is>
      </c>
      <c r="B24" s="1" t="inlineStr">
        <is>
          <t>支出</t>
        </is>
      </c>
      <c r="C24" s="9" t="inlineStr">
        <is>
          <t>A04.05.03.04</t>
        </is>
      </c>
      <c r="D24" s="1" t="inlineStr">
        <is>
          <t xml:space="preserve">    IT日常</t>
        </is>
      </c>
      <c r="K24" t="inlineStr">
        <is>
          <t>是</t>
        </is>
      </c>
      <c r="M24" t="inlineStr">
        <is>
          <t>05.03.04</t>
        </is>
      </c>
      <c r="P24" t="inlineStr">
        <is>
          <t>SUM</t>
        </is>
      </c>
    </row>
    <row r="25">
      <c r="A25" s="1" t="inlineStr">
        <is>
          <t>二级</t>
        </is>
      </c>
      <c r="B25" s="1" t="inlineStr">
        <is>
          <t>支出</t>
        </is>
      </c>
      <c r="C25" s="8" t="inlineStr">
        <is>
          <t>A04.05.04</t>
        </is>
      </c>
      <c r="D25" s="1" t="inlineStr">
        <is>
          <t xml:space="preserve">  职场费用</t>
        </is>
      </c>
      <c r="K25" t="inlineStr">
        <is>
          <t>是</t>
        </is>
      </c>
      <c r="M25" t="inlineStr">
        <is>
          <t>05.04</t>
        </is>
      </c>
      <c r="P25" t="inlineStr">
        <is>
          <t>SUM</t>
        </is>
      </c>
    </row>
    <row r="26">
      <c r="A26" s="1" t="inlineStr">
        <is>
          <t>二级</t>
        </is>
      </c>
      <c r="B26" s="1" t="inlineStr">
        <is>
          <t>支出</t>
        </is>
      </c>
      <c r="C26" s="8" t="inlineStr">
        <is>
          <t>A04.05.05</t>
        </is>
      </c>
      <c r="D26" s="1" t="inlineStr">
        <is>
          <t xml:space="preserve">  日常费用</t>
        </is>
      </c>
      <c r="K26" t="inlineStr">
        <is>
          <t>是</t>
        </is>
      </c>
      <c r="M26" t="inlineStr">
        <is>
          <t>05.05</t>
        </is>
      </c>
      <c r="P26" t="inlineStr">
        <is>
          <t>SUM</t>
        </is>
      </c>
    </row>
    <row r="27">
      <c r="A27" s="7" t="inlineStr">
        <is>
          <t>一级</t>
        </is>
      </c>
      <c r="B27" s="1" t="inlineStr">
        <is>
          <t>收入</t>
        </is>
      </c>
      <c r="C27" s="8" t="inlineStr">
        <is>
          <t>A04.06</t>
        </is>
      </c>
      <c r="D27" s="7" t="inlineStr">
        <is>
          <t>加：营业外净收入</t>
        </is>
      </c>
      <c r="M27" t="inlineStr">
        <is>
          <t>06</t>
        </is>
      </c>
      <c r="P27" t="inlineStr">
        <is>
          <t>SUM</t>
        </is>
      </c>
    </row>
    <row r="28">
      <c r="A28" s="7" t="inlineStr">
        <is>
          <t>一级</t>
        </is>
      </c>
      <c r="B28" s="1" t="inlineStr">
        <is>
          <t>利润</t>
        </is>
      </c>
      <c r="C28" s="8" t="inlineStr">
        <is>
          <t>A04.07</t>
        </is>
      </c>
      <c r="D28" s="7" t="inlineStr">
        <is>
          <t>分摊前利润</t>
        </is>
      </c>
      <c r="F28" t="inlineStr">
        <is>
          <t>A04.03-A04.04-A04.90+A04.06</t>
        </is>
      </c>
      <c r="H28" s="5">
        <f>H9-H10-H11+H27</f>
        <v/>
      </c>
      <c r="I28" s="5">
        <f>I9-I10-I11+I27</f>
        <v/>
      </c>
      <c r="M28" t="inlineStr">
        <is>
          <t>07</t>
        </is>
      </c>
    </row>
    <row r="29">
      <c r="A29" s="7" t="inlineStr">
        <is>
          <t>一级</t>
        </is>
      </c>
      <c r="B29" s="1" t="inlineStr">
        <is>
          <t>支出</t>
        </is>
      </c>
      <c r="C29" s="8" t="inlineStr">
        <is>
          <t>A04.08</t>
        </is>
      </c>
      <c r="D29" s="7" t="inlineStr">
        <is>
          <t>减：固定管理费</t>
        </is>
      </c>
      <c r="M29" t="inlineStr">
        <is>
          <t>08</t>
        </is>
      </c>
      <c r="P29" t="inlineStr">
        <is>
          <t>SUM</t>
        </is>
      </c>
    </row>
    <row r="30">
      <c r="A30" s="7" t="inlineStr">
        <is>
          <t>一级</t>
        </is>
      </c>
      <c r="B30" s="1" t="inlineStr">
        <is>
          <t>利润</t>
        </is>
      </c>
      <c r="C30" s="8" t="inlineStr">
        <is>
          <t>A04.09</t>
        </is>
      </c>
      <c r="D30" s="7" t="inlineStr">
        <is>
          <t>税前利润</t>
        </is>
      </c>
      <c r="F30" t="inlineStr">
        <is>
          <t>A04.07-A04.08</t>
        </is>
      </c>
      <c r="H30" s="5">
        <f>H28-H29</f>
        <v/>
      </c>
      <c r="I30" s="5">
        <f>I28-I29</f>
        <v/>
      </c>
      <c r="M30" t="inlineStr">
        <is>
          <t>09</t>
        </is>
      </c>
    </row>
    <row r="31">
      <c r="A31" s="10" t="n"/>
      <c r="B31" s="10" t="n"/>
      <c r="C31" s="10" t="n"/>
      <c r="D31" s="10" t="n"/>
    </row>
    <row r="32">
      <c r="A32" s="7" t="inlineStr">
        <is>
          <t>一级</t>
        </is>
      </c>
      <c r="B32" s="7" t="inlineStr">
        <is>
          <t>资产余额</t>
        </is>
      </c>
      <c r="C32" s="11" t="inlineStr">
        <is>
          <t>A04.10</t>
        </is>
      </c>
      <c r="D32" s="11" t="inlineStr">
        <is>
          <t>管理贷款余额</t>
        </is>
      </c>
      <c r="F32" t="inlineStr">
        <is>
          <t>A04.10.01+A04.10.02+A04.10.03</t>
        </is>
      </c>
      <c r="H32" s="5">
        <f>H33+H35+H36</f>
        <v/>
      </c>
      <c r="I32" s="5">
        <f>I33+I35+I36</f>
        <v/>
      </c>
      <c r="M32" t="inlineStr">
        <is>
          <t>10</t>
        </is>
      </c>
    </row>
    <row r="33">
      <c r="A33" s="1" t="inlineStr">
        <is>
          <t>二级</t>
        </is>
      </c>
      <c r="B33" s="7" t="inlineStr">
        <is>
          <t>资产余额</t>
        </is>
      </c>
      <c r="C33" s="10" t="inlineStr">
        <is>
          <t>A04.10.01</t>
        </is>
      </c>
      <c r="D33" s="10" t="inlineStr">
        <is>
          <t xml:space="preserve">  自持</t>
        </is>
      </c>
      <c r="F33" t="inlineStr">
        <is>
          <t>A04.10.01.01</t>
        </is>
      </c>
      <c r="H33" s="5">
        <f>H34</f>
        <v/>
      </c>
      <c r="I33" s="5">
        <f>I34</f>
        <v/>
      </c>
      <c r="M33" t="inlineStr">
        <is>
          <t>10.01</t>
        </is>
      </c>
    </row>
    <row r="34">
      <c r="A34" s="1" t="inlineStr">
        <is>
          <t>三级</t>
        </is>
      </c>
      <c r="B34" s="7" t="inlineStr">
        <is>
          <t>资产余额</t>
        </is>
      </c>
      <c r="C34" s="10" t="inlineStr">
        <is>
          <t>A04.10.01.01</t>
        </is>
      </c>
      <c r="D34" s="10" t="inlineStr">
        <is>
          <t xml:space="preserve">    一般贷款</t>
        </is>
      </c>
      <c r="M34" t="inlineStr">
        <is>
          <t>10.01.01</t>
        </is>
      </c>
      <c r="P34" t="inlineStr">
        <is>
          <t>LAST</t>
        </is>
      </c>
    </row>
    <row r="35">
      <c r="A35" s="1" t="inlineStr">
        <is>
          <t>二级</t>
        </is>
      </c>
      <c r="B35" s="7" t="inlineStr">
        <is>
          <t>资产余额</t>
        </is>
      </c>
      <c r="C35" s="10" t="inlineStr">
        <is>
          <t>A04.10.02</t>
        </is>
      </c>
      <c r="D35" s="10" t="inlineStr">
        <is>
          <t xml:space="preserve">  联贷</t>
        </is>
      </c>
      <c r="M35" t="inlineStr">
        <is>
          <t>10.02</t>
        </is>
      </c>
      <c r="P35" t="inlineStr">
        <is>
          <t>LAST</t>
        </is>
      </c>
    </row>
    <row r="36">
      <c r="A36" s="1" t="inlineStr">
        <is>
          <t>二级</t>
        </is>
      </c>
      <c r="B36" s="7" t="inlineStr">
        <is>
          <t>资产余额</t>
        </is>
      </c>
      <c r="C36" s="10" t="inlineStr">
        <is>
          <t>A04.10.03</t>
        </is>
      </c>
      <c r="D36" s="10" t="inlineStr">
        <is>
          <t xml:space="preserve">  流转</t>
        </is>
      </c>
      <c r="M36" t="inlineStr">
        <is>
          <t>10.03</t>
        </is>
      </c>
      <c r="P36" t="inlineStr">
        <is>
          <t>LAST</t>
        </is>
      </c>
    </row>
    <row r="37">
      <c r="A37" s="7" t="inlineStr">
        <is>
          <t>一级</t>
        </is>
      </c>
      <c r="B37" s="7" t="inlineStr">
        <is>
          <t>资产日均</t>
        </is>
      </c>
      <c r="C37" s="11" t="inlineStr">
        <is>
          <t>A04.11</t>
        </is>
      </c>
      <c r="D37" s="11" t="inlineStr">
        <is>
          <t>管理贷款日均</t>
        </is>
      </c>
      <c r="F37" t="inlineStr">
        <is>
          <t>A04.11.01+A04.11.02+A04.11.03</t>
        </is>
      </c>
      <c r="H37" s="5">
        <f>H38+H40+H41</f>
        <v/>
      </c>
      <c r="I37" s="5">
        <f>I38+I40+I41</f>
        <v/>
      </c>
      <c r="M37" t="inlineStr">
        <is>
          <t>11</t>
        </is>
      </c>
    </row>
    <row r="38">
      <c r="A38" s="1" t="inlineStr">
        <is>
          <t>二级</t>
        </is>
      </c>
      <c r="B38" s="7" t="inlineStr">
        <is>
          <t>资产日均</t>
        </is>
      </c>
      <c r="C38" s="10" t="inlineStr">
        <is>
          <t>A04.11.01</t>
        </is>
      </c>
      <c r="D38" s="10" t="inlineStr">
        <is>
          <t xml:space="preserve">  自持</t>
        </is>
      </c>
      <c r="F38" t="inlineStr">
        <is>
          <t>A04.11.01.01</t>
        </is>
      </c>
      <c r="H38" s="5">
        <f>H39</f>
        <v/>
      </c>
      <c r="I38" s="5">
        <f>I39</f>
        <v/>
      </c>
      <c r="M38" t="inlineStr">
        <is>
          <t>11.01</t>
        </is>
      </c>
    </row>
    <row r="39">
      <c r="A39" s="1" t="inlineStr">
        <is>
          <t>三级</t>
        </is>
      </c>
      <c r="B39" s="7" t="inlineStr">
        <is>
          <t>资产日均</t>
        </is>
      </c>
      <c r="C39" s="10" t="inlineStr">
        <is>
          <t>A04.11.01.01</t>
        </is>
      </c>
      <c r="D39" s="10" t="inlineStr">
        <is>
          <t xml:space="preserve">    一般贷款</t>
        </is>
      </c>
      <c r="M39" t="inlineStr">
        <is>
          <t>11.01.01</t>
        </is>
      </c>
      <c r="P39" t="inlineStr">
        <is>
          <t>AVG</t>
        </is>
      </c>
    </row>
    <row r="40">
      <c r="A40" s="1" t="inlineStr">
        <is>
          <t>二级</t>
        </is>
      </c>
      <c r="B40" s="7" t="inlineStr">
        <is>
          <t>资产日均</t>
        </is>
      </c>
      <c r="C40" s="10" t="inlineStr">
        <is>
          <t>A04.11.02</t>
        </is>
      </c>
      <c r="D40" s="10" t="inlineStr">
        <is>
          <t xml:space="preserve">  联贷</t>
        </is>
      </c>
      <c r="M40" t="inlineStr">
        <is>
          <t>11.02</t>
        </is>
      </c>
      <c r="P40" t="inlineStr">
        <is>
          <t>AVG</t>
        </is>
      </c>
    </row>
    <row r="41">
      <c r="A41" s="1" t="inlineStr">
        <is>
          <t>二级</t>
        </is>
      </c>
      <c r="B41" s="7" t="inlineStr">
        <is>
          <t>资产日均</t>
        </is>
      </c>
      <c r="C41" s="10" t="inlineStr">
        <is>
          <t>A04.11.03</t>
        </is>
      </c>
      <c r="D41" s="10" t="inlineStr">
        <is>
          <t xml:space="preserve">  流转</t>
        </is>
      </c>
      <c r="M41" t="inlineStr">
        <is>
          <t>11.03</t>
        </is>
      </c>
      <c r="P41" t="inlineStr">
        <is>
          <t>AVG</t>
        </is>
      </c>
    </row>
    <row r="42">
      <c r="A42" s="10" t="n"/>
      <c r="B42" s="10" t="n"/>
      <c r="C42" s="10" t="n"/>
      <c r="D42" s="10" t="n"/>
    </row>
    <row r="43">
      <c r="A43" s="11" t="inlineStr">
        <is>
          <t>一级</t>
        </is>
      </c>
      <c r="B43" s="11" t="inlineStr">
        <is>
          <t>负债余额</t>
        </is>
      </c>
      <c r="C43" s="11" t="inlineStr">
        <is>
          <t>A04.12</t>
        </is>
      </c>
      <c r="D43" s="11" t="inlineStr">
        <is>
          <t>管理资产余额</t>
        </is>
      </c>
      <c r="F43" t="inlineStr">
        <is>
          <t>A04.12.01+A04.12.02</t>
        </is>
      </c>
      <c r="H43" s="5">
        <f>H44+H47</f>
        <v/>
      </c>
      <c r="I43" s="5">
        <f>I44+I47</f>
        <v/>
      </c>
      <c r="M43" t="inlineStr">
        <is>
          <t>12</t>
        </is>
      </c>
    </row>
    <row r="44">
      <c r="A44" s="10" t="inlineStr">
        <is>
          <t>二级</t>
        </is>
      </c>
      <c r="B44" s="11" t="inlineStr">
        <is>
          <t>负债余额</t>
        </is>
      </c>
      <c r="C44" s="10" t="inlineStr">
        <is>
          <t>A04.12.01</t>
        </is>
      </c>
      <c r="D44" s="10" t="inlineStr">
        <is>
          <t xml:space="preserve">  财富存款</t>
        </is>
      </c>
      <c r="F44" t="inlineStr">
        <is>
          <t>A04.12.01.01+A04.12.01.02</t>
        </is>
      </c>
      <c r="M44" t="inlineStr">
        <is>
          <t>12.01</t>
        </is>
      </c>
    </row>
    <row r="45">
      <c r="A45" s="10" t="inlineStr">
        <is>
          <t>三级</t>
        </is>
      </c>
      <c r="B45" s="11" t="inlineStr">
        <is>
          <t>负债余额</t>
        </is>
      </c>
      <c r="C45" s="10" t="inlineStr">
        <is>
          <t>A04.12.01.01</t>
        </is>
      </c>
      <c r="D45" s="10" t="inlineStr">
        <is>
          <t xml:space="preserve">    活期</t>
        </is>
      </c>
      <c r="M45" t="inlineStr">
        <is>
          <t>12.01.01</t>
        </is>
      </c>
      <c r="P45" t="inlineStr">
        <is>
          <t>LAST</t>
        </is>
      </c>
    </row>
    <row r="46">
      <c r="A46" s="10" t="inlineStr">
        <is>
          <t>三级</t>
        </is>
      </c>
      <c r="B46" s="11" t="inlineStr">
        <is>
          <t>负债余额</t>
        </is>
      </c>
      <c r="C46" s="10" t="inlineStr">
        <is>
          <t>A04.12.01.02</t>
        </is>
      </c>
      <c r="D46" s="10" t="inlineStr">
        <is>
          <t xml:space="preserve">    定期</t>
        </is>
      </c>
      <c r="H46" s="5">
        <f>H44-H45</f>
        <v/>
      </c>
      <c r="I46" s="5">
        <f>I44-I45</f>
        <v/>
      </c>
      <c r="M46" t="inlineStr">
        <is>
          <t>12.01.02</t>
        </is>
      </c>
      <c r="P46" t="inlineStr">
        <is>
          <t>LAST</t>
        </is>
      </c>
    </row>
    <row r="47">
      <c r="A47" s="10" t="inlineStr">
        <is>
          <t>二级</t>
        </is>
      </c>
      <c r="B47" s="11" t="inlineStr">
        <is>
          <t>负债余额</t>
        </is>
      </c>
      <c r="C47" s="10" t="inlineStr">
        <is>
          <t>A04.12.02</t>
        </is>
      </c>
      <c r="D47" s="10" t="inlineStr">
        <is>
          <t xml:space="preserve">  财富代销</t>
        </is>
      </c>
      <c r="M47" t="inlineStr">
        <is>
          <t>12.02</t>
        </is>
      </c>
      <c r="P47" t="inlineStr">
        <is>
          <t>LAST</t>
        </is>
      </c>
    </row>
    <row r="48">
      <c r="A48" s="11" t="inlineStr">
        <is>
          <t>一级</t>
        </is>
      </c>
      <c r="B48" s="11" t="inlineStr">
        <is>
          <t>负债日均</t>
        </is>
      </c>
      <c r="C48" s="11" t="inlineStr">
        <is>
          <t>A04.13</t>
        </is>
      </c>
      <c r="D48" s="11" t="inlineStr">
        <is>
          <t>管理资产日均</t>
        </is>
      </c>
      <c r="F48" t="inlineStr">
        <is>
          <t>A04.13.01+A04.13.02</t>
        </is>
      </c>
      <c r="H48" s="5">
        <f>H49+H52</f>
        <v/>
      </c>
      <c r="I48" s="5">
        <f>I49+I52</f>
        <v/>
      </c>
      <c r="M48" t="inlineStr">
        <is>
          <t>13</t>
        </is>
      </c>
    </row>
    <row r="49">
      <c r="A49" s="10" t="inlineStr">
        <is>
          <t>二级</t>
        </is>
      </c>
      <c r="B49" s="11" t="inlineStr">
        <is>
          <t>负债日均</t>
        </is>
      </c>
      <c r="C49" s="10" t="inlineStr">
        <is>
          <t>A04.13.01</t>
        </is>
      </c>
      <c r="D49" s="10" t="inlineStr">
        <is>
          <t xml:space="preserve">  财富存款</t>
        </is>
      </c>
      <c r="F49" t="inlineStr">
        <is>
          <t>A04.13.01.01+A04.13.01.02</t>
        </is>
      </c>
      <c r="M49" t="inlineStr">
        <is>
          <t>13.01</t>
        </is>
      </c>
    </row>
    <row r="50">
      <c r="A50" s="10" t="inlineStr">
        <is>
          <t>三级</t>
        </is>
      </c>
      <c r="B50" s="11" t="inlineStr">
        <is>
          <t>负债日均</t>
        </is>
      </c>
      <c r="C50" s="10" t="inlineStr">
        <is>
          <t>A04.13.01.01</t>
        </is>
      </c>
      <c r="D50" s="10" t="inlineStr">
        <is>
          <t xml:space="preserve">    活期</t>
        </is>
      </c>
      <c r="M50" t="inlineStr">
        <is>
          <t>13.01.01</t>
        </is>
      </c>
      <c r="P50" t="inlineStr">
        <is>
          <t>AVG</t>
        </is>
      </c>
    </row>
    <row r="51">
      <c r="A51" s="10" t="inlineStr">
        <is>
          <t>三级</t>
        </is>
      </c>
      <c r="B51" s="11" t="inlineStr">
        <is>
          <t>负债日均</t>
        </is>
      </c>
      <c r="C51" s="10" t="inlineStr">
        <is>
          <t>A04.13.01.02</t>
        </is>
      </c>
      <c r="D51" s="10" t="inlineStr">
        <is>
          <t xml:space="preserve">    定期</t>
        </is>
      </c>
      <c r="H51" s="5">
        <f>H49-H50</f>
        <v/>
      </c>
      <c r="I51" s="5">
        <f>I49-I50</f>
        <v/>
      </c>
      <c r="M51" t="inlineStr">
        <is>
          <t>13.01.02</t>
        </is>
      </c>
      <c r="P51" t="inlineStr">
        <is>
          <t>AVG</t>
        </is>
      </c>
    </row>
    <row r="52">
      <c r="A52" s="10" t="inlineStr">
        <is>
          <t>二级</t>
        </is>
      </c>
      <c r="B52" s="11" t="inlineStr">
        <is>
          <t>负债日均</t>
        </is>
      </c>
      <c r="C52" s="10" t="inlineStr">
        <is>
          <t>A04.13.02</t>
        </is>
      </c>
      <c r="D52" s="10" t="inlineStr">
        <is>
          <t xml:space="preserve">  财富代销</t>
        </is>
      </c>
      <c r="M52" t="inlineStr">
        <is>
          <t>13.02</t>
        </is>
      </c>
      <c r="P52" t="inlineStr">
        <is>
          <t>AVG</t>
        </is>
      </c>
    </row>
    <row r="53">
      <c r="A53" s="10" t="n"/>
      <c r="B53" s="11" t="n"/>
      <c r="C53" s="10" t="n"/>
      <c r="D53" s="10" t="n"/>
    </row>
    <row r="54">
      <c r="A54" s="7" t="inlineStr">
        <is>
          <t>一级</t>
        </is>
      </c>
      <c r="B54" s="1" t="inlineStr">
        <is>
          <t>资产余额</t>
        </is>
      </c>
      <c r="C54" s="11" t="inlineStr">
        <is>
          <t>A04.24</t>
        </is>
      </c>
      <c r="D54" s="11" t="inlineStr">
        <is>
          <t>同业资产余额</t>
        </is>
      </c>
      <c r="F54" t="inlineStr">
        <is>
          <t>A04.24.01</t>
        </is>
      </c>
      <c r="H54" s="5">
        <f>H55</f>
        <v/>
      </c>
      <c r="I54" s="5">
        <f>I55</f>
        <v/>
      </c>
      <c r="M54" t="inlineStr">
        <is>
          <t>24</t>
        </is>
      </c>
    </row>
    <row r="55">
      <c r="A55" s="1" t="inlineStr">
        <is>
          <t>二级</t>
        </is>
      </c>
      <c r="B55" s="1" t="inlineStr">
        <is>
          <t>资产余额</t>
        </is>
      </c>
      <c r="C55" s="10" t="inlineStr">
        <is>
          <t>A04.24.01</t>
        </is>
      </c>
      <c r="D55" s="10" t="inlineStr">
        <is>
          <t xml:space="preserve">  存放同业余额</t>
        </is>
      </c>
      <c r="M55" t="inlineStr">
        <is>
          <t>24.01</t>
        </is>
      </c>
      <c r="P55" t="inlineStr">
        <is>
          <t>LAST</t>
        </is>
      </c>
    </row>
    <row r="56">
      <c r="A56" s="7" t="inlineStr">
        <is>
          <t>一级</t>
        </is>
      </c>
      <c r="B56" s="1" t="inlineStr">
        <is>
          <t>资产日均</t>
        </is>
      </c>
      <c r="C56" s="11" t="inlineStr">
        <is>
          <t>A04.25</t>
        </is>
      </c>
      <c r="D56" s="11" t="inlineStr">
        <is>
          <t>同业资产日均</t>
        </is>
      </c>
      <c r="F56" t="inlineStr">
        <is>
          <t>A04.25.01</t>
        </is>
      </c>
      <c r="H56" s="5">
        <f>H57</f>
        <v/>
      </c>
      <c r="I56" s="5">
        <f>I57</f>
        <v/>
      </c>
      <c r="M56" t="inlineStr">
        <is>
          <t>25</t>
        </is>
      </c>
    </row>
    <row r="57">
      <c r="A57" s="1" t="inlineStr">
        <is>
          <t>二级</t>
        </is>
      </c>
      <c r="B57" s="1" t="inlineStr">
        <is>
          <t>资产日均</t>
        </is>
      </c>
      <c r="C57" s="10" t="inlineStr">
        <is>
          <t>A04.25.01</t>
        </is>
      </c>
      <c r="D57" s="10" t="inlineStr">
        <is>
          <t xml:space="preserve">  存放同业日均</t>
        </is>
      </c>
      <c r="M57" t="inlineStr">
        <is>
          <t>25.01</t>
        </is>
      </c>
      <c r="P57" t="inlineStr">
        <is>
          <t>AVG</t>
        </is>
      </c>
    </row>
    <row r="58">
      <c r="A58" s="7" t="inlineStr">
        <is>
          <t>一级</t>
        </is>
      </c>
      <c r="B58" s="1" t="inlineStr">
        <is>
          <t>负债余额</t>
        </is>
      </c>
      <c r="C58" s="11" t="inlineStr">
        <is>
          <t>A04.26</t>
        </is>
      </c>
      <c r="D58" s="11" t="inlineStr">
        <is>
          <t>同业负债余额</t>
        </is>
      </c>
      <c r="F58" t="inlineStr">
        <is>
          <t>A04.26.02</t>
        </is>
      </c>
      <c r="H58" s="5">
        <f>H59</f>
        <v/>
      </c>
      <c r="I58" s="5">
        <f>I59</f>
        <v/>
      </c>
      <c r="M58" t="inlineStr">
        <is>
          <t>26</t>
        </is>
      </c>
    </row>
    <row r="59">
      <c r="A59" s="1" t="inlineStr">
        <is>
          <t>二级</t>
        </is>
      </c>
      <c r="B59" s="1" t="inlineStr">
        <is>
          <t>负债余额</t>
        </is>
      </c>
      <c r="C59" s="10" t="inlineStr">
        <is>
          <t>A04.26.02</t>
        </is>
      </c>
      <c r="D59" s="10" t="inlineStr">
        <is>
          <t xml:space="preserve">  同业存放余额</t>
        </is>
      </c>
      <c r="M59" t="inlineStr">
        <is>
          <t>26.02</t>
        </is>
      </c>
      <c r="P59" t="inlineStr">
        <is>
          <t>LAST</t>
        </is>
      </c>
    </row>
    <row r="60">
      <c r="A60" s="7" t="inlineStr">
        <is>
          <t>一级</t>
        </is>
      </c>
      <c r="B60" s="1" t="inlineStr">
        <is>
          <t>负债日均</t>
        </is>
      </c>
      <c r="C60" s="11" t="inlineStr">
        <is>
          <t>A04.27</t>
        </is>
      </c>
      <c r="D60" s="11" t="inlineStr">
        <is>
          <t>同业负债日均</t>
        </is>
      </c>
      <c r="F60" t="inlineStr">
        <is>
          <t>A04.27.02</t>
        </is>
      </c>
      <c r="H60" s="5">
        <f>H61</f>
        <v/>
      </c>
      <c r="I60" s="5">
        <f>I61</f>
        <v/>
      </c>
      <c r="M60" t="inlineStr">
        <is>
          <t>27</t>
        </is>
      </c>
    </row>
    <row r="61">
      <c r="A61" s="1" t="inlineStr">
        <is>
          <t>二级</t>
        </is>
      </c>
      <c r="B61" s="1" t="inlineStr">
        <is>
          <t>负债日均</t>
        </is>
      </c>
      <c r="C61" s="10" t="inlineStr">
        <is>
          <t>A04.27.02</t>
        </is>
      </c>
      <c r="D61" s="10" t="inlineStr">
        <is>
          <t xml:space="preserve">  同业存放日均</t>
        </is>
      </c>
      <c r="M61" t="inlineStr">
        <is>
          <t>27.02</t>
        </is>
      </c>
      <c r="P61" t="inlineStr">
        <is>
          <t>AVG</t>
        </is>
      </c>
    </row>
    <row r="62">
      <c r="A62" s="10" t="n"/>
      <c r="B62" s="11" t="n"/>
      <c r="C62" s="10" t="n"/>
      <c r="D62" s="10" t="n"/>
    </row>
    <row r="63">
      <c r="A63" s="11" t="inlineStr">
        <is>
          <t>一级</t>
        </is>
      </c>
      <c r="B63" s="11" t="inlineStr">
        <is>
          <t>收入</t>
        </is>
      </c>
      <c r="C63" s="11" t="inlineStr">
        <is>
          <t>A04.14</t>
        </is>
      </c>
      <c r="D63" s="11" t="inlineStr">
        <is>
          <t>利息收入</t>
        </is>
      </c>
      <c r="F63" t="inlineStr">
        <is>
          <t>A04.14.02</t>
        </is>
      </c>
      <c r="H63" s="5">
        <f>H64+H67</f>
        <v/>
      </c>
      <c r="I63" s="5">
        <f>I64+I67</f>
        <v/>
      </c>
      <c r="M63" t="inlineStr">
        <is>
          <t>14</t>
        </is>
      </c>
    </row>
    <row r="64">
      <c r="A64" s="11" t="inlineStr">
        <is>
          <t>二级</t>
        </is>
      </c>
      <c r="B64" s="11" t="inlineStr">
        <is>
          <t>收入</t>
        </is>
      </c>
      <c r="C64" s="11" t="inlineStr">
        <is>
          <t>A04.14.01</t>
        </is>
      </c>
      <c r="D64" s="11" t="inlineStr">
        <is>
          <t xml:space="preserve">  贷款利息收入</t>
        </is>
      </c>
      <c r="F64" t="inlineStr">
        <is>
          <t>A04.14.01.01</t>
        </is>
      </c>
      <c r="I64" s="5">
        <f>I38*I65</f>
        <v/>
      </c>
      <c r="J64" s="5" t="inlineStr">
        <is>
          <t>收支月化指标</t>
        </is>
      </c>
    </row>
    <row r="65">
      <c r="A65" s="1" t="inlineStr">
        <is>
          <t>三级</t>
        </is>
      </c>
      <c r="B65" s="1" t="inlineStr">
        <is>
          <t>其他</t>
        </is>
      </c>
      <c r="C65" s="10" t="inlineStr">
        <is>
          <t>A04.14.01.01</t>
        </is>
      </c>
      <c r="D65" s="10" t="inlineStr">
        <is>
          <t xml:space="preserve">    贷款收息率</t>
        </is>
      </c>
      <c r="H65" s="5">
        <f>H64/H38</f>
        <v/>
      </c>
      <c r="J65" s="5" t="inlineStr">
        <is>
          <t>率年化指标</t>
        </is>
      </c>
      <c r="P65" t="inlineStr">
        <is>
          <t>WGT</t>
        </is>
      </c>
    </row>
    <row r="66">
      <c r="A66" s="1" t="n"/>
      <c r="B66" s="1" t="n"/>
      <c r="C66" s="10" t="n"/>
      <c r="D66" s="10" t="n"/>
    </row>
    <row r="67">
      <c r="A67" s="7" t="inlineStr">
        <is>
          <t>二级</t>
        </is>
      </c>
      <c r="B67" s="1" t="inlineStr">
        <is>
          <t>收入</t>
        </is>
      </c>
      <c r="C67" s="11" t="inlineStr">
        <is>
          <t>A04.14.02</t>
        </is>
      </c>
      <c r="D67" s="11" t="inlineStr">
        <is>
          <t xml:space="preserve">  金融机构往来利息收入</t>
        </is>
      </c>
      <c r="F67" t="inlineStr">
        <is>
          <t>A04.14.02.02</t>
        </is>
      </c>
      <c r="H67" s="5">
        <f>H68</f>
        <v/>
      </c>
      <c r="I67" s="5">
        <f>I68</f>
        <v/>
      </c>
      <c r="M67" t="inlineStr">
        <is>
          <t>14.02</t>
        </is>
      </c>
    </row>
    <row r="68">
      <c r="A68" s="7" t="inlineStr">
        <is>
          <t>三级</t>
        </is>
      </c>
      <c r="B68" s="1" t="inlineStr">
        <is>
          <t>收入</t>
        </is>
      </c>
      <c r="C68" s="11" t="inlineStr">
        <is>
          <t>A04.14.02.02</t>
        </is>
      </c>
      <c r="D68" s="11" t="inlineStr">
        <is>
          <t xml:space="preserve">    存放同业利息收入</t>
        </is>
      </c>
      <c r="F68" t="inlineStr">
        <is>
          <t>A04.14.02.02.01</t>
        </is>
      </c>
      <c r="I68" s="5">
        <f>I57*I69</f>
        <v/>
      </c>
      <c r="J68" s="5" t="inlineStr">
        <is>
          <t>收支月化指标</t>
        </is>
      </c>
      <c r="M68" t="inlineStr">
        <is>
          <t>14.02.02</t>
        </is>
      </c>
    </row>
    <row r="69">
      <c r="A69" s="1" t="inlineStr">
        <is>
          <t>四级</t>
        </is>
      </c>
      <c r="B69" s="1" t="inlineStr">
        <is>
          <t>其他</t>
        </is>
      </c>
      <c r="C69" s="10" t="inlineStr">
        <is>
          <t>A04.14.02.02.01</t>
        </is>
      </c>
      <c r="D69" s="10" t="inlineStr">
        <is>
          <t xml:space="preserve">      存放同业收息率</t>
        </is>
      </c>
      <c r="H69" s="5">
        <f>H68/H57</f>
        <v/>
      </c>
      <c r="J69" s="5" t="inlineStr">
        <is>
          <t>率年化指标</t>
        </is>
      </c>
      <c r="M69" t="inlineStr">
        <is>
          <t>14.02.02.01</t>
        </is>
      </c>
      <c r="P69" t="inlineStr">
        <is>
          <t>WGT</t>
        </is>
      </c>
    </row>
    <row r="70">
      <c r="A70" s="10" t="n"/>
      <c r="B70" s="10" t="n"/>
      <c r="C70" s="10" t="n"/>
      <c r="D70" s="10" t="n"/>
    </row>
    <row r="71">
      <c r="A71" s="7" t="inlineStr">
        <is>
          <t>一级</t>
        </is>
      </c>
      <c r="B71" s="7" t="inlineStr">
        <is>
          <t>支出</t>
        </is>
      </c>
      <c r="C71" s="11" t="inlineStr">
        <is>
          <t>A04.15</t>
        </is>
      </c>
      <c r="D71" s="11" t="inlineStr">
        <is>
          <t>FTP成本</t>
        </is>
      </c>
      <c r="F71" t="inlineStr">
        <is>
          <t>A04.15.01+A04.15.02+A04.15.99</t>
        </is>
      </c>
      <c r="H71" s="5">
        <f>H72+H74+H77</f>
        <v/>
      </c>
      <c r="I71" s="5">
        <f>I72+I74+I77</f>
        <v/>
      </c>
      <c r="M71" t="inlineStr">
        <is>
          <t>15</t>
        </is>
      </c>
    </row>
    <row r="72">
      <c r="A72" s="7" t="inlineStr">
        <is>
          <t>二级</t>
        </is>
      </c>
      <c r="B72" s="7" t="inlineStr">
        <is>
          <t>支出</t>
        </is>
      </c>
      <c r="C72" s="11" t="inlineStr">
        <is>
          <t>A04.15.01</t>
        </is>
      </c>
      <c r="D72" s="11" t="inlineStr">
        <is>
          <t xml:space="preserve">  贷款FTP成本</t>
        </is>
      </c>
      <c r="F72" t="inlineStr">
        <is>
          <t>A04.15.01.01</t>
        </is>
      </c>
      <c r="I72" s="5">
        <f>I38*I73</f>
        <v/>
      </c>
      <c r="J72" s="5" t="inlineStr">
        <is>
          <t>收支月化指标</t>
        </is>
      </c>
      <c r="M72" t="inlineStr">
        <is>
          <t>15.01</t>
        </is>
      </c>
    </row>
    <row r="73">
      <c r="A73" s="1" t="inlineStr">
        <is>
          <t>三级</t>
        </is>
      </c>
      <c r="B73" s="1" t="inlineStr">
        <is>
          <t>其他</t>
        </is>
      </c>
      <c r="C73" s="10" t="inlineStr">
        <is>
          <t>A04.15.01.01</t>
        </is>
      </c>
      <c r="D73" s="10" t="inlineStr">
        <is>
          <t xml:space="preserve">    贷款FTP</t>
        </is>
      </c>
      <c r="H73" s="5">
        <f>H72/H38</f>
        <v/>
      </c>
      <c r="J73" s="5" t="inlineStr">
        <is>
          <t>率年化指标</t>
        </is>
      </c>
      <c r="M73" t="inlineStr">
        <is>
          <t>15.01.01</t>
        </is>
      </c>
      <c r="P73" t="inlineStr">
        <is>
          <t>WGT</t>
        </is>
      </c>
    </row>
    <row r="74">
      <c r="A74" s="7" t="inlineStr">
        <is>
          <t>二级</t>
        </is>
      </c>
      <c r="B74" s="7" t="inlineStr">
        <is>
          <t>支出</t>
        </is>
      </c>
      <c r="C74" s="11" t="inlineStr">
        <is>
          <t>A04.15.02</t>
        </is>
      </c>
      <c r="D74" s="11" t="inlineStr">
        <is>
          <t xml:space="preserve">  金融机构往来FTP成本</t>
        </is>
      </c>
      <c r="F74" t="inlineStr">
        <is>
          <t>A04.15.02.02</t>
        </is>
      </c>
      <c r="H74" s="5">
        <f>H75</f>
        <v/>
      </c>
      <c r="I74" s="5">
        <f>I75</f>
        <v/>
      </c>
      <c r="M74" t="inlineStr">
        <is>
          <t>15.02</t>
        </is>
      </c>
    </row>
    <row r="75">
      <c r="A75" s="1" t="inlineStr">
        <is>
          <t>三级</t>
        </is>
      </c>
      <c r="B75" s="1" t="inlineStr">
        <is>
          <t>支出</t>
        </is>
      </c>
      <c r="C75" s="10" t="inlineStr">
        <is>
          <t>A04.15.02.02</t>
        </is>
      </c>
      <c r="D75" s="10" t="inlineStr">
        <is>
          <t xml:space="preserve">    存放同业FTP成本</t>
        </is>
      </c>
      <c r="F75" t="inlineStr">
        <is>
          <t>A04.15.02.02.01</t>
        </is>
      </c>
      <c r="I75" s="5">
        <f>I57*I76</f>
        <v/>
      </c>
      <c r="J75" s="5" t="inlineStr">
        <is>
          <t>收支月化指标</t>
        </is>
      </c>
      <c r="M75" t="inlineStr">
        <is>
          <t>15.02.02</t>
        </is>
      </c>
    </row>
    <row r="76">
      <c r="A76" s="1" t="inlineStr">
        <is>
          <t>四级</t>
        </is>
      </c>
      <c r="B76" s="1" t="inlineStr">
        <is>
          <t>其他</t>
        </is>
      </c>
      <c r="C76" s="10" t="inlineStr">
        <is>
          <t>A04.15.02.02.01</t>
        </is>
      </c>
      <c r="D76" s="10" t="inlineStr">
        <is>
          <t xml:space="preserve">      存放同业FTP</t>
        </is>
      </c>
      <c r="H76" s="5">
        <f>H75/H57</f>
        <v/>
      </c>
      <c r="J76" s="5" t="inlineStr">
        <is>
          <t>率年化指标</t>
        </is>
      </c>
      <c r="M76" t="inlineStr">
        <is>
          <t>15.02.02.01</t>
        </is>
      </c>
      <c r="P76" t="inlineStr">
        <is>
          <t>WGT</t>
        </is>
      </c>
    </row>
    <row r="77">
      <c r="A77" s="7" t="inlineStr">
        <is>
          <t>二级</t>
        </is>
      </c>
      <c r="B77" s="7" t="inlineStr">
        <is>
          <t>支出</t>
        </is>
      </c>
      <c r="C77" s="11" t="inlineStr">
        <is>
          <t>A04.15.99</t>
        </is>
      </c>
      <c r="D77" s="11" t="inlineStr">
        <is>
          <t xml:space="preserve">  其他FTP成本</t>
        </is>
      </c>
      <c r="F77" t="inlineStr">
        <is>
          <t>A04.15.99.01</t>
        </is>
      </c>
      <c r="H77" s="5">
        <f>H78</f>
        <v/>
      </c>
      <c r="I77" s="5">
        <f>I78</f>
        <v/>
      </c>
      <c r="M77" t="inlineStr">
        <is>
          <t>15.99</t>
        </is>
      </c>
    </row>
    <row r="78">
      <c r="A78" s="1" t="inlineStr">
        <is>
          <t>三级</t>
        </is>
      </c>
      <c r="B78" s="1" t="inlineStr">
        <is>
          <t>支出</t>
        </is>
      </c>
      <c r="C78" s="10" t="inlineStr">
        <is>
          <t>A04.15.99.01</t>
        </is>
      </c>
      <c r="D78" s="10" t="inlineStr">
        <is>
          <t xml:space="preserve">    流动性备付</t>
        </is>
      </c>
      <c r="M78" t="inlineStr">
        <is>
          <t>15.99.01</t>
        </is>
      </c>
      <c r="P78" t="inlineStr">
        <is>
          <t>SUM</t>
        </is>
      </c>
    </row>
    <row r="79">
      <c r="A79" s="1" t="n"/>
      <c r="B79" s="1" t="n"/>
      <c r="C79" s="10" t="n"/>
      <c r="D79" s="10" t="n"/>
    </row>
    <row r="80">
      <c r="A80" s="11" t="inlineStr">
        <is>
          <t>一级</t>
        </is>
      </c>
      <c r="B80" s="11" t="inlineStr">
        <is>
          <t>支出</t>
        </is>
      </c>
      <c r="C80" s="11" t="inlineStr">
        <is>
          <t>A04.16</t>
        </is>
      </c>
      <c r="D80" s="11" t="inlineStr">
        <is>
          <t>利息支出</t>
        </is>
      </c>
      <c r="E80" s="12" t="n"/>
      <c r="F80" s="12" t="inlineStr">
        <is>
          <t>A04.16.01+A04.16.02</t>
        </is>
      </c>
      <c r="G80" s="12" t="n"/>
      <c r="H80" s="12">
        <f>H81+H87</f>
        <v/>
      </c>
      <c r="I80" s="12">
        <f>I81+I87</f>
        <v/>
      </c>
      <c r="J80" s="12" t="n"/>
      <c r="M80" t="inlineStr">
        <is>
          <t>16</t>
        </is>
      </c>
    </row>
    <row r="81">
      <c r="A81" s="11" t="inlineStr">
        <is>
          <t>二级</t>
        </is>
      </c>
      <c r="B81" s="11" t="inlineStr">
        <is>
          <t>支出</t>
        </is>
      </c>
      <c r="C81" s="11" t="inlineStr">
        <is>
          <t>A04.16.01</t>
        </is>
      </c>
      <c r="D81" s="11" t="inlineStr">
        <is>
          <t xml:space="preserve">  存款利息支出</t>
        </is>
      </c>
      <c r="F81" t="inlineStr">
        <is>
          <t>A04.16.01.01+A04.16.01.02+A04.16.01.03</t>
        </is>
      </c>
      <c r="H81" s="5">
        <f>H83+H85</f>
        <v/>
      </c>
      <c r="I81" s="5">
        <f>I83+I85</f>
        <v/>
      </c>
      <c r="M81" t="inlineStr">
        <is>
          <t>16.01</t>
        </is>
      </c>
    </row>
    <row r="82">
      <c r="A82" s="10" t="inlineStr">
        <is>
          <t>三级</t>
        </is>
      </c>
      <c r="B82" s="10" t="inlineStr">
        <is>
          <t>其他</t>
        </is>
      </c>
      <c r="C82" s="10" t="inlineStr">
        <is>
          <t>A04.16.01.01</t>
        </is>
      </c>
      <c r="D82" s="10" t="inlineStr">
        <is>
          <t xml:space="preserve">    存款付息率</t>
        </is>
      </c>
      <c r="H82" s="5">
        <f>H81/H49</f>
        <v/>
      </c>
      <c r="I82" s="5">
        <f>I81/I49</f>
        <v/>
      </c>
      <c r="J82" s="5" t="inlineStr">
        <is>
          <t>率年化指标</t>
        </is>
      </c>
      <c r="M82" t="inlineStr">
        <is>
          <t>16.01.01</t>
        </is>
      </c>
      <c r="P82" t="inlineStr">
        <is>
          <t>WGT</t>
        </is>
      </c>
    </row>
    <row r="83">
      <c r="A83" s="10" t="inlineStr">
        <is>
          <t>三级</t>
        </is>
      </c>
      <c r="B83" s="10" t="inlineStr">
        <is>
          <t>支出</t>
        </is>
      </c>
      <c r="C83" s="10" t="inlineStr">
        <is>
          <t>A04.16.01.02</t>
        </is>
      </c>
      <c r="D83" s="10" t="inlineStr">
        <is>
          <t xml:space="preserve">    个人活存利息支出</t>
        </is>
      </c>
      <c r="F83" t="inlineStr">
        <is>
          <t>A04.16.01.02.01</t>
        </is>
      </c>
      <c r="I83" s="5">
        <f>I50*I84</f>
        <v/>
      </c>
      <c r="J83" s="5" t="inlineStr">
        <is>
          <t>收支月化指标</t>
        </is>
      </c>
      <c r="M83" t="inlineStr">
        <is>
          <t>16.01.02</t>
        </is>
      </c>
    </row>
    <row r="84">
      <c r="A84" s="10" t="inlineStr">
        <is>
          <t>四级</t>
        </is>
      </c>
      <c r="B84" s="10" t="inlineStr">
        <is>
          <t>其他</t>
        </is>
      </c>
      <c r="C84" s="10" t="inlineStr">
        <is>
          <t>A04.16.01.02.01</t>
        </is>
      </c>
      <c r="D84" s="10" t="inlineStr">
        <is>
          <t xml:space="preserve">      个人活存付息率</t>
        </is>
      </c>
      <c r="H84" s="5">
        <f>H83/H50</f>
        <v/>
      </c>
      <c r="J84" s="5" t="inlineStr">
        <is>
          <t>率年化指标</t>
        </is>
      </c>
      <c r="M84" t="inlineStr">
        <is>
          <t>16.01.02.01</t>
        </is>
      </c>
      <c r="P84" t="inlineStr">
        <is>
          <t>WGT</t>
        </is>
      </c>
    </row>
    <row r="85">
      <c r="A85" s="10" t="inlineStr">
        <is>
          <t>三级</t>
        </is>
      </c>
      <c r="B85" s="10" t="inlineStr">
        <is>
          <t>支出</t>
        </is>
      </c>
      <c r="C85" s="10" t="inlineStr">
        <is>
          <t>A04.16.01.03</t>
        </is>
      </c>
      <c r="D85" s="10" t="inlineStr">
        <is>
          <t xml:space="preserve">    个人定存利息支出</t>
        </is>
      </c>
      <c r="F85" t="inlineStr">
        <is>
          <t>A04.16.01.03.01</t>
        </is>
      </c>
      <c r="I85" s="5">
        <f>I51*I86</f>
        <v/>
      </c>
      <c r="J85" s="5" t="inlineStr">
        <is>
          <t>收支月化指标</t>
        </is>
      </c>
      <c r="M85" t="inlineStr">
        <is>
          <t>16.01.03</t>
        </is>
      </c>
    </row>
    <row r="86">
      <c r="A86" s="10" t="inlineStr">
        <is>
          <t>四级</t>
        </is>
      </c>
      <c r="B86" s="10" t="inlineStr">
        <is>
          <t>其他</t>
        </is>
      </c>
      <c r="C86" s="10" t="inlineStr">
        <is>
          <t>A04.16.01.03.01</t>
        </is>
      </c>
      <c r="D86" s="10" t="inlineStr">
        <is>
          <t xml:space="preserve">      个人定存付息率</t>
        </is>
      </c>
      <c r="H86" s="5">
        <f>H85/H51</f>
        <v/>
      </c>
      <c r="J86" s="5" t="inlineStr">
        <is>
          <t>率年化指标</t>
        </is>
      </c>
      <c r="M86" t="inlineStr">
        <is>
          <t>16.01.03.01</t>
        </is>
      </c>
      <c r="P86" t="inlineStr">
        <is>
          <t>WGT</t>
        </is>
      </c>
    </row>
    <row r="87">
      <c r="A87" s="7" t="inlineStr">
        <is>
          <t>二级</t>
        </is>
      </c>
      <c r="B87" s="7" t="inlineStr">
        <is>
          <t>支出</t>
        </is>
      </c>
      <c r="C87" s="11" t="inlineStr">
        <is>
          <t>A04.16.02</t>
        </is>
      </c>
      <c r="D87" s="11" t="inlineStr">
        <is>
          <t xml:space="preserve">  金融机构往来利息支出</t>
        </is>
      </c>
      <c r="F87" t="inlineStr">
        <is>
          <t>A04.16.02.02</t>
        </is>
      </c>
      <c r="H87" s="5">
        <f>H88</f>
        <v/>
      </c>
      <c r="I87" s="5">
        <f>I88</f>
        <v/>
      </c>
      <c r="M87" t="inlineStr">
        <is>
          <t>16.02</t>
        </is>
      </c>
    </row>
    <row r="88">
      <c r="A88" s="1" t="inlineStr">
        <is>
          <t>三级</t>
        </is>
      </c>
      <c r="B88" s="1" t="inlineStr">
        <is>
          <t>支出</t>
        </is>
      </c>
      <c r="C88" s="10" t="inlineStr">
        <is>
          <t>A04.16.02.02</t>
        </is>
      </c>
      <c r="D88" s="10" t="inlineStr">
        <is>
          <t xml:space="preserve">    同业存放利息支出</t>
        </is>
      </c>
      <c r="F88" t="inlineStr">
        <is>
          <t>A04.16.02.02.01</t>
        </is>
      </c>
      <c r="I88" s="5">
        <f>I61*I89</f>
        <v/>
      </c>
      <c r="J88" s="5" t="inlineStr">
        <is>
          <t>收支月化指标</t>
        </is>
      </c>
      <c r="M88" t="inlineStr">
        <is>
          <t>16.02.02</t>
        </is>
      </c>
    </row>
    <row r="89">
      <c r="A89" s="1" t="inlineStr">
        <is>
          <t>四级</t>
        </is>
      </c>
      <c r="B89" s="1" t="inlineStr">
        <is>
          <t>其他</t>
        </is>
      </c>
      <c r="C89" s="10" t="inlineStr">
        <is>
          <t>A04.16.02.02.01</t>
        </is>
      </c>
      <c r="D89" s="10" t="inlineStr">
        <is>
          <t xml:space="preserve">      同业存放付息率</t>
        </is>
      </c>
      <c r="H89" s="5">
        <f>H88/H61</f>
        <v/>
      </c>
      <c r="J89" s="5" t="inlineStr">
        <is>
          <t>率年化指标</t>
        </is>
      </c>
      <c r="M89" t="inlineStr">
        <is>
          <t>16.02.02.01</t>
        </is>
      </c>
      <c r="P89" t="inlineStr">
        <is>
          <t>WGT</t>
        </is>
      </c>
    </row>
    <row r="90">
      <c r="A90" s="1" t="n"/>
      <c r="B90" s="10" t="n"/>
      <c r="C90" s="10" t="n"/>
      <c r="D90" s="10" t="n"/>
    </row>
    <row r="91">
      <c r="A91" s="7" t="inlineStr">
        <is>
          <t>一级</t>
        </is>
      </c>
      <c r="B91" s="7" t="inlineStr">
        <is>
          <t>收入</t>
        </is>
      </c>
      <c r="C91" s="11" t="inlineStr">
        <is>
          <t>A04.17</t>
        </is>
      </c>
      <c r="D91" s="11" t="inlineStr">
        <is>
          <t>FTP收入</t>
        </is>
      </c>
      <c r="E91" s="12" t="n"/>
      <c r="F91" s="12" t="inlineStr">
        <is>
          <t>A04.17.01+A04.17.02+A04.17.99</t>
        </is>
      </c>
      <c r="G91" s="12" t="n"/>
      <c r="H91" s="12">
        <f>H92+H98+H101</f>
        <v/>
      </c>
      <c r="I91" s="12">
        <f>I92+I98+I101</f>
        <v/>
      </c>
      <c r="J91" s="12" t="n"/>
      <c r="M91" t="inlineStr">
        <is>
          <t>17</t>
        </is>
      </c>
    </row>
    <row r="92">
      <c r="A92" s="7" t="inlineStr">
        <is>
          <t>二级</t>
        </is>
      </c>
      <c r="B92" s="7" t="inlineStr">
        <is>
          <t>收入</t>
        </is>
      </c>
      <c r="C92" s="11" t="inlineStr">
        <is>
          <t>A04.17.01</t>
        </is>
      </c>
      <c r="D92" s="11" t="inlineStr">
        <is>
          <t xml:space="preserve">  存款FTP收入</t>
        </is>
      </c>
      <c r="F92" t="inlineStr">
        <is>
          <t>A04.17.01.01+A04.17.01.02+A04.17.01.03</t>
        </is>
      </c>
      <c r="H92" s="5">
        <f>H94+H96</f>
        <v/>
      </c>
      <c r="I92" s="5">
        <f>I94+I96</f>
        <v/>
      </c>
      <c r="M92" t="inlineStr">
        <is>
          <t>17.01</t>
        </is>
      </c>
    </row>
    <row r="93">
      <c r="A93" s="1" t="inlineStr">
        <is>
          <t>三级</t>
        </is>
      </c>
      <c r="B93" s="1" t="inlineStr">
        <is>
          <t>其他</t>
        </is>
      </c>
      <c r="C93" s="10" t="inlineStr">
        <is>
          <t>A04.17.01.01</t>
        </is>
      </c>
      <c r="D93" s="10" t="inlineStr">
        <is>
          <t xml:space="preserve">    存款FTP</t>
        </is>
      </c>
      <c r="H93" s="5">
        <f>H92/H49</f>
        <v/>
      </c>
      <c r="I93" s="5">
        <f>I92/I49</f>
        <v/>
      </c>
      <c r="J93" s="5" t="inlineStr">
        <is>
          <t>率年化指标</t>
        </is>
      </c>
      <c r="M93" t="inlineStr">
        <is>
          <t>17.01.01</t>
        </is>
      </c>
      <c r="P93" t="inlineStr">
        <is>
          <t>WGT</t>
        </is>
      </c>
    </row>
    <row r="94">
      <c r="A94" s="1" t="inlineStr">
        <is>
          <t>三级</t>
        </is>
      </c>
      <c r="B94" s="1" t="inlineStr">
        <is>
          <t>收入</t>
        </is>
      </c>
      <c r="C94" s="10" t="inlineStr">
        <is>
          <t>A04.17.01.02</t>
        </is>
      </c>
      <c r="D94" s="10" t="inlineStr">
        <is>
          <t xml:space="preserve">    个人活存FTP收入</t>
        </is>
      </c>
      <c r="F94" t="inlineStr">
        <is>
          <t>A04.17.01.02.01</t>
        </is>
      </c>
      <c r="I94" s="5">
        <f>I50*I95</f>
        <v/>
      </c>
      <c r="J94" s="5" t="inlineStr">
        <is>
          <t>收支月化指标</t>
        </is>
      </c>
      <c r="M94" t="inlineStr">
        <is>
          <t>17.01.02</t>
        </is>
      </c>
    </row>
    <row r="95">
      <c r="A95" s="1" t="inlineStr">
        <is>
          <t>四级</t>
        </is>
      </c>
      <c r="B95" s="1" t="inlineStr">
        <is>
          <t>其他</t>
        </is>
      </c>
      <c r="C95" s="10" t="inlineStr">
        <is>
          <t>A04.17.01.02.01</t>
        </is>
      </c>
      <c r="D95" s="10" t="inlineStr">
        <is>
          <t xml:space="preserve">      个人活存FTP</t>
        </is>
      </c>
      <c r="H95" s="5">
        <f>H94/H50</f>
        <v/>
      </c>
      <c r="J95" s="5" t="inlineStr">
        <is>
          <t>率年化指标</t>
        </is>
      </c>
      <c r="M95" t="inlineStr">
        <is>
          <t>17.01.02.01</t>
        </is>
      </c>
      <c r="P95" t="inlineStr">
        <is>
          <t>WGT</t>
        </is>
      </c>
    </row>
    <row r="96">
      <c r="A96" s="1" t="inlineStr">
        <is>
          <t>三级</t>
        </is>
      </c>
      <c r="B96" s="1" t="inlineStr">
        <is>
          <t>收入</t>
        </is>
      </c>
      <c r="C96" s="10" t="inlineStr">
        <is>
          <t>A04.17.01.03</t>
        </is>
      </c>
      <c r="D96" s="10" t="inlineStr">
        <is>
          <t xml:space="preserve">    个人定存FTP收入</t>
        </is>
      </c>
      <c r="F96" t="inlineStr">
        <is>
          <t>A04.17.01.03.01</t>
        </is>
      </c>
      <c r="I96" s="5">
        <f>I51*I97</f>
        <v/>
      </c>
      <c r="J96" s="5" t="inlineStr">
        <is>
          <t>收支月化指标</t>
        </is>
      </c>
      <c r="M96" t="inlineStr">
        <is>
          <t>17.01.03</t>
        </is>
      </c>
    </row>
    <row r="97">
      <c r="A97" s="1" t="inlineStr">
        <is>
          <t>四级</t>
        </is>
      </c>
      <c r="B97" s="1" t="inlineStr">
        <is>
          <t>其他</t>
        </is>
      </c>
      <c r="C97" s="10" t="inlineStr">
        <is>
          <t>A04.17.01.03.01</t>
        </is>
      </c>
      <c r="D97" s="10" t="inlineStr">
        <is>
          <t xml:space="preserve">      个人定存FTP</t>
        </is>
      </c>
      <c r="H97" s="5">
        <f>H96/H51</f>
        <v/>
      </c>
      <c r="J97" s="5" t="inlineStr">
        <is>
          <t>率年化指标</t>
        </is>
      </c>
      <c r="M97" t="inlineStr">
        <is>
          <t>17.01.03.01</t>
        </is>
      </c>
      <c r="P97" t="inlineStr">
        <is>
          <t>WGT</t>
        </is>
      </c>
    </row>
    <row r="98">
      <c r="A98" s="12" t="inlineStr">
        <is>
          <t>二级</t>
        </is>
      </c>
      <c r="B98" s="12" t="inlineStr">
        <is>
          <t>收入</t>
        </is>
      </c>
      <c r="C98" s="11" t="inlineStr">
        <is>
          <t>A04.17.02</t>
        </is>
      </c>
      <c r="D98" s="12" t="inlineStr">
        <is>
          <t xml:space="preserve">  金融机构往来FTP收入</t>
        </is>
      </c>
      <c r="F98" t="inlineStr">
        <is>
          <t>A04.17.02.02</t>
        </is>
      </c>
      <c r="H98" s="5">
        <f>H99</f>
        <v/>
      </c>
      <c r="I98" s="5">
        <f>I99</f>
        <v/>
      </c>
      <c r="M98" t="inlineStr">
        <is>
          <t>17.02</t>
        </is>
      </c>
    </row>
    <row r="99">
      <c r="A99" s="5" t="inlineStr">
        <is>
          <t>三级</t>
        </is>
      </c>
      <c r="B99" s="5" t="inlineStr">
        <is>
          <t>收入</t>
        </is>
      </c>
      <c r="C99" s="10" t="inlineStr">
        <is>
          <t>A04.17.02.02</t>
        </is>
      </c>
      <c r="D99" s="5" t="inlineStr">
        <is>
          <t xml:space="preserve">    同业存放FTP收入</t>
        </is>
      </c>
      <c r="F99" t="inlineStr">
        <is>
          <t>A04.17.02.02.01</t>
        </is>
      </c>
      <c r="I99" s="5">
        <f>I61*I100</f>
        <v/>
      </c>
      <c r="J99" s="5" t="inlineStr">
        <is>
          <t>收支月化指标</t>
        </is>
      </c>
      <c r="M99" t="inlineStr">
        <is>
          <t>17.02.02</t>
        </is>
      </c>
    </row>
    <row r="100">
      <c r="A100" s="5" t="inlineStr">
        <is>
          <t>四级</t>
        </is>
      </c>
      <c r="B100" s="5" t="inlineStr">
        <is>
          <t>其他</t>
        </is>
      </c>
      <c r="C100" s="10" t="inlineStr">
        <is>
          <t>A04.17.02.02.01</t>
        </is>
      </c>
      <c r="D100" s="5" t="inlineStr">
        <is>
          <t xml:space="preserve">      同业存放FTP</t>
        </is>
      </c>
      <c r="H100" s="5">
        <f>H99/H61</f>
        <v/>
      </c>
      <c r="J100" s="5" t="inlineStr">
        <is>
          <t>率年化指标</t>
        </is>
      </c>
      <c r="M100" t="inlineStr">
        <is>
          <t>17.02.02.01</t>
        </is>
      </c>
      <c r="P100" t="inlineStr">
        <is>
          <t>WGT</t>
        </is>
      </c>
    </row>
    <row r="101">
      <c r="A101" s="7" t="inlineStr">
        <is>
          <t>二级</t>
        </is>
      </c>
      <c r="B101" s="7" t="inlineStr">
        <is>
          <t>收入</t>
        </is>
      </c>
      <c r="C101" s="11" t="inlineStr">
        <is>
          <t>A04.17.99</t>
        </is>
      </c>
      <c r="D101" s="11" t="inlineStr">
        <is>
          <t xml:space="preserve">  其他FTP收入</t>
        </is>
      </c>
      <c r="F101" t="inlineStr">
        <is>
          <t>A04.17.99.01</t>
        </is>
      </c>
      <c r="H101" s="5">
        <f>H102</f>
        <v/>
      </c>
      <c r="I101" s="5">
        <f>I102</f>
        <v/>
      </c>
      <c r="M101" t="inlineStr">
        <is>
          <t>17.99</t>
        </is>
      </c>
    </row>
    <row r="102">
      <c r="A102" s="1" t="inlineStr">
        <is>
          <t>三级</t>
        </is>
      </c>
      <c r="B102" s="1" t="inlineStr">
        <is>
          <t>收入</t>
        </is>
      </c>
      <c r="C102" s="10" t="inlineStr">
        <is>
          <t>A04.17.99.01</t>
        </is>
      </c>
      <c r="D102" s="10" t="inlineStr">
        <is>
          <t xml:space="preserve">    应付款FTP收入</t>
        </is>
      </c>
      <c r="M102" t="inlineStr">
        <is>
          <t>17.99.01</t>
        </is>
      </c>
      <c r="P102" t="inlineStr">
        <is>
          <t>SUM</t>
        </is>
      </c>
    </row>
    <row r="103">
      <c r="A103" s="1" t="n"/>
      <c r="B103" s="10" t="n"/>
      <c r="C103" s="10" t="n"/>
      <c r="D103" s="10" t="n"/>
    </row>
    <row r="104">
      <c r="A104" s="10" t="n"/>
      <c r="B104" s="10" t="n"/>
      <c r="C104" s="10" t="n"/>
      <c r="D104" s="10" t="n"/>
    </row>
    <row r="105">
      <c r="A105" s="11" t="inlineStr">
        <is>
          <t>一级</t>
        </is>
      </c>
      <c r="B105" s="11" t="inlineStr">
        <is>
          <t>收入</t>
        </is>
      </c>
      <c r="C105" s="11" t="inlineStr">
        <is>
          <t>A04.18</t>
        </is>
      </c>
      <c r="D105" s="11" t="inlineStr">
        <is>
          <t>手续费收入</t>
        </is>
      </c>
      <c r="F105" t="inlineStr">
        <is>
          <t>A04.18.05+A04.18.99</t>
        </is>
      </c>
      <c r="I105" s="5">
        <f>I106+I108</f>
        <v/>
      </c>
      <c r="M105" t="inlineStr">
        <is>
          <t>18</t>
        </is>
      </c>
    </row>
    <row r="106">
      <c r="A106" s="11" t="inlineStr">
        <is>
          <t>二级</t>
        </is>
      </c>
      <c r="B106" s="11" t="inlineStr">
        <is>
          <t>收入</t>
        </is>
      </c>
      <c r="C106" s="11" t="inlineStr">
        <is>
          <t>A04.18.05</t>
        </is>
      </c>
      <c r="D106" s="11" t="inlineStr">
        <is>
          <t xml:space="preserve">  代销手续费收入</t>
        </is>
      </c>
      <c r="F106" t="inlineStr">
        <is>
          <t>A04.18.05.01</t>
        </is>
      </c>
      <c r="I106" s="5">
        <f>I52*I107</f>
        <v/>
      </c>
      <c r="J106" s="5" t="inlineStr">
        <is>
          <t>收支月化指标</t>
        </is>
      </c>
      <c r="M106" t="inlineStr">
        <is>
          <t>18.05</t>
        </is>
      </c>
    </row>
    <row r="107">
      <c r="A107" s="10" t="inlineStr">
        <is>
          <t>三级</t>
        </is>
      </c>
      <c r="B107" s="1" t="inlineStr">
        <is>
          <t>其他</t>
        </is>
      </c>
      <c r="C107" s="10" t="inlineStr">
        <is>
          <t>A04.18.05.01</t>
        </is>
      </c>
      <c r="D107" s="10" t="inlineStr">
        <is>
          <t xml:space="preserve">    收益率</t>
        </is>
      </c>
      <c r="H107" s="5">
        <f>H106/H52</f>
        <v/>
      </c>
      <c r="J107" s="5" t="inlineStr">
        <is>
          <t>率年化指标</t>
        </is>
      </c>
      <c r="M107" t="inlineStr">
        <is>
          <t>18.05.01</t>
        </is>
      </c>
      <c r="P107" t="inlineStr">
        <is>
          <t>WGT</t>
        </is>
      </c>
    </row>
    <row r="108">
      <c r="A108" s="11" t="inlineStr">
        <is>
          <t>二级</t>
        </is>
      </c>
      <c r="B108" s="11" t="inlineStr">
        <is>
          <t>收入</t>
        </is>
      </c>
      <c r="C108" s="11" t="inlineStr">
        <is>
          <t>A04.18.99</t>
        </is>
      </c>
      <c r="D108" s="11" t="inlineStr">
        <is>
          <t xml:space="preserve">  其他</t>
        </is>
      </c>
      <c r="H108" s="5">
        <f>H105-H106</f>
        <v/>
      </c>
      <c r="M108" t="inlineStr">
        <is>
          <t>18.99</t>
        </is>
      </c>
      <c r="P108" t="inlineStr">
        <is>
          <t>SUM</t>
        </is>
      </c>
    </row>
    <row r="109">
      <c r="A109" s="10" t="n"/>
      <c r="B109" s="10" t="n"/>
      <c r="C109" s="10" t="n"/>
      <c r="D109" s="10" t="n"/>
    </row>
    <row r="110">
      <c r="A110" s="11" t="inlineStr">
        <is>
          <t>一级</t>
        </is>
      </c>
      <c r="B110" s="11" t="inlineStr">
        <is>
          <t>支出</t>
        </is>
      </c>
      <c r="C110" s="11" t="inlineStr">
        <is>
          <t>A04.19</t>
        </is>
      </c>
      <c r="D110" s="11" t="inlineStr">
        <is>
          <t>手续费支出</t>
        </is>
      </c>
      <c r="F110" t="inlineStr">
        <is>
          <t>A04.19.03+A04.19.15+A04.19.99</t>
        </is>
      </c>
      <c r="I110" s="5">
        <f>I111+I113+I115</f>
        <v/>
      </c>
      <c r="M110" t="inlineStr">
        <is>
          <t>19</t>
        </is>
      </c>
    </row>
    <row r="111">
      <c r="A111" s="11" t="inlineStr">
        <is>
          <t>二级</t>
        </is>
      </c>
      <c r="B111" s="11" t="inlineStr">
        <is>
          <t>支出</t>
        </is>
      </c>
      <c r="C111" s="11" t="inlineStr">
        <is>
          <t>A04.19.03</t>
        </is>
      </c>
      <c r="D111" s="11" t="inlineStr">
        <is>
          <t xml:space="preserve">  清算费</t>
        </is>
      </c>
      <c r="F111" t="inlineStr">
        <is>
          <t>A04.19.03.01</t>
        </is>
      </c>
      <c r="I111" s="5">
        <f>I52*I112</f>
        <v/>
      </c>
      <c r="J111" s="5" t="inlineStr">
        <is>
          <t>收支月化指标</t>
        </is>
      </c>
      <c r="M111" t="inlineStr">
        <is>
          <t>19.03</t>
        </is>
      </c>
    </row>
    <row r="112">
      <c r="A112" s="10" t="inlineStr">
        <is>
          <t>三级</t>
        </is>
      </c>
      <c r="B112" s="1" t="inlineStr">
        <is>
          <t>其他</t>
        </is>
      </c>
      <c r="C112" s="10" t="inlineStr">
        <is>
          <t>A04.19.03.01</t>
        </is>
      </c>
      <c r="D112" s="10" t="inlineStr">
        <is>
          <t xml:space="preserve">    费率</t>
        </is>
      </c>
      <c r="H112" s="5">
        <f>H111/H52</f>
        <v/>
      </c>
      <c r="J112" s="5" t="inlineStr">
        <is>
          <t>率年化指标</t>
        </is>
      </c>
      <c r="M112" t="inlineStr">
        <is>
          <t>19.03.01</t>
        </is>
      </c>
      <c r="P112" t="inlineStr">
        <is>
          <t>WGT</t>
        </is>
      </c>
    </row>
    <row r="113">
      <c r="A113" s="11" t="inlineStr">
        <is>
          <t>二级</t>
        </is>
      </c>
      <c r="B113" s="11" t="inlineStr">
        <is>
          <t>支出</t>
        </is>
      </c>
      <c r="C113" s="11" t="inlineStr">
        <is>
          <t>A04.19.15</t>
        </is>
      </c>
      <c r="D113" s="11" t="inlineStr">
        <is>
          <t xml:space="preserve">  积分</t>
        </is>
      </c>
      <c r="F113" t="inlineStr">
        <is>
          <t>A04.19.15.01</t>
        </is>
      </c>
      <c r="I113" s="5">
        <f>I52*I114</f>
        <v/>
      </c>
      <c r="J113" s="5" t="inlineStr">
        <is>
          <t>收支月化指标</t>
        </is>
      </c>
      <c r="M113" t="inlineStr">
        <is>
          <t>19.15</t>
        </is>
      </c>
    </row>
    <row r="114">
      <c r="A114" s="10" t="inlineStr">
        <is>
          <t>三级</t>
        </is>
      </c>
      <c r="B114" s="1" t="inlineStr">
        <is>
          <t>其他</t>
        </is>
      </c>
      <c r="C114" s="10" t="inlineStr">
        <is>
          <t>A04.19.15.01</t>
        </is>
      </c>
      <c r="D114" s="10" t="inlineStr">
        <is>
          <t xml:space="preserve">    费率</t>
        </is>
      </c>
      <c r="H114" s="5">
        <f>H113/H52</f>
        <v/>
      </c>
      <c r="J114" s="5" t="inlineStr">
        <is>
          <t>率年化指标</t>
        </is>
      </c>
      <c r="M114" t="inlineStr">
        <is>
          <t>19.15.01</t>
        </is>
      </c>
      <c r="P114" t="inlineStr">
        <is>
          <t>WGT</t>
        </is>
      </c>
    </row>
    <row r="115">
      <c r="A115" s="11" t="inlineStr">
        <is>
          <t>二级</t>
        </is>
      </c>
      <c r="B115" s="11" t="inlineStr">
        <is>
          <t>支出</t>
        </is>
      </c>
      <c r="C115" s="11" t="inlineStr">
        <is>
          <t>A04.19.99</t>
        </is>
      </c>
      <c r="D115" s="11" t="inlineStr">
        <is>
          <t xml:space="preserve">  其他</t>
        </is>
      </c>
      <c r="H115" s="5">
        <f>H110-H111-H113</f>
        <v/>
      </c>
      <c r="M115" t="inlineStr">
        <is>
          <t>19.99</t>
        </is>
      </c>
      <c r="P115" t="inlineStr">
        <is>
          <t>SUM</t>
        </is>
      </c>
    </row>
    <row r="116">
      <c r="A116" s="10" t="n"/>
      <c r="B116" s="10" t="n"/>
      <c r="C116" s="10" t="n"/>
      <c r="D116" s="10" t="n"/>
    </row>
    <row r="117">
      <c r="A117" s="11" t="inlineStr">
        <is>
          <t>一级</t>
        </is>
      </c>
      <c r="B117" s="11" t="inlineStr">
        <is>
          <t>收入</t>
        </is>
      </c>
      <c r="C117" s="11" t="inlineStr">
        <is>
          <t>A04.20</t>
        </is>
      </c>
      <c r="D117" s="11" t="inlineStr">
        <is>
          <t>其他外部营收</t>
        </is>
      </c>
      <c r="M117" t="inlineStr">
        <is>
          <t>20</t>
        </is>
      </c>
      <c r="P117" t="inlineStr">
        <is>
          <t>SUM</t>
        </is>
      </c>
    </row>
    <row r="118">
      <c r="A118" s="10" t="n"/>
      <c r="B118" s="10" t="n"/>
      <c r="C118" s="10" t="n"/>
      <c r="D118" s="10" t="n"/>
    </row>
    <row r="119">
      <c r="A119" s="11" t="inlineStr">
        <is>
          <t>一级</t>
        </is>
      </c>
      <c r="B119" s="11" t="inlineStr">
        <is>
          <t>收入</t>
        </is>
      </c>
      <c r="C119" s="11" t="inlineStr">
        <is>
          <t>A04.21</t>
        </is>
      </c>
      <c r="D119" s="11" t="inlineStr">
        <is>
          <t>内部营业净收入</t>
        </is>
      </c>
      <c r="M119" t="inlineStr">
        <is>
          <t>21</t>
        </is>
      </c>
      <c r="P119" t="inlineStr">
        <is>
          <t>SUM</t>
        </is>
      </c>
    </row>
    <row r="120">
      <c r="A120" s="10" t="n"/>
      <c r="B120" s="10" t="n"/>
      <c r="C120" s="10" t="n"/>
      <c r="D120" s="10" t="n"/>
    </row>
    <row r="121"/>
    <row r="122">
      <c r="A122" t="inlineStr">
        <is>
          <t>层级</t>
        </is>
      </c>
      <c r="B122" t="inlineStr">
        <is>
          <t>性质</t>
        </is>
      </c>
      <c r="C122" t="inlineStr">
        <is>
          <t>科目代码</t>
        </is>
      </c>
      <c r="D122" t="inlineStr">
        <is>
          <t>科目名称</t>
        </is>
      </c>
      <c r="E122" t="inlineStr">
        <is>
          <t>录入粒度</t>
        </is>
      </c>
      <c r="F122" t="inlineStr">
        <is>
          <t>年预算公式</t>
        </is>
      </c>
      <c r="J122" t="inlineStr">
        <is>
          <t>公式说明</t>
        </is>
      </c>
      <c r="K122" t="inlineStr">
        <is>
          <t>横向汇总</t>
        </is>
      </c>
    </row>
    <row r="123">
      <c r="A123" t="inlineStr">
        <is>
          <t>一级</t>
        </is>
      </c>
      <c r="B123" t="inlineStr">
        <is>
          <t>支出</t>
        </is>
      </c>
      <c r="C123" t="inlineStr">
        <is>
          <t>A04.90</t>
        </is>
      </c>
      <c r="D123" t="inlineStr">
        <is>
          <t>减:业务及管理费</t>
        </is>
      </c>
      <c r="F123" t="inlineStr">
        <is>
          <t>A04.90.01+A04.90.03</t>
        </is>
      </c>
      <c r="K123" t="inlineStr">
        <is>
          <t>是</t>
        </is>
      </c>
      <c r="M123" t="inlineStr">
        <is>
          <t>05</t>
        </is>
      </c>
    </row>
    <row r="124">
      <c r="A124" t="inlineStr">
        <is>
          <t>二级</t>
        </is>
      </c>
      <c r="B124" t="inlineStr">
        <is>
          <t>支出</t>
        </is>
      </c>
      <c r="C124" t="inlineStr">
        <is>
          <t>A04.90.01</t>
        </is>
      </c>
      <c r="D124" t="inlineStr">
        <is>
          <t>直接费用</t>
        </is>
      </c>
      <c r="F124" t="inlineStr">
        <is>
          <t>A04.90.01.01+A04.90.01.02</t>
        </is>
      </c>
      <c r="K124" t="inlineStr">
        <is>
          <t>是</t>
        </is>
      </c>
      <c r="M124" t="inlineStr">
        <is>
          <t>05.01</t>
        </is>
      </c>
    </row>
    <row r="125">
      <c r="A125" t="inlineStr">
        <is>
          <t>三级</t>
        </is>
      </c>
      <c r="B125" t="inlineStr">
        <is>
          <t>支出</t>
        </is>
      </c>
      <c r="C125" t="inlineStr">
        <is>
          <t>A04.90.01.01</t>
        </is>
      </c>
      <c r="D125" t="inlineStr">
        <is>
          <t>直接费用</t>
        </is>
      </c>
      <c r="F125" t="inlineStr">
        <is>
          <t>A04.90.01.01.01+A04.90.01.01.02+A04.90.01.01.03+A04.90.01.01.04.001+A04.90.01.01.05.001</t>
        </is>
      </c>
      <c r="K125" t="inlineStr">
        <is>
          <t>是</t>
        </is>
      </c>
      <c r="M125" t="inlineStr">
        <is>
          <t>05.01.01</t>
        </is>
      </c>
    </row>
    <row r="126">
      <c r="A126" t="inlineStr">
        <is>
          <t>四级</t>
        </is>
      </c>
      <c r="B126" t="inlineStr">
        <is>
          <t>支出</t>
        </is>
      </c>
      <c r="C126" t="inlineStr">
        <is>
          <t>A04.90.01.01.01</t>
        </is>
      </c>
      <c r="D126" t="inlineStr">
        <is>
          <t>人力（不含IT)</t>
        </is>
      </c>
      <c r="F126" t="inlineStr">
        <is>
          <t>A04.90.01.01.01.001+A04.90.01.01.01.002</t>
        </is>
      </c>
      <c r="K126" t="inlineStr">
        <is>
          <t>是</t>
        </is>
      </c>
      <c r="M126" t="inlineStr">
        <is>
          <t>05.01.01.01</t>
        </is>
      </c>
    </row>
    <row r="127">
      <c r="A127" t="inlineStr">
        <is>
          <t>五级</t>
        </is>
      </c>
      <c r="B127" t="inlineStr">
        <is>
          <t>支出</t>
        </is>
      </c>
      <c r="C127" t="inlineStr">
        <is>
          <t>A04.90.01.01.01.001</t>
        </is>
      </c>
      <c r="D127" t="inlineStr">
        <is>
          <t>业务人力</t>
        </is>
      </c>
      <c r="K127" t="inlineStr">
        <is>
          <t>是</t>
        </is>
      </c>
      <c r="M127" t="inlineStr">
        <is>
          <t>05.01.01.01.001</t>
        </is>
      </c>
      <c r="N127" t="inlineStr">
        <is>
          <t>SUM</t>
        </is>
      </c>
    </row>
    <row r="128">
      <c r="A128" t="inlineStr">
        <is>
          <t>五级</t>
        </is>
      </c>
      <c r="B128" t="inlineStr">
        <is>
          <t>支出</t>
        </is>
      </c>
      <c r="C128" t="inlineStr">
        <is>
          <t>A04.90.01.01.01.002</t>
        </is>
      </c>
      <c r="D128" t="inlineStr">
        <is>
          <t>特别人力</t>
        </is>
      </c>
      <c r="K128" t="inlineStr">
        <is>
          <t>是</t>
        </is>
      </c>
      <c r="M128" t="inlineStr">
        <is>
          <t>05.01.01.01.002</t>
        </is>
      </c>
      <c r="N128" t="inlineStr">
        <is>
          <t>SUM</t>
        </is>
      </c>
    </row>
    <row r="129">
      <c r="A129" t="inlineStr">
        <is>
          <t>四级</t>
        </is>
      </c>
      <c r="B129" t="inlineStr">
        <is>
          <t>支出</t>
        </is>
      </c>
      <c r="C129" t="inlineStr">
        <is>
          <t>A04.90.01.01.02</t>
        </is>
      </c>
      <c r="D129" t="inlineStr">
        <is>
          <t>业务费用</t>
        </is>
      </c>
      <c r="F129" t="inlineStr">
        <is>
          <t>A04.90.01.01.02.001+A04.90.01.01.02.002</t>
        </is>
      </c>
      <c r="K129" t="inlineStr">
        <is>
          <t>是</t>
        </is>
      </c>
      <c r="M129" t="inlineStr">
        <is>
          <t>05.01.01.02</t>
        </is>
      </c>
    </row>
    <row r="130">
      <c r="A130" t="inlineStr">
        <is>
          <t>五级</t>
        </is>
      </c>
      <c r="B130" t="inlineStr">
        <is>
          <t>支出</t>
        </is>
      </c>
      <c r="C130" t="inlineStr">
        <is>
          <t>A04.90.01.01.02.001</t>
        </is>
      </c>
      <c r="D130" t="inlineStr">
        <is>
          <t>营销</t>
        </is>
      </c>
      <c r="K130" t="inlineStr">
        <is>
          <t>是</t>
        </is>
      </c>
      <c r="M130" t="inlineStr">
        <is>
          <t>05.01.01.02.001</t>
        </is>
      </c>
      <c r="N130" t="inlineStr">
        <is>
          <t>SUM</t>
        </is>
      </c>
    </row>
    <row r="131">
      <c r="A131" t="inlineStr">
        <is>
          <t>五级</t>
        </is>
      </c>
      <c r="B131" t="inlineStr">
        <is>
          <t>支出</t>
        </is>
      </c>
      <c r="C131" t="inlineStr">
        <is>
          <t>A04.90.01.01.02.002</t>
        </is>
      </c>
      <c r="D131" t="inlineStr">
        <is>
          <t>运营</t>
        </is>
      </c>
      <c r="K131" t="inlineStr">
        <is>
          <t>是</t>
        </is>
      </c>
      <c r="M131" t="inlineStr">
        <is>
          <t>05.01.01.02.002</t>
        </is>
      </c>
      <c r="N131" t="inlineStr">
        <is>
          <t>SUM</t>
        </is>
      </c>
    </row>
    <row r="132">
      <c r="A132" t="inlineStr">
        <is>
          <t>四级</t>
        </is>
      </c>
      <c r="B132" t="inlineStr">
        <is>
          <t>支出</t>
        </is>
      </c>
      <c r="C132" t="inlineStr">
        <is>
          <t>A04.90.01.01.03</t>
        </is>
      </c>
      <c r="D132" t="inlineStr">
        <is>
          <t>IT</t>
        </is>
      </c>
      <c r="F132" t="inlineStr">
        <is>
          <t>A04.90.01.01.03.01+A04.90.01.01.03.02.001+A04.90.01.01.03.03.001+A04.90.01.01.03.04.001</t>
        </is>
      </c>
      <c r="K132" t="inlineStr">
        <is>
          <t>是</t>
        </is>
      </c>
      <c r="M132" t="inlineStr">
        <is>
          <t>05.01.01.03</t>
        </is>
      </c>
    </row>
    <row r="133">
      <c r="A133" t="inlineStr">
        <is>
          <t>五级</t>
        </is>
      </c>
      <c r="B133" t="inlineStr">
        <is>
          <t>支出</t>
        </is>
      </c>
      <c r="C133" t="inlineStr">
        <is>
          <t>A04.90.01.01.03.01</t>
        </is>
      </c>
      <c r="D133" t="inlineStr">
        <is>
          <t>IT人力</t>
        </is>
      </c>
      <c r="F133" t="inlineStr">
        <is>
          <t>A04.90.01.01.03.01.001+A04.90.01.01.03.01.002</t>
        </is>
      </c>
      <c r="K133" t="inlineStr">
        <is>
          <t>是</t>
        </is>
      </c>
      <c r="M133" t="inlineStr">
        <is>
          <t>05.01.01.03.01</t>
        </is>
      </c>
    </row>
    <row r="134">
      <c r="A134" t="inlineStr">
        <is>
          <t>六级</t>
        </is>
      </c>
      <c r="B134" t="inlineStr">
        <is>
          <t>支出</t>
        </is>
      </c>
      <c r="C134" t="inlineStr">
        <is>
          <t>A04.90.01.01.03.01.001</t>
        </is>
      </c>
      <c r="D134" t="inlineStr">
        <is>
          <t>IT常规人力</t>
        </is>
      </c>
      <c r="K134" t="inlineStr">
        <is>
          <t>是</t>
        </is>
      </c>
      <c r="M134" t="inlineStr">
        <is>
          <t>05.01.01.03.01.001</t>
        </is>
      </c>
      <c r="N134" t="inlineStr">
        <is>
          <t>SUM</t>
        </is>
      </c>
    </row>
    <row r="135">
      <c r="A135" t="inlineStr">
        <is>
          <t>六级</t>
        </is>
      </c>
      <c r="B135" t="inlineStr">
        <is>
          <t>支出</t>
        </is>
      </c>
      <c r="C135" t="inlineStr">
        <is>
          <t>A04.90.01.01.03.01.002</t>
        </is>
      </c>
      <c r="D135" t="inlineStr">
        <is>
          <t>IT特别人力</t>
        </is>
      </c>
      <c r="K135" t="inlineStr">
        <is>
          <t>是</t>
        </is>
      </c>
      <c r="M135" t="inlineStr">
        <is>
          <t>05.01.01.03.01.002</t>
        </is>
      </c>
      <c r="N135" t="inlineStr">
        <is>
          <t>SUM</t>
        </is>
      </c>
    </row>
    <row r="136">
      <c r="A136" t="inlineStr">
        <is>
          <t>五级</t>
        </is>
      </c>
      <c r="B136" t="inlineStr">
        <is>
          <t>支出</t>
        </is>
      </c>
      <c r="C136" t="inlineStr">
        <is>
          <t>A04.90.01.01.03.02</t>
        </is>
      </c>
      <c r="D136" t="inlineStr">
        <is>
          <t>科技</t>
        </is>
      </c>
      <c r="K136" t="inlineStr">
        <is>
          <t>是</t>
        </is>
      </c>
      <c r="M136" t="inlineStr">
        <is>
          <t>05.01.01.03.02</t>
        </is>
      </c>
      <c r="N136" t="inlineStr">
        <is>
          <t>SUM</t>
        </is>
      </c>
    </row>
    <row r="137">
      <c r="A137" t="inlineStr">
        <is>
          <t>五级</t>
        </is>
      </c>
      <c r="B137" t="inlineStr">
        <is>
          <t>支出</t>
        </is>
      </c>
      <c r="C137" t="inlineStr">
        <is>
          <t>A04.90.01.01.03.03</t>
        </is>
      </c>
      <c r="D137" t="inlineStr">
        <is>
          <t>IT职场</t>
        </is>
      </c>
      <c r="K137" t="inlineStr">
        <is>
          <t>是</t>
        </is>
      </c>
      <c r="M137" t="inlineStr">
        <is>
          <t>05.01.01.03.03</t>
        </is>
      </c>
      <c r="N137" t="inlineStr">
        <is>
          <t>SUM</t>
        </is>
      </c>
    </row>
    <row r="138">
      <c r="A138" t="inlineStr">
        <is>
          <t>五级</t>
        </is>
      </c>
      <c r="B138" t="inlineStr">
        <is>
          <t>支出</t>
        </is>
      </c>
      <c r="C138" t="inlineStr">
        <is>
          <t>A04.90.01.01.03.04</t>
        </is>
      </c>
      <c r="D138" t="inlineStr">
        <is>
          <t>IT日常</t>
        </is>
      </c>
      <c r="K138" t="inlineStr">
        <is>
          <t>是</t>
        </is>
      </c>
      <c r="M138" t="inlineStr">
        <is>
          <t>05.01.01.03.04</t>
        </is>
      </c>
      <c r="N138" t="inlineStr">
        <is>
          <t>SUM</t>
        </is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A04.90.01.01.04</t>
        </is>
      </c>
      <c r="D139" t="inlineStr">
        <is>
          <t>AA.05.01.01.04</t>
        </is>
      </c>
      <c r="F139" t="inlineStr">
        <is>
          <t>A04.90.01.01.04.001</t>
        </is>
      </c>
      <c r="K139" t="inlineStr">
        <is>
          <t>是</t>
        </is>
      </c>
      <c r="M139" t="inlineStr">
        <is>
          <t>05.01.01.04</t>
        </is>
      </c>
      <c r="N139" t="inlineStr">
        <is>
          <t>SUM</t>
        </is>
      </c>
    </row>
    <row r="140">
      <c r="A140" t="inlineStr">
        <is>
          <t>五级</t>
        </is>
      </c>
      <c r="B140" t="inlineStr">
        <is>
          <t>支出</t>
        </is>
      </c>
      <c r="C140" t="inlineStr">
        <is>
          <t>A04.90.01.01.04.001</t>
        </is>
      </c>
      <c r="D140" t="inlineStr">
        <is>
          <t>职场</t>
        </is>
      </c>
      <c r="K140" t="inlineStr">
        <is>
          <t>是</t>
        </is>
      </c>
      <c r="M140" t="inlineStr">
        <is>
          <t>05.01.01.04.001</t>
        </is>
      </c>
      <c r="N140" t="inlineStr">
        <is>
          <t>SUM</t>
        </is>
      </c>
    </row>
    <row r="141">
      <c r="A141" t="inlineStr">
        <is>
          <t>四级</t>
        </is>
      </c>
      <c r="B141" t="inlineStr">
        <is>
          <t>支出</t>
        </is>
      </c>
      <c r="C141" t="inlineStr">
        <is>
          <t>A04.90.01.01.05</t>
        </is>
      </c>
      <c r="D141" t="inlineStr">
        <is>
          <t>AA.05.01.01.05</t>
        </is>
      </c>
      <c r="F141" t="inlineStr">
        <is>
          <t>A04.90.01.01.05.001</t>
        </is>
      </c>
      <c r="K141" t="inlineStr">
        <is>
          <t>是</t>
        </is>
      </c>
      <c r="M141" t="inlineStr">
        <is>
          <t>05.01.01.05</t>
        </is>
      </c>
      <c r="N141" t="inlineStr">
        <is>
          <t>SUM</t>
        </is>
      </c>
    </row>
    <row r="142">
      <c r="A142" t="inlineStr">
        <is>
          <t>五级</t>
        </is>
      </c>
      <c r="B142" t="inlineStr">
        <is>
          <t>支出</t>
        </is>
      </c>
      <c r="C142" t="inlineStr">
        <is>
          <t>A04.90.01.01.05.001</t>
        </is>
      </c>
      <c r="D142" t="inlineStr">
        <is>
          <t>日常</t>
        </is>
      </c>
      <c r="K142" t="inlineStr">
        <is>
          <t>是</t>
        </is>
      </c>
      <c r="M142" t="inlineStr">
        <is>
          <t>05.01.01.05.001</t>
        </is>
      </c>
      <c r="N142" t="inlineStr">
        <is>
          <t>SUM</t>
        </is>
      </c>
    </row>
    <row r="143">
      <c r="A143" t="inlineStr">
        <is>
          <t>三级</t>
        </is>
      </c>
      <c r="B143" t="inlineStr">
        <is>
          <t>支出</t>
        </is>
      </c>
      <c r="C143" t="inlineStr">
        <is>
          <t>A04.90.01.02</t>
        </is>
      </c>
      <c r="D143" t="inlineStr">
        <is>
          <t>间接费用</t>
        </is>
      </c>
      <c r="F143" t="inlineStr">
        <is>
          <t>A04.90.01.02.01+A04.90.01.02.02+A04.90.01.02.03+A04.90.01.02.04.001+A04.90.01.02.05.001</t>
        </is>
      </c>
      <c r="K143" t="inlineStr">
        <is>
          <t>是</t>
        </is>
      </c>
      <c r="M143" t="inlineStr">
        <is>
          <t>05.01.02</t>
        </is>
      </c>
    </row>
    <row r="144">
      <c r="A144" t="inlineStr">
        <is>
          <t>四级</t>
        </is>
      </c>
      <c r="B144" t="inlineStr">
        <is>
          <t>支出</t>
        </is>
      </c>
      <c r="C144" t="inlineStr">
        <is>
          <t>A04.90.01.02.01</t>
        </is>
      </c>
      <c r="D144" t="inlineStr">
        <is>
          <t>人力（不含IT)</t>
        </is>
      </c>
      <c r="F144" t="inlineStr">
        <is>
          <t>A04.90.01.02.01.001+A04.90.01.02.01.002</t>
        </is>
      </c>
      <c r="K144" t="inlineStr">
        <is>
          <t>是</t>
        </is>
      </c>
      <c r="M144" t="inlineStr">
        <is>
          <t>05.01.02.01</t>
        </is>
      </c>
    </row>
    <row r="145">
      <c r="A145" t="inlineStr">
        <is>
          <t>五级</t>
        </is>
      </c>
      <c r="B145" t="inlineStr">
        <is>
          <t>支出</t>
        </is>
      </c>
      <c r="C145" t="inlineStr">
        <is>
          <t>A04.90.01.02.01.001</t>
        </is>
      </c>
      <c r="D145" t="inlineStr">
        <is>
          <t>业务人力</t>
        </is>
      </c>
      <c r="K145" t="inlineStr">
        <is>
          <t>是</t>
        </is>
      </c>
      <c r="M145" t="inlineStr">
        <is>
          <t>05.01.02.01.001</t>
        </is>
      </c>
      <c r="N145" t="inlineStr">
        <is>
          <t>SUM</t>
        </is>
      </c>
    </row>
    <row r="146">
      <c r="A146" t="inlineStr">
        <is>
          <t>五级</t>
        </is>
      </c>
      <c r="B146" t="inlineStr">
        <is>
          <t>支出</t>
        </is>
      </c>
      <c r="C146" t="inlineStr">
        <is>
          <t>A04.90.01.02.01.002</t>
        </is>
      </c>
      <c r="D146" t="inlineStr">
        <is>
          <t>特别人力</t>
        </is>
      </c>
      <c r="K146" t="inlineStr">
        <is>
          <t>是</t>
        </is>
      </c>
      <c r="M146" t="inlineStr">
        <is>
          <t>05.01.02.01.002</t>
        </is>
      </c>
      <c r="N146" t="inlineStr">
        <is>
          <t>SUM</t>
        </is>
      </c>
    </row>
    <row r="147">
      <c r="A147" t="inlineStr">
        <is>
          <t>四级</t>
        </is>
      </c>
      <c r="B147" t="inlineStr">
        <is>
          <t>支出</t>
        </is>
      </c>
      <c r="C147" t="inlineStr">
        <is>
          <t>A04.90.01.02.02</t>
        </is>
      </c>
      <c r="D147" t="inlineStr">
        <is>
          <t>业务费用</t>
        </is>
      </c>
      <c r="F147" t="inlineStr">
        <is>
          <t>A04.90.01.02.02.001+A04.90.01.02.02.002</t>
        </is>
      </c>
      <c r="K147" t="inlineStr">
        <is>
          <t>是</t>
        </is>
      </c>
      <c r="M147" t="inlineStr">
        <is>
          <t>05.01.02.02</t>
        </is>
      </c>
    </row>
    <row r="148">
      <c r="A148" t="inlineStr">
        <is>
          <t>五级</t>
        </is>
      </c>
      <c r="B148" t="inlineStr">
        <is>
          <t>支出</t>
        </is>
      </c>
      <c r="C148" t="inlineStr">
        <is>
          <t>A04.90.01.02.02.001</t>
        </is>
      </c>
      <c r="D148" t="inlineStr">
        <is>
          <t>营销</t>
        </is>
      </c>
      <c r="K148" t="inlineStr">
        <is>
          <t>是</t>
        </is>
      </c>
      <c r="M148" t="inlineStr">
        <is>
          <t>05.01.02.02.001</t>
        </is>
      </c>
      <c r="N148" t="inlineStr">
        <is>
          <t>SUM</t>
        </is>
      </c>
    </row>
    <row r="149">
      <c r="A149" t="inlineStr">
        <is>
          <t>五级</t>
        </is>
      </c>
      <c r="B149" t="inlineStr">
        <is>
          <t>支出</t>
        </is>
      </c>
      <c r="C149" t="inlineStr">
        <is>
          <t>A04.90.01.02.02.002</t>
        </is>
      </c>
      <c r="D149" t="inlineStr">
        <is>
          <t>运营</t>
        </is>
      </c>
      <c r="K149" t="inlineStr">
        <is>
          <t>是</t>
        </is>
      </c>
      <c r="M149" t="inlineStr">
        <is>
          <t>05.01.02.02.002</t>
        </is>
      </c>
      <c r="N149" t="inlineStr">
        <is>
          <t>SUM</t>
        </is>
      </c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A04.90.01.02.03</t>
        </is>
      </c>
      <c r="D150" t="inlineStr">
        <is>
          <t>IT</t>
        </is>
      </c>
      <c r="F150" t="inlineStr">
        <is>
          <t>A04.90.01.02.03.01+A04.90.01.02.03.02.001+A04.90.01.02.03.03.001+A04.90.01.02.03.04.001</t>
        </is>
      </c>
      <c r="K150" t="inlineStr">
        <is>
          <t>是</t>
        </is>
      </c>
      <c r="M150" t="inlineStr">
        <is>
          <t>05.01.02.03</t>
        </is>
      </c>
    </row>
    <row r="151">
      <c r="A151" t="inlineStr">
        <is>
          <t>五级</t>
        </is>
      </c>
      <c r="B151" t="inlineStr">
        <is>
          <t>支出</t>
        </is>
      </c>
      <c r="C151" t="inlineStr">
        <is>
          <t>A04.90.01.02.03.01</t>
        </is>
      </c>
      <c r="D151" t="inlineStr">
        <is>
          <t>IT人力</t>
        </is>
      </c>
      <c r="F151" t="inlineStr">
        <is>
          <t>A04.90.01.02.03.01.001+A04.90.01.02.03.01.002</t>
        </is>
      </c>
      <c r="K151" t="inlineStr">
        <is>
          <t>是</t>
        </is>
      </c>
      <c r="M151" t="inlineStr">
        <is>
          <t>05.01.02.03.01</t>
        </is>
      </c>
    </row>
    <row r="152">
      <c r="A152" t="inlineStr">
        <is>
          <t>六级</t>
        </is>
      </c>
      <c r="B152" t="inlineStr">
        <is>
          <t>支出</t>
        </is>
      </c>
      <c r="C152" t="inlineStr">
        <is>
          <t>A04.90.01.02.03.01.001</t>
        </is>
      </c>
      <c r="D152" t="inlineStr">
        <is>
          <t>IT常规人力</t>
        </is>
      </c>
      <c r="K152" t="inlineStr">
        <is>
          <t>是</t>
        </is>
      </c>
      <c r="M152" t="inlineStr">
        <is>
          <t>05.01.02.03.01.001</t>
        </is>
      </c>
      <c r="N152" t="inlineStr">
        <is>
          <t>SUM</t>
        </is>
      </c>
    </row>
    <row r="153">
      <c r="A153" t="inlineStr">
        <is>
          <t>六级</t>
        </is>
      </c>
      <c r="B153" t="inlineStr">
        <is>
          <t>支出</t>
        </is>
      </c>
      <c r="C153" t="inlineStr">
        <is>
          <t>A04.90.01.02.03.01.002</t>
        </is>
      </c>
      <c r="D153" t="inlineStr">
        <is>
          <t>IT特别人力</t>
        </is>
      </c>
      <c r="K153" t="inlineStr">
        <is>
          <t>是</t>
        </is>
      </c>
      <c r="M153" t="inlineStr">
        <is>
          <t>05.01.02.03.01.002</t>
        </is>
      </c>
      <c r="N153" t="inlineStr">
        <is>
          <t>SUM</t>
        </is>
      </c>
    </row>
    <row r="154">
      <c r="A154" t="inlineStr">
        <is>
          <t>五级</t>
        </is>
      </c>
      <c r="B154" t="inlineStr">
        <is>
          <t>支出</t>
        </is>
      </c>
      <c r="C154" t="inlineStr">
        <is>
          <t>A04.90.01.02.03.02</t>
        </is>
      </c>
      <c r="D154" t="inlineStr">
        <is>
          <t>AA.05.01.02.03.02</t>
        </is>
      </c>
      <c r="F154" t="inlineStr">
        <is>
          <t>A04.90.01.02.03.02.001</t>
        </is>
      </c>
      <c r="K154" t="inlineStr">
        <is>
          <t>是</t>
        </is>
      </c>
      <c r="M154" t="inlineStr">
        <is>
          <t>05.01.02.03.02</t>
        </is>
      </c>
      <c r="N154" t="inlineStr">
        <is>
          <t>SUM</t>
        </is>
      </c>
    </row>
    <row r="155">
      <c r="A155" t="inlineStr">
        <is>
          <t>六级</t>
        </is>
      </c>
      <c r="B155" t="inlineStr">
        <is>
          <t>支出</t>
        </is>
      </c>
      <c r="C155" t="inlineStr">
        <is>
          <t>A04.90.01.02.03.02.001</t>
        </is>
      </c>
      <c r="D155" t="inlineStr">
        <is>
          <t>科技</t>
        </is>
      </c>
      <c r="K155" t="inlineStr">
        <is>
          <t>是</t>
        </is>
      </c>
      <c r="M155" t="inlineStr">
        <is>
          <t>05.01.02.03.02.001</t>
        </is>
      </c>
      <c r="N155" t="inlineStr">
        <is>
          <t>SUM</t>
        </is>
      </c>
    </row>
    <row r="156">
      <c r="A156" t="inlineStr">
        <is>
          <t>五级</t>
        </is>
      </c>
      <c r="B156" t="inlineStr">
        <is>
          <t>支出</t>
        </is>
      </c>
      <c r="C156" t="inlineStr">
        <is>
          <t>A04.90.01.02.03.03</t>
        </is>
      </c>
      <c r="D156" t="inlineStr">
        <is>
          <t>AA.05.01.02.03.03</t>
        </is>
      </c>
      <c r="F156" t="inlineStr">
        <is>
          <t>A04.90.01.02.03.03.001</t>
        </is>
      </c>
      <c r="K156" t="inlineStr">
        <is>
          <t>是</t>
        </is>
      </c>
      <c r="M156" t="inlineStr">
        <is>
          <t>05.01.02.03.03</t>
        </is>
      </c>
      <c r="N156" t="inlineStr">
        <is>
          <t>SUM</t>
        </is>
      </c>
    </row>
    <row r="157">
      <c r="A157" t="inlineStr">
        <is>
          <t>六级</t>
        </is>
      </c>
      <c r="B157" t="inlineStr">
        <is>
          <t>支出</t>
        </is>
      </c>
      <c r="C157" t="inlineStr">
        <is>
          <t>A04.90.01.02.03.03.001</t>
        </is>
      </c>
      <c r="D157" t="inlineStr">
        <is>
          <t>IT职场</t>
        </is>
      </c>
      <c r="K157" t="inlineStr">
        <is>
          <t>是</t>
        </is>
      </c>
      <c r="M157" t="inlineStr">
        <is>
          <t>05.01.02.03.03.001</t>
        </is>
      </c>
      <c r="N157" t="inlineStr">
        <is>
          <t>SUM</t>
        </is>
      </c>
    </row>
    <row r="158">
      <c r="A158" t="inlineStr">
        <is>
          <t>五级</t>
        </is>
      </c>
      <c r="B158" t="inlineStr">
        <is>
          <t>支出</t>
        </is>
      </c>
      <c r="C158" t="inlineStr">
        <is>
          <t>A04.90.01.02.03.04</t>
        </is>
      </c>
      <c r="D158" t="inlineStr">
        <is>
          <t>AA.05.01.02.03.04</t>
        </is>
      </c>
      <c r="F158" t="inlineStr">
        <is>
          <t>A04.90.01.02.03.04.001</t>
        </is>
      </c>
      <c r="K158" t="inlineStr">
        <is>
          <t>是</t>
        </is>
      </c>
      <c r="M158" t="inlineStr">
        <is>
          <t>05.01.02.03.04</t>
        </is>
      </c>
      <c r="N158" t="inlineStr">
        <is>
          <t>SUM</t>
        </is>
      </c>
    </row>
    <row r="159">
      <c r="A159" t="inlineStr">
        <is>
          <t>六级</t>
        </is>
      </c>
      <c r="B159" t="inlineStr">
        <is>
          <t>支出</t>
        </is>
      </c>
      <c r="C159" t="inlineStr">
        <is>
          <t>A04.90.01.02.03.04.001</t>
        </is>
      </c>
      <c r="D159" t="inlineStr">
        <is>
          <t>IT日常</t>
        </is>
      </c>
      <c r="K159" t="inlineStr">
        <is>
          <t>是</t>
        </is>
      </c>
      <c r="M159" t="inlineStr">
        <is>
          <t>05.01.02.03.04.001</t>
        </is>
      </c>
      <c r="N159" t="inlineStr">
        <is>
          <t>SUM</t>
        </is>
      </c>
    </row>
    <row r="160">
      <c r="A160" t="inlineStr">
        <is>
          <t>四级</t>
        </is>
      </c>
      <c r="B160" t="inlineStr">
        <is>
          <t>支出</t>
        </is>
      </c>
      <c r="C160" t="inlineStr">
        <is>
          <t>A04.90.01.02.04</t>
        </is>
      </c>
      <c r="D160" t="inlineStr">
        <is>
          <t>AA.05.01.02.04</t>
        </is>
      </c>
      <c r="F160" t="inlineStr">
        <is>
          <t>A04.90.01.02.04.001</t>
        </is>
      </c>
      <c r="K160" t="inlineStr">
        <is>
          <t>是</t>
        </is>
      </c>
      <c r="M160" t="inlineStr">
        <is>
          <t>05.01.02.04</t>
        </is>
      </c>
      <c r="N160" t="inlineStr">
        <is>
          <t>SUM</t>
        </is>
      </c>
    </row>
    <row r="161">
      <c r="A161" t="inlineStr">
        <is>
          <t>五级</t>
        </is>
      </c>
      <c r="B161" t="inlineStr">
        <is>
          <t>支出</t>
        </is>
      </c>
      <c r="C161" t="inlineStr">
        <is>
          <t>A04.90.01.02.04.001</t>
        </is>
      </c>
      <c r="D161" t="inlineStr">
        <is>
          <t>职场</t>
        </is>
      </c>
      <c r="K161" t="inlineStr">
        <is>
          <t>是</t>
        </is>
      </c>
      <c r="M161" t="inlineStr">
        <is>
          <t>05.01.02.04.001</t>
        </is>
      </c>
      <c r="N161" t="inlineStr">
        <is>
          <t>SUM</t>
        </is>
      </c>
    </row>
    <row r="162">
      <c r="A162" t="inlineStr">
        <is>
          <t>四级</t>
        </is>
      </c>
      <c r="B162" t="inlineStr">
        <is>
          <t>支出</t>
        </is>
      </c>
      <c r="C162" t="inlineStr">
        <is>
          <t>A04.90.01.02.05</t>
        </is>
      </c>
      <c r="D162" t="inlineStr">
        <is>
          <t>AA.05.01.02.05</t>
        </is>
      </c>
      <c r="F162" t="inlineStr">
        <is>
          <t>A04.90.01.02.05.001</t>
        </is>
      </c>
      <c r="K162" t="inlineStr">
        <is>
          <t>是</t>
        </is>
      </c>
      <c r="M162" t="inlineStr">
        <is>
          <t>05.01.02.05</t>
        </is>
      </c>
      <c r="N162" t="inlineStr">
        <is>
          <t>SUM</t>
        </is>
      </c>
    </row>
    <row r="163">
      <c r="A163" t="inlineStr">
        <is>
          <t>五级</t>
        </is>
      </c>
      <c r="B163" t="inlineStr">
        <is>
          <t>支出</t>
        </is>
      </c>
      <c r="C163" t="inlineStr">
        <is>
          <t>A04.90.01.02.05.001</t>
        </is>
      </c>
      <c r="D163" t="inlineStr">
        <is>
          <t>日常</t>
        </is>
      </c>
      <c r="K163" t="inlineStr">
        <is>
          <t>是</t>
        </is>
      </c>
      <c r="M163" t="inlineStr">
        <is>
          <t>05.01.02.05.001</t>
        </is>
      </c>
      <c r="N163" t="inlineStr">
        <is>
          <t>SUM</t>
        </is>
      </c>
    </row>
    <row r="164">
      <c r="A164" t="inlineStr">
        <is>
          <t>二级</t>
        </is>
      </c>
      <c r="B164" t="inlineStr">
        <is>
          <t>支出</t>
        </is>
      </c>
      <c r="C164" t="inlineStr">
        <is>
          <t>A04.90.02</t>
        </is>
      </c>
      <c r="D164" t="inlineStr">
        <is>
          <t>业务费用</t>
        </is>
      </c>
      <c r="F164" t="inlineStr">
        <is>
          <t>A04.90.02.01+A04.90.02.02</t>
        </is>
      </c>
      <c r="K164" t="inlineStr">
        <is>
          <t>是</t>
        </is>
      </c>
      <c r="N164" t="inlineStr">
        <is>
          <t>SUM</t>
        </is>
      </c>
    </row>
    <row r="165">
      <c r="A165" t="inlineStr">
        <is>
          <t>三级</t>
        </is>
      </c>
      <c r="B165" t="inlineStr">
        <is>
          <t>支出</t>
        </is>
      </c>
      <c r="C165" t="inlineStr">
        <is>
          <t>A04.90.02.01</t>
        </is>
      </c>
      <c r="D165" t="inlineStr">
        <is>
          <t>营销费用</t>
        </is>
      </c>
      <c r="K165" t="inlineStr">
        <is>
          <t>是</t>
        </is>
      </c>
      <c r="N165" t="inlineStr">
        <is>
          <t>SUM</t>
        </is>
      </c>
    </row>
    <row r="166">
      <c r="A166" t="inlineStr">
        <is>
          <t>三级</t>
        </is>
      </c>
      <c r="B166" t="inlineStr">
        <is>
          <t>支出</t>
        </is>
      </c>
      <c r="C166" t="inlineStr">
        <is>
          <t>A04.90.02.02</t>
        </is>
      </c>
      <c r="D166" t="inlineStr">
        <is>
          <t>运营费用</t>
        </is>
      </c>
      <c r="K166" t="inlineStr">
        <is>
          <t>是</t>
        </is>
      </c>
      <c r="N166" t="inlineStr">
        <is>
          <t>SUM</t>
        </is>
      </c>
    </row>
    <row r="167">
      <c r="A167" t="inlineStr">
        <is>
          <t>二级</t>
        </is>
      </c>
      <c r="B167" t="inlineStr">
        <is>
          <t>支出</t>
        </is>
      </c>
      <c r="C167" t="inlineStr">
        <is>
          <t>A04.90.03</t>
        </is>
      </c>
      <c r="D167" t="inlineStr">
        <is>
          <t>业务支出评估</t>
        </is>
      </c>
      <c r="F167" t="inlineStr">
        <is>
          <t>A04.90.03.09</t>
        </is>
      </c>
      <c r="K167" t="inlineStr">
        <is>
          <t>是</t>
        </is>
      </c>
      <c r="M167" t="inlineStr">
        <is>
          <t>05.02</t>
        </is>
      </c>
    </row>
    <row r="168">
      <c r="A168" t="inlineStr">
        <is>
          <t>三级</t>
        </is>
      </c>
      <c r="B168" t="inlineStr">
        <is>
          <t>支出</t>
        </is>
      </c>
      <c r="C168" t="inlineStr">
        <is>
          <t>A04.90.03.09</t>
        </is>
      </c>
      <c r="D168" t="inlineStr">
        <is>
          <t>客户经营指标</t>
        </is>
      </c>
      <c r="F168" t="inlineStr">
        <is>
          <t>A04.90.03.09.01+A04.90.03.09.02+A04.90.03.09.03</t>
        </is>
      </c>
      <c r="K168" t="inlineStr">
        <is>
          <t>是</t>
        </is>
      </c>
      <c r="M168" t="inlineStr">
        <is>
          <t>05.02.09</t>
        </is>
      </c>
    </row>
    <row r="169">
      <c r="A169" t="inlineStr">
        <is>
          <t>四级</t>
        </is>
      </c>
      <c r="B169" t="inlineStr">
        <is>
          <t>支出</t>
        </is>
      </c>
      <c r="C169" t="inlineStr">
        <is>
          <t>A04.90.03.09.01</t>
        </is>
      </c>
      <c r="D169" t="inlineStr">
        <is>
          <t>客户营销与投入</t>
        </is>
      </c>
      <c r="F169" t="inlineStr">
        <is>
          <t>A04.90.03.09.01.001+A04.90.03.09.01.002+A04.90.03.09.01.003+A04.90.03.09.01.004</t>
        </is>
      </c>
      <c r="K169" t="inlineStr">
        <is>
          <t>是</t>
        </is>
      </c>
      <c r="M169" t="inlineStr">
        <is>
          <t>05.02.09.01</t>
        </is>
      </c>
    </row>
    <row r="170">
      <c r="A170" t="inlineStr">
        <is>
          <t>五级</t>
        </is>
      </c>
      <c r="B170" t="inlineStr">
        <is>
          <t>支出</t>
        </is>
      </c>
      <c r="C170" t="inlineStr">
        <is>
          <t>A04.90.03.09.01.001</t>
        </is>
      </c>
      <c r="D170" t="inlineStr">
        <is>
          <t>新客营销支出</t>
        </is>
      </c>
      <c r="K170" t="inlineStr">
        <is>
          <t>是</t>
        </is>
      </c>
      <c r="M170" t="inlineStr">
        <is>
          <t>05.02.09.01.001</t>
        </is>
      </c>
      <c r="N170" t="inlineStr">
        <is>
          <t>SUM</t>
        </is>
      </c>
    </row>
    <row r="171">
      <c r="A171" t="inlineStr">
        <is>
          <t>五级</t>
        </is>
      </c>
      <c r="B171" t="inlineStr">
        <is>
          <t>支出</t>
        </is>
      </c>
      <c r="C171" t="inlineStr">
        <is>
          <t>A04.90.03.09.01.002</t>
        </is>
      </c>
      <c r="D171" t="inlineStr">
        <is>
          <t>存客营销支出</t>
        </is>
      </c>
      <c r="K171" t="inlineStr">
        <is>
          <t>是</t>
        </is>
      </c>
      <c r="M171" t="inlineStr">
        <is>
          <t>05.02.09.01.002</t>
        </is>
      </c>
      <c r="N171" t="inlineStr">
        <is>
          <t>SUM</t>
        </is>
      </c>
    </row>
    <row r="172">
      <c r="A172" t="inlineStr">
        <is>
          <t>五级</t>
        </is>
      </c>
      <c r="B172" t="inlineStr">
        <is>
          <t>支出</t>
        </is>
      </c>
      <c r="C172" t="inlineStr">
        <is>
          <t>A04.90.03.09.01.003</t>
        </is>
      </c>
      <c r="D172" t="inlineStr">
        <is>
          <t>新开通客户投入</t>
        </is>
      </c>
      <c r="K172" t="inlineStr">
        <is>
          <t>是</t>
        </is>
      </c>
      <c r="M172" t="inlineStr">
        <is>
          <t>05.02.09.01.003</t>
        </is>
      </c>
      <c r="N172" t="inlineStr">
        <is>
          <t>SUM</t>
        </is>
      </c>
    </row>
    <row r="173">
      <c r="A173" t="inlineStr">
        <is>
          <t>五级</t>
        </is>
      </c>
      <c r="B173" t="inlineStr">
        <is>
          <t>支出</t>
        </is>
      </c>
      <c r="C173" t="inlineStr">
        <is>
          <t>A04.90.03.09.01.004</t>
        </is>
      </c>
      <c r="D173" t="inlineStr">
        <is>
          <t>新发放投入</t>
        </is>
      </c>
      <c r="K173" t="inlineStr">
        <is>
          <t>是</t>
        </is>
      </c>
      <c r="M173" t="inlineStr">
        <is>
          <t>05.02.09.01.004</t>
        </is>
      </c>
      <c r="N173" t="inlineStr">
        <is>
          <t>SUM</t>
        </is>
      </c>
    </row>
    <row r="174">
      <c r="A174" t="inlineStr">
        <is>
          <t>四级</t>
        </is>
      </c>
      <c r="B174" t="inlineStr">
        <is>
          <t>支出</t>
        </is>
      </c>
      <c r="C174" t="inlineStr">
        <is>
          <t>A04.90.03.09.02</t>
        </is>
      </c>
      <c r="D174" t="inlineStr">
        <is>
          <t>客户规模与数量</t>
        </is>
      </c>
      <c r="F174" t="inlineStr">
        <is>
          <t>A04.90.03.09.02.101+A04.90.03.09.02.102+A04.90.03.09.02.103</t>
        </is>
      </c>
      <c r="K174" t="inlineStr">
        <is>
          <t>是</t>
        </is>
      </c>
      <c r="M174" t="inlineStr">
        <is>
          <t>05.02.09.02</t>
        </is>
      </c>
    </row>
    <row r="175">
      <c r="A175" t="inlineStr">
        <is>
          <t>五级</t>
        </is>
      </c>
      <c r="B175" t="inlineStr">
        <is>
          <t>支出</t>
        </is>
      </c>
      <c r="C175" t="inlineStr">
        <is>
          <t>A04.90.03.09.02.001</t>
        </is>
      </c>
      <c r="D175" t="inlineStr">
        <is>
          <t>新客日均LUM</t>
        </is>
      </c>
      <c r="K175" t="inlineStr">
        <is>
          <t>是</t>
        </is>
      </c>
      <c r="M175" t="inlineStr">
        <is>
          <t>05.02.09.02.001</t>
        </is>
      </c>
      <c r="N175" t="inlineStr">
        <is>
          <t>SUM</t>
        </is>
      </c>
    </row>
    <row r="176">
      <c r="A176" t="inlineStr">
        <is>
          <t>五级</t>
        </is>
      </c>
      <c r="B176" t="inlineStr">
        <is>
          <t>支出</t>
        </is>
      </c>
      <c r="C176" t="inlineStr">
        <is>
          <t>A04.90.03.09.02.002</t>
        </is>
      </c>
      <c r="D176" t="inlineStr">
        <is>
          <t>存客日均LUM</t>
        </is>
      </c>
      <c r="K176" t="inlineStr">
        <is>
          <t>是</t>
        </is>
      </c>
      <c r="M176" t="inlineStr">
        <is>
          <t>05.02.09.02.002</t>
        </is>
      </c>
      <c r="N176" t="inlineStr">
        <is>
          <t>SUM</t>
        </is>
      </c>
    </row>
    <row r="177">
      <c r="A177" t="inlineStr">
        <is>
          <t>五级</t>
        </is>
      </c>
      <c r="B177" t="inlineStr">
        <is>
          <t>支出</t>
        </is>
      </c>
      <c r="C177" t="inlineStr">
        <is>
          <t>A04.90.03.09.02.003</t>
        </is>
      </c>
      <c r="D177" t="inlineStr">
        <is>
          <t>新开通客户数</t>
        </is>
      </c>
      <c r="K177" t="inlineStr">
        <is>
          <t>是</t>
        </is>
      </c>
      <c r="M177" t="inlineStr">
        <is>
          <t>05.02.09.02.003</t>
        </is>
      </c>
      <c r="N177" t="inlineStr">
        <is>
          <t>SUM</t>
        </is>
      </c>
    </row>
    <row r="178">
      <c r="A178" t="inlineStr">
        <is>
          <t>五级</t>
        </is>
      </c>
      <c r="B178" t="inlineStr">
        <is>
          <t>支出</t>
        </is>
      </c>
      <c r="C178" t="inlineStr">
        <is>
          <t>A04.90.03.09.02.004</t>
        </is>
      </c>
      <c r="D178" t="inlineStr">
        <is>
          <t>平均有效客户数</t>
        </is>
      </c>
      <c r="K178" t="inlineStr">
        <is>
          <t>是</t>
        </is>
      </c>
      <c r="M178" t="inlineStr">
        <is>
          <t>05.02.09.02.004</t>
        </is>
      </c>
      <c r="N178" t="inlineStr">
        <is>
          <t>SUM</t>
        </is>
      </c>
    </row>
    <row r="179">
      <c r="A179" t="inlineStr">
        <is>
          <t>五级</t>
        </is>
      </c>
      <c r="B179" t="inlineStr">
        <is>
          <t>支出</t>
        </is>
      </c>
      <c r="C179" t="inlineStr">
        <is>
          <t>A04.90.03.09.02.005</t>
        </is>
      </c>
      <c r="D179" t="inlineStr">
        <is>
          <t>新发放LUM</t>
        </is>
      </c>
      <c r="K179" t="inlineStr">
        <is>
          <t>是</t>
        </is>
      </c>
      <c r="M179" t="inlineStr">
        <is>
          <t>05.02.09.02.005</t>
        </is>
      </c>
      <c r="N179" t="inlineStr">
        <is>
          <t>SUM</t>
        </is>
      </c>
    </row>
    <row r="180">
      <c r="A180" t="inlineStr">
        <is>
          <t>五级</t>
        </is>
      </c>
      <c r="B180" t="inlineStr">
        <is>
          <t>支出</t>
        </is>
      </c>
      <c r="C180" t="inlineStr">
        <is>
          <t>A04.90.03.09.02.006</t>
        </is>
      </c>
      <c r="D180" t="inlineStr">
        <is>
          <t>新发放LUM（标服）</t>
        </is>
      </c>
      <c r="K180" t="inlineStr">
        <is>
          <t>是</t>
        </is>
      </c>
      <c r="M180" t="inlineStr">
        <is>
          <t>05.02.09.02.006</t>
        </is>
      </c>
      <c r="N180" t="inlineStr">
        <is>
          <t>SUM</t>
        </is>
      </c>
    </row>
    <row r="181">
      <c r="A181" t="inlineStr">
        <is>
          <t>五级</t>
        </is>
      </c>
      <c r="B181" t="inlineStr">
        <is>
          <t>支出</t>
        </is>
      </c>
      <c r="C181" t="inlineStr">
        <is>
          <t>A04.90.03.09.02.007</t>
        </is>
      </c>
      <c r="D181" t="inlineStr">
        <is>
          <t>存客日均AuM</t>
        </is>
      </c>
      <c r="K181" t="inlineStr">
        <is>
          <t>是</t>
        </is>
      </c>
      <c r="M181" t="inlineStr">
        <is>
          <t>05.02.09.02.007</t>
        </is>
      </c>
      <c r="N181" t="inlineStr">
        <is>
          <t>SUM</t>
        </is>
      </c>
    </row>
    <row r="182">
      <c r="A182" t="inlineStr">
        <is>
          <t>五级</t>
        </is>
      </c>
      <c r="B182" t="inlineStr">
        <is>
          <t>支出</t>
        </is>
      </c>
      <c r="C182" t="inlineStr">
        <is>
          <t>A04.90.03.09.02.008</t>
        </is>
      </c>
      <c r="D182" t="inlineStr">
        <is>
          <t>新客AuM余额</t>
        </is>
      </c>
      <c r="K182" t="inlineStr">
        <is>
          <t>是</t>
        </is>
      </c>
      <c r="M182" t="inlineStr">
        <is>
          <t>05.02.09.02.008</t>
        </is>
      </c>
      <c r="N182" t="inlineStr">
        <is>
          <t>SUM</t>
        </is>
      </c>
    </row>
    <row r="183">
      <c r="A183" t="inlineStr">
        <is>
          <t>五级</t>
        </is>
      </c>
      <c r="B183" t="inlineStr">
        <is>
          <t>支出</t>
        </is>
      </c>
      <c r="C183" t="inlineStr">
        <is>
          <t>A04.90.03.09.02.009</t>
        </is>
      </c>
      <c r="D183" t="inlineStr">
        <is>
          <t>MFAU客户数</t>
        </is>
      </c>
      <c r="K183" t="inlineStr">
        <is>
          <t>是</t>
        </is>
      </c>
      <c r="M183" t="inlineStr">
        <is>
          <t>05.02.09.02.009</t>
        </is>
      </c>
      <c r="N183" t="inlineStr">
        <is>
          <t>SUM</t>
        </is>
      </c>
    </row>
    <row r="184">
      <c r="A184" t="inlineStr">
        <is>
          <t>五级</t>
        </is>
      </c>
      <c r="B184" t="inlineStr">
        <is>
          <t>支出</t>
        </is>
      </c>
      <c r="C184" t="inlineStr">
        <is>
          <t>A04.90.03.09.02.010</t>
        </is>
      </c>
      <c r="D184" t="inlineStr">
        <is>
          <t>日均LUM</t>
        </is>
      </c>
      <c r="K184" t="inlineStr">
        <is>
          <t>是</t>
        </is>
      </c>
      <c r="M184" t="inlineStr">
        <is>
          <t>05.02.09.02.010</t>
        </is>
      </c>
      <c r="N184" t="inlineStr">
        <is>
          <t>SUM</t>
        </is>
      </c>
    </row>
    <row r="185">
      <c r="A185" t="inlineStr">
        <is>
          <t>五级</t>
        </is>
      </c>
      <c r="B185" t="inlineStr">
        <is>
          <t>支出</t>
        </is>
      </c>
      <c r="C185" t="inlineStr">
        <is>
          <t>A04.90.03.09.02.011</t>
        </is>
      </c>
      <c r="D185" t="inlineStr">
        <is>
          <t>日均AuM</t>
        </is>
      </c>
      <c r="K185" t="inlineStr">
        <is>
          <t>是</t>
        </is>
      </c>
      <c r="M185" t="inlineStr">
        <is>
          <t>05.02.09.02.011</t>
        </is>
      </c>
      <c r="N185" t="inlineStr">
        <is>
          <t>SUM</t>
        </is>
      </c>
    </row>
    <row r="186">
      <c r="A186" t="inlineStr">
        <is>
          <t>五级</t>
        </is>
      </c>
      <c r="B186" t="inlineStr">
        <is>
          <t>支出</t>
        </is>
      </c>
      <c r="C186" t="inlineStr">
        <is>
          <t>A04.90.03.09.02.101</t>
        </is>
      </c>
      <c r="D186" t="inlineStr">
        <is>
          <t>LUM规模</t>
        </is>
      </c>
      <c r="F186" t="inlineStr">
        <is>
          <t>A04.90.03.09.02.001+A04.90.03.09.02.002+A04.90.03.09.02.005+A04.90.03.09.02.006+A04.90.03.09.02.010</t>
        </is>
      </c>
      <c r="K186" t="inlineStr">
        <is>
          <t>是</t>
        </is>
      </c>
      <c r="M186" t="inlineStr">
        <is>
          <t>05.02.09.02.101</t>
        </is>
      </c>
    </row>
    <row r="187">
      <c r="A187" t="inlineStr">
        <is>
          <t>五级</t>
        </is>
      </c>
      <c r="B187" t="inlineStr">
        <is>
          <t>支出</t>
        </is>
      </c>
      <c r="C187" t="inlineStr">
        <is>
          <t>A04.90.03.09.02.102</t>
        </is>
      </c>
      <c r="D187" t="inlineStr">
        <is>
          <t>AuM规模</t>
        </is>
      </c>
      <c r="F187" t="inlineStr">
        <is>
          <t>A04.90.03.09.02.007+A04.90.03.09.02.008+A04.90.03.09.02.011</t>
        </is>
      </c>
      <c r="K187" t="inlineStr">
        <is>
          <t>是</t>
        </is>
      </c>
      <c r="M187" t="inlineStr">
        <is>
          <t>05.02.09.02.102</t>
        </is>
      </c>
    </row>
    <row r="188">
      <c r="A188" t="inlineStr">
        <is>
          <t>五级</t>
        </is>
      </c>
      <c r="B188" t="inlineStr">
        <is>
          <t>支出</t>
        </is>
      </c>
      <c r="C188" t="inlineStr">
        <is>
          <t>A04.90.03.09.02.103</t>
        </is>
      </c>
      <c r="D188" t="inlineStr">
        <is>
          <t>客户数量</t>
        </is>
      </c>
      <c r="F188" t="inlineStr">
        <is>
          <t>A04.90.03.09.02.003+A04.90.03.09.02.004+A04.90.03.09.02.009</t>
        </is>
      </c>
      <c r="K188" t="inlineStr">
        <is>
          <t>是</t>
        </is>
      </c>
      <c r="M188" t="inlineStr">
        <is>
          <t>05.02.09.02.103</t>
        </is>
      </c>
    </row>
    <row r="189">
      <c r="A189" t="inlineStr">
        <is>
          <t>四级</t>
        </is>
      </c>
      <c r="B189" t="inlineStr">
        <is>
          <t>支出</t>
        </is>
      </c>
      <c r="C189" t="inlineStr">
        <is>
          <t>A04.90.03.09.03</t>
        </is>
      </c>
      <c r="D189" t="inlineStr">
        <is>
          <t>客户回收与催收</t>
        </is>
      </c>
      <c r="F189" t="inlineStr">
        <is>
          <t>A04.90.03.09.03.001+A04.90.03.09.03.002+A04.90.03.09.03.003</t>
        </is>
      </c>
      <c r="K189" t="inlineStr">
        <is>
          <t>是</t>
        </is>
      </c>
      <c r="M189" t="inlineStr">
        <is>
          <t>05.02.09.03</t>
        </is>
      </c>
    </row>
    <row r="190">
      <c r="A190" t="inlineStr">
        <is>
          <t>五级</t>
        </is>
      </c>
      <c r="B190" t="inlineStr">
        <is>
          <t>支出</t>
        </is>
      </c>
      <c r="C190" t="inlineStr">
        <is>
          <t>A04.90.03.09.03.001</t>
        </is>
      </c>
      <c r="D190" t="inlineStr">
        <is>
          <t>内催回收额</t>
        </is>
      </c>
      <c r="K190" t="inlineStr">
        <is>
          <t>是</t>
        </is>
      </c>
      <c r="M190" t="inlineStr">
        <is>
          <t>05.02.09.03.001</t>
        </is>
      </c>
      <c r="N190" t="inlineStr">
        <is>
          <t>SUM</t>
        </is>
      </c>
    </row>
    <row r="191">
      <c r="A191" t="inlineStr">
        <is>
          <t>五级</t>
        </is>
      </c>
      <c r="B191" t="inlineStr">
        <is>
          <t>支出</t>
        </is>
      </c>
      <c r="C191" t="inlineStr">
        <is>
          <t>A04.90.03.09.03.002</t>
        </is>
      </c>
      <c r="D191" t="inlineStr">
        <is>
          <t>M6-压降金额</t>
        </is>
      </c>
      <c r="K191" t="inlineStr">
        <is>
          <t>是</t>
        </is>
      </c>
      <c r="M191" t="inlineStr">
        <is>
          <t>05.02.09.03.002</t>
        </is>
      </c>
      <c r="N191" t="inlineStr">
        <is>
          <t>SUM</t>
        </is>
      </c>
    </row>
    <row r="192">
      <c r="A192" t="inlineStr">
        <is>
          <t>五级</t>
        </is>
      </c>
      <c r="B192" t="inlineStr">
        <is>
          <t>支出</t>
        </is>
      </c>
      <c r="C192" t="inlineStr">
        <is>
          <t>A04.90.03.09.03.003</t>
        </is>
      </c>
      <c r="D192" t="inlineStr">
        <is>
          <t>M7+现金回收额</t>
        </is>
      </c>
      <c r="K192" t="inlineStr">
        <is>
          <t>是</t>
        </is>
      </c>
      <c r="M192" t="inlineStr">
        <is>
          <t>05.02.09.03.003</t>
        </is>
      </c>
      <c r="N192" t="inlineStr">
        <is>
          <t>SUM</t>
        </is>
      </c>
    </row>
    <row r="193"/>
    <row r="194"/>
    <row r="195"/>
    <row r="196"/>
    <row r="197"/>
    <row r="198"/>
    <row r="199"/>
    <row r="200"/>
    <row r="201"/>
    <row r="202"/>
    <row r="20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155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 customHeight="1"/>
  <cols>
    <col width="8.66071428571429" customWidth="1" style="5" min="1" max="2"/>
    <col width="11" customWidth="1" style="5" min="3" max="3"/>
    <col width="17.5" customWidth="1" style="5" min="4" max="4"/>
    <col width="8.66071428571429" customWidth="1" style="5" min="5" max="9"/>
    <col width="10.1607142857143" customWidth="1" style="5" min="10" max="10"/>
    <col width="8.66071428571429" customWidth="1" style="5" min="11" max="16384"/>
  </cols>
  <sheetData>
    <row r="1" customFormat="1" s="1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3" t="inlineStr">
        <is>
          <t>录入粒度</t>
        </is>
      </c>
      <c r="F1" s="3" t="inlineStr">
        <is>
          <t>年预算公式</t>
        </is>
      </c>
      <c r="G1" s="3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6" t="n"/>
      <c r="O1" s="6" t="n"/>
      <c r="P1" t="inlineStr">
        <is>
          <t>规则</t>
        </is>
      </c>
    </row>
    <row r="2">
      <c r="A2" s="7" t="inlineStr">
        <is>
          <t>一级</t>
        </is>
      </c>
      <c r="B2" s="1" t="inlineStr">
        <is>
          <t>收入</t>
        </is>
      </c>
      <c r="C2" s="8" t="inlineStr">
        <is>
          <t>A05.01</t>
        </is>
      </c>
      <c r="D2" s="7" t="inlineStr">
        <is>
          <t>营业收入</t>
        </is>
      </c>
      <c r="F2" t="inlineStr">
        <is>
          <t>A05.01.01+A05.01.02+A05.01.03</t>
        </is>
      </c>
      <c r="H2" s="5">
        <f>H3+H6+H7</f>
        <v/>
      </c>
      <c r="I2" s="5">
        <f>I3+I6+I7</f>
        <v/>
      </c>
      <c r="M2" t="inlineStr">
        <is>
          <t>01</t>
        </is>
      </c>
    </row>
    <row r="3">
      <c r="A3" s="1" t="inlineStr">
        <is>
          <t>二级</t>
        </is>
      </c>
      <c r="B3" s="1" t="inlineStr">
        <is>
          <t>收入</t>
        </is>
      </c>
      <c r="C3" s="8" t="inlineStr">
        <is>
          <t>A05.01.01</t>
        </is>
      </c>
      <c r="D3" s="1" t="inlineStr">
        <is>
          <t xml:space="preserve">  利息净收入</t>
        </is>
      </c>
      <c r="F3" t="inlineStr">
        <is>
          <t>A05.01.01.01+A05.01.01.02</t>
        </is>
      </c>
      <c r="H3" s="5">
        <f>H4+H5</f>
        <v/>
      </c>
      <c r="I3" s="5">
        <f>I4+I5</f>
        <v/>
      </c>
      <c r="M3" t="inlineStr">
        <is>
          <t>01.01</t>
        </is>
      </c>
    </row>
    <row r="4">
      <c r="A4" s="1" t="inlineStr">
        <is>
          <t>三级</t>
        </is>
      </c>
      <c r="B4" s="1" t="inlineStr">
        <is>
          <t>收入</t>
        </is>
      </c>
      <c r="C4" s="9" t="inlineStr">
        <is>
          <t>A05.01.01.01</t>
        </is>
      </c>
      <c r="D4" s="1" t="inlineStr">
        <is>
          <t xml:space="preserve">    资产业务</t>
        </is>
      </c>
      <c r="H4" s="5">
        <f>H48-H52</f>
        <v/>
      </c>
      <c r="I4" s="5">
        <f>I48-I52</f>
        <v/>
      </c>
      <c r="M4" t="inlineStr">
        <is>
          <t>01.01.01</t>
        </is>
      </c>
      <c r="P4" t="inlineStr">
        <is>
          <t>SUM</t>
        </is>
      </c>
    </row>
    <row r="5">
      <c r="A5" s="1" t="inlineStr">
        <is>
          <t>三级</t>
        </is>
      </c>
      <c r="B5" s="1" t="inlineStr">
        <is>
          <t>收入</t>
        </is>
      </c>
      <c r="C5" s="9" t="inlineStr">
        <is>
          <t>A05.01.01.02</t>
        </is>
      </c>
      <c r="D5" s="1" t="inlineStr">
        <is>
          <t xml:space="preserve">    负债业务</t>
        </is>
      </c>
      <c r="H5" s="5">
        <f>H62-H58</f>
        <v/>
      </c>
      <c r="I5" s="5">
        <f>I62-I58</f>
        <v/>
      </c>
      <c r="M5" t="inlineStr">
        <is>
          <t>01.01.02</t>
        </is>
      </c>
      <c r="P5" t="inlineStr">
        <is>
          <t>SUM</t>
        </is>
      </c>
    </row>
    <row r="6">
      <c r="A6" s="1" t="inlineStr">
        <is>
          <t>二级</t>
        </is>
      </c>
      <c r="B6" s="1" t="inlineStr">
        <is>
          <t>收入</t>
        </is>
      </c>
      <c r="C6" s="8" t="inlineStr">
        <is>
          <t>A05.01.02</t>
        </is>
      </c>
      <c r="D6" s="1" t="inlineStr">
        <is>
          <t xml:space="preserve">  手续费净收入</t>
        </is>
      </c>
      <c r="H6" s="5">
        <f>H66-H69</f>
        <v/>
      </c>
      <c r="I6" s="5">
        <f>I66-I69</f>
        <v/>
      </c>
      <c r="M6" t="inlineStr">
        <is>
          <t>01.02</t>
        </is>
      </c>
      <c r="P6" t="inlineStr">
        <is>
          <t>SUM</t>
        </is>
      </c>
    </row>
    <row r="7">
      <c r="A7" s="1" t="inlineStr">
        <is>
          <t>二级</t>
        </is>
      </c>
      <c r="B7" s="1" t="inlineStr">
        <is>
          <t>收入</t>
        </is>
      </c>
      <c r="C7" s="8" t="inlineStr">
        <is>
          <t>A05.01.03</t>
        </is>
      </c>
      <c r="D7" s="1" t="inlineStr">
        <is>
          <t xml:space="preserve">  其他营收</t>
        </is>
      </c>
      <c r="H7" s="5">
        <f>H80+H82</f>
        <v/>
      </c>
      <c r="I7" s="5">
        <f>I80+I82</f>
        <v/>
      </c>
      <c r="M7" t="inlineStr">
        <is>
          <t>01.03</t>
        </is>
      </c>
      <c r="P7" t="inlineStr">
        <is>
          <t>SUM</t>
        </is>
      </c>
    </row>
    <row r="8">
      <c r="A8" s="7" t="inlineStr">
        <is>
          <t>一级</t>
        </is>
      </c>
      <c r="B8" s="1" t="inlineStr">
        <is>
          <t>支出</t>
        </is>
      </c>
      <c r="C8" s="8" t="inlineStr">
        <is>
          <t>A05.02</t>
        </is>
      </c>
      <c r="D8" s="7" t="inlineStr">
        <is>
          <t>减：风险成本</t>
        </is>
      </c>
      <c r="M8" t="inlineStr">
        <is>
          <t>02</t>
        </is>
      </c>
      <c r="P8" t="inlineStr">
        <is>
          <t>SUM</t>
        </is>
      </c>
    </row>
    <row r="9">
      <c r="A9" s="7" t="inlineStr">
        <is>
          <t>一级</t>
        </is>
      </c>
      <c r="B9" s="1" t="inlineStr">
        <is>
          <t>收入</t>
        </is>
      </c>
      <c r="C9" s="8" t="inlineStr">
        <is>
          <t>A05.03</t>
        </is>
      </c>
      <c r="D9" s="7" t="inlineStr">
        <is>
          <t>净收入</t>
        </is>
      </c>
      <c r="F9" t="inlineStr">
        <is>
          <t>A05.01-A05.02</t>
        </is>
      </c>
      <c r="H9" s="5">
        <f>H2-H8</f>
        <v/>
      </c>
      <c r="I9" s="5">
        <f>I2-I8</f>
        <v/>
      </c>
      <c r="M9" t="inlineStr">
        <is>
          <t>03</t>
        </is>
      </c>
    </row>
    <row r="10">
      <c r="A10" s="7" t="inlineStr">
        <is>
          <t>一级</t>
        </is>
      </c>
      <c r="B10" s="1" t="inlineStr">
        <is>
          <t>支出</t>
        </is>
      </c>
      <c r="C10" s="8" t="inlineStr">
        <is>
          <t>A05.04</t>
        </is>
      </c>
      <c r="D10" s="7" t="inlineStr">
        <is>
          <t>减：税金及附加</t>
        </is>
      </c>
      <c r="M10" t="inlineStr">
        <is>
          <t>04</t>
        </is>
      </c>
      <c r="P10" t="inlineStr">
        <is>
          <t>SUM</t>
        </is>
      </c>
    </row>
    <row r="11">
      <c r="A11" s="7" t="inlineStr">
        <is>
          <t>一级</t>
        </is>
      </c>
      <c r="B11" s="1" t="inlineStr">
        <is>
          <t>支出</t>
        </is>
      </c>
      <c r="C11" s="8" t="inlineStr">
        <is>
          <t>A05.05</t>
        </is>
      </c>
      <c r="D11" s="7" t="inlineStr">
        <is>
          <t>减：直接费用</t>
        </is>
      </c>
      <c r="F11" t="inlineStr">
        <is>
          <t>A05.90.01+A05.90.02+A05.90.03+A05.90.04+A05.90.05</t>
        </is>
      </c>
      <c r="H11" s="5">
        <f>H12+H15+H18+H25+H26</f>
        <v/>
      </c>
      <c r="I11" s="5">
        <f>I12+I15+I18+I25+I26</f>
        <v/>
      </c>
      <c r="K11" t="inlineStr">
        <is>
          <t>是</t>
        </is>
      </c>
      <c r="M11" t="inlineStr">
        <is>
          <t>05</t>
        </is>
      </c>
    </row>
    <row r="12">
      <c r="A12" s="1" t="inlineStr">
        <is>
          <t>二级</t>
        </is>
      </c>
      <c r="B12" s="1" t="inlineStr">
        <is>
          <t>支出</t>
        </is>
      </c>
      <c r="C12" s="8" t="inlineStr">
        <is>
          <t>A05.05.01</t>
        </is>
      </c>
      <c r="D12" s="1" t="inlineStr">
        <is>
          <t xml:space="preserve">  人力费用（不含IT）</t>
        </is>
      </c>
      <c r="F12" t="inlineStr">
        <is>
          <t>A05.90.01.01+A05.90.01.02</t>
        </is>
      </c>
      <c r="H12" s="5">
        <f>H13+H14</f>
        <v/>
      </c>
      <c r="I12" s="5">
        <f>I13+I14</f>
        <v/>
      </c>
      <c r="K12" t="inlineStr">
        <is>
          <t>是</t>
        </is>
      </c>
      <c r="M12" t="inlineStr">
        <is>
          <t>05.01</t>
        </is>
      </c>
    </row>
    <row r="13">
      <c r="A13" s="1" t="inlineStr">
        <is>
          <t>三级</t>
        </is>
      </c>
      <c r="B13" s="1" t="inlineStr">
        <is>
          <t>支出</t>
        </is>
      </c>
      <c r="C13" s="9" t="inlineStr">
        <is>
          <t>A05.05.01.01</t>
        </is>
      </c>
      <c r="D13" s="1" t="inlineStr">
        <is>
          <t xml:space="preserve">    常规人力</t>
        </is>
      </c>
      <c r="F13" t="inlineStr">
        <is>
          <t>A05.90.01.01.01+A05.90.01.01.02+A05.90.01.01.03+A05.90.01.01.04.001+A05.90.01.01.05.001</t>
        </is>
      </c>
      <c r="K13" t="inlineStr">
        <is>
          <t>是</t>
        </is>
      </c>
      <c r="M13" t="inlineStr">
        <is>
          <t>05.01.01</t>
        </is>
      </c>
    </row>
    <row r="14">
      <c r="A14" s="1" t="inlineStr">
        <is>
          <t>三级</t>
        </is>
      </c>
      <c r="B14" s="1" t="inlineStr">
        <is>
          <t>支出</t>
        </is>
      </c>
      <c r="C14" s="9" t="inlineStr">
        <is>
          <t>A05.05.01.02</t>
        </is>
      </c>
      <c r="D14" s="1" t="inlineStr">
        <is>
          <t xml:space="preserve">    特别人力</t>
        </is>
      </c>
      <c r="F14" t="inlineStr">
        <is>
          <t>A05.90.01.02.01+A05.90.01.02.02+A05.90.01.02.03+A05.90.01.02.04.001+A05.90.01.02.05.001</t>
        </is>
      </c>
      <c r="K14" t="inlineStr">
        <is>
          <t>是</t>
        </is>
      </c>
      <c r="M14" t="inlineStr">
        <is>
          <t>05.01.02</t>
        </is>
      </c>
    </row>
    <row r="15">
      <c r="A15" s="1" t="inlineStr">
        <is>
          <t>二级</t>
        </is>
      </c>
      <c r="B15" s="1" t="inlineStr">
        <is>
          <t>支出</t>
        </is>
      </c>
      <c r="C15" s="8" t="inlineStr">
        <is>
          <t>A05.05.02</t>
        </is>
      </c>
      <c r="D15" s="1" t="inlineStr">
        <is>
          <t xml:space="preserve">  业务费用</t>
        </is>
      </c>
      <c r="F15" t="inlineStr">
        <is>
          <t>A05.90.02.01+A05.90.02.02+A05.90.02.09</t>
        </is>
      </c>
      <c r="H15" s="5">
        <f>H16+H17</f>
        <v/>
      </c>
      <c r="I15" s="5">
        <f>I16+I17</f>
        <v/>
      </c>
      <c r="K15" t="inlineStr">
        <is>
          <t>是</t>
        </is>
      </c>
      <c r="M15" t="inlineStr">
        <is>
          <t>05.02</t>
        </is>
      </c>
    </row>
    <row r="16">
      <c r="A16" s="1" t="inlineStr">
        <is>
          <t>三级</t>
        </is>
      </c>
      <c r="B16" s="1" t="inlineStr">
        <is>
          <t>支出</t>
        </is>
      </c>
      <c r="C16" s="9" t="inlineStr">
        <is>
          <t>A05.05.02.01</t>
        </is>
      </c>
      <c r="D16" s="1" t="inlineStr">
        <is>
          <t xml:space="preserve">    营销费用</t>
        </is>
      </c>
      <c r="K16" t="inlineStr">
        <is>
          <t>是</t>
        </is>
      </c>
      <c r="M16" t="inlineStr">
        <is>
          <t>05.02.01</t>
        </is>
      </c>
      <c r="P16" t="inlineStr">
        <is>
          <t>SUM</t>
        </is>
      </c>
    </row>
    <row r="17">
      <c r="A17" s="1" t="inlineStr">
        <is>
          <t>三级</t>
        </is>
      </c>
      <c r="B17" s="1" t="inlineStr">
        <is>
          <t>支出</t>
        </is>
      </c>
      <c r="C17" s="9" t="inlineStr">
        <is>
          <t>A05.05.02.02</t>
        </is>
      </c>
      <c r="D17" s="1" t="inlineStr">
        <is>
          <t xml:space="preserve">    运营费用</t>
        </is>
      </c>
      <c r="K17" t="inlineStr">
        <is>
          <t>是</t>
        </is>
      </c>
      <c r="M17" t="inlineStr">
        <is>
          <t>05.02.02</t>
        </is>
      </c>
      <c r="P17" t="inlineStr">
        <is>
          <t>SUM</t>
        </is>
      </c>
    </row>
    <row r="18">
      <c r="A18" s="1" t="inlineStr">
        <is>
          <t>二级</t>
        </is>
      </c>
      <c r="B18" s="1" t="inlineStr">
        <is>
          <t>支出</t>
        </is>
      </c>
      <c r="C18" s="8" t="inlineStr">
        <is>
          <t>A05.05.03</t>
        </is>
      </c>
      <c r="D18" s="1" t="inlineStr">
        <is>
          <t xml:space="preserve">  IT费用</t>
        </is>
      </c>
      <c r="F18" t="inlineStr">
        <is>
          <t>A05.90.03.01+A05.90.03.02+A05.90.03.03+A05.90.03.04</t>
        </is>
      </c>
      <c r="H18" s="5">
        <f>H19+H22+H23+H24</f>
        <v/>
      </c>
      <c r="I18" s="5">
        <f>I19+I22+I23+I24</f>
        <v/>
      </c>
      <c r="K18" t="inlineStr">
        <is>
          <t>是</t>
        </is>
      </c>
      <c r="M18" t="inlineStr">
        <is>
          <t>05.03</t>
        </is>
      </c>
    </row>
    <row r="19">
      <c r="A19" s="1" t="inlineStr">
        <is>
          <t>三级</t>
        </is>
      </c>
      <c r="B19" s="1" t="inlineStr">
        <is>
          <t>支出</t>
        </is>
      </c>
      <c r="C19" s="9" t="inlineStr">
        <is>
          <t>A05.05.03.01</t>
        </is>
      </c>
      <c r="D19" s="1" t="inlineStr">
        <is>
          <t xml:space="preserve">    IT人力</t>
        </is>
      </c>
      <c r="F19" t="inlineStr">
        <is>
          <t>A05.90.03.01.01+A05.90.03.01.02</t>
        </is>
      </c>
      <c r="H19" s="5">
        <f>H20+H21</f>
        <v/>
      </c>
      <c r="I19" s="5">
        <f>I20+I21</f>
        <v/>
      </c>
      <c r="K19" t="inlineStr">
        <is>
          <t>是</t>
        </is>
      </c>
      <c r="M19" t="inlineStr">
        <is>
          <t>05.03.01</t>
        </is>
      </c>
    </row>
    <row r="20">
      <c r="A20" s="1" t="inlineStr">
        <is>
          <t>四级</t>
        </is>
      </c>
      <c r="B20" s="1" t="inlineStr">
        <is>
          <t>支出</t>
        </is>
      </c>
      <c r="C20" s="9" t="inlineStr">
        <is>
          <t>A05.05.03.01.01</t>
        </is>
      </c>
      <c r="D20" s="1" t="inlineStr">
        <is>
          <t xml:space="preserve">      IT常规人力</t>
        </is>
      </c>
      <c r="K20" t="inlineStr">
        <is>
          <t>是</t>
        </is>
      </c>
      <c r="M20" t="inlineStr">
        <is>
          <t>05.03.01.01</t>
        </is>
      </c>
      <c r="P20" t="inlineStr">
        <is>
          <t>SUM</t>
        </is>
      </c>
    </row>
    <row r="21">
      <c r="A21" s="1" t="inlineStr">
        <is>
          <t>四级</t>
        </is>
      </c>
      <c r="B21" s="1" t="inlineStr">
        <is>
          <t>支出</t>
        </is>
      </c>
      <c r="C21" s="9" t="inlineStr">
        <is>
          <t>A05.05.03.01.02</t>
        </is>
      </c>
      <c r="D21" s="1" t="inlineStr">
        <is>
          <t xml:space="preserve">      IT特别人力</t>
        </is>
      </c>
      <c r="K21" t="inlineStr">
        <is>
          <t>是</t>
        </is>
      </c>
      <c r="M21" t="inlineStr">
        <is>
          <t>05.03.01.02</t>
        </is>
      </c>
      <c r="P21" t="inlineStr">
        <is>
          <t>SUM</t>
        </is>
      </c>
    </row>
    <row r="22">
      <c r="A22" s="1" t="inlineStr">
        <is>
          <t>三级</t>
        </is>
      </c>
      <c r="B22" s="1" t="inlineStr">
        <is>
          <t>支出</t>
        </is>
      </c>
      <c r="C22" s="9" t="inlineStr">
        <is>
          <t>A05.05.03.02</t>
        </is>
      </c>
      <c r="D22" s="1" t="inlineStr">
        <is>
          <t xml:space="preserve">    科技费用</t>
        </is>
      </c>
      <c r="K22" t="inlineStr">
        <is>
          <t>是</t>
        </is>
      </c>
      <c r="M22" t="inlineStr">
        <is>
          <t>05.03.02</t>
        </is>
      </c>
      <c r="P22" t="inlineStr">
        <is>
          <t>SUM</t>
        </is>
      </c>
    </row>
    <row r="23">
      <c r="A23" s="1" t="inlineStr">
        <is>
          <t>三级</t>
        </is>
      </c>
      <c r="B23" s="1" t="inlineStr">
        <is>
          <t>支出</t>
        </is>
      </c>
      <c r="C23" s="9" t="inlineStr">
        <is>
          <t>A05.05.03.03</t>
        </is>
      </c>
      <c r="D23" s="1" t="inlineStr">
        <is>
          <t xml:space="preserve">    IT职场</t>
        </is>
      </c>
      <c r="K23" t="inlineStr">
        <is>
          <t>是</t>
        </is>
      </c>
      <c r="M23" t="inlineStr">
        <is>
          <t>05.03.03</t>
        </is>
      </c>
      <c r="P23" t="inlineStr">
        <is>
          <t>SUM</t>
        </is>
      </c>
    </row>
    <row r="24">
      <c r="A24" s="1" t="inlineStr">
        <is>
          <t>三级</t>
        </is>
      </c>
      <c r="B24" s="1" t="inlineStr">
        <is>
          <t>支出</t>
        </is>
      </c>
      <c r="C24" s="9" t="inlineStr">
        <is>
          <t>A05.05.03.04</t>
        </is>
      </c>
      <c r="D24" s="1" t="inlineStr">
        <is>
          <t xml:space="preserve">    IT日常</t>
        </is>
      </c>
      <c r="K24" t="inlineStr">
        <is>
          <t>是</t>
        </is>
      </c>
      <c r="M24" t="inlineStr">
        <is>
          <t>05.03.04</t>
        </is>
      </c>
      <c r="P24" t="inlineStr">
        <is>
          <t>SUM</t>
        </is>
      </c>
    </row>
    <row r="25">
      <c r="A25" s="1" t="inlineStr">
        <is>
          <t>二级</t>
        </is>
      </c>
      <c r="B25" s="1" t="inlineStr">
        <is>
          <t>支出</t>
        </is>
      </c>
      <c r="C25" s="8" t="inlineStr">
        <is>
          <t>A05.05.04</t>
        </is>
      </c>
      <c r="D25" s="1" t="inlineStr">
        <is>
          <t xml:space="preserve">  职场费用</t>
        </is>
      </c>
      <c r="K25" t="inlineStr">
        <is>
          <t>是</t>
        </is>
      </c>
      <c r="M25" t="inlineStr">
        <is>
          <t>05.04</t>
        </is>
      </c>
      <c r="P25" t="inlineStr">
        <is>
          <t>SUM</t>
        </is>
      </c>
    </row>
    <row r="26">
      <c r="A26" s="1" t="inlineStr">
        <is>
          <t>二级</t>
        </is>
      </c>
      <c r="B26" s="1" t="inlineStr">
        <is>
          <t>支出</t>
        </is>
      </c>
      <c r="C26" s="8" t="inlineStr">
        <is>
          <t>A05.05.05</t>
        </is>
      </c>
      <c r="D26" s="1" t="inlineStr">
        <is>
          <t xml:space="preserve">  日常费用</t>
        </is>
      </c>
      <c r="K26" t="inlineStr">
        <is>
          <t>是</t>
        </is>
      </c>
      <c r="M26" t="inlineStr">
        <is>
          <t>05.05</t>
        </is>
      </c>
      <c r="P26" t="inlineStr">
        <is>
          <t>SUM</t>
        </is>
      </c>
    </row>
    <row r="27">
      <c r="A27" s="7" t="inlineStr">
        <is>
          <t>一级</t>
        </is>
      </c>
      <c r="B27" s="1" t="inlineStr">
        <is>
          <t>收入</t>
        </is>
      </c>
      <c r="C27" s="8" t="inlineStr">
        <is>
          <t>A05.06</t>
        </is>
      </c>
      <c r="D27" s="7" t="inlineStr">
        <is>
          <t>加：营业外净收入</t>
        </is>
      </c>
      <c r="M27" t="inlineStr">
        <is>
          <t>06</t>
        </is>
      </c>
      <c r="P27" t="inlineStr">
        <is>
          <t>SUM</t>
        </is>
      </c>
    </row>
    <row r="28">
      <c r="A28" s="7" t="inlineStr">
        <is>
          <t>一级</t>
        </is>
      </c>
      <c r="B28" s="1" t="inlineStr">
        <is>
          <t>利润</t>
        </is>
      </c>
      <c r="C28" s="8" t="inlineStr">
        <is>
          <t>A05.07</t>
        </is>
      </c>
      <c r="D28" s="7" t="inlineStr">
        <is>
          <t>分摊前利润</t>
        </is>
      </c>
      <c r="F28" t="inlineStr">
        <is>
          <t>A05.03-A05.04-A05.90+A05.06</t>
        </is>
      </c>
      <c r="H28" s="5">
        <f>H9-H10-H11+H27</f>
        <v/>
      </c>
      <c r="I28" s="5">
        <f>I9-I10-I11+I27</f>
        <v/>
      </c>
      <c r="M28" t="inlineStr">
        <is>
          <t>07</t>
        </is>
      </c>
    </row>
    <row r="29">
      <c r="A29" s="7" t="inlineStr">
        <is>
          <t>一级</t>
        </is>
      </c>
      <c r="B29" s="1" t="inlineStr">
        <is>
          <t>支出</t>
        </is>
      </c>
      <c r="C29" s="8" t="inlineStr">
        <is>
          <t>A05.08</t>
        </is>
      </c>
      <c r="D29" s="7" t="inlineStr">
        <is>
          <t>减：固定管理费</t>
        </is>
      </c>
      <c r="M29" t="inlineStr">
        <is>
          <t>08</t>
        </is>
      </c>
      <c r="P29" t="inlineStr">
        <is>
          <t>SUM</t>
        </is>
      </c>
    </row>
    <row r="30">
      <c r="A30" s="7" t="inlineStr">
        <is>
          <t>一级</t>
        </is>
      </c>
      <c r="B30" s="1" t="inlineStr">
        <is>
          <t>利润</t>
        </is>
      </c>
      <c r="C30" s="8" t="inlineStr">
        <is>
          <t>A05.09</t>
        </is>
      </c>
      <c r="D30" s="7" t="inlineStr">
        <is>
          <t>税前利润</t>
        </is>
      </c>
      <c r="F30" t="inlineStr">
        <is>
          <t>A05.07-A05.08</t>
        </is>
      </c>
      <c r="H30" s="5">
        <f>H28-H29</f>
        <v/>
      </c>
      <c r="I30" s="5">
        <f>I28-I29</f>
        <v/>
      </c>
      <c r="M30" t="inlineStr">
        <is>
          <t>09</t>
        </is>
      </c>
    </row>
    <row r="31">
      <c r="A31" s="10" t="n"/>
      <c r="B31" s="10" t="n"/>
      <c r="C31" s="10" t="n"/>
      <c r="D31" s="10" t="n"/>
    </row>
    <row r="32">
      <c r="A32" s="1" t="inlineStr">
        <is>
          <t>一级</t>
        </is>
      </c>
      <c r="B32" s="1" t="inlineStr">
        <is>
          <t>资产余额</t>
        </is>
      </c>
      <c r="C32" s="11" t="inlineStr">
        <is>
          <t>A05.10</t>
        </is>
      </c>
      <c r="D32" s="10" t="inlineStr">
        <is>
          <t>管理贷款余额</t>
        </is>
      </c>
      <c r="F32" t="inlineStr">
        <is>
          <t>A05.10.01+A05.10.02+A05.10.03</t>
        </is>
      </c>
      <c r="H32" s="5">
        <f>H33+H35+H36</f>
        <v/>
      </c>
      <c r="I32" s="5">
        <f>I33+I35+I36</f>
        <v/>
      </c>
      <c r="M32" t="inlineStr">
        <is>
          <t>10</t>
        </is>
      </c>
    </row>
    <row r="33">
      <c r="A33" s="1" t="inlineStr">
        <is>
          <t>二级</t>
        </is>
      </c>
      <c r="B33" s="1" t="inlineStr">
        <is>
          <t>资产余额</t>
        </is>
      </c>
      <c r="C33" s="10" t="inlineStr">
        <is>
          <t>A05.10.01</t>
        </is>
      </c>
      <c r="D33" s="10" t="inlineStr">
        <is>
          <t xml:space="preserve">  自持</t>
        </is>
      </c>
      <c r="F33" t="inlineStr">
        <is>
          <t>A05.10.01.01</t>
        </is>
      </c>
      <c r="H33" s="5">
        <f>H34</f>
        <v/>
      </c>
      <c r="I33" s="5">
        <f>I34</f>
        <v/>
      </c>
      <c r="M33" t="inlineStr">
        <is>
          <t>10.01</t>
        </is>
      </c>
    </row>
    <row r="34">
      <c r="A34" s="1" t="inlineStr">
        <is>
          <t>三级</t>
        </is>
      </c>
      <c r="B34" s="1" t="inlineStr">
        <is>
          <t>资产余额</t>
        </is>
      </c>
      <c r="C34" s="10" t="inlineStr">
        <is>
          <t>A05.10.01.01</t>
        </is>
      </c>
      <c r="D34" s="10" t="inlineStr">
        <is>
          <t xml:space="preserve">    一般贷款</t>
        </is>
      </c>
      <c r="M34" t="inlineStr">
        <is>
          <t>10.01.01</t>
        </is>
      </c>
      <c r="P34" t="inlineStr">
        <is>
          <t>LAST</t>
        </is>
      </c>
    </row>
    <row r="35">
      <c r="A35" s="1" t="inlineStr">
        <is>
          <t>二级</t>
        </is>
      </c>
      <c r="B35" s="1" t="inlineStr">
        <is>
          <t>资产余额</t>
        </is>
      </c>
      <c r="C35" s="10" t="inlineStr">
        <is>
          <t>A05.10.02</t>
        </is>
      </c>
      <c r="D35" s="10" t="inlineStr">
        <is>
          <t xml:space="preserve">  联贷</t>
        </is>
      </c>
      <c r="M35" t="inlineStr">
        <is>
          <t>10.02</t>
        </is>
      </c>
      <c r="P35" t="inlineStr">
        <is>
          <t>LAST</t>
        </is>
      </c>
    </row>
    <row r="36">
      <c r="A36" s="1" t="inlineStr">
        <is>
          <t>二级</t>
        </is>
      </c>
      <c r="B36" s="1" t="inlineStr">
        <is>
          <t>资产余额</t>
        </is>
      </c>
      <c r="C36" s="10" t="inlineStr">
        <is>
          <t>A05.10.03</t>
        </is>
      </c>
      <c r="D36" s="10" t="inlineStr">
        <is>
          <t xml:space="preserve">  流转</t>
        </is>
      </c>
      <c r="M36" t="inlineStr">
        <is>
          <t>10.03</t>
        </is>
      </c>
      <c r="P36" t="inlineStr">
        <is>
          <t>LAST</t>
        </is>
      </c>
    </row>
    <row r="37">
      <c r="A37" s="1" t="inlineStr">
        <is>
          <t>一级</t>
        </is>
      </c>
      <c r="B37" s="1" t="inlineStr">
        <is>
          <t>资产日均</t>
        </is>
      </c>
      <c r="C37" s="11" t="inlineStr">
        <is>
          <t>A05.11</t>
        </is>
      </c>
      <c r="D37" s="10" t="inlineStr">
        <is>
          <t>管理贷款日均</t>
        </is>
      </c>
      <c r="F37" t="inlineStr">
        <is>
          <t>A05.11.01+A05.11.02+A05.11.03</t>
        </is>
      </c>
      <c r="H37" s="5">
        <f>H38+H40+H41</f>
        <v/>
      </c>
      <c r="I37" s="5">
        <f>I38+I40+I41</f>
        <v/>
      </c>
      <c r="M37" t="inlineStr">
        <is>
          <t>11</t>
        </is>
      </c>
    </row>
    <row r="38">
      <c r="A38" s="1" t="inlineStr">
        <is>
          <t>二级</t>
        </is>
      </c>
      <c r="B38" s="1" t="inlineStr">
        <is>
          <t>资产日均</t>
        </is>
      </c>
      <c r="C38" s="10" t="inlineStr">
        <is>
          <t>A05.11.01</t>
        </is>
      </c>
      <c r="D38" s="10" t="inlineStr">
        <is>
          <t xml:space="preserve">  自持</t>
        </is>
      </c>
      <c r="F38" t="inlineStr">
        <is>
          <t>A05.11.01.01</t>
        </is>
      </c>
      <c r="H38" s="5">
        <f>H39</f>
        <v/>
      </c>
      <c r="I38" s="5">
        <f>I39</f>
        <v/>
      </c>
      <c r="M38" t="inlineStr">
        <is>
          <t>11.01</t>
        </is>
      </c>
    </row>
    <row r="39">
      <c r="A39" s="1" t="inlineStr">
        <is>
          <t>三级</t>
        </is>
      </c>
      <c r="B39" s="7" t="inlineStr">
        <is>
          <t>资产日均</t>
        </is>
      </c>
      <c r="C39" s="10" t="inlineStr">
        <is>
          <t>A05.11.01.01</t>
        </is>
      </c>
      <c r="D39" s="10" t="inlineStr">
        <is>
          <t xml:space="preserve">    一般贷款</t>
        </is>
      </c>
      <c r="M39" t="inlineStr">
        <is>
          <t>11.01.01</t>
        </is>
      </c>
      <c r="P39" t="inlineStr">
        <is>
          <t>AVG</t>
        </is>
      </c>
    </row>
    <row r="40">
      <c r="A40" s="1" t="inlineStr">
        <is>
          <t>二级</t>
        </is>
      </c>
      <c r="B40" s="1" t="inlineStr">
        <is>
          <t>资产日均</t>
        </is>
      </c>
      <c r="C40" s="10" t="inlineStr">
        <is>
          <t>A05.11.02</t>
        </is>
      </c>
      <c r="D40" s="10" t="inlineStr">
        <is>
          <t xml:space="preserve">  联贷</t>
        </is>
      </c>
      <c r="M40" t="inlineStr">
        <is>
          <t>11.02</t>
        </is>
      </c>
      <c r="P40" t="inlineStr">
        <is>
          <t>AVG</t>
        </is>
      </c>
    </row>
    <row r="41">
      <c r="A41" s="1" t="inlineStr">
        <is>
          <t>二级</t>
        </is>
      </c>
      <c r="B41" s="1" t="inlineStr">
        <is>
          <t>资产日均</t>
        </is>
      </c>
      <c r="C41" s="10" t="inlineStr">
        <is>
          <t>A05.11.03</t>
        </is>
      </c>
      <c r="D41" s="10" t="inlineStr">
        <is>
          <t xml:space="preserve">  流转</t>
        </is>
      </c>
      <c r="M41" t="inlineStr">
        <is>
          <t>11.03</t>
        </is>
      </c>
      <c r="P41" t="inlineStr">
        <is>
          <t>AVG</t>
        </is>
      </c>
    </row>
    <row r="42">
      <c r="A42" s="1" t="n"/>
      <c r="B42" s="1" t="n"/>
      <c r="C42" s="10" t="n"/>
      <c r="D42" s="10" t="n"/>
    </row>
    <row r="43">
      <c r="A43" s="7" t="inlineStr">
        <is>
          <t>一级</t>
        </is>
      </c>
      <c r="B43" s="1" t="inlineStr">
        <is>
          <t>负债余额</t>
        </is>
      </c>
      <c r="C43" s="11" t="inlineStr">
        <is>
          <t>A05.12</t>
        </is>
      </c>
      <c r="D43" s="11" t="inlineStr">
        <is>
          <t>管理资产余额</t>
        </is>
      </c>
      <c r="F43" t="inlineStr">
        <is>
          <t>A05.12.01</t>
        </is>
      </c>
      <c r="H43" s="5">
        <f>H44</f>
        <v/>
      </c>
      <c r="I43" s="5">
        <f>I44</f>
        <v/>
      </c>
    </row>
    <row r="44">
      <c r="A44" s="7" t="inlineStr">
        <is>
          <t>二级</t>
        </is>
      </c>
      <c r="B44" s="1" t="inlineStr">
        <is>
          <t>负债余额</t>
        </is>
      </c>
      <c r="C44" s="11" t="inlineStr">
        <is>
          <t>A05.12.01</t>
        </is>
      </c>
      <c r="D44" s="11" t="inlineStr">
        <is>
          <t xml:space="preserve">  存款余额</t>
        </is>
      </c>
      <c r="P44" t="inlineStr">
        <is>
          <t>LAST</t>
        </is>
      </c>
    </row>
    <row r="45">
      <c r="A45" s="7" t="inlineStr">
        <is>
          <t>一级</t>
        </is>
      </c>
      <c r="B45" s="1" t="inlineStr">
        <is>
          <t>负债日均</t>
        </is>
      </c>
      <c r="C45" s="11" t="inlineStr">
        <is>
          <t>A05.13</t>
        </is>
      </c>
      <c r="D45" s="11" t="inlineStr">
        <is>
          <t>管理资产日均</t>
        </is>
      </c>
      <c r="F45" t="inlineStr">
        <is>
          <t>A05.13.01</t>
        </is>
      </c>
      <c r="H45" s="5">
        <f>H46</f>
        <v/>
      </c>
      <c r="I45" s="5">
        <f>I46</f>
        <v/>
      </c>
    </row>
    <row r="46">
      <c r="A46" s="7" t="inlineStr">
        <is>
          <t>二级</t>
        </is>
      </c>
      <c r="B46" s="1" t="inlineStr">
        <is>
          <t>负债日均</t>
        </is>
      </c>
      <c r="C46" s="11" t="inlineStr">
        <is>
          <t>A05.13.01</t>
        </is>
      </c>
      <c r="D46" s="11" t="inlineStr">
        <is>
          <t xml:space="preserve">  存款日均</t>
        </is>
      </c>
      <c r="P46" t="inlineStr">
        <is>
          <t>AVG</t>
        </is>
      </c>
    </row>
    <row r="47">
      <c r="A47" s="10" t="n"/>
      <c r="B47" s="10" t="n"/>
      <c r="C47" s="10" t="n"/>
      <c r="D47" s="10" t="n"/>
    </row>
    <row r="48">
      <c r="A48" s="11" t="inlineStr">
        <is>
          <t>一级</t>
        </is>
      </c>
      <c r="B48" s="11" t="inlineStr">
        <is>
          <t>收入</t>
        </is>
      </c>
      <c r="C48" s="11" t="inlineStr">
        <is>
          <t>A05.14</t>
        </is>
      </c>
      <c r="D48" s="11" t="inlineStr">
        <is>
          <t>利息收入</t>
        </is>
      </c>
      <c r="F48" t="inlineStr">
        <is>
          <t>A05.14.01</t>
        </is>
      </c>
      <c r="H48" s="5">
        <f>H49</f>
        <v/>
      </c>
      <c r="I48" s="5">
        <f>I49</f>
        <v/>
      </c>
      <c r="M48" t="inlineStr">
        <is>
          <t>14</t>
        </is>
      </c>
    </row>
    <row r="49">
      <c r="A49" s="11" t="inlineStr">
        <is>
          <t>二级</t>
        </is>
      </c>
      <c r="B49" s="11" t="inlineStr">
        <is>
          <t>收入</t>
        </is>
      </c>
      <c r="C49" s="11" t="inlineStr">
        <is>
          <t>A05.14.01</t>
        </is>
      </c>
      <c r="D49" s="11" t="inlineStr">
        <is>
          <t xml:space="preserve">  贷款利息收入</t>
        </is>
      </c>
      <c r="F49" t="inlineStr">
        <is>
          <t>A05.14.01.01</t>
        </is>
      </c>
      <c r="I49" s="5">
        <f>I38*I50</f>
        <v/>
      </c>
      <c r="J49" s="5" t="inlineStr">
        <is>
          <t>收支月化指标</t>
        </is>
      </c>
      <c r="M49" t="inlineStr">
        <is>
          <t>14.01</t>
        </is>
      </c>
    </row>
    <row r="50">
      <c r="A50" s="10" t="inlineStr">
        <is>
          <t>三级</t>
        </is>
      </c>
      <c r="B50" s="10" t="inlineStr">
        <is>
          <t>其他</t>
        </is>
      </c>
      <c r="C50" s="10" t="inlineStr">
        <is>
          <t>A05.14.01.01</t>
        </is>
      </c>
      <c r="D50" s="10" t="inlineStr">
        <is>
          <t xml:space="preserve">    贷款收息率</t>
        </is>
      </c>
      <c r="H50" s="5">
        <f>H49/H38</f>
        <v/>
      </c>
      <c r="J50" s="5" t="inlineStr">
        <is>
          <t>率年化指标</t>
        </is>
      </c>
      <c r="M50" t="inlineStr">
        <is>
          <t>14.01.01</t>
        </is>
      </c>
      <c r="P50" t="inlineStr">
        <is>
          <t>WGT</t>
        </is>
      </c>
    </row>
    <row r="51">
      <c r="A51" s="11" t="n"/>
      <c r="B51" s="11" t="n"/>
      <c r="C51" s="11" t="n"/>
      <c r="D51" s="11" t="n"/>
    </row>
    <row r="52">
      <c r="A52" s="11" t="inlineStr">
        <is>
          <t>一级</t>
        </is>
      </c>
      <c r="B52" s="11" t="inlineStr">
        <is>
          <t>支出</t>
        </is>
      </c>
      <c r="C52" s="11" t="inlineStr">
        <is>
          <t>A05.15</t>
        </is>
      </c>
      <c r="D52" s="11" t="inlineStr">
        <is>
          <t>FTP成本</t>
        </is>
      </c>
      <c r="F52" t="inlineStr">
        <is>
          <t>A05.15.01+A05.15.99</t>
        </is>
      </c>
      <c r="H52" s="5">
        <f>H53+H55</f>
        <v/>
      </c>
      <c r="I52" s="5">
        <f>I53+I55</f>
        <v/>
      </c>
      <c r="M52" t="inlineStr">
        <is>
          <t>15</t>
        </is>
      </c>
    </row>
    <row r="53">
      <c r="A53" s="11" t="inlineStr">
        <is>
          <t>二级</t>
        </is>
      </c>
      <c r="B53" s="11" t="inlineStr">
        <is>
          <t>支出</t>
        </is>
      </c>
      <c r="C53" s="11" t="inlineStr">
        <is>
          <t>A05.15.01</t>
        </is>
      </c>
      <c r="D53" s="11" t="inlineStr">
        <is>
          <t xml:space="preserve">  贷款FTP成本</t>
        </is>
      </c>
      <c r="F53" t="inlineStr">
        <is>
          <t>A05.15.01.01</t>
        </is>
      </c>
      <c r="I53" s="5">
        <f>I38*I54</f>
        <v/>
      </c>
      <c r="J53" s="5" t="inlineStr">
        <is>
          <t>收支月化指标</t>
        </is>
      </c>
      <c r="M53" t="inlineStr">
        <is>
          <t>15.01</t>
        </is>
      </c>
    </row>
    <row r="54">
      <c r="A54" s="10" t="inlineStr">
        <is>
          <t>三级</t>
        </is>
      </c>
      <c r="B54" s="10" t="inlineStr">
        <is>
          <t>其他</t>
        </is>
      </c>
      <c r="C54" s="10" t="inlineStr">
        <is>
          <t>A05.15.01.01</t>
        </is>
      </c>
      <c r="D54" s="10" t="inlineStr">
        <is>
          <t xml:space="preserve">    贷款FTP</t>
        </is>
      </c>
      <c r="H54" s="5">
        <f>H53/H38</f>
        <v/>
      </c>
      <c r="J54" s="5" t="inlineStr">
        <is>
          <t>率年化指标</t>
        </is>
      </c>
      <c r="M54" t="inlineStr">
        <is>
          <t>15.01.01</t>
        </is>
      </c>
      <c r="P54" t="inlineStr">
        <is>
          <t>WGT</t>
        </is>
      </c>
    </row>
    <row r="55">
      <c r="A55" s="11" t="inlineStr">
        <is>
          <t>二级</t>
        </is>
      </c>
      <c r="B55" s="11" t="inlineStr">
        <is>
          <t>支出</t>
        </is>
      </c>
      <c r="C55" s="11" t="inlineStr">
        <is>
          <t>A05.15.99</t>
        </is>
      </c>
      <c r="D55" s="11" t="inlineStr">
        <is>
          <t xml:space="preserve">  其他FTP成本</t>
        </is>
      </c>
      <c r="F55" t="inlineStr">
        <is>
          <t>A05.15.99.01</t>
        </is>
      </c>
      <c r="H55" s="5">
        <f>H56</f>
        <v/>
      </c>
      <c r="I55" s="5">
        <f>I56</f>
        <v/>
      </c>
      <c r="M55" t="inlineStr">
        <is>
          <t>15.99</t>
        </is>
      </c>
    </row>
    <row r="56">
      <c r="A56" s="10" t="inlineStr">
        <is>
          <t>三级</t>
        </is>
      </c>
      <c r="B56" s="10" t="inlineStr">
        <is>
          <t>支出</t>
        </is>
      </c>
      <c r="C56" s="10" t="inlineStr">
        <is>
          <t>A05.15.99.01</t>
        </is>
      </c>
      <c r="D56" s="10" t="inlineStr">
        <is>
          <t xml:space="preserve">    流动性备付FTP成本</t>
        </is>
      </c>
      <c r="M56" t="inlineStr">
        <is>
          <t>15.99.01</t>
        </is>
      </c>
      <c r="P56" t="inlineStr">
        <is>
          <t>SUM</t>
        </is>
      </c>
    </row>
    <row r="57">
      <c r="A57" s="10" t="n"/>
      <c r="B57" s="10" t="n"/>
      <c r="C57" s="10" t="n"/>
      <c r="D57" s="10" t="n"/>
    </row>
    <row r="58">
      <c r="A58" s="11" t="inlineStr">
        <is>
          <t>一级</t>
        </is>
      </c>
      <c r="B58" s="11" t="inlineStr">
        <is>
          <t>支出</t>
        </is>
      </c>
      <c r="C58" s="11" t="inlineStr">
        <is>
          <t>A05.16</t>
        </is>
      </c>
      <c r="D58" s="11" t="inlineStr">
        <is>
          <t>利息支出</t>
        </is>
      </c>
      <c r="E58" s="12" t="n"/>
      <c r="F58" s="12" t="inlineStr">
        <is>
          <t>A05.16.01</t>
        </is>
      </c>
      <c r="G58" s="12" t="n"/>
      <c r="H58" s="12">
        <f>H59</f>
        <v/>
      </c>
      <c r="I58" s="12">
        <f>I59</f>
        <v/>
      </c>
      <c r="J58" s="12" t="n"/>
      <c r="M58" t="inlineStr">
        <is>
          <t>16</t>
        </is>
      </c>
    </row>
    <row r="59">
      <c r="A59" s="11" t="inlineStr">
        <is>
          <t>二级</t>
        </is>
      </c>
      <c r="B59" s="11" t="inlineStr">
        <is>
          <t>支出</t>
        </is>
      </c>
      <c r="C59" s="11" t="inlineStr">
        <is>
          <t>A05.16.01</t>
        </is>
      </c>
      <c r="D59" s="11" t="inlineStr">
        <is>
          <t xml:space="preserve">  存款利息支出</t>
        </is>
      </c>
      <c r="F59" t="inlineStr">
        <is>
          <t>A05.16.01.01</t>
        </is>
      </c>
      <c r="I59" s="5">
        <f>I46*I60</f>
        <v/>
      </c>
      <c r="J59" s="5" t="inlineStr">
        <is>
          <t>收支月化指标</t>
        </is>
      </c>
      <c r="M59" t="inlineStr">
        <is>
          <t>16.01</t>
        </is>
      </c>
    </row>
    <row r="60">
      <c r="A60" s="10" t="inlineStr">
        <is>
          <t>三级</t>
        </is>
      </c>
      <c r="B60" s="10" t="inlineStr">
        <is>
          <t>其他</t>
        </is>
      </c>
      <c r="C60" s="10" t="inlineStr">
        <is>
          <t>A05.16.01.01</t>
        </is>
      </c>
      <c r="D60" s="10" t="inlineStr">
        <is>
          <t xml:space="preserve">    存款付息率</t>
        </is>
      </c>
      <c r="H60" s="5">
        <f>H59/H46</f>
        <v/>
      </c>
      <c r="J60" s="5" t="inlineStr">
        <is>
          <t>率年化指标</t>
        </is>
      </c>
      <c r="M60" t="inlineStr">
        <is>
          <t>16.01.01</t>
        </is>
      </c>
      <c r="P60" t="inlineStr">
        <is>
          <t>WGT</t>
        </is>
      </c>
    </row>
    <row r="61">
      <c r="A61" s="10" t="n"/>
      <c r="B61" s="10" t="n"/>
      <c r="C61" s="10" t="n"/>
      <c r="D61" s="10" t="n"/>
    </row>
    <row r="62">
      <c r="A62" s="11" t="inlineStr">
        <is>
          <t>一级</t>
        </is>
      </c>
      <c r="B62" s="11" t="inlineStr">
        <is>
          <t>收入</t>
        </is>
      </c>
      <c r="C62" s="11" t="inlineStr">
        <is>
          <t>A05.17</t>
        </is>
      </c>
      <c r="D62" s="11" t="inlineStr">
        <is>
          <t>FTP收入</t>
        </is>
      </c>
      <c r="E62" s="12" t="n"/>
      <c r="F62" s="12" t="inlineStr">
        <is>
          <t>A05.17.01</t>
        </is>
      </c>
      <c r="G62" s="12" t="n"/>
      <c r="H62" s="12">
        <f>H63</f>
        <v/>
      </c>
      <c r="I62" s="12">
        <f>I63</f>
        <v/>
      </c>
      <c r="J62" s="12" t="n"/>
      <c r="M62" t="inlineStr">
        <is>
          <t>17</t>
        </is>
      </c>
    </row>
    <row r="63">
      <c r="A63" s="11" t="inlineStr">
        <is>
          <t>二级</t>
        </is>
      </c>
      <c r="B63" s="11" t="inlineStr">
        <is>
          <t>收入</t>
        </is>
      </c>
      <c r="C63" s="11" t="inlineStr">
        <is>
          <t>A05.17.01</t>
        </is>
      </c>
      <c r="D63" s="11" t="inlineStr">
        <is>
          <t xml:space="preserve">  存款FTP收入</t>
        </is>
      </c>
      <c r="E63" s="12" t="n"/>
      <c r="F63" s="12" t="inlineStr">
        <is>
          <t>A05.17.01.01</t>
        </is>
      </c>
      <c r="G63" s="12" t="n"/>
      <c r="H63" s="12" t="n"/>
      <c r="I63" s="12">
        <f>I46*I64</f>
        <v/>
      </c>
      <c r="J63" s="12" t="inlineStr">
        <is>
          <t>收支月化指标</t>
        </is>
      </c>
      <c r="M63" t="inlineStr">
        <is>
          <t>17.01</t>
        </is>
      </c>
    </row>
    <row r="64">
      <c r="A64" s="10" t="inlineStr">
        <is>
          <t>三级</t>
        </is>
      </c>
      <c r="B64" s="10" t="inlineStr">
        <is>
          <t>其他</t>
        </is>
      </c>
      <c r="C64" s="10" t="inlineStr">
        <is>
          <t>A05.17.01.01</t>
        </is>
      </c>
      <c r="D64" s="10" t="inlineStr">
        <is>
          <t xml:space="preserve">    存款FTP</t>
        </is>
      </c>
      <c r="H64" s="5">
        <f>H63/H46</f>
        <v/>
      </c>
      <c r="J64" s="5" t="inlineStr">
        <is>
          <t>率年化指标</t>
        </is>
      </c>
      <c r="M64" t="inlineStr">
        <is>
          <t>17.01.01</t>
        </is>
      </c>
      <c r="P64" t="inlineStr">
        <is>
          <t>WGT</t>
        </is>
      </c>
    </row>
    <row r="65">
      <c r="A65" s="10" t="n"/>
      <c r="B65" s="10" t="n"/>
      <c r="C65" s="10" t="n"/>
      <c r="D65" s="10" t="n"/>
    </row>
    <row r="66">
      <c r="A66" s="11" t="inlineStr">
        <is>
          <t>一级</t>
        </is>
      </c>
      <c r="B66" s="11" t="inlineStr">
        <is>
          <t>收入</t>
        </is>
      </c>
      <c r="C66" s="11" t="inlineStr">
        <is>
          <t>A05.18</t>
        </is>
      </c>
      <c r="D66" s="11" t="inlineStr">
        <is>
          <t>手续费收入</t>
        </is>
      </c>
      <c r="F66" t="inlineStr">
        <is>
          <t>A05.18.99</t>
        </is>
      </c>
      <c r="I66" s="5">
        <f>I67</f>
        <v/>
      </c>
      <c r="M66" t="inlineStr">
        <is>
          <t>18</t>
        </is>
      </c>
    </row>
    <row r="67">
      <c r="A67" s="10" t="inlineStr">
        <is>
          <t>二级</t>
        </is>
      </c>
      <c r="B67" s="10" t="inlineStr">
        <is>
          <t>收入</t>
        </is>
      </c>
      <c r="C67" s="10" t="inlineStr">
        <is>
          <t>A05.18.99</t>
        </is>
      </c>
      <c r="D67" s="10" t="inlineStr">
        <is>
          <t xml:space="preserve">  手续费收入</t>
        </is>
      </c>
      <c r="H67" s="5">
        <f>H66</f>
        <v/>
      </c>
      <c r="M67" t="inlineStr">
        <is>
          <t>18.99</t>
        </is>
      </c>
      <c r="P67" t="inlineStr">
        <is>
          <t>SUM</t>
        </is>
      </c>
    </row>
    <row r="68">
      <c r="A68" s="10" t="n"/>
      <c r="B68" s="10" t="n"/>
      <c r="C68" s="10" t="n"/>
      <c r="D68" s="10" t="n"/>
    </row>
    <row r="69">
      <c r="A69" s="11" t="inlineStr">
        <is>
          <t>一级</t>
        </is>
      </c>
      <c r="B69" s="11" t="inlineStr">
        <is>
          <t>支出</t>
        </is>
      </c>
      <c r="C69" s="11" t="inlineStr">
        <is>
          <t>A05.19</t>
        </is>
      </c>
      <c r="D69" s="11" t="inlineStr">
        <is>
          <t>手续费支出</t>
        </is>
      </c>
      <c r="F69" t="inlineStr">
        <is>
          <t>A05.19.01+A05.19.02+A05.19.03+A05.19.13+A05.19.99</t>
        </is>
      </c>
      <c r="I69" s="5">
        <f>I70+I72+I74+I76+I78</f>
        <v/>
      </c>
      <c r="M69" t="inlineStr">
        <is>
          <t>19</t>
        </is>
      </c>
    </row>
    <row r="70">
      <c r="A70" s="11" t="inlineStr">
        <is>
          <t>二级</t>
        </is>
      </c>
      <c r="B70" s="11" t="inlineStr">
        <is>
          <t>支出</t>
        </is>
      </c>
      <c r="C70" s="11" t="inlineStr">
        <is>
          <t>A05.19.01</t>
        </is>
      </c>
      <c r="D70" s="11" t="inlineStr">
        <is>
          <t xml:space="preserve">  催收费</t>
        </is>
      </c>
      <c r="F70" t="inlineStr">
        <is>
          <t>A05.19.01.01</t>
        </is>
      </c>
      <c r="I70" s="5">
        <f>I37*I71</f>
        <v/>
      </c>
      <c r="J70" s="5" t="inlineStr">
        <is>
          <t>收支月化指标</t>
        </is>
      </c>
      <c r="M70" t="inlineStr">
        <is>
          <t>19.01</t>
        </is>
      </c>
    </row>
    <row r="71">
      <c r="A71" s="10" t="inlineStr">
        <is>
          <t>三级</t>
        </is>
      </c>
      <c r="B71" s="1" t="inlineStr">
        <is>
          <t>其他</t>
        </is>
      </c>
      <c r="C71" s="10" t="inlineStr">
        <is>
          <t>A05.19.01.01</t>
        </is>
      </c>
      <c r="D71" s="10" t="inlineStr">
        <is>
          <t xml:space="preserve">    费率</t>
        </is>
      </c>
      <c r="H71" s="5">
        <f>H70/H37</f>
        <v/>
      </c>
      <c r="J71" s="5" t="inlineStr">
        <is>
          <t>率年化指标</t>
        </is>
      </c>
      <c r="M71" t="inlineStr">
        <is>
          <t>19.01.01</t>
        </is>
      </c>
      <c r="P71" t="inlineStr">
        <is>
          <t>WGT</t>
        </is>
      </c>
    </row>
    <row r="72">
      <c r="A72" s="11" t="inlineStr">
        <is>
          <t>二级</t>
        </is>
      </c>
      <c r="B72" s="11" t="inlineStr">
        <is>
          <t>支出</t>
        </is>
      </c>
      <c r="C72" s="11" t="inlineStr">
        <is>
          <t>A05.19.02</t>
        </is>
      </c>
      <c r="D72" s="11" t="inlineStr">
        <is>
          <t xml:space="preserve">  征信费</t>
        </is>
      </c>
      <c r="F72" t="inlineStr">
        <is>
          <t>A05.19.02.01</t>
        </is>
      </c>
      <c r="I72" s="5">
        <f>I37*I73</f>
        <v/>
      </c>
      <c r="J72" s="5" t="inlineStr">
        <is>
          <t>收支月化指标</t>
        </is>
      </c>
      <c r="M72" t="inlineStr">
        <is>
          <t>19.02</t>
        </is>
      </c>
    </row>
    <row r="73">
      <c r="A73" s="10" t="inlineStr">
        <is>
          <t>三级</t>
        </is>
      </c>
      <c r="B73" s="1" t="inlineStr">
        <is>
          <t>其他</t>
        </is>
      </c>
      <c r="C73" s="10" t="inlineStr">
        <is>
          <t>A05.19.02.01</t>
        </is>
      </c>
      <c r="D73" s="10" t="inlineStr">
        <is>
          <t xml:space="preserve">    费率</t>
        </is>
      </c>
      <c r="H73" s="5">
        <f>H72/H37</f>
        <v/>
      </c>
      <c r="J73" s="5" t="inlineStr">
        <is>
          <t>率年化指标</t>
        </is>
      </c>
      <c r="M73" t="inlineStr">
        <is>
          <t>19.02.01</t>
        </is>
      </c>
      <c r="P73" t="inlineStr">
        <is>
          <t>WGT</t>
        </is>
      </c>
    </row>
    <row r="74">
      <c r="A74" s="11" t="inlineStr">
        <is>
          <t>二级</t>
        </is>
      </c>
      <c r="B74" s="11" t="inlineStr">
        <is>
          <t>支出</t>
        </is>
      </c>
      <c r="C74" s="11" t="inlineStr">
        <is>
          <t>A05.19.03</t>
        </is>
      </c>
      <c r="D74" s="11" t="inlineStr">
        <is>
          <t xml:space="preserve">  清算费</t>
        </is>
      </c>
      <c r="F74" t="inlineStr">
        <is>
          <t>A05.19.03.01</t>
        </is>
      </c>
      <c r="I74" s="5">
        <f>I37*I75</f>
        <v/>
      </c>
      <c r="J74" s="5" t="inlineStr">
        <is>
          <t>收支月化指标</t>
        </is>
      </c>
      <c r="M74" t="inlineStr">
        <is>
          <t>19.03</t>
        </is>
      </c>
    </row>
    <row r="75">
      <c r="A75" s="10" t="inlineStr">
        <is>
          <t>三级</t>
        </is>
      </c>
      <c r="B75" s="1" t="inlineStr">
        <is>
          <t>其他</t>
        </is>
      </c>
      <c r="C75" s="10" t="inlineStr">
        <is>
          <t>A05.19.03.01</t>
        </is>
      </c>
      <c r="D75" s="10" t="inlineStr">
        <is>
          <t xml:space="preserve">    费率</t>
        </is>
      </c>
      <c r="H75" s="5">
        <f>H74/H37</f>
        <v/>
      </c>
      <c r="J75" s="5" t="inlineStr">
        <is>
          <t>率年化指标</t>
        </is>
      </c>
      <c r="M75" t="inlineStr">
        <is>
          <t>19.03.01</t>
        </is>
      </c>
      <c r="P75" t="inlineStr">
        <is>
          <t>WGT</t>
        </is>
      </c>
    </row>
    <row r="76">
      <c r="A76" s="11" t="inlineStr">
        <is>
          <t>二级</t>
        </is>
      </c>
      <c r="B76" s="11" t="inlineStr">
        <is>
          <t>支出</t>
        </is>
      </c>
      <c r="C76" s="11" t="inlineStr">
        <is>
          <t>A05.19.13</t>
        </is>
      </c>
      <c r="D76" s="11" t="inlineStr">
        <is>
          <t xml:space="preserve">  渠道费</t>
        </is>
      </c>
      <c r="F76" t="inlineStr">
        <is>
          <t>A05.19.13.01</t>
        </is>
      </c>
      <c r="I76" s="5">
        <f>I37*I77</f>
        <v/>
      </c>
      <c r="J76" s="5" t="inlineStr">
        <is>
          <t>收支月化指标</t>
        </is>
      </c>
      <c r="M76" t="inlineStr">
        <is>
          <t>19.13</t>
        </is>
      </c>
    </row>
    <row r="77">
      <c r="A77" s="10" t="inlineStr">
        <is>
          <t>三级</t>
        </is>
      </c>
      <c r="B77" s="1" t="inlineStr">
        <is>
          <t>其他</t>
        </is>
      </c>
      <c r="C77" s="10" t="inlineStr">
        <is>
          <t>A05.19.13.01</t>
        </is>
      </c>
      <c r="D77" s="10" t="inlineStr">
        <is>
          <t xml:space="preserve">    渠道费率</t>
        </is>
      </c>
      <c r="H77" s="5">
        <f>H76/H37</f>
        <v/>
      </c>
      <c r="J77" s="5" t="inlineStr">
        <is>
          <t>率年化指标</t>
        </is>
      </c>
      <c r="M77" t="inlineStr">
        <is>
          <t>19.13.01</t>
        </is>
      </c>
      <c r="P77" t="inlineStr">
        <is>
          <t>WGT</t>
        </is>
      </c>
    </row>
    <row r="78">
      <c r="A78" s="11" t="inlineStr">
        <is>
          <t>二级</t>
        </is>
      </c>
      <c r="B78" s="11" t="inlineStr">
        <is>
          <t>支出</t>
        </is>
      </c>
      <c r="C78" s="11" t="inlineStr">
        <is>
          <t>A05.19.99</t>
        </is>
      </c>
      <c r="D78" s="11" t="inlineStr">
        <is>
          <t xml:space="preserve">  其他</t>
        </is>
      </c>
      <c r="H78" s="5">
        <f>H69-H70-H72-H74-H76</f>
        <v/>
      </c>
      <c r="M78" t="inlineStr">
        <is>
          <t>19.99</t>
        </is>
      </c>
      <c r="P78" t="inlineStr">
        <is>
          <t>SUM</t>
        </is>
      </c>
    </row>
    <row r="79">
      <c r="A79" s="10" t="n"/>
      <c r="B79" s="10" t="n"/>
      <c r="C79" s="10" t="n"/>
      <c r="D79" s="10" t="n"/>
    </row>
    <row r="80">
      <c r="A80" s="11" t="inlineStr">
        <is>
          <t>一级</t>
        </is>
      </c>
      <c r="B80" s="11" t="inlineStr">
        <is>
          <t>收入</t>
        </is>
      </c>
      <c r="C80" s="11" t="inlineStr">
        <is>
          <t>A05.20</t>
        </is>
      </c>
      <c r="D80" s="11" t="inlineStr">
        <is>
          <t>其他外部营收</t>
        </is>
      </c>
      <c r="M80" t="inlineStr">
        <is>
          <t>20</t>
        </is>
      </c>
      <c r="P80" t="inlineStr">
        <is>
          <t>SUM</t>
        </is>
      </c>
    </row>
    <row r="81">
      <c r="A81" s="10" t="n"/>
      <c r="B81" s="10" t="n"/>
      <c r="C81" s="10" t="n"/>
      <c r="D81" s="10" t="n"/>
    </row>
    <row r="82">
      <c r="A82" s="11" t="inlineStr">
        <is>
          <t>一级</t>
        </is>
      </c>
      <c r="B82" s="11" t="inlineStr">
        <is>
          <t>收入</t>
        </is>
      </c>
      <c r="C82" s="11" t="inlineStr">
        <is>
          <t>A05.21</t>
        </is>
      </c>
      <c r="D82" s="11" t="inlineStr">
        <is>
          <t>内部营业净收入</t>
        </is>
      </c>
      <c r="M82" t="inlineStr">
        <is>
          <t>21</t>
        </is>
      </c>
      <c r="P82" t="inlineStr">
        <is>
          <t>SUM</t>
        </is>
      </c>
    </row>
    <row r="83">
      <c r="A83" s="10" t="n"/>
      <c r="B83" s="10" t="n"/>
      <c r="C83" s="10" t="n"/>
      <c r="D83" s="10" t="n"/>
    </row>
    <row r="84"/>
    <row r="85">
      <c r="A85" t="inlineStr">
        <is>
          <t>层级</t>
        </is>
      </c>
      <c r="B85" t="inlineStr">
        <is>
          <t>性质</t>
        </is>
      </c>
      <c r="C85" t="inlineStr">
        <is>
          <t>科目代码</t>
        </is>
      </c>
      <c r="D85" t="inlineStr">
        <is>
          <t>科目名称</t>
        </is>
      </c>
      <c r="E85" t="inlineStr">
        <is>
          <t>录入粒度</t>
        </is>
      </c>
      <c r="F85" t="inlineStr">
        <is>
          <t>年预算公式</t>
        </is>
      </c>
      <c r="J85" t="inlineStr">
        <is>
          <t>公式说明</t>
        </is>
      </c>
      <c r="K85" t="inlineStr">
        <is>
          <t>横向汇总</t>
        </is>
      </c>
    </row>
    <row r="86">
      <c r="A86" t="inlineStr">
        <is>
          <t>一级</t>
        </is>
      </c>
      <c r="B86" t="inlineStr">
        <is>
          <t>支出</t>
        </is>
      </c>
      <c r="C86" t="inlineStr">
        <is>
          <t>A05.90</t>
        </is>
      </c>
      <c r="D86" t="inlineStr">
        <is>
          <t>减:业务及管理费</t>
        </is>
      </c>
      <c r="F86" t="inlineStr">
        <is>
          <t>A05.90.01+A05.90.03</t>
        </is>
      </c>
      <c r="K86" t="inlineStr">
        <is>
          <t>是</t>
        </is>
      </c>
      <c r="M86" t="inlineStr">
        <is>
          <t>05</t>
        </is>
      </c>
    </row>
    <row r="87">
      <c r="A87" t="inlineStr">
        <is>
          <t>二级</t>
        </is>
      </c>
      <c r="B87" t="inlineStr">
        <is>
          <t>支出</t>
        </is>
      </c>
      <c r="C87" t="inlineStr">
        <is>
          <t>A05.90.01</t>
        </is>
      </c>
      <c r="D87" t="inlineStr">
        <is>
          <t>直接费用</t>
        </is>
      </c>
      <c r="F87" t="inlineStr">
        <is>
          <t>A05.90.01.01+A05.90.01.02</t>
        </is>
      </c>
      <c r="K87" t="inlineStr">
        <is>
          <t>是</t>
        </is>
      </c>
      <c r="M87" t="inlineStr">
        <is>
          <t>05.01</t>
        </is>
      </c>
    </row>
    <row r="88">
      <c r="A88" t="inlineStr">
        <is>
          <t>三级</t>
        </is>
      </c>
      <c r="B88" t="inlineStr">
        <is>
          <t>支出</t>
        </is>
      </c>
      <c r="C88" t="inlineStr">
        <is>
          <t>A05.90.01.01</t>
        </is>
      </c>
      <c r="D88" t="inlineStr">
        <is>
          <t>直接费用</t>
        </is>
      </c>
      <c r="F88" t="inlineStr">
        <is>
          <t>A05.90.01.01.01+A05.90.01.01.02+A05.90.01.01.03+A05.90.01.01.04.001+A05.90.01.01.05.001</t>
        </is>
      </c>
      <c r="K88" t="inlineStr">
        <is>
          <t>是</t>
        </is>
      </c>
      <c r="M88" t="inlineStr">
        <is>
          <t>05.01.01</t>
        </is>
      </c>
    </row>
    <row r="89">
      <c r="A89" t="inlineStr">
        <is>
          <t>四级</t>
        </is>
      </c>
      <c r="B89" t="inlineStr">
        <is>
          <t>支出</t>
        </is>
      </c>
      <c r="C89" t="inlineStr">
        <is>
          <t>A05.90.01.01.01</t>
        </is>
      </c>
      <c r="D89" t="inlineStr">
        <is>
          <t>人力（不含IT)</t>
        </is>
      </c>
      <c r="F89" t="inlineStr">
        <is>
          <t>A05.90.01.01.01.001+A05.90.01.01.01.002</t>
        </is>
      </c>
      <c r="K89" t="inlineStr">
        <is>
          <t>是</t>
        </is>
      </c>
      <c r="M89" t="inlineStr">
        <is>
          <t>05.01.01.01</t>
        </is>
      </c>
    </row>
    <row r="90">
      <c r="A90" t="inlineStr">
        <is>
          <t>五级</t>
        </is>
      </c>
      <c r="B90" t="inlineStr">
        <is>
          <t>支出</t>
        </is>
      </c>
      <c r="C90" t="inlineStr">
        <is>
          <t>A05.90.01.01.01.001</t>
        </is>
      </c>
      <c r="D90" t="inlineStr">
        <is>
          <t>业务人力</t>
        </is>
      </c>
      <c r="K90" t="inlineStr">
        <is>
          <t>是</t>
        </is>
      </c>
      <c r="M90" t="inlineStr">
        <is>
          <t>05.01.01.01.001</t>
        </is>
      </c>
      <c r="N90" t="inlineStr">
        <is>
          <t>SUM</t>
        </is>
      </c>
    </row>
    <row r="91">
      <c r="A91" t="inlineStr">
        <is>
          <t>五级</t>
        </is>
      </c>
      <c r="B91" t="inlineStr">
        <is>
          <t>支出</t>
        </is>
      </c>
      <c r="C91" t="inlineStr">
        <is>
          <t>A05.90.01.01.01.002</t>
        </is>
      </c>
      <c r="D91" t="inlineStr">
        <is>
          <t>特别人力</t>
        </is>
      </c>
      <c r="K91" t="inlineStr">
        <is>
          <t>是</t>
        </is>
      </c>
      <c r="M91" t="inlineStr">
        <is>
          <t>05.01.01.01.002</t>
        </is>
      </c>
      <c r="N91" t="inlineStr">
        <is>
          <t>SUM</t>
        </is>
      </c>
    </row>
    <row r="92">
      <c r="A92" t="inlineStr">
        <is>
          <t>四级</t>
        </is>
      </c>
      <c r="B92" t="inlineStr">
        <is>
          <t>支出</t>
        </is>
      </c>
      <c r="C92" t="inlineStr">
        <is>
          <t>A05.90.01.01.02</t>
        </is>
      </c>
      <c r="D92" t="inlineStr">
        <is>
          <t>业务费用</t>
        </is>
      </c>
      <c r="F92" t="inlineStr">
        <is>
          <t>A05.90.01.01.02.001+A05.90.01.01.02.002</t>
        </is>
      </c>
      <c r="K92" t="inlineStr">
        <is>
          <t>是</t>
        </is>
      </c>
      <c r="M92" t="inlineStr">
        <is>
          <t>05.01.01.02</t>
        </is>
      </c>
    </row>
    <row r="93">
      <c r="A93" t="inlineStr">
        <is>
          <t>五级</t>
        </is>
      </c>
      <c r="B93" t="inlineStr">
        <is>
          <t>支出</t>
        </is>
      </c>
      <c r="C93" t="inlineStr">
        <is>
          <t>A05.90.01.01.02.001</t>
        </is>
      </c>
      <c r="D93" t="inlineStr">
        <is>
          <t>营销</t>
        </is>
      </c>
      <c r="K93" t="inlineStr">
        <is>
          <t>是</t>
        </is>
      </c>
      <c r="M93" t="inlineStr">
        <is>
          <t>05.01.01.02.001</t>
        </is>
      </c>
      <c r="N93" t="inlineStr">
        <is>
          <t>SUM</t>
        </is>
      </c>
    </row>
    <row r="94">
      <c r="A94" t="inlineStr">
        <is>
          <t>五级</t>
        </is>
      </c>
      <c r="B94" t="inlineStr">
        <is>
          <t>支出</t>
        </is>
      </c>
      <c r="C94" t="inlineStr">
        <is>
          <t>A05.90.01.01.02.002</t>
        </is>
      </c>
      <c r="D94" t="inlineStr">
        <is>
          <t>运营</t>
        </is>
      </c>
      <c r="K94" t="inlineStr">
        <is>
          <t>是</t>
        </is>
      </c>
      <c r="M94" t="inlineStr">
        <is>
          <t>05.01.01.02.002</t>
        </is>
      </c>
      <c r="N94" t="inlineStr">
        <is>
          <t>SUM</t>
        </is>
      </c>
    </row>
    <row r="95">
      <c r="A95" t="inlineStr">
        <is>
          <t>四级</t>
        </is>
      </c>
      <c r="B95" t="inlineStr">
        <is>
          <t>支出</t>
        </is>
      </c>
      <c r="C95" t="inlineStr">
        <is>
          <t>A05.90.01.01.03</t>
        </is>
      </c>
      <c r="D95" t="inlineStr">
        <is>
          <t>IT</t>
        </is>
      </c>
      <c r="F95" t="inlineStr">
        <is>
          <t>A05.90.01.01.03.01+A05.90.01.01.03.02.001+A05.90.01.01.03.03.001+A05.90.01.01.03.04.001</t>
        </is>
      </c>
      <c r="K95" t="inlineStr">
        <is>
          <t>是</t>
        </is>
      </c>
      <c r="M95" t="inlineStr">
        <is>
          <t>05.01.01.03</t>
        </is>
      </c>
    </row>
    <row r="96">
      <c r="A96" t="inlineStr">
        <is>
          <t>五级</t>
        </is>
      </c>
      <c r="B96" t="inlineStr">
        <is>
          <t>支出</t>
        </is>
      </c>
      <c r="C96" t="inlineStr">
        <is>
          <t>A05.90.01.01.03.01</t>
        </is>
      </c>
      <c r="D96" t="inlineStr">
        <is>
          <t>IT人力</t>
        </is>
      </c>
      <c r="F96" t="inlineStr">
        <is>
          <t>A05.90.01.01.03.01.001+A05.90.01.01.03.01.002</t>
        </is>
      </c>
      <c r="K96" t="inlineStr">
        <is>
          <t>是</t>
        </is>
      </c>
      <c r="M96" t="inlineStr">
        <is>
          <t>05.01.01.03.01</t>
        </is>
      </c>
    </row>
    <row r="97">
      <c r="A97" t="inlineStr">
        <is>
          <t>六级</t>
        </is>
      </c>
      <c r="B97" t="inlineStr">
        <is>
          <t>支出</t>
        </is>
      </c>
      <c r="C97" t="inlineStr">
        <is>
          <t>A05.90.01.01.03.01.001</t>
        </is>
      </c>
      <c r="D97" t="inlineStr">
        <is>
          <t>IT常规人力</t>
        </is>
      </c>
      <c r="K97" t="inlineStr">
        <is>
          <t>是</t>
        </is>
      </c>
      <c r="M97" t="inlineStr">
        <is>
          <t>05.01.01.03.01.001</t>
        </is>
      </c>
      <c r="N97" t="inlineStr">
        <is>
          <t>SUM</t>
        </is>
      </c>
    </row>
    <row r="98">
      <c r="A98" t="inlineStr">
        <is>
          <t>六级</t>
        </is>
      </c>
      <c r="B98" t="inlineStr">
        <is>
          <t>支出</t>
        </is>
      </c>
      <c r="C98" t="inlineStr">
        <is>
          <t>A05.90.01.01.03.01.002</t>
        </is>
      </c>
      <c r="D98" t="inlineStr">
        <is>
          <t>IT特别人力</t>
        </is>
      </c>
      <c r="K98" t="inlineStr">
        <is>
          <t>是</t>
        </is>
      </c>
      <c r="M98" t="inlineStr">
        <is>
          <t>05.01.01.03.01.002</t>
        </is>
      </c>
      <c r="N98" t="inlineStr">
        <is>
          <t>SUM</t>
        </is>
      </c>
    </row>
    <row r="99">
      <c r="A99" t="inlineStr">
        <is>
          <t>五级</t>
        </is>
      </c>
      <c r="B99" t="inlineStr">
        <is>
          <t>支出</t>
        </is>
      </c>
      <c r="C99" t="inlineStr">
        <is>
          <t>A05.90.01.01.03.02</t>
        </is>
      </c>
      <c r="D99" t="inlineStr">
        <is>
          <t>科技</t>
        </is>
      </c>
      <c r="K99" t="inlineStr">
        <is>
          <t>是</t>
        </is>
      </c>
      <c r="M99" t="inlineStr">
        <is>
          <t>05.01.01.03.02</t>
        </is>
      </c>
      <c r="N99" t="inlineStr">
        <is>
          <t>SUM</t>
        </is>
      </c>
    </row>
    <row r="100">
      <c r="A100" t="inlineStr">
        <is>
          <t>五级</t>
        </is>
      </c>
      <c r="B100" t="inlineStr">
        <is>
          <t>支出</t>
        </is>
      </c>
      <c r="C100" t="inlineStr">
        <is>
          <t>A05.90.01.01.03.03</t>
        </is>
      </c>
      <c r="D100" t="inlineStr">
        <is>
          <t>IT职场</t>
        </is>
      </c>
      <c r="K100" t="inlineStr">
        <is>
          <t>是</t>
        </is>
      </c>
      <c r="M100" t="inlineStr">
        <is>
          <t>05.01.01.03.03</t>
        </is>
      </c>
      <c r="N100" t="inlineStr">
        <is>
          <t>SUM</t>
        </is>
      </c>
    </row>
    <row r="101">
      <c r="A101" t="inlineStr">
        <is>
          <t>五级</t>
        </is>
      </c>
      <c r="B101" t="inlineStr">
        <is>
          <t>支出</t>
        </is>
      </c>
      <c r="C101" t="inlineStr">
        <is>
          <t>A05.90.01.01.03.04</t>
        </is>
      </c>
      <c r="D101" t="inlineStr">
        <is>
          <t>IT日常</t>
        </is>
      </c>
      <c r="K101" t="inlineStr">
        <is>
          <t>是</t>
        </is>
      </c>
      <c r="M101" t="inlineStr">
        <is>
          <t>05.01.01.03.04</t>
        </is>
      </c>
      <c r="N101" t="inlineStr">
        <is>
          <t>SUM</t>
        </is>
      </c>
    </row>
    <row r="102">
      <c r="A102" t="inlineStr">
        <is>
          <t>四级</t>
        </is>
      </c>
      <c r="B102" t="inlineStr">
        <is>
          <t>支出</t>
        </is>
      </c>
      <c r="C102" t="inlineStr">
        <is>
          <t>A05.90.01.01.04</t>
        </is>
      </c>
      <c r="D102" t="inlineStr">
        <is>
          <t>AA.05.01.01.04</t>
        </is>
      </c>
      <c r="F102" t="inlineStr">
        <is>
          <t>A05.90.01.01.04.001</t>
        </is>
      </c>
      <c r="K102" t="inlineStr">
        <is>
          <t>是</t>
        </is>
      </c>
      <c r="M102" t="inlineStr">
        <is>
          <t>05.01.01.04</t>
        </is>
      </c>
      <c r="N102" t="inlineStr">
        <is>
          <t>SUM</t>
        </is>
      </c>
    </row>
    <row r="103">
      <c r="A103" t="inlineStr">
        <is>
          <t>五级</t>
        </is>
      </c>
      <c r="B103" t="inlineStr">
        <is>
          <t>支出</t>
        </is>
      </c>
      <c r="C103" t="inlineStr">
        <is>
          <t>A05.90.01.01.04.001</t>
        </is>
      </c>
      <c r="D103" t="inlineStr">
        <is>
          <t>职场</t>
        </is>
      </c>
      <c r="K103" t="inlineStr">
        <is>
          <t>是</t>
        </is>
      </c>
      <c r="M103" t="inlineStr">
        <is>
          <t>05.01.01.04.001</t>
        </is>
      </c>
      <c r="N103" t="inlineStr">
        <is>
          <t>SUM</t>
        </is>
      </c>
    </row>
    <row r="104">
      <c r="A104" t="inlineStr">
        <is>
          <t>四级</t>
        </is>
      </c>
      <c r="B104" t="inlineStr">
        <is>
          <t>支出</t>
        </is>
      </c>
      <c r="C104" t="inlineStr">
        <is>
          <t>A05.90.01.01.05</t>
        </is>
      </c>
      <c r="D104" t="inlineStr">
        <is>
          <t>AA.05.01.01.05</t>
        </is>
      </c>
      <c r="F104" t="inlineStr">
        <is>
          <t>A05.90.01.01.05.001</t>
        </is>
      </c>
      <c r="K104" t="inlineStr">
        <is>
          <t>是</t>
        </is>
      </c>
      <c r="M104" t="inlineStr">
        <is>
          <t>05.01.01.05</t>
        </is>
      </c>
      <c r="N104" t="inlineStr">
        <is>
          <t>SUM</t>
        </is>
      </c>
    </row>
    <row r="105">
      <c r="A105" t="inlineStr">
        <is>
          <t>五级</t>
        </is>
      </c>
      <c r="B105" t="inlineStr">
        <is>
          <t>支出</t>
        </is>
      </c>
      <c r="C105" t="inlineStr">
        <is>
          <t>A05.90.01.01.05.001</t>
        </is>
      </c>
      <c r="D105" t="inlineStr">
        <is>
          <t>日常</t>
        </is>
      </c>
      <c r="K105" t="inlineStr">
        <is>
          <t>是</t>
        </is>
      </c>
      <c r="M105" t="inlineStr">
        <is>
          <t>05.01.01.05.001</t>
        </is>
      </c>
      <c r="N105" t="inlineStr">
        <is>
          <t>SUM</t>
        </is>
      </c>
    </row>
    <row r="106">
      <c r="A106" t="inlineStr">
        <is>
          <t>三级</t>
        </is>
      </c>
      <c r="B106" t="inlineStr">
        <is>
          <t>支出</t>
        </is>
      </c>
      <c r="C106" t="inlineStr">
        <is>
          <t>A05.90.01.02</t>
        </is>
      </c>
      <c r="D106" t="inlineStr">
        <is>
          <t>间接费用</t>
        </is>
      </c>
      <c r="F106" t="inlineStr">
        <is>
          <t>A05.90.01.02.01+A05.90.01.02.02+A05.90.01.02.03+A05.90.01.02.04.001+A05.90.01.02.05.001</t>
        </is>
      </c>
      <c r="K106" t="inlineStr">
        <is>
          <t>是</t>
        </is>
      </c>
      <c r="M106" t="inlineStr">
        <is>
          <t>05.01.02</t>
        </is>
      </c>
    </row>
    <row r="107">
      <c r="A107" t="inlineStr">
        <is>
          <t>四级</t>
        </is>
      </c>
      <c r="B107" t="inlineStr">
        <is>
          <t>支出</t>
        </is>
      </c>
      <c r="C107" t="inlineStr">
        <is>
          <t>A05.90.01.02.01</t>
        </is>
      </c>
      <c r="D107" t="inlineStr">
        <is>
          <t>人力（不含IT)</t>
        </is>
      </c>
      <c r="F107" t="inlineStr">
        <is>
          <t>A05.90.01.02.01.001+A05.90.01.02.01.002</t>
        </is>
      </c>
      <c r="K107" t="inlineStr">
        <is>
          <t>是</t>
        </is>
      </c>
      <c r="M107" t="inlineStr">
        <is>
          <t>05.01.02.01</t>
        </is>
      </c>
    </row>
    <row r="108">
      <c r="A108" t="inlineStr">
        <is>
          <t>五级</t>
        </is>
      </c>
      <c r="B108" t="inlineStr">
        <is>
          <t>支出</t>
        </is>
      </c>
      <c r="C108" t="inlineStr">
        <is>
          <t>A05.90.01.02.01.001</t>
        </is>
      </c>
      <c r="D108" t="inlineStr">
        <is>
          <t>业务人力</t>
        </is>
      </c>
      <c r="K108" t="inlineStr">
        <is>
          <t>是</t>
        </is>
      </c>
      <c r="M108" t="inlineStr">
        <is>
          <t>05.01.02.01.001</t>
        </is>
      </c>
      <c r="N108" t="inlineStr">
        <is>
          <t>SUM</t>
        </is>
      </c>
    </row>
    <row r="109">
      <c r="A109" t="inlineStr">
        <is>
          <t>五级</t>
        </is>
      </c>
      <c r="B109" t="inlineStr">
        <is>
          <t>支出</t>
        </is>
      </c>
      <c r="C109" t="inlineStr">
        <is>
          <t>A05.90.01.02.01.002</t>
        </is>
      </c>
      <c r="D109" t="inlineStr">
        <is>
          <t>特别人力</t>
        </is>
      </c>
      <c r="K109" t="inlineStr">
        <is>
          <t>是</t>
        </is>
      </c>
      <c r="M109" t="inlineStr">
        <is>
          <t>05.01.02.01.002</t>
        </is>
      </c>
      <c r="N109" t="inlineStr">
        <is>
          <t>SUM</t>
        </is>
      </c>
    </row>
    <row r="110">
      <c r="A110" t="inlineStr">
        <is>
          <t>四级</t>
        </is>
      </c>
      <c r="B110" t="inlineStr">
        <is>
          <t>支出</t>
        </is>
      </c>
      <c r="C110" t="inlineStr">
        <is>
          <t>A05.90.01.02.02</t>
        </is>
      </c>
      <c r="D110" t="inlineStr">
        <is>
          <t>业务费用</t>
        </is>
      </c>
      <c r="F110" t="inlineStr">
        <is>
          <t>A05.90.01.02.02.001+A05.90.01.02.02.002</t>
        </is>
      </c>
      <c r="K110" t="inlineStr">
        <is>
          <t>是</t>
        </is>
      </c>
      <c r="M110" t="inlineStr">
        <is>
          <t>05.01.02.02</t>
        </is>
      </c>
    </row>
    <row r="111">
      <c r="A111" t="inlineStr">
        <is>
          <t>五级</t>
        </is>
      </c>
      <c r="B111" t="inlineStr">
        <is>
          <t>支出</t>
        </is>
      </c>
      <c r="C111" t="inlineStr">
        <is>
          <t>A05.90.01.02.02.001</t>
        </is>
      </c>
      <c r="D111" t="inlineStr">
        <is>
          <t>营销</t>
        </is>
      </c>
      <c r="K111" t="inlineStr">
        <is>
          <t>是</t>
        </is>
      </c>
      <c r="M111" t="inlineStr">
        <is>
          <t>05.01.02.02.001</t>
        </is>
      </c>
      <c r="N111" t="inlineStr">
        <is>
          <t>SUM</t>
        </is>
      </c>
    </row>
    <row r="112">
      <c r="A112" t="inlineStr">
        <is>
          <t>五级</t>
        </is>
      </c>
      <c r="B112" t="inlineStr">
        <is>
          <t>支出</t>
        </is>
      </c>
      <c r="C112" t="inlineStr">
        <is>
          <t>A05.90.01.02.02.002</t>
        </is>
      </c>
      <c r="D112" t="inlineStr">
        <is>
          <t>运营</t>
        </is>
      </c>
      <c r="K112" t="inlineStr">
        <is>
          <t>是</t>
        </is>
      </c>
      <c r="M112" t="inlineStr">
        <is>
          <t>05.01.02.02.002</t>
        </is>
      </c>
      <c r="N112" t="inlineStr">
        <is>
          <t>SUM</t>
        </is>
      </c>
    </row>
    <row r="113">
      <c r="A113" t="inlineStr">
        <is>
          <t>四级</t>
        </is>
      </c>
      <c r="B113" t="inlineStr">
        <is>
          <t>支出</t>
        </is>
      </c>
      <c r="C113" t="inlineStr">
        <is>
          <t>A05.90.01.02.03</t>
        </is>
      </c>
      <c r="D113" t="inlineStr">
        <is>
          <t>IT</t>
        </is>
      </c>
      <c r="F113" t="inlineStr">
        <is>
          <t>A05.90.01.02.03.01+A05.90.01.02.03.02.001+A05.90.01.02.03.03.001+A05.90.01.02.03.04.001</t>
        </is>
      </c>
      <c r="K113" t="inlineStr">
        <is>
          <t>是</t>
        </is>
      </c>
      <c r="M113" t="inlineStr">
        <is>
          <t>05.01.02.03</t>
        </is>
      </c>
    </row>
    <row r="114">
      <c r="A114" t="inlineStr">
        <is>
          <t>五级</t>
        </is>
      </c>
      <c r="B114" t="inlineStr">
        <is>
          <t>支出</t>
        </is>
      </c>
      <c r="C114" t="inlineStr">
        <is>
          <t>A05.90.01.02.03.01</t>
        </is>
      </c>
      <c r="D114" t="inlineStr">
        <is>
          <t>IT人力</t>
        </is>
      </c>
      <c r="F114" t="inlineStr">
        <is>
          <t>A05.90.01.02.03.01.001+A05.90.01.02.03.01.002</t>
        </is>
      </c>
      <c r="K114" t="inlineStr">
        <is>
          <t>是</t>
        </is>
      </c>
      <c r="M114" t="inlineStr">
        <is>
          <t>05.01.02.03.01</t>
        </is>
      </c>
    </row>
    <row r="115">
      <c r="A115" t="inlineStr">
        <is>
          <t>六级</t>
        </is>
      </c>
      <c r="B115" t="inlineStr">
        <is>
          <t>支出</t>
        </is>
      </c>
      <c r="C115" t="inlineStr">
        <is>
          <t>A05.90.01.02.03.01.001</t>
        </is>
      </c>
      <c r="D115" t="inlineStr">
        <is>
          <t>IT常规人力</t>
        </is>
      </c>
      <c r="K115" t="inlineStr">
        <is>
          <t>是</t>
        </is>
      </c>
      <c r="M115" t="inlineStr">
        <is>
          <t>05.01.02.03.01.001</t>
        </is>
      </c>
      <c r="N115" t="inlineStr">
        <is>
          <t>SUM</t>
        </is>
      </c>
    </row>
    <row r="116">
      <c r="A116" t="inlineStr">
        <is>
          <t>六级</t>
        </is>
      </c>
      <c r="B116" t="inlineStr">
        <is>
          <t>支出</t>
        </is>
      </c>
      <c r="C116" t="inlineStr">
        <is>
          <t>A05.90.01.02.03.01.002</t>
        </is>
      </c>
      <c r="D116" t="inlineStr">
        <is>
          <t>IT特别人力</t>
        </is>
      </c>
      <c r="K116" t="inlineStr">
        <is>
          <t>是</t>
        </is>
      </c>
      <c r="M116" t="inlineStr">
        <is>
          <t>05.01.02.03.01.002</t>
        </is>
      </c>
      <c r="N116" t="inlineStr">
        <is>
          <t>SUM</t>
        </is>
      </c>
    </row>
    <row r="117">
      <c r="A117" t="inlineStr">
        <is>
          <t>五级</t>
        </is>
      </c>
      <c r="B117" t="inlineStr">
        <is>
          <t>支出</t>
        </is>
      </c>
      <c r="C117" t="inlineStr">
        <is>
          <t>A05.90.01.02.03.02</t>
        </is>
      </c>
      <c r="D117" t="inlineStr">
        <is>
          <t>AA.05.01.02.03.02</t>
        </is>
      </c>
      <c r="F117" t="inlineStr">
        <is>
          <t>A05.90.01.02.03.02.001</t>
        </is>
      </c>
      <c r="K117" t="inlineStr">
        <is>
          <t>是</t>
        </is>
      </c>
      <c r="M117" t="inlineStr">
        <is>
          <t>05.01.02.03.02</t>
        </is>
      </c>
      <c r="N117" t="inlineStr">
        <is>
          <t>SUM</t>
        </is>
      </c>
    </row>
    <row r="118">
      <c r="A118" t="inlineStr">
        <is>
          <t>六级</t>
        </is>
      </c>
      <c r="B118" t="inlineStr">
        <is>
          <t>支出</t>
        </is>
      </c>
      <c r="C118" t="inlineStr">
        <is>
          <t>A05.90.01.02.03.02.001</t>
        </is>
      </c>
      <c r="D118" t="inlineStr">
        <is>
          <t>科技</t>
        </is>
      </c>
      <c r="K118" t="inlineStr">
        <is>
          <t>是</t>
        </is>
      </c>
      <c r="M118" t="inlineStr">
        <is>
          <t>05.01.02.03.02.001</t>
        </is>
      </c>
      <c r="N118" t="inlineStr">
        <is>
          <t>SUM</t>
        </is>
      </c>
    </row>
    <row r="119">
      <c r="A119" t="inlineStr">
        <is>
          <t>五级</t>
        </is>
      </c>
      <c r="B119" t="inlineStr">
        <is>
          <t>支出</t>
        </is>
      </c>
      <c r="C119" t="inlineStr">
        <is>
          <t>A05.90.01.02.03.03</t>
        </is>
      </c>
      <c r="D119" t="inlineStr">
        <is>
          <t>AA.05.01.02.03.03</t>
        </is>
      </c>
      <c r="F119" t="inlineStr">
        <is>
          <t>A05.90.01.02.03.03.001</t>
        </is>
      </c>
      <c r="K119" t="inlineStr">
        <is>
          <t>是</t>
        </is>
      </c>
      <c r="M119" t="inlineStr">
        <is>
          <t>05.01.02.03.03</t>
        </is>
      </c>
      <c r="N119" t="inlineStr">
        <is>
          <t>SUM</t>
        </is>
      </c>
    </row>
    <row r="120">
      <c r="A120" t="inlineStr">
        <is>
          <t>六级</t>
        </is>
      </c>
      <c r="B120" t="inlineStr">
        <is>
          <t>支出</t>
        </is>
      </c>
      <c r="C120" t="inlineStr">
        <is>
          <t>A05.90.01.02.03.03.001</t>
        </is>
      </c>
      <c r="D120" t="inlineStr">
        <is>
          <t>IT职场</t>
        </is>
      </c>
      <c r="K120" t="inlineStr">
        <is>
          <t>是</t>
        </is>
      </c>
      <c r="M120" t="inlineStr">
        <is>
          <t>05.01.02.03.03.001</t>
        </is>
      </c>
      <c r="N120" t="inlineStr">
        <is>
          <t>SUM</t>
        </is>
      </c>
    </row>
    <row r="121">
      <c r="A121" t="inlineStr">
        <is>
          <t>五级</t>
        </is>
      </c>
      <c r="B121" t="inlineStr">
        <is>
          <t>支出</t>
        </is>
      </c>
      <c r="C121" t="inlineStr">
        <is>
          <t>A05.90.01.02.03.04</t>
        </is>
      </c>
      <c r="D121" t="inlineStr">
        <is>
          <t>AA.05.01.02.03.04</t>
        </is>
      </c>
      <c r="F121" t="inlineStr">
        <is>
          <t>A05.90.01.02.03.04.001</t>
        </is>
      </c>
      <c r="K121" t="inlineStr">
        <is>
          <t>是</t>
        </is>
      </c>
      <c r="M121" t="inlineStr">
        <is>
          <t>05.01.02.03.04</t>
        </is>
      </c>
      <c r="N121" t="inlineStr">
        <is>
          <t>SUM</t>
        </is>
      </c>
    </row>
    <row r="122">
      <c r="A122" t="inlineStr">
        <is>
          <t>六级</t>
        </is>
      </c>
      <c r="B122" t="inlineStr">
        <is>
          <t>支出</t>
        </is>
      </c>
      <c r="C122" t="inlineStr">
        <is>
          <t>A05.90.01.02.03.04.001</t>
        </is>
      </c>
      <c r="D122" t="inlineStr">
        <is>
          <t>IT日常</t>
        </is>
      </c>
      <c r="K122" t="inlineStr">
        <is>
          <t>是</t>
        </is>
      </c>
      <c r="M122" t="inlineStr">
        <is>
          <t>05.01.02.03.04.001</t>
        </is>
      </c>
      <c r="N122" t="inlineStr">
        <is>
          <t>SUM</t>
        </is>
      </c>
    </row>
    <row r="123">
      <c r="A123" t="inlineStr">
        <is>
          <t>四级</t>
        </is>
      </c>
      <c r="B123" t="inlineStr">
        <is>
          <t>支出</t>
        </is>
      </c>
      <c r="C123" t="inlineStr">
        <is>
          <t>A05.90.01.02.04</t>
        </is>
      </c>
      <c r="D123" t="inlineStr">
        <is>
          <t>AA.05.01.02.04</t>
        </is>
      </c>
      <c r="F123" t="inlineStr">
        <is>
          <t>A05.90.01.02.04.001</t>
        </is>
      </c>
      <c r="K123" t="inlineStr">
        <is>
          <t>是</t>
        </is>
      </c>
      <c r="M123" t="inlineStr">
        <is>
          <t>05.01.02.04</t>
        </is>
      </c>
      <c r="N123" t="inlineStr">
        <is>
          <t>SUM</t>
        </is>
      </c>
    </row>
    <row r="124">
      <c r="A124" t="inlineStr">
        <is>
          <t>五级</t>
        </is>
      </c>
      <c r="B124" t="inlineStr">
        <is>
          <t>支出</t>
        </is>
      </c>
      <c r="C124" t="inlineStr">
        <is>
          <t>A05.90.01.02.04.001</t>
        </is>
      </c>
      <c r="D124" t="inlineStr">
        <is>
          <t>职场</t>
        </is>
      </c>
      <c r="K124" t="inlineStr">
        <is>
          <t>是</t>
        </is>
      </c>
      <c r="M124" t="inlineStr">
        <is>
          <t>05.01.02.04.001</t>
        </is>
      </c>
      <c r="N124" t="inlineStr">
        <is>
          <t>SUM</t>
        </is>
      </c>
    </row>
    <row r="125">
      <c r="A125" t="inlineStr">
        <is>
          <t>四级</t>
        </is>
      </c>
      <c r="B125" t="inlineStr">
        <is>
          <t>支出</t>
        </is>
      </c>
      <c r="C125" t="inlineStr">
        <is>
          <t>A05.90.01.02.05</t>
        </is>
      </c>
      <c r="D125" t="inlineStr">
        <is>
          <t>AA.05.01.02.05</t>
        </is>
      </c>
      <c r="F125" t="inlineStr">
        <is>
          <t>A05.90.01.02.05.001</t>
        </is>
      </c>
      <c r="K125" t="inlineStr">
        <is>
          <t>是</t>
        </is>
      </c>
      <c r="M125" t="inlineStr">
        <is>
          <t>05.01.02.05</t>
        </is>
      </c>
      <c r="N125" t="inlineStr">
        <is>
          <t>SUM</t>
        </is>
      </c>
    </row>
    <row r="126">
      <c r="A126" t="inlineStr">
        <is>
          <t>五级</t>
        </is>
      </c>
      <c r="B126" t="inlineStr">
        <is>
          <t>支出</t>
        </is>
      </c>
      <c r="C126" t="inlineStr">
        <is>
          <t>A05.90.01.02.05.001</t>
        </is>
      </c>
      <c r="D126" t="inlineStr">
        <is>
          <t>日常</t>
        </is>
      </c>
      <c r="K126" t="inlineStr">
        <is>
          <t>是</t>
        </is>
      </c>
      <c r="M126" t="inlineStr">
        <is>
          <t>05.01.02.05.001</t>
        </is>
      </c>
      <c r="N126" t="inlineStr">
        <is>
          <t>SUM</t>
        </is>
      </c>
    </row>
    <row r="127">
      <c r="A127" t="inlineStr">
        <is>
          <t>二级</t>
        </is>
      </c>
      <c r="B127" t="inlineStr">
        <is>
          <t>支出</t>
        </is>
      </c>
      <c r="C127" t="inlineStr">
        <is>
          <t>A05.90.02</t>
        </is>
      </c>
      <c r="D127" t="inlineStr">
        <is>
          <t>业务费用</t>
        </is>
      </c>
      <c r="F127" t="inlineStr">
        <is>
          <t>A05.90.02.01+A05.90.02.02</t>
        </is>
      </c>
      <c r="K127" t="inlineStr">
        <is>
          <t>是</t>
        </is>
      </c>
      <c r="N127" t="inlineStr">
        <is>
          <t>SUM</t>
        </is>
      </c>
    </row>
    <row r="128">
      <c r="A128" t="inlineStr">
        <is>
          <t>三级</t>
        </is>
      </c>
      <c r="B128" t="inlineStr">
        <is>
          <t>支出</t>
        </is>
      </c>
      <c r="C128" t="inlineStr">
        <is>
          <t>A05.90.02.01</t>
        </is>
      </c>
      <c r="D128" t="inlineStr">
        <is>
          <t>营销费用</t>
        </is>
      </c>
      <c r="K128" t="inlineStr">
        <is>
          <t>是</t>
        </is>
      </c>
      <c r="N128" t="inlineStr">
        <is>
          <t>SUM</t>
        </is>
      </c>
    </row>
    <row r="129">
      <c r="A129" t="inlineStr">
        <is>
          <t>三级</t>
        </is>
      </c>
      <c r="B129" t="inlineStr">
        <is>
          <t>支出</t>
        </is>
      </c>
      <c r="C129" t="inlineStr">
        <is>
          <t>A05.90.02.02</t>
        </is>
      </c>
      <c r="D129" t="inlineStr">
        <is>
          <t>运营费用</t>
        </is>
      </c>
      <c r="K129" t="inlineStr">
        <is>
          <t>是</t>
        </is>
      </c>
      <c r="N129" t="inlineStr">
        <is>
          <t>SUM</t>
        </is>
      </c>
    </row>
    <row r="130">
      <c r="A130" t="inlineStr">
        <is>
          <t>二级</t>
        </is>
      </c>
      <c r="B130" t="inlineStr">
        <is>
          <t>支出</t>
        </is>
      </c>
      <c r="C130" t="inlineStr">
        <is>
          <t>A05.90.03</t>
        </is>
      </c>
      <c r="D130" t="inlineStr">
        <is>
          <t>业务支出评估</t>
        </is>
      </c>
      <c r="F130" t="inlineStr">
        <is>
          <t>A05.90.03.09</t>
        </is>
      </c>
      <c r="K130" t="inlineStr">
        <is>
          <t>是</t>
        </is>
      </c>
      <c r="M130" t="inlineStr">
        <is>
          <t>05.02</t>
        </is>
      </c>
    </row>
    <row r="131">
      <c r="A131" t="inlineStr">
        <is>
          <t>三级</t>
        </is>
      </c>
      <c r="B131" t="inlineStr">
        <is>
          <t>支出</t>
        </is>
      </c>
      <c r="C131" t="inlineStr">
        <is>
          <t>A05.90.03.09</t>
        </is>
      </c>
      <c r="D131" t="inlineStr">
        <is>
          <t>客户经营指标</t>
        </is>
      </c>
      <c r="F131" t="inlineStr">
        <is>
          <t>A05.90.03.09.01+A05.90.03.09.02+A05.90.03.09.03</t>
        </is>
      </c>
      <c r="K131" t="inlineStr">
        <is>
          <t>是</t>
        </is>
      </c>
      <c r="M131" t="inlineStr">
        <is>
          <t>05.02.09</t>
        </is>
      </c>
    </row>
    <row r="132">
      <c r="A132" t="inlineStr">
        <is>
          <t>四级</t>
        </is>
      </c>
      <c r="B132" t="inlineStr">
        <is>
          <t>支出</t>
        </is>
      </c>
      <c r="C132" t="inlineStr">
        <is>
          <t>A05.90.03.09.01</t>
        </is>
      </c>
      <c r="D132" t="inlineStr">
        <is>
          <t>客户营销与投入</t>
        </is>
      </c>
      <c r="F132" t="inlineStr">
        <is>
          <t>A05.90.03.09.01.001+A05.90.03.09.01.002+A05.90.03.09.01.003+A05.90.03.09.01.004</t>
        </is>
      </c>
      <c r="K132" t="inlineStr">
        <is>
          <t>是</t>
        </is>
      </c>
      <c r="M132" t="inlineStr">
        <is>
          <t>05.02.09.01</t>
        </is>
      </c>
    </row>
    <row r="133">
      <c r="A133" t="inlineStr">
        <is>
          <t>五级</t>
        </is>
      </c>
      <c r="B133" t="inlineStr">
        <is>
          <t>支出</t>
        </is>
      </c>
      <c r="C133" t="inlineStr">
        <is>
          <t>A05.90.03.09.01.001</t>
        </is>
      </c>
      <c r="D133" t="inlineStr">
        <is>
          <t>新客营销支出</t>
        </is>
      </c>
      <c r="K133" t="inlineStr">
        <is>
          <t>是</t>
        </is>
      </c>
      <c r="M133" t="inlineStr">
        <is>
          <t>05.02.09.01.001</t>
        </is>
      </c>
      <c r="N133" t="inlineStr">
        <is>
          <t>SUM</t>
        </is>
      </c>
    </row>
    <row r="134">
      <c r="A134" t="inlineStr">
        <is>
          <t>五级</t>
        </is>
      </c>
      <c r="B134" t="inlineStr">
        <is>
          <t>支出</t>
        </is>
      </c>
      <c r="C134" t="inlineStr">
        <is>
          <t>A05.90.03.09.01.002</t>
        </is>
      </c>
      <c r="D134" t="inlineStr">
        <is>
          <t>存客营销支出</t>
        </is>
      </c>
      <c r="K134" t="inlineStr">
        <is>
          <t>是</t>
        </is>
      </c>
      <c r="M134" t="inlineStr">
        <is>
          <t>05.02.09.01.002</t>
        </is>
      </c>
      <c r="N134" t="inlineStr">
        <is>
          <t>SUM</t>
        </is>
      </c>
    </row>
    <row r="135">
      <c r="A135" t="inlineStr">
        <is>
          <t>五级</t>
        </is>
      </c>
      <c r="B135" t="inlineStr">
        <is>
          <t>支出</t>
        </is>
      </c>
      <c r="C135" t="inlineStr">
        <is>
          <t>A05.90.03.09.01.003</t>
        </is>
      </c>
      <c r="D135" t="inlineStr">
        <is>
          <t>新开通客户投入</t>
        </is>
      </c>
      <c r="K135" t="inlineStr">
        <is>
          <t>是</t>
        </is>
      </c>
      <c r="M135" t="inlineStr">
        <is>
          <t>05.02.09.01.003</t>
        </is>
      </c>
      <c r="N135" t="inlineStr">
        <is>
          <t>SUM</t>
        </is>
      </c>
    </row>
    <row r="136">
      <c r="A136" t="inlineStr">
        <is>
          <t>五级</t>
        </is>
      </c>
      <c r="B136" t="inlineStr">
        <is>
          <t>支出</t>
        </is>
      </c>
      <c r="C136" t="inlineStr">
        <is>
          <t>A05.90.03.09.01.004</t>
        </is>
      </c>
      <c r="D136" t="inlineStr">
        <is>
          <t>新发放投入</t>
        </is>
      </c>
      <c r="K136" t="inlineStr">
        <is>
          <t>是</t>
        </is>
      </c>
      <c r="M136" t="inlineStr">
        <is>
          <t>05.02.09.01.004</t>
        </is>
      </c>
      <c r="N136" t="inlineStr">
        <is>
          <t>SUM</t>
        </is>
      </c>
    </row>
    <row r="137">
      <c r="A137" t="inlineStr">
        <is>
          <t>四级</t>
        </is>
      </c>
      <c r="B137" t="inlineStr">
        <is>
          <t>支出</t>
        </is>
      </c>
      <c r="C137" t="inlineStr">
        <is>
          <t>A05.90.03.09.02</t>
        </is>
      </c>
      <c r="D137" t="inlineStr">
        <is>
          <t>客户规模与数量</t>
        </is>
      </c>
      <c r="F137" t="inlineStr">
        <is>
          <t>A05.90.03.09.02.101+A05.90.03.09.02.102+A05.90.03.09.02.103</t>
        </is>
      </c>
      <c r="K137" t="inlineStr">
        <is>
          <t>是</t>
        </is>
      </c>
      <c r="M137" t="inlineStr">
        <is>
          <t>05.02.09.02</t>
        </is>
      </c>
    </row>
    <row r="138">
      <c r="A138" t="inlineStr">
        <is>
          <t>五级</t>
        </is>
      </c>
      <c r="B138" t="inlineStr">
        <is>
          <t>支出</t>
        </is>
      </c>
      <c r="C138" t="inlineStr">
        <is>
          <t>A05.90.03.09.02.001</t>
        </is>
      </c>
      <c r="D138" t="inlineStr">
        <is>
          <t>新客日均LUM</t>
        </is>
      </c>
      <c r="K138" t="inlineStr">
        <is>
          <t>是</t>
        </is>
      </c>
      <c r="M138" t="inlineStr">
        <is>
          <t>05.02.09.02.001</t>
        </is>
      </c>
      <c r="N138" t="inlineStr">
        <is>
          <t>SUM</t>
        </is>
      </c>
    </row>
    <row r="139">
      <c r="A139" t="inlineStr">
        <is>
          <t>五级</t>
        </is>
      </c>
      <c r="B139" t="inlineStr">
        <is>
          <t>支出</t>
        </is>
      </c>
      <c r="C139" t="inlineStr">
        <is>
          <t>A05.90.03.09.02.002</t>
        </is>
      </c>
      <c r="D139" t="inlineStr">
        <is>
          <t>存客日均LUM</t>
        </is>
      </c>
      <c r="K139" t="inlineStr">
        <is>
          <t>是</t>
        </is>
      </c>
      <c r="M139" t="inlineStr">
        <is>
          <t>05.02.09.02.002</t>
        </is>
      </c>
      <c r="N139" t="inlineStr">
        <is>
          <t>SUM</t>
        </is>
      </c>
    </row>
    <row r="140">
      <c r="A140" t="inlineStr">
        <is>
          <t>五级</t>
        </is>
      </c>
      <c r="B140" t="inlineStr">
        <is>
          <t>支出</t>
        </is>
      </c>
      <c r="C140" t="inlineStr">
        <is>
          <t>A05.90.03.09.02.003</t>
        </is>
      </c>
      <c r="D140" t="inlineStr">
        <is>
          <t>新开通客户数</t>
        </is>
      </c>
      <c r="K140" t="inlineStr">
        <is>
          <t>是</t>
        </is>
      </c>
      <c r="M140" t="inlineStr">
        <is>
          <t>05.02.09.02.003</t>
        </is>
      </c>
      <c r="N140" t="inlineStr">
        <is>
          <t>SUM</t>
        </is>
      </c>
    </row>
    <row r="141">
      <c r="A141" t="inlineStr">
        <is>
          <t>五级</t>
        </is>
      </c>
      <c r="B141" t="inlineStr">
        <is>
          <t>支出</t>
        </is>
      </c>
      <c r="C141" t="inlineStr">
        <is>
          <t>A05.90.03.09.02.004</t>
        </is>
      </c>
      <c r="D141" t="inlineStr">
        <is>
          <t>平均有效客户数</t>
        </is>
      </c>
      <c r="K141" t="inlineStr">
        <is>
          <t>是</t>
        </is>
      </c>
      <c r="M141" t="inlineStr">
        <is>
          <t>05.02.09.02.004</t>
        </is>
      </c>
      <c r="N141" t="inlineStr">
        <is>
          <t>SUM</t>
        </is>
      </c>
    </row>
    <row r="142">
      <c r="A142" t="inlineStr">
        <is>
          <t>五级</t>
        </is>
      </c>
      <c r="B142" t="inlineStr">
        <is>
          <t>支出</t>
        </is>
      </c>
      <c r="C142" t="inlineStr">
        <is>
          <t>A05.90.03.09.02.005</t>
        </is>
      </c>
      <c r="D142" t="inlineStr">
        <is>
          <t>新发放LUM</t>
        </is>
      </c>
      <c r="K142" t="inlineStr">
        <is>
          <t>是</t>
        </is>
      </c>
      <c r="M142" t="inlineStr">
        <is>
          <t>05.02.09.02.005</t>
        </is>
      </c>
      <c r="N142" t="inlineStr">
        <is>
          <t>SUM</t>
        </is>
      </c>
    </row>
    <row r="143">
      <c r="A143" t="inlineStr">
        <is>
          <t>五级</t>
        </is>
      </c>
      <c r="B143" t="inlineStr">
        <is>
          <t>支出</t>
        </is>
      </c>
      <c r="C143" t="inlineStr">
        <is>
          <t>A05.90.03.09.02.006</t>
        </is>
      </c>
      <c r="D143" t="inlineStr">
        <is>
          <t>新发放LUM（标服）</t>
        </is>
      </c>
      <c r="K143" t="inlineStr">
        <is>
          <t>是</t>
        </is>
      </c>
      <c r="M143" t="inlineStr">
        <is>
          <t>05.02.09.02.006</t>
        </is>
      </c>
      <c r="N143" t="inlineStr">
        <is>
          <t>SUM</t>
        </is>
      </c>
    </row>
    <row r="144">
      <c r="A144" t="inlineStr">
        <is>
          <t>五级</t>
        </is>
      </c>
      <c r="B144" t="inlineStr">
        <is>
          <t>支出</t>
        </is>
      </c>
      <c r="C144" t="inlineStr">
        <is>
          <t>A05.90.03.09.02.007</t>
        </is>
      </c>
      <c r="D144" t="inlineStr">
        <is>
          <t>存客日均AuM</t>
        </is>
      </c>
      <c r="K144" t="inlineStr">
        <is>
          <t>是</t>
        </is>
      </c>
      <c r="M144" t="inlineStr">
        <is>
          <t>05.02.09.02.007</t>
        </is>
      </c>
      <c r="N144" t="inlineStr">
        <is>
          <t>SUM</t>
        </is>
      </c>
    </row>
    <row r="145">
      <c r="A145" t="inlineStr">
        <is>
          <t>五级</t>
        </is>
      </c>
      <c r="B145" t="inlineStr">
        <is>
          <t>支出</t>
        </is>
      </c>
      <c r="C145" t="inlineStr">
        <is>
          <t>A05.90.03.09.02.008</t>
        </is>
      </c>
      <c r="D145" t="inlineStr">
        <is>
          <t>新客AuM余额</t>
        </is>
      </c>
      <c r="K145" t="inlineStr">
        <is>
          <t>是</t>
        </is>
      </c>
      <c r="M145" t="inlineStr">
        <is>
          <t>05.02.09.02.008</t>
        </is>
      </c>
      <c r="N145" t="inlineStr">
        <is>
          <t>SUM</t>
        </is>
      </c>
    </row>
    <row r="146">
      <c r="A146" t="inlineStr">
        <is>
          <t>五级</t>
        </is>
      </c>
      <c r="B146" t="inlineStr">
        <is>
          <t>支出</t>
        </is>
      </c>
      <c r="C146" t="inlineStr">
        <is>
          <t>A05.90.03.09.02.009</t>
        </is>
      </c>
      <c r="D146" t="inlineStr">
        <is>
          <t>MFAU客户数</t>
        </is>
      </c>
      <c r="K146" t="inlineStr">
        <is>
          <t>是</t>
        </is>
      </c>
      <c r="M146" t="inlineStr">
        <is>
          <t>05.02.09.02.009</t>
        </is>
      </c>
      <c r="N146" t="inlineStr">
        <is>
          <t>SUM</t>
        </is>
      </c>
    </row>
    <row r="147">
      <c r="A147" t="inlineStr">
        <is>
          <t>五级</t>
        </is>
      </c>
      <c r="B147" t="inlineStr">
        <is>
          <t>支出</t>
        </is>
      </c>
      <c r="C147" t="inlineStr">
        <is>
          <t>A05.90.03.09.02.010</t>
        </is>
      </c>
      <c r="D147" t="inlineStr">
        <is>
          <t>日均LUM</t>
        </is>
      </c>
      <c r="K147" t="inlineStr">
        <is>
          <t>是</t>
        </is>
      </c>
      <c r="M147" t="inlineStr">
        <is>
          <t>05.02.09.02.010</t>
        </is>
      </c>
      <c r="N147" t="inlineStr">
        <is>
          <t>SUM</t>
        </is>
      </c>
    </row>
    <row r="148">
      <c r="A148" t="inlineStr">
        <is>
          <t>五级</t>
        </is>
      </c>
      <c r="B148" t="inlineStr">
        <is>
          <t>支出</t>
        </is>
      </c>
      <c r="C148" t="inlineStr">
        <is>
          <t>A05.90.03.09.02.011</t>
        </is>
      </c>
      <c r="D148" t="inlineStr">
        <is>
          <t>日均AuM</t>
        </is>
      </c>
      <c r="K148" t="inlineStr">
        <is>
          <t>是</t>
        </is>
      </c>
      <c r="M148" t="inlineStr">
        <is>
          <t>05.02.09.02.011</t>
        </is>
      </c>
      <c r="N148" t="inlineStr">
        <is>
          <t>SUM</t>
        </is>
      </c>
    </row>
    <row r="149">
      <c r="A149" t="inlineStr">
        <is>
          <t>五级</t>
        </is>
      </c>
      <c r="B149" t="inlineStr">
        <is>
          <t>支出</t>
        </is>
      </c>
      <c r="C149" t="inlineStr">
        <is>
          <t>A05.90.03.09.02.101</t>
        </is>
      </c>
      <c r="D149" t="inlineStr">
        <is>
          <t>LUM规模</t>
        </is>
      </c>
      <c r="F149" t="inlineStr">
        <is>
          <t>A05.90.03.09.02.001+A05.90.03.09.02.002+A05.90.03.09.02.005+A05.90.03.09.02.006+A05.90.03.09.02.010</t>
        </is>
      </c>
      <c r="K149" t="inlineStr">
        <is>
          <t>是</t>
        </is>
      </c>
      <c r="M149" t="inlineStr">
        <is>
          <t>05.02.09.02.101</t>
        </is>
      </c>
    </row>
    <row r="150">
      <c r="A150" t="inlineStr">
        <is>
          <t>五级</t>
        </is>
      </c>
      <c r="B150" t="inlineStr">
        <is>
          <t>支出</t>
        </is>
      </c>
      <c r="C150" t="inlineStr">
        <is>
          <t>A05.90.03.09.02.102</t>
        </is>
      </c>
      <c r="D150" t="inlineStr">
        <is>
          <t>AuM规模</t>
        </is>
      </c>
      <c r="F150" t="inlineStr">
        <is>
          <t>A05.90.03.09.02.007+A05.90.03.09.02.008+A05.90.03.09.02.011</t>
        </is>
      </c>
      <c r="K150" t="inlineStr">
        <is>
          <t>是</t>
        </is>
      </c>
      <c r="M150" t="inlineStr">
        <is>
          <t>05.02.09.02.102</t>
        </is>
      </c>
    </row>
    <row r="151">
      <c r="A151" t="inlineStr">
        <is>
          <t>五级</t>
        </is>
      </c>
      <c r="B151" t="inlineStr">
        <is>
          <t>支出</t>
        </is>
      </c>
      <c r="C151" t="inlineStr">
        <is>
          <t>A05.90.03.09.02.103</t>
        </is>
      </c>
      <c r="D151" t="inlineStr">
        <is>
          <t>客户数量</t>
        </is>
      </c>
      <c r="F151" t="inlineStr">
        <is>
          <t>A05.90.03.09.02.003+A05.90.03.09.02.004+A05.90.03.09.02.009</t>
        </is>
      </c>
      <c r="K151" t="inlineStr">
        <is>
          <t>是</t>
        </is>
      </c>
      <c r="M151" t="inlineStr">
        <is>
          <t>05.02.09.02.103</t>
        </is>
      </c>
    </row>
    <row r="152">
      <c r="A152" t="inlineStr">
        <is>
          <t>四级</t>
        </is>
      </c>
      <c r="B152" t="inlineStr">
        <is>
          <t>支出</t>
        </is>
      </c>
      <c r="C152" t="inlineStr">
        <is>
          <t>A05.90.03.09.03</t>
        </is>
      </c>
      <c r="D152" t="inlineStr">
        <is>
          <t>客户回收与催收</t>
        </is>
      </c>
      <c r="F152" t="inlineStr">
        <is>
          <t>A05.90.03.09.03.001+A05.90.03.09.03.002+A05.90.03.09.03.003</t>
        </is>
      </c>
      <c r="K152" t="inlineStr">
        <is>
          <t>是</t>
        </is>
      </c>
      <c r="M152" t="inlineStr">
        <is>
          <t>05.02.09.03</t>
        </is>
      </c>
    </row>
    <row r="153">
      <c r="A153" t="inlineStr">
        <is>
          <t>五级</t>
        </is>
      </c>
      <c r="B153" t="inlineStr">
        <is>
          <t>支出</t>
        </is>
      </c>
      <c r="C153" t="inlineStr">
        <is>
          <t>A05.90.03.09.03.001</t>
        </is>
      </c>
      <c r="D153" t="inlineStr">
        <is>
          <t>内催回收额</t>
        </is>
      </c>
      <c r="K153" t="inlineStr">
        <is>
          <t>是</t>
        </is>
      </c>
      <c r="M153" t="inlineStr">
        <is>
          <t>05.02.09.03.001</t>
        </is>
      </c>
      <c r="N153" t="inlineStr">
        <is>
          <t>SUM</t>
        </is>
      </c>
    </row>
    <row r="154">
      <c r="A154" t="inlineStr">
        <is>
          <t>五级</t>
        </is>
      </c>
      <c r="B154" t="inlineStr">
        <is>
          <t>支出</t>
        </is>
      </c>
      <c r="C154" t="inlineStr">
        <is>
          <t>A05.90.03.09.03.002</t>
        </is>
      </c>
      <c r="D154" t="inlineStr">
        <is>
          <t>M6-压降金额</t>
        </is>
      </c>
      <c r="K154" t="inlineStr">
        <is>
          <t>是</t>
        </is>
      </c>
      <c r="M154" t="inlineStr">
        <is>
          <t>05.02.09.03.002</t>
        </is>
      </c>
      <c r="N154" t="inlineStr">
        <is>
          <t>SUM</t>
        </is>
      </c>
    </row>
    <row r="155">
      <c r="A155" t="inlineStr">
        <is>
          <t>五级</t>
        </is>
      </c>
      <c r="B155" t="inlineStr">
        <is>
          <t>支出</t>
        </is>
      </c>
      <c r="C155" t="inlineStr">
        <is>
          <t>A05.90.03.09.03.003</t>
        </is>
      </c>
      <c r="D155" t="inlineStr">
        <is>
          <t>M7+现金回收额</t>
        </is>
      </c>
      <c r="K155" t="inlineStr">
        <is>
          <t>是</t>
        </is>
      </c>
      <c r="M155" t="inlineStr">
        <is>
          <t>05.02.09.03.003</t>
        </is>
      </c>
      <c r="N155" t="inlineStr">
        <is>
          <t>SUM</t>
        </is>
      </c>
    </row>
    <row r="156"/>
    <row r="157"/>
    <row r="158"/>
    <row r="159"/>
    <row r="160"/>
    <row r="161"/>
    <row r="162"/>
    <row r="163"/>
    <row r="164"/>
    <row r="165"/>
    <row r="166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130"/>
  <sheetViews>
    <sheetView workbookViewId="0">
      <pane xSplit="4" ySplit="1" topLeftCell="E34" activePane="bottomRight" state="frozen"/>
      <selection activeCell="A1" sqref="A1"/>
      <selection pane="topRight" activeCell="A1" sqref="A1"/>
      <selection pane="bottomLeft" activeCell="A1" sqref="A1"/>
      <selection pane="bottomRight" activeCell="A38" sqref="A38:D44"/>
    </sheetView>
  </sheetViews>
  <sheetFormatPr baseColWidth="8" defaultColWidth="9" defaultRowHeight="15" customHeight="1"/>
  <cols>
    <col width="10.8303571428571" customWidth="1" min="3" max="3"/>
    <col width="17.5" customWidth="1" min="4" max="4"/>
  </cols>
  <sheetData>
    <row r="1" ht="16.8" customFormat="1" customHeight="1" s="1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" t="inlineStr">
        <is>
          <t>录入粒度</t>
        </is>
      </c>
      <c r="F1" t="inlineStr">
        <is>
          <t>年预算公式</t>
        </is>
      </c>
      <c r="G1" t="inlineStr">
        <is>
          <t>年预测公式</t>
        </is>
      </c>
      <c r="H1" t="inlineStr">
        <is>
          <t>实际月公式</t>
        </is>
      </c>
      <c r="I1" t="inlineStr">
        <is>
          <t>预测月公式</t>
        </is>
      </c>
      <c r="J1" t="inlineStr">
        <is>
          <t>公式说明</t>
        </is>
      </c>
      <c r="K1" t="inlineStr">
        <is>
          <t>横向汇总</t>
        </is>
      </c>
      <c r="L1" t="inlineStr">
        <is>
          <t>纵向汇总</t>
        </is>
      </c>
      <c r="M1" t="inlineStr">
        <is>
          <t>逻辑码</t>
        </is>
      </c>
      <c r="N1" t="inlineStr">
        <is>
          <t>规则</t>
        </is>
      </c>
    </row>
    <row r="2" ht="16.8" customHeight="1">
      <c r="A2" s="7" t="inlineStr">
        <is>
          <t>一级</t>
        </is>
      </c>
      <c r="B2" s="1" t="inlineStr">
        <is>
          <t>收入</t>
        </is>
      </c>
      <c r="C2" s="8" t="inlineStr">
        <is>
          <t>B.01</t>
        </is>
      </c>
      <c r="D2" s="7" t="inlineStr">
        <is>
          <t>营业收入</t>
        </is>
      </c>
      <c r="F2" t="inlineStr">
        <is>
          <t>B.01.01+B.01.02+B.01.03</t>
        </is>
      </c>
      <c r="K2" t="inlineStr">
        <is>
          <t>是</t>
        </is>
      </c>
      <c r="M2" t="inlineStr">
        <is>
          <t>01</t>
        </is>
      </c>
    </row>
    <row r="3" ht="16.8" customHeight="1">
      <c r="A3" s="1" t="inlineStr">
        <is>
          <t>二级</t>
        </is>
      </c>
      <c r="B3" s="1" t="inlineStr">
        <is>
          <t>收入</t>
        </is>
      </c>
      <c r="C3" s="8" t="inlineStr">
        <is>
          <t>B.01.01</t>
        </is>
      </c>
      <c r="D3" s="1" t="inlineStr">
        <is>
          <t xml:space="preserve">  利息净收入</t>
        </is>
      </c>
      <c r="F3" t="inlineStr">
        <is>
          <t>B.01.01.01+B.01.01.02</t>
        </is>
      </c>
      <c r="K3" t="inlineStr">
        <is>
          <t>是</t>
        </is>
      </c>
      <c r="M3" t="inlineStr">
        <is>
          <t>01.01</t>
        </is>
      </c>
    </row>
    <row r="4" ht="16.8" customHeight="1">
      <c r="A4" s="1" t="inlineStr">
        <is>
          <t>三级</t>
        </is>
      </c>
      <c r="B4" s="1" t="inlineStr">
        <is>
          <t>收入</t>
        </is>
      </c>
      <c r="C4" s="9" t="inlineStr">
        <is>
          <t>B.01.01.01</t>
        </is>
      </c>
      <c r="D4" s="1" t="inlineStr">
        <is>
          <t xml:space="preserve">    资产业务</t>
        </is>
      </c>
      <c r="M4" t="inlineStr">
        <is>
          <t>01.01.01</t>
        </is>
      </c>
      <c r="N4" t="inlineStr">
        <is>
          <t>SUM</t>
        </is>
      </c>
    </row>
    <row r="5" ht="16.8" customHeight="1">
      <c r="A5" s="10" t="inlineStr">
        <is>
          <t>一级</t>
        </is>
      </c>
      <c r="B5" s="10" t="inlineStr">
        <is>
          <t>收入</t>
        </is>
      </c>
      <c r="C5" s="10" t="inlineStr">
        <is>
          <t>B.14</t>
        </is>
      </c>
      <c r="D5" s="10" t="inlineStr">
        <is>
          <t xml:space="preserve">      利息收入</t>
        </is>
      </c>
      <c r="K5" t="inlineStr">
        <is>
          <t>是</t>
        </is>
      </c>
      <c r="M5" t="inlineStr">
        <is>
          <t>14</t>
        </is>
      </c>
      <c r="N5" t="inlineStr">
        <is>
          <t>SUM</t>
        </is>
      </c>
    </row>
    <row r="6" ht="16.8" customHeight="1">
      <c r="A6" s="1" t="inlineStr">
        <is>
          <t>一级</t>
        </is>
      </c>
      <c r="B6" s="1" t="inlineStr">
        <is>
          <t>支出</t>
        </is>
      </c>
      <c r="C6" s="9" t="inlineStr">
        <is>
          <t>B.15</t>
        </is>
      </c>
      <c r="D6" s="1" t="inlineStr">
        <is>
          <t xml:space="preserve">      FTP成本</t>
        </is>
      </c>
      <c r="M6" t="inlineStr">
        <is>
          <t>15</t>
        </is>
      </c>
      <c r="N6" t="inlineStr">
        <is>
          <t>SUM</t>
        </is>
      </c>
    </row>
    <row r="7" ht="16.8" customHeight="1">
      <c r="A7" s="1" t="inlineStr">
        <is>
          <t>三级</t>
        </is>
      </c>
      <c r="B7" s="1" t="inlineStr">
        <is>
          <t>收入</t>
        </is>
      </c>
      <c r="C7" s="9" t="inlineStr">
        <is>
          <t>B.01.01.02</t>
        </is>
      </c>
      <c r="D7" s="1" t="inlineStr">
        <is>
          <t xml:space="preserve">    负债业务</t>
        </is>
      </c>
      <c r="M7" t="inlineStr">
        <is>
          <t>01.01.02</t>
        </is>
      </c>
      <c r="N7" t="inlineStr">
        <is>
          <t>SUM</t>
        </is>
      </c>
    </row>
    <row r="8" ht="16.8" customHeight="1">
      <c r="A8" s="7" t="inlineStr">
        <is>
          <t>一级</t>
        </is>
      </c>
      <c r="B8" s="1" t="inlineStr">
        <is>
          <t>支出</t>
        </is>
      </c>
      <c r="C8" s="9" t="inlineStr">
        <is>
          <t>B.16</t>
        </is>
      </c>
      <c r="D8" s="1" t="inlineStr">
        <is>
          <t xml:space="preserve">      利息支出</t>
        </is>
      </c>
      <c r="K8" t="inlineStr">
        <is>
          <t>是</t>
        </is>
      </c>
      <c r="M8" t="inlineStr">
        <is>
          <t>16</t>
        </is>
      </c>
      <c r="N8" t="inlineStr">
        <is>
          <t>SUM</t>
        </is>
      </c>
    </row>
    <row r="9" ht="16.8" customHeight="1">
      <c r="A9" s="7" t="inlineStr">
        <is>
          <t>一级</t>
        </is>
      </c>
      <c r="B9" s="1" t="inlineStr">
        <is>
          <t>支出</t>
        </is>
      </c>
      <c r="C9" s="9" t="inlineStr">
        <is>
          <t>B.17</t>
        </is>
      </c>
      <c r="D9" s="1" t="inlineStr">
        <is>
          <t xml:space="preserve">      FTP收入</t>
        </is>
      </c>
      <c r="M9" t="inlineStr">
        <is>
          <t>17</t>
        </is>
      </c>
      <c r="N9" t="inlineStr">
        <is>
          <t>SUM</t>
        </is>
      </c>
    </row>
    <row r="10" ht="16.8" customHeight="1">
      <c r="A10" s="1" t="inlineStr">
        <is>
          <t>二级</t>
        </is>
      </c>
      <c r="B10" s="1" t="inlineStr">
        <is>
          <t>收入</t>
        </is>
      </c>
      <c r="C10" s="8" t="inlineStr">
        <is>
          <t>B.01.02</t>
        </is>
      </c>
      <c r="D10" s="1" t="inlineStr">
        <is>
          <t xml:space="preserve">  净手续费收入</t>
        </is>
      </c>
      <c r="K10" t="inlineStr">
        <is>
          <t>是</t>
        </is>
      </c>
      <c r="M10" t="inlineStr">
        <is>
          <t>01.02</t>
        </is>
      </c>
      <c r="N10" t="inlineStr">
        <is>
          <t>SUM</t>
        </is>
      </c>
    </row>
    <row r="11" ht="16.8" customHeight="1">
      <c r="A11" s="11" t="inlineStr">
        <is>
          <t>一级</t>
        </is>
      </c>
      <c r="B11" s="11" t="inlineStr">
        <is>
          <t>收入</t>
        </is>
      </c>
      <c r="C11" s="8" t="inlineStr">
        <is>
          <t>B.18</t>
        </is>
      </c>
      <c r="D11" s="1" t="inlineStr">
        <is>
          <t xml:space="preserve">    手续费收入</t>
        </is>
      </c>
      <c r="K11" t="inlineStr">
        <is>
          <t>是</t>
        </is>
      </c>
      <c r="M11" t="inlineStr">
        <is>
          <t>18</t>
        </is>
      </c>
      <c r="N11" t="inlineStr">
        <is>
          <t>SUM</t>
        </is>
      </c>
    </row>
    <row r="12" ht="16.8" customHeight="1">
      <c r="A12" s="11" t="inlineStr">
        <is>
          <t>一级</t>
        </is>
      </c>
      <c r="B12" s="11" t="inlineStr">
        <is>
          <t>支出</t>
        </is>
      </c>
      <c r="C12" s="8" t="inlineStr">
        <is>
          <t>B.19</t>
        </is>
      </c>
      <c r="D12" s="1" t="inlineStr">
        <is>
          <t xml:space="preserve">    手续费支出</t>
        </is>
      </c>
      <c r="K12" t="inlineStr">
        <is>
          <t>是</t>
        </is>
      </c>
      <c r="M12" t="inlineStr">
        <is>
          <t>19</t>
        </is>
      </c>
      <c r="N12" t="inlineStr">
        <is>
          <t>SUM</t>
        </is>
      </c>
    </row>
    <row r="13" ht="16.8" customHeight="1">
      <c r="A13" s="1" t="inlineStr">
        <is>
          <t>二级</t>
        </is>
      </c>
      <c r="B13" s="1" t="inlineStr">
        <is>
          <t>收入</t>
        </is>
      </c>
      <c r="C13" s="8" t="inlineStr">
        <is>
          <t>B.01.03</t>
        </is>
      </c>
      <c r="D13" s="1" t="inlineStr">
        <is>
          <t xml:space="preserve">  其他营收</t>
        </is>
      </c>
      <c r="K13" t="inlineStr">
        <is>
          <t>是</t>
        </is>
      </c>
      <c r="M13" t="inlineStr">
        <is>
          <t>01.03</t>
        </is>
      </c>
      <c r="N13" t="inlineStr">
        <is>
          <t>SUM</t>
        </is>
      </c>
    </row>
    <row r="14" ht="16.8" customHeight="1">
      <c r="A14" s="7" t="inlineStr">
        <is>
          <t>一级</t>
        </is>
      </c>
      <c r="B14" s="1" t="inlineStr">
        <is>
          <t>支出</t>
        </is>
      </c>
      <c r="C14" s="8" t="inlineStr">
        <is>
          <t>B.02</t>
        </is>
      </c>
      <c r="D14" s="7" t="inlineStr">
        <is>
          <t>减：风险成本</t>
        </is>
      </c>
      <c r="K14" t="inlineStr">
        <is>
          <t>是</t>
        </is>
      </c>
      <c r="M14" t="inlineStr">
        <is>
          <t>02</t>
        </is>
      </c>
      <c r="N14" t="inlineStr">
        <is>
          <t>SUM</t>
        </is>
      </c>
    </row>
    <row r="15" ht="16.8" customHeight="1">
      <c r="A15" s="7" t="inlineStr">
        <is>
          <t>一级</t>
        </is>
      </c>
      <c r="B15" s="1" t="inlineStr">
        <is>
          <t>收入</t>
        </is>
      </c>
      <c r="C15" s="8" t="inlineStr">
        <is>
          <t>B.03</t>
        </is>
      </c>
      <c r="D15" s="7" t="inlineStr">
        <is>
          <t>净收入</t>
        </is>
      </c>
      <c r="K15" t="inlineStr">
        <is>
          <t>是</t>
        </is>
      </c>
      <c r="M15" t="inlineStr">
        <is>
          <t>03</t>
        </is>
      </c>
      <c r="N15" t="inlineStr">
        <is>
          <t>SUM</t>
        </is>
      </c>
    </row>
    <row r="16" ht="16.8" customHeight="1">
      <c r="A16" s="7" t="inlineStr">
        <is>
          <t>一级</t>
        </is>
      </c>
      <c r="B16" s="1" t="inlineStr">
        <is>
          <t>支出</t>
        </is>
      </c>
      <c r="C16" s="8" t="inlineStr">
        <is>
          <t>B.04</t>
        </is>
      </c>
      <c r="D16" s="7" t="inlineStr">
        <is>
          <t>减：税金及附加</t>
        </is>
      </c>
      <c r="K16" t="inlineStr">
        <is>
          <t>是</t>
        </is>
      </c>
      <c r="M16" t="inlineStr">
        <is>
          <t>04</t>
        </is>
      </c>
      <c r="N16" t="inlineStr">
        <is>
          <t>SUM</t>
        </is>
      </c>
    </row>
    <row r="17" ht="16.8" customHeight="1">
      <c r="A17" s="7" t="inlineStr">
        <is>
          <t>一级</t>
        </is>
      </c>
      <c r="B17" s="1" t="inlineStr">
        <is>
          <t>支出</t>
        </is>
      </c>
      <c r="C17" s="8" t="inlineStr">
        <is>
          <t>B.05</t>
        </is>
      </c>
      <c r="D17" s="7" t="inlineStr">
        <is>
          <t>减：直接费用</t>
        </is>
      </c>
      <c r="F17" t="inlineStr">
        <is>
          <t>B.90.01+B.90.09+B.90.03+B.90.04+B.90.05</t>
        </is>
      </c>
      <c r="K17" t="inlineStr">
        <is>
          <t>是</t>
        </is>
      </c>
      <c r="M17" t="inlineStr">
        <is>
          <t>05</t>
        </is>
      </c>
    </row>
    <row r="18" ht="16.8" customHeight="1">
      <c r="A18" s="1" t="inlineStr">
        <is>
          <t>二级</t>
        </is>
      </c>
      <c r="B18" s="1" t="inlineStr">
        <is>
          <t>支出</t>
        </is>
      </c>
      <c r="C18" s="8" t="inlineStr">
        <is>
          <t>B.05.01</t>
        </is>
      </c>
      <c r="D18" s="1" t="inlineStr">
        <is>
          <t xml:space="preserve">  人力费用（不含IT）</t>
        </is>
      </c>
      <c r="F18" t="inlineStr">
        <is>
          <t>B.90.01.01+B.90.01.02</t>
        </is>
      </c>
      <c r="K18" t="inlineStr">
        <is>
          <t>是</t>
        </is>
      </c>
      <c r="M18" t="inlineStr">
        <is>
          <t>05.01</t>
        </is>
      </c>
    </row>
    <row r="19" ht="16.8" customHeight="1">
      <c r="A19" s="1" t="inlineStr">
        <is>
          <t>三级</t>
        </is>
      </c>
      <c r="B19" s="1" t="inlineStr">
        <is>
          <t>支出</t>
        </is>
      </c>
      <c r="C19" s="9" t="inlineStr">
        <is>
          <t>B.05.01.01</t>
        </is>
      </c>
      <c r="D19" s="1" t="inlineStr">
        <is>
          <t xml:space="preserve">    常规人力</t>
        </is>
      </c>
      <c r="F19" t="inlineStr">
        <is>
          <t>B.90.01.01.01+B.90.01.01.02+B.90.01.01.03+B.90.01.01.04.001+B.90.01.01.05.001</t>
        </is>
      </c>
      <c r="K19" t="inlineStr">
        <is>
          <t>是</t>
        </is>
      </c>
      <c r="M19" t="inlineStr">
        <is>
          <t>05.01.01</t>
        </is>
      </c>
    </row>
    <row r="20" ht="16.8" customHeight="1">
      <c r="A20" s="1" t="inlineStr">
        <is>
          <t>三级</t>
        </is>
      </c>
      <c r="B20" s="1" t="inlineStr">
        <is>
          <t>支出</t>
        </is>
      </c>
      <c r="C20" s="9" t="inlineStr">
        <is>
          <t>B.05.01.02</t>
        </is>
      </c>
      <c r="D20" s="1" t="inlineStr">
        <is>
          <t xml:space="preserve">    特别人力</t>
        </is>
      </c>
      <c r="F20" t="inlineStr">
        <is>
          <t>B.90.01.02.01+B.90.01.02.02+B.90.01.02.03+B.90.01.02.04.001+B.90.01.02.05.001</t>
        </is>
      </c>
      <c r="K20" t="inlineStr">
        <is>
          <t>是</t>
        </is>
      </c>
      <c r="M20" t="inlineStr">
        <is>
          <t>05.01.02</t>
        </is>
      </c>
    </row>
    <row r="21" ht="16.8" customHeight="1">
      <c r="A21" s="1" t="inlineStr">
        <is>
          <t>二级</t>
        </is>
      </c>
      <c r="B21" s="1" t="inlineStr">
        <is>
          <t>支出</t>
        </is>
      </c>
      <c r="C21" s="8" t="inlineStr">
        <is>
          <t>B.05.02</t>
        </is>
      </c>
      <c r="D21" s="1" t="inlineStr">
        <is>
          <t xml:space="preserve">  业务费用</t>
        </is>
      </c>
      <c r="K21" t="inlineStr">
        <is>
          <t>是</t>
        </is>
      </c>
      <c r="N21" t="inlineStr">
        <is>
          <t>SUM</t>
        </is>
      </c>
    </row>
    <row r="22" ht="16.8" customHeight="1">
      <c r="A22" s="1" t="inlineStr">
        <is>
          <t>三级</t>
        </is>
      </c>
      <c r="B22" s="1" t="inlineStr">
        <is>
          <t>支出</t>
        </is>
      </c>
      <c r="C22" s="9" t="inlineStr">
        <is>
          <t>B.05.02.01</t>
        </is>
      </c>
      <c r="D22" s="1" t="inlineStr">
        <is>
          <t xml:space="preserve">    营销费用</t>
        </is>
      </c>
      <c r="K22" t="inlineStr">
        <is>
          <t>是</t>
        </is>
      </c>
      <c r="N22" t="inlineStr">
        <is>
          <t>SUM</t>
        </is>
      </c>
    </row>
    <row r="23" ht="16.8" customHeight="1">
      <c r="A23" s="1" t="inlineStr">
        <is>
          <t>三级</t>
        </is>
      </c>
      <c r="B23" s="1" t="inlineStr">
        <is>
          <t>支出</t>
        </is>
      </c>
      <c r="C23" s="9" t="inlineStr">
        <is>
          <t>B.05.02.02</t>
        </is>
      </c>
      <c r="D23" s="1" t="inlineStr">
        <is>
          <t xml:space="preserve">    运营费用</t>
        </is>
      </c>
      <c r="K23" t="inlineStr">
        <is>
          <t>是</t>
        </is>
      </c>
      <c r="N23" t="inlineStr">
        <is>
          <t>SUM</t>
        </is>
      </c>
    </row>
    <row r="24" ht="16.8" customHeight="1">
      <c r="A24" s="1" t="inlineStr">
        <is>
          <t>二级</t>
        </is>
      </c>
      <c r="B24" s="1" t="inlineStr">
        <is>
          <t>支出</t>
        </is>
      </c>
      <c r="C24" s="8" t="inlineStr">
        <is>
          <t>B.05.03</t>
        </is>
      </c>
      <c r="D24" s="1" t="inlineStr">
        <is>
          <t xml:space="preserve">  IT费用</t>
        </is>
      </c>
      <c r="F24" t="inlineStr">
        <is>
          <t>B.90.03.01+B.90.03.02+B.90.03.03+B.90.03.04</t>
        </is>
      </c>
      <c r="K24" t="inlineStr">
        <is>
          <t>是</t>
        </is>
      </c>
      <c r="M24" t="inlineStr">
        <is>
          <t>05.03</t>
        </is>
      </c>
    </row>
    <row r="25" ht="16.8" customHeight="1">
      <c r="A25" s="1" t="inlineStr">
        <is>
          <t>三级</t>
        </is>
      </c>
      <c r="B25" s="1" t="inlineStr">
        <is>
          <t>支出</t>
        </is>
      </c>
      <c r="C25" s="9" t="inlineStr">
        <is>
          <t>B.05.03.01</t>
        </is>
      </c>
      <c r="D25" s="1" t="inlineStr">
        <is>
          <t xml:space="preserve">    IT人力</t>
        </is>
      </c>
      <c r="F25" t="inlineStr">
        <is>
          <t>B.90.03.01.01+B.90.03.01.02</t>
        </is>
      </c>
      <c r="K25" t="inlineStr">
        <is>
          <t>是</t>
        </is>
      </c>
      <c r="M25" t="inlineStr">
        <is>
          <t>05.03.01</t>
        </is>
      </c>
    </row>
    <row r="26" ht="16.8" customHeight="1">
      <c r="A26" s="1" t="inlineStr">
        <is>
          <t>四级</t>
        </is>
      </c>
      <c r="B26" s="1" t="inlineStr">
        <is>
          <t>支出</t>
        </is>
      </c>
      <c r="C26" s="9" t="inlineStr">
        <is>
          <t>B.05.03.01.01</t>
        </is>
      </c>
      <c r="D26" s="1" t="inlineStr">
        <is>
          <t xml:space="preserve">      IT常规人力</t>
        </is>
      </c>
      <c r="K26" t="inlineStr">
        <is>
          <t>是</t>
        </is>
      </c>
      <c r="M26" t="inlineStr">
        <is>
          <t>05.03.01.01</t>
        </is>
      </c>
      <c r="N26" t="inlineStr">
        <is>
          <t>SUM</t>
        </is>
      </c>
    </row>
    <row r="27" ht="16.8" customHeight="1">
      <c r="A27" s="1" t="inlineStr">
        <is>
          <t>四级</t>
        </is>
      </c>
      <c r="B27" s="1" t="inlineStr">
        <is>
          <t>支出</t>
        </is>
      </c>
      <c r="C27" s="9" t="inlineStr">
        <is>
          <t>B.05.03.01.02</t>
        </is>
      </c>
      <c r="D27" s="1" t="inlineStr">
        <is>
          <t xml:space="preserve">      IT特别人力</t>
        </is>
      </c>
      <c r="K27" t="inlineStr">
        <is>
          <t>是</t>
        </is>
      </c>
      <c r="M27" t="inlineStr">
        <is>
          <t>05.03.01.02</t>
        </is>
      </c>
      <c r="N27" t="inlineStr">
        <is>
          <t>SUM</t>
        </is>
      </c>
    </row>
    <row r="28" ht="16.8" customHeight="1">
      <c r="A28" s="1" t="inlineStr">
        <is>
          <t>三级</t>
        </is>
      </c>
      <c r="B28" s="1" t="inlineStr">
        <is>
          <t>支出</t>
        </is>
      </c>
      <c r="C28" s="9" t="inlineStr">
        <is>
          <t>B.05.03.02</t>
        </is>
      </c>
      <c r="D28" s="1" t="inlineStr">
        <is>
          <t xml:space="preserve">    科技费用</t>
        </is>
      </c>
      <c r="K28" t="inlineStr">
        <is>
          <t>是</t>
        </is>
      </c>
      <c r="M28" t="inlineStr">
        <is>
          <t>05.03.02</t>
        </is>
      </c>
      <c r="N28" t="inlineStr">
        <is>
          <t>SUM</t>
        </is>
      </c>
    </row>
    <row r="29" ht="16.8" customHeight="1">
      <c r="A29" s="1" t="inlineStr">
        <is>
          <t>三级</t>
        </is>
      </c>
      <c r="B29" s="1" t="inlineStr">
        <is>
          <t>支出</t>
        </is>
      </c>
      <c r="C29" s="9" t="inlineStr">
        <is>
          <t>B.05.03.03</t>
        </is>
      </c>
      <c r="D29" s="1" t="inlineStr">
        <is>
          <t xml:space="preserve">    IT职场</t>
        </is>
      </c>
      <c r="K29" t="inlineStr">
        <is>
          <t>是</t>
        </is>
      </c>
      <c r="M29" t="inlineStr">
        <is>
          <t>05.03.03</t>
        </is>
      </c>
      <c r="N29" t="inlineStr">
        <is>
          <t>SUM</t>
        </is>
      </c>
    </row>
    <row r="30" ht="16.8" customHeight="1">
      <c r="A30" s="1" t="inlineStr">
        <is>
          <t>三级</t>
        </is>
      </c>
      <c r="B30" s="1" t="inlineStr">
        <is>
          <t>支出</t>
        </is>
      </c>
      <c r="C30" s="9" t="inlineStr">
        <is>
          <t>B.05.03.04</t>
        </is>
      </c>
      <c r="D30" s="1" t="inlineStr">
        <is>
          <t xml:space="preserve">    IT日常</t>
        </is>
      </c>
      <c r="K30" t="inlineStr">
        <is>
          <t>是</t>
        </is>
      </c>
      <c r="M30" t="inlineStr">
        <is>
          <t>05.03.04</t>
        </is>
      </c>
      <c r="N30" t="inlineStr">
        <is>
          <t>SUM</t>
        </is>
      </c>
    </row>
    <row r="31" ht="16.8" customHeight="1">
      <c r="A31" s="1" t="inlineStr">
        <is>
          <t>二级</t>
        </is>
      </c>
      <c r="B31" s="1" t="inlineStr">
        <is>
          <t>支出</t>
        </is>
      </c>
      <c r="C31" s="8" t="inlineStr">
        <is>
          <t>B.05.04</t>
        </is>
      </c>
      <c r="D31" s="1" t="inlineStr">
        <is>
          <t xml:space="preserve">  职场费用</t>
        </is>
      </c>
      <c r="K31" t="inlineStr">
        <is>
          <t>是</t>
        </is>
      </c>
      <c r="M31" t="inlineStr">
        <is>
          <t>05.04</t>
        </is>
      </c>
      <c r="N31" t="inlineStr">
        <is>
          <t>SUM</t>
        </is>
      </c>
    </row>
    <row r="32" ht="16.8" customHeight="1">
      <c r="A32" s="1" t="inlineStr">
        <is>
          <t>二级</t>
        </is>
      </c>
      <c r="B32" s="1" t="inlineStr">
        <is>
          <t>支出</t>
        </is>
      </c>
      <c r="C32" s="8" t="inlineStr">
        <is>
          <t>B.05.05</t>
        </is>
      </c>
      <c r="D32" s="1" t="inlineStr">
        <is>
          <t xml:space="preserve">  日常费用</t>
        </is>
      </c>
      <c r="K32" t="inlineStr">
        <is>
          <t>是</t>
        </is>
      </c>
      <c r="M32" t="inlineStr">
        <is>
          <t>05.05</t>
        </is>
      </c>
      <c r="N32" t="inlineStr">
        <is>
          <t>SUM</t>
        </is>
      </c>
    </row>
    <row r="33" ht="16.8" customHeight="1">
      <c r="A33" s="7" t="inlineStr">
        <is>
          <t>一级</t>
        </is>
      </c>
      <c r="B33" s="1" t="inlineStr">
        <is>
          <t>收入</t>
        </is>
      </c>
      <c r="C33" s="8" t="inlineStr">
        <is>
          <t>B.06</t>
        </is>
      </c>
      <c r="D33" s="7" t="inlineStr">
        <is>
          <t>加：营业外净收入</t>
        </is>
      </c>
      <c r="K33" t="inlineStr">
        <is>
          <t>是</t>
        </is>
      </c>
      <c r="M33" t="inlineStr">
        <is>
          <t>06</t>
        </is>
      </c>
      <c r="N33" t="inlineStr">
        <is>
          <t>SUM</t>
        </is>
      </c>
    </row>
    <row r="34" ht="16.8" customHeight="1">
      <c r="A34" s="7" t="inlineStr">
        <is>
          <t>一级</t>
        </is>
      </c>
      <c r="B34" s="1" t="inlineStr">
        <is>
          <t>利润</t>
        </is>
      </c>
      <c r="C34" s="8" t="inlineStr">
        <is>
          <t>B.07</t>
        </is>
      </c>
      <c r="D34" s="7" t="inlineStr">
        <is>
          <t>分摊前利润</t>
        </is>
      </c>
      <c r="M34" t="inlineStr">
        <is>
          <t>07</t>
        </is>
      </c>
      <c r="N34" t="inlineStr">
        <is>
          <t>SUM</t>
        </is>
      </c>
    </row>
    <row r="35" ht="16.8" customHeight="1">
      <c r="A35" s="7" t="inlineStr">
        <is>
          <t>一级</t>
        </is>
      </c>
      <c r="B35" s="1" t="inlineStr">
        <is>
          <t>支出</t>
        </is>
      </c>
      <c r="C35" s="8" t="inlineStr">
        <is>
          <t>B.08</t>
        </is>
      </c>
      <c r="D35" s="7" t="inlineStr">
        <is>
          <t>减：固定管理费</t>
        </is>
      </c>
      <c r="M35" t="inlineStr">
        <is>
          <t>08</t>
        </is>
      </c>
      <c r="N35" t="inlineStr">
        <is>
          <t>SUM</t>
        </is>
      </c>
    </row>
    <row r="36" ht="16.8" customHeight="1">
      <c r="A36" s="7" t="inlineStr">
        <is>
          <t>一级</t>
        </is>
      </c>
      <c r="B36" s="1" t="inlineStr">
        <is>
          <t>利润</t>
        </is>
      </c>
      <c r="C36" s="8" t="inlineStr">
        <is>
          <t>B.09</t>
        </is>
      </c>
      <c r="D36" s="7" t="inlineStr">
        <is>
          <t>税前利润</t>
        </is>
      </c>
      <c r="K36" t="inlineStr">
        <is>
          <t>是</t>
        </is>
      </c>
      <c r="M36" t="inlineStr">
        <is>
          <t>09</t>
        </is>
      </c>
      <c r="N36" t="inlineStr">
        <is>
          <t>SUM</t>
        </is>
      </c>
    </row>
    <row r="37">
      <c r="A37" s="10" t="n"/>
      <c r="B37" s="10" t="n"/>
      <c r="C37" s="10" t="n"/>
      <c r="D37" s="10" t="n"/>
    </row>
    <row r="38" ht="16.8" customHeight="1">
      <c r="A38" s="7" t="inlineStr">
        <is>
          <t>一级</t>
        </is>
      </c>
      <c r="B38" s="7" t="inlineStr">
        <is>
          <t>资产余额</t>
        </is>
      </c>
      <c r="C38" s="11" t="inlineStr">
        <is>
          <t>B.10</t>
        </is>
      </c>
      <c r="D38" s="11" t="inlineStr">
        <is>
          <t>管理贷款余额</t>
        </is>
      </c>
      <c r="F38" t="inlineStr">
        <is>
          <t>B.10.01+B.10.02+B.10.03+B.10.04</t>
        </is>
      </c>
      <c r="M38" t="inlineStr">
        <is>
          <t>10</t>
        </is>
      </c>
    </row>
    <row r="39" ht="16.8" customHeight="1">
      <c r="A39" s="1" t="inlineStr">
        <is>
          <t>二级</t>
        </is>
      </c>
      <c r="B39" s="7" t="inlineStr">
        <is>
          <t>资产余额</t>
        </is>
      </c>
      <c r="C39" s="10" t="inlineStr">
        <is>
          <t>B.10.01</t>
        </is>
      </c>
      <c r="D39" s="10" t="inlineStr">
        <is>
          <t xml:space="preserve">  自持余额</t>
        </is>
      </c>
      <c r="F39" t="inlineStr">
        <is>
          <t>B.10.01.01+B.10.01.02</t>
        </is>
      </c>
      <c r="M39" t="inlineStr">
        <is>
          <t>10.01</t>
        </is>
      </c>
    </row>
    <row r="40" ht="16.8" customHeight="1">
      <c r="A40" s="1" t="inlineStr">
        <is>
          <t>三级</t>
        </is>
      </c>
      <c r="B40" s="7" t="inlineStr">
        <is>
          <t>资产余额</t>
        </is>
      </c>
      <c r="C40" s="10" t="inlineStr">
        <is>
          <t>B.10.01.01</t>
        </is>
      </c>
      <c r="D40" s="10" t="inlineStr">
        <is>
          <t xml:space="preserve">    一般贷款</t>
        </is>
      </c>
      <c r="M40" t="inlineStr">
        <is>
          <t>10.01.01</t>
        </is>
      </c>
      <c r="N40" t="inlineStr">
        <is>
          <t>LAST</t>
        </is>
      </c>
    </row>
    <row r="41" ht="16.8" customHeight="1">
      <c r="A41" s="1" t="inlineStr">
        <is>
          <t>三级</t>
        </is>
      </c>
      <c r="B41" s="7" t="inlineStr">
        <is>
          <t>资产余额</t>
        </is>
      </c>
      <c r="C41" s="10" t="inlineStr">
        <is>
          <t>B.10.01.02</t>
        </is>
      </c>
      <c r="D41" s="10" t="inlineStr">
        <is>
          <t xml:space="preserve">    票据融资</t>
        </is>
      </c>
      <c r="M41" t="inlineStr">
        <is>
          <t>10.01.02</t>
        </is>
      </c>
      <c r="N41" t="inlineStr">
        <is>
          <t>LAST</t>
        </is>
      </c>
    </row>
    <row r="42" ht="16.8" customHeight="1">
      <c r="A42" s="1" t="inlineStr">
        <is>
          <t>二级</t>
        </is>
      </c>
      <c r="B42" s="7" t="inlineStr">
        <is>
          <t>资产余额</t>
        </is>
      </c>
      <c r="C42" s="10" t="inlineStr">
        <is>
          <t>B.10.02</t>
        </is>
      </c>
      <c r="D42" s="10" t="inlineStr">
        <is>
          <t xml:space="preserve">  联贷</t>
        </is>
      </c>
      <c r="M42" t="inlineStr">
        <is>
          <t>10.02</t>
        </is>
      </c>
      <c r="N42" t="inlineStr">
        <is>
          <t>LAST</t>
        </is>
      </c>
    </row>
    <row r="43" ht="16.8" customHeight="1">
      <c r="A43" s="1" t="inlineStr">
        <is>
          <t>二级</t>
        </is>
      </c>
      <c r="B43" s="7" t="inlineStr">
        <is>
          <t>资产余额</t>
        </is>
      </c>
      <c r="C43" s="10" t="inlineStr">
        <is>
          <t>B.10.03</t>
        </is>
      </c>
      <c r="D43" s="10" t="inlineStr">
        <is>
          <t xml:space="preserve">  流转</t>
        </is>
      </c>
      <c r="M43" t="inlineStr">
        <is>
          <t>10.03</t>
        </is>
      </c>
      <c r="N43" t="inlineStr">
        <is>
          <t>LAST</t>
        </is>
      </c>
    </row>
    <row r="44" ht="16.8" customHeight="1">
      <c r="A44" s="10" t="inlineStr">
        <is>
          <t>二级</t>
        </is>
      </c>
      <c r="B44" s="7" t="inlineStr">
        <is>
          <t>资产余额</t>
        </is>
      </c>
      <c r="C44" s="10" t="inlineStr">
        <is>
          <t>B.10.04</t>
        </is>
      </c>
      <c r="D44" s="10" t="inlineStr">
        <is>
          <t xml:space="preserve">  银承保函</t>
        </is>
      </c>
      <c r="M44" t="inlineStr">
        <is>
          <t>10.04</t>
        </is>
      </c>
      <c r="N44" t="inlineStr">
        <is>
          <t>LAST</t>
        </is>
      </c>
    </row>
    <row r="45" ht="16.8" customHeight="1">
      <c r="A45" s="7" t="inlineStr">
        <is>
          <t>一级</t>
        </is>
      </c>
      <c r="B45" s="7" t="inlineStr">
        <is>
          <t>资产日均</t>
        </is>
      </c>
      <c r="C45" s="11" t="inlineStr">
        <is>
          <t>B.11</t>
        </is>
      </c>
      <c r="D45" s="11" t="inlineStr">
        <is>
          <t>管理贷款日均</t>
        </is>
      </c>
      <c r="F45" t="inlineStr">
        <is>
          <t>B.11.01+B.11.02+B.11.03+B.11.04</t>
        </is>
      </c>
      <c r="M45" t="inlineStr">
        <is>
          <t>11</t>
        </is>
      </c>
    </row>
    <row r="46" ht="16.8" customHeight="1">
      <c r="A46" s="1" t="inlineStr">
        <is>
          <t>二级</t>
        </is>
      </c>
      <c r="B46" s="7" t="inlineStr">
        <is>
          <t>资产日均</t>
        </is>
      </c>
      <c r="C46" s="10" t="inlineStr">
        <is>
          <t>B.11.01</t>
        </is>
      </c>
      <c r="D46" s="10" t="inlineStr">
        <is>
          <t xml:space="preserve">  自持</t>
        </is>
      </c>
      <c r="F46" t="inlineStr">
        <is>
          <t>B.11.01.01+B.11.01.02</t>
        </is>
      </c>
      <c r="M46" t="inlineStr">
        <is>
          <t>11.01</t>
        </is>
      </c>
    </row>
    <row r="47" ht="16.8" customHeight="1">
      <c r="A47" s="1" t="inlineStr">
        <is>
          <t>三级</t>
        </is>
      </c>
      <c r="B47" s="7" t="inlineStr">
        <is>
          <t>资产日均</t>
        </is>
      </c>
      <c r="C47" s="10" t="inlineStr">
        <is>
          <t>B.11.01.01</t>
        </is>
      </c>
      <c r="D47" s="10" t="inlineStr">
        <is>
          <t xml:space="preserve">    一般贷款</t>
        </is>
      </c>
      <c r="M47" t="inlineStr">
        <is>
          <t>11.01.01</t>
        </is>
      </c>
      <c r="N47" t="inlineStr">
        <is>
          <t>AVG</t>
        </is>
      </c>
    </row>
    <row r="48" ht="16.8" customHeight="1">
      <c r="A48" s="1" t="inlineStr">
        <is>
          <t>三级</t>
        </is>
      </c>
      <c r="B48" s="7" t="inlineStr">
        <is>
          <t>资产日均</t>
        </is>
      </c>
      <c r="C48" s="10" t="inlineStr">
        <is>
          <t>B.11.01.02</t>
        </is>
      </c>
      <c r="D48" s="10" t="inlineStr">
        <is>
          <t xml:space="preserve">    票据融资</t>
        </is>
      </c>
      <c r="M48" t="inlineStr">
        <is>
          <t>11.01.02</t>
        </is>
      </c>
      <c r="N48" t="inlineStr">
        <is>
          <t>AVG</t>
        </is>
      </c>
    </row>
    <row r="49" ht="16.8" customHeight="1">
      <c r="A49" s="1" t="inlineStr">
        <is>
          <t>二级</t>
        </is>
      </c>
      <c r="B49" s="7" t="inlineStr">
        <is>
          <t>资产日均</t>
        </is>
      </c>
      <c r="C49" s="10" t="inlineStr">
        <is>
          <t>B.11.02</t>
        </is>
      </c>
      <c r="D49" s="10" t="inlineStr">
        <is>
          <t xml:space="preserve">  联贷</t>
        </is>
      </c>
      <c r="M49" t="inlineStr">
        <is>
          <t>11.02</t>
        </is>
      </c>
      <c r="N49" t="inlineStr">
        <is>
          <t>AVG</t>
        </is>
      </c>
    </row>
    <row r="50" ht="16.8" customHeight="1">
      <c r="A50" s="1" t="inlineStr">
        <is>
          <t>二级</t>
        </is>
      </c>
      <c r="B50" s="7" t="inlineStr">
        <is>
          <t>资产日均</t>
        </is>
      </c>
      <c r="C50" s="10" t="inlineStr">
        <is>
          <t>B.11.03</t>
        </is>
      </c>
      <c r="D50" s="10" t="inlineStr">
        <is>
          <t xml:space="preserve">  流转</t>
        </is>
      </c>
      <c r="M50" t="inlineStr">
        <is>
          <t>11.03</t>
        </is>
      </c>
      <c r="N50" t="inlineStr">
        <is>
          <t>AVG</t>
        </is>
      </c>
    </row>
    <row r="51" ht="16.8" customHeight="1">
      <c r="A51" s="10" t="inlineStr">
        <is>
          <t>二级</t>
        </is>
      </c>
      <c r="B51" s="7" t="inlineStr">
        <is>
          <t>资产日均</t>
        </is>
      </c>
      <c r="C51" s="10" t="inlineStr">
        <is>
          <t>B.11.04</t>
        </is>
      </c>
      <c r="D51" s="10" t="inlineStr">
        <is>
          <t xml:space="preserve">  银承保函</t>
        </is>
      </c>
      <c r="M51" t="inlineStr">
        <is>
          <t>11.04</t>
        </is>
      </c>
      <c r="N51" t="inlineStr">
        <is>
          <t>AVG</t>
        </is>
      </c>
    </row>
    <row r="52">
      <c r="A52" s="10" t="n"/>
      <c r="B52" s="7" t="n"/>
      <c r="C52" s="10" t="n"/>
      <c r="D52" s="10" t="n"/>
    </row>
    <row r="53" ht="16.8" customHeight="1">
      <c r="A53" s="1" t="inlineStr">
        <is>
          <t>一级</t>
        </is>
      </c>
      <c r="B53" s="1" t="inlineStr">
        <is>
          <t>负债余额</t>
        </is>
      </c>
      <c r="C53" s="10" t="inlineStr">
        <is>
          <t>B.12</t>
        </is>
      </c>
      <c r="D53" s="10" t="inlineStr">
        <is>
          <t>管理资产余额</t>
        </is>
      </c>
      <c r="F53" t="inlineStr">
        <is>
          <t>B.12.01+B.12.02</t>
        </is>
      </c>
      <c r="M53" t="inlineStr">
        <is>
          <t>12</t>
        </is>
      </c>
    </row>
    <row r="54" ht="16.8" customHeight="1">
      <c r="A54" s="1" t="inlineStr">
        <is>
          <t>二级</t>
        </is>
      </c>
      <c r="B54" s="1" t="inlineStr">
        <is>
          <t>负债余额</t>
        </is>
      </c>
      <c r="C54" s="10" t="inlineStr">
        <is>
          <t>B.12.01</t>
        </is>
      </c>
      <c r="D54" s="10" t="inlineStr">
        <is>
          <t xml:space="preserve">  存款余额</t>
        </is>
      </c>
      <c r="M54" t="inlineStr">
        <is>
          <t>12.01</t>
        </is>
      </c>
      <c r="N54" t="inlineStr">
        <is>
          <t>LAST</t>
        </is>
      </c>
    </row>
    <row r="55" ht="16.8" customHeight="1">
      <c r="A55" s="1" t="inlineStr">
        <is>
          <t>二级</t>
        </is>
      </c>
      <c r="B55" s="1" t="inlineStr">
        <is>
          <t>负债余额</t>
        </is>
      </c>
      <c r="C55" s="10" t="inlineStr">
        <is>
          <t>B.12.02</t>
        </is>
      </c>
      <c r="D55" s="10" t="inlineStr">
        <is>
          <t xml:space="preserve">  代销理财</t>
        </is>
      </c>
      <c r="M55" t="inlineStr">
        <is>
          <t>12.02</t>
        </is>
      </c>
      <c r="N55" t="inlineStr">
        <is>
          <t>LAST</t>
        </is>
      </c>
    </row>
    <row r="56" ht="16.8" customHeight="1">
      <c r="A56" s="1" t="inlineStr">
        <is>
          <t>一级</t>
        </is>
      </c>
      <c r="B56" s="1" t="inlineStr">
        <is>
          <t>负债余额</t>
        </is>
      </c>
      <c r="C56" s="10" t="inlineStr">
        <is>
          <t>B.13</t>
        </is>
      </c>
      <c r="D56" s="10" t="inlineStr">
        <is>
          <t>管理资产日均</t>
        </is>
      </c>
      <c r="F56" t="inlineStr">
        <is>
          <t>B.13.01+B.13.02</t>
        </is>
      </c>
      <c r="M56" t="inlineStr">
        <is>
          <t>13</t>
        </is>
      </c>
    </row>
    <row r="57" ht="16.8" customHeight="1">
      <c r="A57" s="1" t="inlineStr">
        <is>
          <t>二级</t>
        </is>
      </c>
      <c r="B57" s="1" t="inlineStr">
        <is>
          <t>负债日均</t>
        </is>
      </c>
      <c r="C57" s="10" t="inlineStr">
        <is>
          <t>B.13.01</t>
        </is>
      </c>
      <c r="D57" s="10" t="inlineStr">
        <is>
          <t xml:space="preserve">  存款日均</t>
        </is>
      </c>
      <c r="M57" t="inlineStr">
        <is>
          <t>13.01</t>
        </is>
      </c>
      <c r="N57" t="inlineStr">
        <is>
          <t>AVG</t>
        </is>
      </c>
    </row>
    <row r="58" ht="16.8" customHeight="1">
      <c r="A58" s="1" t="inlineStr">
        <is>
          <t>二级</t>
        </is>
      </c>
      <c r="B58" s="1" t="inlineStr">
        <is>
          <t>负债日均</t>
        </is>
      </c>
      <c r="C58" s="10" t="inlineStr">
        <is>
          <t>B.13.02</t>
        </is>
      </c>
      <c r="D58" s="10" t="inlineStr">
        <is>
          <t xml:space="preserve">  代销理财日均</t>
        </is>
      </c>
      <c r="M58" t="inlineStr">
        <is>
          <t>13.02</t>
        </is>
      </c>
      <c r="N58" t="inlineStr">
        <is>
          <t>AVG</t>
        </is>
      </c>
    </row>
    <row r="59"/>
    <row r="60" ht="16.8" customHeight="1">
      <c r="A60" t="inlineStr">
        <is>
          <t>层级</t>
        </is>
      </c>
      <c r="B60" t="inlineStr">
        <is>
          <t>性质</t>
        </is>
      </c>
      <c r="C60" t="inlineStr">
        <is>
          <t>科目代码</t>
        </is>
      </c>
      <c r="D60" t="inlineStr">
        <is>
          <t>科目名称</t>
        </is>
      </c>
      <c r="F60" t="inlineStr">
        <is>
          <t>年预算公式</t>
        </is>
      </c>
      <c r="J60" t="inlineStr">
        <is>
          <t>公式说明</t>
        </is>
      </c>
      <c r="K60" t="inlineStr">
        <is>
          <t>横向汇总</t>
        </is>
      </c>
      <c r="M60" t="inlineStr">
        <is>
          <t>录入粒度</t>
        </is>
      </c>
    </row>
    <row r="61" ht="16.8" customHeight="1">
      <c r="A61" t="inlineStr">
        <is>
          <t>一级</t>
        </is>
      </c>
      <c r="B61" t="inlineStr">
        <is>
          <t>支出</t>
        </is>
      </c>
      <c r="C61" t="inlineStr">
        <is>
          <t>B.90</t>
        </is>
      </c>
      <c r="D61" t="inlineStr">
        <is>
          <t>减:业务及管理费</t>
        </is>
      </c>
      <c r="F61" t="inlineStr">
        <is>
          <t>B.90.01+B.90.03</t>
        </is>
      </c>
      <c r="K61" t="inlineStr">
        <is>
          <t>是</t>
        </is>
      </c>
      <c r="M61" t="inlineStr">
        <is>
          <t>05</t>
        </is>
      </c>
    </row>
    <row r="62" ht="16.8" customHeight="1">
      <c r="A62" t="inlineStr">
        <is>
          <t>二级</t>
        </is>
      </c>
      <c r="B62" t="inlineStr">
        <is>
          <t>支出</t>
        </is>
      </c>
      <c r="C62" t="inlineStr">
        <is>
          <t>B.90.01</t>
        </is>
      </c>
      <c r="D62" t="inlineStr">
        <is>
          <t>直接费用</t>
        </is>
      </c>
      <c r="F62" t="inlineStr">
        <is>
          <t>B.90.01.01+B.90.01.02</t>
        </is>
      </c>
      <c r="K62" t="inlineStr">
        <is>
          <t>是</t>
        </is>
      </c>
      <c r="M62" t="inlineStr">
        <is>
          <t>05.01</t>
        </is>
      </c>
    </row>
    <row r="63" ht="16.8" customHeight="1">
      <c r="A63" t="inlineStr">
        <is>
          <t>三级</t>
        </is>
      </c>
      <c r="B63" t="inlineStr">
        <is>
          <t>支出</t>
        </is>
      </c>
      <c r="C63" t="inlineStr">
        <is>
          <t>B.90.01.01</t>
        </is>
      </c>
      <c r="D63" t="inlineStr">
        <is>
          <t>直接费用</t>
        </is>
      </c>
      <c r="F63" t="inlineStr">
        <is>
          <t>B.90.01.01.01+B.90.01.01.02+B.90.01.01.03+B.90.01.01.04.001+B.90.01.01.05.001</t>
        </is>
      </c>
      <c r="K63" t="inlineStr">
        <is>
          <t>是</t>
        </is>
      </c>
      <c r="M63" t="inlineStr">
        <is>
          <t>05.01.01</t>
        </is>
      </c>
    </row>
    <row r="64" ht="16.8" customHeight="1">
      <c r="A64" t="inlineStr">
        <is>
          <t>四级</t>
        </is>
      </c>
      <c r="B64" t="inlineStr">
        <is>
          <t>支出</t>
        </is>
      </c>
      <c r="C64" t="inlineStr">
        <is>
          <t>B.90.01.01.01</t>
        </is>
      </c>
      <c r="D64" t="inlineStr">
        <is>
          <t>人力（不含IT)</t>
        </is>
      </c>
      <c r="F64" t="inlineStr">
        <is>
          <t>B.90.01.01.01.001+B.90.01.01.01.002</t>
        </is>
      </c>
      <c r="K64" t="inlineStr">
        <is>
          <t>是</t>
        </is>
      </c>
      <c r="M64" t="inlineStr">
        <is>
          <t>05.01.01.01</t>
        </is>
      </c>
    </row>
    <row r="65" ht="16.8" customHeight="1">
      <c r="A65" t="inlineStr">
        <is>
          <t>五级</t>
        </is>
      </c>
      <c r="B65" t="inlineStr">
        <is>
          <t>支出</t>
        </is>
      </c>
      <c r="C65" t="inlineStr">
        <is>
          <t>B.90.01.01.01.001</t>
        </is>
      </c>
      <c r="D65" t="inlineStr">
        <is>
          <t>业务人力</t>
        </is>
      </c>
      <c r="K65" t="inlineStr">
        <is>
          <t>是</t>
        </is>
      </c>
      <c r="M65" t="inlineStr">
        <is>
          <t>05.01.01.01.001</t>
        </is>
      </c>
      <c r="N65" t="inlineStr">
        <is>
          <t>SUM</t>
        </is>
      </c>
    </row>
    <row r="66" ht="16.8" customHeight="1">
      <c r="A66" t="inlineStr">
        <is>
          <t>五级</t>
        </is>
      </c>
      <c r="B66" t="inlineStr">
        <is>
          <t>支出</t>
        </is>
      </c>
      <c r="C66" t="inlineStr">
        <is>
          <t>B.90.01.01.01.002</t>
        </is>
      </c>
      <c r="D66" t="inlineStr">
        <is>
          <t>特别人力</t>
        </is>
      </c>
      <c r="K66" t="inlineStr">
        <is>
          <t>是</t>
        </is>
      </c>
      <c r="M66" t="inlineStr">
        <is>
          <t>05.01.01.01.002</t>
        </is>
      </c>
      <c r="N66" t="inlineStr">
        <is>
          <t>SUM</t>
        </is>
      </c>
    </row>
    <row r="67" ht="16.8" customHeight="1">
      <c r="A67" t="inlineStr">
        <is>
          <t>四级</t>
        </is>
      </c>
      <c r="B67" t="inlineStr">
        <is>
          <t>支出</t>
        </is>
      </c>
      <c r="C67" t="inlineStr">
        <is>
          <t>B.90.01.01.02</t>
        </is>
      </c>
      <c r="D67" t="inlineStr">
        <is>
          <t>业务费用</t>
        </is>
      </c>
      <c r="F67" t="inlineStr">
        <is>
          <t>B.90.01.01.02.001+B.90.01.01.02.002</t>
        </is>
      </c>
      <c r="K67" t="inlineStr">
        <is>
          <t>是</t>
        </is>
      </c>
      <c r="M67" t="inlineStr">
        <is>
          <t>05.01.01.02</t>
        </is>
      </c>
    </row>
    <row r="68" ht="16.8" customHeight="1">
      <c r="A68" t="inlineStr">
        <is>
          <t>五级</t>
        </is>
      </c>
      <c r="B68" t="inlineStr">
        <is>
          <t>支出</t>
        </is>
      </c>
      <c r="C68" t="inlineStr">
        <is>
          <t>B.90.01.01.02.001</t>
        </is>
      </c>
      <c r="D68" t="inlineStr">
        <is>
          <t>营销</t>
        </is>
      </c>
      <c r="K68" t="inlineStr">
        <is>
          <t>是</t>
        </is>
      </c>
      <c r="M68" t="inlineStr">
        <is>
          <t>05.01.01.02.001</t>
        </is>
      </c>
      <c r="N68" t="inlineStr">
        <is>
          <t>SUM</t>
        </is>
      </c>
    </row>
    <row r="69" ht="16.8" customHeight="1">
      <c r="A69" t="inlineStr">
        <is>
          <t>五级</t>
        </is>
      </c>
      <c r="B69" t="inlineStr">
        <is>
          <t>支出</t>
        </is>
      </c>
      <c r="C69" t="inlineStr">
        <is>
          <t>B.90.01.01.02.002</t>
        </is>
      </c>
      <c r="D69" t="inlineStr">
        <is>
          <t>运营</t>
        </is>
      </c>
      <c r="K69" t="inlineStr">
        <is>
          <t>是</t>
        </is>
      </c>
      <c r="M69" t="inlineStr">
        <is>
          <t>05.01.01.02.002</t>
        </is>
      </c>
      <c r="N69" t="inlineStr">
        <is>
          <t>SUM</t>
        </is>
      </c>
    </row>
    <row r="70" ht="16.8" customHeight="1">
      <c r="A70" t="inlineStr">
        <is>
          <t>四级</t>
        </is>
      </c>
      <c r="B70" t="inlineStr">
        <is>
          <t>支出</t>
        </is>
      </c>
      <c r="C70" t="inlineStr">
        <is>
          <t>B.90.01.01.03</t>
        </is>
      </c>
      <c r="D70" t="inlineStr">
        <is>
          <t>IT</t>
        </is>
      </c>
      <c r="F70" t="inlineStr">
        <is>
          <t>B.90.01.01.03.01+B.90.01.01.03.02.001+B.90.01.01.03.03.001+B.90.01.01.03.04.001</t>
        </is>
      </c>
      <c r="K70" t="inlineStr">
        <is>
          <t>是</t>
        </is>
      </c>
      <c r="M70" t="inlineStr">
        <is>
          <t>05.01.01.03</t>
        </is>
      </c>
    </row>
    <row r="71" ht="16.8" customHeight="1">
      <c r="A71" t="inlineStr">
        <is>
          <t>五级</t>
        </is>
      </c>
      <c r="B71" t="inlineStr">
        <is>
          <t>支出</t>
        </is>
      </c>
      <c r="C71" t="inlineStr">
        <is>
          <t>B.90.01.01.03.01</t>
        </is>
      </c>
      <c r="D71" t="inlineStr">
        <is>
          <t>IT人力</t>
        </is>
      </c>
      <c r="F71" t="inlineStr">
        <is>
          <t>B.90.01.01.03.01.001+B.90.01.01.03.01.002</t>
        </is>
      </c>
      <c r="K71" t="inlineStr">
        <is>
          <t>是</t>
        </is>
      </c>
      <c r="M71" t="inlineStr">
        <is>
          <t>05.01.01.03.01</t>
        </is>
      </c>
    </row>
    <row r="72" ht="16.8" customHeight="1">
      <c r="A72" t="inlineStr">
        <is>
          <t>六级</t>
        </is>
      </c>
      <c r="B72" t="inlineStr">
        <is>
          <t>支出</t>
        </is>
      </c>
      <c r="C72" t="inlineStr">
        <is>
          <t>B.90.01.01.03.01.001</t>
        </is>
      </c>
      <c r="D72" t="inlineStr">
        <is>
          <t>IT常规人力</t>
        </is>
      </c>
      <c r="K72" t="inlineStr">
        <is>
          <t>是</t>
        </is>
      </c>
      <c r="M72" t="inlineStr">
        <is>
          <t>05.01.01.03.01.001</t>
        </is>
      </c>
      <c r="N72" t="inlineStr">
        <is>
          <t>SUM</t>
        </is>
      </c>
    </row>
    <row r="73" ht="16.8" customHeight="1">
      <c r="A73" t="inlineStr">
        <is>
          <t>六级</t>
        </is>
      </c>
      <c r="B73" t="inlineStr">
        <is>
          <t>支出</t>
        </is>
      </c>
      <c r="C73" t="inlineStr">
        <is>
          <t>B.90.01.01.03.01.002</t>
        </is>
      </c>
      <c r="D73" t="inlineStr">
        <is>
          <t>IT特别人力</t>
        </is>
      </c>
      <c r="K73" t="inlineStr">
        <is>
          <t>是</t>
        </is>
      </c>
      <c r="M73" t="inlineStr">
        <is>
          <t>05.01.01.03.01.002</t>
        </is>
      </c>
      <c r="N73" t="inlineStr">
        <is>
          <t>SUM</t>
        </is>
      </c>
    </row>
    <row r="74" ht="16.8" customHeight="1">
      <c r="A74" t="inlineStr">
        <is>
          <t>五级</t>
        </is>
      </c>
      <c r="B74" t="inlineStr">
        <is>
          <t>支出</t>
        </is>
      </c>
      <c r="C74" t="inlineStr">
        <is>
          <t>B.90.01.01.03.02</t>
        </is>
      </c>
      <c r="D74" t="inlineStr">
        <is>
          <t>科技</t>
        </is>
      </c>
      <c r="K74" t="inlineStr">
        <is>
          <t>是</t>
        </is>
      </c>
      <c r="M74" t="inlineStr">
        <is>
          <t>05.01.01.03.02</t>
        </is>
      </c>
      <c r="N74" t="inlineStr">
        <is>
          <t>SUM</t>
        </is>
      </c>
    </row>
    <row r="75" ht="16.8" customHeight="1">
      <c r="A75" t="inlineStr">
        <is>
          <t>五级</t>
        </is>
      </c>
      <c r="B75" t="inlineStr">
        <is>
          <t>支出</t>
        </is>
      </c>
      <c r="C75" t="inlineStr">
        <is>
          <t>B.90.01.01.03.03</t>
        </is>
      </c>
      <c r="D75" t="inlineStr">
        <is>
          <t>IT职场</t>
        </is>
      </c>
      <c r="K75" t="inlineStr">
        <is>
          <t>是</t>
        </is>
      </c>
      <c r="M75" t="inlineStr">
        <is>
          <t>05.01.01.03.03</t>
        </is>
      </c>
      <c r="N75" t="inlineStr">
        <is>
          <t>SUM</t>
        </is>
      </c>
    </row>
    <row r="76" ht="16.8" customHeight="1">
      <c r="A76" t="inlineStr">
        <is>
          <t>五级</t>
        </is>
      </c>
      <c r="B76" t="inlineStr">
        <is>
          <t>支出</t>
        </is>
      </c>
      <c r="C76" t="inlineStr">
        <is>
          <t>B.90.01.01.03.04</t>
        </is>
      </c>
      <c r="D76" t="inlineStr">
        <is>
          <t>IT日常</t>
        </is>
      </c>
      <c r="K76" t="inlineStr">
        <is>
          <t>是</t>
        </is>
      </c>
      <c r="M76" t="inlineStr">
        <is>
          <t>05.01.01.03.04</t>
        </is>
      </c>
      <c r="N76" t="inlineStr">
        <is>
          <t>SUM</t>
        </is>
      </c>
    </row>
    <row r="77" ht="16.8" customHeight="1">
      <c r="A77" t="inlineStr">
        <is>
          <t>四级</t>
        </is>
      </c>
      <c r="B77" t="inlineStr">
        <is>
          <t>支出</t>
        </is>
      </c>
      <c r="C77" t="inlineStr">
        <is>
          <t>B.90.01.01.04</t>
        </is>
      </c>
      <c r="D77" t="inlineStr">
        <is>
          <t>AA.05.01.01.04</t>
        </is>
      </c>
      <c r="F77" t="inlineStr">
        <is>
          <t>B.90.01.01.04.001</t>
        </is>
      </c>
      <c r="K77" t="inlineStr">
        <is>
          <t>是</t>
        </is>
      </c>
      <c r="M77" t="inlineStr">
        <is>
          <t>05.01.01.04</t>
        </is>
      </c>
      <c r="N77" t="inlineStr">
        <is>
          <t>SUM</t>
        </is>
      </c>
    </row>
    <row r="78" ht="16.8" customHeight="1">
      <c r="A78" t="inlineStr">
        <is>
          <t>五级</t>
        </is>
      </c>
      <c r="B78" t="inlineStr">
        <is>
          <t>支出</t>
        </is>
      </c>
      <c r="C78" t="inlineStr">
        <is>
          <t>B.90.01.01.04.001</t>
        </is>
      </c>
      <c r="D78" t="inlineStr">
        <is>
          <t>职场</t>
        </is>
      </c>
      <c r="K78" t="inlineStr">
        <is>
          <t>是</t>
        </is>
      </c>
      <c r="M78" t="inlineStr">
        <is>
          <t>05.01.01.04.001</t>
        </is>
      </c>
      <c r="N78" t="inlineStr">
        <is>
          <t>SUM</t>
        </is>
      </c>
    </row>
    <row r="79" ht="16.8" customHeight="1">
      <c r="A79" t="inlineStr">
        <is>
          <t>四级</t>
        </is>
      </c>
      <c r="B79" t="inlineStr">
        <is>
          <t>支出</t>
        </is>
      </c>
      <c r="C79" t="inlineStr">
        <is>
          <t>B.90.01.01.05</t>
        </is>
      </c>
      <c r="D79" t="inlineStr">
        <is>
          <t>AA.05.01.01.05</t>
        </is>
      </c>
      <c r="F79" t="inlineStr">
        <is>
          <t>B.90.01.01.05.001</t>
        </is>
      </c>
      <c r="K79" t="inlineStr">
        <is>
          <t>是</t>
        </is>
      </c>
      <c r="M79" t="inlineStr">
        <is>
          <t>05.01.01.05</t>
        </is>
      </c>
      <c r="N79" t="inlineStr">
        <is>
          <t>SUM</t>
        </is>
      </c>
    </row>
    <row r="80" ht="16.8" customHeight="1">
      <c r="A80" t="inlineStr">
        <is>
          <t>五级</t>
        </is>
      </c>
      <c r="B80" t="inlineStr">
        <is>
          <t>支出</t>
        </is>
      </c>
      <c r="C80" t="inlineStr">
        <is>
          <t>B.90.01.01.05.001</t>
        </is>
      </c>
      <c r="D80" t="inlineStr">
        <is>
          <t>日常</t>
        </is>
      </c>
      <c r="K80" t="inlineStr">
        <is>
          <t>是</t>
        </is>
      </c>
      <c r="M80" t="inlineStr">
        <is>
          <t>05.01.01.05.001</t>
        </is>
      </c>
      <c r="N80" t="inlineStr">
        <is>
          <t>SUM</t>
        </is>
      </c>
    </row>
    <row r="81" ht="16.8" customHeight="1">
      <c r="A81" t="inlineStr">
        <is>
          <t>三级</t>
        </is>
      </c>
      <c r="B81" t="inlineStr">
        <is>
          <t>支出</t>
        </is>
      </c>
      <c r="C81" t="inlineStr">
        <is>
          <t>B.90.01.02</t>
        </is>
      </c>
      <c r="D81" t="inlineStr">
        <is>
          <t>间接费用</t>
        </is>
      </c>
      <c r="F81" t="inlineStr">
        <is>
          <t>B.90.01.02.01+B.90.01.02.02+B.90.01.02.03+B.90.01.02.04.001+B.90.01.02.05.001</t>
        </is>
      </c>
      <c r="K81" t="inlineStr">
        <is>
          <t>是</t>
        </is>
      </c>
      <c r="M81" t="inlineStr">
        <is>
          <t>05.01.02</t>
        </is>
      </c>
    </row>
    <row r="82" ht="16.8" customHeight="1">
      <c r="A82" t="inlineStr">
        <is>
          <t>四级</t>
        </is>
      </c>
      <c r="B82" t="inlineStr">
        <is>
          <t>支出</t>
        </is>
      </c>
      <c r="C82" t="inlineStr">
        <is>
          <t>B.90.01.02.01</t>
        </is>
      </c>
      <c r="D82" t="inlineStr">
        <is>
          <t>人力（不含IT)</t>
        </is>
      </c>
      <c r="F82" t="inlineStr">
        <is>
          <t>B.90.01.02.01.001+B.90.01.02.01.002</t>
        </is>
      </c>
      <c r="K82" t="inlineStr">
        <is>
          <t>是</t>
        </is>
      </c>
      <c r="M82" t="inlineStr">
        <is>
          <t>05.01.02.01</t>
        </is>
      </c>
    </row>
    <row r="83" ht="16.8" customHeight="1">
      <c r="A83" t="inlineStr">
        <is>
          <t>五级</t>
        </is>
      </c>
      <c r="B83" t="inlineStr">
        <is>
          <t>支出</t>
        </is>
      </c>
      <c r="C83" t="inlineStr">
        <is>
          <t>B.90.01.02.01.001</t>
        </is>
      </c>
      <c r="D83" t="inlineStr">
        <is>
          <t>业务人力</t>
        </is>
      </c>
      <c r="K83" t="inlineStr">
        <is>
          <t>是</t>
        </is>
      </c>
      <c r="M83" t="inlineStr">
        <is>
          <t>05.01.02.01.001</t>
        </is>
      </c>
      <c r="N83" t="inlineStr">
        <is>
          <t>SUM</t>
        </is>
      </c>
    </row>
    <row r="84" ht="16.8" customHeight="1">
      <c r="A84" t="inlineStr">
        <is>
          <t>五级</t>
        </is>
      </c>
      <c r="B84" t="inlineStr">
        <is>
          <t>支出</t>
        </is>
      </c>
      <c r="C84" t="inlineStr">
        <is>
          <t>B.90.01.02.01.002</t>
        </is>
      </c>
      <c r="D84" t="inlineStr">
        <is>
          <t>特别人力</t>
        </is>
      </c>
      <c r="K84" t="inlineStr">
        <is>
          <t>是</t>
        </is>
      </c>
      <c r="M84" t="inlineStr">
        <is>
          <t>05.01.02.01.002</t>
        </is>
      </c>
      <c r="N84" t="inlineStr">
        <is>
          <t>SUM</t>
        </is>
      </c>
    </row>
    <row r="85" ht="16.8" customHeight="1">
      <c r="A85" t="inlineStr">
        <is>
          <t>四级</t>
        </is>
      </c>
      <c r="B85" t="inlineStr">
        <is>
          <t>支出</t>
        </is>
      </c>
      <c r="C85" t="inlineStr">
        <is>
          <t>B.90.01.02.02</t>
        </is>
      </c>
      <c r="D85" t="inlineStr">
        <is>
          <t>业务费用</t>
        </is>
      </c>
      <c r="F85" t="inlineStr">
        <is>
          <t>B.90.01.02.02.001+B.90.01.02.02.002</t>
        </is>
      </c>
      <c r="K85" t="inlineStr">
        <is>
          <t>是</t>
        </is>
      </c>
      <c r="M85" t="inlineStr">
        <is>
          <t>05.01.02.02</t>
        </is>
      </c>
    </row>
    <row r="86" ht="16.8" customHeight="1">
      <c r="A86" t="inlineStr">
        <is>
          <t>五级</t>
        </is>
      </c>
      <c r="B86" t="inlineStr">
        <is>
          <t>支出</t>
        </is>
      </c>
      <c r="C86" t="inlineStr">
        <is>
          <t>B.90.01.02.02.001</t>
        </is>
      </c>
      <c r="D86" t="inlineStr">
        <is>
          <t>营销</t>
        </is>
      </c>
      <c r="K86" t="inlineStr">
        <is>
          <t>是</t>
        </is>
      </c>
      <c r="M86" t="inlineStr">
        <is>
          <t>05.01.02.02.001</t>
        </is>
      </c>
      <c r="N86" t="inlineStr">
        <is>
          <t>SUM</t>
        </is>
      </c>
    </row>
    <row r="87" ht="16.8" customHeight="1">
      <c r="A87" t="inlineStr">
        <is>
          <t>五级</t>
        </is>
      </c>
      <c r="B87" t="inlineStr">
        <is>
          <t>支出</t>
        </is>
      </c>
      <c r="C87" t="inlineStr">
        <is>
          <t>B.90.01.02.02.002</t>
        </is>
      </c>
      <c r="D87" t="inlineStr">
        <is>
          <t>运营</t>
        </is>
      </c>
      <c r="K87" t="inlineStr">
        <is>
          <t>是</t>
        </is>
      </c>
      <c r="M87" t="inlineStr">
        <is>
          <t>05.01.02.02.002</t>
        </is>
      </c>
      <c r="N87" t="inlineStr">
        <is>
          <t>SUM</t>
        </is>
      </c>
    </row>
    <row r="88" ht="16.8" customHeight="1">
      <c r="A88" t="inlineStr">
        <is>
          <t>四级</t>
        </is>
      </c>
      <c r="B88" t="inlineStr">
        <is>
          <t>支出</t>
        </is>
      </c>
      <c r="C88" t="inlineStr">
        <is>
          <t>B.90.01.02.03</t>
        </is>
      </c>
      <c r="D88" t="inlineStr">
        <is>
          <t>IT</t>
        </is>
      </c>
      <c r="F88" t="inlineStr">
        <is>
          <t>B.90.01.02.03.01+B.90.01.02.03.02.001+B.90.01.02.03.03.001+B.90.01.02.03.04.001</t>
        </is>
      </c>
      <c r="K88" t="inlineStr">
        <is>
          <t>是</t>
        </is>
      </c>
      <c r="M88" t="inlineStr">
        <is>
          <t>05.01.02.03</t>
        </is>
      </c>
    </row>
    <row r="89" ht="16.8" customHeight="1">
      <c r="A89" t="inlineStr">
        <is>
          <t>五级</t>
        </is>
      </c>
      <c r="B89" t="inlineStr">
        <is>
          <t>支出</t>
        </is>
      </c>
      <c r="C89" t="inlineStr">
        <is>
          <t>B.90.01.02.03.01</t>
        </is>
      </c>
      <c r="D89" t="inlineStr">
        <is>
          <t>IT人力</t>
        </is>
      </c>
      <c r="F89" t="inlineStr">
        <is>
          <t>B.90.01.02.03.01.001+B.90.01.02.03.01.002</t>
        </is>
      </c>
      <c r="K89" t="inlineStr">
        <is>
          <t>是</t>
        </is>
      </c>
      <c r="M89" t="inlineStr">
        <is>
          <t>05.01.02.03.01</t>
        </is>
      </c>
    </row>
    <row r="90" ht="16.8" customHeight="1">
      <c r="A90" t="inlineStr">
        <is>
          <t>六级</t>
        </is>
      </c>
      <c r="B90" t="inlineStr">
        <is>
          <t>支出</t>
        </is>
      </c>
      <c r="C90" t="inlineStr">
        <is>
          <t>B.90.01.02.03.01.001</t>
        </is>
      </c>
      <c r="D90" t="inlineStr">
        <is>
          <t>IT常规人力</t>
        </is>
      </c>
      <c r="K90" t="inlineStr">
        <is>
          <t>是</t>
        </is>
      </c>
      <c r="M90" t="inlineStr">
        <is>
          <t>05.01.02.03.01.001</t>
        </is>
      </c>
      <c r="N90" t="inlineStr">
        <is>
          <t>SUM</t>
        </is>
      </c>
    </row>
    <row r="91" ht="16.8" customHeight="1">
      <c r="A91" t="inlineStr">
        <is>
          <t>六级</t>
        </is>
      </c>
      <c r="B91" t="inlineStr">
        <is>
          <t>支出</t>
        </is>
      </c>
      <c r="C91" t="inlineStr">
        <is>
          <t>B.90.01.02.03.01.002</t>
        </is>
      </c>
      <c r="D91" t="inlineStr">
        <is>
          <t>IT特别人力</t>
        </is>
      </c>
      <c r="K91" t="inlineStr">
        <is>
          <t>是</t>
        </is>
      </c>
      <c r="M91" t="inlineStr">
        <is>
          <t>05.01.02.03.01.002</t>
        </is>
      </c>
      <c r="N91" t="inlineStr">
        <is>
          <t>SUM</t>
        </is>
      </c>
    </row>
    <row r="92" ht="16.8" customHeight="1">
      <c r="A92" t="inlineStr">
        <is>
          <t>五级</t>
        </is>
      </c>
      <c r="B92" t="inlineStr">
        <is>
          <t>支出</t>
        </is>
      </c>
      <c r="C92" t="inlineStr">
        <is>
          <t>B.90.01.02.03.02</t>
        </is>
      </c>
      <c r="D92" t="inlineStr">
        <is>
          <t>AA.05.01.02.03.02</t>
        </is>
      </c>
      <c r="F92" t="inlineStr">
        <is>
          <t>B.90.01.02.03.02.001</t>
        </is>
      </c>
      <c r="K92" t="inlineStr">
        <is>
          <t>是</t>
        </is>
      </c>
      <c r="M92" t="inlineStr">
        <is>
          <t>05.01.02.03.02</t>
        </is>
      </c>
      <c r="N92" t="inlineStr">
        <is>
          <t>SUM</t>
        </is>
      </c>
    </row>
    <row r="93" ht="16.8" customHeight="1">
      <c r="A93" t="inlineStr">
        <is>
          <t>六级</t>
        </is>
      </c>
      <c r="B93" t="inlineStr">
        <is>
          <t>支出</t>
        </is>
      </c>
      <c r="C93" t="inlineStr">
        <is>
          <t>B.90.01.02.03.02.001</t>
        </is>
      </c>
      <c r="D93" t="inlineStr">
        <is>
          <t>科技</t>
        </is>
      </c>
      <c r="K93" t="inlineStr">
        <is>
          <t>是</t>
        </is>
      </c>
      <c r="M93" t="inlineStr">
        <is>
          <t>05.01.02.03.02.001</t>
        </is>
      </c>
      <c r="N93" t="inlineStr">
        <is>
          <t>SUM</t>
        </is>
      </c>
    </row>
    <row r="94" ht="16.8" customHeight="1">
      <c r="A94" t="inlineStr">
        <is>
          <t>五级</t>
        </is>
      </c>
      <c r="B94" t="inlineStr">
        <is>
          <t>支出</t>
        </is>
      </c>
      <c r="C94" t="inlineStr">
        <is>
          <t>B.90.01.02.03.03</t>
        </is>
      </c>
      <c r="D94" t="inlineStr">
        <is>
          <t>AA.05.01.02.03.03</t>
        </is>
      </c>
      <c r="F94" t="inlineStr">
        <is>
          <t>B.90.01.02.03.03.001</t>
        </is>
      </c>
      <c r="K94" t="inlineStr">
        <is>
          <t>是</t>
        </is>
      </c>
      <c r="M94" t="inlineStr">
        <is>
          <t>05.01.02.03.03</t>
        </is>
      </c>
      <c r="N94" t="inlineStr">
        <is>
          <t>SUM</t>
        </is>
      </c>
    </row>
    <row r="95" ht="16.8" customHeight="1">
      <c r="A95" t="inlineStr">
        <is>
          <t>六级</t>
        </is>
      </c>
      <c r="B95" t="inlineStr">
        <is>
          <t>支出</t>
        </is>
      </c>
      <c r="C95" t="inlineStr">
        <is>
          <t>B.90.01.02.03.03.001</t>
        </is>
      </c>
      <c r="D95" t="inlineStr">
        <is>
          <t>IT职场</t>
        </is>
      </c>
      <c r="K95" t="inlineStr">
        <is>
          <t>是</t>
        </is>
      </c>
      <c r="M95" t="inlineStr">
        <is>
          <t>05.01.02.03.03.001</t>
        </is>
      </c>
      <c r="N95" t="inlineStr">
        <is>
          <t>SUM</t>
        </is>
      </c>
    </row>
    <row r="96" ht="16.8" customHeight="1">
      <c r="A96" t="inlineStr">
        <is>
          <t>五级</t>
        </is>
      </c>
      <c r="B96" t="inlineStr">
        <is>
          <t>支出</t>
        </is>
      </c>
      <c r="C96" t="inlineStr">
        <is>
          <t>B.90.01.02.03.04</t>
        </is>
      </c>
      <c r="D96" t="inlineStr">
        <is>
          <t>AA.05.01.02.03.04</t>
        </is>
      </c>
      <c r="F96" t="inlineStr">
        <is>
          <t>B.90.01.02.03.04.001</t>
        </is>
      </c>
      <c r="K96" t="inlineStr">
        <is>
          <t>是</t>
        </is>
      </c>
      <c r="M96" t="inlineStr">
        <is>
          <t>05.01.02.03.04</t>
        </is>
      </c>
      <c r="N96" t="inlineStr">
        <is>
          <t>SUM</t>
        </is>
      </c>
    </row>
    <row r="97" ht="16.8" customHeight="1">
      <c r="A97" t="inlineStr">
        <is>
          <t>六级</t>
        </is>
      </c>
      <c r="B97" t="inlineStr">
        <is>
          <t>支出</t>
        </is>
      </c>
      <c r="C97" t="inlineStr">
        <is>
          <t>B.90.01.02.03.04.001</t>
        </is>
      </c>
      <c r="D97" t="inlineStr">
        <is>
          <t>IT日常</t>
        </is>
      </c>
      <c r="K97" t="inlineStr">
        <is>
          <t>是</t>
        </is>
      </c>
      <c r="M97" t="inlineStr">
        <is>
          <t>05.01.02.03.04.001</t>
        </is>
      </c>
      <c r="N97" t="inlineStr">
        <is>
          <t>SUM</t>
        </is>
      </c>
    </row>
    <row r="98" ht="16.8" customHeight="1">
      <c r="A98" t="inlineStr">
        <is>
          <t>四级</t>
        </is>
      </c>
      <c r="B98" t="inlineStr">
        <is>
          <t>支出</t>
        </is>
      </c>
      <c r="C98" t="inlineStr">
        <is>
          <t>B.90.01.02.04</t>
        </is>
      </c>
      <c r="D98" t="inlineStr">
        <is>
          <t>AA.05.01.02.04</t>
        </is>
      </c>
      <c r="F98" t="inlineStr">
        <is>
          <t>B.90.01.02.04.001</t>
        </is>
      </c>
      <c r="K98" t="inlineStr">
        <is>
          <t>是</t>
        </is>
      </c>
      <c r="M98" t="inlineStr">
        <is>
          <t>05.01.02.04</t>
        </is>
      </c>
      <c r="N98" t="inlineStr">
        <is>
          <t>SUM</t>
        </is>
      </c>
    </row>
    <row r="99" ht="16.8" customHeight="1">
      <c r="A99" t="inlineStr">
        <is>
          <t>五级</t>
        </is>
      </c>
      <c r="B99" t="inlineStr">
        <is>
          <t>支出</t>
        </is>
      </c>
      <c r="C99" t="inlineStr">
        <is>
          <t>B.90.01.02.04.001</t>
        </is>
      </c>
      <c r="D99" t="inlineStr">
        <is>
          <t>职场</t>
        </is>
      </c>
      <c r="K99" t="inlineStr">
        <is>
          <t>是</t>
        </is>
      </c>
      <c r="M99" t="inlineStr">
        <is>
          <t>05.01.02.04.001</t>
        </is>
      </c>
      <c r="N99" t="inlineStr">
        <is>
          <t>SUM</t>
        </is>
      </c>
    </row>
    <row r="100" ht="16.8" customHeight="1">
      <c r="A100" t="inlineStr">
        <is>
          <t>四级</t>
        </is>
      </c>
      <c r="B100" t="inlineStr">
        <is>
          <t>支出</t>
        </is>
      </c>
      <c r="C100" t="inlineStr">
        <is>
          <t>B.90.01.02.05</t>
        </is>
      </c>
      <c r="D100" t="inlineStr">
        <is>
          <t>AA.05.01.02.05</t>
        </is>
      </c>
      <c r="F100" t="inlineStr">
        <is>
          <t>B.90.01.02.05.001</t>
        </is>
      </c>
      <c r="K100" t="inlineStr">
        <is>
          <t>是</t>
        </is>
      </c>
      <c r="M100" t="inlineStr">
        <is>
          <t>05.01.02.05</t>
        </is>
      </c>
      <c r="N100" t="inlineStr">
        <is>
          <t>SUM</t>
        </is>
      </c>
    </row>
    <row r="101" ht="16.8" customHeight="1">
      <c r="A101" t="inlineStr">
        <is>
          <t>五级</t>
        </is>
      </c>
      <c r="B101" t="inlineStr">
        <is>
          <t>支出</t>
        </is>
      </c>
      <c r="C101" t="inlineStr">
        <is>
          <t>B.90.01.02.05.001</t>
        </is>
      </c>
      <c r="D101" t="inlineStr">
        <is>
          <t>日常</t>
        </is>
      </c>
      <c r="K101" t="inlineStr">
        <is>
          <t>是</t>
        </is>
      </c>
      <c r="M101" t="inlineStr">
        <is>
          <t>05.01.02.05.001</t>
        </is>
      </c>
      <c r="N101" t="inlineStr">
        <is>
          <t>SUM</t>
        </is>
      </c>
    </row>
    <row r="102" ht="16.8" customHeight="1">
      <c r="A102" t="inlineStr">
        <is>
          <t>二级</t>
        </is>
      </c>
      <c r="B102" t="inlineStr">
        <is>
          <t>支出</t>
        </is>
      </c>
      <c r="C102" t="inlineStr">
        <is>
          <t>B.90.02</t>
        </is>
      </c>
      <c r="D102" t="inlineStr">
        <is>
          <t>业务费用</t>
        </is>
      </c>
      <c r="F102" t="inlineStr">
        <is>
          <t>B.90.02.01+B.90.02.02</t>
        </is>
      </c>
      <c r="K102" t="inlineStr">
        <is>
          <t>是</t>
        </is>
      </c>
      <c r="N102" t="inlineStr">
        <is>
          <t>SUM</t>
        </is>
      </c>
    </row>
    <row r="103" ht="16.8" customHeight="1">
      <c r="A103" t="inlineStr">
        <is>
          <t>三级</t>
        </is>
      </c>
      <c r="B103" t="inlineStr">
        <is>
          <t>支出</t>
        </is>
      </c>
      <c r="C103" t="inlineStr">
        <is>
          <t>B.90.02.01</t>
        </is>
      </c>
      <c r="D103" t="inlineStr">
        <is>
          <t>营销费用</t>
        </is>
      </c>
      <c r="K103" t="inlineStr">
        <is>
          <t>是</t>
        </is>
      </c>
      <c r="N103" t="inlineStr">
        <is>
          <t>SUM</t>
        </is>
      </c>
    </row>
    <row r="104" ht="16.8" customHeight="1">
      <c r="A104" t="inlineStr">
        <is>
          <t>三级</t>
        </is>
      </c>
      <c r="B104" t="inlineStr">
        <is>
          <t>支出</t>
        </is>
      </c>
      <c r="C104" t="inlineStr">
        <is>
          <t>B.90.02.02</t>
        </is>
      </c>
      <c r="D104" t="inlineStr">
        <is>
          <t>运营费用</t>
        </is>
      </c>
      <c r="K104" t="inlineStr">
        <is>
          <t>是</t>
        </is>
      </c>
      <c r="N104" t="inlineStr">
        <is>
          <t>SUM</t>
        </is>
      </c>
    </row>
    <row r="105" ht="16.8" customHeight="1">
      <c r="A105" t="inlineStr">
        <is>
          <t>二级</t>
        </is>
      </c>
      <c r="B105" t="inlineStr">
        <is>
          <t>支出</t>
        </is>
      </c>
      <c r="C105" t="inlineStr">
        <is>
          <t>B.90.03</t>
        </is>
      </c>
      <c r="D105" t="inlineStr">
        <is>
          <t>业务支出评估</t>
        </is>
      </c>
      <c r="F105" t="inlineStr">
        <is>
          <t>B.90.03.09</t>
        </is>
      </c>
      <c r="K105" t="inlineStr">
        <is>
          <t>是</t>
        </is>
      </c>
      <c r="M105" t="inlineStr">
        <is>
          <t>05.02</t>
        </is>
      </c>
    </row>
    <row r="106" ht="16.8" customHeight="1">
      <c r="A106" t="inlineStr">
        <is>
          <t>三级</t>
        </is>
      </c>
      <c r="B106" t="inlineStr">
        <is>
          <t>支出</t>
        </is>
      </c>
      <c r="C106" t="inlineStr">
        <is>
          <t>B.90.03.09</t>
        </is>
      </c>
      <c r="D106" t="inlineStr">
        <is>
          <t>客户经营指标</t>
        </is>
      </c>
      <c r="F106" t="inlineStr">
        <is>
          <t>B.90.03.09.01+B.90.03.09.02+B.90.03.09.03</t>
        </is>
      </c>
      <c r="K106" t="inlineStr">
        <is>
          <t>是</t>
        </is>
      </c>
      <c r="M106" t="inlineStr">
        <is>
          <t>05.02.09</t>
        </is>
      </c>
    </row>
    <row r="107" ht="16.8" customHeight="1">
      <c r="A107" t="inlineStr">
        <is>
          <t>四级</t>
        </is>
      </c>
      <c r="B107" t="inlineStr">
        <is>
          <t>支出</t>
        </is>
      </c>
      <c r="C107" t="inlineStr">
        <is>
          <t>B.90.03.09.01</t>
        </is>
      </c>
      <c r="D107" t="inlineStr">
        <is>
          <t>客户营销与投入</t>
        </is>
      </c>
      <c r="F107" t="inlineStr">
        <is>
          <t>B.90.03.09.01.001+B.90.03.09.01.002+B.90.03.09.01.003+B.90.03.09.01.004</t>
        </is>
      </c>
      <c r="K107" t="inlineStr">
        <is>
          <t>是</t>
        </is>
      </c>
      <c r="M107" t="inlineStr">
        <is>
          <t>05.02.09.01</t>
        </is>
      </c>
    </row>
    <row r="108" ht="16.8" customHeight="1">
      <c r="A108" t="inlineStr">
        <is>
          <t>五级</t>
        </is>
      </c>
      <c r="B108" t="inlineStr">
        <is>
          <t>支出</t>
        </is>
      </c>
      <c r="C108" t="inlineStr">
        <is>
          <t>B.90.03.09.01.001</t>
        </is>
      </c>
      <c r="D108" t="inlineStr">
        <is>
          <t>新客营销支出</t>
        </is>
      </c>
      <c r="K108" t="inlineStr">
        <is>
          <t>是</t>
        </is>
      </c>
      <c r="M108" t="inlineStr">
        <is>
          <t>05.02.09.01.001</t>
        </is>
      </c>
      <c r="N108" t="inlineStr">
        <is>
          <t>SUM</t>
        </is>
      </c>
    </row>
    <row r="109" ht="16.8" customHeight="1">
      <c r="A109" t="inlineStr">
        <is>
          <t>五级</t>
        </is>
      </c>
      <c r="B109" t="inlineStr">
        <is>
          <t>支出</t>
        </is>
      </c>
      <c r="C109" t="inlineStr">
        <is>
          <t>B.90.03.09.01.002</t>
        </is>
      </c>
      <c r="D109" t="inlineStr">
        <is>
          <t>存客营销支出</t>
        </is>
      </c>
      <c r="K109" t="inlineStr">
        <is>
          <t>是</t>
        </is>
      </c>
      <c r="M109" t="inlineStr">
        <is>
          <t>05.02.09.01.002</t>
        </is>
      </c>
      <c r="N109" t="inlineStr">
        <is>
          <t>SUM</t>
        </is>
      </c>
    </row>
    <row r="110" ht="16.8" customHeight="1">
      <c r="A110" t="inlineStr">
        <is>
          <t>五级</t>
        </is>
      </c>
      <c r="B110" t="inlineStr">
        <is>
          <t>支出</t>
        </is>
      </c>
      <c r="C110" t="inlineStr">
        <is>
          <t>B.90.03.09.01.003</t>
        </is>
      </c>
      <c r="D110" t="inlineStr">
        <is>
          <t>新开通客户投入</t>
        </is>
      </c>
      <c r="K110" t="inlineStr">
        <is>
          <t>是</t>
        </is>
      </c>
      <c r="M110" t="inlineStr">
        <is>
          <t>05.02.09.01.003</t>
        </is>
      </c>
      <c r="N110" t="inlineStr">
        <is>
          <t>SUM</t>
        </is>
      </c>
    </row>
    <row r="111" ht="16.8" customHeight="1">
      <c r="A111" t="inlineStr">
        <is>
          <t>五级</t>
        </is>
      </c>
      <c r="B111" t="inlineStr">
        <is>
          <t>支出</t>
        </is>
      </c>
      <c r="C111" t="inlineStr">
        <is>
          <t>B.90.03.09.01.004</t>
        </is>
      </c>
      <c r="D111" t="inlineStr">
        <is>
          <t>新发放投入</t>
        </is>
      </c>
      <c r="K111" t="inlineStr">
        <is>
          <t>是</t>
        </is>
      </c>
      <c r="M111" t="inlineStr">
        <is>
          <t>05.02.09.01.004</t>
        </is>
      </c>
      <c r="N111" t="inlineStr">
        <is>
          <t>SUM</t>
        </is>
      </c>
    </row>
    <row r="112" ht="16.8" customHeight="1">
      <c r="A112" t="inlineStr">
        <is>
          <t>四级</t>
        </is>
      </c>
      <c r="B112" t="inlineStr">
        <is>
          <t>支出</t>
        </is>
      </c>
      <c r="C112" t="inlineStr">
        <is>
          <t>B.90.03.09.02</t>
        </is>
      </c>
      <c r="D112" t="inlineStr">
        <is>
          <t>客户规模与数量</t>
        </is>
      </c>
      <c r="F112" t="inlineStr">
        <is>
          <t>B.90.03.09.02.101+B.90.03.09.02.102+B.90.03.09.02.103</t>
        </is>
      </c>
      <c r="K112" t="inlineStr">
        <is>
          <t>是</t>
        </is>
      </c>
      <c r="M112" t="inlineStr">
        <is>
          <t>05.02.09.02</t>
        </is>
      </c>
    </row>
    <row r="113" ht="16.8" customHeight="1">
      <c r="A113" t="inlineStr">
        <is>
          <t>五级</t>
        </is>
      </c>
      <c r="B113" t="inlineStr">
        <is>
          <t>支出</t>
        </is>
      </c>
      <c r="C113" t="inlineStr">
        <is>
          <t>B.90.03.09.02.001</t>
        </is>
      </c>
      <c r="D113" t="inlineStr">
        <is>
          <t>新客日均LUM</t>
        </is>
      </c>
      <c r="K113" t="inlineStr">
        <is>
          <t>是</t>
        </is>
      </c>
      <c r="M113" t="inlineStr">
        <is>
          <t>05.02.09.02.001</t>
        </is>
      </c>
      <c r="N113" t="inlineStr">
        <is>
          <t>SUM</t>
        </is>
      </c>
    </row>
    <row r="114" ht="16.8" customHeight="1">
      <c r="A114" t="inlineStr">
        <is>
          <t>五级</t>
        </is>
      </c>
      <c r="B114" t="inlineStr">
        <is>
          <t>支出</t>
        </is>
      </c>
      <c r="C114" t="inlineStr">
        <is>
          <t>B.90.03.09.02.002</t>
        </is>
      </c>
      <c r="D114" t="inlineStr">
        <is>
          <t>存客日均LUM</t>
        </is>
      </c>
      <c r="K114" t="inlineStr">
        <is>
          <t>是</t>
        </is>
      </c>
      <c r="M114" t="inlineStr">
        <is>
          <t>05.02.09.02.002</t>
        </is>
      </c>
      <c r="N114" t="inlineStr">
        <is>
          <t>SUM</t>
        </is>
      </c>
    </row>
    <row r="115" ht="16.8" customHeight="1">
      <c r="A115" t="inlineStr">
        <is>
          <t>五级</t>
        </is>
      </c>
      <c r="B115" t="inlineStr">
        <is>
          <t>支出</t>
        </is>
      </c>
      <c r="C115" t="inlineStr">
        <is>
          <t>B.90.03.09.02.003</t>
        </is>
      </c>
      <c r="D115" t="inlineStr">
        <is>
          <t>新开通客户数</t>
        </is>
      </c>
      <c r="K115" t="inlineStr">
        <is>
          <t>是</t>
        </is>
      </c>
      <c r="M115" t="inlineStr">
        <is>
          <t>05.02.09.02.003</t>
        </is>
      </c>
      <c r="N115" t="inlineStr">
        <is>
          <t>SUM</t>
        </is>
      </c>
    </row>
    <row r="116" ht="16.8" customHeight="1">
      <c r="A116" t="inlineStr">
        <is>
          <t>五级</t>
        </is>
      </c>
      <c r="B116" t="inlineStr">
        <is>
          <t>支出</t>
        </is>
      </c>
      <c r="C116" t="inlineStr">
        <is>
          <t>B.90.03.09.02.004</t>
        </is>
      </c>
      <c r="D116" t="inlineStr">
        <is>
          <t>平均有效客户数</t>
        </is>
      </c>
      <c r="K116" t="inlineStr">
        <is>
          <t>是</t>
        </is>
      </c>
      <c r="M116" t="inlineStr">
        <is>
          <t>05.02.09.02.004</t>
        </is>
      </c>
      <c r="N116" t="inlineStr">
        <is>
          <t>SUM</t>
        </is>
      </c>
    </row>
    <row r="117" ht="16.8" customHeight="1">
      <c r="A117" t="inlineStr">
        <is>
          <t>五级</t>
        </is>
      </c>
      <c r="B117" t="inlineStr">
        <is>
          <t>支出</t>
        </is>
      </c>
      <c r="C117" t="inlineStr">
        <is>
          <t>B.90.03.09.02.005</t>
        </is>
      </c>
      <c r="D117" t="inlineStr">
        <is>
          <t>新发放LUM</t>
        </is>
      </c>
      <c r="K117" t="inlineStr">
        <is>
          <t>是</t>
        </is>
      </c>
      <c r="M117" t="inlineStr">
        <is>
          <t>05.02.09.02.005</t>
        </is>
      </c>
      <c r="N117" t="inlineStr">
        <is>
          <t>SUM</t>
        </is>
      </c>
    </row>
    <row r="118" ht="16.8" customHeight="1">
      <c r="A118" t="inlineStr">
        <is>
          <t>五级</t>
        </is>
      </c>
      <c r="B118" t="inlineStr">
        <is>
          <t>支出</t>
        </is>
      </c>
      <c r="C118" t="inlineStr">
        <is>
          <t>B.90.03.09.02.006</t>
        </is>
      </c>
      <c r="D118" t="inlineStr">
        <is>
          <t>新发放LUM（标服）</t>
        </is>
      </c>
      <c r="K118" t="inlineStr">
        <is>
          <t>是</t>
        </is>
      </c>
      <c r="M118" t="inlineStr">
        <is>
          <t>05.02.09.02.006</t>
        </is>
      </c>
      <c r="N118" t="inlineStr">
        <is>
          <t>SUM</t>
        </is>
      </c>
    </row>
    <row r="119" ht="16.8" customHeight="1">
      <c r="A119" t="inlineStr">
        <is>
          <t>五级</t>
        </is>
      </c>
      <c r="B119" t="inlineStr">
        <is>
          <t>支出</t>
        </is>
      </c>
      <c r="C119" t="inlineStr">
        <is>
          <t>B.90.03.09.02.007</t>
        </is>
      </c>
      <c r="D119" t="inlineStr">
        <is>
          <t>存客日均AuM</t>
        </is>
      </c>
      <c r="K119" t="inlineStr">
        <is>
          <t>是</t>
        </is>
      </c>
      <c r="M119" t="inlineStr">
        <is>
          <t>05.02.09.02.007</t>
        </is>
      </c>
      <c r="N119" t="inlineStr">
        <is>
          <t>SUM</t>
        </is>
      </c>
    </row>
    <row r="120" ht="16.8" customHeight="1">
      <c r="A120" t="inlineStr">
        <is>
          <t>五级</t>
        </is>
      </c>
      <c r="B120" t="inlineStr">
        <is>
          <t>支出</t>
        </is>
      </c>
      <c r="C120" t="inlineStr">
        <is>
          <t>B.90.03.09.02.008</t>
        </is>
      </c>
      <c r="D120" t="inlineStr">
        <is>
          <t>新客AuM余额</t>
        </is>
      </c>
      <c r="K120" t="inlineStr">
        <is>
          <t>是</t>
        </is>
      </c>
      <c r="M120" t="inlineStr">
        <is>
          <t>05.02.09.02.008</t>
        </is>
      </c>
      <c r="N120" t="inlineStr">
        <is>
          <t>SUM</t>
        </is>
      </c>
    </row>
    <row r="121" ht="16.8" customHeight="1">
      <c r="A121" t="inlineStr">
        <is>
          <t>五级</t>
        </is>
      </c>
      <c r="B121" t="inlineStr">
        <is>
          <t>支出</t>
        </is>
      </c>
      <c r="C121" t="inlineStr">
        <is>
          <t>B.90.03.09.02.009</t>
        </is>
      </c>
      <c r="D121" t="inlineStr">
        <is>
          <t>MFAU客户数</t>
        </is>
      </c>
      <c r="K121" t="inlineStr">
        <is>
          <t>是</t>
        </is>
      </c>
      <c r="M121" t="inlineStr">
        <is>
          <t>05.02.09.02.009</t>
        </is>
      </c>
      <c r="N121" t="inlineStr">
        <is>
          <t>SUM</t>
        </is>
      </c>
    </row>
    <row r="122" ht="16.8" customHeight="1">
      <c r="A122" t="inlineStr">
        <is>
          <t>五级</t>
        </is>
      </c>
      <c r="B122" t="inlineStr">
        <is>
          <t>支出</t>
        </is>
      </c>
      <c r="C122" t="inlineStr">
        <is>
          <t>B.90.03.09.02.010</t>
        </is>
      </c>
      <c r="D122" t="inlineStr">
        <is>
          <t>日均LUM</t>
        </is>
      </c>
      <c r="K122" t="inlineStr">
        <is>
          <t>是</t>
        </is>
      </c>
      <c r="M122" t="inlineStr">
        <is>
          <t>05.02.09.02.010</t>
        </is>
      </c>
      <c r="N122" t="inlineStr">
        <is>
          <t>SUM</t>
        </is>
      </c>
    </row>
    <row r="123" ht="16.8" customHeight="1">
      <c r="A123" t="inlineStr">
        <is>
          <t>五级</t>
        </is>
      </c>
      <c r="B123" t="inlineStr">
        <is>
          <t>支出</t>
        </is>
      </c>
      <c r="C123" t="inlineStr">
        <is>
          <t>B.90.03.09.02.011</t>
        </is>
      </c>
      <c r="D123" t="inlineStr">
        <is>
          <t>日均AuM</t>
        </is>
      </c>
      <c r="K123" t="inlineStr">
        <is>
          <t>是</t>
        </is>
      </c>
      <c r="M123" t="inlineStr">
        <is>
          <t>05.02.09.02.011</t>
        </is>
      </c>
      <c r="N123" t="inlineStr">
        <is>
          <t>SUM</t>
        </is>
      </c>
    </row>
    <row r="124" ht="16.8" customHeight="1">
      <c r="A124" t="inlineStr">
        <is>
          <t>五级</t>
        </is>
      </c>
      <c r="B124" t="inlineStr">
        <is>
          <t>支出</t>
        </is>
      </c>
      <c r="C124" t="inlineStr">
        <is>
          <t>B.90.03.09.02.101</t>
        </is>
      </c>
      <c r="D124" t="inlineStr">
        <is>
          <t>LUM规模</t>
        </is>
      </c>
      <c r="F124" t="inlineStr">
        <is>
          <t>B.90.03.09.02.001+B.90.03.09.02.002+B.90.03.09.02.005+B.90.03.09.02.006+B.90.03.09.02.010</t>
        </is>
      </c>
      <c r="K124" t="inlineStr">
        <is>
          <t>是</t>
        </is>
      </c>
      <c r="M124" t="inlineStr">
        <is>
          <t>05.02.09.02.101</t>
        </is>
      </c>
    </row>
    <row r="125" ht="16.8" customHeight="1">
      <c r="A125" t="inlineStr">
        <is>
          <t>五级</t>
        </is>
      </c>
      <c r="B125" t="inlineStr">
        <is>
          <t>支出</t>
        </is>
      </c>
      <c r="C125" t="inlineStr">
        <is>
          <t>B.90.03.09.02.102</t>
        </is>
      </c>
      <c r="D125" t="inlineStr">
        <is>
          <t>AuM规模</t>
        </is>
      </c>
      <c r="F125" t="inlineStr">
        <is>
          <t>B.90.03.09.02.007+B.90.03.09.02.008+B.90.03.09.02.011</t>
        </is>
      </c>
      <c r="K125" t="inlineStr">
        <is>
          <t>是</t>
        </is>
      </c>
      <c r="M125" t="inlineStr">
        <is>
          <t>05.02.09.02.102</t>
        </is>
      </c>
    </row>
    <row r="126" ht="16.8" customHeight="1">
      <c r="A126" t="inlineStr">
        <is>
          <t>五级</t>
        </is>
      </c>
      <c r="B126" t="inlineStr">
        <is>
          <t>支出</t>
        </is>
      </c>
      <c r="C126" t="inlineStr">
        <is>
          <t>B.90.03.09.02.103</t>
        </is>
      </c>
      <c r="D126" t="inlineStr">
        <is>
          <t>客户数量</t>
        </is>
      </c>
      <c r="F126" t="inlineStr">
        <is>
          <t>B.90.03.09.02.003+B.90.03.09.02.004+B.90.03.09.02.009</t>
        </is>
      </c>
      <c r="K126" t="inlineStr">
        <is>
          <t>是</t>
        </is>
      </c>
      <c r="M126" t="inlineStr">
        <is>
          <t>05.02.09.02.103</t>
        </is>
      </c>
    </row>
    <row r="127" ht="16.8" customHeight="1">
      <c r="A127" t="inlineStr">
        <is>
          <t>四级</t>
        </is>
      </c>
      <c r="B127" t="inlineStr">
        <is>
          <t>支出</t>
        </is>
      </c>
      <c r="C127" t="inlineStr">
        <is>
          <t>B.90.03.09.03</t>
        </is>
      </c>
      <c r="D127" t="inlineStr">
        <is>
          <t>客户回收与催收</t>
        </is>
      </c>
      <c r="F127" t="inlineStr">
        <is>
          <t>B.90.03.09.03.001+B.90.03.09.03.002+B.90.03.09.03.003</t>
        </is>
      </c>
      <c r="K127" t="inlineStr">
        <is>
          <t>是</t>
        </is>
      </c>
      <c r="M127" t="inlineStr">
        <is>
          <t>05.02.09.03</t>
        </is>
      </c>
    </row>
    <row r="128" ht="16.8" customHeight="1">
      <c r="A128" t="inlineStr">
        <is>
          <t>五级</t>
        </is>
      </c>
      <c r="B128" t="inlineStr">
        <is>
          <t>支出</t>
        </is>
      </c>
      <c r="C128" t="inlineStr">
        <is>
          <t>B.90.03.09.03.001</t>
        </is>
      </c>
      <c r="D128" t="inlineStr">
        <is>
          <t>内催回收额</t>
        </is>
      </c>
      <c r="K128" t="inlineStr">
        <is>
          <t>是</t>
        </is>
      </c>
      <c r="M128" t="inlineStr">
        <is>
          <t>05.02.09.03.001</t>
        </is>
      </c>
      <c r="N128" t="inlineStr">
        <is>
          <t>SUM</t>
        </is>
      </c>
    </row>
    <row r="129" ht="16.8" customHeight="1">
      <c r="A129" t="inlineStr">
        <is>
          <t>五级</t>
        </is>
      </c>
      <c r="B129" t="inlineStr">
        <is>
          <t>支出</t>
        </is>
      </c>
      <c r="C129" t="inlineStr">
        <is>
          <t>B.90.03.09.03.002</t>
        </is>
      </c>
      <c r="D129" t="inlineStr">
        <is>
          <t>M6-压降金额</t>
        </is>
      </c>
      <c r="K129" t="inlineStr">
        <is>
          <t>是</t>
        </is>
      </c>
      <c r="M129" t="inlineStr">
        <is>
          <t>05.02.09.03.002</t>
        </is>
      </c>
      <c r="N129" t="inlineStr">
        <is>
          <t>SUM</t>
        </is>
      </c>
    </row>
    <row r="130" ht="16.8" customHeight="1">
      <c r="A130" t="inlineStr">
        <is>
          <t>五级</t>
        </is>
      </c>
      <c r="B130" t="inlineStr">
        <is>
          <t>支出</t>
        </is>
      </c>
      <c r="C130" t="inlineStr">
        <is>
          <t>B.90.03.09.03.003</t>
        </is>
      </c>
      <c r="D130" t="inlineStr">
        <is>
          <t>M7+现金回收额</t>
        </is>
      </c>
      <c r="K130" t="inlineStr">
        <is>
          <t>是</t>
        </is>
      </c>
      <c r="M130" t="inlineStr">
        <is>
          <t>05.02.09.03.003</t>
        </is>
      </c>
      <c r="N130" t="inlineStr">
        <is>
          <t>SUM</t>
        </is>
      </c>
    </row>
    <row r="131" ht="16.8" customHeight="1"/>
    <row r="132" ht="16.8" customHeight="1"/>
    <row r="133" ht="16.8" customHeight="1"/>
    <row r="134" ht="16.8" customHeight="1"/>
    <row r="135" ht="16.8" customHeight="1"/>
    <row r="136" ht="16.8" customHeight="1"/>
    <row r="137" ht="16.8" customHeight="1"/>
    <row r="138" ht="16.8" customHeight="1"/>
    <row r="139" ht="16.8" customHeight="1"/>
    <row r="140" ht="16.8" customHeight="1"/>
    <row r="141" ht="16.8" customHeight="1"/>
    <row r="142" ht="16.8" customHeigh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83"/>
  <sheetViews>
    <sheetView workbookViewId="0">
      <pane xSplit="4" ySplit="1" topLeftCell="E83" activePane="bottomRight" state="frozen"/>
      <selection activeCell="A1" sqref="A1"/>
      <selection pane="topRight" activeCell="A1" sqref="A1"/>
      <selection pane="bottomLeft" activeCell="A1" sqref="A1"/>
      <selection pane="bottomRight" activeCell="I100" sqref="I100"/>
    </sheetView>
  </sheetViews>
  <sheetFormatPr baseColWidth="8" defaultColWidth="9" defaultRowHeight="15" customHeight="1"/>
  <cols>
    <col width="8.66071428571429" customWidth="1" style="5" min="1" max="2"/>
    <col width="12.9107142857143" customWidth="1" style="5" min="3" max="3"/>
    <col width="17.75" customWidth="1" style="5" min="4" max="4"/>
    <col width="8.66071428571429" customWidth="1" style="5" min="5" max="9"/>
    <col width="19.8303571428571" customWidth="1" style="5" min="10" max="10"/>
    <col width="8.66071428571429" customWidth="1" style="5" min="11" max="16384"/>
  </cols>
  <sheetData>
    <row r="1" customFormat="1" s="1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3" t="inlineStr">
        <is>
          <t>录入粒度</t>
        </is>
      </c>
      <c r="F1" s="3" t="inlineStr">
        <is>
          <t>年预算公式</t>
        </is>
      </c>
      <c r="G1" s="3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6" t="n"/>
      <c r="O1" s="6" t="n"/>
      <c r="P1" t="inlineStr">
        <is>
          <t>规则</t>
        </is>
      </c>
    </row>
    <row r="2">
      <c r="A2" s="7" t="inlineStr">
        <is>
          <t>一级</t>
        </is>
      </c>
      <c r="B2" s="1" t="inlineStr">
        <is>
          <t>收入</t>
        </is>
      </c>
      <c r="C2" s="8" t="inlineStr">
        <is>
          <t>B01.01</t>
        </is>
      </c>
      <c r="D2" s="7" t="inlineStr">
        <is>
          <t>营业收入</t>
        </is>
      </c>
      <c r="F2" t="inlineStr">
        <is>
          <t>B01.01.01+B01.01.02+B01.01.03</t>
        </is>
      </c>
      <c r="H2" s="5">
        <f>H3+H6+H7</f>
        <v/>
      </c>
      <c r="I2" s="5">
        <f>I3+I6+I7</f>
        <v/>
      </c>
      <c r="M2" t="inlineStr">
        <is>
          <t>01</t>
        </is>
      </c>
    </row>
    <row r="3">
      <c r="A3" s="1" t="inlineStr">
        <is>
          <t>二级</t>
        </is>
      </c>
      <c r="B3" s="1" t="inlineStr">
        <is>
          <t>收入</t>
        </is>
      </c>
      <c r="C3" s="8" t="inlineStr">
        <is>
          <t>B01.01.01</t>
        </is>
      </c>
      <c r="D3" s="1" t="inlineStr">
        <is>
          <t xml:space="preserve">  利息净收入</t>
        </is>
      </c>
      <c r="F3" t="inlineStr">
        <is>
          <t>B01.01.01.01+B01.01.01.02</t>
        </is>
      </c>
      <c r="H3" s="5">
        <f>H4+H5</f>
        <v/>
      </c>
      <c r="I3" s="5">
        <f>I4+I5</f>
        <v/>
      </c>
      <c r="M3" t="inlineStr">
        <is>
          <t>01.01</t>
        </is>
      </c>
    </row>
    <row r="4">
      <c r="A4" s="1" t="inlineStr">
        <is>
          <t>三级</t>
        </is>
      </c>
      <c r="B4" s="1" t="inlineStr">
        <is>
          <t>收入</t>
        </is>
      </c>
      <c r="C4" s="9" t="inlineStr">
        <is>
          <t>B01.01.01.01</t>
        </is>
      </c>
      <c r="D4" s="1" t="inlineStr">
        <is>
          <t xml:space="preserve">    资产业务</t>
        </is>
      </c>
      <c r="H4" s="5">
        <f>H89-H125</f>
        <v/>
      </c>
      <c r="I4" s="5">
        <f>I89-I125</f>
        <v/>
      </c>
      <c r="M4" t="inlineStr">
        <is>
          <t>01.01.01</t>
        </is>
      </c>
      <c r="P4" t="inlineStr">
        <is>
          <t>SUM</t>
        </is>
      </c>
    </row>
    <row r="5">
      <c r="A5" s="1" t="inlineStr">
        <is>
          <t>三级</t>
        </is>
      </c>
      <c r="B5" s="1" t="inlineStr">
        <is>
          <t>收入</t>
        </is>
      </c>
      <c r="C5" s="9" t="inlineStr">
        <is>
          <t>B01.01.01.02</t>
        </is>
      </c>
      <c r="D5" s="1" t="inlineStr">
        <is>
          <t xml:space="preserve">    负债业务</t>
        </is>
      </c>
      <c r="H5" s="5">
        <f>H162-H149</f>
        <v/>
      </c>
      <c r="I5" s="5">
        <f>I162-I149</f>
        <v/>
      </c>
      <c r="M5" t="inlineStr">
        <is>
          <t>01.01.02</t>
        </is>
      </c>
      <c r="P5" t="inlineStr">
        <is>
          <t>SUM</t>
        </is>
      </c>
    </row>
    <row r="6">
      <c r="A6" s="1" t="inlineStr">
        <is>
          <t>二级</t>
        </is>
      </c>
      <c r="B6" s="1" t="inlineStr">
        <is>
          <t>收入</t>
        </is>
      </c>
      <c r="C6" s="8" t="inlineStr">
        <is>
          <t>B01.01.02</t>
        </is>
      </c>
      <c r="D6" s="1" t="inlineStr">
        <is>
          <t xml:space="preserve">  手续费净收入</t>
        </is>
      </c>
      <c r="H6" s="5">
        <f>H177-H193</f>
        <v/>
      </c>
      <c r="I6" s="5">
        <f>I177-I193</f>
        <v/>
      </c>
      <c r="M6" t="inlineStr">
        <is>
          <t>01.02</t>
        </is>
      </c>
      <c r="P6" t="inlineStr">
        <is>
          <t>SUM</t>
        </is>
      </c>
    </row>
    <row r="7">
      <c r="A7" s="1" t="inlineStr">
        <is>
          <t>二级</t>
        </is>
      </c>
      <c r="B7" s="1" t="inlineStr">
        <is>
          <t>收入</t>
        </is>
      </c>
      <c r="C7" s="8" t="inlineStr">
        <is>
          <t>B01.01.03</t>
        </is>
      </c>
      <c r="D7" s="1" t="inlineStr">
        <is>
          <t xml:space="preserve">  其他营收</t>
        </is>
      </c>
      <c r="H7" s="5">
        <f>H206+H210</f>
        <v/>
      </c>
      <c r="I7" s="5">
        <f>I206+I210</f>
        <v/>
      </c>
      <c r="M7" t="inlineStr">
        <is>
          <t>01.03</t>
        </is>
      </c>
      <c r="P7" t="inlineStr">
        <is>
          <t>SUM</t>
        </is>
      </c>
    </row>
    <row r="8">
      <c r="A8" s="7" t="inlineStr">
        <is>
          <t>一级</t>
        </is>
      </c>
      <c r="B8" s="1" t="inlineStr">
        <is>
          <t>支出</t>
        </is>
      </c>
      <c r="C8" s="8" t="inlineStr">
        <is>
          <t>B01.02</t>
        </is>
      </c>
      <c r="D8" s="7" t="inlineStr">
        <is>
          <t>减：风险成本</t>
        </is>
      </c>
      <c r="M8" t="inlineStr">
        <is>
          <t>02</t>
        </is>
      </c>
      <c r="P8" t="inlineStr">
        <is>
          <t>SUM</t>
        </is>
      </c>
    </row>
    <row r="9">
      <c r="A9" s="7" t="inlineStr">
        <is>
          <t>一级</t>
        </is>
      </c>
      <c r="B9" s="1" t="inlineStr">
        <is>
          <t>收入</t>
        </is>
      </c>
      <c r="C9" s="8" t="inlineStr">
        <is>
          <t>B01.03</t>
        </is>
      </c>
      <c r="D9" s="7" t="inlineStr">
        <is>
          <t>净收入</t>
        </is>
      </c>
      <c r="F9" t="inlineStr">
        <is>
          <t>B01.01-B01.02</t>
        </is>
      </c>
      <c r="H9" s="5">
        <f>H2-H8</f>
        <v/>
      </c>
      <c r="I9" s="5">
        <f>I2-I8</f>
        <v/>
      </c>
      <c r="M9" t="inlineStr">
        <is>
          <t>03</t>
        </is>
      </c>
    </row>
    <row r="10">
      <c r="A10" s="7" t="inlineStr">
        <is>
          <t>一级</t>
        </is>
      </c>
      <c r="B10" s="1" t="inlineStr">
        <is>
          <t>支出</t>
        </is>
      </c>
      <c r="C10" s="8" t="inlineStr">
        <is>
          <t>B01.04</t>
        </is>
      </c>
      <c r="D10" s="7" t="inlineStr">
        <is>
          <t>减：税金及附加</t>
        </is>
      </c>
      <c r="M10" t="inlineStr">
        <is>
          <t>04</t>
        </is>
      </c>
      <c r="P10" t="inlineStr">
        <is>
          <t>SUM</t>
        </is>
      </c>
    </row>
    <row r="11">
      <c r="A11" s="7" t="inlineStr">
        <is>
          <t>一级</t>
        </is>
      </c>
      <c r="B11" s="1" t="inlineStr">
        <is>
          <t>支出</t>
        </is>
      </c>
      <c r="C11" s="8" t="inlineStr">
        <is>
          <t>B01.05</t>
        </is>
      </c>
      <c r="D11" s="7" t="inlineStr">
        <is>
          <t>减：直接费用</t>
        </is>
      </c>
      <c r="F11" t="inlineStr">
        <is>
          <t>B01.90.01+B01.90.02+B01.90.03+B01.90.04+B01.90.05</t>
        </is>
      </c>
      <c r="H11" s="5">
        <f>H12+H15+H18+H25+H26</f>
        <v/>
      </c>
      <c r="I11" s="5">
        <f>I12+I15+I18+I25+I26</f>
        <v/>
      </c>
      <c r="K11" t="inlineStr">
        <is>
          <t>是</t>
        </is>
      </c>
      <c r="M11" t="inlineStr">
        <is>
          <t>05</t>
        </is>
      </c>
    </row>
    <row r="12">
      <c r="A12" s="1" t="inlineStr">
        <is>
          <t>二级</t>
        </is>
      </c>
      <c r="B12" s="1" t="inlineStr">
        <is>
          <t>支出</t>
        </is>
      </c>
      <c r="C12" s="8" t="inlineStr">
        <is>
          <t>B01.05.01</t>
        </is>
      </c>
      <c r="D12" s="1" t="inlineStr">
        <is>
          <t xml:space="preserve">  人力费用（不含IT）</t>
        </is>
      </c>
      <c r="F12" t="inlineStr">
        <is>
          <t>B01.90.01.01+B01.90.01.02</t>
        </is>
      </c>
      <c r="H12" s="5">
        <f>H13+H14</f>
        <v/>
      </c>
      <c r="I12" s="5">
        <f>I13+I14</f>
        <v/>
      </c>
      <c r="K12" t="inlineStr">
        <is>
          <t>是</t>
        </is>
      </c>
      <c r="M12" t="inlineStr">
        <is>
          <t>05.01</t>
        </is>
      </c>
    </row>
    <row r="13">
      <c r="A13" s="1" t="inlineStr">
        <is>
          <t>三级</t>
        </is>
      </c>
      <c r="B13" s="1" t="inlineStr">
        <is>
          <t>支出</t>
        </is>
      </c>
      <c r="C13" s="9" t="inlineStr">
        <is>
          <t>B01.05.01.01</t>
        </is>
      </c>
      <c r="D13" s="1" t="inlineStr">
        <is>
          <t xml:space="preserve">    常规人力</t>
        </is>
      </c>
      <c r="F13" t="inlineStr">
        <is>
          <t>B01.90.01.01.01+B01.90.01.01.02+B01.90.01.01.03+B01.90.01.01.04.001+B01.90.01.01.05.001</t>
        </is>
      </c>
      <c r="K13" t="inlineStr">
        <is>
          <t>是</t>
        </is>
      </c>
      <c r="M13" t="inlineStr">
        <is>
          <t>05.01.01</t>
        </is>
      </c>
    </row>
    <row r="14">
      <c r="A14" s="1" t="inlineStr">
        <is>
          <t>三级</t>
        </is>
      </c>
      <c r="B14" s="1" t="inlineStr">
        <is>
          <t>支出</t>
        </is>
      </c>
      <c r="C14" s="9" t="inlineStr">
        <is>
          <t>B01.05.01.02</t>
        </is>
      </c>
      <c r="D14" s="1" t="inlineStr">
        <is>
          <t xml:space="preserve">    特别人力</t>
        </is>
      </c>
      <c r="F14" t="inlineStr">
        <is>
          <t>B01.90.01.02.01+B01.90.01.02.02+B01.90.01.02.03+B01.90.01.02.04.001+B01.90.01.02.05.001</t>
        </is>
      </c>
      <c r="K14" t="inlineStr">
        <is>
          <t>是</t>
        </is>
      </c>
      <c r="M14" t="inlineStr">
        <is>
          <t>05.01.02</t>
        </is>
      </c>
    </row>
    <row r="15">
      <c r="A15" s="1" t="inlineStr">
        <is>
          <t>二级</t>
        </is>
      </c>
      <c r="B15" s="1" t="inlineStr">
        <is>
          <t>支出</t>
        </is>
      </c>
      <c r="C15" s="8" t="inlineStr">
        <is>
          <t>B01.05.02</t>
        </is>
      </c>
      <c r="D15" s="1" t="inlineStr">
        <is>
          <t xml:space="preserve">  业务费用</t>
        </is>
      </c>
      <c r="F15" t="inlineStr">
        <is>
          <t>B01.90.02.01+B01.90.02.02+B01.90.02.09</t>
        </is>
      </c>
      <c r="H15" s="5">
        <f>H16+H17</f>
        <v/>
      </c>
      <c r="I15" s="5">
        <f>I16+I17</f>
        <v/>
      </c>
      <c r="K15" t="inlineStr">
        <is>
          <t>是</t>
        </is>
      </c>
      <c r="M15" t="inlineStr">
        <is>
          <t>05.02</t>
        </is>
      </c>
    </row>
    <row r="16">
      <c r="A16" s="1" t="inlineStr">
        <is>
          <t>三级</t>
        </is>
      </c>
      <c r="B16" s="1" t="inlineStr">
        <is>
          <t>支出</t>
        </is>
      </c>
      <c r="C16" s="9" t="inlineStr">
        <is>
          <t>B01.05.02.01</t>
        </is>
      </c>
      <c r="D16" s="1" t="inlineStr">
        <is>
          <t xml:space="preserve">    营销费用</t>
        </is>
      </c>
      <c r="K16" t="inlineStr">
        <is>
          <t>是</t>
        </is>
      </c>
      <c r="M16" t="inlineStr">
        <is>
          <t>05.02.01</t>
        </is>
      </c>
      <c r="P16" t="inlineStr">
        <is>
          <t>SUM</t>
        </is>
      </c>
    </row>
    <row r="17">
      <c r="A17" s="1" t="inlineStr">
        <is>
          <t>三级</t>
        </is>
      </c>
      <c r="B17" s="1" t="inlineStr">
        <is>
          <t>支出</t>
        </is>
      </c>
      <c r="C17" s="9" t="inlineStr">
        <is>
          <t>B01.05.02.02</t>
        </is>
      </c>
      <c r="D17" s="1" t="inlineStr">
        <is>
          <t xml:space="preserve">    运营费用</t>
        </is>
      </c>
      <c r="K17" t="inlineStr">
        <is>
          <t>是</t>
        </is>
      </c>
      <c r="M17" t="inlineStr">
        <is>
          <t>05.02.02</t>
        </is>
      </c>
      <c r="P17" t="inlineStr">
        <is>
          <t>SUM</t>
        </is>
      </c>
    </row>
    <row r="18">
      <c r="A18" s="1" t="inlineStr">
        <is>
          <t>二级</t>
        </is>
      </c>
      <c r="B18" s="1" t="inlineStr">
        <is>
          <t>支出</t>
        </is>
      </c>
      <c r="C18" s="8" t="inlineStr">
        <is>
          <t>B01.05.03</t>
        </is>
      </c>
      <c r="D18" s="1" t="inlineStr">
        <is>
          <t xml:space="preserve">  IT费用</t>
        </is>
      </c>
      <c r="F18" t="inlineStr">
        <is>
          <t>B01.90.03.01+B01.90.03.02+B01.90.03.03+B01.90.03.04</t>
        </is>
      </c>
      <c r="H18" s="5">
        <f>H19+H22+H23+H24</f>
        <v/>
      </c>
      <c r="I18" s="5">
        <f>I19+I22+I23+I24</f>
        <v/>
      </c>
      <c r="K18" t="inlineStr">
        <is>
          <t>是</t>
        </is>
      </c>
      <c r="M18" t="inlineStr">
        <is>
          <t>05.03</t>
        </is>
      </c>
    </row>
    <row r="19">
      <c r="A19" s="1" t="inlineStr">
        <is>
          <t>三级</t>
        </is>
      </c>
      <c r="B19" s="1" t="inlineStr">
        <is>
          <t>支出</t>
        </is>
      </c>
      <c r="C19" s="9" t="inlineStr">
        <is>
          <t>B01.05.03.01</t>
        </is>
      </c>
      <c r="D19" s="1" t="inlineStr">
        <is>
          <t xml:space="preserve">    IT人力</t>
        </is>
      </c>
      <c r="F19" t="inlineStr">
        <is>
          <t>B01.90.03.01.01+B01.90.03.01.02</t>
        </is>
      </c>
      <c r="H19" s="5">
        <f>H20+H21</f>
        <v/>
      </c>
      <c r="I19" s="5">
        <f>I20+I21</f>
        <v/>
      </c>
      <c r="K19" t="inlineStr">
        <is>
          <t>是</t>
        </is>
      </c>
      <c r="M19" t="inlineStr">
        <is>
          <t>05.03.01</t>
        </is>
      </c>
    </row>
    <row r="20">
      <c r="A20" s="1" t="inlineStr">
        <is>
          <t>四级</t>
        </is>
      </c>
      <c r="B20" s="1" t="inlineStr">
        <is>
          <t>支出</t>
        </is>
      </c>
      <c r="C20" s="9" t="inlineStr">
        <is>
          <t>B01.05.03.01.01</t>
        </is>
      </c>
      <c r="D20" s="1" t="inlineStr">
        <is>
          <t xml:space="preserve">      IT常规人力</t>
        </is>
      </c>
      <c r="K20" t="inlineStr">
        <is>
          <t>是</t>
        </is>
      </c>
      <c r="M20" t="inlineStr">
        <is>
          <t>05.03.01.01</t>
        </is>
      </c>
      <c r="P20" t="inlineStr">
        <is>
          <t>SUM</t>
        </is>
      </c>
    </row>
    <row r="21">
      <c r="A21" s="1" t="inlineStr">
        <is>
          <t>四级</t>
        </is>
      </c>
      <c r="B21" s="1" t="inlineStr">
        <is>
          <t>支出</t>
        </is>
      </c>
      <c r="C21" s="9" t="inlineStr">
        <is>
          <t>B01.05.03.01.02</t>
        </is>
      </c>
      <c r="D21" s="1" t="inlineStr">
        <is>
          <t xml:space="preserve">      IT特别人力</t>
        </is>
      </c>
      <c r="K21" t="inlineStr">
        <is>
          <t>是</t>
        </is>
      </c>
      <c r="M21" t="inlineStr">
        <is>
          <t>05.03.01.02</t>
        </is>
      </c>
      <c r="P21" t="inlineStr">
        <is>
          <t>SUM</t>
        </is>
      </c>
    </row>
    <row r="22">
      <c r="A22" s="1" t="inlineStr">
        <is>
          <t>三级</t>
        </is>
      </c>
      <c r="B22" s="1" t="inlineStr">
        <is>
          <t>支出</t>
        </is>
      </c>
      <c r="C22" s="9" t="inlineStr">
        <is>
          <t>B01.05.03.02</t>
        </is>
      </c>
      <c r="D22" s="1" t="inlineStr">
        <is>
          <t xml:space="preserve">    科技费用</t>
        </is>
      </c>
      <c r="K22" t="inlineStr">
        <is>
          <t>是</t>
        </is>
      </c>
      <c r="M22" t="inlineStr">
        <is>
          <t>05.03.02</t>
        </is>
      </c>
      <c r="P22" t="inlineStr">
        <is>
          <t>SUM</t>
        </is>
      </c>
    </row>
    <row r="23">
      <c r="A23" s="1" t="inlineStr">
        <is>
          <t>三级</t>
        </is>
      </c>
      <c r="B23" s="1" t="inlineStr">
        <is>
          <t>支出</t>
        </is>
      </c>
      <c r="C23" s="9" t="inlineStr">
        <is>
          <t>B01.05.03.03</t>
        </is>
      </c>
      <c r="D23" s="1" t="inlineStr">
        <is>
          <t xml:space="preserve">    IT职场</t>
        </is>
      </c>
      <c r="K23" t="inlineStr">
        <is>
          <t>是</t>
        </is>
      </c>
      <c r="M23" t="inlineStr">
        <is>
          <t>05.03.03</t>
        </is>
      </c>
      <c r="P23" t="inlineStr">
        <is>
          <t>SUM</t>
        </is>
      </c>
    </row>
    <row r="24">
      <c r="A24" s="1" t="inlineStr">
        <is>
          <t>三级</t>
        </is>
      </c>
      <c r="B24" s="1" t="inlineStr">
        <is>
          <t>支出</t>
        </is>
      </c>
      <c r="C24" s="9" t="inlineStr">
        <is>
          <t>B01.05.03.04</t>
        </is>
      </c>
      <c r="D24" s="1" t="inlineStr">
        <is>
          <t xml:space="preserve">    IT日常</t>
        </is>
      </c>
      <c r="K24" t="inlineStr">
        <is>
          <t>是</t>
        </is>
      </c>
      <c r="M24" t="inlineStr">
        <is>
          <t>05.03.04</t>
        </is>
      </c>
      <c r="P24" t="inlineStr">
        <is>
          <t>SUM</t>
        </is>
      </c>
    </row>
    <row r="25">
      <c r="A25" s="1" t="inlineStr">
        <is>
          <t>二级</t>
        </is>
      </c>
      <c r="B25" s="1" t="inlineStr">
        <is>
          <t>支出</t>
        </is>
      </c>
      <c r="C25" s="8" t="inlineStr">
        <is>
          <t>B01.05.04</t>
        </is>
      </c>
      <c r="D25" s="1" t="inlineStr">
        <is>
          <t xml:space="preserve">  职场费用</t>
        </is>
      </c>
      <c r="K25" t="inlineStr">
        <is>
          <t>是</t>
        </is>
      </c>
      <c r="M25" t="inlineStr">
        <is>
          <t>05.04</t>
        </is>
      </c>
      <c r="P25" t="inlineStr">
        <is>
          <t>SUM</t>
        </is>
      </c>
    </row>
    <row r="26">
      <c r="A26" s="1" t="inlineStr">
        <is>
          <t>二级</t>
        </is>
      </c>
      <c r="B26" s="1" t="inlineStr">
        <is>
          <t>支出</t>
        </is>
      </c>
      <c r="C26" s="8" t="inlineStr">
        <is>
          <t>B01.05.05</t>
        </is>
      </c>
      <c r="D26" s="1" t="inlineStr">
        <is>
          <t xml:space="preserve">  日常费用</t>
        </is>
      </c>
      <c r="K26" t="inlineStr">
        <is>
          <t>是</t>
        </is>
      </c>
      <c r="M26" t="inlineStr">
        <is>
          <t>05.05</t>
        </is>
      </c>
      <c r="P26" t="inlineStr">
        <is>
          <t>SUM</t>
        </is>
      </c>
    </row>
    <row r="27">
      <c r="A27" s="7" t="inlineStr">
        <is>
          <t>一级</t>
        </is>
      </c>
      <c r="B27" s="1" t="inlineStr">
        <is>
          <t>收入</t>
        </is>
      </c>
      <c r="C27" s="8" t="inlineStr">
        <is>
          <t>B01.06</t>
        </is>
      </c>
      <c r="D27" s="7" t="inlineStr">
        <is>
          <t>加：营业外净收入</t>
        </is>
      </c>
      <c r="M27" t="inlineStr">
        <is>
          <t>06</t>
        </is>
      </c>
      <c r="P27" t="inlineStr">
        <is>
          <t>SUM</t>
        </is>
      </c>
    </row>
    <row r="28">
      <c r="A28" s="7" t="inlineStr">
        <is>
          <t>一级</t>
        </is>
      </c>
      <c r="B28" s="1" t="inlineStr">
        <is>
          <t>利润</t>
        </is>
      </c>
      <c r="C28" s="8" t="inlineStr">
        <is>
          <t>B01.07</t>
        </is>
      </c>
      <c r="D28" s="7" t="inlineStr">
        <is>
          <t>分摊前利润</t>
        </is>
      </c>
      <c r="F28" t="inlineStr">
        <is>
          <t>B01.03-B01.04-B01.90+B01.06</t>
        </is>
      </c>
      <c r="H28" s="5">
        <f>H9-H10-H11+H27</f>
        <v/>
      </c>
      <c r="I28" s="5">
        <f>I9-I10-I11+I27</f>
        <v/>
      </c>
      <c r="M28" t="inlineStr">
        <is>
          <t>07</t>
        </is>
      </c>
    </row>
    <row r="29">
      <c r="A29" s="7" t="inlineStr">
        <is>
          <t>一级</t>
        </is>
      </c>
      <c r="B29" s="1" t="inlineStr">
        <is>
          <t>支出</t>
        </is>
      </c>
      <c r="C29" s="8" t="inlineStr">
        <is>
          <t>B01.08</t>
        </is>
      </c>
      <c r="D29" s="7" t="inlineStr">
        <is>
          <t>减：固定管理费</t>
        </is>
      </c>
      <c r="M29" t="inlineStr">
        <is>
          <t>08</t>
        </is>
      </c>
      <c r="P29" t="inlineStr">
        <is>
          <t>SUM</t>
        </is>
      </c>
    </row>
    <row r="30">
      <c r="A30" s="7" t="inlineStr">
        <is>
          <t>一级</t>
        </is>
      </c>
      <c r="B30" s="1" t="inlineStr">
        <is>
          <t>利润</t>
        </is>
      </c>
      <c r="C30" s="8" t="inlineStr">
        <is>
          <t>B01.09</t>
        </is>
      </c>
      <c r="D30" s="7" t="inlineStr">
        <is>
          <t>税前利润</t>
        </is>
      </c>
      <c r="F30" t="inlineStr">
        <is>
          <t>B01.07-B01.08</t>
        </is>
      </c>
      <c r="H30" s="5">
        <f>H28-H29</f>
        <v/>
      </c>
      <c r="I30" s="5">
        <f>I28-I29</f>
        <v/>
      </c>
      <c r="M30" t="inlineStr">
        <is>
          <t>09</t>
        </is>
      </c>
    </row>
    <row r="31">
      <c r="A31" s="10" t="n"/>
      <c r="B31" s="10" t="n"/>
      <c r="C31" s="10" t="n"/>
      <c r="D31" s="10" t="n"/>
    </row>
    <row r="32">
      <c r="A32" s="7" t="inlineStr">
        <is>
          <t>一级</t>
        </is>
      </c>
      <c r="B32" s="7" t="inlineStr">
        <is>
          <t>资产余额</t>
        </is>
      </c>
      <c r="C32" s="11" t="inlineStr">
        <is>
          <t>B01.10</t>
        </is>
      </c>
      <c r="D32" s="11" t="inlineStr">
        <is>
          <t>管理贷款余额</t>
        </is>
      </c>
      <c r="F32" t="inlineStr">
        <is>
          <t>B01.10.01+B01.10.02+B01.10.03+B01.10.04</t>
        </is>
      </c>
      <c r="H32" s="5">
        <f>H33+H40+H41+H45</f>
        <v/>
      </c>
      <c r="I32" s="5">
        <f>I33+I40+I41+I45</f>
        <v/>
      </c>
      <c r="M32" t="inlineStr">
        <is>
          <t>10</t>
        </is>
      </c>
    </row>
    <row r="33">
      <c r="A33" s="1" t="inlineStr">
        <is>
          <t>二级</t>
        </is>
      </c>
      <c r="B33" s="7" t="inlineStr">
        <is>
          <t>资产余额</t>
        </is>
      </c>
      <c r="C33" s="10" t="inlineStr">
        <is>
          <t>B01.10.01</t>
        </is>
      </c>
      <c r="D33" s="10" t="inlineStr">
        <is>
          <t xml:space="preserve">  自持余额</t>
        </is>
      </c>
      <c r="F33" t="inlineStr">
        <is>
          <t>B01.10.01.01+B01.10.01.02</t>
        </is>
      </c>
      <c r="H33" s="5">
        <f>H34+H37</f>
        <v/>
      </c>
      <c r="I33" s="5">
        <f>I34+I37</f>
        <v/>
      </c>
      <c r="M33" t="inlineStr">
        <is>
          <t>10.01</t>
        </is>
      </c>
    </row>
    <row r="34">
      <c r="A34" s="1" t="inlineStr">
        <is>
          <t>三级</t>
        </is>
      </c>
      <c r="B34" s="7" t="inlineStr">
        <is>
          <t>资产余额</t>
        </is>
      </c>
      <c r="C34" s="10" t="inlineStr">
        <is>
          <t>B01.10.01.01</t>
        </is>
      </c>
      <c r="D34" s="10" t="inlineStr">
        <is>
          <t xml:space="preserve">    一般贷款</t>
        </is>
      </c>
      <c r="F34" t="inlineStr">
        <is>
          <t>B01.10.01.01.01+B01.10.01.01.02</t>
        </is>
      </c>
      <c r="H34" s="5">
        <f>H35+H36</f>
        <v/>
      </c>
      <c r="I34" s="5">
        <f>I35+I36</f>
        <v/>
      </c>
      <c r="M34" t="inlineStr">
        <is>
          <t>10.01.01</t>
        </is>
      </c>
    </row>
    <row r="35">
      <c r="A35" s="1" t="inlineStr">
        <is>
          <t>四级</t>
        </is>
      </c>
      <c r="B35" s="7" t="inlineStr">
        <is>
          <t>资产余额</t>
        </is>
      </c>
      <c r="C35" s="10" t="inlineStr">
        <is>
          <t>B01.10.01.01.01</t>
        </is>
      </c>
      <c r="D35" s="10" t="inlineStr">
        <is>
          <t xml:space="preserve">      常规部分</t>
        </is>
      </c>
      <c r="M35" t="inlineStr">
        <is>
          <t>10.01.01.01</t>
        </is>
      </c>
      <c r="P35" t="inlineStr">
        <is>
          <t>LAST</t>
        </is>
      </c>
    </row>
    <row r="36">
      <c r="A36" s="1" t="inlineStr">
        <is>
          <t>四级</t>
        </is>
      </c>
      <c r="B36" s="7" t="inlineStr">
        <is>
          <t>资产余额</t>
        </is>
      </c>
      <c r="C36" s="10" t="inlineStr">
        <is>
          <t>B01.10.01.01.02</t>
        </is>
      </c>
      <c r="D36" s="10" t="inlineStr">
        <is>
          <t xml:space="preserve">      战略部分</t>
        </is>
      </c>
      <c r="M36" t="inlineStr">
        <is>
          <t>10.01.01.02</t>
        </is>
      </c>
      <c r="P36" t="inlineStr">
        <is>
          <t>LAST</t>
        </is>
      </c>
    </row>
    <row r="37">
      <c r="A37" s="1" t="inlineStr">
        <is>
          <t>三级</t>
        </is>
      </c>
      <c r="B37" s="7" t="inlineStr">
        <is>
          <t>资产余额</t>
        </is>
      </c>
      <c r="C37" s="10" t="inlineStr">
        <is>
          <t>B01.10.01.02</t>
        </is>
      </c>
      <c r="D37" s="10" t="inlineStr">
        <is>
          <t xml:space="preserve">    票据融资</t>
        </is>
      </c>
      <c r="F37" t="inlineStr">
        <is>
          <t>B01.10.01.02.01+B01.10.01.02.02</t>
        </is>
      </c>
      <c r="H37" s="5">
        <f>H38+H39</f>
        <v/>
      </c>
      <c r="I37" s="5">
        <f>I38+I39</f>
        <v/>
      </c>
      <c r="M37" t="inlineStr">
        <is>
          <t>10.01.02</t>
        </is>
      </c>
    </row>
    <row r="38">
      <c r="A38" s="1" t="inlineStr">
        <is>
          <t>四级</t>
        </is>
      </c>
      <c r="B38" s="7" t="inlineStr">
        <is>
          <t>资产余额</t>
        </is>
      </c>
      <c r="C38" s="10" t="inlineStr">
        <is>
          <t>B01.10.01.02.01</t>
        </is>
      </c>
      <c r="D38" s="10" t="inlineStr">
        <is>
          <t xml:space="preserve">      票据贴现</t>
        </is>
      </c>
      <c r="M38" t="inlineStr">
        <is>
          <t>10.01.02.01</t>
        </is>
      </c>
      <c r="P38" t="inlineStr">
        <is>
          <t>LAST</t>
        </is>
      </c>
    </row>
    <row r="39">
      <c r="A39" s="1" t="inlineStr">
        <is>
          <t>四级</t>
        </is>
      </c>
      <c r="B39" s="7" t="inlineStr">
        <is>
          <t>资产余额</t>
        </is>
      </c>
      <c r="C39" s="10" t="inlineStr">
        <is>
          <t>B01.10.01.02.02</t>
        </is>
      </c>
      <c r="D39" s="10" t="inlineStr">
        <is>
          <t xml:space="preserve">      贸易融资</t>
        </is>
      </c>
      <c r="M39" t="inlineStr">
        <is>
          <t>10.01.02.02</t>
        </is>
      </c>
      <c r="P39" t="inlineStr">
        <is>
          <t>LAST</t>
        </is>
      </c>
    </row>
    <row r="40">
      <c r="A40" s="1" t="inlineStr">
        <is>
          <t>二级</t>
        </is>
      </c>
      <c r="B40" s="7" t="inlineStr">
        <is>
          <t>资产余额</t>
        </is>
      </c>
      <c r="C40" s="10" t="inlineStr">
        <is>
          <t>B01.10.02</t>
        </is>
      </c>
      <c r="D40" s="10" t="inlineStr">
        <is>
          <t xml:space="preserve">  联贷</t>
        </is>
      </c>
      <c r="M40" t="inlineStr">
        <is>
          <t>10.02</t>
        </is>
      </c>
      <c r="P40" t="inlineStr">
        <is>
          <t>LAST</t>
        </is>
      </c>
    </row>
    <row r="41">
      <c r="A41" s="1" t="inlineStr">
        <is>
          <t>二级</t>
        </is>
      </c>
      <c r="B41" s="7" t="inlineStr">
        <is>
          <t>资产余额</t>
        </is>
      </c>
      <c r="C41" s="10" t="inlineStr">
        <is>
          <t>B01.10.03</t>
        </is>
      </c>
      <c r="D41" s="10" t="inlineStr">
        <is>
          <t xml:space="preserve">  流转</t>
        </is>
      </c>
      <c r="F41" t="inlineStr">
        <is>
          <t>B01.10.03.01+B01.10.03.02+B01.10.03.03</t>
        </is>
      </c>
      <c r="H41" s="5">
        <f>H42+H43+H44</f>
        <v/>
      </c>
      <c r="I41" s="5">
        <f>I42+I43+I44</f>
        <v/>
      </c>
      <c r="M41" t="inlineStr">
        <is>
          <t>10.03</t>
        </is>
      </c>
    </row>
    <row r="42">
      <c r="A42" s="10" t="inlineStr">
        <is>
          <t>三级</t>
        </is>
      </c>
      <c r="B42" s="7" t="inlineStr">
        <is>
          <t>资产余额</t>
        </is>
      </c>
      <c r="C42" s="10" t="inlineStr">
        <is>
          <t>B01.10.03.01</t>
        </is>
      </c>
      <c r="D42" s="10" t="inlineStr">
        <is>
          <t xml:space="preserve">    ABS</t>
        </is>
      </c>
      <c r="M42" t="inlineStr">
        <is>
          <t>10.03.01</t>
        </is>
      </c>
      <c r="P42" t="inlineStr">
        <is>
          <t>LAST</t>
        </is>
      </c>
    </row>
    <row r="43">
      <c r="A43" s="10" t="inlineStr">
        <is>
          <t>三级</t>
        </is>
      </c>
      <c r="B43" s="7" t="inlineStr">
        <is>
          <t>资产余额</t>
        </is>
      </c>
      <c r="C43" s="10" t="inlineStr">
        <is>
          <t>B01.10.03.02</t>
        </is>
      </c>
      <c r="D43" s="10" t="inlineStr">
        <is>
          <t xml:space="preserve">    ABN</t>
        </is>
      </c>
      <c r="M43" t="inlineStr">
        <is>
          <t>10.03.02</t>
        </is>
      </c>
      <c r="P43" t="inlineStr">
        <is>
          <t>LAST</t>
        </is>
      </c>
    </row>
    <row r="44">
      <c r="A44" s="10" t="inlineStr">
        <is>
          <t>三级</t>
        </is>
      </c>
      <c r="B44" s="7" t="inlineStr">
        <is>
          <t>资产余额</t>
        </is>
      </c>
      <c r="C44" s="10" t="inlineStr">
        <is>
          <t>B01.10.03.03</t>
        </is>
      </c>
      <c r="D44" s="10" t="inlineStr">
        <is>
          <t xml:space="preserve">    债转</t>
        </is>
      </c>
      <c r="M44" t="inlineStr">
        <is>
          <t>10.03.03</t>
        </is>
      </c>
      <c r="P44" t="inlineStr">
        <is>
          <t>LAST</t>
        </is>
      </c>
    </row>
    <row r="45">
      <c r="A45" s="10" t="inlineStr">
        <is>
          <t>二级</t>
        </is>
      </c>
      <c r="B45" s="7" t="inlineStr">
        <is>
          <t>资产余额</t>
        </is>
      </c>
      <c r="C45" s="10" t="inlineStr">
        <is>
          <t>B01.10.04</t>
        </is>
      </c>
      <c r="D45" s="10" t="inlineStr">
        <is>
          <t xml:space="preserve">  银承保函</t>
        </is>
      </c>
      <c r="M45" t="inlineStr">
        <is>
          <t>10.04</t>
        </is>
      </c>
      <c r="P45" t="inlineStr">
        <is>
          <t>LAST</t>
        </is>
      </c>
    </row>
    <row r="46">
      <c r="A46" s="7" t="inlineStr">
        <is>
          <t>一级</t>
        </is>
      </c>
      <c r="B46" s="7" t="inlineStr">
        <is>
          <t>资产日均</t>
        </is>
      </c>
      <c r="C46" s="11" t="inlineStr">
        <is>
          <t>B01.11</t>
        </is>
      </c>
      <c r="D46" s="11" t="inlineStr">
        <is>
          <t>管理贷款日均</t>
        </is>
      </c>
      <c r="F46" t="inlineStr">
        <is>
          <t>B01.11.01+B01.11.02+B01.11.03+B01.11.04</t>
        </is>
      </c>
      <c r="H46" s="5">
        <f>H47+H54+H55+H59</f>
        <v/>
      </c>
      <c r="I46" s="5">
        <f>I47+I54+I55+I59</f>
        <v/>
      </c>
      <c r="M46" t="inlineStr">
        <is>
          <t>11</t>
        </is>
      </c>
    </row>
    <row r="47">
      <c r="A47" s="1" t="inlineStr">
        <is>
          <t>二级</t>
        </is>
      </c>
      <c r="B47" s="7" t="inlineStr">
        <is>
          <t>资产日均</t>
        </is>
      </c>
      <c r="C47" s="10" t="inlineStr">
        <is>
          <t>B01.11.01</t>
        </is>
      </c>
      <c r="D47" s="10" t="inlineStr">
        <is>
          <t xml:space="preserve">  自持</t>
        </is>
      </c>
      <c r="F47" t="inlineStr">
        <is>
          <t>B01.11.01.01+B01.11.01.02</t>
        </is>
      </c>
      <c r="H47" s="5">
        <f>H48+H51</f>
        <v/>
      </c>
      <c r="I47" s="5">
        <f>I48+I51</f>
        <v/>
      </c>
      <c r="M47" t="inlineStr">
        <is>
          <t>11.01</t>
        </is>
      </c>
    </row>
    <row r="48">
      <c r="A48" s="1" t="inlineStr">
        <is>
          <t>三级</t>
        </is>
      </c>
      <c r="B48" s="7" t="inlineStr">
        <is>
          <t>资产日均</t>
        </is>
      </c>
      <c r="C48" s="10" t="inlineStr">
        <is>
          <t>B01.11.01.01</t>
        </is>
      </c>
      <c r="D48" s="10" t="inlineStr">
        <is>
          <t xml:space="preserve">    一般贷款</t>
        </is>
      </c>
      <c r="F48" t="inlineStr">
        <is>
          <t>B01.11.01.01.01+B01.11.01.01.02</t>
        </is>
      </c>
      <c r="H48" s="5">
        <f>H49+H50</f>
        <v/>
      </c>
      <c r="I48" s="5">
        <f>I49+I50</f>
        <v/>
      </c>
      <c r="M48" t="inlineStr">
        <is>
          <t>11.01.01</t>
        </is>
      </c>
    </row>
    <row r="49">
      <c r="A49" s="1" t="inlineStr">
        <is>
          <t>四级</t>
        </is>
      </c>
      <c r="B49" s="7" t="inlineStr">
        <is>
          <t>资产日均</t>
        </is>
      </c>
      <c r="C49" s="10" t="inlineStr">
        <is>
          <t>B01.11.01.01.01</t>
        </is>
      </c>
      <c r="D49" s="10" t="inlineStr">
        <is>
          <t xml:space="preserve">      常规部分</t>
        </is>
      </c>
      <c r="M49" t="inlineStr">
        <is>
          <t>11.01.01.01</t>
        </is>
      </c>
      <c r="P49" t="inlineStr">
        <is>
          <t>AVG</t>
        </is>
      </c>
    </row>
    <row r="50">
      <c r="A50" s="1" t="inlineStr">
        <is>
          <t>四级</t>
        </is>
      </c>
      <c r="B50" s="7" t="inlineStr">
        <is>
          <t>资产日均</t>
        </is>
      </c>
      <c r="C50" s="10" t="inlineStr">
        <is>
          <t>B01.11.01.01.02</t>
        </is>
      </c>
      <c r="D50" s="10" t="inlineStr">
        <is>
          <t xml:space="preserve">      战略部分</t>
        </is>
      </c>
      <c r="M50" t="inlineStr">
        <is>
          <t>11.01.01.02</t>
        </is>
      </c>
      <c r="P50" t="inlineStr">
        <is>
          <t>AVG</t>
        </is>
      </c>
    </row>
    <row r="51">
      <c r="A51" s="1" t="inlineStr">
        <is>
          <t>三级</t>
        </is>
      </c>
      <c r="B51" s="7" t="inlineStr">
        <is>
          <t>资产日均</t>
        </is>
      </c>
      <c r="C51" s="10" t="inlineStr">
        <is>
          <t>B01.11.01.02</t>
        </is>
      </c>
      <c r="D51" s="10" t="inlineStr">
        <is>
          <t xml:space="preserve">    票据融资</t>
        </is>
      </c>
      <c r="F51" t="inlineStr">
        <is>
          <t>B01.11.01.02.01+B01.11.01.02.02</t>
        </is>
      </c>
      <c r="H51" s="5">
        <f>H52+H53</f>
        <v/>
      </c>
      <c r="I51" s="5">
        <f>I52+I53</f>
        <v/>
      </c>
      <c r="M51" t="inlineStr">
        <is>
          <t>11.01.02</t>
        </is>
      </c>
    </row>
    <row r="52">
      <c r="A52" s="1" t="inlineStr">
        <is>
          <t>四级</t>
        </is>
      </c>
      <c r="B52" s="7" t="inlineStr">
        <is>
          <t>资产日均</t>
        </is>
      </c>
      <c r="C52" s="10" t="inlineStr">
        <is>
          <t>B01.11.01.02.01</t>
        </is>
      </c>
      <c r="D52" s="10" t="inlineStr">
        <is>
          <t xml:space="preserve">      票据贴现</t>
        </is>
      </c>
      <c r="M52" t="inlineStr">
        <is>
          <t>11.01.02.01</t>
        </is>
      </c>
      <c r="P52" t="inlineStr">
        <is>
          <t>AVG</t>
        </is>
      </c>
    </row>
    <row r="53">
      <c r="A53" s="1" t="inlineStr">
        <is>
          <t>四级</t>
        </is>
      </c>
      <c r="B53" s="7" t="inlineStr">
        <is>
          <t>资产日均</t>
        </is>
      </c>
      <c r="C53" s="10" t="inlineStr">
        <is>
          <t>B01.11.01.02.02</t>
        </is>
      </c>
      <c r="D53" s="10" t="inlineStr">
        <is>
          <t xml:space="preserve">      贸易融资</t>
        </is>
      </c>
      <c r="M53" t="inlineStr">
        <is>
          <t>11.01.02.02</t>
        </is>
      </c>
      <c r="P53" t="inlineStr">
        <is>
          <t>AVG</t>
        </is>
      </c>
    </row>
    <row r="54">
      <c r="A54" s="1" t="inlineStr">
        <is>
          <t>二级</t>
        </is>
      </c>
      <c r="B54" s="7" t="inlineStr">
        <is>
          <t>资产日均</t>
        </is>
      </c>
      <c r="C54" s="10" t="inlineStr">
        <is>
          <t>B01.11.02</t>
        </is>
      </c>
      <c r="D54" s="10" t="inlineStr">
        <is>
          <t xml:space="preserve">  联贷</t>
        </is>
      </c>
      <c r="M54" t="inlineStr">
        <is>
          <t>11.02</t>
        </is>
      </c>
      <c r="P54" t="inlineStr">
        <is>
          <t>AVG</t>
        </is>
      </c>
    </row>
    <row r="55">
      <c r="A55" s="1" t="inlineStr">
        <is>
          <t>二级</t>
        </is>
      </c>
      <c r="B55" s="7" t="inlineStr">
        <is>
          <t>资产日均</t>
        </is>
      </c>
      <c r="C55" s="10" t="inlineStr">
        <is>
          <t>B01.11.03</t>
        </is>
      </c>
      <c r="D55" s="10" t="inlineStr">
        <is>
          <t xml:space="preserve">  流转</t>
        </is>
      </c>
      <c r="F55" t="inlineStr">
        <is>
          <t>B01.11.03.01+B01.11.03.02+B01.11.03.03</t>
        </is>
      </c>
      <c r="H55" s="5">
        <f>H56+H57+H58</f>
        <v/>
      </c>
      <c r="I55" s="5">
        <f>I56+I57+I58</f>
        <v/>
      </c>
      <c r="M55" t="inlineStr">
        <is>
          <t>11.03</t>
        </is>
      </c>
    </row>
    <row r="56">
      <c r="A56" s="10" t="inlineStr">
        <is>
          <t>三级</t>
        </is>
      </c>
      <c r="B56" s="7" t="inlineStr">
        <is>
          <t>资产日均</t>
        </is>
      </c>
      <c r="C56" s="10" t="inlineStr">
        <is>
          <t>B01.11.03.01</t>
        </is>
      </c>
      <c r="D56" s="10" t="inlineStr">
        <is>
          <t xml:space="preserve">    ABS</t>
        </is>
      </c>
      <c r="M56" t="inlineStr">
        <is>
          <t>11.03.01</t>
        </is>
      </c>
      <c r="P56" t="inlineStr">
        <is>
          <t>AVG</t>
        </is>
      </c>
    </row>
    <row r="57">
      <c r="A57" s="10" t="inlineStr">
        <is>
          <t>三级</t>
        </is>
      </c>
      <c r="B57" s="7" t="inlineStr">
        <is>
          <t>资产日均</t>
        </is>
      </c>
      <c r="C57" s="10" t="inlineStr">
        <is>
          <t>B01.11.03.02</t>
        </is>
      </c>
      <c r="D57" s="10" t="inlineStr">
        <is>
          <t xml:space="preserve">    ABN</t>
        </is>
      </c>
      <c r="M57" t="inlineStr">
        <is>
          <t>11.03.02</t>
        </is>
      </c>
      <c r="P57" t="inlineStr">
        <is>
          <t>AVG</t>
        </is>
      </c>
    </row>
    <row r="58">
      <c r="A58" s="10" t="inlineStr">
        <is>
          <t>三级</t>
        </is>
      </c>
      <c r="B58" s="7" t="inlineStr">
        <is>
          <t>资产日均</t>
        </is>
      </c>
      <c r="C58" s="10" t="inlineStr">
        <is>
          <t>B01.11.03.03</t>
        </is>
      </c>
      <c r="D58" s="10" t="inlineStr">
        <is>
          <t xml:space="preserve">    债转</t>
        </is>
      </c>
      <c r="M58" t="inlineStr">
        <is>
          <t>11.03.03</t>
        </is>
      </c>
      <c r="P58" t="inlineStr">
        <is>
          <t>AVG</t>
        </is>
      </c>
    </row>
    <row r="59">
      <c r="A59" s="10" t="inlineStr">
        <is>
          <t>二级</t>
        </is>
      </c>
      <c r="B59" s="7" t="inlineStr">
        <is>
          <t>资产日均</t>
        </is>
      </c>
      <c r="C59" s="10" t="inlineStr">
        <is>
          <t>B01.11.04</t>
        </is>
      </c>
      <c r="D59" s="10" t="inlineStr">
        <is>
          <t xml:space="preserve">  银承保函</t>
        </is>
      </c>
      <c r="M59" t="inlineStr">
        <is>
          <t>11.04</t>
        </is>
      </c>
      <c r="P59" t="inlineStr">
        <is>
          <t>AVG</t>
        </is>
      </c>
    </row>
    <row r="60">
      <c r="A60" s="10" t="n"/>
      <c r="B60" s="7" t="n"/>
      <c r="C60" s="10" t="n"/>
      <c r="D60" s="10" t="n"/>
    </row>
    <row r="61">
      <c r="A61" s="1" t="inlineStr">
        <is>
          <t>一级</t>
        </is>
      </c>
      <c r="B61" s="1" t="inlineStr">
        <is>
          <t>负债余额</t>
        </is>
      </c>
      <c r="C61" s="10" t="inlineStr">
        <is>
          <t>B01.12</t>
        </is>
      </c>
      <c r="D61" s="10" t="inlineStr">
        <is>
          <t>管理资产余额</t>
        </is>
      </c>
      <c r="F61" t="inlineStr">
        <is>
          <t>B01.12.01+B01.12.02</t>
        </is>
      </c>
      <c r="H61" s="5">
        <f>H62+H65</f>
        <v/>
      </c>
      <c r="I61" s="5">
        <f>I62+I65</f>
        <v/>
      </c>
      <c r="M61" t="inlineStr">
        <is>
          <t>12</t>
        </is>
      </c>
    </row>
    <row r="62">
      <c r="A62" s="1" t="inlineStr">
        <is>
          <t>二级</t>
        </is>
      </c>
      <c r="B62" s="1" t="inlineStr">
        <is>
          <t>负债余额</t>
        </is>
      </c>
      <c r="C62" s="10" t="inlineStr">
        <is>
          <t>B01.12.01</t>
        </is>
      </c>
      <c r="D62" s="10" t="inlineStr">
        <is>
          <t xml:space="preserve">  存款余额</t>
        </is>
      </c>
      <c r="F62" t="inlineStr">
        <is>
          <t>B01.12.01.01+B01.12.01.02</t>
        </is>
      </c>
      <c r="H62" s="5">
        <f>H63+H64</f>
        <v/>
      </c>
      <c r="I62" s="5">
        <f>I63+I64</f>
        <v/>
      </c>
      <c r="M62" t="inlineStr">
        <is>
          <t>12.01</t>
        </is>
      </c>
    </row>
    <row r="63">
      <c r="A63" s="1" t="inlineStr">
        <is>
          <t>三级</t>
        </is>
      </c>
      <c r="B63" s="1" t="inlineStr">
        <is>
          <t>负债余额</t>
        </is>
      </c>
      <c r="C63" s="10" t="inlineStr">
        <is>
          <t>B01.12.01.01</t>
        </is>
      </c>
      <c r="D63" s="10" t="inlineStr">
        <is>
          <t xml:space="preserve">    常规存款</t>
        </is>
      </c>
      <c r="M63" t="inlineStr">
        <is>
          <t>12.01.01</t>
        </is>
      </c>
      <c r="P63" t="inlineStr">
        <is>
          <t>LAST</t>
        </is>
      </c>
    </row>
    <row r="64">
      <c r="A64" s="1" t="inlineStr">
        <is>
          <t>三级</t>
        </is>
      </c>
      <c r="B64" s="1" t="inlineStr">
        <is>
          <t>负债余额</t>
        </is>
      </c>
      <c r="C64" s="10" t="inlineStr">
        <is>
          <t>B01.12.01.02</t>
        </is>
      </c>
      <c r="D64" s="10" t="inlineStr">
        <is>
          <t xml:space="preserve">    银承保函保证金</t>
        </is>
      </c>
      <c r="M64" t="inlineStr">
        <is>
          <t>12.01.02</t>
        </is>
      </c>
      <c r="P64" t="inlineStr">
        <is>
          <t>LAST</t>
        </is>
      </c>
    </row>
    <row r="65">
      <c r="A65" s="1" t="inlineStr">
        <is>
          <t>二级</t>
        </is>
      </c>
      <c r="B65" s="1" t="inlineStr">
        <is>
          <t>负债余额</t>
        </is>
      </c>
      <c r="C65" s="10" t="inlineStr">
        <is>
          <t>B01.12.02</t>
        </is>
      </c>
      <c r="D65" s="10" t="inlineStr">
        <is>
          <t xml:space="preserve">  代销理财</t>
        </is>
      </c>
      <c r="M65" t="inlineStr">
        <is>
          <t>12.02</t>
        </is>
      </c>
      <c r="P65" t="inlineStr">
        <is>
          <t>LAST</t>
        </is>
      </c>
    </row>
    <row r="66">
      <c r="A66" s="1" t="inlineStr">
        <is>
          <t>一级</t>
        </is>
      </c>
      <c r="B66" s="1" t="inlineStr">
        <is>
          <t>负债余额</t>
        </is>
      </c>
      <c r="C66" s="10" t="inlineStr">
        <is>
          <t>B01.13</t>
        </is>
      </c>
      <c r="D66" s="10" t="inlineStr">
        <is>
          <t>管理资产日均</t>
        </is>
      </c>
      <c r="F66" t="inlineStr">
        <is>
          <t>B01.13.01+B01.13.02</t>
        </is>
      </c>
      <c r="H66" s="5">
        <f>H67+H70</f>
        <v/>
      </c>
      <c r="I66" s="5">
        <f>I67+I70</f>
        <v/>
      </c>
      <c r="M66" t="inlineStr">
        <is>
          <t>13</t>
        </is>
      </c>
    </row>
    <row r="67">
      <c r="A67" s="1" t="inlineStr">
        <is>
          <t>二级</t>
        </is>
      </c>
      <c r="B67" s="1" t="inlineStr">
        <is>
          <t>负债日均</t>
        </is>
      </c>
      <c r="C67" s="10" t="inlineStr">
        <is>
          <t>B01.13.01</t>
        </is>
      </c>
      <c r="D67" s="10" t="inlineStr">
        <is>
          <t xml:space="preserve">  存款日均</t>
        </is>
      </c>
      <c r="F67" t="inlineStr">
        <is>
          <t>B01.13.01.01+B01.13.01.02</t>
        </is>
      </c>
      <c r="H67" s="5">
        <f>H68+H69</f>
        <v/>
      </c>
      <c r="I67" s="5">
        <f>I68+I69</f>
        <v/>
      </c>
      <c r="M67" t="inlineStr">
        <is>
          <t>13.01</t>
        </is>
      </c>
    </row>
    <row r="68">
      <c r="A68" s="1" t="inlineStr">
        <is>
          <t>三级</t>
        </is>
      </c>
      <c r="B68" s="1" t="inlineStr">
        <is>
          <t>负债日均</t>
        </is>
      </c>
      <c r="C68" s="10" t="inlineStr">
        <is>
          <t>B01.13.01.01</t>
        </is>
      </c>
      <c r="D68" s="10" t="inlineStr">
        <is>
          <t xml:space="preserve">    常规存款</t>
        </is>
      </c>
      <c r="M68" t="inlineStr">
        <is>
          <t>13.01.01</t>
        </is>
      </c>
      <c r="P68" t="inlineStr">
        <is>
          <t>AVG</t>
        </is>
      </c>
    </row>
    <row r="69">
      <c r="A69" s="1" t="inlineStr">
        <is>
          <t>三级</t>
        </is>
      </c>
      <c r="B69" s="1" t="inlineStr">
        <is>
          <t>负债日均</t>
        </is>
      </c>
      <c r="C69" s="10" t="inlineStr">
        <is>
          <t>B01.13.01.02</t>
        </is>
      </c>
      <c r="D69" s="10" t="inlineStr">
        <is>
          <t xml:space="preserve">    银承保函保证金</t>
        </is>
      </c>
      <c r="M69" t="inlineStr">
        <is>
          <t>13.01.02</t>
        </is>
      </c>
      <c r="P69" t="inlineStr">
        <is>
          <t>AVG</t>
        </is>
      </c>
    </row>
    <row r="70">
      <c r="A70" s="1" t="inlineStr">
        <is>
          <t>二级</t>
        </is>
      </c>
      <c r="B70" s="1" t="inlineStr">
        <is>
          <t>负债日均</t>
        </is>
      </c>
      <c r="C70" s="10" t="inlineStr">
        <is>
          <t>B01.13.02</t>
        </is>
      </c>
      <c r="D70" s="10" t="inlineStr">
        <is>
          <t xml:space="preserve">  代销理财日均</t>
        </is>
      </c>
      <c r="M70" t="inlineStr">
        <is>
          <t>13.02</t>
        </is>
      </c>
      <c r="P70" t="inlineStr">
        <is>
          <t>AVG</t>
        </is>
      </c>
    </row>
    <row r="71">
      <c r="A71" s="1" t="n"/>
      <c r="B71" s="1" t="n"/>
      <c r="C71" s="10" t="n"/>
      <c r="D71" s="10" t="n"/>
    </row>
    <row r="72">
      <c r="A72" s="7" t="inlineStr">
        <is>
          <t>一级</t>
        </is>
      </c>
      <c r="B72" s="1" t="inlineStr">
        <is>
          <t>资产余额</t>
        </is>
      </c>
      <c r="C72" s="11" t="inlineStr">
        <is>
          <t>B01.24</t>
        </is>
      </c>
      <c r="D72" s="11" t="inlineStr">
        <is>
          <t>同业资产余额</t>
        </is>
      </c>
      <c r="F72" t="inlineStr">
        <is>
          <t>B01.24.01+B01.24.03+B01.24.04</t>
        </is>
      </c>
      <c r="H72" s="5">
        <f>H73+H74+H75</f>
        <v/>
      </c>
      <c r="I72" s="5">
        <f>I73+I74+I75</f>
        <v/>
      </c>
      <c r="M72" t="inlineStr">
        <is>
          <t>24</t>
        </is>
      </c>
    </row>
    <row r="73">
      <c r="A73" s="1" t="inlineStr">
        <is>
          <t>二级</t>
        </is>
      </c>
      <c r="B73" s="1" t="inlineStr">
        <is>
          <t>资产余额</t>
        </is>
      </c>
      <c r="C73" s="10" t="inlineStr">
        <is>
          <t>B01.24.01</t>
        </is>
      </c>
      <c r="D73" s="10" t="inlineStr">
        <is>
          <t xml:space="preserve">  存放同业</t>
        </is>
      </c>
      <c r="M73" t="inlineStr">
        <is>
          <t>24.01</t>
        </is>
      </c>
      <c r="P73" t="inlineStr">
        <is>
          <t>LAST</t>
        </is>
      </c>
    </row>
    <row r="74">
      <c r="A74" s="1" t="inlineStr">
        <is>
          <t>二级</t>
        </is>
      </c>
      <c r="B74" s="1" t="inlineStr">
        <is>
          <t>资产余额</t>
        </is>
      </c>
      <c r="C74" s="10" t="inlineStr">
        <is>
          <t>B01.24.03</t>
        </is>
      </c>
      <c r="D74" s="10" t="inlineStr">
        <is>
          <t xml:space="preserve">  买入返售</t>
        </is>
      </c>
      <c r="M74" t="inlineStr">
        <is>
          <t>24.03</t>
        </is>
      </c>
      <c r="P74" t="inlineStr">
        <is>
          <t>LAST</t>
        </is>
      </c>
    </row>
    <row r="75">
      <c r="A75" s="1" t="inlineStr">
        <is>
          <t>二级</t>
        </is>
      </c>
      <c r="B75" s="1" t="inlineStr">
        <is>
          <t>资产余额</t>
        </is>
      </c>
      <c r="C75" s="10" t="inlineStr">
        <is>
          <t>B01.24.04</t>
        </is>
      </c>
      <c r="D75" s="10" t="inlineStr">
        <is>
          <t xml:space="preserve">  债券投资</t>
        </is>
      </c>
      <c r="F75" t="inlineStr">
        <is>
          <t>B01.24.04.09</t>
        </is>
      </c>
      <c r="H75" s="5">
        <f>H76</f>
        <v/>
      </c>
      <c r="I75" s="5">
        <f>I76</f>
        <v/>
      </c>
      <c r="M75" t="inlineStr">
        <is>
          <t>24.04</t>
        </is>
      </c>
    </row>
    <row r="76">
      <c r="A76" s="1" t="inlineStr">
        <is>
          <t>三级</t>
        </is>
      </c>
      <c r="B76" s="1" t="inlineStr">
        <is>
          <t>资产余额</t>
        </is>
      </c>
      <c r="C76" s="10" t="inlineStr">
        <is>
          <t>B01.24.04.09</t>
        </is>
      </c>
      <c r="D76" s="10" t="inlineStr">
        <is>
          <t xml:space="preserve">    ABS</t>
        </is>
      </c>
      <c r="M76" t="inlineStr">
        <is>
          <t>24.04.09</t>
        </is>
      </c>
      <c r="P76" t="inlineStr">
        <is>
          <t>LAST</t>
        </is>
      </c>
    </row>
    <row r="77">
      <c r="A77" s="7" t="inlineStr">
        <is>
          <t>一级</t>
        </is>
      </c>
      <c r="B77" s="1" t="inlineStr">
        <is>
          <t>资产日均</t>
        </is>
      </c>
      <c r="C77" s="11" t="inlineStr">
        <is>
          <t>B01.25</t>
        </is>
      </c>
      <c r="D77" s="11" t="inlineStr">
        <is>
          <t>同业资产日均</t>
        </is>
      </c>
      <c r="F77" t="inlineStr">
        <is>
          <t>B01.25.01+B01.25.03+B01.25.04</t>
        </is>
      </c>
      <c r="H77" s="5">
        <f>H78+H79+H80</f>
        <v/>
      </c>
      <c r="I77" s="5">
        <f>I78+I79+I80</f>
        <v/>
      </c>
      <c r="M77" t="inlineStr">
        <is>
          <t>25</t>
        </is>
      </c>
    </row>
    <row r="78">
      <c r="A78" s="1" t="inlineStr">
        <is>
          <t>二级</t>
        </is>
      </c>
      <c r="B78" s="1" t="inlineStr">
        <is>
          <t>资产日均</t>
        </is>
      </c>
      <c r="C78" s="10" t="inlineStr">
        <is>
          <t>B01.25.01</t>
        </is>
      </c>
      <c r="D78" s="10" t="inlineStr">
        <is>
          <t xml:space="preserve">  存放同业</t>
        </is>
      </c>
      <c r="M78" t="inlineStr">
        <is>
          <t>25.01</t>
        </is>
      </c>
      <c r="P78" t="inlineStr">
        <is>
          <t>AVG</t>
        </is>
      </c>
    </row>
    <row r="79">
      <c r="A79" s="1" t="inlineStr">
        <is>
          <t>二级</t>
        </is>
      </c>
      <c r="B79" s="1" t="inlineStr">
        <is>
          <t>资产日均</t>
        </is>
      </c>
      <c r="C79" s="10" t="inlineStr">
        <is>
          <t>B01.25.03</t>
        </is>
      </c>
      <c r="D79" s="10" t="inlineStr">
        <is>
          <t xml:space="preserve">  买入返售</t>
        </is>
      </c>
      <c r="M79" t="inlineStr">
        <is>
          <t>25.03</t>
        </is>
      </c>
      <c r="P79" t="inlineStr">
        <is>
          <t>AVG</t>
        </is>
      </c>
    </row>
    <row r="80">
      <c r="A80" s="1" t="inlineStr">
        <is>
          <t>二级</t>
        </is>
      </c>
      <c r="B80" s="1" t="inlineStr">
        <is>
          <t>资产日均</t>
        </is>
      </c>
      <c r="C80" s="10" t="inlineStr">
        <is>
          <t>B01.25.04</t>
        </is>
      </c>
      <c r="D80" s="10" t="inlineStr">
        <is>
          <t xml:space="preserve">  债券投资</t>
        </is>
      </c>
      <c r="F80" t="inlineStr">
        <is>
          <t>B01.25.04.09</t>
        </is>
      </c>
      <c r="H80" s="5">
        <f>H81</f>
        <v/>
      </c>
      <c r="I80" s="5">
        <f>I81</f>
        <v/>
      </c>
      <c r="M80" t="inlineStr">
        <is>
          <t>25.04</t>
        </is>
      </c>
    </row>
    <row r="81">
      <c r="A81" s="1" t="inlineStr">
        <is>
          <t>三级</t>
        </is>
      </c>
      <c r="B81" s="1" t="inlineStr">
        <is>
          <t>资产日均</t>
        </is>
      </c>
      <c r="C81" s="10" t="inlineStr">
        <is>
          <t>B01.25.04.09</t>
        </is>
      </c>
      <c r="D81" s="10" t="inlineStr">
        <is>
          <t xml:space="preserve">    ABS</t>
        </is>
      </c>
      <c r="M81" t="inlineStr">
        <is>
          <t>25.04.09</t>
        </is>
      </c>
      <c r="P81" t="inlineStr">
        <is>
          <t>AVG</t>
        </is>
      </c>
    </row>
    <row r="82">
      <c r="A82" s="7" t="inlineStr">
        <is>
          <t>一级</t>
        </is>
      </c>
      <c r="B82" s="1" t="inlineStr">
        <is>
          <t>负债余额</t>
        </is>
      </c>
      <c r="C82" s="11" t="inlineStr">
        <is>
          <t>B01.26</t>
        </is>
      </c>
      <c r="D82" s="11" t="inlineStr">
        <is>
          <t>同业负债余额</t>
        </is>
      </c>
      <c r="F82" t="inlineStr">
        <is>
          <t>B01.26.02+B01.26.05</t>
        </is>
      </c>
      <c r="H82" s="5">
        <f>H83+H84</f>
        <v/>
      </c>
      <c r="I82" s="5">
        <f>I83+I84</f>
        <v/>
      </c>
      <c r="M82" t="inlineStr">
        <is>
          <t>26</t>
        </is>
      </c>
    </row>
    <row r="83">
      <c r="A83" s="10" t="inlineStr">
        <is>
          <t>四级</t>
        </is>
      </c>
      <c r="B83" s="10" t="inlineStr">
        <is>
          <t>负债余额</t>
        </is>
      </c>
      <c r="C83" s="10" t="inlineStr">
        <is>
          <t>B01.26.02</t>
        </is>
      </c>
      <c r="D83" s="10" t="inlineStr">
        <is>
          <t xml:space="preserve">  同业存放</t>
        </is>
      </c>
      <c r="M83" t="inlineStr">
        <is>
          <t>26.02</t>
        </is>
      </c>
      <c r="P83" t="inlineStr">
        <is>
          <t>LAST</t>
        </is>
      </c>
    </row>
    <row r="84">
      <c r="A84" s="10" t="inlineStr">
        <is>
          <t>四级</t>
        </is>
      </c>
      <c r="B84" s="10" t="inlineStr">
        <is>
          <t>负债余额</t>
        </is>
      </c>
      <c r="C84" s="10" t="inlineStr">
        <is>
          <t>B01.26.05</t>
        </is>
      </c>
      <c r="D84" s="10" t="inlineStr">
        <is>
          <t xml:space="preserve">  卖出回购</t>
        </is>
      </c>
      <c r="M84" t="inlineStr">
        <is>
          <t>26.05</t>
        </is>
      </c>
      <c r="P84" t="inlineStr">
        <is>
          <t>LAST</t>
        </is>
      </c>
    </row>
    <row r="85">
      <c r="A85" s="7" t="inlineStr">
        <is>
          <t>一级</t>
        </is>
      </c>
      <c r="B85" s="1" t="inlineStr">
        <is>
          <t>负债日均</t>
        </is>
      </c>
      <c r="C85" s="11" t="inlineStr">
        <is>
          <t>B01.27</t>
        </is>
      </c>
      <c r="D85" s="11" t="inlineStr">
        <is>
          <t>同业负债日均</t>
        </is>
      </c>
      <c r="F85" t="inlineStr">
        <is>
          <t>B01.27.02+B01.27.05</t>
        </is>
      </c>
      <c r="H85" s="5">
        <f>H86+H87</f>
        <v/>
      </c>
      <c r="I85" s="5">
        <f>I86+I87</f>
        <v/>
      </c>
      <c r="M85" t="inlineStr">
        <is>
          <t>27</t>
        </is>
      </c>
    </row>
    <row r="86">
      <c r="A86" s="10" t="inlineStr">
        <is>
          <t>四级</t>
        </is>
      </c>
      <c r="B86" s="10" t="inlineStr">
        <is>
          <t>负债日均</t>
        </is>
      </c>
      <c r="C86" s="10" t="inlineStr">
        <is>
          <t>B01.27.02</t>
        </is>
      </c>
      <c r="D86" s="10" t="inlineStr">
        <is>
          <t xml:space="preserve">  同业存放</t>
        </is>
      </c>
      <c r="M86" t="inlineStr">
        <is>
          <t>27.02</t>
        </is>
      </c>
      <c r="P86" t="inlineStr">
        <is>
          <t>AVG</t>
        </is>
      </c>
    </row>
    <row r="87">
      <c r="A87" s="10" t="inlineStr">
        <is>
          <t>四级</t>
        </is>
      </c>
      <c r="B87" s="10" t="inlineStr">
        <is>
          <t>负债日均</t>
        </is>
      </c>
      <c r="C87" s="10" t="inlineStr">
        <is>
          <t>B01.27.05</t>
        </is>
      </c>
      <c r="D87" s="10" t="inlineStr">
        <is>
          <t xml:space="preserve">  卖出回购</t>
        </is>
      </c>
      <c r="M87" t="inlineStr">
        <is>
          <t>27.05</t>
        </is>
      </c>
      <c r="P87" t="inlineStr">
        <is>
          <t>AVG</t>
        </is>
      </c>
    </row>
    <row r="88">
      <c r="A88" s="1" t="n"/>
      <c r="B88" s="1" t="n"/>
      <c r="C88" s="10" t="n"/>
      <c r="D88" s="10" t="n"/>
    </row>
    <row r="89">
      <c r="A89" s="7" t="inlineStr">
        <is>
          <t>一级</t>
        </is>
      </c>
      <c r="B89" s="7" t="inlineStr">
        <is>
          <t>收入</t>
        </is>
      </c>
      <c r="C89" s="11" t="inlineStr">
        <is>
          <t>B01.14</t>
        </is>
      </c>
      <c r="D89" s="11" t="inlineStr">
        <is>
          <t>利息收入</t>
        </is>
      </c>
      <c r="E89" s="12" t="n"/>
      <c r="F89" s="12" t="inlineStr">
        <is>
          <t>B01.14.01+B01.14.02+B01.14.03</t>
        </is>
      </c>
      <c r="G89" s="12" t="n"/>
      <c r="H89" s="12">
        <f>H90+H115+H121</f>
        <v/>
      </c>
      <c r="I89" s="12">
        <f>I90+I115+I121</f>
        <v/>
      </c>
      <c r="J89" s="12" t="n"/>
      <c r="M89" t="inlineStr">
        <is>
          <t>14</t>
        </is>
      </c>
    </row>
    <row r="90">
      <c r="A90" s="7" t="inlineStr">
        <is>
          <t>二级</t>
        </is>
      </c>
      <c r="B90" s="7" t="inlineStr">
        <is>
          <t>收入</t>
        </is>
      </c>
      <c r="C90" s="11" t="inlineStr">
        <is>
          <t>B01.14.01</t>
        </is>
      </c>
      <c r="D90" s="11" t="inlineStr">
        <is>
          <t xml:space="preserve">  贷款利息收入</t>
        </is>
      </c>
      <c r="E90" s="12" t="n"/>
      <c r="F90" s="12" t="inlineStr">
        <is>
          <t>B01.14.01.01+B01.14.01.02+B01.14.01.03+B01.14.01.04+B01.14.01.05</t>
        </is>
      </c>
      <c r="G90" s="12" t="n"/>
      <c r="H90" s="12">
        <f>H93+H110+H112</f>
        <v/>
      </c>
      <c r="I90" s="12">
        <f>I93+I110+I112</f>
        <v/>
      </c>
      <c r="J90" s="12" t="n"/>
      <c r="M90" t="inlineStr">
        <is>
          <t>14.01</t>
        </is>
      </c>
    </row>
    <row r="91">
      <c r="A91" s="1" t="inlineStr">
        <is>
          <t>三级</t>
        </is>
      </c>
      <c r="B91" s="1" t="inlineStr">
        <is>
          <t>其他</t>
        </is>
      </c>
      <c r="C91" s="10" t="inlineStr">
        <is>
          <t>B01.14.01.01</t>
        </is>
      </c>
      <c r="D91" s="10" t="inlineStr">
        <is>
          <t xml:space="preserve">    贷款账面收息率</t>
        </is>
      </c>
      <c r="H91" s="5">
        <f>H90/H47</f>
        <v/>
      </c>
      <c r="I91" s="5">
        <f>I90/I47</f>
        <v/>
      </c>
      <c r="J91" s="5" t="inlineStr">
        <is>
          <t>率年化指标</t>
        </is>
      </c>
      <c r="M91" t="inlineStr">
        <is>
          <t>14.01.01</t>
        </is>
      </c>
      <c r="P91" t="inlineStr">
        <is>
          <t>WGT</t>
        </is>
      </c>
    </row>
    <row r="92">
      <c r="A92" s="1" t="inlineStr">
        <is>
          <t>三级</t>
        </is>
      </c>
      <c r="B92" s="1" t="inlineStr">
        <is>
          <t>其他</t>
        </is>
      </c>
      <c r="C92" s="10" t="inlineStr">
        <is>
          <t>B01.14.01.02</t>
        </is>
      </c>
      <c r="D92" s="10" t="inlineStr">
        <is>
          <t xml:space="preserve">    贷款还原收息率</t>
        </is>
      </c>
      <c r="H92" s="5">
        <f>(H90-H100-H101-H102-H107-H108-H109)/H47</f>
        <v/>
      </c>
      <c r="I92" s="5">
        <f>(I90-I100-I101-I102-I107-I108-I109)/I47</f>
        <v/>
      </c>
      <c r="J92" s="5" t="inlineStr">
        <is>
          <t>率年化指标</t>
        </is>
      </c>
      <c r="M92" t="inlineStr">
        <is>
          <t>14.01.02</t>
        </is>
      </c>
      <c r="P92" t="inlineStr">
        <is>
          <t>WGT</t>
        </is>
      </c>
    </row>
    <row r="93">
      <c r="A93" s="13" t="inlineStr">
        <is>
          <t>三级</t>
        </is>
      </c>
      <c r="B93" s="13" t="inlineStr">
        <is>
          <t>收入</t>
        </is>
      </c>
      <c r="C93" s="14" t="inlineStr">
        <is>
          <t>B01.14.01.03</t>
        </is>
      </c>
      <c r="D93" s="14" t="inlineStr">
        <is>
          <t xml:space="preserve">    一般贷款利息收入</t>
        </is>
      </c>
      <c r="E93" s="15" t="n"/>
      <c r="F93" s="15" t="inlineStr">
        <is>
          <t>B01.14.01.03.01+B01.14.01.03.02+B01.14.01.03.03+B01.14.01.03.04</t>
        </is>
      </c>
      <c r="G93" s="15" t="n"/>
      <c r="H93" s="15">
        <f>H96+H103</f>
        <v/>
      </c>
      <c r="I93" s="15">
        <f>I96+I103</f>
        <v/>
      </c>
      <c r="J93" s="15" t="n"/>
      <c r="M93" t="inlineStr">
        <is>
          <t>14.01.03</t>
        </is>
      </c>
    </row>
    <row r="94">
      <c r="A94" s="16" t="inlineStr">
        <is>
          <t>四级</t>
        </is>
      </c>
      <c r="B94" s="16" t="inlineStr">
        <is>
          <t>其他</t>
        </is>
      </c>
      <c r="C94" s="17" t="inlineStr">
        <is>
          <t>B01.14.01.03.01</t>
        </is>
      </c>
      <c r="D94" s="17" t="inlineStr">
        <is>
          <t xml:space="preserve">      一般贷款账面收息率</t>
        </is>
      </c>
      <c r="E94" s="18" t="n"/>
      <c r="F94" s="18" t="n"/>
      <c r="G94" s="18" t="n"/>
      <c r="H94" s="18">
        <f>H93/H48</f>
        <v/>
      </c>
      <c r="I94" s="18">
        <f>I93/I48</f>
        <v/>
      </c>
      <c r="J94" s="18" t="inlineStr">
        <is>
          <t>率年化指标</t>
        </is>
      </c>
      <c r="M94" t="inlineStr">
        <is>
          <t>14.01.03.01</t>
        </is>
      </c>
      <c r="P94" t="inlineStr">
        <is>
          <t>WGT</t>
        </is>
      </c>
    </row>
    <row r="95">
      <c r="A95" s="16" t="inlineStr">
        <is>
          <t>四级</t>
        </is>
      </c>
      <c r="B95" s="16" t="inlineStr">
        <is>
          <t>其他</t>
        </is>
      </c>
      <c r="C95" s="17" t="inlineStr">
        <is>
          <t>B01.14.01.03.02</t>
        </is>
      </c>
      <c r="D95" s="17" t="inlineStr">
        <is>
          <t xml:space="preserve">      一般贷款还原收息率</t>
        </is>
      </c>
      <c r="E95" s="18" t="n"/>
      <c r="F95" s="18" t="n"/>
      <c r="G95" s="18" t="n"/>
      <c r="H95" s="18">
        <f>(H93-H100-H101-H102)/H48</f>
        <v/>
      </c>
      <c r="I95" s="18">
        <f>(I93-I100-I101-I102)/I48</f>
        <v/>
      </c>
      <c r="J95" s="18" t="inlineStr">
        <is>
          <t>率年化指标</t>
        </is>
      </c>
      <c r="M95" t="inlineStr">
        <is>
          <t>14.01.03.02</t>
        </is>
      </c>
      <c r="P95" t="inlineStr">
        <is>
          <t>WGT</t>
        </is>
      </c>
    </row>
    <row r="96">
      <c r="A96" s="16" t="inlineStr">
        <is>
          <t>四级</t>
        </is>
      </c>
      <c r="B96" s="16" t="inlineStr">
        <is>
          <t>收入</t>
        </is>
      </c>
      <c r="C96" s="17" t="inlineStr">
        <is>
          <t>B01.14.01.03.03</t>
        </is>
      </c>
      <c r="D96" s="17" t="inlineStr">
        <is>
          <t xml:space="preserve">      常规部分利息收入</t>
        </is>
      </c>
      <c r="E96" s="18" t="n"/>
      <c r="F96" s="18" t="inlineStr">
        <is>
          <t>B01.14.01.03.03.01+B01.14.01.03.03.02+B01.14.01.03.03.03+B01.14.01.03.03.04+B01.14.01.03.03.05+B01.14.01.03.03.06</t>
        </is>
      </c>
      <c r="G96" s="18" t="n"/>
      <c r="H96" s="18" t="n"/>
      <c r="I96" s="18">
        <f>I98+I100+I101+I102</f>
        <v/>
      </c>
      <c r="J96" s="18" t="n"/>
      <c r="M96" t="inlineStr">
        <is>
          <t>14.01.03.03</t>
        </is>
      </c>
    </row>
    <row r="97">
      <c r="A97" s="1" t="inlineStr">
        <is>
          <t>五级</t>
        </is>
      </c>
      <c r="B97" s="1" t="inlineStr">
        <is>
          <t>其他</t>
        </is>
      </c>
      <c r="C97" s="10" t="inlineStr">
        <is>
          <t>B01.14.01.03.03.01</t>
        </is>
      </c>
      <c r="D97" s="10" t="inlineStr">
        <is>
          <t xml:space="preserve">        常规账面收息率</t>
        </is>
      </c>
      <c r="H97" s="5">
        <f>H96/H49</f>
        <v/>
      </c>
      <c r="I97" s="5">
        <f>I96/I49</f>
        <v/>
      </c>
      <c r="J97" s="5" t="inlineStr">
        <is>
          <t>率年化指标</t>
        </is>
      </c>
      <c r="M97" t="inlineStr">
        <is>
          <t>14.01.03.03.01</t>
        </is>
      </c>
      <c r="P97" t="inlineStr">
        <is>
          <t>WGT</t>
        </is>
      </c>
    </row>
    <row r="98">
      <c r="A98" s="1" t="inlineStr">
        <is>
          <t>五级</t>
        </is>
      </c>
      <c r="B98" s="1" t="inlineStr">
        <is>
          <t>收入</t>
        </is>
      </c>
      <c r="C98" s="10" t="inlineStr">
        <is>
          <t>B01.14.01.03.03.02</t>
        </is>
      </c>
      <c r="D98" s="10" t="inlineStr">
        <is>
          <t xml:space="preserve">        常规还原利息收入</t>
        </is>
      </c>
      <c r="H98" s="5">
        <f>H96-H100-H101-H102</f>
        <v/>
      </c>
      <c r="I98" s="5">
        <f>I49*I99</f>
        <v/>
      </c>
      <c r="J98" s="5" t="inlineStr">
        <is>
          <t>收支月化指标（仅预测月）</t>
        </is>
      </c>
      <c r="M98" t="inlineStr">
        <is>
          <t>14.01.03.03.02</t>
        </is>
      </c>
      <c r="P98" t="inlineStr">
        <is>
          <t>SUM</t>
        </is>
      </c>
    </row>
    <row r="99">
      <c r="A99" s="1" t="inlineStr">
        <is>
          <t>五级</t>
        </is>
      </c>
      <c r="B99" s="1" t="inlineStr">
        <is>
          <t>其他</t>
        </is>
      </c>
      <c r="C99" s="10" t="inlineStr">
        <is>
          <t>B01.14.01.03.03.03</t>
        </is>
      </c>
      <c r="D99" s="10" t="inlineStr">
        <is>
          <t xml:space="preserve">        常规还原收息率</t>
        </is>
      </c>
      <c r="H99" s="5">
        <f>H98/H49</f>
        <v/>
      </c>
      <c r="M99" t="inlineStr">
        <is>
          <t>14.01.03.03.03</t>
        </is>
      </c>
      <c r="P99" t="inlineStr">
        <is>
          <t>WGT</t>
        </is>
      </c>
    </row>
    <row r="100">
      <c r="A100" s="1" t="inlineStr">
        <is>
          <t>五级</t>
        </is>
      </c>
      <c r="B100" s="1" t="inlineStr">
        <is>
          <t>收入</t>
        </is>
      </c>
      <c r="C100" s="10" t="inlineStr">
        <is>
          <t>B01.14.01.03.03.04</t>
        </is>
      </c>
      <c r="D100" s="10" t="inlineStr">
        <is>
          <t xml:space="preserve">        清仓回购利息收入</t>
        </is>
      </c>
      <c r="M100" t="inlineStr">
        <is>
          <t>14.01.03.03.04</t>
        </is>
      </c>
      <c r="P100" t="inlineStr">
        <is>
          <t>SUM</t>
        </is>
      </c>
    </row>
    <row r="101">
      <c r="A101" s="1" t="inlineStr">
        <is>
          <t>五级</t>
        </is>
      </c>
      <c r="B101" s="1" t="inlineStr">
        <is>
          <t>收入</t>
        </is>
      </c>
      <c r="C101" s="10" t="inlineStr">
        <is>
          <t>B01.14.01.03.03.05</t>
        </is>
      </c>
      <c r="D101" s="10" t="inlineStr">
        <is>
          <t xml:space="preserve">        渠道费抵减利息收入</t>
        </is>
      </c>
      <c r="M101" t="inlineStr">
        <is>
          <t>14.01.03.03.05</t>
        </is>
      </c>
      <c r="P101" t="inlineStr">
        <is>
          <t>SUM</t>
        </is>
      </c>
    </row>
    <row r="102">
      <c r="A102" s="1" t="inlineStr">
        <is>
          <t>五级</t>
        </is>
      </c>
      <c r="B102" s="1" t="inlineStr">
        <is>
          <t>收入</t>
        </is>
      </c>
      <c r="C102" s="10" t="inlineStr">
        <is>
          <t>B01.14.01.03.03.06</t>
        </is>
      </c>
      <c r="D102" s="10" t="inlineStr">
        <is>
          <t xml:space="preserve">        增值税回冲</t>
        </is>
      </c>
      <c r="M102" t="inlineStr">
        <is>
          <t>14.01.03.03.06</t>
        </is>
      </c>
      <c r="P102" t="inlineStr">
        <is>
          <t>SUM</t>
        </is>
      </c>
    </row>
    <row r="103">
      <c r="A103" s="16" t="inlineStr">
        <is>
          <t>四级</t>
        </is>
      </c>
      <c r="B103" s="16" t="inlineStr">
        <is>
          <t>收入</t>
        </is>
      </c>
      <c r="C103" s="17" t="inlineStr">
        <is>
          <t>B01.14.01.03.04</t>
        </is>
      </c>
      <c r="D103" s="17" t="inlineStr">
        <is>
          <t xml:space="preserve">      战略部分利息收入</t>
        </is>
      </c>
      <c r="E103" s="18" t="n"/>
      <c r="F103" s="18" t="inlineStr">
        <is>
          <t>B01.14.01.03.04.01+B01.14.01.03.04.02+B01.14.01.03.04.03+B01.14.01.03.04.04+B01.14.01.03.04.05+B01.14.01.03.04.06</t>
        </is>
      </c>
      <c r="G103" s="18" t="n"/>
      <c r="H103" s="18" t="n"/>
      <c r="I103" s="18">
        <f>I105+I107+I108+I109</f>
        <v/>
      </c>
      <c r="J103" s="18" t="n"/>
      <c r="M103" t="inlineStr">
        <is>
          <t>14.01.03.04</t>
        </is>
      </c>
    </row>
    <row r="104">
      <c r="A104" s="1" t="inlineStr">
        <is>
          <t>五级</t>
        </is>
      </c>
      <c r="B104" s="1" t="inlineStr">
        <is>
          <t>其他</t>
        </is>
      </c>
      <c r="C104" s="10" t="inlineStr">
        <is>
          <t>B01.14.01.03.04.01</t>
        </is>
      </c>
      <c r="D104" s="10" t="inlineStr">
        <is>
          <t xml:space="preserve">        战略账面收息率</t>
        </is>
      </c>
      <c r="H104" s="5">
        <f>H103/H50</f>
        <v/>
      </c>
      <c r="I104" s="5">
        <f>I103/I50</f>
        <v/>
      </c>
      <c r="J104" s="5" t="inlineStr">
        <is>
          <t>率年化指标</t>
        </is>
      </c>
      <c r="M104" t="inlineStr">
        <is>
          <t>14.01.03.04.01</t>
        </is>
      </c>
      <c r="P104" t="inlineStr">
        <is>
          <t>WGT</t>
        </is>
      </c>
    </row>
    <row r="105">
      <c r="A105" s="1" t="inlineStr">
        <is>
          <t>五级</t>
        </is>
      </c>
      <c r="B105" s="1" t="inlineStr">
        <is>
          <t>收入</t>
        </is>
      </c>
      <c r="C105" s="10" t="inlineStr">
        <is>
          <t>B01.14.01.03.04.02</t>
        </is>
      </c>
      <c r="D105" s="10" t="inlineStr">
        <is>
          <t xml:space="preserve">        战略还原利息收入</t>
        </is>
      </c>
      <c r="H105" s="5">
        <f>H103-H107-H108-H109</f>
        <v/>
      </c>
      <c r="I105" s="5">
        <f>I50*I106</f>
        <v/>
      </c>
      <c r="J105" s="5" t="inlineStr">
        <is>
          <t>收支月化指标（仅预测月）</t>
        </is>
      </c>
      <c r="M105" t="inlineStr">
        <is>
          <t>14.01.03.04.02</t>
        </is>
      </c>
      <c r="P105" t="inlineStr">
        <is>
          <t>SUM</t>
        </is>
      </c>
    </row>
    <row r="106">
      <c r="A106" s="1" t="inlineStr">
        <is>
          <t>五级</t>
        </is>
      </c>
      <c r="B106" s="1" t="inlineStr">
        <is>
          <t>其他</t>
        </is>
      </c>
      <c r="C106" s="10" t="inlineStr">
        <is>
          <t>B01.14.01.03.04.03</t>
        </is>
      </c>
      <c r="D106" s="10" t="inlineStr">
        <is>
          <t xml:space="preserve">        战略还原收息率</t>
        </is>
      </c>
      <c r="H106" s="5">
        <f>H105/H50</f>
        <v/>
      </c>
      <c r="J106" s="5" t="inlineStr">
        <is>
          <t>率年化指标</t>
        </is>
      </c>
      <c r="M106" t="inlineStr">
        <is>
          <t>14.01.03.04.03</t>
        </is>
      </c>
      <c r="P106" t="inlineStr">
        <is>
          <t>WGT</t>
        </is>
      </c>
    </row>
    <row r="107">
      <c r="A107" s="1" t="inlineStr">
        <is>
          <t>五级</t>
        </is>
      </c>
      <c r="B107" s="1" t="inlineStr">
        <is>
          <t>收入</t>
        </is>
      </c>
      <c r="C107" s="10" t="inlineStr">
        <is>
          <t>B01.14.01.03.04.04</t>
        </is>
      </c>
      <c r="D107" s="10" t="inlineStr">
        <is>
          <t xml:space="preserve">        清仓回购利息收入</t>
        </is>
      </c>
      <c r="M107" t="inlineStr">
        <is>
          <t>14.01.03.04.04</t>
        </is>
      </c>
      <c r="P107" t="inlineStr">
        <is>
          <t>SUM</t>
        </is>
      </c>
    </row>
    <row r="108">
      <c r="A108" s="1" t="inlineStr">
        <is>
          <t>五级</t>
        </is>
      </c>
      <c r="B108" s="1" t="inlineStr">
        <is>
          <t>收入</t>
        </is>
      </c>
      <c r="C108" s="10" t="inlineStr">
        <is>
          <t>B01.14.01.03.04.05</t>
        </is>
      </c>
      <c r="D108" s="10" t="inlineStr">
        <is>
          <t xml:space="preserve">        渠道费抵减利息收入</t>
        </is>
      </c>
      <c r="M108" t="inlineStr">
        <is>
          <t>14.01.03.04.05</t>
        </is>
      </c>
      <c r="P108" t="inlineStr">
        <is>
          <t>SUM</t>
        </is>
      </c>
    </row>
    <row r="109">
      <c r="A109" s="1" t="inlineStr">
        <is>
          <t>五级</t>
        </is>
      </c>
      <c r="B109" s="1" t="inlineStr">
        <is>
          <t>收入</t>
        </is>
      </c>
      <c r="C109" s="10" t="inlineStr">
        <is>
          <t>B01.14.01.03.04.06</t>
        </is>
      </c>
      <c r="D109" s="10" t="inlineStr">
        <is>
          <t xml:space="preserve">        增值税回冲</t>
        </is>
      </c>
      <c r="M109" t="inlineStr">
        <is>
          <t>14.01.03.04.06</t>
        </is>
      </c>
      <c r="P109" t="inlineStr">
        <is>
          <t>SUM</t>
        </is>
      </c>
    </row>
    <row r="110">
      <c r="A110" s="13" t="inlineStr">
        <is>
          <t>三级</t>
        </is>
      </c>
      <c r="B110" s="13" t="inlineStr">
        <is>
          <t>收入</t>
        </is>
      </c>
      <c r="C110" s="14" t="inlineStr">
        <is>
          <t>B01.14.01.04</t>
        </is>
      </c>
      <c r="D110" s="14" t="inlineStr">
        <is>
          <t xml:space="preserve">    票据贴现利息收入</t>
        </is>
      </c>
      <c r="E110" s="15" t="n"/>
      <c r="F110" s="15" t="inlineStr">
        <is>
          <t>B01.14.01.04.01</t>
        </is>
      </c>
      <c r="G110" s="15" t="n"/>
      <c r="H110" s="15" t="n"/>
      <c r="I110" s="15">
        <f>I52*I111</f>
        <v/>
      </c>
      <c r="J110" s="15" t="inlineStr">
        <is>
          <t>收支月化指标</t>
        </is>
      </c>
      <c r="M110" t="inlineStr">
        <is>
          <t>14.01.04</t>
        </is>
      </c>
    </row>
    <row r="111">
      <c r="A111" s="1" t="inlineStr">
        <is>
          <t>四级</t>
        </is>
      </c>
      <c r="B111" s="1" t="inlineStr">
        <is>
          <t>其他</t>
        </is>
      </c>
      <c r="C111" s="10" t="inlineStr">
        <is>
          <t>B01.14.01.04.01</t>
        </is>
      </c>
      <c r="D111" s="10" t="inlineStr">
        <is>
          <t xml:space="preserve">      票据贴现收息率</t>
        </is>
      </c>
      <c r="H111" s="5">
        <f>H110/H52</f>
        <v/>
      </c>
      <c r="J111" s="5" t="inlineStr">
        <is>
          <t>率年化指标</t>
        </is>
      </c>
      <c r="M111" t="inlineStr">
        <is>
          <t>14.01.04.01</t>
        </is>
      </c>
      <c r="P111" t="inlineStr">
        <is>
          <t>WGT</t>
        </is>
      </c>
    </row>
    <row r="112">
      <c r="A112" s="13" t="inlineStr">
        <is>
          <t>三级</t>
        </is>
      </c>
      <c r="B112" s="13" t="inlineStr">
        <is>
          <t>收入</t>
        </is>
      </c>
      <c r="C112" s="14" t="inlineStr">
        <is>
          <t>B01.14.01.05</t>
        </is>
      </c>
      <c r="D112" s="14" t="inlineStr">
        <is>
          <t xml:space="preserve">    贸易融资利息收入</t>
        </is>
      </c>
      <c r="E112" s="15" t="n"/>
      <c r="F112" s="15" t="inlineStr">
        <is>
          <t>B01.14.01.05.01</t>
        </is>
      </c>
      <c r="G112" s="15" t="n"/>
      <c r="H112" s="15" t="n"/>
      <c r="I112" s="15">
        <f>I53*I113</f>
        <v/>
      </c>
      <c r="J112" s="15" t="inlineStr">
        <is>
          <t>收支月化指标</t>
        </is>
      </c>
      <c r="M112" t="inlineStr">
        <is>
          <t>14.01.05</t>
        </is>
      </c>
    </row>
    <row r="113">
      <c r="A113" s="1" t="inlineStr">
        <is>
          <t>四级</t>
        </is>
      </c>
      <c r="B113" s="1" t="inlineStr">
        <is>
          <t>其他</t>
        </is>
      </c>
      <c r="C113" s="10" t="inlineStr">
        <is>
          <t>B01.14.01.05.01</t>
        </is>
      </c>
      <c r="D113" s="10" t="inlineStr">
        <is>
          <t xml:space="preserve">      贸易融资收息率</t>
        </is>
      </c>
      <c r="H113" s="5">
        <f>H112/H53</f>
        <v/>
      </c>
      <c r="J113" s="5" t="inlineStr">
        <is>
          <t>率年化指标</t>
        </is>
      </c>
      <c r="M113" t="inlineStr">
        <is>
          <t>14.01.05.01</t>
        </is>
      </c>
      <c r="P113" t="inlineStr">
        <is>
          <t>WGT</t>
        </is>
      </c>
    </row>
    <row r="114">
      <c r="A114" s="1" t="n"/>
      <c r="B114" s="1" t="n"/>
      <c r="C114" s="10" t="n"/>
      <c r="D114" s="10" t="n"/>
    </row>
    <row r="115">
      <c r="A115" s="11" t="inlineStr">
        <is>
          <t>二级</t>
        </is>
      </c>
      <c r="B115" s="11" t="inlineStr">
        <is>
          <t>收入</t>
        </is>
      </c>
      <c r="C115" s="11" t="inlineStr">
        <is>
          <t>B01.14.02</t>
        </is>
      </c>
      <c r="D115" s="11" t="inlineStr">
        <is>
          <t xml:space="preserve">  金融机构往来利息收入</t>
        </is>
      </c>
      <c r="F115" t="inlineStr">
        <is>
          <t>B01.14.02.02+B01.14.02.04</t>
        </is>
      </c>
      <c r="H115" s="5">
        <f>H116+H118</f>
        <v/>
      </c>
      <c r="I115" s="5">
        <f>I116+I118</f>
        <v/>
      </c>
      <c r="M115" t="inlineStr">
        <is>
          <t>14.02</t>
        </is>
      </c>
    </row>
    <row r="116">
      <c r="A116" s="7" t="inlineStr">
        <is>
          <t>三级</t>
        </is>
      </c>
      <c r="B116" s="11" t="inlineStr">
        <is>
          <t>收入</t>
        </is>
      </c>
      <c r="C116" s="11" t="inlineStr">
        <is>
          <t>B01.14.02.02</t>
        </is>
      </c>
      <c r="D116" s="11" t="inlineStr">
        <is>
          <t xml:space="preserve">    存放同业利息收入</t>
        </is>
      </c>
      <c r="F116" t="inlineStr">
        <is>
          <t>B01.14.02.02.01</t>
        </is>
      </c>
      <c r="I116" s="5">
        <f>I78*I117</f>
        <v/>
      </c>
      <c r="J116" s="5" t="inlineStr">
        <is>
          <t>收支月化指标</t>
        </is>
      </c>
      <c r="M116" t="inlineStr">
        <is>
          <t>14.02.02</t>
        </is>
      </c>
    </row>
    <row r="117">
      <c r="A117" s="1" t="inlineStr">
        <is>
          <t>四级</t>
        </is>
      </c>
      <c r="B117" s="1" t="inlineStr">
        <is>
          <t>其他</t>
        </is>
      </c>
      <c r="C117" s="10" t="inlineStr">
        <is>
          <t>B01.14.02.02.01</t>
        </is>
      </c>
      <c r="D117" s="10" t="inlineStr">
        <is>
          <t xml:space="preserve">      存放同业收息率</t>
        </is>
      </c>
      <c r="H117" s="5">
        <f>H116/H78</f>
        <v/>
      </c>
      <c r="J117" s="5" t="inlineStr">
        <is>
          <t>率年化指标</t>
        </is>
      </c>
      <c r="M117" t="inlineStr">
        <is>
          <t>14.02.02.01</t>
        </is>
      </c>
      <c r="P117" t="inlineStr">
        <is>
          <t>WGT</t>
        </is>
      </c>
    </row>
    <row r="118">
      <c r="A118" s="7" t="inlineStr">
        <is>
          <t>三级</t>
        </is>
      </c>
      <c r="B118" s="11" t="inlineStr">
        <is>
          <t>收入</t>
        </is>
      </c>
      <c r="C118" s="11" t="inlineStr">
        <is>
          <t>B01.14.02.04</t>
        </is>
      </c>
      <c r="D118" s="11" t="inlineStr">
        <is>
          <t xml:space="preserve">    买入返售利息收入</t>
        </is>
      </c>
      <c r="F118" t="inlineStr">
        <is>
          <t>B01.14.02.04.01</t>
        </is>
      </c>
      <c r="I118" s="5">
        <f>I79*I119</f>
        <v/>
      </c>
      <c r="J118" s="5" t="inlineStr">
        <is>
          <t>收支月化指标</t>
        </is>
      </c>
      <c r="M118" t="inlineStr">
        <is>
          <t>14.02.04</t>
        </is>
      </c>
    </row>
    <row r="119">
      <c r="A119" s="1" t="inlineStr">
        <is>
          <t>四级</t>
        </is>
      </c>
      <c r="B119" s="1" t="inlineStr">
        <is>
          <t>其他</t>
        </is>
      </c>
      <c r="C119" s="10" t="inlineStr">
        <is>
          <t>B01.14.02.04.01</t>
        </is>
      </c>
      <c r="D119" s="10" t="inlineStr">
        <is>
          <t xml:space="preserve">      买入返售收息率</t>
        </is>
      </c>
      <c r="H119" s="5">
        <f>H118/H79</f>
        <v/>
      </c>
      <c r="J119" s="5" t="inlineStr">
        <is>
          <t>率年化指标</t>
        </is>
      </c>
      <c r="M119" t="inlineStr">
        <is>
          <t>14.02.04.01</t>
        </is>
      </c>
      <c r="P119" t="inlineStr">
        <is>
          <t>WGT</t>
        </is>
      </c>
    </row>
    <row r="120">
      <c r="A120" s="1" t="n"/>
      <c r="B120" s="1" t="n"/>
      <c r="C120" s="10" t="n"/>
      <c r="D120" s="10" t="n"/>
    </row>
    <row r="121">
      <c r="A121" s="11" t="inlineStr">
        <is>
          <t>二级</t>
        </is>
      </c>
      <c r="B121" s="11" t="inlineStr">
        <is>
          <t>收入</t>
        </is>
      </c>
      <c r="C121" s="11" t="inlineStr">
        <is>
          <t>B01.14.03</t>
        </is>
      </c>
      <c r="D121" s="11" t="inlineStr">
        <is>
          <t>投资利息收入</t>
        </is>
      </c>
      <c r="F121" t="inlineStr">
        <is>
          <t>B01.14.03.09</t>
        </is>
      </c>
      <c r="H121" s="5">
        <f>H122</f>
        <v/>
      </c>
      <c r="I121" s="5">
        <f>I122</f>
        <v/>
      </c>
      <c r="M121" t="inlineStr">
        <is>
          <t>14.03</t>
        </is>
      </c>
    </row>
    <row r="122">
      <c r="A122" s="7" t="inlineStr">
        <is>
          <t>三级</t>
        </is>
      </c>
      <c r="B122" s="11" t="inlineStr">
        <is>
          <t>收入</t>
        </is>
      </c>
      <c r="C122" s="11" t="inlineStr">
        <is>
          <t>B01.14.03.09</t>
        </is>
      </c>
      <c r="D122" s="11" t="inlineStr">
        <is>
          <t xml:space="preserve">  ABS投资利息收入</t>
        </is>
      </c>
      <c r="F122" t="inlineStr">
        <is>
          <t>B01.14.03.09.01</t>
        </is>
      </c>
      <c r="I122" s="5">
        <f>I81*I123</f>
        <v/>
      </c>
      <c r="J122" s="5" t="inlineStr">
        <is>
          <t>收支月化指标</t>
        </is>
      </c>
      <c r="M122" t="inlineStr">
        <is>
          <t>14.03.09</t>
        </is>
      </c>
    </row>
    <row r="123">
      <c r="A123" s="1" t="inlineStr">
        <is>
          <t>四级</t>
        </is>
      </c>
      <c r="B123" s="1" t="inlineStr">
        <is>
          <t>其他</t>
        </is>
      </c>
      <c r="C123" s="10" t="inlineStr">
        <is>
          <t>B01.14.03.09.01</t>
        </is>
      </c>
      <c r="D123" s="10" t="inlineStr">
        <is>
          <t xml:space="preserve">    ABS收息率</t>
        </is>
      </c>
      <c r="H123" s="5">
        <f>H122/H81</f>
        <v/>
      </c>
      <c r="J123" s="5" t="inlineStr">
        <is>
          <t>率年化指标</t>
        </is>
      </c>
      <c r="M123" t="inlineStr">
        <is>
          <t>14.03.09.01</t>
        </is>
      </c>
      <c r="P123" t="inlineStr">
        <is>
          <t>WGT</t>
        </is>
      </c>
    </row>
    <row r="124">
      <c r="A124" s="1" t="n"/>
      <c r="B124" s="1" t="n"/>
      <c r="C124" s="10" t="n"/>
      <c r="D124" s="10" t="n"/>
    </row>
    <row r="125">
      <c r="A125" s="7" t="inlineStr">
        <is>
          <t>一级</t>
        </is>
      </c>
      <c r="B125" s="7" t="inlineStr">
        <is>
          <t>支出</t>
        </is>
      </c>
      <c r="C125" s="11" t="inlineStr">
        <is>
          <t>B01.15</t>
        </is>
      </c>
      <c r="D125" s="11" t="inlineStr">
        <is>
          <t>FTP成本</t>
        </is>
      </c>
      <c r="E125" s="12" t="n"/>
      <c r="F125" s="12" t="inlineStr">
        <is>
          <t>B01.15.01+B01.15.02+B01.15.03+B01.15.99</t>
        </is>
      </c>
      <c r="G125" s="12" t="n"/>
      <c r="H125" s="12">
        <f>H126+H138+H143+H146</f>
        <v/>
      </c>
      <c r="I125" s="12">
        <f>I126+I138+I143+I146</f>
        <v/>
      </c>
      <c r="J125" s="12" t="n"/>
      <c r="M125" t="inlineStr">
        <is>
          <t>15</t>
        </is>
      </c>
    </row>
    <row r="126">
      <c r="A126" s="7" t="inlineStr">
        <is>
          <t>二级</t>
        </is>
      </c>
      <c r="B126" s="7" t="inlineStr">
        <is>
          <t>支出</t>
        </is>
      </c>
      <c r="C126" s="11" t="inlineStr">
        <is>
          <t>B01.15.01</t>
        </is>
      </c>
      <c r="D126" s="11" t="inlineStr">
        <is>
          <t xml:space="preserve">  贷款FTP成本</t>
        </is>
      </c>
      <c r="E126" s="12" t="n"/>
      <c r="F126" s="12" t="inlineStr">
        <is>
          <t>B01.15.01.01+B01.15.01.02+B01.15.01.03</t>
        </is>
      </c>
      <c r="G126" s="12" t="n"/>
      <c r="H126" s="12">
        <f>H127+H133+H135</f>
        <v/>
      </c>
      <c r="I126" s="12">
        <f>I127+I133+I135</f>
        <v/>
      </c>
      <c r="J126" s="12" t="n"/>
      <c r="M126" t="inlineStr">
        <is>
          <t>15.01</t>
        </is>
      </c>
    </row>
    <row r="127">
      <c r="A127" s="13" t="inlineStr">
        <is>
          <t>三级</t>
        </is>
      </c>
      <c r="B127" s="13" t="inlineStr">
        <is>
          <t>支出</t>
        </is>
      </c>
      <c r="C127" s="14" t="inlineStr">
        <is>
          <t>B01.15.01.01</t>
        </is>
      </c>
      <c r="D127" s="14" t="inlineStr">
        <is>
          <t xml:space="preserve">    一般贷款FTP成本</t>
        </is>
      </c>
      <c r="E127" s="15" t="n"/>
      <c r="F127" s="15" t="inlineStr">
        <is>
          <t>B01.15.01.01.01+B01.15.01.01.02+B01.15.01.01.03</t>
        </is>
      </c>
      <c r="G127" s="15" t="n"/>
      <c r="H127" s="15">
        <f>H129+H131</f>
        <v/>
      </c>
      <c r="I127" s="15">
        <f>I129+I131</f>
        <v/>
      </c>
      <c r="J127" s="15" t="n"/>
      <c r="M127" t="inlineStr">
        <is>
          <t>15.01.01</t>
        </is>
      </c>
    </row>
    <row r="128">
      <c r="A128" s="1" t="inlineStr">
        <is>
          <t>四级</t>
        </is>
      </c>
      <c r="B128" s="1" t="inlineStr">
        <is>
          <t>其他</t>
        </is>
      </c>
      <c r="C128" s="10" t="inlineStr">
        <is>
          <t>B01.15.01.01.01</t>
        </is>
      </c>
      <c r="D128" s="10" t="inlineStr">
        <is>
          <t xml:space="preserve">      一般贷款FTP</t>
        </is>
      </c>
      <c r="H128" s="5">
        <f>H127/H48</f>
        <v/>
      </c>
      <c r="I128" s="5">
        <f>I127/I48</f>
        <v/>
      </c>
      <c r="J128" s="5" t="inlineStr">
        <is>
          <t>率年化指标</t>
        </is>
      </c>
      <c r="M128" t="inlineStr">
        <is>
          <t>15.01.01.01</t>
        </is>
      </c>
      <c r="P128" t="inlineStr">
        <is>
          <t>WGT</t>
        </is>
      </c>
    </row>
    <row r="129">
      <c r="A129" s="1" t="inlineStr">
        <is>
          <t>四级</t>
        </is>
      </c>
      <c r="B129" s="1" t="inlineStr">
        <is>
          <t>支出</t>
        </is>
      </c>
      <c r="C129" s="10" t="inlineStr">
        <is>
          <t>B01.15.01.01.02</t>
        </is>
      </c>
      <c r="D129" s="10" t="inlineStr">
        <is>
          <t xml:space="preserve">      常规部分FTP成本</t>
        </is>
      </c>
      <c r="F129" t="inlineStr">
        <is>
          <t>B01.15.01.01.02.01</t>
        </is>
      </c>
      <c r="I129" s="5">
        <f>I49*I130</f>
        <v/>
      </c>
      <c r="J129" s="5" t="inlineStr">
        <is>
          <t>收支月化指标</t>
        </is>
      </c>
      <c r="M129" t="inlineStr">
        <is>
          <t>15.01.01.02</t>
        </is>
      </c>
    </row>
    <row r="130">
      <c r="A130" s="1" t="inlineStr">
        <is>
          <t>五级</t>
        </is>
      </c>
      <c r="B130" s="1" t="inlineStr">
        <is>
          <t>其他</t>
        </is>
      </c>
      <c r="C130" s="10" t="inlineStr">
        <is>
          <t>B01.15.01.01.02.01</t>
        </is>
      </c>
      <c r="D130" s="10" t="inlineStr">
        <is>
          <t xml:space="preserve">        常规部分FTP</t>
        </is>
      </c>
      <c r="H130" s="5">
        <f>H129/H49</f>
        <v/>
      </c>
      <c r="J130" s="5" t="inlineStr">
        <is>
          <t>率年化指标</t>
        </is>
      </c>
      <c r="M130" t="inlineStr">
        <is>
          <t>15.01.01.02.01</t>
        </is>
      </c>
      <c r="P130" t="inlineStr">
        <is>
          <t>WGT</t>
        </is>
      </c>
    </row>
    <row r="131">
      <c r="A131" s="1" t="inlineStr">
        <is>
          <t>四级</t>
        </is>
      </c>
      <c r="B131" s="1" t="inlineStr">
        <is>
          <t>支出</t>
        </is>
      </c>
      <c r="C131" s="10" t="inlineStr">
        <is>
          <t>B01.15.01.01.03</t>
        </is>
      </c>
      <c r="D131" s="10" t="inlineStr">
        <is>
          <t xml:space="preserve">      战略部分FTP成本</t>
        </is>
      </c>
      <c r="F131" t="inlineStr">
        <is>
          <t>B01.15.01.01.03.01</t>
        </is>
      </c>
      <c r="I131" s="5">
        <f>I50*I132</f>
        <v/>
      </c>
      <c r="J131" s="5" t="inlineStr">
        <is>
          <t>收支月化指标</t>
        </is>
      </c>
      <c r="M131" t="inlineStr">
        <is>
          <t>15.01.01.03</t>
        </is>
      </c>
    </row>
    <row r="132">
      <c r="A132" s="1" t="inlineStr">
        <is>
          <t>五级</t>
        </is>
      </c>
      <c r="B132" s="1" t="inlineStr">
        <is>
          <t>其他</t>
        </is>
      </c>
      <c r="C132" s="10" t="inlineStr">
        <is>
          <t>B01.15.01.01.03.01</t>
        </is>
      </c>
      <c r="D132" s="10" t="inlineStr">
        <is>
          <t xml:space="preserve">        战略部分FTP</t>
        </is>
      </c>
      <c r="H132" s="5">
        <f>H131/H50</f>
        <v/>
      </c>
      <c r="J132" s="5" t="inlineStr">
        <is>
          <t>率年化指标</t>
        </is>
      </c>
      <c r="M132" t="inlineStr">
        <is>
          <t>15.01.01.03.01</t>
        </is>
      </c>
      <c r="P132" t="inlineStr">
        <is>
          <t>WGT</t>
        </is>
      </c>
    </row>
    <row r="133">
      <c r="A133" s="13" t="inlineStr">
        <is>
          <t>三级</t>
        </is>
      </c>
      <c r="B133" s="13" t="inlineStr">
        <is>
          <t>支出</t>
        </is>
      </c>
      <c r="C133" s="14" t="inlineStr">
        <is>
          <t>B01.15.01.02</t>
        </is>
      </c>
      <c r="D133" s="14" t="inlineStr">
        <is>
          <t xml:space="preserve">    票据贴现FTP成本</t>
        </is>
      </c>
      <c r="E133" s="15" t="n"/>
      <c r="F133" s="15" t="inlineStr">
        <is>
          <t>B01.15.01.02.01</t>
        </is>
      </c>
      <c r="G133" s="15" t="n"/>
      <c r="H133" s="15" t="n"/>
      <c r="I133" s="15">
        <f>I52*I134</f>
        <v/>
      </c>
      <c r="J133" s="15" t="inlineStr">
        <is>
          <t>收支月化指标</t>
        </is>
      </c>
      <c r="M133" t="inlineStr">
        <is>
          <t>15.01.02</t>
        </is>
      </c>
    </row>
    <row r="134">
      <c r="A134" s="1" t="inlineStr">
        <is>
          <t>四级</t>
        </is>
      </c>
      <c r="B134" s="1" t="inlineStr">
        <is>
          <t>其他</t>
        </is>
      </c>
      <c r="C134" s="10" t="inlineStr">
        <is>
          <t>B01.15.01.02.01</t>
        </is>
      </c>
      <c r="D134" s="10" t="inlineStr">
        <is>
          <t xml:space="preserve">      票据贴现FTP</t>
        </is>
      </c>
      <c r="H134" s="5">
        <f>H133/H52</f>
        <v/>
      </c>
      <c r="J134" s="5" t="inlineStr">
        <is>
          <t>率年化指标</t>
        </is>
      </c>
      <c r="M134" t="inlineStr">
        <is>
          <t>15.01.02.01</t>
        </is>
      </c>
      <c r="P134" t="inlineStr">
        <is>
          <t>WGT</t>
        </is>
      </c>
    </row>
    <row r="135">
      <c r="A135" s="13" t="inlineStr">
        <is>
          <t>三级</t>
        </is>
      </c>
      <c r="B135" s="13" t="inlineStr">
        <is>
          <t>支出</t>
        </is>
      </c>
      <c r="C135" s="14" t="inlineStr">
        <is>
          <t>B01.15.01.03</t>
        </is>
      </c>
      <c r="D135" s="14" t="inlineStr">
        <is>
          <t xml:space="preserve">    贸易融资FTP成本</t>
        </is>
      </c>
      <c r="E135" s="15" t="n"/>
      <c r="F135" s="15" t="inlineStr">
        <is>
          <t>B01.15.01.03.01</t>
        </is>
      </c>
      <c r="G135" s="15" t="n"/>
      <c r="H135" s="15" t="n"/>
      <c r="I135" s="15">
        <f>I53*I136</f>
        <v/>
      </c>
      <c r="J135" s="15" t="inlineStr">
        <is>
          <t>收支月化指标</t>
        </is>
      </c>
      <c r="M135" t="inlineStr">
        <is>
          <t>15.01.03</t>
        </is>
      </c>
    </row>
    <row r="136">
      <c r="A136" s="1" t="inlineStr">
        <is>
          <t>四级</t>
        </is>
      </c>
      <c r="B136" s="1" t="inlineStr">
        <is>
          <t>其他</t>
        </is>
      </c>
      <c r="C136" s="10" t="inlineStr">
        <is>
          <t>B01.15.01.03.01</t>
        </is>
      </c>
      <c r="D136" s="10" t="inlineStr">
        <is>
          <t xml:space="preserve">      贸易融资FTP</t>
        </is>
      </c>
      <c r="H136" s="5">
        <f>H135/H53</f>
        <v/>
      </c>
      <c r="J136" s="5" t="inlineStr">
        <is>
          <t>率年化指标</t>
        </is>
      </c>
      <c r="M136" t="inlineStr">
        <is>
          <t>15.01.03.01</t>
        </is>
      </c>
      <c r="P136" t="inlineStr">
        <is>
          <t>WGT</t>
        </is>
      </c>
    </row>
    <row r="137">
      <c r="A137" s="1" t="n"/>
      <c r="B137" s="1" t="n"/>
      <c r="C137" s="10" t="n"/>
      <c r="D137" s="10" t="n"/>
    </row>
    <row r="138" customFormat="1" s="12">
      <c r="A138" s="7" t="inlineStr">
        <is>
          <t>二级</t>
        </is>
      </c>
      <c r="B138" s="7" t="inlineStr">
        <is>
          <t>支出</t>
        </is>
      </c>
      <c r="C138" s="11" t="inlineStr">
        <is>
          <t>B01.15.02</t>
        </is>
      </c>
      <c r="D138" s="11" t="inlineStr">
        <is>
          <t xml:space="preserve">  金融机构往来FTP成本</t>
        </is>
      </c>
      <c r="F138" t="inlineStr">
        <is>
          <t>B01.15.02.02+B01.15.02.04</t>
        </is>
      </c>
      <c r="H138" s="12">
        <f>H139+H141</f>
        <v/>
      </c>
      <c r="I138" s="12">
        <f>I139+I141</f>
        <v/>
      </c>
      <c r="M138" t="inlineStr">
        <is>
          <t>15.02</t>
        </is>
      </c>
    </row>
    <row r="139">
      <c r="A139" s="1" t="inlineStr">
        <is>
          <t>三级</t>
        </is>
      </c>
      <c r="B139" s="1" t="inlineStr">
        <is>
          <t>支出</t>
        </is>
      </c>
      <c r="C139" s="10" t="inlineStr">
        <is>
          <t>B01.15.02.02</t>
        </is>
      </c>
      <c r="D139" s="10" t="inlineStr">
        <is>
          <t xml:space="preserve">    存放同业FTP成本</t>
        </is>
      </c>
      <c r="F139" t="inlineStr">
        <is>
          <t>B01.15.02.02.01</t>
        </is>
      </c>
      <c r="I139" s="5">
        <f>I78*I140</f>
        <v/>
      </c>
      <c r="J139" s="5" t="inlineStr">
        <is>
          <t>收支月化指标</t>
        </is>
      </c>
      <c r="M139" t="inlineStr">
        <is>
          <t>15.02.02</t>
        </is>
      </c>
    </row>
    <row r="140">
      <c r="A140" s="1" t="inlineStr">
        <is>
          <t>四级</t>
        </is>
      </c>
      <c r="B140" s="1" t="inlineStr">
        <is>
          <t>其他</t>
        </is>
      </c>
      <c r="C140" s="10" t="inlineStr">
        <is>
          <t>B01.15.02.02.01</t>
        </is>
      </c>
      <c r="D140" s="10" t="inlineStr">
        <is>
          <t xml:space="preserve">      存放同业FTP</t>
        </is>
      </c>
      <c r="H140" s="5">
        <f>H139/H78</f>
        <v/>
      </c>
      <c r="J140" s="5" t="inlineStr">
        <is>
          <t>率年化指标</t>
        </is>
      </c>
      <c r="M140" t="inlineStr">
        <is>
          <t>15.02.02.01</t>
        </is>
      </c>
      <c r="P140" t="inlineStr">
        <is>
          <t>WGT</t>
        </is>
      </c>
    </row>
    <row r="141">
      <c r="A141" s="1" t="inlineStr">
        <is>
          <t>三级</t>
        </is>
      </c>
      <c r="B141" s="1" t="inlineStr">
        <is>
          <t>支出</t>
        </is>
      </c>
      <c r="C141" s="10" t="inlineStr">
        <is>
          <t>B01.15.02.04</t>
        </is>
      </c>
      <c r="D141" s="10" t="inlineStr">
        <is>
          <t xml:space="preserve">    买入返售FTP成本</t>
        </is>
      </c>
      <c r="F141" t="inlineStr">
        <is>
          <t>B01.15.02.04.01</t>
        </is>
      </c>
      <c r="I141" s="5">
        <f>I79*I142</f>
        <v/>
      </c>
      <c r="J141" s="5" t="inlineStr">
        <is>
          <t>收支月化指标</t>
        </is>
      </c>
      <c r="M141" t="inlineStr">
        <is>
          <t>15.02.04</t>
        </is>
      </c>
    </row>
    <row r="142">
      <c r="A142" s="1" t="inlineStr">
        <is>
          <t>四级</t>
        </is>
      </c>
      <c r="B142" s="1" t="inlineStr">
        <is>
          <t>其他</t>
        </is>
      </c>
      <c r="C142" s="10" t="inlineStr">
        <is>
          <t>B01.15.02.04.01</t>
        </is>
      </c>
      <c r="D142" s="10" t="inlineStr">
        <is>
          <t xml:space="preserve">      买入返售FTP</t>
        </is>
      </c>
      <c r="H142" s="5">
        <f>H141/H79</f>
        <v/>
      </c>
      <c r="J142" s="5" t="inlineStr">
        <is>
          <t>率年化指标</t>
        </is>
      </c>
      <c r="M142" t="inlineStr">
        <is>
          <t>15.02.04.01</t>
        </is>
      </c>
      <c r="P142" t="inlineStr">
        <is>
          <t>WGT</t>
        </is>
      </c>
    </row>
    <row r="143" customFormat="1" s="12">
      <c r="A143" s="7" t="inlineStr">
        <is>
          <t>二级</t>
        </is>
      </c>
      <c r="B143" s="7" t="inlineStr">
        <is>
          <t>支出</t>
        </is>
      </c>
      <c r="C143" s="11" t="inlineStr">
        <is>
          <t>B01.15.03</t>
        </is>
      </c>
      <c r="D143" s="11" t="inlineStr">
        <is>
          <t xml:space="preserve">  投资FTP成本</t>
        </is>
      </c>
      <c r="F143" t="inlineStr">
        <is>
          <t>B01.15.03.09</t>
        </is>
      </c>
      <c r="H143" s="12">
        <f>H144</f>
        <v/>
      </c>
      <c r="I143" s="12">
        <f>I144</f>
        <v/>
      </c>
      <c r="M143" t="inlineStr">
        <is>
          <t>15.03</t>
        </is>
      </c>
    </row>
    <row r="144">
      <c r="A144" s="1" t="inlineStr">
        <is>
          <t>三级</t>
        </is>
      </c>
      <c r="B144" s="1" t="inlineStr">
        <is>
          <t>支出</t>
        </is>
      </c>
      <c r="C144" s="10" t="inlineStr">
        <is>
          <t>B01.15.03.09</t>
        </is>
      </c>
      <c r="D144" s="10" t="inlineStr">
        <is>
          <t xml:space="preserve">    ABS投资FTP成本</t>
        </is>
      </c>
      <c r="F144" t="inlineStr">
        <is>
          <t>B01.15.03.09.01</t>
        </is>
      </c>
      <c r="I144" s="5">
        <f>I81*I145</f>
        <v/>
      </c>
      <c r="J144" s="5" t="inlineStr">
        <is>
          <t>收支月化指标</t>
        </is>
      </c>
      <c r="M144" t="inlineStr">
        <is>
          <t>15.03.09</t>
        </is>
      </c>
    </row>
    <row r="145">
      <c r="A145" s="1" t="inlineStr">
        <is>
          <t>四级</t>
        </is>
      </c>
      <c r="B145" s="1" t="inlineStr">
        <is>
          <t>其他</t>
        </is>
      </c>
      <c r="C145" s="10" t="inlineStr">
        <is>
          <t>B01.15.03.09.01</t>
        </is>
      </c>
      <c r="D145" s="10" t="inlineStr">
        <is>
          <t xml:space="preserve">      ABS投资FTP</t>
        </is>
      </c>
      <c r="H145" s="5">
        <f>H144/H81</f>
        <v/>
      </c>
      <c r="J145" s="5" t="inlineStr">
        <is>
          <t>率年化指标</t>
        </is>
      </c>
      <c r="M145" t="inlineStr">
        <is>
          <t>15.03.09.01</t>
        </is>
      </c>
      <c r="P145" t="inlineStr">
        <is>
          <t>WGT</t>
        </is>
      </c>
    </row>
    <row r="146" customFormat="1" s="12">
      <c r="A146" s="7" t="inlineStr">
        <is>
          <t>二级</t>
        </is>
      </c>
      <c r="B146" s="7" t="inlineStr">
        <is>
          <t>支出</t>
        </is>
      </c>
      <c r="C146" s="11" t="inlineStr">
        <is>
          <t>B01.15.99</t>
        </is>
      </c>
      <c r="D146" s="11" t="inlineStr">
        <is>
          <t xml:space="preserve">  其他FTP成本</t>
        </is>
      </c>
      <c r="F146" t="inlineStr">
        <is>
          <t>B01.15.99.01</t>
        </is>
      </c>
      <c r="H146" s="12">
        <f>H147</f>
        <v/>
      </c>
      <c r="I146" s="12">
        <f>I147</f>
        <v/>
      </c>
      <c r="M146" t="inlineStr">
        <is>
          <t>15.99</t>
        </is>
      </c>
    </row>
    <row r="147">
      <c r="A147" s="1" t="inlineStr">
        <is>
          <t>三级</t>
        </is>
      </c>
      <c r="B147" s="1" t="inlineStr">
        <is>
          <t>支出</t>
        </is>
      </c>
      <c r="C147" s="10" t="inlineStr">
        <is>
          <t>B01.15.99.01</t>
        </is>
      </c>
      <c r="D147" s="10" t="inlineStr">
        <is>
          <t xml:space="preserve">    流动性备付FTP成本</t>
        </is>
      </c>
      <c r="M147" t="inlineStr">
        <is>
          <t>15.99.01</t>
        </is>
      </c>
      <c r="P147" t="inlineStr">
        <is>
          <t>SUM</t>
        </is>
      </c>
    </row>
    <row r="148">
      <c r="A148" s="1" t="n"/>
      <c r="B148" s="1" t="n"/>
      <c r="C148" s="10" t="n"/>
      <c r="D148" s="10" t="n"/>
    </row>
    <row r="149">
      <c r="A149" s="7" t="inlineStr">
        <is>
          <t>一级</t>
        </is>
      </c>
      <c r="B149" s="7" t="inlineStr">
        <is>
          <t>支出</t>
        </is>
      </c>
      <c r="C149" s="11" t="inlineStr">
        <is>
          <t>B01.16</t>
        </is>
      </c>
      <c r="D149" s="11" t="inlineStr">
        <is>
          <t>利息支出</t>
        </is>
      </c>
      <c r="E149" s="12" t="n"/>
      <c r="F149" s="12" t="inlineStr">
        <is>
          <t>B01.16.01+B01.16.02</t>
        </is>
      </c>
      <c r="G149" s="12" t="n"/>
      <c r="H149" s="12">
        <f>H150+H156</f>
        <v/>
      </c>
      <c r="I149" s="12">
        <f>I150+I156</f>
        <v/>
      </c>
      <c r="J149" s="12" t="n"/>
      <c r="M149" t="inlineStr">
        <is>
          <t>16</t>
        </is>
      </c>
    </row>
    <row r="150">
      <c r="A150" s="11" t="inlineStr">
        <is>
          <t>二级</t>
        </is>
      </c>
      <c r="B150" s="11" t="inlineStr">
        <is>
          <t>支出</t>
        </is>
      </c>
      <c r="C150" s="11" t="inlineStr">
        <is>
          <t>B01.16.01</t>
        </is>
      </c>
      <c r="D150" s="11" t="inlineStr">
        <is>
          <t xml:space="preserve">  存款利息支出</t>
        </is>
      </c>
      <c r="F150" t="inlineStr">
        <is>
          <t>B01.16.01.01+B01.16.01.02+B01.16.01.03</t>
        </is>
      </c>
      <c r="H150" s="5">
        <f>H152+H154</f>
        <v/>
      </c>
      <c r="I150" s="5">
        <f>I152+I154</f>
        <v/>
      </c>
      <c r="M150" t="inlineStr">
        <is>
          <t>16.01</t>
        </is>
      </c>
    </row>
    <row r="151">
      <c r="A151" s="10" t="inlineStr">
        <is>
          <t>三级</t>
        </is>
      </c>
      <c r="B151" s="10" t="inlineStr">
        <is>
          <t>其他</t>
        </is>
      </c>
      <c r="C151" s="10" t="inlineStr">
        <is>
          <t>B01.16.01.01</t>
        </is>
      </c>
      <c r="D151" s="10" t="inlineStr">
        <is>
          <t xml:space="preserve">    存款付息率</t>
        </is>
      </c>
      <c r="H151" s="5">
        <f>H150/H67</f>
        <v/>
      </c>
      <c r="I151" s="5">
        <f>I150/I67</f>
        <v/>
      </c>
      <c r="J151" s="5" t="inlineStr">
        <is>
          <t>率年化指标</t>
        </is>
      </c>
      <c r="M151" t="inlineStr">
        <is>
          <t>16.01.01</t>
        </is>
      </c>
      <c r="P151" t="inlineStr">
        <is>
          <t>WGT</t>
        </is>
      </c>
    </row>
    <row r="152" customFormat="1" s="5">
      <c r="A152" s="10" t="inlineStr">
        <is>
          <t>三级</t>
        </is>
      </c>
      <c r="B152" s="11" t="inlineStr">
        <is>
          <t>支出</t>
        </is>
      </c>
      <c r="C152" s="10" t="inlineStr">
        <is>
          <t>B01.16.01.02</t>
        </is>
      </c>
      <c r="D152" s="10" t="inlineStr">
        <is>
          <t xml:space="preserve">    常规存款利息支出</t>
        </is>
      </c>
      <c r="F152" t="inlineStr">
        <is>
          <t>B01.16.01.02.01</t>
        </is>
      </c>
      <c r="I152" s="5">
        <f>I68*I153</f>
        <v/>
      </c>
      <c r="J152" s="5" t="inlineStr">
        <is>
          <t>收支月化指标</t>
        </is>
      </c>
      <c r="M152" t="inlineStr">
        <is>
          <t>16.01.02</t>
        </is>
      </c>
    </row>
    <row r="153">
      <c r="A153" s="10" t="inlineStr">
        <is>
          <t>四级</t>
        </is>
      </c>
      <c r="B153" s="10" t="inlineStr">
        <is>
          <t>其他</t>
        </is>
      </c>
      <c r="C153" s="10" t="inlineStr">
        <is>
          <t>B01.16.01.02.01</t>
        </is>
      </c>
      <c r="D153" s="10" t="inlineStr">
        <is>
          <t xml:space="preserve">      常规存款付息率</t>
        </is>
      </c>
      <c r="H153" s="5">
        <f>H152/H68</f>
        <v/>
      </c>
      <c r="J153" s="5" t="inlineStr">
        <is>
          <t>率年化指标</t>
        </is>
      </c>
      <c r="M153" t="inlineStr">
        <is>
          <t>16.01.02.01</t>
        </is>
      </c>
      <c r="P153" t="inlineStr">
        <is>
          <t>WGT</t>
        </is>
      </c>
    </row>
    <row r="154">
      <c r="A154" s="10" t="inlineStr">
        <is>
          <t>三级</t>
        </is>
      </c>
      <c r="B154" s="10" t="inlineStr">
        <is>
          <t>支出</t>
        </is>
      </c>
      <c r="C154" s="10" t="inlineStr">
        <is>
          <t>B01.16.01.03</t>
        </is>
      </c>
      <c r="D154" s="10" t="inlineStr">
        <is>
          <t xml:space="preserve">    保证金存款利息支出</t>
        </is>
      </c>
      <c r="F154" t="inlineStr">
        <is>
          <t>B01.16.01.03.01</t>
        </is>
      </c>
      <c r="I154" s="5">
        <f>I69*I155</f>
        <v/>
      </c>
      <c r="J154" s="5" t="inlineStr">
        <is>
          <t>收支月化指标</t>
        </is>
      </c>
      <c r="M154" t="inlineStr">
        <is>
          <t>16.01.03</t>
        </is>
      </c>
    </row>
    <row r="155">
      <c r="A155" s="10" t="inlineStr">
        <is>
          <t>四级</t>
        </is>
      </c>
      <c r="B155" s="10" t="inlineStr">
        <is>
          <t>其他</t>
        </is>
      </c>
      <c r="C155" s="10" t="inlineStr">
        <is>
          <t>B01.16.01.03.01</t>
        </is>
      </c>
      <c r="D155" s="10" t="inlineStr">
        <is>
          <t xml:space="preserve">      保证金存款付息率</t>
        </is>
      </c>
      <c r="H155" s="5">
        <f>H154/H69</f>
        <v/>
      </c>
      <c r="J155" s="5" t="inlineStr">
        <is>
          <t>率年化指标</t>
        </is>
      </c>
      <c r="M155" t="inlineStr">
        <is>
          <t>16.01.03.01</t>
        </is>
      </c>
      <c r="P155" t="inlineStr">
        <is>
          <t>WGT</t>
        </is>
      </c>
    </row>
    <row r="156">
      <c r="A156" s="7" t="inlineStr">
        <is>
          <t>二级</t>
        </is>
      </c>
      <c r="B156" s="7" t="inlineStr">
        <is>
          <t>支出</t>
        </is>
      </c>
      <c r="C156" s="11" t="inlineStr">
        <is>
          <t>B01.16.02</t>
        </is>
      </c>
      <c r="D156" s="11" t="inlineStr">
        <is>
          <t xml:space="preserve">  金融机构往来利息支出</t>
        </is>
      </c>
      <c r="F156" t="inlineStr">
        <is>
          <t>B01.16.02.02+B01.16.02.05</t>
        </is>
      </c>
      <c r="H156" s="5">
        <f>H157+H159</f>
        <v/>
      </c>
      <c r="I156" s="5">
        <f>I157+I159</f>
        <v/>
      </c>
      <c r="M156" t="inlineStr">
        <is>
          <t>16.02</t>
        </is>
      </c>
    </row>
    <row r="157">
      <c r="A157" s="1" t="inlineStr">
        <is>
          <t>三级</t>
        </is>
      </c>
      <c r="B157" s="1" t="inlineStr">
        <is>
          <t>支出</t>
        </is>
      </c>
      <c r="C157" s="10" t="inlineStr">
        <is>
          <t>B01.16.02.02</t>
        </is>
      </c>
      <c r="D157" s="10" t="inlineStr">
        <is>
          <t xml:space="preserve">    同业存放利息支出</t>
        </is>
      </c>
      <c r="F157" t="inlineStr">
        <is>
          <t>B01.16.02.02.01</t>
        </is>
      </c>
      <c r="I157" s="5">
        <f>I86*I158</f>
        <v/>
      </c>
      <c r="J157" s="5" t="inlineStr">
        <is>
          <t>收支月化指标</t>
        </is>
      </c>
      <c r="M157" t="inlineStr">
        <is>
          <t>16.02.02</t>
        </is>
      </c>
    </row>
    <row r="158">
      <c r="A158" s="10" t="inlineStr">
        <is>
          <t>四级</t>
        </is>
      </c>
      <c r="B158" s="1" t="inlineStr">
        <is>
          <t>其他</t>
        </is>
      </c>
      <c r="C158" s="10" t="inlineStr">
        <is>
          <t>B01.16.02.02.01</t>
        </is>
      </c>
      <c r="D158" s="10" t="inlineStr">
        <is>
          <t xml:space="preserve">      同业存放付息率</t>
        </is>
      </c>
      <c r="H158" s="5">
        <f>H157/H86</f>
        <v/>
      </c>
      <c r="J158" s="5" t="inlineStr">
        <is>
          <t>率年化指标</t>
        </is>
      </c>
      <c r="M158" t="inlineStr">
        <is>
          <t>16.02.02.01</t>
        </is>
      </c>
      <c r="P158" t="inlineStr">
        <is>
          <t>WGT</t>
        </is>
      </c>
    </row>
    <row r="159">
      <c r="A159" s="1" t="inlineStr">
        <is>
          <t>三级</t>
        </is>
      </c>
      <c r="B159" s="1" t="inlineStr">
        <is>
          <t>支出</t>
        </is>
      </c>
      <c r="C159" s="10" t="inlineStr">
        <is>
          <t>B01.16.02.05</t>
        </is>
      </c>
      <c r="D159" s="10" t="inlineStr">
        <is>
          <t xml:space="preserve">    卖出回购利息支出</t>
        </is>
      </c>
      <c r="F159" t="inlineStr">
        <is>
          <t>B01.16.02.05.01</t>
        </is>
      </c>
      <c r="I159" s="5">
        <f>I87*I160</f>
        <v/>
      </c>
      <c r="J159" s="5" t="inlineStr">
        <is>
          <t>收支月化指标</t>
        </is>
      </c>
      <c r="M159" t="inlineStr">
        <is>
          <t>16.02.05</t>
        </is>
      </c>
    </row>
    <row r="160">
      <c r="A160" s="10" t="inlineStr">
        <is>
          <t>四级</t>
        </is>
      </c>
      <c r="B160" s="1" t="inlineStr">
        <is>
          <t>其他</t>
        </is>
      </c>
      <c r="C160" s="10" t="inlineStr">
        <is>
          <t>B01.16.02.05.01</t>
        </is>
      </c>
      <c r="D160" s="10" t="inlineStr">
        <is>
          <t xml:space="preserve">      卖出回购付息率</t>
        </is>
      </c>
      <c r="H160" s="5">
        <f>H159/H87</f>
        <v/>
      </c>
      <c r="J160" s="5" t="inlineStr">
        <is>
          <t>率年化指标</t>
        </is>
      </c>
      <c r="M160" t="inlineStr">
        <is>
          <t>16.02.05.01</t>
        </is>
      </c>
      <c r="P160" t="inlineStr">
        <is>
          <t>WGT</t>
        </is>
      </c>
    </row>
    <row r="161">
      <c r="A161" s="10" t="n"/>
      <c r="B161" s="10" t="n"/>
      <c r="C161" s="10" t="n"/>
      <c r="D161" s="10" t="n"/>
    </row>
    <row r="162">
      <c r="A162" s="11" t="inlineStr">
        <is>
          <t>一级</t>
        </is>
      </c>
      <c r="B162" s="11" t="inlineStr">
        <is>
          <t>收入</t>
        </is>
      </c>
      <c r="C162" s="11" t="inlineStr">
        <is>
          <t>B01.17</t>
        </is>
      </c>
      <c r="D162" s="11" t="inlineStr">
        <is>
          <t>FTP收入</t>
        </is>
      </c>
      <c r="F162" t="inlineStr">
        <is>
          <t>B01.17.01+B01.17.02+B01.17.99</t>
        </is>
      </c>
      <c r="H162" s="5">
        <f>H163+H169+H174</f>
        <v/>
      </c>
      <c r="I162" s="5">
        <f>I163+I169+I174</f>
        <v/>
      </c>
      <c r="M162" t="inlineStr">
        <is>
          <t>17</t>
        </is>
      </c>
    </row>
    <row r="163">
      <c r="A163" s="11" t="inlineStr">
        <is>
          <t>二级</t>
        </is>
      </c>
      <c r="B163" s="11" t="inlineStr">
        <is>
          <t>收入</t>
        </is>
      </c>
      <c r="C163" s="11" t="inlineStr">
        <is>
          <t>B01.17.01</t>
        </is>
      </c>
      <c r="D163" s="11" t="inlineStr">
        <is>
          <t xml:space="preserve">  存款FTP收入</t>
        </is>
      </c>
      <c r="F163" t="inlineStr">
        <is>
          <t>B01.17.01.01+B01.17.01.02+B01.17.01.03</t>
        </is>
      </c>
      <c r="H163" s="5">
        <f>H165+H167</f>
        <v/>
      </c>
      <c r="I163" s="5">
        <f>I165+I167</f>
        <v/>
      </c>
      <c r="M163" t="inlineStr">
        <is>
          <t>17.01</t>
        </is>
      </c>
    </row>
    <row r="164">
      <c r="A164" s="10" t="inlineStr">
        <is>
          <t>三级</t>
        </is>
      </c>
      <c r="B164" s="10" t="inlineStr">
        <is>
          <t>其他</t>
        </is>
      </c>
      <c r="C164" s="10" t="inlineStr">
        <is>
          <t>B01.17.01.01</t>
        </is>
      </c>
      <c r="D164" s="10" t="inlineStr">
        <is>
          <t xml:space="preserve">    存款FTP</t>
        </is>
      </c>
      <c r="H164" s="5">
        <f>H163/H67</f>
        <v/>
      </c>
      <c r="I164" s="5">
        <f>I163/I67</f>
        <v/>
      </c>
      <c r="J164" s="5" t="inlineStr">
        <is>
          <t>率年化指标</t>
        </is>
      </c>
      <c r="M164" t="inlineStr">
        <is>
          <t>17.01.01</t>
        </is>
      </c>
      <c r="P164" t="inlineStr">
        <is>
          <t>WGT</t>
        </is>
      </c>
    </row>
    <row r="165">
      <c r="A165" s="10" t="inlineStr">
        <is>
          <t>三级</t>
        </is>
      </c>
      <c r="B165" s="10" t="inlineStr">
        <is>
          <t>收入</t>
        </is>
      </c>
      <c r="C165" s="10" t="inlineStr">
        <is>
          <t>B01.17.01.02</t>
        </is>
      </c>
      <c r="D165" s="10" t="inlineStr">
        <is>
          <t xml:space="preserve">    常规存款FTP收入</t>
        </is>
      </c>
      <c r="F165" t="inlineStr">
        <is>
          <t>B01.17.01.02.01</t>
        </is>
      </c>
      <c r="I165" s="5">
        <f>I68*I166</f>
        <v/>
      </c>
      <c r="J165" s="5" t="inlineStr">
        <is>
          <t>收支月化指标</t>
        </is>
      </c>
      <c r="M165" t="inlineStr">
        <is>
          <t>17.01.02</t>
        </is>
      </c>
    </row>
    <row r="166">
      <c r="A166" s="10" t="inlineStr">
        <is>
          <t>四级</t>
        </is>
      </c>
      <c r="B166" s="10" t="inlineStr">
        <is>
          <t>其他</t>
        </is>
      </c>
      <c r="C166" s="10" t="inlineStr">
        <is>
          <t>B01.17.01.02.01</t>
        </is>
      </c>
      <c r="D166" s="10" t="inlineStr">
        <is>
          <t xml:space="preserve">      常规存款FTP</t>
        </is>
      </c>
      <c r="H166" s="5">
        <f>H15/H68</f>
        <v/>
      </c>
      <c r="J166" s="5" t="inlineStr">
        <is>
          <t>率年化指标</t>
        </is>
      </c>
      <c r="M166" t="inlineStr">
        <is>
          <t>17.01.02.01</t>
        </is>
      </c>
      <c r="P166" t="inlineStr">
        <is>
          <t>WGT</t>
        </is>
      </c>
    </row>
    <row r="167">
      <c r="A167" s="10" t="inlineStr">
        <is>
          <t>三级</t>
        </is>
      </c>
      <c r="B167" s="10" t="inlineStr">
        <is>
          <t>收入</t>
        </is>
      </c>
      <c r="C167" s="10" t="inlineStr">
        <is>
          <t>B01.17.01.03</t>
        </is>
      </c>
      <c r="D167" s="10" t="inlineStr">
        <is>
          <t xml:space="preserve">    保证金存款FTP收入</t>
        </is>
      </c>
      <c r="F167" t="inlineStr">
        <is>
          <t>B01.17.01.03.01</t>
        </is>
      </c>
      <c r="I167" s="5">
        <f>I69*I168</f>
        <v/>
      </c>
      <c r="J167" s="5" t="inlineStr">
        <is>
          <t>收支月化指标</t>
        </is>
      </c>
      <c r="M167" t="inlineStr">
        <is>
          <t>17.01.03</t>
        </is>
      </c>
    </row>
    <row r="168">
      <c r="A168" s="10" t="inlineStr">
        <is>
          <t>四级</t>
        </is>
      </c>
      <c r="B168" s="10" t="inlineStr">
        <is>
          <t>其他</t>
        </is>
      </c>
      <c r="C168" s="10" t="inlineStr">
        <is>
          <t>B01.17.01.03.01</t>
        </is>
      </c>
      <c r="D168" s="10" t="inlineStr">
        <is>
          <t xml:space="preserve">      保证金存款FTP</t>
        </is>
      </c>
      <c r="H168" s="5">
        <f>H167/H69</f>
        <v/>
      </c>
      <c r="J168" s="5" t="inlineStr">
        <is>
          <t>率年化指标</t>
        </is>
      </c>
      <c r="M168" t="inlineStr">
        <is>
          <t>17.01.03.01</t>
        </is>
      </c>
      <c r="P168" t="inlineStr">
        <is>
          <t>WGT</t>
        </is>
      </c>
    </row>
    <row r="169">
      <c r="A169" s="11" t="inlineStr">
        <is>
          <t>二级</t>
        </is>
      </c>
      <c r="B169" s="11" t="inlineStr">
        <is>
          <t>收入</t>
        </is>
      </c>
      <c r="C169" s="11" t="inlineStr">
        <is>
          <t>B01.17.02</t>
        </is>
      </c>
      <c r="D169" s="11" t="inlineStr">
        <is>
          <t xml:space="preserve">  金融机构往来FTP收入</t>
        </is>
      </c>
      <c r="F169" t="inlineStr">
        <is>
          <t>B01.17.02.02+B01.17.02.05</t>
        </is>
      </c>
      <c r="H169" s="5">
        <f>H170+H172</f>
        <v/>
      </c>
      <c r="I169" s="5">
        <f>I170+I172</f>
        <v/>
      </c>
      <c r="M169" t="inlineStr">
        <is>
          <t>17.02</t>
        </is>
      </c>
    </row>
    <row r="170">
      <c r="A170" s="10" t="inlineStr">
        <is>
          <t>三级</t>
        </is>
      </c>
      <c r="B170" s="10" t="inlineStr">
        <is>
          <t>收入</t>
        </is>
      </c>
      <c r="C170" s="10" t="inlineStr">
        <is>
          <t>B01.17.02.02</t>
        </is>
      </c>
      <c r="D170" s="10" t="inlineStr">
        <is>
          <t xml:space="preserve">    同业存放FTP收入</t>
        </is>
      </c>
      <c r="F170" t="inlineStr">
        <is>
          <t>B01.17.02.02.01</t>
        </is>
      </c>
      <c r="I170" s="5">
        <f>I86*I171</f>
        <v/>
      </c>
      <c r="J170" s="5" t="inlineStr">
        <is>
          <t>收支月化指标</t>
        </is>
      </c>
      <c r="M170" t="inlineStr">
        <is>
          <t>17.02.02</t>
        </is>
      </c>
    </row>
    <row r="171">
      <c r="A171" s="10" t="inlineStr">
        <is>
          <t>四级</t>
        </is>
      </c>
      <c r="B171" s="10" t="inlineStr">
        <is>
          <t>其他</t>
        </is>
      </c>
      <c r="C171" s="10" t="inlineStr">
        <is>
          <t>B01.17.02.02.01</t>
        </is>
      </c>
      <c r="D171" s="10" t="inlineStr">
        <is>
          <t xml:space="preserve">      同业存放FTP</t>
        </is>
      </c>
      <c r="H171" s="5">
        <f>H170/H86</f>
        <v/>
      </c>
      <c r="J171" s="5" t="inlineStr">
        <is>
          <t>率年化指标</t>
        </is>
      </c>
      <c r="M171" t="inlineStr">
        <is>
          <t>17.02.02.01</t>
        </is>
      </c>
      <c r="P171" t="inlineStr">
        <is>
          <t>WGT</t>
        </is>
      </c>
    </row>
    <row r="172">
      <c r="A172" s="10" t="inlineStr">
        <is>
          <t>三级</t>
        </is>
      </c>
      <c r="B172" s="10" t="inlineStr">
        <is>
          <t>收入</t>
        </is>
      </c>
      <c r="C172" s="10" t="inlineStr">
        <is>
          <t>B01.17.02.05</t>
        </is>
      </c>
      <c r="D172" s="10" t="inlineStr">
        <is>
          <t xml:space="preserve">    卖出回购FTP收入</t>
        </is>
      </c>
      <c r="F172" t="inlineStr">
        <is>
          <t>B01.17.02.05.01</t>
        </is>
      </c>
      <c r="I172" s="5">
        <f>I87*I173</f>
        <v/>
      </c>
      <c r="J172" s="5" t="inlineStr">
        <is>
          <t>收支月化指标</t>
        </is>
      </c>
      <c r="M172" t="inlineStr">
        <is>
          <t>17.02.05</t>
        </is>
      </c>
    </row>
    <row r="173">
      <c r="A173" s="10" t="inlineStr">
        <is>
          <t>四级</t>
        </is>
      </c>
      <c r="B173" s="10" t="inlineStr">
        <is>
          <t>其他</t>
        </is>
      </c>
      <c r="C173" s="10" t="inlineStr">
        <is>
          <t>B01.17.02.05.01</t>
        </is>
      </c>
      <c r="D173" s="10" t="inlineStr">
        <is>
          <t xml:space="preserve">      卖出回购FTP</t>
        </is>
      </c>
      <c r="H173" s="5">
        <f>H172/H87</f>
        <v/>
      </c>
      <c r="J173" s="5" t="inlineStr">
        <is>
          <t>率年化指标</t>
        </is>
      </c>
      <c r="M173" t="inlineStr">
        <is>
          <t>17.02.05.01</t>
        </is>
      </c>
      <c r="P173" t="inlineStr">
        <is>
          <t>WGT</t>
        </is>
      </c>
    </row>
    <row r="174">
      <c r="A174" s="11" t="inlineStr">
        <is>
          <t>二级</t>
        </is>
      </c>
      <c r="B174" s="11" t="inlineStr">
        <is>
          <t>收入</t>
        </is>
      </c>
      <c r="C174" s="11" t="inlineStr">
        <is>
          <t>B01.17.99</t>
        </is>
      </c>
      <c r="D174" s="11" t="inlineStr">
        <is>
          <t xml:space="preserve">  其他FTP收入</t>
        </is>
      </c>
      <c r="F174" t="inlineStr">
        <is>
          <t>B01.17.99.01</t>
        </is>
      </c>
      <c r="H174" s="5">
        <f>H175</f>
        <v/>
      </c>
      <c r="I174" s="5">
        <f>I175</f>
        <v/>
      </c>
      <c r="M174" t="inlineStr">
        <is>
          <t>17.99</t>
        </is>
      </c>
    </row>
    <row r="175">
      <c r="A175" s="10" t="inlineStr">
        <is>
          <t>三级</t>
        </is>
      </c>
      <c r="B175" s="10" t="inlineStr">
        <is>
          <t>收入</t>
        </is>
      </c>
      <c r="C175" s="10" t="inlineStr">
        <is>
          <t>B01.17.99.01</t>
        </is>
      </c>
      <c r="D175" s="10" t="inlineStr">
        <is>
          <t xml:space="preserve">    应付款FTP收入</t>
        </is>
      </c>
      <c r="M175" t="inlineStr">
        <is>
          <t>17.99.01</t>
        </is>
      </c>
      <c r="P175" t="inlineStr">
        <is>
          <t>SUM</t>
        </is>
      </c>
    </row>
    <row r="176">
      <c r="A176" s="10" t="n"/>
      <c r="B176" s="10" t="n"/>
      <c r="C176" s="10" t="n"/>
      <c r="D176" s="10" t="n"/>
    </row>
    <row r="177">
      <c r="A177" s="11" t="inlineStr">
        <is>
          <t>一级</t>
        </is>
      </c>
      <c r="B177" s="11" t="inlineStr">
        <is>
          <t>收入</t>
        </is>
      </c>
      <c r="C177" s="11" t="inlineStr">
        <is>
          <t>B01.18</t>
        </is>
      </c>
      <c r="D177" s="11" t="inlineStr">
        <is>
          <t>手续费收入</t>
        </is>
      </c>
      <c r="F177" t="inlineStr">
        <is>
          <t>B01.18.01+B01.18.02+B01.18.03+B01.18.04+B01.18.05+B01.18.06+B01.18.08+B01.18.99</t>
        </is>
      </c>
      <c r="I177" s="5">
        <f>I178+I183+I184+I185+I186+I189+I190+I191</f>
        <v/>
      </c>
      <c r="M177" t="inlineStr">
        <is>
          <t>18</t>
        </is>
      </c>
    </row>
    <row r="178">
      <c r="A178" s="11" t="inlineStr">
        <is>
          <t>二级</t>
        </is>
      </c>
      <c r="B178" s="11" t="inlineStr">
        <is>
          <t>收入</t>
        </is>
      </c>
      <c r="C178" s="11" t="inlineStr">
        <is>
          <t>B01.18.01</t>
        </is>
      </c>
      <c r="D178" s="11" t="inlineStr">
        <is>
          <t xml:space="preserve">  联贷分成收入</t>
        </is>
      </c>
      <c r="F178" t="inlineStr">
        <is>
          <t>B01.18.01.01+B01.18.01.02+B01.18.01.03</t>
        </is>
      </c>
      <c r="H178" s="5">
        <f>H180+H182</f>
        <v/>
      </c>
      <c r="I178" s="5">
        <f>I180+I182</f>
        <v/>
      </c>
      <c r="M178" t="inlineStr">
        <is>
          <t>18.01</t>
        </is>
      </c>
    </row>
    <row r="179">
      <c r="A179" s="10" t="inlineStr">
        <is>
          <t>三级</t>
        </is>
      </c>
      <c r="B179" s="10" t="inlineStr">
        <is>
          <t>其他</t>
        </is>
      </c>
      <c r="C179" s="10" t="inlineStr">
        <is>
          <t>B01.18.01.01</t>
        </is>
      </c>
      <c r="D179" s="10" t="inlineStr">
        <is>
          <t xml:space="preserve">    联贷收益率</t>
        </is>
      </c>
      <c r="H179" s="5">
        <f>H178/H54</f>
        <v/>
      </c>
      <c r="I179" s="5">
        <f>I178/I54</f>
        <v/>
      </c>
      <c r="J179" s="5" t="inlineStr">
        <is>
          <t>率年化指标</t>
        </is>
      </c>
      <c r="M179" t="inlineStr">
        <is>
          <t>18.01.01</t>
        </is>
      </c>
      <c r="P179" t="inlineStr">
        <is>
          <t>WGT</t>
        </is>
      </c>
    </row>
    <row r="180">
      <c r="A180" s="10" t="inlineStr">
        <is>
          <t>三级</t>
        </is>
      </c>
      <c r="B180" s="10" t="inlineStr">
        <is>
          <t>收入</t>
        </is>
      </c>
      <c r="C180" s="10" t="inlineStr">
        <is>
          <t>B01.18.01.02</t>
        </is>
      </c>
      <c r="D180" s="10" t="inlineStr">
        <is>
          <t xml:space="preserve">    小微银银收入</t>
        </is>
      </c>
      <c r="F180" t="inlineStr">
        <is>
          <t>B01.18.01.02.01</t>
        </is>
      </c>
      <c r="M180" t="inlineStr">
        <is>
          <t>18.01.02</t>
        </is>
      </c>
    </row>
    <row r="181">
      <c r="A181" s="10" t="inlineStr">
        <is>
          <t>四级</t>
        </is>
      </c>
      <c r="B181" s="10" t="inlineStr">
        <is>
          <t>其他</t>
        </is>
      </c>
      <c r="C181" s="10" t="inlineStr">
        <is>
          <t>B01.18.01.02.01</t>
        </is>
      </c>
      <c r="D181" s="10" t="inlineStr">
        <is>
          <t xml:space="preserve">      小微银银收益率</t>
        </is>
      </c>
      <c r="H181" s="5">
        <f>H180/H54</f>
        <v/>
      </c>
      <c r="I181" s="5">
        <f>I180/I54</f>
        <v/>
      </c>
      <c r="J181" s="5" t="inlineStr">
        <is>
          <t>率年化指标</t>
        </is>
      </c>
      <c r="M181" t="inlineStr">
        <is>
          <t>18.01.02.01</t>
        </is>
      </c>
      <c r="P181" t="inlineStr">
        <is>
          <t>WGT</t>
        </is>
      </c>
    </row>
    <row r="182">
      <c r="A182" s="10" t="inlineStr">
        <is>
          <t>三级</t>
        </is>
      </c>
      <c r="B182" s="10" t="inlineStr">
        <is>
          <t>收入</t>
        </is>
      </c>
      <c r="C182" s="10" t="inlineStr">
        <is>
          <t>B01.18.01.03</t>
        </is>
      </c>
      <c r="D182" s="10" t="inlineStr">
        <is>
          <t xml:space="preserve">    冲销金额</t>
        </is>
      </c>
      <c r="M182" t="inlineStr">
        <is>
          <t>18.01.03</t>
        </is>
      </c>
      <c r="P182" t="inlineStr">
        <is>
          <t>SUM</t>
        </is>
      </c>
    </row>
    <row r="183">
      <c r="A183" s="11" t="inlineStr">
        <is>
          <t>二级</t>
        </is>
      </c>
      <c r="B183" s="11" t="inlineStr">
        <is>
          <t>收入</t>
        </is>
      </c>
      <c r="C183" s="11" t="inlineStr">
        <is>
          <t>B01.18.02</t>
        </is>
      </c>
      <c r="D183" s="11" t="inlineStr">
        <is>
          <t xml:space="preserve">  ABS收入</t>
        </is>
      </c>
      <c r="M183" t="inlineStr">
        <is>
          <t>18.02</t>
        </is>
      </c>
      <c r="P183" t="inlineStr">
        <is>
          <t>SUM</t>
        </is>
      </c>
    </row>
    <row r="184">
      <c r="A184" s="11" t="inlineStr">
        <is>
          <t>二级</t>
        </is>
      </c>
      <c r="B184" s="11" t="inlineStr">
        <is>
          <t>收入</t>
        </is>
      </c>
      <c r="C184" s="11" t="inlineStr">
        <is>
          <t>B01.18.03</t>
        </is>
      </c>
      <c r="D184" s="11" t="inlineStr">
        <is>
          <t xml:space="preserve">  ABN收入</t>
        </is>
      </c>
      <c r="M184" t="inlineStr">
        <is>
          <t>18.03</t>
        </is>
      </c>
      <c r="P184" t="inlineStr">
        <is>
          <t>SUM</t>
        </is>
      </c>
    </row>
    <row r="185">
      <c r="A185" s="11" t="inlineStr">
        <is>
          <t>二级</t>
        </is>
      </c>
      <c r="B185" s="11" t="inlineStr">
        <is>
          <t>收入</t>
        </is>
      </c>
      <c r="C185" s="11" t="inlineStr">
        <is>
          <t>B01.18.04</t>
        </is>
      </c>
      <c r="D185" s="11" t="inlineStr">
        <is>
          <t xml:space="preserve">  流量经营收入</t>
        </is>
      </c>
      <c r="M185" t="inlineStr">
        <is>
          <t>18.04</t>
        </is>
      </c>
      <c r="P185" t="inlineStr">
        <is>
          <t>SUM</t>
        </is>
      </c>
    </row>
    <row r="186">
      <c r="A186" s="11" t="inlineStr">
        <is>
          <t>二级</t>
        </is>
      </c>
      <c r="B186" s="11" t="inlineStr">
        <is>
          <t>收入</t>
        </is>
      </c>
      <c r="C186" s="11" t="inlineStr">
        <is>
          <t>B01.18.05</t>
        </is>
      </c>
      <c r="D186" s="11" t="inlineStr">
        <is>
          <t xml:space="preserve">  企金代销收入</t>
        </is>
      </c>
      <c r="F186" t="inlineStr">
        <is>
          <t>B01.18.05.01+B01.18.05.02</t>
        </is>
      </c>
      <c r="M186" t="inlineStr">
        <is>
          <t>18.05</t>
        </is>
      </c>
    </row>
    <row r="187">
      <c r="A187" s="10" t="inlineStr">
        <is>
          <t>三级</t>
        </is>
      </c>
      <c r="B187" s="10" t="inlineStr">
        <is>
          <t>收入</t>
        </is>
      </c>
      <c r="C187" s="10" t="inlineStr">
        <is>
          <t>B01.18.05.01</t>
        </is>
      </c>
      <c r="D187" s="10" t="inlineStr">
        <is>
          <t xml:space="preserve">    代销保险</t>
        </is>
      </c>
      <c r="M187" t="inlineStr">
        <is>
          <t>18.05.01</t>
        </is>
      </c>
      <c r="P187" t="inlineStr">
        <is>
          <t>SUM</t>
        </is>
      </c>
    </row>
    <row r="188">
      <c r="A188" s="10" t="inlineStr">
        <is>
          <t>三级</t>
        </is>
      </c>
      <c r="B188" s="10" t="inlineStr">
        <is>
          <t>收入</t>
        </is>
      </c>
      <c r="C188" s="10" t="inlineStr">
        <is>
          <t>B01.18.05.02</t>
        </is>
      </c>
      <c r="D188" s="10" t="inlineStr">
        <is>
          <t xml:space="preserve">    代销理财</t>
        </is>
      </c>
      <c r="M188" t="inlineStr">
        <is>
          <t>18.05.02</t>
        </is>
      </c>
      <c r="P188" t="inlineStr">
        <is>
          <t>SUM</t>
        </is>
      </c>
    </row>
    <row r="189">
      <c r="A189" s="11" t="inlineStr">
        <is>
          <t>二级</t>
        </is>
      </c>
      <c r="B189" s="11" t="inlineStr">
        <is>
          <t>收入</t>
        </is>
      </c>
      <c r="C189" s="11" t="inlineStr">
        <is>
          <t>B01.18.08</t>
        </is>
      </c>
      <c r="D189" s="11" t="inlineStr">
        <is>
          <t xml:space="preserve">  银承保函收入</t>
        </is>
      </c>
      <c r="M189" t="inlineStr">
        <is>
          <t>18.08</t>
        </is>
      </c>
      <c r="P189" t="inlineStr">
        <is>
          <t>SUM</t>
        </is>
      </c>
    </row>
    <row r="190">
      <c r="A190" s="11" t="inlineStr">
        <is>
          <t>二级</t>
        </is>
      </c>
      <c r="B190" s="11" t="inlineStr">
        <is>
          <t>收入</t>
        </is>
      </c>
      <c r="C190" s="11" t="inlineStr">
        <is>
          <t>B01.18.06</t>
        </is>
      </c>
      <c r="D190" s="11" t="inlineStr">
        <is>
          <t xml:space="preserve">  催收费收入</t>
        </is>
      </c>
      <c r="M190" t="inlineStr">
        <is>
          <t>18.06</t>
        </is>
      </c>
      <c r="P190" t="inlineStr">
        <is>
          <t>SUM</t>
        </is>
      </c>
    </row>
    <row r="191">
      <c r="A191" s="11" t="inlineStr">
        <is>
          <t>二级</t>
        </is>
      </c>
      <c r="B191" s="11" t="inlineStr">
        <is>
          <t>收入</t>
        </is>
      </c>
      <c r="C191" s="11" t="inlineStr">
        <is>
          <t>B01.18.99</t>
        </is>
      </c>
      <c r="D191" s="11" t="inlineStr">
        <is>
          <t xml:space="preserve">  其他</t>
        </is>
      </c>
      <c r="H191" s="5">
        <f>H177-H178-H183-H184-H185-H186-H189-H190</f>
        <v/>
      </c>
      <c r="M191" t="inlineStr">
        <is>
          <t>18.99</t>
        </is>
      </c>
      <c r="P191" t="inlineStr">
        <is>
          <t>SUM</t>
        </is>
      </c>
    </row>
    <row r="192">
      <c r="A192" s="10" t="n"/>
      <c r="B192" s="10" t="n"/>
      <c r="C192" s="10" t="n"/>
      <c r="D192" s="10" t="n"/>
    </row>
    <row r="193">
      <c r="A193" s="11" t="inlineStr">
        <is>
          <t>一级</t>
        </is>
      </c>
      <c r="B193" s="11" t="inlineStr">
        <is>
          <t>支出</t>
        </is>
      </c>
      <c r="C193" s="11" t="inlineStr">
        <is>
          <t>B01.19</t>
        </is>
      </c>
      <c r="D193" s="11" t="inlineStr">
        <is>
          <t>手续费支出</t>
        </is>
      </c>
      <c r="F193" t="inlineStr">
        <is>
          <t>B01.19.01+B01.19.02+B01.19.03+B01.19.04+B01.19.05+B01.19.14+B01.19.99</t>
        </is>
      </c>
      <c r="I193" s="5">
        <f>I194+I196+I198+I200+I201+I202+I204</f>
        <v/>
      </c>
      <c r="M193" t="inlineStr">
        <is>
          <t>19</t>
        </is>
      </c>
    </row>
    <row r="194">
      <c r="A194" s="11" t="inlineStr">
        <is>
          <t>二级</t>
        </is>
      </c>
      <c r="B194" s="11" t="inlineStr">
        <is>
          <t>支出</t>
        </is>
      </c>
      <c r="C194" s="11" t="inlineStr">
        <is>
          <t>B01.19.01</t>
        </is>
      </c>
      <c r="D194" s="11" t="inlineStr">
        <is>
          <t xml:space="preserve">  催收费</t>
        </is>
      </c>
      <c r="F194" t="inlineStr">
        <is>
          <t>B01.19.01.01</t>
        </is>
      </c>
      <c r="I194" s="5">
        <f>I46*I195</f>
        <v/>
      </c>
      <c r="J194" s="5" t="inlineStr">
        <is>
          <t>收支月化指标</t>
        </is>
      </c>
      <c r="M194" t="inlineStr">
        <is>
          <t>19.01</t>
        </is>
      </c>
    </row>
    <row r="195">
      <c r="A195" s="10" t="inlineStr">
        <is>
          <t>三级</t>
        </is>
      </c>
      <c r="B195" s="10" t="inlineStr">
        <is>
          <t>其他</t>
        </is>
      </c>
      <c r="C195" s="10" t="inlineStr">
        <is>
          <t>B01.19.01.01</t>
        </is>
      </c>
      <c r="D195" s="10" t="inlineStr">
        <is>
          <t xml:space="preserve">    费率</t>
        </is>
      </c>
      <c r="H195" s="5">
        <f>H194/H46</f>
        <v/>
      </c>
      <c r="J195" s="5" t="inlineStr">
        <is>
          <t>率年化指标</t>
        </is>
      </c>
      <c r="M195" t="inlineStr">
        <is>
          <t>19.01.01</t>
        </is>
      </c>
      <c r="P195" t="inlineStr">
        <is>
          <t>WGT</t>
        </is>
      </c>
    </row>
    <row r="196">
      <c r="A196" s="11" t="inlineStr">
        <is>
          <t>二级</t>
        </is>
      </c>
      <c r="B196" s="11" t="inlineStr">
        <is>
          <t>支出</t>
        </is>
      </c>
      <c r="C196" s="11" t="inlineStr">
        <is>
          <t>B01.19.02</t>
        </is>
      </c>
      <c r="D196" s="11" t="inlineStr">
        <is>
          <t xml:space="preserve">  征信费</t>
        </is>
      </c>
      <c r="F196" t="inlineStr">
        <is>
          <t>B01.19.02.01</t>
        </is>
      </c>
      <c r="I196" s="5">
        <f>I46*I197</f>
        <v/>
      </c>
      <c r="J196" s="5" t="inlineStr">
        <is>
          <t>收支月化指标</t>
        </is>
      </c>
      <c r="M196" t="inlineStr">
        <is>
          <t>19.02</t>
        </is>
      </c>
    </row>
    <row r="197">
      <c r="A197" s="10" t="inlineStr">
        <is>
          <t>三级</t>
        </is>
      </c>
      <c r="B197" s="10" t="inlineStr">
        <is>
          <t>其他</t>
        </is>
      </c>
      <c r="C197" s="10" t="inlineStr">
        <is>
          <t>B01.19.02.01</t>
        </is>
      </c>
      <c r="D197" s="10" t="inlineStr">
        <is>
          <t xml:space="preserve">    费率</t>
        </is>
      </c>
      <c r="H197" s="5">
        <f>H196/H46</f>
        <v/>
      </c>
      <c r="J197" s="5" t="inlineStr">
        <is>
          <t>率年化指标</t>
        </is>
      </c>
      <c r="M197" t="inlineStr">
        <is>
          <t>19.02.01</t>
        </is>
      </c>
      <c r="P197" t="inlineStr">
        <is>
          <t>WGT</t>
        </is>
      </c>
    </row>
    <row r="198">
      <c r="A198" s="7" t="inlineStr">
        <is>
          <t>二级</t>
        </is>
      </c>
      <c r="B198" s="11" t="inlineStr">
        <is>
          <t>支出</t>
        </is>
      </c>
      <c r="C198" s="11" t="inlineStr">
        <is>
          <t>B01.19.03</t>
        </is>
      </c>
      <c r="D198" s="7" t="inlineStr">
        <is>
          <t xml:space="preserve">  清算费</t>
        </is>
      </c>
      <c r="F198" t="inlineStr">
        <is>
          <t>B01.19.03.01</t>
        </is>
      </c>
      <c r="I198" s="5">
        <f>I46*I199</f>
        <v/>
      </c>
      <c r="J198" s="5" t="inlineStr">
        <is>
          <t>收支月化指标</t>
        </is>
      </c>
      <c r="M198" t="inlineStr">
        <is>
          <t>19.03</t>
        </is>
      </c>
    </row>
    <row r="199">
      <c r="A199" s="1" t="inlineStr">
        <is>
          <t>三级</t>
        </is>
      </c>
      <c r="B199" s="10" t="inlineStr">
        <is>
          <t>其他</t>
        </is>
      </c>
      <c r="C199" s="10" t="inlineStr">
        <is>
          <t>B01.19.03.01</t>
        </is>
      </c>
      <c r="D199" s="1" t="inlineStr">
        <is>
          <t xml:space="preserve">    费率</t>
        </is>
      </c>
      <c r="H199" s="5">
        <f>H198/H46</f>
        <v/>
      </c>
      <c r="J199" s="5" t="inlineStr">
        <is>
          <t>率年化指标</t>
        </is>
      </c>
      <c r="M199" t="inlineStr">
        <is>
          <t>19.03.01</t>
        </is>
      </c>
      <c r="P199" t="inlineStr">
        <is>
          <t>WGT</t>
        </is>
      </c>
    </row>
    <row r="200">
      <c r="A200" s="11" t="inlineStr">
        <is>
          <t>二级</t>
        </is>
      </c>
      <c r="B200" s="11" t="inlineStr">
        <is>
          <t>支出</t>
        </is>
      </c>
      <c r="C200" s="11" t="inlineStr">
        <is>
          <t>B01.19.04</t>
        </is>
      </c>
      <c r="D200" s="11" t="inlineStr">
        <is>
          <t xml:space="preserve">  代偿保费</t>
        </is>
      </c>
      <c r="M200" t="inlineStr">
        <is>
          <t>19.04</t>
        </is>
      </c>
      <c r="P200" t="inlineStr">
        <is>
          <t>SUM</t>
        </is>
      </c>
    </row>
    <row r="201">
      <c r="A201" s="11" t="inlineStr">
        <is>
          <t>二级</t>
        </is>
      </c>
      <c r="B201" s="11" t="inlineStr">
        <is>
          <t>支出</t>
        </is>
      </c>
      <c r="C201" s="11" t="inlineStr">
        <is>
          <t>B01.19.05</t>
        </is>
      </c>
      <c r="D201" s="11" t="inlineStr">
        <is>
          <t xml:space="preserve">  担保费用</t>
        </is>
      </c>
      <c r="M201" t="inlineStr">
        <is>
          <t>19.05</t>
        </is>
      </c>
      <c r="P201" t="inlineStr">
        <is>
          <t>SUM</t>
        </is>
      </c>
    </row>
    <row r="202">
      <c r="A202" s="11" t="inlineStr">
        <is>
          <t>二级</t>
        </is>
      </c>
      <c r="B202" s="11" t="inlineStr">
        <is>
          <t>支出</t>
        </is>
      </c>
      <c r="C202" s="11" t="inlineStr">
        <is>
          <t>B01.19.14</t>
        </is>
      </c>
      <c r="D202" s="11" t="inlineStr">
        <is>
          <t xml:space="preserve">  渠道费</t>
        </is>
      </c>
      <c r="F202" t="inlineStr">
        <is>
          <t>B01.19.14.01</t>
        </is>
      </c>
      <c r="I202" s="5">
        <f>I46*I203</f>
        <v/>
      </c>
      <c r="J202" s="5" t="inlineStr">
        <is>
          <t>收支月化指标</t>
        </is>
      </c>
      <c r="M202" t="inlineStr">
        <is>
          <t>19.14</t>
        </is>
      </c>
    </row>
    <row r="203">
      <c r="A203" s="10" t="inlineStr">
        <is>
          <t>三级</t>
        </is>
      </c>
      <c r="B203" s="10" t="inlineStr">
        <is>
          <t>其他</t>
        </is>
      </c>
      <c r="C203" s="10" t="inlineStr">
        <is>
          <t>B01.19.14.01</t>
        </is>
      </c>
      <c r="D203" s="10" t="inlineStr">
        <is>
          <t xml:space="preserve">    渠道费率</t>
        </is>
      </c>
      <c r="H203" s="5">
        <f>H202/H46</f>
        <v/>
      </c>
      <c r="J203" s="5" t="inlineStr">
        <is>
          <t>率年化指标</t>
        </is>
      </c>
      <c r="M203" t="inlineStr">
        <is>
          <t>19.14.01</t>
        </is>
      </c>
      <c r="P203" t="inlineStr">
        <is>
          <t>WGT</t>
        </is>
      </c>
    </row>
    <row r="204">
      <c r="A204" s="11" t="inlineStr">
        <is>
          <t>二级</t>
        </is>
      </c>
      <c r="B204" s="11" t="inlineStr">
        <is>
          <t>支出</t>
        </is>
      </c>
      <c r="C204" s="11" t="inlineStr">
        <is>
          <t>B01.19.99</t>
        </is>
      </c>
      <c r="D204" s="11" t="inlineStr">
        <is>
          <t xml:space="preserve">  其他</t>
        </is>
      </c>
      <c r="H204" s="5">
        <f>H193-H194-H196-H198-H200-H201-H202</f>
        <v/>
      </c>
      <c r="M204" t="inlineStr">
        <is>
          <t>19.99</t>
        </is>
      </c>
      <c r="P204" t="inlineStr">
        <is>
          <t>SUM</t>
        </is>
      </c>
    </row>
    <row r="205">
      <c r="A205" s="10" t="n"/>
      <c r="B205" s="10" t="n"/>
      <c r="C205" s="10" t="n"/>
      <c r="D205" s="10" t="n"/>
    </row>
    <row r="206">
      <c r="A206" s="11" t="inlineStr">
        <is>
          <t>一级</t>
        </is>
      </c>
      <c r="B206" s="11" t="inlineStr">
        <is>
          <t>收入</t>
        </is>
      </c>
      <c r="C206" s="11" t="inlineStr">
        <is>
          <t>B01.20</t>
        </is>
      </c>
      <c r="D206" s="11" t="inlineStr">
        <is>
          <t>其他外部营收</t>
        </is>
      </c>
      <c r="F206" t="inlineStr">
        <is>
          <t>B01.20.01+B01.20.02</t>
        </is>
      </c>
      <c r="H206" s="5">
        <f>H207+H208</f>
        <v/>
      </c>
      <c r="I206" s="5">
        <f>I207+I208</f>
        <v/>
      </c>
      <c r="M206" t="inlineStr">
        <is>
          <t>20</t>
        </is>
      </c>
    </row>
    <row r="207">
      <c r="A207" s="10" t="inlineStr">
        <is>
          <t>二级</t>
        </is>
      </c>
      <c r="B207" s="10" t="inlineStr">
        <is>
          <t>收入</t>
        </is>
      </c>
      <c r="C207" s="10" t="inlineStr">
        <is>
          <t>B01.20.01</t>
        </is>
      </c>
      <c r="D207" s="10" t="inlineStr">
        <is>
          <t xml:space="preserve">  票据转贴现</t>
        </is>
      </c>
      <c r="M207" t="inlineStr">
        <is>
          <t>20.01</t>
        </is>
      </c>
      <c r="P207" t="inlineStr">
        <is>
          <t>SUM</t>
        </is>
      </c>
    </row>
    <row r="208">
      <c r="A208" s="10" t="inlineStr">
        <is>
          <t>二级</t>
        </is>
      </c>
      <c r="B208" s="10" t="inlineStr">
        <is>
          <t>收入</t>
        </is>
      </c>
      <c r="C208" s="10" t="inlineStr">
        <is>
          <t>B01.20.02</t>
        </is>
      </c>
      <c r="D208" s="10" t="inlineStr">
        <is>
          <t xml:space="preserve">  小微激励金</t>
        </is>
      </c>
      <c r="M208" t="inlineStr">
        <is>
          <t>20.02</t>
        </is>
      </c>
      <c r="P208" t="inlineStr">
        <is>
          <t>SUM</t>
        </is>
      </c>
    </row>
    <row r="209">
      <c r="A209" s="10" t="n"/>
      <c r="B209" s="10" t="n"/>
      <c r="C209" s="10" t="n"/>
      <c r="D209" s="10" t="n"/>
    </row>
    <row r="210">
      <c r="A210" s="11" t="inlineStr">
        <is>
          <t>一级</t>
        </is>
      </c>
      <c r="B210" s="11" t="inlineStr">
        <is>
          <t>收入</t>
        </is>
      </c>
      <c r="C210" s="11" t="inlineStr">
        <is>
          <t>B01.21</t>
        </is>
      </c>
      <c r="D210" s="11" t="inlineStr">
        <is>
          <t>内部营业净收入</t>
        </is>
      </c>
      <c r="M210" t="inlineStr">
        <is>
          <t>21</t>
        </is>
      </c>
      <c r="P210" t="inlineStr">
        <is>
          <t>SUM</t>
        </is>
      </c>
    </row>
    <row r="211">
      <c r="A211" s="10" t="n"/>
      <c r="B211" s="10" t="n"/>
      <c r="C211" s="10" t="n"/>
      <c r="D211" s="10" t="n"/>
    </row>
    <row r="212"/>
    <row r="213">
      <c r="A213" t="inlineStr">
        <is>
          <t>层级</t>
        </is>
      </c>
      <c r="B213" t="inlineStr">
        <is>
          <t>性质</t>
        </is>
      </c>
      <c r="C213" t="inlineStr">
        <is>
          <t>科目代码</t>
        </is>
      </c>
      <c r="D213" t="inlineStr">
        <is>
          <t>科目名称</t>
        </is>
      </c>
      <c r="E213" t="inlineStr">
        <is>
          <t>录入粒度</t>
        </is>
      </c>
      <c r="F213" t="inlineStr">
        <is>
          <t>年预算公式</t>
        </is>
      </c>
      <c r="J213" t="inlineStr">
        <is>
          <t>公式说明</t>
        </is>
      </c>
      <c r="K213" t="inlineStr">
        <is>
          <t>横向汇总</t>
        </is>
      </c>
    </row>
    <row r="214">
      <c r="A214" t="inlineStr">
        <is>
          <t>一级</t>
        </is>
      </c>
      <c r="B214" t="inlineStr">
        <is>
          <t>支出</t>
        </is>
      </c>
      <c r="C214" t="inlineStr">
        <is>
          <t>B01.90</t>
        </is>
      </c>
      <c r="D214" t="inlineStr">
        <is>
          <t>减:业务及管理费</t>
        </is>
      </c>
      <c r="F214" t="inlineStr">
        <is>
          <t>B01.90.01+B01.90.03</t>
        </is>
      </c>
      <c r="K214" t="inlineStr">
        <is>
          <t>是</t>
        </is>
      </c>
      <c r="M214" t="inlineStr">
        <is>
          <t>05</t>
        </is>
      </c>
    </row>
    <row r="215">
      <c r="A215" t="inlineStr">
        <is>
          <t>二级</t>
        </is>
      </c>
      <c r="B215" t="inlineStr">
        <is>
          <t>支出</t>
        </is>
      </c>
      <c r="C215" t="inlineStr">
        <is>
          <t>B01.90.01</t>
        </is>
      </c>
      <c r="D215" t="inlineStr">
        <is>
          <t>直接费用</t>
        </is>
      </c>
      <c r="F215" t="inlineStr">
        <is>
          <t>B01.90.01.01+B01.90.01.02</t>
        </is>
      </c>
      <c r="K215" t="inlineStr">
        <is>
          <t>是</t>
        </is>
      </c>
      <c r="M215" t="inlineStr">
        <is>
          <t>05.01</t>
        </is>
      </c>
    </row>
    <row r="216">
      <c r="A216" t="inlineStr">
        <is>
          <t>三级</t>
        </is>
      </c>
      <c r="B216" t="inlineStr">
        <is>
          <t>支出</t>
        </is>
      </c>
      <c r="C216" t="inlineStr">
        <is>
          <t>B01.90.01.01</t>
        </is>
      </c>
      <c r="D216" t="inlineStr">
        <is>
          <t>直接费用</t>
        </is>
      </c>
      <c r="F216" t="inlineStr">
        <is>
          <t>B01.90.01.01.01+B01.90.01.01.02+B01.90.01.01.03+B01.90.01.01.04.001+B01.90.01.01.05.001</t>
        </is>
      </c>
      <c r="K216" t="inlineStr">
        <is>
          <t>是</t>
        </is>
      </c>
      <c r="M216" t="inlineStr">
        <is>
          <t>05.01.01</t>
        </is>
      </c>
    </row>
    <row r="217">
      <c r="A217" t="inlineStr">
        <is>
          <t>四级</t>
        </is>
      </c>
      <c r="B217" t="inlineStr">
        <is>
          <t>支出</t>
        </is>
      </c>
      <c r="C217" t="inlineStr">
        <is>
          <t>B01.90.01.01.01</t>
        </is>
      </c>
      <c r="D217" t="inlineStr">
        <is>
          <t>人力（不含IT)</t>
        </is>
      </c>
      <c r="F217" t="inlineStr">
        <is>
          <t>B01.90.01.01.01.001+B01.90.01.01.01.002</t>
        </is>
      </c>
      <c r="K217" t="inlineStr">
        <is>
          <t>是</t>
        </is>
      </c>
      <c r="M217" t="inlineStr">
        <is>
          <t>05.01.01.01</t>
        </is>
      </c>
    </row>
    <row r="218">
      <c r="A218" t="inlineStr">
        <is>
          <t>五级</t>
        </is>
      </c>
      <c r="B218" t="inlineStr">
        <is>
          <t>支出</t>
        </is>
      </c>
      <c r="C218" t="inlineStr">
        <is>
          <t>B01.90.01.01.01.001</t>
        </is>
      </c>
      <c r="D218" t="inlineStr">
        <is>
          <t>业务人力</t>
        </is>
      </c>
      <c r="K218" t="inlineStr">
        <is>
          <t>是</t>
        </is>
      </c>
      <c r="M218" t="inlineStr">
        <is>
          <t>05.01.01.01.001</t>
        </is>
      </c>
      <c r="N218" t="inlineStr">
        <is>
          <t>SUM</t>
        </is>
      </c>
    </row>
    <row r="219">
      <c r="A219" t="inlineStr">
        <is>
          <t>五级</t>
        </is>
      </c>
      <c r="B219" t="inlineStr">
        <is>
          <t>支出</t>
        </is>
      </c>
      <c r="C219" t="inlineStr">
        <is>
          <t>B01.90.01.01.01.002</t>
        </is>
      </c>
      <c r="D219" t="inlineStr">
        <is>
          <t>特别人力</t>
        </is>
      </c>
      <c r="K219" t="inlineStr">
        <is>
          <t>是</t>
        </is>
      </c>
      <c r="M219" t="inlineStr">
        <is>
          <t>05.01.01.01.002</t>
        </is>
      </c>
      <c r="N219" t="inlineStr">
        <is>
          <t>SUM</t>
        </is>
      </c>
    </row>
    <row r="220">
      <c r="A220" t="inlineStr">
        <is>
          <t>四级</t>
        </is>
      </c>
      <c r="B220" t="inlineStr">
        <is>
          <t>支出</t>
        </is>
      </c>
      <c r="C220" t="inlineStr">
        <is>
          <t>B01.90.01.01.02</t>
        </is>
      </c>
      <c r="D220" t="inlineStr">
        <is>
          <t>业务费用</t>
        </is>
      </c>
      <c r="F220" t="inlineStr">
        <is>
          <t>B01.90.01.01.02.001+B01.90.01.01.02.002</t>
        </is>
      </c>
      <c r="K220" t="inlineStr">
        <is>
          <t>是</t>
        </is>
      </c>
      <c r="M220" t="inlineStr">
        <is>
          <t>05.01.01.02</t>
        </is>
      </c>
    </row>
    <row r="221">
      <c r="A221" t="inlineStr">
        <is>
          <t>五级</t>
        </is>
      </c>
      <c r="B221" t="inlineStr">
        <is>
          <t>支出</t>
        </is>
      </c>
      <c r="C221" t="inlineStr">
        <is>
          <t>B01.90.01.01.02.001</t>
        </is>
      </c>
      <c r="D221" t="inlineStr">
        <is>
          <t>营销</t>
        </is>
      </c>
      <c r="K221" t="inlineStr">
        <is>
          <t>是</t>
        </is>
      </c>
      <c r="M221" t="inlineStr">
        <is>
          <t>05.01.01.02.001</t>
        </is>
      </c>
      <c r="N221" t="inlineStr">
        <is>
          <t>SUM</t>
        </is>
      </c>
    </row>
    <row r="222">
      <c r="A222" t="inlineStr">
        <is>
          <t>五级</t>
        </is>
      </c>
      <c r="B222" t="inlineStr">
        <is>
          <t>支出</t>
        </is>
      </c>
      <c r="C222" t="inlineStr">
        <is>
          <t>B01.90.01.01.02.002</t>
        </is>
      </c>
      <c r="D222" t="inlineStr">
        <is>
          <t>运营</t>
        </is>
      </c>
      <c r="K222" t="inlineStr">
        <is>
          <t>是</t>
        </is>
      </c>
      <c r="M222" t="inlineStr">
        <is>
          <t>05.01.01.02.002</t>
        </is>
      </c>
      <c r="N222" t="inlineStr">
        <is>
          <t>SUM</t>
        </is>
      </c>
    </row>
    <row r="223">
      <c r="A223" t="inlineStr">
        <is>
          <t>四级</t>
        </is>
      </c>
      <c r="B223" t="inlineStr">
        <is>
          <t>支出</t>
        </is>
      </c>
      <c r="C223" t="inlineStr">
        <is>
          <t>B01.90.01.01.03</t>
        </is>
      </c>
      <c r="D223" t="inlineStr">
        <is>
          <t>IT</t>
        </is>
      </c>
      <c r="F223" t="inlineStr">
        <is>
          <t>B01.90.01.01.03.01+B01.90.01.01.03.02.001+B01.90.01.01.03.03.001+B01.90.01.01.03.04.001</t>
        </is>
      </c>
      <c r="K223" t="inlineStr">
        <is>
          <t>是</t>
        </is>
      </c>
      <c r="M223" t="inlineStr">
        <is>
          <t>05.01.01.03</t>
        </is>
      </c>
    </row>
    <row r="224">
      <c r="A224" t="inlineStr">
        <is>
          <t>五级</t>
        </is>
      </c>
      <c r="B224" t="inlineStr">
        <is>
          <t>支出</t>
        </is>
      </c>
      <c r="C224" t="inlineStr">
        <is>
          <t>B01.90.01.01.03.01</t>
        </is>
      </c>
      <c r="D224" t="inlineStr">
        <is>
          <t>IT人力</t>
        </is>
      </c>
      <c r="F224" t="inlineStr">
        <is>
          <t>B01.90.01.01.03.01.001+B01.90.01.01.03.01.002</t>
        </is>
      </c>
      <c r="K224" t="inlineStr">
        <is>
          <t>是</t>
        </is>
      </c>
      <c r="M224" t="inlineStr">
        <is>
          <t>05.01.01.03.01</t>
        </is>
      </c>
    </row>
    <row r="225">
      <c r="A225" t="inlineStr">
        <is>
          <t>六级</t>
        </is>
      </c>
      <c r="B225" t="inlineStr">
        <is>
          <t>支出</t>
        </is>
      </c>
      <c r="C225" t="inlineStr">
        <is>
          <t>B01.90.01.01.03.01.001</t>
        </is>
      </c>
      <c r="D225" t="inlineStr">
        <is>
          <t>IT常规人力</t>
        </is>
      </c>
      <c r="K225" t="inlineStr">
        <is>
          <t>是</t>
        </is>
      </c>
      <c r="M225" t="inlineStr">
        <is>
          <t>05.01.01.03.01.001</t>
        </is>
      </c>
      <c r="N225" t="inlineStr">
        <is>
          <t>SUM</t>
        </is>
      </c>
    </row>
    <row r="226">
      <c r="A226" t="inlineStr">
        <is>
          <t>六级</t>
        </is>
      </c>
      <c r="B226" t="inlineStr">
        <is>
          <t>支出</t>
        </is>
      </c>
      <c r="C226" t="inlineStr">
        <is>
          <t>B01.90.01.01.03.01.002</t>
        </is>
      </c>
      <c r="D226" t="inlineStr">
        <is>
          <t>IT特别人力</t>
        </is>
      </c>
      <c r="K226" t="inlineStr">
        <is>
          <t>是</t>
        </is>
      </c>
      <c r="M226" t="inlineStr">
        <is>
          <t>05.01.01.03.01.002</t>
        </is>
      </c>
      <c r="N226" t="inlineStr">
        <is>
          <t>SUM</t>
        </is>
      </c>
    </row>
    <row r="227">
      <c r="A227" t="inlineStr">
        <is>
          <t>五级</t>
        </is>
      </c>
      <c r="B227" t="inlineStr">
        <is>
          <t>支出</t>
        </is>
      </c>
      <c r="C227" t="inlineStr">
        <is>
          <t>B01.90.01.01.03.02</t>
        </is>
      </c>
      <c r="D227" t="inlineStr">
        <is>
          <t>科技</t>
        </is>
      </c>
      <c r="K227" t="inlineStr">
        <is>
          <t>是</t>
        </is>
      </c>
      <c r="M227" t="inlineStr">
        <is>
          <t>05.01.01.03.02</t>
        </is>
      </c>
      <c r="N227" t="inlineStr">
        <is>
          <t>SUM</t>
        </is>
      </c>
    </row>
    <row r="228">
      <c r="A228" t="inlineStr">
        <is>
          <t>五级</t>
        </is>
      </c>
      <c r="B228" t="inlineStr">
        <is>
          <t>支出</t>
        </is>
      </c>
      <c r="C228" t="inlineStr">
        <is>
          <t>B01.90.01.01.03.03</t>
        </is>
      </c>
      <c r="D228" t="inlineStr">
        <is>
          <t>IT职场</t>
        </is>
      </c>
      <c r="K228" t="inlineStr">
        <is>
          <t>是</t>
        </is>
      </c>
      <c r="M228" t="inlineStr">
        <is>
          <t>05.01.01.03.03</t>
        </is>
      </c>
      <c r="N228" t="inlineStr">
        <is>
          <t>SUM</t>
        </is>
      </c>
    </row>
    <row r="229">
      <c r="A229" t="inlineStr">
        <is>
          <t>五级</t>
        </is>
      </c>
      <c r="B229" t="inlineStr">
        <is>
          <t>支出</t>
        </is>
      </c>
      <c r="C229" t="inlineStr">
        <is>
          <t>B01.90.01.01.03.04</t>
        </is>
      </c>
      <c r="D229" t="inlineStr">
        <is>
          <t>IT日常</t>
        </is>
      </c>
      <c r="K229" t="inlineStr">
        <is>
          <t>是</t>
        </is>
      </c>
      <c r="M229" t="inlineStr">
        <is>
          <t>05.01.01.03.04</t>
        </is>
      </c>
      <c r="N229" t="inlineStr">
        <is>
          <t>SUM</t>
        </is>
      </c>
    </row>
    <row r="230">
      <c r="A230" t="inlineStr">
        <is>
          <t>四级</t>
        </is>
      </c>
      <c r="B230" t="inlineStr">
        <is>
          <t>支出</t>
        </is>
      </c>
      <c r="C230" t="inlineStr">
        <is>
          <t>B01.90.01.01.04</t>
        </is>
      </c>
      <c r="D230" t="inlineStr">
        <is>
          <t>AA.05.01.01.04</t>
        </is>
      </c>
      <c r="F230" t="inlineStr">
        <is>
          <t>B01.90.01.01.04.001</t>
        </is>
      </c>
      <c r="K230" t="inlineStr">
        <is>
          <t>是</t>
        </is>
      </c>
      <c r="M230" t="inlineStr">
        <is>
          <t>05.01.01.04</t>
        </is>
      </c>
      <c r="N230" t="inlineStr">
        <is>
          <t>SUM</t>
        </is>
      </c>
    </row>
    <row r="231">
      <c r="A231" t="inlineStr">
        <is>
          <t>五级</t>
        </is>
      </c>
      <c r="B231" t="inlineStr">
        <is>
          <t>支出</t>
        </is>
      </c>
      <c r="C231" t="inlineStr">
        <is>
          <t>B01.90.01.01.04.001</t>
        </is>
      </c>
      <c r="D231" t="inlineStr">
        <is>
          <t>职场</t>
        </is>
      </c>
      <c r="K231" t="inlineStr">
        <is>
          <t>是</t>
        </is>
      </c>
      <c r="M231" t="inlineStr">
        <is>
          <t>05.01.01.04.001</t>
        </is>
      </c>
      <c r="N231" t="inlineStr">
        <is>
          <t>SUM</t>
        </is>
      </c>
    </row>
    <row r="232">
      <c r="A232" t="inlineStr">
        <is>
          <t>四级</t>
        </is>
      </c>
      <c r="B232" t="inlineStr">
        <is>
          <t>支出</t>
        </is>
      </c>
      <c r="C232" t="inlineStr">
        <is>
          <t>B01.90.01.01.05</t>
        </is>
      </c>
      <c r="D232" t="inlineStr">
        <is>
          <t>AA.05.01.01.05</t>
        </is>
      </c>
      <c r="F232" t="inlineStr">
        <is>
          <t>B01.90.01.01.05.001</t>
        </is>
      </c>
      <c r="K232" t="inlineStr">
        <is>
          <t>是</t>
        </is>
      </c>
      <c r="M232" t="inlineStr">
        <is>
          <t>05.01.01.05</t>
        </is>
      </c>
      <c r="N232" t="inlineStr">
        <is>
          <t>SUM</t>
        </is>
      </c>
    </row>
    <row r="233">
      <c r="A233" t="inlineStr">
        <is>
          <t>五级</t>
        </is>
      </c>
      <c r="B233" t="inlineStr">
        <is>
          <t>支出</t>
        </is>
      </c>
      <c r="C233" t="inlineStr">
        <is>
          <t>B01.90.01.01.05.001</t>
        </is>
      </c>
      <c r="D233" t="inlineStr">
        <is>
          <t>日常</t>
        </is>
      </c>
      <c r="K233" t="inlineStr">
        <is>
          <t>是</t>
        </is>
      </c>
      <c r="M233" t="inlineStr">
        <is>
          <t>05.01.01.05.001</t>
        </is>
      </c>
      <c r="N233" t="inlineStr">
        <is>
          <t>SUM</t>
        </is>
      </c>
    </row>
    <row r="234">
      <c r="A234" t="inlineStr">
        <is>
          <t>三级</t>
        </is>
      </c>
      <c r="B234" t="inlineStr">
        <is>
          <t>支出</t>
        </is>
      </c>
      <c r="C234" t="inlineStr">
        <is>
          <t>B01.90.01.02</t>
        </is>
      </c>
      <c r="D234" t="inlineStr">
        <is>
          <t>间接费用</t>
        </is>
      </c>
      <c r="F234" t="inlineStr">
        <is>
          <t>B01.90.01.02.01+B01.90.01.02.02+B01.90.01.02.03+B01.90.01.02.04.001+B01.90.01.02.05.001</t>
        </is>
      </c>
      <c r="K234" t="inlineStr">
        <is>
          <t>是</t>
        </is>
      </c>
      <c r="M234" t="inlineStr">
        <is>
          <t>05.01.02</t>
        </is>
      </c>
    </row>
    <row r="235">
      <c r="A235" t="inlineStr">
        <is>
          <t>四级</t>
        </is>
      </c>
      <c r="B235" t="inlineStr">
        <is>
          <t>支出</t>
        </is>
      </c>
      <c r="C235" t="inlineStr">
        <is>
          <t>B01.90.01.02.01</t>
        </is>
      </c>
      <c r="D235" t="inlineStr">
        <is>
          <t>人力（不含IT)</t>
        </is>
      </c>
      <c r="F235" t="inlineStr">
        <is>
          <t>B01.90.01.02.01.001+B01.90.01.02.01.002</t>
        </is>
      </c>
      <c r="K235" t="inlineStr">
        <is>
          <t>是</t>
        </is>
      </c>
      <c r="M235" t="inlineStr">
        <is>
          <t>05.01.02.01</t>
        </is>
      </c>
    </row>
    <row r="236">
      <c r="A236" t="inlineStr">
        <is>
          <t>五级</t>
        </is>
      </c>
      <c r="B236" t="inlineStr">
        <is>
          <t>支出</t>
        </is>
      </c>
      <c r="C236" t="inlineStr">
        <is>
          <t>B01.90.01.02.01.001</t>
        </is>
      </c>
      <c r="D236" t="inlineStr">
        <is>
          <t>业务人力</t>
        </is>
      </c>
      <c r="K236" t="inlineStr">
        <is>
          <t>是</t>
        </is>
      </c>
      <c r="M236" t="inlineStr">
        <is>
          <t>05.01.02.01.001</t>
        </is>
      </c>
      <c r="N236" t="inlineStr">
        <is>
          <t>SUM</t>
        </is>
      </c>
    </row>
    <row r="237">
      <c r="A237" t="inlineStr">
        <is>
          <t>五级</t>
        </is>
      </c>
      <c r="B237" t="inlineStr">
        <is>
          <t>支出</t>
        </is>
      </c>
      <c r="C237" t="inlineStr">
        <is>
          <t>B01.90.01.02.01.002</t>
        </is>
      </c>
      <c r="D237" t="inlineStr">
        <is>
          <t>特别人力</t>
        </is>
      </c>
      <c r="K237" t="inlineStr">
        <is>
          <t>是</t>
        </is>
      </c>
      <c r="M237" t="inlineStr">
        <is>
          <t>05.01.02.01.002</t>
        </is>
      </c>
      <c r="N237" t="inlineStr">
        <is>
          <t>SUM</t>
        </is>
      </c>
    </row>
    <row r="238">
      <c r="A238" t="inlineStr">
        <is>
          <t>四级</t>
        </is>
      </c>
      <c r="B238" t="inlineStr">
        <is>
          <t>支出</t>
        </is>
      </c>
      <c r="C238" t="inlineStr">
        <is>
          <t>B01.90.01.02.02</t>
        </is>
      </c>
      <c r="D238" t="inlineStr">
        <is>
          <t>业务费用</t>
        </is>
      </c>
      <c r="F238" t="inlineStr">
        <is>
          <t>B01.90.01.02.02.001+B01.90.01.02.02.002</t>
        </is>
      </c>
      <c r="K238" t="inlineStr">
        <is>
          <t>是</t>
        </is>
      </c>
      <c r="M238" t="inlineStr">
        <is>
          <t>05.01.02.02</t>
        </is>
      </c>
    </row>
    <row r="239">
      <c r="A239" t="inlineStr">
        <is>
          <t>五级</t>
        </is>
      </c>
      <c r="B239" t="inlineStr">
        <is>
          <t>支出</t>
        </is>
      </c>
      <c r="C239" t="inlineStr">
        <is>
          <t>B01.90.01.02.02.001</t>
        </is>
      </c>
      <c r="D239" t="inlineStr">
        <is>
          <t>营销</t>
        </is>
      </c>
      <c r="K239" t="inlineStr">
        <is>
          <t>是</t>
        </is>
      </c>
      <c r="M239" t="inlineStr">
        <is>
          <t>05.01.02.02.001</t>
        </is>
      </c>
      <c r="N239" t="inlineStr">
        <is>
          <t>SUM</t>
        </is>
      </c>
    </row>
    <row r="240">
      <c r="A240" t="inlineStr">
        <is>
          <t>五级</t>
        </is>
      </c>
      <c r="B240" t="inlineStr">
        <is>
          <t>支出</t>
        </is>
      </c>
      <c r="C240" t="inlineStr">
        <is>
          <t>B01.90.01.02.02.002</t>
        </is>
      </c>
      <c r="D240" t="inlineStr">
        <is>
          <t>运营</t>
        </is>
      </c>
      <c r="K240" t="inlineStr">
        <is>
          <t>是</t>
        </is>
      </c>
      <c r="M240" t="inlineStr">
        <is>
          <t>05.01.02.02.002</t>
        </is>
      </c>
      <c r="N240" t="inlineStr">
        <is>
          <t>SUM</t>
        </is>
      </c>
    </row>
    <row r="241">
      <c r="A241" t="inlineStr">
        <is>
          <t>四级</t>
        </is>
      </c>
      <c r="B241" t="inlineStr">
        <is>
          <t>支出</t>
        </is>
      </c>
      <c r="C241" t="inlineStr">
        <is>
          <t>B01.90.01.02.03</t>
        </is>
      </c>
      <c r="D241" t="inlineStr">
        <is>
          <t>IT</t>
        </is>
      </c>
      <c r="F241" t="inlineStr">
        <is>
          <t>B01.90.01.02.03.01+B01.90.01.02.03.02.001+B01.90.01.02.03.03.001+B01.90.01.02.03.04.001</t>
        </is>
      </c>
      <c r="K241" t="inlineStr">
        <is>
          <t>是</t>
        </is>
      </c>
      <c r="M241" t="inlineStr">
        <is>
          <t>05.01.02.03</t>
        </is>
      </c>
    </row>
    <row r="242">
      <c r="A242" t="inlineStr">
        <is>
          <t>五级</t>
        </is>
      </c>
      <c r="B242" t="inlineStr">
        <is>
          <t>支出</t>
        </is>
      </c>
      <c r="C242" t="inlineStr">
        <is>
          <t>B01.90.01.02.03.01</t>
        </is>
      </c>
      <c r="D242" t="inlineStr">
        <is>
          <t>IT人力</t>
        </is>
      </c>
      <c r="F242" t="inlineStr">
        <is>
          <t>B01.90.01.02.03.01.001+B01.90.01.02.03.01.002</t>
        </is>
      </c>
      <c r="K242" t="inlineStr">
        <is>
          <t>是</t>
        </is>
      </c>
      <c r="M242" t="inlineStr">
        <is>
          <t>05.01.02.03.01</t>
        </is>
      </c>
    </row>
    <row r="243">
      <c r="A243" t="inlineStr">
        <is>
          <t>六级</t>
        </is>
      </c>
      <c r="B243" t="inlineStr">
        <is>
          <t>支出</t>
        </is>
      </c>
      <c r="C243" t="inlineStr">
        <is>
          <t>B01.90.01.02.03.01.001</t>
        </is>
      </c>
      <c r="D243" t="inlineStr">
        <is>
          <t>IT常规人力</t>
        </is>
      </c>
      <c r="K243" t="inlineStr">
        <is>
          <t>是</t>
        </is>
      </c>
      <c r="M243" t="inlineStr">
        <is>
          <t>05.01.02.03.01.001</t>
        </is>
      </c>
      <c r="N243" t="inlineStr">
        <is>
          <t>SUM</t>
        </is>
      </c>
    </row>
    <row r="244">
      <c r="A244" t="inlineStr">
        <is>
          <t>六级</t>
        </is>
      </c>
      <c r="B244" t="inlineStr">
        <is>
          <t>支出</t>
        </is>
      </c>
      <c r="C244" t="inlineStr">
        <is>
          <t>B01.90.01.02.03.01.002</t>
        </is>
      </c>
      <c r="D244" t="inlineStr">
        <is>
          <t>IT特别人力</t>
        </is>
      </c>
      <c r="K244" t="inlineStr">
        <is>
          <t>是</t>
        </is>
      </c>
      <c r="M244" t="inlineStr">
        <is>
          <t>05.01.02.03.01.002</t>
        </is>
      </c>
      <c r="N244" t="inlineStr">
        <is>
          <t>SUM</t>
        </is>
      </c>
    </row>
    <row r="245">
      <c r="A245" t="inlineStr">
        <is>
          <t>五级</t>
        </is>
      </c>
      <c r="B245" t="inlineStr">
        <is>
          <t>支出</t>
        </is>
      </c>
      <c r="C245" t="inlineStr">
        <is>
          <t>B01.90.01.02.03.02</t>
        </is>
      </c>
      <c r="D245" t="inlineStr">
        <is>
          <t>AA.05.01.02.03.02</t>
        </is>
      </c>
      <c r="F245" t="inlineStr">
        <is>
          <t>B01.90.01.02.03.02.001</t>
        </is>
      </c>
      <c r="K245" t="inlineStr">
        <is>
          <t>是</t>
        </is>
      </c>
      <c r="M245" t="inlineStr">
        <is>
          <t>05.01.02.03.02</t>
        </is>
      </c>
      <c r="N245" t="inlineStr">
        <is>
          <t>SUM</t>
        </is>
      </c>
    </row>
    <row r="246">
      <c r="A246" t="inlineStr">
        <is>
          <t>六级</t>
        </is>
      </c>
      <c r="B246" t="inlineStr">
        <is>
          <t>支出</t>
        </is>
      </c>
      <c r="C246" t="inlineStr">
        <is>
          <t>B01.90.01.02.03.02.001</t>
        </is>
      </c>
      <c r="D246" t="inlineStr">
        <is>
          <t>科技</t>
        </is>
      </c>
      <c r="K246" t="inlineStr">
        <is>
          <t>是</t>
        </is>
      </c>
      <c r="M246" t="inlineStr">
        <is>
          <t>05.01.02.03.02.001</t>
        </is>
      </c>
      <c r="N246" t="inlineStr">
        <is>
          <t>SUM</t>
        </is>
      </c>
    </row>
    <row r="247">
      <c r="A247" t="inlineStr">
        <is>
          <t>五级</t>
        </is>
      </c>
      <c r="B247" t="inlineStr">
        <is>
          <t>支出</t>
        </is>
      </c>
      <c r="C247" t="inlineStr">
        <is>
          <t>B01.90.01.02.03.03</t>
        </is>
      </c>
      <c r="D247" t="inlineStr">
        <is>
          <t>AA.05.01.02.03.03</t>
        </is>
      </c>
      <c r="F247" t="inlineStr">
        <is>
          <t>B01.90.01.02.03.03.001</t>
        </is>
      </c>
      <c r="K247" t="inlineStr">
        <is>
          <t>是</t>
        </is>
      </c>
      <c r="M247" t="inlineStr">
        <is>
          <t>05.01.02.03.03</t>
        </is>
      </c>
      <c r="N247" t="inlineStr">
        <is>
          <t>SUM</t>
        </is>
      </c>
    </row>
    <row r="248">
      <c r="A248" t="inlineStr">
        <is>
          <t>六级</t>
        </is>
      </c>
      <c r="B248" t="inlineStr">
        <is>
          <t>支出</t>
        </is>
      </c>
      <c r="C248" t="inlineStr">
        <is>
          <t>B01.90.01.02.03.03.001</t>
        </is>
      </c>
      <c r="D248" t="inlineStr">
        <is>
          <t>IT职场</t>
        </is>
      </c>
      <c r="K248" t="inlineStr">
        <is>
          <t>是</t>
        </is>
      </c>
      <c r="M248" t="inlineStr">
        <is>
          <t>05.01.02.03.03.001</t>
        </is>
      </c>
      <c r="N248" t="inlineStr">
        <is>
          <t>SUM</t>
        </is>
      </c>
    </row>
    <row r="249">
      <c r="A249" t="inlineStr">
        <is>
          <t>五级</t>
        </is>
      </c>
      <c r="B249" t="inlineStr">
        <is>
          <t>支出</t>
        </is>
      </c>
      <c r="C249" t="inlineStr">
        <is>
          <t>B01.90.01.02.03.04</t>
        </is>
      </c>
      <c r="D249" t="inlineStr">
        <is>
          <t>AA.05.01.02.03.04</t>
        </is>
      </c>
      <c r="F249" t="inlineStr">
        <is>
          <t>B01.90.01.02.03.04.001</t>
        </is>
      </c>
      <c r="K249" t="inlineStr">
        <is>
          <t>是</t>
        </is>
      </c>
      <c r="M249" t="inlineStr">
        <is>
          <t>05.01.02.03.04</t>
        </is>
      </c>
      <c r="N249" t="inlineStr">
        <is>
          <t>SUM</t>
        </is>
      </c>
    </row>
    <row r="250">
      <c r="A250" t="inlineStr">
        <is>
          <t>六级</t>
        </is>
      </c>
      <c r="B250" t="inlineStr">
        <is>
          <t>支出</t>
        </is>
      </c>
      <c r="C250" t="inlineStr">
        <is>
          <t>B01.90.01.02.03.04.001</t>
        </is>
      </c>
      <c r="D250" t="inlineStr">
        <is>
          <t>IT日常</t>
        </is>
      </c>
      <c r="K250" t="inlineStr">
        <is>
          <t>是</t>
        </is>
      </c>
      <c r="M250" t="inlineStr">
        <is>
          <t>05.01.02.03.04.001</t>
        </is>
      </c>
      <c r="N250" t="inlineStr">
        <is>
          <t>SUM</t>
        </is>
      </c>
    </row>
    <row r="251">
      <c r="A251" t="inlineStr">
        <is>
          <t>四级</t>
        </is>
      </c>
      <c r="B251" t="inlineStr">
        <is>
          <t>支出</t>
        </is>
      </c>
      <c r="C251" t="inlineStr">
        <is>
          <t>B01.90.01.02.04</t>
        </is>
      </c>
      <c r="D251" t="inlineStr">
        <is>
          <t>AA.05.01.02.04</t>
        </is>
      </c>
      <c r="F251" t="inlineStr">
        <is>
          <t>B01.90.01.02.04.001</t>
        </is>
      </c>
      <c r="K251" t="inlineStr">
        <is>
          <t>是</t>
        </is>
      </c>
      <c r="M251" t="inlineStr">
        <is>
          <t>05.01.02.04</t>
        </is>
      </c>
      <c r="N251" t="inlineStr">
        <is>
          <t>SUM</t>
        </is>
      </c>
    </row>
    <row r="252">
      <c r="A252" t="inlineStr">
        <is>
          <t>五级</t>
        </is>
      </c>
      <c r="B252" t="inlineStr">
        <is>
          <t>支出</t>
        </is>
      </c>
      <c r="C252" t="inlineStr">
        <is>
          <t>B01.90.01.02.04.001</t>
        </is>
      </c>
      <c r="D252" t="inlineStr">
        <is>
          <t>职场</t>
        </is>
      </c>
      <c r="K252" t="inlineStr">
        <is>
          <t>是</t>
        </is>
      </c>
      <c r="M252" t="inlineStr">
        <is>
          <t>05.01.02.04.001</t>
        </is>
      </c>
      <c r="N252" t="inlineStr">
        <is>
          <t>SUM</t>
        </is>
      </c>
    </row>
    <row r="253">
      <c r="A253" t="inlineStr">
        <is>
          <t>四级</t>
        </is>
      </c>
      <c r="B253" t="inlineStr">
        <is>
          <t>支出</t>
        </is>
      </c>
      <c r="C253" t="inlineStr">
        <is>
          <t>B01.90.01.02.05</t>
        </is>
      </c>
      <c r="D253" t="inlineStr">
        <is>
          <t>AA.05.01.02.05</t>
        </is>
      </c>
      <c r="F253" t="inlineStr">
        <is>
          <t>B01.90.01.02.05.001</t>
        </is>
      </c>
      <c r="K253" t="inlineStr">
        <is>
          <t>是</t>
        </is>
      </c>
      <c r="M253" t="inlineStr">
        <is>
          <t>05.01.02.05</t>
        </is>
      </c>
      <c r="N253" t="inlineStr">
        <is>
          <t>SUM</t>
        </is>
      </c>
    </row>
    <row r="254">
      <c r="A254" t="inlineStr">
        <is>
          <t>五级</t>
        </is>
      </c>
      <c r="B254" t="inlineStr">
        <is>
          <t>支出</t>
        </is>
      </c>
      <c r="C254" t="inlineStr">
        <is>
          <t>B01.90.01.02.05.001</t>
        </is>
      </c>
      <c r="D254" t="inlineStr">
        <is>
          <t>日常</t>
        </is>
      </c>
      <c r="K254" t="inlineStr">
        <is>
          <t>是</t>
        </is>
      </c>
      <c r="M254" t="inlineStr">
        <is>
          <t>05.01.02.05.001</t>
        </is>
      </c>
      <c r="N254" t="inlineStr">
        <is>
          <t>SUM</t>
        </is>
      </c>
    </row>
    <row r="255">
      <c r="A255" t="inlineStr">
        <is>
          <t>二级</t>
        </is>
      </c>
      <c r="B255" t="inlineStr">
        <is>
          <t>支出</t>
        </is>
      </c>
      <c r="C255" t="inlineStr">
        <is>
          <t>B01.90.02</t>
        </is>
      </c>
      <c r="D255" t="inlineStr">
        <is>
          <t>业务费用</t>
        </is>
      </c>
      <c r="F255" t="inlineStr">
        <is>
          <t>B01.90.02.01+B01.90.02.02</t>
        </is>
      </c>
      <c r="K255" t="inlineStr">
        <is>
          <t>是</t>
        </is>
      </c>
      <c r="N255" t="inlineStr">
        <is>
          <t>SUM</t>
        </is>
      </c>
    </row>
    <row r="256">
      <c r="A256" t="inlineStr">
        <is>
          <t>三级</t>
        </is>
      </c>
      <c r="B256" t="inlineStr">
        <is>
          <t>支出</t>
        </is>
      </c>
      <c r="C256" t="inlineStr">
        <is>
          <t>B01.90.02.01</t>
        </is>
      </c>
      <c r="D256" t="inlineStr">
        <is>
          <t>营销费用</t>
        </is>
      </c>
      <c r="K256" t="inlineStr">
        <is>
          <t>是</t>
        </is>
      </c>
      <c r="N256" t="inlineStr">
        <is>
          <t>SUM</t>
        </is>
      </c>
    </row>
    <row r="257">
      <c r="A257" t="inlineStr">
        <is>
          <t>三级</t>
        </is>
      </c>
      <c r="B257" t="inlineStr">
        <is>
          <t>支出</t>
        </is>
      </c>
      <c r="C257" t="inlineStr">
        <is>
          <t>B01.90.02.02</t>
        </is>
      </c>
      <c r="D257" t="inlineStr">
        <is>
          <t>运营费用</t>
        </is>
      </c>
      <c r="K257" t="inlineStr">
        <is>
          <t>是</t>
        </is>
      </c>
      <c r="N257" t="inlineStr">
        <is>
          <t>SUM</t>
        </is>
      </c>
    </row>
    <row r="258">
      <c r="A258" t="inlineStr">
        <is>
          <t>二级</t>
        </is>
      </c>
      <c r="B258" t="inlineStr">
        <is>
          <t>支出</t>
        </is>
      </c>
      <c r="C258" t="inlineStr">
        <is>
          <t>B01.90.03</t>
        </is>
      </c>
      <c r="D258" t="inlineStr">
        <is>
          <t>业务支出评估</t>
        </is>
      </c>
      <c r="F258" t="inlineStr">
        <is>
          <t>B01.90.03.09</t>
        </is>
      </c>
      <c r="K258" t="inlineStr">
        <is>
          <t>是</t>
        </is>
      </c>
      <c r="M258" t="inlineStr">
        <is>
          <t>05.02</t>
        </is>
      </c>
    </row>
    <row r="259">
      <c r="A259" t="inlineStr">
        <is>
          <t>三级</t>
        </is>
      </c>
      <c r="B259" t="inlineStr">
        <is>
          <t>支出</t>
        </is>
      </c>
      <c r="C259" t="inlineStr">
        <is>
          <t>B01.90.03.09</t>
        </is>
      </c>
      <c r="D259" t="inlineStr">
        <is>
          <t>客户经营指标</t>
        </is>
      </c>
      <c r="F259" t="inlineStr">
        <is>
          <t>B01.90.03.09.01+B01.90.03.09.02+B01.90.03.09.03</t>
        </is>
      </c>
      <c r="K259" t="inlineStr">
        <is>
          <t>是</t>
        </is>
      </c>
      <c r="M259" t="inlineStr">
        <is>
          <t>05.02.09</t>
        </is>
      </c>
    </row>
    <row r="260">
      <c r="A260" t="inlineStr">
        <is>
          <t>四级</t>
        </is>
      </c>
      <c r="B260" t="inlineStr">
        <is>
          <t>支出</t>
        </is>
      </c>
      <c r="C260" t="inlineStr">
        <is>
          <t>B01.90.03.09.01</t>
        </is>
      </c>
      <c r="D260" t="inlineStr">
        <is>
          <t>客户营销与投入</t>
        </is>
      </c>
      <c r="F260" t="inlineStr">
        <is>
          <t>B01.90.03.09.01.001+B01.90.03.09.01.002+B01.90.03.09.01.003+B01.90.03.09.01.004</t>
        </is>
      </c>
      <c r="K260" t="inlineStr">
        <is>
          <t>是</t>
        </is>
      </c>
      <c r="M260" t="inlineStr">
        <is>
          <t>05.02.09.01</t>
        </is>
      </c>
    </row>
    <row r="261">
      <c r="A261" t="inlineStr">
        <is>
          <t>五级</t>
        </is>
      </c>
      <c r="B261" t="inlineStr">
        <is>
          <t>支出</t>
        </is>
      </c>
      <c r="C261" t="inlineStr">
        <is>
          <t>B01.90.03.09.01.001</t>
        </is>
      </c>
      <c r="D261" t="inlineStr">
        <is>
          <t>新客营销支出</t>
        </is>
      </c>
      <c r="K261" t="inlineStr">
        <is>
          <t>是</t>
        </is>
      </c>
      <c r="M261" t="inlineStr">
        <is>
          <t>05.02.09.01.001</t>
        </is>
      </c>
      <c r="N261" t="inlineStr">
        <is>
          <t>SUM</t>
        </is>
      </c>
    </row>
    <row r="262">
      <c r="A262" t="inlineStr">
        <is>
          <t>五级</t>
        </is>
      </c>
      <c r="B262" t="inlineStr">
        <is>
          <t>支出</t>
        </is>
      </c>
      <c r="C262" t="inlineStr">
        <is>
          <t>B01.90.03.09.01.002</t>
        </is>
      </c>
      <c r="D262" t="inlineStr">
        <is>
          <t>存客营销支出</t>
        </is>
      </c>
      <c r="K262" t="inlineStr">
        <is>
          <t>是</t>
        </is>
      </c>
      <c r="M262" t="inlineStr">
        <is>
          <t>05.02.09.01.002</t>
        </is>
      </c>
      <c r="N262" t="inlineStr">
        <is>
          <t>SUM</t>
        </is>
      </c>
    </row>
    <row r="263">
      <c r="A263" t="inlineStr">
        <is>
          <t>五级</t>
        </is>
      </c>
      <c r="B263" t="inlineStr">
        <is>
          <t>支出</t>
        </is>
      </c>
      <c r="C263" t="inlineStr">
        <is>
          <t>B01.90.03.09.01.003</t>
        </is>
      </c>
      <c r="D263" t="inlineStr">
        <is>
          <t>新开通客户投入</t>
        </is>
      </c>
      <c r="K263" t="inlineStr">
        <is>
          <t>是</t>
        </is>
      </c>
      <c r="M263" t="inlineStr">
        <is>
          <t>05.02.09.01.003</t>
        </is>
      </c>
      <c r="N263" t="inlineStr">
        <is>
          <t>SUM</t>
        </is>
      </c>
    </row>
    <row r="264">
      <c r="A264" t="inlineStr">
        <is>
          <t>五级</t>
        </is>
      </c>
      <c r="B264" t="inlineStr">
        <is>
          <t>支出</t>
        </is>
      </c>
      <c r="C264" t="inlineStr">
        <is>
          <t>B01.90.03.09.01.004</t>
        </is>
      </c>
      <c r="D264" t="inlineStr">
        <is>
          <t>新发放投入</t>
        </is>
      </c>
      <c r="K264" t="inlineStr">
        <is>
          <t>是</t>
        </is>
      </c>
      <c r="M264" t="inlineStr">
        <is>
          <t>05.02.09.01.004</t>
        </is>
      </c>
      <c r="N264" t="inlineStr">
        <is>
          <t>SUM</t>
        </is>
      </c>
    </row>
    <row r="265">
      <c r="A265" t="inlineStr">
        <is>
          <t>四级</t>
        </is>
      </c>
      <c r="B265" t="inlineStr">
        <is>
          <t>支出</t>
        </is>
      </c>
      <c r="C265" t="inlineStr">
        <is>
          <t>B01.90.03.09.02</t>
        </is>
      </c>
      <c r="D265" t="inlineStr">
        <is>
          <t>客户规模与数量</t>
        </is>
      </c>
      <c r="F265" t="inlineStr">
        <is>
          <t>B01.90.03.09.02.101+B01.90.03.09.02.102+B01.90.03.09.02.103</t>
        </is>
      </c>
      <c r="K265" t="inlineStr">
        <is>
          <t>是</t>
        </is>
      </c>
      <c r="M265" t="inlineStr">
        <is>
          <t>05.02.09.02</t>
        </is>
      </c>
    </row>
    <row r="266">
      <c r="A266" t="inlineStr">
        <is>
          <t>五级</t>
        </is>
      </c>
      <c r="B266" t="inlineStr">
        <is>
          <t>支出</t>
        </is>
      </c>
      <c r="C266" t="inlineStr">
        <is>
          <t>B01.90.03.09.02.001</t>
        </is>
      </c>
      <c r="D266" t="inlineStr">
        <is>
          <t>新客日均LUM</t>
        </is>
      </c>
      <c r="K266" t="inlineStr">
        <is>
          <t>是</t>
        </is>
      </c>
      <c r="M266" t="inlineStr">
        <is>
          <t>05.02.09.02.001</t>
        </is>
      </c>
      <c r="N266" t="inlineStr">
        <is>
          <t>SUM</t>
        </is>
      </c>
    </row>
    <row r="267">
      <c r="A267" t="inlineStr">
        <is>
          <t>五级</t>
        </is>
      </c>
      <c r="B267" t="inlineStr">
        <is>
          <t>支出</t>
        </is>
      </c>
      <c r="C267" t="inlineStr">
        <is>
          <t>B01.90.03.09.02.002</t>
        </is>
      </c>
      <c r="D267" t="inlineStr">
        <is>
          <t>存客日均LUM</t>
        </is>
      </c>
      <c r="K267" t="inlineStr">
        <is>
          <t>是</t>
        </is>
      </c>
      <c r="M267" t="inlineStr">
        <is>
          <t>05.02.09.02.002</t>
        </is>
      </c>
      <c r="N267" t="inlineStr">
        <is>
          <t>SUM</t>
        </is>
      </c>
    </row>
    <row r="268">
      <c r="A268" t="inlineStr">
        <is>
          <t>五级</t>
        </is>
      </c>
      <c r="B268" t="inlineStr">
        <is>
          <t>支出</t>
        </is>
      </c>
      <c r="C268" t="inlineStr">
        <is>
          <t>B01.90.03.09.02.003</t>
        </is>
      </c>
      <c r="D268" t="inlineStr">
        <is>
          <t>新开通客户数</t>
        </is>
      </c>
      <c r="K268" t="inlineStr">
        <is>
          <t>是</t>
        </is>
      </c>
      <c r="M268" t="inlineStr">
        <is>
          <t>05.02.09.02.003</t>
        </is>
      </c>
      <c r="N268" t="inlineStr">
        <is>
          <t>SUM</t>
        </is>
      </c>
    </row>
    <row r="269">
      <c r="A269" t="inlineStr">
        <is>
          <t>五级</t>
        </is>
      </c>
      <c r="B269" t="inlineStr">
        <is>
          <t>支出</t>
        </is>
      </c>
      <c r="C269" t="inlineStr">
        <is>
          <t>B01.90.03.09.02.004</t>
        </is>
      </c>
      <c r="D269" t="inlineStr">
        <is>
          <t>平均有效客户数</t>
        </is>
      </c>
      <c r="K269" t="inlineStr">
        <is>
          <t>是</t>
        </is>
      </c>
      <c r="M269" t="inlineStr">
        <is>
          <t>05.02.09.02.004</t>
        </is>
      </c>
      <c r="N269" t="inlineStr">
        <is>
          <t>SUM</t>
        </is>
      </c>
    </row>
    <row r="270">
      <c r="A270" t="inlineStr">
        <is>
          <t>五级</t>
        </is>
      </c>
      <c r="B270" t="inlineStr">
        <is>
          <t>支出</t>
        </is>
      </c>
      <c r="C270" t="inlineStr">
        <is>
          <t>B01.90.03.09.02.005</t>
        </is>
      </c>
      <c r="D270" t="inlineStr">
        <is>
          <t>新发放LUM</t>
        </is>
      </c>
      <c r="K270" t="inlineStr">
        <is>
          <t>是</t>
        </is>
      </c>
      <c r="M270" t="inlineStr">
        <is>
          <t>05.02.09.02.005</t>
        </is>
      </c>
      <c r="N270" t="inlineStr">
        <is>
          <t>SUM</t>
        </is>
      </c>
    </row>
    <row r="271">
      <c r="A271" t="inlineStr">
        <is>
          <t>五级</t>
        </is>
      </c>
      <c r="B271" t="inlineStr">
        <is>
          <t>支出</t>
        </is>
      </c>
      <c r="C271" t="inlineStr">
        <is>
          <t>B01.90.03.09.02.006</t>
        </is>
      </c>
      <c r="D271" t="inlineStr">
        <is>
          <t>新发放LUM（标服）</t>
        </is>
      </c>
      <c r="K271" t="inlineStr">
        <is>
          <t>是</t>
        </is>
      </c>
      <c r="M271" t="inlineStr">
        <is>
          <t>05.02.09.02.006</t>
        </is>
      </c>
      <c r="N271" t="inlineStr">
        <is>
          <t>SUM</t>
        </is>
      </c>
    </row>
    <row r="272">
      <c r="A272" t="inlineStr">
        <is>
          <t>五级</t>
        </is>
      </c>
      <c r="B272" t="inlineStr">
        <is>
          <t>支出</t>
        </is>
      </c>
      <c r="C272" t="inlineStr">
        <is>
          <t>B01.90.03.09.02.007</t>
        </is>
      </c>
      <c r="D272" t="inlineStr">
        <is>
          <t>存客日均AuM</t>
        </is>
      </c>
      <c r="K272" t="inlineStr">
        <is>
          <t>是</t>
        </is>
      </c>
      <c r="M272" t="inlineStr">
        <is>
          <t>05.02.09.02.007</t>
        </is>
      </c>
      <c r="N272" t="inlineStr">
        <is>
          <t>SUM</t>
        </is>
      </c>
    </row>
    <row r="273">
      <c r="A273" t="inlineStr">
        <is>
          <t>五级</t>
        </is>
      </c>
      <c r="B273" t="inlineStr">
        <is>
          <t>支出</t>
        </is>
      </c>
      <c r="C273" t="inlineStr">
        <is>
          <t>B01.90.03.09.02.008</t>
        </is>
      </c>
      <c r="D273" t="inlineStr">
        <is>
          <t>新客AuM余额</t>
        </is>
      </c>
      <c r="K273" t="inlineStr">
        <is>
          <t>是</t>
        </is>
      </c>
      <c r="M273" t="inlineStr">
        <is>
          <t>05.02.09.02.008</t>
        </is>
      </c>
      <c r="N273" t="inlineStr">
        <is>
          <t>SUM</t>
        </is>
      </c>
    </row>
    <row r="274">
      <c r="A274" t="inlineStr">
        <is>
          <t>五级</t>
        </is>
      </c>
      <c r="B274" t="inlineStr">
        <is>
          <t>支出</t>
        </is>
      </c>
      <c r="C274" t="inlineStr">
        <is>
          <t>B01.90.03.09.02.009</t>
        </is>
      </c>
      <c r="D274" t="inlineStr">
        <is>
          <t>MFAU客户数</t>
        </is>
      </c>
      <c r="K274" t="inlineStr">
        <is>
          <t>是</t>
        </is>
      </c>
      <c r="M274" t="inlineStr">
        <is>
          <t>05.02.09.02.009</t>
        </is>
      </c>
      <c r="N274" t="inlineStr">
        <is>
          <t>SUM</t>
        </is>
      </c>
    </row>
    <row r="275">
      <c r="A275" t="inlineStr">
        <is>
          <t>五级</t>
        </is>
      </c>
      <c r="B275" t="inlineStr">
        <is>
          <t>支出</t>
        </is>
      </c>
      <c r="C275" t="inlineStr">
        <is>
          <t>B01.90.03.09.02.010</t>
        </is>
      </c>
      <c r="D275" t="inlineStr">
        <is>
          <t>日均LUM</t>
        </is>
      </c>
      <c r="K275" t="inlineStr">
        <is>
          <t>是</t>
        </is>
      </c>
      <c r="M275" t="inlineStr">
        <is>
          <t>05.02.09.02.010</t>
        </is>
      </c>
      <c r="N275" t="inlineStr">
        <is>
          <t>SUM</t>
        </is>
      </c>
    </row>
    <row r="276">
      <c r="A276" t="inlineStr">
        <is>
          <t>五级</t>
        </is>
      </c>
      <c r="B276" t="inlineStr">
        <is>
          <t>支出</t>
        </is>
      </c>
      <c r="C276" t="inlineStr">
        <is>
          <t>B01.90.03.09.02.011</t>
        </is>
      </c>
      <c r="D276" t="inlineStr">
        <is>
          <t>日均AuM</t>
        </is>
      </c>
      <c r="K276" t="inlineStr">
        <is>
          <t>是</t>
        </is>
      </c>
      <c r="M276" t="inlineStr">
        <is>
          <t>05.02.09.02.011</t>
        </is>
      </c>
      <c r="N276" t="inlineStr">
        <is>
          <t>SUM</t>
        </is>
      </c>
    </row>
    <row r="277">
      <c r="A277" t="inlineStr">
        <is>
          <t>五级</t>
        </is>
      </c>
      <c r="B277" t="inlineStr">
        <is>
          <t>支出</t>
        </is>
      </c>
      <c r="C277" t="inlineStr">
        <is>
          <t>B01.90.03.09.02.101</t>
        </is>
      </c>
      <c r="D277" t="inlineStr">
        <is>
          <t>LUM规模</t>
        </is>
      </c>
      <c r="F277" t="inlineStr">
        <is>
          <t>B01.90.03.09.02.001+B01.90.03.09.02.002+B01.90.03.09.02.005+B01.90.03.09.02.006+B01.90.03.09.02.010</t>
        </is>
      </c>
      <c r="K277" t="inlineStr">
        <is>
          <t>是</t>
        </is>
      </c>
      <c r="M277" t="inlineStr">
        <is>
          <t>05.02.09.02.101</t>
        </is>
      </c>
    </row>
    <row r="278">
      <c r="A278" t="inlineStr">
        <is>
          <t>五级</t>
        </is>
      </c>
      <c r="B278" t="inlineStr">
        <is>
          <t>支出</t>
        </is>
      </c>
      <c r="C278" t="inlineStr">
        <is>
          <t>B01.90.03.09.02.102</t>
        </is>
      </c>
      <c r="D278" t="inlineStr">
        <is>
          <t>AuM规模</t>
        </is>
      </c>
      <c r="F278" t="inlineStr">
        <is>
          <t>B01.90.03.09.02.007+B01.90.03.09.02.008+B01.90.03.09.02.011</t>
        </is>
      </c>
      <c r="K278" t="inlineStr">
        <is>
          <t>是</t>
        </is>
      </c>
      <c r="M278" t="inlineStr">
        <is>
          <t>05.02.09.02.102</t>
        </is>
      </c>
    </row>
    <row r="279">
      <c r="A279" t="inlineStr">
        <is>
          <t>五级</t>
        </is>
      </c>
      <c r="B279" t="inlineStr">
        <is>
          <t>支出</t>
        </is>
      </c>
      <c r="C279" t="inlineStr">
        <is>
          <t>B01.90.03.09.02.103</t>
        </is>
      </c>
      <c r="D279" t="inlineStr">
        <is>
          <t>客户数量</t>
        </is>
      </c>
      <c r="F279" t="inlineStr">
        <is>
          <t>B01.90.03.09.02.003+B01.90.03.09.02.004+B01.90.03.09.02.009</t>
        </is>
      </c>
      <c r="K279" t="inlineStr">
        <is>
          <t>是</t>
        </is>
      </c>
      <c r="M279" t="inlineStr">
        <is>
          <t>05.02.09.02.103</t>
        </is>
      </c>
    </row>
    <row r="280">
      <c r="A280" t="inlineStr">
        <is>
          <t>四级</t>
        </is>
      </c>
      <c r="B280" t="inlineStr">
        <is>
          <t>支出</t>
        </is>
      </c>
      <c r="C280" t="inlineStr">
        <is>
          <t>B01.90.03.09.03</t>
        </is>
      </c>
      <c r="D280" t="inlineStr">
        <is>
          <t>客户回收与催收</t>
        </is>
      </c>
      <c r="F280" t="inlineStr">
        <is>
          <t>B01.90.03.09.03.001+B01.90.03.09.03.002+B01.90.03.09.03.003</t>
        </is>
      </c>
      <c r="K280" t="inlineStr">
        <is>
          <t>是</t>
        </is>
      </c>
      <c r="M280" t="inlineStr">
        <is>
          <t>05.02.09.03</t>
        </is>
      </c>
    </row>
    <row r="281">
      <c r="A281" t="inlineStr">
        <is>
          <t>五级</t>
        </is>
      </c>
      <c r="B281" t="inlineStr">
        <is>
          <t>支出</t>
        </is>
      </c>
      <c r="C281" t="inlineStr">
        <is>
          <t>B01.90.03.09.03.001</t>
        </is>
      </c>
      <c r="D281" t="inlineStr">
        <is>
          <t>内催回收额</t>
        </is>
      </c>
      <c r="K281" t="inlineStr">
        <is>
          <t>是</t>
        </is>
      </c>
      <c r="M281" t="inlineStr">
        <is>
          <t>05.02.09.03.001</t>
        </is>
      </c>
      <c r="N281" t="inlineStr">
        <is>
          <t>SUM</t>
        </is>
      </c>
    </row>
    <row r="282">
      <c r="A282" t="inlineStr">
        <is>
          <t>五级</t>
        </is>
      </c>
      <c r="B282" t="inlineStr">
        <is>
          <t>支出</t>
        </is>
      </c>
      <c r="C282" t="inlineStr">
        <is>
          <t>B01.90.03.09.03.002</t>
        </is>
      </c>
      <c r="D282" t="inlineStr">
        <is>
          <t>M6-压降金额</t>
        </is>
      </c>
      <c r="K282" t="inlineStr">
        <is>
          <t>是</t>
        </is>
      </c>
      <c r="M282" t="inlineStr">
        <is>
          <t>05.02.09.03.002</t>
        </is>
      </c>
      <c r="N282" t="inlineStr">
        <is>
          <t>SUM</t>
        </is>
      </c>
    </row>
    <row r="283">
      <c r="A283" t="inlineStr">
        <is>
          <t>五级</t>
        </is>
      </c>
      <c r="B283" t="inlineStr">
        <is>
          <t>支出</t>
        </is>
      </c>
      <c r="C283" t="inlineStr">
        <is>
          <t>B01.90.03.09.03.003</t>
        </is>
      </c>
      <c r="D283" t="inlineStr">
        <is>
          <t>M7+现金回收额</t>
        </is>
      </c>
      <c r="K283" t="inlineStr">
        <is>
          <t>是</t>
        </is>
      </c>
      <c r="M283" t="inlineStr">
        <is>
          <t>05.02.09.03.003</t>
        </is>
      </c>
      <c r="N283" t="inlineStr">
        <is>
          <t>SUM</t>
        </is>
      </c>
    </row>
    <row r="284"/>
    <row r="285"/>
    <row r="286"/>
    <row r="287"/>
    <row r="288"/>
    <row r="289"/>
    <row r="290"/>
    <row r="291"/>
    <row r="292"/>
    <row r="293"/>
    <row r="294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330"/>
  <sheetViews>
    <sheetView workbookViewId="0">
      <pane xSplit="4" ySplit="1" topLeftCell="E101" activePane="bottomRight" state="frozen"/>
      <selection activeCell="A1" sqref="A1"/>
      <selection pane="topRight" activeCell="A1" sqref="A1"/>
      <selection pane="bottomLeft" activeCell="A1" sqref="A1"/>
      <selection pane="bottomRight" activeCell="C108" sqref="C108"/>
    </sheetView>
  </sheetViews>
  <sheetFormatPr baseColWidth="8" defaultColWidth="9" defaultRowHeight="15" customHeight="1"/>
  <cols>
    <col width="8.66071428571429" customWidth="1" style="5" min="1" max="2"/>
    <col width="10.9107142857143" customWidth="1" style="5" min="3" max="3"/>
    <col width="23.25" customWidth="1" style="5" min="4" max="4"/>
    <col width="8.66071428571429" customWidth="1" style="5" min="5" max="9"/>
    <col width="10.1607142857143" customWidth="1" style="5" min="10" max="10"/>
    <col width="8.66071428571429" customWidth="1" style="5" min="11" max="16384"/>
  </cols>
  <sheetData>
    <row r="1" customFormat="1" s="1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3" t="inlineStr">
        <is>
          <t>录入粒度</t>
        </is>
      </c>
      <c r="F1" s="3" t="inlineStr">
        <is>
          <t>年预算公式</t>
        </is>
      </c>
      <c r="G1" s="3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6" t="n"/>
      <c r="O1" s="6" t="n"/>
      <c r="R1" t="inlineStr">
        <is>
          <t>规则</t>
        </is>
      </c>
    </row>
    <row r="2">
      <c r="A2" s="7" t="inlineStr">
        <is>
          <t>一级</t>
        </is>
      </c>
      <c r="B2" s="1" t="inlineStr">
        <is>
          <t>收入</t>
        </is>
      </c>
      <c r="C2" s="8" t="inlineStr">
        <is>
          <t>B02.01</t>
        </is>
      </c>
      <c r="D2" s="7" t="inlineStr">
        <is>
          <t>营业收入</t>
        </is>
      </c>
      <c r="F2" t="inlineStr">
        <is>
          <t>B02.01.01+B02.01.02+B02.01.03</t>
        </is>
      </c>
      <c r="H2" s="5">
        <f>H3+H6+H7</f>
        <v/>
      </c>
      <c r="I2" s="5">
        <f>I3+I6+I7</f>
        <v/>
      </c>
      <c r="M2" t="inlineStr">
        <is>
          <t>01</t>
        </is>
      </c>
    </row>
    <row r="3">
      <c r="A3" s="1" t="inlineStr">
        <is>
          <t>二级</t>
        </is>
      </c>
      <c r="B3" s="1" t="inlineStr">
        <is>
          <t>收入</t>
        </is>
      </c>
      <c r="C3" s="8" t="inlineStr">
        <is>
          <t>B02.01.01</t>
        </is>
      </c>
      <c r="D3" s="1" t="inlineStr">
        <is>
          <t xml:space="preserve">  利息净收入</t>
        </is>
      </c>
      <c r="F3" t="inlineStr">
        <is>
          <t>B02.01.01.01+B02.01.01.02</t>
        </is>
      </c>
      <c r="H3" s="5">
        <f>H4+H5</f>
        <v/>
      </c>
      <c r="I3" s="5">
        <f>I4+I5</f>
        <v/>
      </c>
      <c r="M3" t="inlineStr">
        <is>
          <t>01.01</t>
        </is>
      </c>
    </row>
    <row r="4">
      <c r="A4" s="1" t="inlineStr">
        <is>
          <t>三级</t>
        </is>
      </c>
      <c r="B4" s="1" t="inlineStr">
        <is>
          <t>收入</t>
        </is>
      </c>
      <c r="C4" s="9" t="inlineStr">
        <is>
          <t>B02.01.01.01</t>
        </is>
      </c>
      <c r="D4" s="1" t="inlineStr">
        <is>
          <t xml:space="preserve">    资产业务</t>
        </is>
      </c>
      <c r="H4" s="5">
        <f>H112-H150</f>
        <v/>
      </c>
      <c r="I4" s="5">
        <f>I112-I150</f>
        <v/>
      </c>
      <c r="M4" t="inlineStr">
        <is>
          <t>01.01.01</t>
        </is>
      </c>
      <c r="R4" t="inlineStr">
        <is>
          <t>SUM</t>
        </is>
      </c>
    </row>
    <row r="5">
      <c r="A5" s="1" t="inlineStr">
        <is>
          <t>三级</t>
        </is>
      </c>
      <c r="B5" s="1" t="inlineStr">
        <is>
          <t>收入</t>
        </is>
      </c>
      <c r="C5" s="9" t="inlineStr">
        <is>
          <t>B02.01.01.02</t>
        </is>
      </c>
      <c r="D5" s="1" t="inlineStr">
        <is>
          <t xml:space="preserve">    负债业务</t>
        </is>
      </c>
      <c r="H5" s="5">
        <f>H205-H192</f>
        <v/>
      </c>
      <c r="I5" s="5">
        <f>I205-I192</f>
        <v/>
      </c>
      <c r="M5" t="inlineStr">
        <is>
          <t>01.01.02</t>
        </is>
      </c>
      <c r="R5" t="inlineStr">
        <is>
          <t>SUM</t>
        </is>
      </c>
    </row>
    <row r="6">
      <c r="A6" s="1" t="inlineStr">
        <is>
          <t>二级</t>
        </is>
      </c>
      <c r="B6" s="1" t="inlineStr">
        <is>
          <t>收入</t>
        </is>
      </c>
      <c r="C6" s="8" t="inlineStr">
        <is>
          <t>B02.01.02</t>
        </is>
      </c>
      <c r="D6" s="1" t="inlineStr">
        <is>
          <t xml:space="preserve">  手续费净收入</t>
        </is>
      </c>
      <c r="H6" s="5">
        <f>H220-H223</f>
        <v/>
      </c>
      <c r="I6" s="5">
        <f>I220-I223</f>
        <v/>
      </c>
      <c r="M6" t="inlineStr">
        <is>
          <t>01.02</t>
        </is>
      </c>
      <c r="R6" t="inlineStr">
        <is>
          <t>SUM</t>
        </is>
      </c>
    </row>
    <row r="7">
      <c r="A7" s="1" t="inlineStr">
        <is>
          <t>二级</t>
        </is>
      </c>
      <c r="B7" s="1" t="inlineStr">
        <is>
          <t>收入</t>
        </is>
      </c>
      <c r="C7" s="8" t="inlineStr">
        <is>
          <t>B02.01.03</t>
        </is>
      </c>
      <c r="D7" s="1" t="inlineStr">
        <is>
          <t xml:space="preserve">  其他营收</t>
        </is>
      </c>
      <c r="H7" s="5">
        <f>H226+H257</f>
        <v/>
      </c>
      <c r="I7" s="5">
        <f>I226+I257</f>
        <v/>
      </c>
      <c r="M7" t="inlineStr">
        <is>
          <t>01.03</t>
        </is>
      </c>
      <c r="R7" t="inlineStr">
        <is>
          <t>SUM</t>
        </is>
      </c>
    </row>
    <row r="8">
      <c r="A8" s="7" t="inlineStr">
        <is>
          <t>一级</t>
        </is>
      </c>
      <c r="B8" s="1" t="inlineStr">
        <is>
          <t>支出</t>
        </is>
      </c>
      <c r="C8" s="8" t="inlineStr">
        <is>
          <t>B02.02</t>
        </is>
      </c>
      <c r="D8" s="7" t="inlineStr">
        <is>
          <t>减：风险成本</t>
        </is>
      </c>
      <c r="M8" t="inlineStr">
        <is>
          <t>02</t>
        </is>
      </c>
      <c r="R8" t="inlineStr">
        <is>
          <t>SUM</t>
        </is>
      </c>
    </row>
    <row r="9">
      <c r="A9" s="7" t="inlineStr">
        <is>
          <t>一级</t>
        </is>
      </c>
      <c r="B9" s="1" t="inlineStr">
        <is>
          <t>收入</t>
        </is>
      </c>
      <c r="C9" s="8" t="inlineStr">
        <is>
          <t>B02.03</t>
        </is>
      </c>
      <c r="D9" s="7" t="inlineStr">
        <is>
          <t>净收入</t>
        </is>
      </c>
      <c r="F9" t="inlineStr">
        <is>
          <t>B02.01-B02.02</t>
        </is>
      </c>
      <c r="H9" s="5">
        <f>H2-H8</f>
        <v/>
      </c>
      <c r="I9" s="5">
        <f>I2-I8</f>
        <v/>
      </c>
      <c r="M9" t="inlineStr">
        <is>
          <t>03</t>
        </is>
      </c>
    </row>
    <row r="10">
      <c r="A10" s="7" t="inlineStr">
        <is>
          <t>一级</t>
        </is>
      </c>
      <c r="B10" s="1" t="inlineStr">
        <is>
          <t>支出</t>
        </is>
      </c>
      <c r="C10" s="8" t="inlineStr">
        <is>
          <t>B02.04</t>
        </is>
      </c>
      <c r="D10" s="7" t="inlineStr">
        <is>
          <t>减：税金及附加</t>
        </is>
      </c>
      <c r="M10" t="inlineStr">
        <is>
          <t>04</t>
        </is>
      </c>
      <c r="R10" t="inlineStr">
        <is>
          <t>SUM</t>
        </is>
      </c>
    </row>
    <row r="11">
      <c r="A11" s="7" t="inlineStr">
        <is>
          <t>一级</t>
        </is>
      </c>
      <c r="B11" s="1" t="inlineStr">
        <is>
          <t>支出</t>
        </is>
      </c>
      <c r="C11" s="8" t="inlineStr">
        <is>
          <t>B02.05</t>
        </is>
      </c>
      <c r="D11" s="7" t="inlineStr">
        <is>
          <t>减：直接费用</t>
        </is>
      </c>
      <c r="F11" t="inlineStr">
        <is>
          <t>B02.90.01+B02.90.02+B02.90.03+B02.90.04+B02.90.05</t>
        </is>
      </c>
      <c r="H11" s="5">
        <f>H12+H15+H18+H25+H26</f>
        <v/>
      </c>
      <c r="I11" s="5">
        <f>I12+I15+I18+I25+I26</f>
        <v/>
      </c>
      <c r="K11" t="inlineStr">
        <is>
          <t>是</t>
        </is>
      </c>
      <c r="M11" t="inlineStr">
        <is>
          <t>05</t>
        </is>
      </c>
    </row>
    <row r="12">
      <c r="A12" s="1" t="inlineStr">
        <is>
          <t>二级</t>
        </is>
      </c>
      <c r="B12" s="1" t="inlineStr">
        <is>
          <t>支出</t>
        </is>
      </c>
      <c r="C12" s="8" t="inlineStr">
        <is>
          <t>B02.05.01</t>
        </is>
      </c>
      <c r="D12" s="1" t="inlineStr">
        <is>
          <t xml:space="preserve">  人力费用（不含IT）</t>
        </is>
      </c>
      <c r="F12" t="inlineStr">
        <is>
          <t>B02.90.01.01+B02.90.01.02</t>
        </is>
      </c>
      <c r="H12" s="5">
        <f>H13+H14</f>
        <v/>
      </c>
      <c r="I12" s="5">
        <f>I13+I14</f>
        <v/>
      </c>
      <c r="K12" t="inlineStr">
        <is>
          <t>是</t>
        </is>
      </c>
      <c r="M12" t="inlineStr">
        <is>
          <t>05.01</t>
        </is>
      </c>
    </row>
    <row r="13">
      <c r="A13" s="1" t="inlineStr">
        <is>
          <t>三级</t>
        </is>
      </c>
      <c r="B13" s="1" t="inlineStr">
        <is>
          <t>支出</t>
        </is>
      </c>
      <c r="C13" s="9" t="inlineStr">
        <is>
          <t>B02.05.01.01</t>
        </is>
      </c>
      <c r="D13" s="1" t="inlineStr">
        <is>
          <t xml:space="preserve">    常规人力</t>
        </is>
      </c>
      <c r="F13" t="inlineStr">
        <is>
          <t>B02.90.01.01.01+B02.90.01.01.02+B02.90.01.01.03+B02.90.01.01.04.001+B02.90.01.01.05.001</t>
        </is>
      </c>
      <c r="K13" t="inlineStr">
        <is>
          <t>是</t>
        </is>
      </c>
      <c r="M13" t="inlineStr">
        <is>
          <t>05.01.01</t>
        </is>
      </c>
    </row>
    <row r="14">
      <c r="A14" s="1" t="inlineStr">
        <is>
          <t>三级</t>
        </is>
      </c>
      <c r="B14" s="1" t="inlineStr">
        <is>
          <t>支出</t>
        </is>
      </c>
      <c r="C14" s="9" t="inlineStr">
        <is>
          <t>B02.05.01.02</t>
        </is>
      </c>
      <c r="D14" s="1" t="inlineStr">
        <is>
          <t xml:space="preserve">    特别人力</t>
        </is>
      </c>
      <c r="F14" t="inlineStr">
        <is>
          <t>B02.90.01.02.01+B02.90.01.02.02+B02.90.01.02.03+B02.90.01.02.04.001+B02.90.01.02.05.001</t>
        </is>
      </c>
      <c r="K14" t="inlineStr">
        <is>
          <t>是</t>
        </is>
      </c>
      <c r="M14" t="inlineStr">
        <is>
          <t>05.01.02</t>
        </is>
      </c>
    </row>
    <row r="15">
      <c r="A15" s="1" t="inlineStr">
        <is>
          <t>二级</t>
        </is>
      </c>
      <c r="B15" s="1" t="inlineStr">
        <is>
          <t>支出</t>
        </is>
      </c>
      <c r="C15" s="8" t="inlineStr">
        <is>
          <t>B02.05.02</t>
        </is>
      </c>
      <c r="D15" s="1" t="inlineStr">
        <is>
          <t xml:space="preserve">  业务费用</t>
        </is>
      </c>
      <c r="F15" t="inlineStr">
        <is>
          <t>B02.90.02.01+B02.90.02.02+B02.90.02.09</t>
        </is>
      </c>
      <c r="H15" s="5">
        <f>H16+H17</f>
        <v/>
      </c>
      <c r="I15" s="5">
        <f>I16+I17</f>
        <v/>
      </c>
      <c r="K15" t="inlineStr">
        <is>
          <t>是</t>
        </is>
      </c>
      <c r="M15" t="inlineStr">
        <is>
          <t>05.02</t>
        </is>
      </c>
    </row>
    <row r="16">
      <c r="A16" s="1" t="inlineStr">
        <is>
          <t>三级</t>
        </is>
      </c>
      <c r="B16" s="1" t="inlineStr">
        <is>
          <t>支出</t>
        </is>
      </c>
      <c r="C16" s="9" t="inlineStr">
        <is>
          <t>B02.05.02.01</t>
        </is>
      </c>
      <c r="D16" s="1" t="inlineStr">
        <is>
          <t xml:space="preserve">    营销费用</t>
        </is>
      </c>
      <c r="K16" t="inlineStr">
        <is>
          <t>是</t>
        </is>
      </c>
      <c r="M16" t="inlineStr">
        <is>
          <t>05.02.01</t>
        </is>
      </c>
      <c r="R16" t="inlineStr">
        <is>
          <t>SUM</t>
        </is>
      </c>
    </row>
    <row r="17">
      <c r="A17" s="1" t="inlineStr">
        <is>
          <t>三级</t>
        </is>
      </c>
      <c r="B17" s="1" t="inlineStr">
        <is>
          <t>支出</t>
        </is>
      </c>
      <c r="C17" s="9" t="inlineStr">
        <is>
          <t>B02.05.02.02</t>
        </is>
      </c>
      <c r="D17" s="1" t="inlineStr">
        <is>
          <t xml:space="preserve">    运营费用</t>
        </is>
      </c>
      <c r="K17" t="inlineStr">
        <is>
          <t>是</t>
        </is>
      </c>
      <c r="M17" t="inlineStr">
        <is>
          <t>05.02.02</t>
        </is>
      </c>
      <c r="R17" t="inlineStr">
        <is>
          <t>SUM</t>
        </is>
      </c>
    </row>
    <row r="18">
      <c r="A18" s="1" t="inlineStr">
        <is>
          <t>二级</t>
        </is>
      </c>
      <c r="B18" s="1" t="inlineStr">
        <is>
          <t>支出</t>
        </is>
      </c>
      <c r="C18" s="8" t="inlineStr">
        <is>
          <t>B02.05.03</t>
        </is>
      </c>
      <c r="D18" s="1" t="inlineStr">
        <is>
          <t xml:space="preserve">  IT费用</t>
        </is>
      </c>
      <c r="F18" t="inlineStr">
        <is>
          <t>B02.90.03.01+B02.90.03.02+B02.90.03.03+B02.90.03.04</t>
        </is>
      </c>
      <c r="H18" s="5">
        <f>H19+H22+H23+H24</f>
        <v/>
      </c>
      <c r="I18" s="5">
        <f>I19+I22+I23+I24</f>
        <v/>
      </c>
      <c r="K18" t="inlineStr">
        <is>
          <t>是</t>
        </is>
      </c>
      <c r="M18" t="inlineStr">
        <is>
          <t>05.03</t>
        </is>
      </c>
    </row>
    <row r="19">
      <c r="A19" s="1" t="inlineStr">
        <is>
          <t>三级</t>
        </is>
      </c>
      <c r="B19" s="1" t="inlineStr">
        <is>
          <t>支出</t>
        </is>
      </c>
      <c r="C19" s="9" t="inlineStr">
        <is>
          <t>B02.05.03.01</t>
        </is>
      </c>
      <c r="D19" s="1" t="inlineStr">
        <is>
          <t xml:space="preserve">    IT人力</t>
        </is>
      </c>
      <c r="F19" t="inlineStr">
        <is>
          <t>B02.90.03.01.01+B02.90.03.01.02</t>
        </is>
      </c>
      <c r="H19" s="5">
        <f>H20+H21</f>
        <v/>
      </c>
      <c r="I19" s="5">
        <f>I20+I21</f>
        <v/>
      </c>
      <c r="K19" t="inlineStr">
        <is>
          <t>是</t>
        </is>
      </c>
      <c r="M19" t="inlineStr">
        <is>
          <t>05.03.01</t>
        </is>
      </c>
    </row>
    <row r="20">
      <c r="A20" s="1" t="inlineStr">
        <is>
          <t>四级</t>
        </is>
      </c>
      <c r="B20" s="1" t="inlineStr">
        <is>
          <t>支出</t>
        </is>
      </c>
      <c r="C20" s="9" t="inlineStr">
        <is>
          <t>B02.05.03.01.01</t>
        </is>
      </c>
      <c r="D20" s="1" t="inlineStr">
        <is>
          <t xml:space="preserve">      IT常规人力</t>
        </is>
      </c>
      <c r="K20" t="inlineStr">
        <is>
          <t>是</t>
        </is>
      </c>
      <c r="M20" t="inlineStr">
        <is>
          <t>05.03.01.01</t>
        </is>
      </c>
      <c r="R20" t="inlineStr">
        <is>
          <t>SUM</t>
        </is>
      </c>
    </row>
    <row r="21">
      <c r="A21" s="1" t="inlineStr">
        <is>
          <t>四级</t>
        </is>
      </c>
      <c r="B21" s="1" t="inlineStr">
        <is>
          <t>支出</t>
        </is>
      </c>
      <c r="C21" s="9" t="inlineStr">
        <is>
          <t>B02.05.03.01.02</t>
        </is>
      </c>
      <c r="D21" s="1" t="inlineStr">
        <is>
          <t xml:space="preserve">      IT特别人力</t>
        </is>
      </c>
      <c r="K21" t="inlineStr">
        <is>
          <t>是</t>
        </is>
      </c>
      <c r="M21" t="inlineStr">
        <is>
          <t>05.03.01.02</t>
        </is>
      </c>
      <c r="R21" t="inlineStr">
        <is>
          <t>SUM</t>
        </is>
      </c>
    </row>
    <row r="22">
      <c r="A22" s="1" t="inlineStr">
        <is>
          <t>三级</t>
        </is>
      </c>
      <c r="B22" s="1" t="inlineStr">
        <is>
          <t>支出</t>
        </is>
      </c>
      <c r="C22" s="9" t="inlineStr">
        <is>
          <t>B02.05.03.02</t>
        </is>
      </c>
      <c r="D22" s="1" t="inlineStr">
        <is>
          <t xml:space="preserve">    科技费用</t>
        </is>
      </c>
      <c r="K22" t="inlineStr">
        <is>
          <t>是</t>
        </is>
      </c>
      <c r="M22" t="inlineStr">
        <is>
          <t>05.03.02</t>
        </is>
      </c>
      <c r="R22" t="inlineStr">
        <is>
          <t>SUM</t>
        </is>
      </c>
    </row>
    <row r="23">
      <c r="A23" s="1" t="inlineStr">
        <is>
          <t>三级</t>
        </is>
      </c>
      <c r="B23" s="1" t="inlineStr">
        <is>
          <t>支出</t>
        </is>
      </c>
      <c r="C23" s="9" t="inlineStr">
        <is>
          <t>B02.05.03.03</t>
        </is>
      </c>
      <c r="D23" s="1" t="inlineStr">
        <is>
          <t xml:space="preserve">    IT职场</t>
        </is>
      </c>
      <c r="K23" t="inlineStr">
        <is>
          <t>是</t>
        </is>
      </c>
      <c r="M23" t="inlineStr">
        <is>
          <t>05.03.03</t>
        </is>
      </c>
      <c r="R23" t="inlineStr">
        <is>
          <t>SUM</t>
        </is>
      </c>
    </row>
    <row r="24">
      <c r="A24" s="1" t="inlineStr">
        <is>
          <t>三级</t>
        </is>
      </c>
      <c r="B24" s="1" t="inlineStr">
        <is>
          <t>支出</t>
        </is>
      </c>
      <c r="C24" s="9" t="inlineStr">
        <is>
          <t>B02.05.03.04</t>
        </is>
      </c>
      <c r="D24" s="1" t="inlineStr">
        <is>
          <t xml:space="preserve">    IT日常</t>
        </is>
      </c>
      <c r="K24" t="inlineStr">
        <is>
          <t>是</t>
        </is>
      </c>
      <c r="M24" t="inlineStr">
        <is>
          <t>05.03.04</t>
        </is>
      </c>
      <c r="R24" t="inlineStr">
        <is>
          <t>SUM</t>
        </is>
      </c>
    </row>
    <row r="25">
      <c r="A25" s="1" t="inlineStr">
        <is>
          <t>二级</t>
        </is>
      </c>
      <c r="B25" s="1" t="inlineStr">
        <is>
          <t>支出</t>
        </is>
      </c>
      <c r="C25" s="8" t="inlineStr">
        <is>
          <t>B02.05.04</t>
        </is>
      </c>
      <c r="D25" s="1" t="inlineStr">
        <is>
          <t xml:space="preserve">  职场费用</t>
        </is>
      </c>
      <c r="K25" t="inlineStr">
        <is>
          <t>是</t>
        </is>
      </c>
      <c r="M25" t="inlineStr">
        <is>
          <t>05.04</t>
        </is>
      </c>
      <c r="R25" t="inlineStr">
        <is>
          <t>SUM</t>
        </is>
      </c>
    </row>
    <row r="26">
      <c r="A26" s="1" t="inlineStr">
        <is>
          <t>二级</t>
        </is>
      </c>
      <c r="B26" s="1" t="inlineStr">
        <is>
          <t>支出</t>
        </is>
      </c>
      <c r="C26" s="8" t="inlineStr">
        <is>
          <t>B02.05.05</t>
        </is>
      </c>
      <c r="D26" s="1" t="inlineStr">
        <is>
          <t xml:space="preserve">  日常费用</t>
        </is>
      </c>
      <c r="K26" t="inlineStr">
        <is>
          <t>是</t>
        </is>
      </c>
      <c r="M26" t="inlineStr">
        <is>
          <t>05.05</t>
        </is>
      </c>
      <c r="R26" t="inlineStr">
        <is>
          <t>SUM</t>
        </is>
      </c>
    </row>
    <row r="27">
      <c r="A27" s="7" t="inlineStr">
        <is>
          <t>一级</t>
        </is>
      </c>
      <c r="B27" s="1" t="inlineStr">
        <is>
          <t>收入</t>
        </is>
      </c>
      <c r="C27" s="8" t="inlineStr">
        <is>
          <t>B02.06</t>
        </is>
      </c>
      <c r="D27" s="7" t="inlineStr">
        <is>
          <t>加：营业外净收入</t>
        </is>
      </c>
      <c r="M27" t="inlineStr">
        <is>
          <t>06</t>
        </is>
      </c>
      <c r="R27" t="inlineStr">
        <is>
          <t>SUM</t>
        </is>
      </c>
    </row>
    <row r="28">
      <c r="A28" s="7" t="inlineStr">
        <is>
          <t>一级</t>
        </is>
      </c>
      <c r="B28" s="1" t="inlineStr">
        <is>
          <t>利润</t>
        </is>
      </c>
      <c r="C28" s="8" t="inlineStr">
        <is>
          <t>B02.07</t>
        </is>
      </c>
      <c r="D28" s="7" t="inlineStr">
        <is>
          <t>分摊前利润</t>
        </is>
      </c>
      <c r="F28" t="inlineStr">
        <is>
          <t>B02.03-B02.04-B02.90+B02.06</t>
        </is>
      </c>
      <c r="H28" s="5">
        <f>H9-H10-H11+H27</f>
        <v/>
      </c>
      <c r="I28" s="5">
        <f>I9-I10-I11+I27</f>
        <v/>
      </c>
      <c r="M28" t="inlineStr">
        <is>
          <t>07</t>
        </is>
      </c>
    </row>
    <row r="29">
      <c r="A29" s="7" t="inlineStr">
        <is>
          <t>一级</t>
        </is>
      </c>
      <c r="B29" s="1" t="inlineStr">
        <is>
          <t>支出</t>
        </is>
      </c>
      <c r="C29" s="8" t="inlineStr">
        <is>
          <t>B02.08</t>
        </is>
      </c>
      <c r="D29" s="7" t="inlineStr">
        <is>
          <t>减：固定管理费</t>
        </is>
      </c>
      <c r="M29" t="inlineStr">
        <is>
          <t>08</t>
        </is>
      </c>
      <c r="R29" t="inlineStr">
        <is>
          <t>SUM</t>
        </is>
      </c>
    </row>
    <row r="30">
      <c r="A30" s="7" t="inlineStr">
        <is>
          <t>一级</t>
        </is>
      </c>
      <c r="B30" s="1" t="inlineStr">
        <is>
          <t>利润</t>
        </is>
      </c>
      <c r="C30" s="8" t="inlineStr">
        <is>
          <t>B02.09</t>
        </is>
      </c>
      <c r="D30" s="7" t="inlineStr">
        <is>
          <t>税前利润</t>
        </is>
      </c>
      <c r="F30" t="inlineStr">
        <is>
          <t>B02.07-B02.08</t>
        </is>
      </c>
      <c r="H30" s="5">
        <f>H28-H29</f>
        <v/>
      </c>
      <c r="I30" s="5">
        <f>I28-I29</f>
        <v/>
      </c>
      <c r="M30" t="inlineStr">
        <is>
          <t>09</t>
        </is>
      </c>
    </row>
    <row r="31">
      <c r="A31" s="1" t="n"/>
      <c r="B31" s="1" t="n"/>
      <c r="C31" s="9" t="n"/>
      <c r="D31" s="1" t="n"/>
    </row>
    <row r="32">
      <c r="A32" s="11" t="inlineStr">
        <is>
          <t>一级</t>
        </is>
      </c>
      <c r="B32" s="11" t="inlineStr">
        <is>
          <t>资产余额</t>
        </is>
      </c>
      <c r="C32" s="11" t="inlineStr">
        <is>
          <t>B02.10</t>
        </is>
      </c>
      <c r="D32" s="11" t="inlineStr">
        <is>
          <t>管理贷款</t>
        </is>
      </c>
      <c r="F32" t="inlineStr">
        <is>
          <t>B02.10.01</t>
        </is>
      </c>
      <c r="H32" s="5">
        <f>H33</f>
        <v/>
      </c>
      <c r="I32" s="5">
        <f>I33</f>
        <v/>
      </c>
      <c r="M32" t="inlineStr">
        <is>
          <t>10</t>
        </is>
      </c>
    </row>
    <row r="33">
      <c r="A33" s="10" t="inlineStr">
        <is>
          <t>二级</t>
        </is>
      </c>
      <c r="B33" s="10" t="inlineStr">
        <is>
          <t>资产余额</t>
        </is>
      </c>
      <c r="C33" s="10" t="inlineStr">
        <is>
          <t>B02.10.01</t>
        </is>
      </c>
      <c r="D33" s="10" t="inlineStr">
        <is>
          <t xml:space="preserve">  自持</t>
        </is>
      </c>
      <c r="F33" t="inlineStr">
        <is>
          <t>B02.10.01.02</t>
        </is>
      </c>
      <c r="H33" s="5">
        <f>H34</f>
        <v/>
      </c>
      <c r="I33" s="5">
        <f>I34</f>
        <v/>
      </c>
      <c r="M33" t="inlineStr">
        <is>
          <t>10.01</t>
        </is>
      </c>
    </row>
    <row r="34">
      <c r="A34" s="10" t="inlineStr">
        <is>
          <t>三级</t>
        </is>
      </c>
      <c r="B34" s="10" t="inlineStr">
        <is>
          <t>资产余额</t>
        </is>
      </c>
      <c r="C34" s="10" t="inlineStr">
        <is>
          <t>B02.10.01.02</t>
        </is>
      </c>
      <c r="D34" s="10" t="inlineStr">
        <is>
          <t xml:space="preserve">    票据融资</t>
        </is>
      </c>
      <c r="M34" t="inlineStr">
        <is>
          <t>10.01.02</t>
        </is>
      </c>
      <c r="R34" t="inlineStr">
        <is>
          <t>LAST</t>
        </is>
      </c>
    </row>
    <row r="35">
      <c r="A35" s="11" t="inlineStr">
        <is>
          <t>一级</t>
        </is>
      </c>
      <c r="B35" s="11" t="inlineStr">
        <is>
          <t>资产日均</t>
        </is>
      </c>
      <c r="C35" s="11" t="inlineStr">
        <is>
          <t>B02.11</t>
        </is>
      </c>
      <c r="D35" s="11" t="inlineStr">
        <is>
          <t>管理贷款日均</t>
        </is>
      </c>
      <c r="F35" t="inlineStr">
        <is>
          <t>B02.11.01</t>
        </is>
      </c>
      <c r="H35" s="5">
        <f>H36</f>
        <v/>
      </c>
      <c r="I35" s="5">
        <f>I36</f>
        <v/>
      </c>
      <c r="M35" t="inlineStr">
        <is>
          <t>11</t>
        </is>
      </c>
    </row>
    <row r="36">
      <c r="A36" s="10" t="inlineStr">
        <is>
          <t>二级</t>
        </is>
      </c>
      <c r="B36" s="10" t="inlineStr">
        <is>
          <t>资产日均</t>
        </is>
      </c>
      <c r="C36" s="10" t="inlineStr">
        <is>
          <t>B02.11.01</t>
        </is>
      </c>
      <c r="D36" s="10" t="inlineStr">
        <is>
          <t xml:space="preserve">  自持</t>
        </is>
      </c>
      <c r="F36" t="inlineStr">
        <is>
          <t>B02.11.01.02</t>
        </is>
      </c>
      <c r="H36" s="5">
        <f>H37</f>
        <v/>
      </c>
      <c r="I36" s="5">
        <f>I37</f>
        <v/>
      </c>
      <c r="M36" t="inlineStr">
        <is>
          <t>11.01</t>
        </is>
      </c>
    </row>
    <row r="37">
      <c r="A37" s="10" t="inlineStr">
        <is>
          <t>三级</t>
        </is>
      </c>
      <c r="B37" s="10" t="inlineStr">
        <is>
          <t>资产日均</t>
        </is>
      </c>
      <c r="C37" s="10" t="inlineStr">
        <is>
          <t>B02.11.01.02</t>
        </is>
      </c>
      <c r="D37" s="10" t="inlineStr">
        <is>
          <t xml:space="preserve">    票据融资</t>
        </is>
      </c>
      <c r="M37" t="inlineStr">
        <is>
          <t>11.01.02</t>
        </is>
      </c>
      <c r="R37" t="inlineStr">
        <is>
          <t>AVG</t>
        </is>
      </c>
    </row>
    <row r="38">
      <c r="A38" s="10" t="n"/>
      <c r="B38" s="10" t="n"/>
      <c r="C38" s="10" t="n"/>
      <c r="D38" s="10" t="n"/>
    </row>
    <row r="39">
      <c r="A39" s="1" t="inlineStr">
        <is>
          <t>一级</t>
        </is>
      </c>
      <c r="B39" s="1" t="inlineStr">
        <is>
          <t>资产余额</t>
        </is>
      </c>
      <c r="C39" s="9" t="inlineStr">
        <is>
          <t>B02.22</t>
        </is>
      </c>
      <c r="D39" s="10" t="inlineStr">
        <is>
          <t>存放央行余额</t>
        </is>
      </c>
      <c r="F39" t="inlineStr">
        <is>
          <t>B02.22.01+B02.22.02</t>
        </is>
      </c>
      <c r="H39" s="5">
        <f>H40+H41</f>
        <v/>
      </c>
      <c r="I39" s="5">
        <f>I40+I41</f>
        <v/>
      </c>
      <c r="M39" t="inlineStr">
        <is>
          <t>22</t>
        </is>
      </c>
      <c r="N39" s="1" t="n"/>
      <c r="O39" s="1" t="n"/>
      <c r="P39" s="9" t="n"/>
      <c r="Q39" s="10" t="n"/>
    </row>
    <row r="40">
      <c r="A40" s="10" t="inlineStr">
        <is>
          <t>二级</t>
        </is>
      </c>
      <c r="B40" s="10" t="inlineStr">
        <is>
          <t>资产余额</t>
        </is>
      </c>
      <c r="C40" s="10" t="inlineStr">
        <is>
          <t>B02.22.01</t>
        </is>
      </c>
      <c r="D40" s="10" t="inlineStr">
        <is>
          <t xml:space="preserve">  法准</t>
        </is>
      </c>
      <c r="M40" t="inlineStr">
        <is>
          <t>22.01</t>
        </is>
      </c>
      <c r="N40" s="10" t="n"/>
      <c r="O40" s="10" t="n"/>
      <c r="P40" s="10" t="n"/>
      <c r="Q40" s="10" t="n"/>
      <c r="R40" t="inlineStr">
        <is>
          <t>LAST</t>
        </is>
      </c>
    </row>
    <row r="41">
      <c r="A41" s="10" t="inlineStr">
        <is>
          <t>二级</t>
        </is>
      </c>
      <c r="B41" s="10" t="inlineStr">
        <is>
          <t>资产余额</t>
        </is>
      </c>
      <c r="C41" s="10" t="inlineStr">
        <is>
          <t>B02.22.02</t>
        </is>
      </c>
      <c r="D41" s="10" t="inlineStr">
        <is>
          <t xml:space="preserve">  超备</t>
        </is>
      </c>
      <c r="M41" t="inlineStr">
        <is>
          <t>22.02</t>
        </is>
      </c>
      <c r="N41" s="10" t="n"/>
      <c r="O41" s="10" t="n"/>
      <c r="P41" s="10" t="n"/>
      <c r="Q41" s="10" t="n"/>
      <c r="R41" t="inlineStr">
        <is>
          <t>LAST</t>
        </is>
      </c>
    </row>
    <row r="42">
      <c r="A42" s="11" t="inlineStr">
        <is>
          <t>一级</t>
        </is>
      </c>
      <c r="B42" s="11" t="inlineStr">
        <is>
          <t>资产日均</t>
        </is>
      </c>
      <c r="C42" s="10" t="inlineStr">
        <is>
          <t>B02.23</t>
        </is>
      </c>
      <c r="D42" s="10" t="inlineStr">
        <is>
          <t>存放央行日均</t>
        </is>
      </c>
      <c r="F42" t="inlineStr">
        <is>
          <t>B02.23.01+B02.23.02</t>
        </is>
      </c>
      <c r="H42" s="5">
        <f>H43+H44</f>
        <v/>
      </c>
      <c r="I42" s="5">
        <f>I43+I44</f>
        <v/>
      </c>
      <c r="M42" t="inlineStr">
        <is>
          <t>23</t>
        </is>
      </c>
      <c r="N42" s="11" t="n"/>
      <c r="O42" s="11" t="n"/>
      <c r="P42" s="10" t="n"/>
      <c r="Q42" s="10" t="n"/>
    </row>
    <row r="43">
      <c r="A43" s="10" t="inlineStr">
        <is>
          <t>二级</t>
        </is>
      </c>
      <c r="B43" s="10" t="inlineStr">
        <is>
          <t>资产日均</t>
        </is>
      </c>
      <c r="C43" s="10" t="inlineStr">
        <is>
          <t>B02.23.01</t>
        </is>
      </c>
      <c r="D43" s="10" t="inlineStr">
        <is>
          <t xml:space="preserve">  法准</t>
        </is>
      </c>
      <c r="M43" t="inlineStr">
        <is>
          <t>23.01</t>
        </is>
      </c>
      <c r="N43" s="10" t="n"/>
      <c r="O43" s="10" t="n"/>
      <c r="P43" s="10" t="n"/>
      <c r="Q43" s="10" t="n"/>
      <c r="R43" t="inlineStr">
        <is>
          <t>AVG</t>
        </is>
      </c>
    </row>
    <row r="44">
      <c r="A44" s="10" t="inlineStr">
        <is>
          <t>二级</t>
        </is>
      </c>
      <c r="B44" s="10" t="inlineStr">
        <is>
          <t>资产日均</t>
        </is>
      </c>
      <c r="C44" s="10" t="inlineStr">
        <is>
          <t>B02.23.02</t>
        </is>
      </c>
      <c r="D44" s="10" t="inlineStr">
        <is>
          <t xml:space="preserve">  超备</t>
        </is>
      </c>
      <c r="M44" t="inlineStr">
        <is>
          <t>23.02</t>
        </is>
      </c>
      <c r="N44" s="10" t="n"/>
      <c r="O44" s="10" t="n"/>
      <c r="P44" s="10" t="n"/>
      <c r="Q44" s="10" t="n"/>
      <c r="R44" t="inlineStr">
        <is>
          <t>AVG</t>
        </is>
      </c>
    </row>
    <row r="45">
      <c r="A45" s="10" t="n"/>
      <c r="B45" s="10" t="n"/>
      <c r="C45" s="10" t="n"/>
      <c r="D45" s="10" t="n"/>
      <c r="N45" s="10" t="n"/>
      <c r="O45" s="10" t="n"/>
      <c r="P45" s="10" t="n"/>
      <c r="Q45" s="10" t="n"/>
    </row>
    <row r="46">
      <c r="A46" s="7" t="inlineStr">
        <is>
          <t>一级</t>
        </is>
      </c>
      <c r="B46" s="1" t="inlineStr">
        <is>
          <t>资产余额</t>
        </is>
      </c>
      <c r="C46" s="11" t="inlineStr">
        <is>
          <t>B02.24</t>
        </is>
      </c>
      <c r="D46" s="11" t="inlineStr">
        <is>
          <t>同业资产余额</t>
        </is>
      </c>
      <c r="F46" t="inlineStr">
        <is>
          <t>B02.24.01+B02.24.02+B02.24.03+B02.24.04+B02.24.05+B02.24.06</t>
        </is>
      </c>
      <c r="H46" s="5">
        <f>H47+H48+H49+H50+H65+H68</f>
        <v/>
      </c>
      <c r="I46" s="5">
        <f>I47+I48+I49+I50+I65+I68</f>
        <v/>
      </c>
      <c r="M46" t="inlineStr">
        <is>
          <t>24</t>
        </is>
      </c>
      <c r="N46" s="7" t="n"/>
      <c r="O46" s="1" t="n"/>
      <c r="P46" s="11" t="n"/>
      <c r="Q46" s="11" t="n"/>
    </row>
    <row r="47">
      <c r="A47" s="10" t="inlineStr">
        <is>
          <t>二级</t>
        </is>
      </c>
      <c r="B47" s="10" t="inlineStr">
        <is>
          <t>资产余额</t>
        </is>
      </c>
      <c r="C47" s="10" t="inlineStr">
        <is>
          <t>B02.24.01</t>
        </is>
      </c>
      <c r="D47" s="10" t="inlineStr">
        <is>
          <t xml:space="preserve">  存放同业</t>
        </is>
      </c>
      <c r="M47" t="inlineStr">
        <is>
          <t>24.01</t>
        </is>
      </c>
      <c r="N47" s="10" t="n"/>
      <c r="O47" s="10" t="n"/>
      <c r="P47" s="10" t="n"/>
      <c r="Q47" s="10" t="n"/>
      <c r="R47" t="inlineStr">
        <is>
          <t>LAST</t>
        </is>
      </c>
    </row>
    <row r="48">
      <c r="A48" s="10" t="inlineStr">
        <is>
          <t>二级</t>
        </is>
      </c>
      <c r="B48" s="10" t="inlineStr">
        <is>
          <t>资产余额</t>
        </is>
      </c>
      <c r="C48" s="10" t="inlineStr">
        <is>
          <t>B02.24.02</t>
        </is>
      </c>
      <c r="D48" s="10" t="inlineStr">
        <is>
          <t xml:space="preserve">  拆放同业</t>
        </is>
      </c>
      <c r="M48" t="inlineStr">
        <is>
          <t>24.02</t>
        </is>
      </c>
      <c r="N48" s="10" t="n"/>
      <c r="O48" s="10" t="n"/>
      <c r="P48" s="10" t="n"/>
      <c r="Q48" s="10" t="n"/>
      <c r="R48" t="inlineStr">
        <is>
          <t>LAST</t>
        </is>
      </c>
    </row>
    <row r="49">
      <c r="A49" s="10" t="inlineStr">
        <is>
          <t>二级</t>
        </is>
      </c>
      <c r="B49" s="10" t="inlineStr">
        <is>
          <t>资产余额</t>
        </is>
      </c>
      <c r="C49" s="10" t="inlineStr">
        <is>
          <t>B02.24.03</t>
        </is>
      </c>
      <c r="D49" s="10" t="inlineStr">
        <is>
          <t xml:space="preserve">  买入返售</t>
        </is>
      </c>
      <c r="M49" t="inlineStr">
        <is>
          <t>24.03</t>
        </is>
      </c>
      <c r="N49" s="10" t="n"/>
      <c r="O49" s="10" t="n"/>
      <c r="P49" s="10" t="n"/>
      <c r="Q49" s="10" t="n"/>
      <c r="R49" t="inlineStr">
        <is>
          <t>LAST</t>
        </is>
      </c>
    </row>
    <row r="50">
      <c r="A50" s="10" t="inlineStr">
        <is>
          <t>二级</t>
        </is>
      </c>
      <c r="B50" s="10" t="inlineStr">
        <is>
          <t>资产余额</t>
        </is>
      </c>
      <c r="C50" s="10" t="inlineStr">
        <is>
          <t>B02.24.04</t>
        </is>
      </c>
      <c r="D50" s="10" t="inlineStr">
        <is>
          <t xml:space="preserve">  债券投资</t>
        </is>
      </c>
      <c r="F50" t="inlineStr">
        <is>
          <t>B02.24.04.01+B02.24.04.02+B02.24.04.03+B02.24.04.04+B02.24.04.05+B02.24.04.06+B02.24.04.07+B02.24.04.08+B02.24.04.09+B02.24.04.10</t>
        </is>
      </c>
      <c r="H50" s="5">
        <f>H51+H54+H55+H56+H57+H58+H59+H60+H63+H64</f>
        <v/>
      </c>
      <c r="I50" s="5">
        <f>I51+I54+I55+I56+I57+I58+I59+I60+I63+I64</f>
        <v/>
      </c>
      <c r="M50" t="inlineStr">
        <is>
          <t>24.04</t>
        </is>
      </c>
      <c r="N50" s="10" t="n"/>
      <c r="O50" s="10" t="n"/>
      <c r="P50" s="10" t="n"/>
      <c r="Q50" s="10" t="n"/>
    </row>
    <row r="51">
      <c r="A51" s="10" t="inlineStr">
        <is>
          <t>三级</t>
        </is>
      </c>
      <c r="B51" s="10" t="inlineStr">
        <is>
          <t>资产余额</t>
        </is>
      </c>
      <c r="C51" s="10" t="inlineStr">
        <is>
          <t>B02.24.04.01</t>
        </is>
      </c>
      <c r="D51" s="10" t="inlineStr">
        <is>
          <t xml:space="preserve">    利率债</t>
        </is>
      </c>
      <c r="F51" t="inlineStr">
        <is>
          <t>B02.24.04.01.01+B02.24.04.01.02</t>
        </is>
      </c>
      <c r="H51" s="5">
        <f>H52+H53</f>
        <v/>
      </c>
      <c r="I51" s="5">
        <f>I52+I53</f>
        <v/>
      </c>
      <c r="M51" t="inlineStr">
        <is>
          <t>24.04.01</t>
        </is>
      </c>
      <c r="N51" s="10" t="n"/>
      <c r="O51" s="10" t="n"/>
      <c r="P51" s="10" t="n"/>
      <c r="Q51" s="10" t="n"/>
    </row>
    <row r="52">
      <c r="A52" s="10" t="inlineStr">
        <is>
          <t>四级</t>
        </is>
      </c>
      <c r="B52" s="10" t="inlineStr">
        <is>
          <t>资产余额</t>
        </is>
      </c>
      <c r="C52" s="10" t="inlineStr">
        <is>
          <t>B02.24.04.01.01</t>
        </is>
      </c>
      <c r="D52" s="10" t="inlineStr">
        <is>
          <t xml:space="preserve">      AC和OCI</t>
        </is>
      </c>
      <c r="M52" t="inlineStr">
        <is>
          <t>24.04.01.01</t>
        </is>
      </c>
      <c r="N52" s="10" t="n"/>
      <c r="O52" s="10" t="n"/>
      <c r="P52" s="10" t="n"/>
      <c r="Q52" s="10" t="n"/>
      <c r="R52" t="inlineStr">
        <is>
          <t>LAST</t>
        </is>
      </c>
    </row>
    <row r="53">
      <c r="A53" s="10" t="inlineStr">
        <is>
          <t>四级</t>
        </is>
      </c>
      <c r="B53" s="10" t="inlineStr">
        <is>
          <t>资产余额</t>
        </is>
      </c>
      <c r="C53" s="10" t="inlineStr">
        <is>
          <t>B02.24.04.01.02</t>
        </is>
      </c>
      <c r="D53" s="10" t="inlineStr">
        <is>
          <t xml:space="preserve">      PL</t>
        </is>
      </c>
      <c r="M53" t="inlineStr">
        <is>
          <t>24.04.01.02</t>
        </is>
      </c>
      <c r="N53" s="10" t="n"/>
      <c r="O53" s="10" t="n"/>
      <c r="P53" s="10" t="n"/>
      <c r="Q53" s="10" t="n"/>
      <c r="R53" t="inlineStr">
        <is>
          <t>LAST</t>
        </is>
      </c>
    </row>
    <row r="54">
      <c r="A54" s="10" t="inlineStr">
        <is>
          <t>三级</t>
        </is>
      </c>
      <c r="B54" s="10" t="inlineStr">
        <is>
          <t>资产余额</t>
        </is>
      </c>
      <c r="C54" s="10" t="inlineStr">
        <is>
          <t>B02.24.04.02</t>
        </is>
      </c>
      <c r="D54" s="10" t="inlineStr">
        <is>
          <t xml:space="preserve">    国债</t>
        </is>
      </c>
      <c r="M54" t="inlineStr">
        <is>
          <t>24.04.02</t>
        </is>
      </c>
      <c r="N54" s="10" t="n"/>
      <c r="O54" s="10" t="n"/>
      <c r="P54" s="10" t="n"/>
      <c r="Q54" s="10" t="n"/>
      <c r="R54" t="inlineStr">
        <is>
          <t>LAST</t>
        </is>
      </c>
    </row>
    <row r="55">
      <c r="A55" s="10" t="inlineStr">
        <is>
          <t>三级</t>
        </is>
      </c>
      <c r="B55" s="10" t="inlineStr">
        <is>
          <t>资产余额</t>
        </is>
      </c>
      <c r="C55" s="10" t="inlineStr">
        <is>
          <t>B02.24.04.03</t>
        </is>
      </c>
      <c r="D55" s="10" t="inlineStr">
        <is>
          <t xml:space="preserve">    政金债</t>
        </is>
      </c>
      <c r="M55" t="inlineStr">
        <is>
          <t>24.04.03</t>
        </is>
      </c>
      <c r="N55" s="10" t="n"/>
      <c r="O55" s="10" t="n"/>
      <c r="P55" s="10" t="n"/>
      <c r="Q55" s="10" t="n"/>
      <c r="R55" t="inlineStr">
        <is>
          <t>LAST</t>
        </is>
      </c>
    </row>
    <row r="56">
      <c r="A56" s="10" t="inlineStr">
        <is>
          <t>三级</t>
        </is>
      </c>
      <c r="B56" s="10" t="inlineStr">
        <is>
          <t>资产余额</t>
        </is>
      </c>
      <c r="C56" s="10" t="inlineStr">
        <is>
          <t>B02.24.04.04</t>
        </is>
      </c>
      <c r="D56" s="10" t="inlineStr">
        <is>
          <t xml:space="preserve">    地方债</t>
        </is>
      </c>
      <c r="M56" t="inlineStr">
        <is>
          <t>24.04.04</t>
        </is>
      </c>
      <c r="N56" s="10" t="n"/>
      <c r="O56" s="10" t="n"/>
      <c r="P56" s="10" t="n"/>
      <c r="Q56" s="10" t="n"/>
      <c r="R56" t="inlineStr">
        <is>
          <t>LAST</t>
        </is>
      </c>
    </row>
    <row r="57">
      <c r="A57" s="10" t="inlineStr">
        <is>
          <t>三级</t>
        </is>
      </c>
      <c r="B57" s="10" t="inlineStr">
        <is>
          <t>资产余额</t>
        </is>
      </c>
      <c r="C57" s="10" t="inlineStr">
        <is>
          <t>B02.24.04.05</t>
        </is>
      </c>
      <c r="D57" s="10" t="inlineStr">
        <is>
          <t xml:space="preserve">    铁道债</t>
        </is>
      </c>
      <c r="M57" t="inlineStr">
        <is>
          <t>24.04.05</t>
        </is>
      </c>
      <c r="N57" s="10" t="n"/>
      <c r="O57" s="10" t="n"/>
      <c r="P57" s="10" t="n"/>
      <c r="Q57" s="10" t="n"/>
      <c r="R57" t="inlineStr">
        <is>
          <t>LAST</t>
        </is>
      </c>
    </row>
    <row r="58">
      <c r="A58" s="10" t="inlineStr">
        <is>
          <t>三级</t>
        </is>
      </c>
      <c r="B58" s="10" t="inlineStr">
        <is>
          <t>资产余额</t>
        </is>
      </c>
      <c r="C58" s="10" t="inlineStr">
        <is>
          <t>B02.24.04.06</t>
        </is>
      </c>
      <c r="D58" s="10" t="inlineStr">
        <is>
          <t xml:space="preserve">    银行债</t>
        </is>
      </c>
      <c r="M58" t="inlineStr">
        <is>
          <t>24.04.06</t>
        </is>
      </c>
      <c r="N58" s="10" t="n"/>
      <c r="O58" s="10" t="n"/>
      <c r="P58" s="10" t="n"/>
      <c r="Q58" s="10" t="n"/>
      <c r="R58" t="inlineStr">
        <is>
          <t>LAST</t>
        </is>
      </c>
    </row>
    <row r="59">
      <c r="A59" s="10" t="inlineStr">
        <is>
          <t>三级</t>
        </is>
      </c>
      <c r="B59" s="10" t="inlineStr">
        <is>
          <t>资产余额</t>
        </is>
      </c>
      <c r="C59" s="10" t="inlineStr">
        <is>
          <t>B02.24.04.07</t>
        </is>
      </c>
      <c r="D59" s="10" t="inlineStr">
        <is>
          <t xml:space="preserve">    非银债</t>
        </is>
      </c>
      <c r="M59" t="inlineStr">
        <is>
          <t>24.04.07</t>
        </is>
      </c>
      <c r="N59" s="10" t="n"/>
      <c r="O59" s="10" t="n"/>
      <c r="P59" s="10" t="n"/>
      <c r="Q59" s="10" t="n"/>
      <c r="R59" t="inlineStr">
        <is>
          <t>LAST</t>
        </is>
      </c>
    </row>
    <row r="60">
      <c r="A60" s="10" t="inlineStr">
        <is>
          <t>三级</t>
        </is>
      </c>
      <c r="B60" s="10" t="inlineStr">
        <is>
          <t>资产余额</t>
        </is>
      </c>
      <c r="C60" s="10" t="inlineStr">
        <is>
          <t>B02.24.04.08</t>
        </is>
      </c>
      <c r="D60" s="10" t="inlineStr">
        <is>
          <t xml:space="preserve">    信用债</t>
        </is>
      </c>
      <c r="F60" t="inlineStr">
        <is>
          <t>B02.24.04.08.01+B02.24.04.08.02</t>
        </is>
      </c>
      <c r="H60" s="5">
        <f>H61+H62</f>
        <v/>
      </c>
      <c r="I60" s="5">
        <f>I61+I62</f>
        <v/>
      </c>
      <c r="M60" t="inlineStr">
        <is>
          <t>24.04.08</t>
        </is>
      </c>
      <c r="N60" s="10" t="n"/>
      <c r="O60" s="10" t="n"/>
      <c r="P60" s="10" t="n"/>
      <c r="Q60" s="10" t="n"/>
    </row>
    <row r="61">
      <c r="A61" s="10" t="inlineStr">
        <is>
          <t>三级</t>
        </is>
      </c>
      <c r="B61" s="10" t="inlineStr">
        <is>
          <t>资产余额</t>
        </is>
      </c>
      <c r="C61" s="10" t="inlineStr">
        <is>
          <t>B02.24.04.08.01</t>
        </is>
      </c>
      <c r="D61" s="10" t="inlineStr">
        <is>
          <t xml:space="preserve">      AC和OCI</t>
        </is>
      </c>
      <c r="M61" t="inlineStr">
        <is>
          <t>24.04.08.01</t>
        </is>
      </c>
      <c r="N61" s="10" t="n"/>
      <c r="O61" s="10" t="n"/>
      <c r="P61" s="10" t="n"/>
      <c r="Q61" s="10" t="n"/>
      <c r="R61" t="inlineStr">
        <is>
          <t>LAST</t>
        </is>
      </c>
    </row>
    <row r="62">
      <c r="A62" s="10" t="inlineStr">
        <is>
          <t>三级</t>
        </is>
      </c>
      <c r="B62" s="10" t="inlineStr">
        <is>
          <t>资产余额</t>
        </is>
      </c>
      <c r="C62" s="10" t="inlineStr">
        <is>
          <t>B02.24.04.08.02</t>
        </is>
      </c>
      <c r="D62" s="10" t="inlineStr">
        <is>
          <t xml:space="preserve">      PL</t>
        </is>
      </c>
      <c r="M62" t="inlineStr">
        <is>
          <t>24.04.08.02</t>
        </is>
      </c>
      <c r="N62" s="10" t="n"/>
      <c r="O62" s="10" t="n"/>
      <c r="P62" s="10" t="n"/>
      <c r="Q62" s="10" t="n"/>
      <c r="R62" t="inlineStr">
        <is>
          <t>LAST</t>
        </is>
      </c>
    </row>
    <row r="63">
      <c r="A63" s="10" t="inlineStr">
        <is>
          <t>三级</t>
        </is>
      </c>
      <c r="B63" s="10" t="inlineStr">
        <is>
          <t>资产余额</t>
        </is>
      </c>
      <c r="C63" s="10" t="inlineStr">
        <is>
          <t>B02.24.04.09</t>
        </is>
      </c>
      <c r="D63" s="10" t="inlineStr">
        <is>
          <t xml:space="preserve">    ABS</t>
        </is>
      </c>
      <c r="M63" t="inlineStr">
        <is>
          <t>24.04.09</t>
        </is>
      </c>
      <c r="N63" s="10" t="n"/>
      <c r="O63" s="10" t="n"/>
      <c r="P63" s="10" t="n"/>
      <c r="Q63" s="10" t="n"/>
      <c r="R63" t="inlineStr">
        <is>
          <t>LAST</t>
        </is>
      </c>
    </row>
    <row r="64">
      <c r="A64" s="10" t="inlineStr">
        <is>
          <t>三级</t>
        </is>
      </c>
      <c r="B64" s="10" t="inlineStr">
        <is>
          <t>资产余额</t>
        </is>
      </c>
      <c r="C64" s="10" t="inlineStr">
        <is>
          <t>B02.24.04.10</t>
        </is>
      </c>
      <c r="D64" s="10" t="inlineStr">
        <is>
          <t xml:space="preserve">    二级资本债</t>
        </is>
      </c>
      <c r="M64" t="inlineStr">
        <is>
          <t>24.04.10</t>
        </is>
      </c>
      <c r="N64" s="10" t="n"/>
      <c r="O64" s="10" t="n"/>
      <c r="P64" s="10" t="n"/>
      <c r="Q64" s="10" t="n"/>
      <c r="R64" t="inlineStr">
        <is>
          <t>LAST</t>
        </is>
      </c>
    </row>
    <row r="65">
      <c r="A65" s="10" t="inlineStr">
        <is>
          <t>二级</t>
        </is>
      </c>
      <c r="B65" s="10" t="inlineStr">
        <is>
          <t>资产余额</t>
        </is>
      </c>
      <c r="C65" s="10" t="inlineStr">
        <is>
          <t>B02.24.05</t>
        </is>
      </c>
      <c r="D65" s="10" t="inlineStr">
        <is>
          <t xml:space="preserve">  同业存单投资</t>
        </is>
      </c>
      <c r="F65" t="inlineStr">
        <is>
          <t>B02.24.05.01+B02.24.05.02</t>
        </is>
      </c>
      <c r="H65" s="5">
        <f>H66+H67</f>
        <v/>
      </c>
      <c r="I65" s="5">
        <f>I66+I67</f>
        <v/>
      </c>
      <c r="M65" t="inlineStr">
        <is>
          <t>24.05</t>
        </is>
      </c>
      <c r="N65" s="10" t="n"/>
      <c r="O65" s="10" t="n"/>
      <c r="P65" s="10" t="n"/>
      <c r="Q65" s="10" t="n"/>
    </row>
    <row r="66">
      <c r="A66" s="10" t="inlineStr">
        <is>
          <t>三级</t>
        </is>
      </c>
      <c r="B66" s="10" t="inlineStr">
        <is>
          <t>资产余额</t>
        </is>
      </c>
      <c r="C66" s="10" t="inlineStr">
        <is>
          <t>B02.24.05.01</t>
        </is>
      </c>
      <c r="D66" s="10" t="inlineStr">
        <is>
          <t xml:space="preserve">    AC和OCI</t>
        </is>
      </c>
      <c r="M66" t="inlineStr">
        <is>
          <t>24.05.01</t>
        </is>
      </c>
      <c r="N66" s="10" t="n"/>
      <c r="O66" s="10" t="n"/>
      <c r="P66" s="10" t="n"/>
      <c r="Q66" s="10" t="n"/>
      <c r="R66" t="inlineStr">
        <is>
          <t>LAST</t>
        </is>
      </c>
    </row>
    <row r="67">
      <c r="A67" s="10" t="inlineStr">
        <is>
          <t>三级</t>
        </is>
      </c>
      <c r="B67" s="10" t="inlineStr">
        <is>
          <t>资产余额</t>
        </is>
      </c>
      <c r="C67" s="10" t="inlineStr">
        <is>
          <t>B02.24.05.02</t>
        </is>
      </c>
      <c r="D67" s="10" t="inlineStr">
        <is>
          <t xml:space="preserve">    PL</t>
        </is>
      </c>
      <c r="M67" t="inlineStr">
        <is>
          <t>24.05.02</t>
        </is>
      </c>
      <c r="N67" s="10" t="n"/>
      <c r="O67" s="10" t="n"/>
      <c r="P67" s="10" t="n"/>
      <c r="Q67" s="10" t="n"/>
      <c r="R67" t="inlineStr">
        <is>
          <t>LAST</t>
        </is>
      </c>
    </row>
    <row r="68">
      <c r="A68" s="10" t="inlineStr">
        <is>
          <t>二级</t>
        </is>
      </c>
      <c r="B68" s="10" t="inlineStr">
        <is>
          <t>资产余额</t>
        </is>
      </c>
      <c r="C68" s="10" t="inlineStr">
        <is>
          <t>B02.24.06</t>
        </is>
      </c>
      <c r="D68" s="10" t="inlineStr">
        <is>
          <t xml:space="preserve">  基金投资</t>
        </is>
      </c>
      <c r="F68" t="inlineStr">
        <is>
          <t>B02.24.06.01+B02.24.06.02</t>
        </is>
      </c>
      <c r="H68" s="5">
        <f>H69+H70</f>
        <v/>
      </c>
      <c r="I68" s="5">
        <f>I69+I70</f>
        <v/>
      </c>
      <c r="M68" t="inlineStr">
        <is>
          <t>24.06</t>
        </is>
      </c>
      <c r="N68" s="10" t="n"/>
      <c r="O68" s="10" t="n"/>
      <c r="P68" s="10" t="n"/>
      <c r="Q68" s="10" t="n"/>
    </row>
    <row r="69">
      <c r="A69" s="10" t="inlineStr">
        <is>
          <t>三级</t>
        </is>
      </c>
      <c r="B69" s="10" t="inlineStr">
        <is>
          <t>资产余额</t>
        </is>
      </c>
      <c r="C69" s="10" t="inlineStr">
        <is>
          <t>B02.24.06.01</t>
        </is>
      </c>
      <c r="D69" s="10" t="inlineStr">
        <is>
          <t xml:space="preserve">    货基</t>
        </is>
      </c>
      <c r="M69" t="inlineStr">
        <is>
          <t>24.06.01</t>
        </is>
      </c>
      <c r="N69" s="10" t="n"/>
      <c r="O69" s="10" t="n"/>
      <c r="P69" s="10" t="n"/>
      <c r="Q69" s="10" t="n"/>
      <c r="R69" t="inlineStr">
        <is>
          <t>LAST</t>
        </is>
      </c>
    </row>
    <row r="70">
      <c r="A70" s="10" t="inlineStr">
        <is>
          <t>三级</t>
        </is>
      </c>
      <c r="B70" s="10" t="inlineStr">
        <is>
          <t>资产余额</t>
        </is>
      </c>
      <c r="C70" s="10" t="inlineStr">
        <is>
          <t>B02.24.06.02</t>
        </is>
      </c>
      <c r="D70" s="10" t="inlineStr">
        <is>
          <t xml:space="preserve">    债基</t>
        </is>
      </c>
      <c r="M70" t="inlineStr">
        <is>
          <t>24.06.02</t>
        </is>
      </c>
      <c r="N70" s="10" t="n"/>
      <c r="O70" s="10" t="n"/>
      <c r="P70" s="10" t="n"/>
      <c r="Q70" s="10" t="n"/>
      <c r="R70" t="inlineStr">
        <is>
          <t>LAST</t>
        </is>
      </c>
    </row>
    <row r="71">
      <c r="A71" s="10" t="n"/>
      <c r="B71" s="10" t="n"/>
      <c r="C71" s="10" t="n"/>
      <c r="D71" s="10" t="n"/>
    </row>
    <row r="72">
      <c r="A72" s="7" t="inlineStr">
        <is>
          <t>一级</t>
        </is>
      </c>
      <c r="B72" s="1" t="inlineStr">
        <is>
          <t>资产日均</t>
        </is>
      </c>
      <c r="C72" s="11" t="inlineStr">
        <is>
          <t>B02.25</t>
        </is>
      </c>
      <c r="D72" s="11" t="inlineStr">
        <is>
          <t>同业资产日均</t>
        </is>
      </c>
      <c r="F72" t="inlineStr">
        <is>
          <t>B02.25.01+B02.25.02+B02.25.03+B02.25.04+B02.25.05+B02.25.06+B02.25.07</t>
        </is>
      </c>
      <c r="H72" s="5">
        <f>H73+H74+H75+H76+H87+H88+H91</f>
        <v/>
      </c>
      <c r="I72" s="5">
        <f>I73+I74+I75+I76+I87+I88+I91</f>
        <v/>
      </c>
      <c r="M72" t="inlineStr">
        <is>
          <t>25</t>
        </is>
      </c>
      <c r="N72" s="7" t="n"/>
      <c r="O72" s="1" t="n"/>
      <c r="P72" s="11" t="n"/>
      <c r="Q72" s="11" t="n"/>
    </row>
    <row r="73">
      <c r="A73" s="11" t="inlineStr">
        <is>
          <t>二级</t>
        </is>
      </c>
      <c r="B73" s="11" t="inlineStr">
        <is>
          <t>资产日均</t>
        </is>
      </c>
      <c r="C73" s="11" t="inlineStr">
        <is>
          <t>B02.25.01</t>
        </is>
      </c>
      <c r="D73" s="11" t="inlineStr">
        <is>
          <t xml:space="preserve">  存放同业</t>
        </is>
      </c>
      <c r="M73" t="inlineStr">
        <is>
          <t>25.01</t>
        </is>
      </c>
      <c r="N73" s="10" t="n"/>
      <c r="O73" s="10" t="n"/>
      <c r="P73" s="10" t="n"/>
      <c r="Q73" s="10" t="n"/>
      <c r="R73" t="inlineStr">
        <is>
          <t>AVG</t>
        </is>
      </c>
    </row>
    <row r="74">
      <c r="A74" s="11" t="inlineStr">
        <is>
          <t>二级</t>
        </is>
      </c>
      <c r="B74" s="11" t="inlineStr">
        <is>
          <t>资产日均</t>
        </is>
      </c>
      <c r="C74" s="11" t="inlineStr">
        <is>
          <t>B02.25.02</t>
        </is>
      </c>
      <c r="D74" s="11" t="inlineStr">
        <is>
          <t xml:space="preserve">  拆放同业</t>
        </is>
      </c>
      <c r="M74" t="inlineStr">
        <is>
          <t>25.02</t>
        </is>
      </c>
      <c r="N74" s="10" t="n"/>
      <c r="O74" s="10" t="n"/>
      <c r="P74" s="10" t="n"/>
      <c r="Q74" s="10" t="n"/>
      <c r="R74" t="inlineStr">
        <is>
          <t>AVG</t>
        </is>
      </c>
    </row>
    <row r="75">
      <c r="A75" s="11" t="inlineStr">
        <is>
          <t>二级</t>
        </is>
      </c>
      <c r="B75" s="11" t="inlineStr">
        <is>
          <t>资产日均</t>
        </is>
      </c>
      <c r="C75" s="11" t="inlineStr">
        <is>
          <t>B02.25.03</t>
        </is>
      </c>
      <c r="D75" s="11" t="inlineStr">
        <is>
          <t xml:space="preserve">  买入返售</t>
        </is>
      </c>
      <c r="M75" t="inlineStr">
        <is>
          <t>25.03</t>
        </is>
      </c>
      <c r="N75" s="10" t="n"/>
      <c r="O75" s="10" t="n"/>
      <c r="P75" s="10" t="n"/>
      <c r="Q75" s="10" t="n"/>
      <c r="R75" t="inlineStr">
        <is>
          <t>AVG</t>
        </is>
      </c>
    </row>
    <row r="76">
      <c r="A76" s="11" t="inlineStr">
        <is>
          <t>二级</t>
        </is>
      </c>
      <c r="B76" s="11" t="inlineStr">
        <is>
          <t>资产日均</t>
        </is>
      </c>
      <c r="C76" s="11" t="inlineStr">
        <is>
          <t>B02.25.04</t>
        </is>
      </c>
      <c r="D76" s="11" t="inlineStr">
        <is>
          <t xml:space="preserve">  债券投资</t>
        </is>
      </c>
      <c r="F76" t="inlineStr">
        <is>
          <t>B02.25.04.01+B02.25.04.02+B02.25.04.03+B02.25.04.04+B02.25.04.05+B02.25.04.06+B02.25.04.07+B02.25.04.08+B02.25.04.09+B02.25.04.10</t>
        </is>
      </c>
      <c r="H76" s="5">
        <f>H77+H78+H79+H80+H81+H82+H83+H84+H85+H86</f>
        <v/>
      </c>
      <c r="I76" s="5">
        <f>I77+I78+I79+I80+I81+I82+I83+I84+I85+I86</f>
        <v/>
      </c>
      <c r="M76" t="inlineStr">
        <is>
          <t>25.04</t>
        </is>
      </c>
      <c r="N76" s="10" t="n"/>
      <c r="O76" s="10" t="n"/>
      <c r="P76" s="10" t="n"/>
      <c r="Q76" s="10" t="n"/>
    </row>
    <row r="77">
      <c r="A77" s="10" t="inlineStr">
        <is>
          <t>三级</t>
        </is>
      </c>
      <c r="B77" s="10" t="inlineStr">
        <is>
          <t>资产日均</t>
        </is>
      </c>
      <c r="C77" s="10" t="inlineStr">
        <is>
          <t>B02.25.04.01</t>
        </is>
      </c>
      <c r="D77" s="10" t="inlineStr">
        <is>
          <t xml:space="preserve">    利率债</t>
        </is>
      </c>
      <c r="M77" t="inlineStr">
        <is>
          <t>25.04.01</t>
        </is>
      </c>
      <c r="N77" s="10" t="n"/>
      <c r="O77" s="10" t="n"/>
      <c r="P77" s="10" t="n"/>
      <c r="Q77" s="10" t="n"/>
      <c r="R77" t="inlineStr">
        <is>
          <t>AVG</t>
        </is>
      </c>
    </row>
    <row r="78">
      <c r="A78" s="10" t="inlineStr">
        <is>
          <t>三级</t>
        </is>
      </c>
      <c r="B78" s="10" t="inlineStr">
        <is>
          <t>资产日均</t>
        </is>
      </c>
      <c r="C78" s="10" t="inlineStr">
        <is>
          <t>B02.25.04.02</t>
        </is>
      </c>
      <c r="D78" s="10" t="inlineStr">
        <is>
          <t xml:space="preserve">    国债</t>
        </is>
      </c>
      <c r="M78" t="inlineStr">
        <is>
          <t>25.04.02</t>
        </is>
      </c>
      <c r="N78" s="10" t="n"/>
      <c r="O78" s="10" t="n"/>
      <c r="P78" s="10" t="n"/>
      <c r="Q78" s="10" t="n"/>
      <c r="R78" t="inlineStr">
        <is>
          <t>AVG</t>
        </is>
      </c>
    </row>
    <row r="79">
      <c r="A79" s="10" t="inlineStr">
        <is>
          <t>三级</t>
        </is>
      </c>
      <c r="B79" s="10" t="inlineStr">
        <is>
          <t>资产日均</t>
        </is>
      </c>
      <c r="C79" s="10" t="inlineStr">
        <is>
          <t>B02.25.04.03</t>
        </is>
      </c>
      <c r="D79" s="10" t="inlineStr">
        <is>
          <t xml:space="preserve">    政金债</t>
        </is>
      </c>
      <c r="M79" t="inlineStr">
        <is>
          <t>25.04.03</t>
        </is>
      </c>
      <c r="N79" s="10" t="n"/>
      <c r="O79" s="10" t="n"/>
      <c r="P79" s="10" t="n"/>
      <c r="Q79" s="10" t="n"/>
      <c r="R79" t="inlineStr">
        <is>
          <t>AVG</t>
        </is>
      </c>
    </row>
    <row r="80">
      <c r="A80" s="10" t="inlineStr">
        <is>
          <t>三级</t>
        </is>
      </c>
      <c r="B80" s="10" t="inlineStr">
        <is>
          <t>资产日均</t>
        </is>
      </c>
      <c r="C80" s="10" t="inlineStr">
        <is>
          <t>B02.25.04.04</t>
        </is>
      </c>
      <c r="D80" s="10" t="inlineStr">
        <is>
          <t xml:space="preserve">    地方债</t>
        </is>
      </c>
      <c r="M80" t="inlineStr">
        <is>
          <t>25.04.04</t>
        </is>
      </c>
      <c r="N80" s="10" t="n"/>
      <c r="O80" s="10" t="n"/>
      <c r="P80" s="10" t="n"/>
      <c r="Q80" s="10" t="n"/>
      <c r="R80" t="inlineStr">
        <is>
          <t>AVG</t>
        </is>
      </c>
    </row>
    <row r="81">
      <c r="A81" s="10" t="inlineStr">
        <is>
          <t>三级</t>
        </is>
      </c>
      <c r="B81" s="10" t="inlineStr">
        <is>
          <t>资产日均</t>
        </is>
      </c>
      <c r="C81" s="10" t="inlineStr">
        <is>
          <t>B02.25.04.05</t>
        </is>
      </c>
      <c r="D81" s="10" t="inlineStr">
        <is>
          <t xml:space="preserve">    铁道债</t>
        </is>
      </c>
      <c r="M81" t="inlineStr">
        <is>
          <t>25.04.05</t>
        </is>
      </c>
      <c r="N81" s="10" t="n"/>
      <c r="O81" s="10" t="n"/>
      <c r="P81" s="10" t="n"/>
      <c r="Q81" s="10" t="n"/>
      <c r="R81" t="inlineStr">
        <is>
          <t>AVG</t>
        </is>
      </c>
    </row>
    <row r="82">
      <c r="A82" s="10" t="inlineStr">
        <is>
          <t>三级</t>
        </is>
      </c>
      <c r="B82" s="10" t="inlineStr">
        <is>
          <t>资产日均</t>
        </is>
      </c>
      <c r="C82" s="10" t="inlineStr">
        <is>
          <t>B02.25.04.06</t>
        </is>
      </c>
      <c r="D82" s="10" t="inlineStr">
        <is>
          <t xml:space="preserve">    银行债</t>
        </is>
      </c>
      <c r="M82" t="inlineStr">
        <is>
          <t>25.04.06</t>
        </is>
      </c>
      <c r="N82" s="10" t="n"/>
      <c r="O82" s="10" t="n"/>
      <c r="P82" s="10" t="n"/>
      <c r="Q82" s="10" t="n"/>
      <c r="R82" t="inlineStr">
        <is>
          <t>AVG</t>
        </is>
      </c>
    </row>
    <row r="83">
      <c r="A83" s="10" t="inlineStr">
        <is>
          <t>三级</t>
        </is>
      </c>
      <c r="B83" s="10" t="inlineStr">
        <is>
          <t>资产日均</t>
        </is>
      </c>
      <c r="C83" s="10" t="inlineStr">
        <is>
          <t>B02.25.04.07</t>
        </is>
      </c>
      <c r="D83" s="10" t="inlineStr">
        <is>
          <t xml:space="preserve">    非银债</t>
        </is>
      </c>
      <c r="M83" t="inlineStr">
        <is>
          <t>25.04.07</t>
        </is>
      </c>
      <c r="N83" s="10" t="n"/>
      <c r="O83" s="10" t="n"/>
      <c r="P83" s="10" t="n"/>
      <c r="Q83" s="10" t="n"/>
      <c r="R83" t="inlineStr">
        <is>
          <t>AVG</t>
        </is>
      </c>
    </row>
    <row r="84">
      <c r="A84" s="10" t="inlineStr">
        <is>
          <t>三级</t>
        </is>
      </c>
      <c r="B84" s="10" t="inlineStr">
        <is>
          <t>资产日均</t>
        </is>
      </c>
      <c r="C84" s="10" t="inlineStr">
        <is>
          <t>B02.25.04.08</t>
        </is>
      </c>
      <c r="D84" s="10" t="inlineStr">
        <is>
          <t xml:space="preserve">     信用债</t>
        </is>
      </c>
      <c r="M84" t="inlineStr">
        <is>
          <t>25.04.08</t>
        </is>
      </c>
      <c r="N84" s="10" t="n"/>
      <c r="O84" s="10" t="n"/>
      <c r="P84" s="10" t="n"/>
      <c r="Q84" s="10" t="n"/>
      <c r="R84" t="inlineStr">
        <is>
          <t>AVG</t>
        </is>
      </c>
    </row>
    <row r="85">
      <c r="A85" s="10" t="inlineStr">
        <is>
          <t>三级</t>
        </is>
      </c>
      <c r="B85" s="10" t="inlineStr">
        <is>
          <t>资产日均</t>
        </is>
      </c>
      <c r="C85" s="10" t="inlineStr">
        <is>
          <t>B02.25.04.09</t>
        </is>
      </c>
      <c r="D85" s="10" t="inlineStr">
        <is>
          <t xml:space="preserve">    ABS</t>
        </is>
      </c>
      <c r="M85" t="inlineStr">
        <is>
          <t>25.04.09</t>
        </is>
      </c>
      <c r="N85" s="10" t="n"/>
      <c r="O85" s="10" t="n"/>
      <c r="P85" s="10" t="n"/>
      <c r="Q85" s="10" t="n"/>
      <c r="R85" t="inlineStr">
        <is>
          <t>AVG</t>
        </is>
      </c>
    </row>
    <row r="86">
      <c r="A86" s="10" t="inlineStr">
        <is>
          <t>三级</t>
        </is>
      </c>
      <c r="B86" s="10" t="inlineStr">
        <is>
          <t>资产日均</t>
        </is>
      </c>
      <c r="C86" s="10" t="inlineStr">
        <is>
          <t>B02.25.04.10</t>
        </is>
      </c>
      <c r="D86" s="10" t="inlineStr">
        <is>
          <t xml:space="preserve">    二级资本债</t>
        </is>
      </c>
      <c r="M86" t="inlineStr">
        <is>
          <t>25.04.10</t>
        </is>
      </c>
      <c r="N86" s="10" t="n"/>
      <c r="O86" s="10" t="n"/>
      <c r="P86" s="10" t="n"/>
      <c r="Q86" s="10" t="n"/>
      <c r="R86" t="inlineStr">
        <is>
          <t>AVG</t>
        </is>
      </c>
    </row>
    <row r="87">
      <c r="A87" s="11" t="inlineStr">
        <is>
          <t>二级</t>
        </is>
      </c>
      <c r="B87" s="11" t="inlineStr">
        <is>
          <t>资产日均</t>
        </is>
      </c>
      <c r="C87" s="11" t="inlineStr">
        <is>
          <t>B02.25.05</t>
        </is>
      </c>
      <c r="D87" s="11" t="inlineStr">
        <is>
          <t xml:space="preserve">  同业存单投资</t>
        </is>
      </c>
      <c r="M87" t="inlineStr">
        <is>
          <t>25.05</t>
        </is>
      </c>
      <c r="N87" s="10" t="n"/>
      <c r="O87" s="10" t="n"/>
      <c r="P87" s="10" t="n"/>
      <c r="Q87" s="10" t="n"/>
      <c r="R87" t="inlineStr">
        <is>
          <t>AVG</t>
        </is>
      </c>
    </row>
    <row r="88">
      <c r="A88" s="11" t="inlineStr">
        <is>
          <t>二级</t>
        </is>
      </c>
      <c r="B88" s="11" t="inlineStr">
        <is>
          <t>资产日均</t>
        </is>
      </c>
      <c r="C88" s="11" t="inlineStr">
        <is>
          <t>B02.25.06</t>
        </is>
      </c>
      <c r="D88" s="11" t="inlineStr">
        <is>
          <t xml:space="preserve">  基金投资</t>
        </is>
      </c>
      <c r="F88" t="inlineStr">
        <is>
          <t>B02.25.06.01+B02.25.06.02</t>
        </is>
      </c>
      <c r="H88" s="5">
        <f>H89+H90</f>
        <v/>
      </c>
      <c r="I88" s="5">
        <f>I89+I90</f>
        <v/>
      </c>
      <c r="M88" t="inlineStr">
        <is>
          <t>25.06</t>
        </is>
      </c>
      <c r="N88" s="10" t="n"/>
      <c r="O88" s="10" t="n"/>
      <c r="P88" s="10" t="n"/>
      <c r="Q88" s="10" t="n"/>
    </row>
    <row r="89">
      <c r="A89" s="10" t="inlineStr">
        <is>
          <t>三级</t>
        </is>
      </c>
      <c r="B89" s="10" t="inlineStr">
        <is>
          <t>资产日均</t>
        </is>
      </c>
      <c r="C89" s="10" t="inlineStr">
        <is>
          <t>B02.25.06.01</t>
        </is>
      </c>
      <c r="D89" s="10" t="inlineStr">
        <is>
          <t xml:space="preserve">    货基</t>
        </is>
      </c>
      <c r="M89" t="inlineStr">
        <is>
          <t>25.06.01</t>
        </is>
      </c>
      <c r="N89" s="10" t="n"/>
      <c r="O89" s="10" t="n"/>
      <c r="P89" s="10" t="n"/>
      <c r="Q89" s="10" t="n"/>
      <c r="R89" t="inlineStr">
        <is>
          <t>AVG</t>
        </is>
      </c>
    </row>
    <row r="90">
      <c r="A90" s="10" t="inlineStr">
        <is>
          <t>三级</t>
        </is>
      </c>
      <c r="B90" s="10" t="inlineStr">
        <is>
          <t>资产日均</t>
        </is>
      </c>
      <c r="C90" s="10" t="inlineStr">
        <is>
          <t>B02.25.06.02</t>
        </is>
      </c>
      <c r="D90" s="10" t="inlineStr">
        <is>
          <t xml:space="preserve">    债基</t>
        </is>
      </c>
      <c r="M90" t="inlineStr">
        <is>
          <t>25.06.02</t>
        </is>
      </c>
      <c r="N90" s="10" t="n"/>
      <c r="O90" s="10" t="n"/>
      <c r="P90" s="10" t="n"/>
      <c r="Q90" s="10" t="n"/>
      <c r="R90" t="inlineStr">
        <is>
          <t>AVG</t>
        </is>
      </c>
    </row>
    <row r="91">
      <c r="A91" s="11" t="inlineStr">
        <is>
          <t>二级</t>
        </is>
      </c>
      <c r="B91" s="11" t="inlineStr">
        <is>
          <t>资产日均</t>
        </is>
      </c>
      <c r="C91" s="11" t="inlineStr">
        <is>
          <t>B02.25.07</t>
        </is>
      </c>
      <c r="D91" s="11" t="inlineStr">
        <is>
          <t xml:space="preserve">  其他PL资产</t>
        </is>
      </c>
      <c r="F91" t="inlineStr">
        <is>
          <t>B02.25.07.01+B02.25.07.02+B02.25.07.03</t>
        </is>
      </c>
      <c r="H91" s="5">
        <f>H92+H93+H94</f>
        <v/>
      </c>
      <c r="I91" s="5">
        <f>I92+I93+I94</f>
        <v/>
      </c>
      <c r="M91" t="inlineStr">
        <is>
          <t>25.07</t>
        </is>
      </c>
      <c r="N91" s="10" t="n"/>
      <c r="O91" s="10" t="n"/>
      <c r="P91" s="10" t="n"/>
      <c r="Q91" s="10" t="n"/>
    </row>
    <row r="92">
      <c r="A92" s="10" t="inlineStr">
        <is>
          <t>三级</t>
        </is>
      </c>
      <c r="B92" s="10" t="inlineStr">
        <is>
          <t>资产日均</t>
        </is>
      </c>
      <c r="C92" s="10" t="inlineStr">
        <is>
          <t>B02.25.07.01</t>
        </is>
      </c>
      <c r="D92" s="10" t="inlineStr">
        <is>
          <t xml:space="preserve">    PL利率债</t>
        </is>
      </c>
      <c r="M92" t="inlineStr">
        <is>
          <t>25.07.01</t>
        </is>
      </c>
      <c r="N92" s="10" t="n"/>
      <c r="O92" s="10" t="n"/>
      <c r="P92" s="10" t="n"/>
      <c r="Q92" s="10" t="n"/>
      <c r="R92" t="inlineStr">
        <is>
          <t>AVG</t>
        </is>
      </c>
    </row>
    <row r="93">
      <c r="A93" s="10" t="inlineStr">
        <is>
          <t>三级</t>
        </is>
      </c>
      <c r="B93" s="10" t="inlineStr">
        <is>
          <t>资产日均</t>
        </is>
      </c>
      <c r="C93" s="10" t="inlineStr">
        <is>
          <t>B02.25.07.02</t>
        </is>
      </c>
      <c r="D93" s="10" t="inlineStr">
        <is>
          <t xml:space="preserve">    PL信用债</t>
        </is>
      </c>
      <c r="M93" t="inlineStr">
        <is>
          <t>25.07.02</t>
        </is>
      </c>
      <c r="N93" s="10" t="n"/>
      <c r="O93" s="10" t="n"/>
      <c r="P93" s="10" t="n"/>
      <c r="Q93" s="10" t="n"/>
      <c r="R93" t="inlineStr">
        <is>
          <t>AVG</t>
        </is>
      </c>
    </row>
    <row r="94">
      <c r="A94" s="10" t="inlineStr">
        <is>
          <t>三级</t>
        </is>
      </c>
      <c r="B94" s="10" t="inlineStr">
        <is>
          <t>资产日均</t>
        </is>
      </c>
      <c r="C94" s="10" t="inlineStr">
        <is>
          <t>B02.25.07.03</t>
        </is>
      </c>
      <c r="D94" s="10" t="inlineStr">
        <is>
          <t xml:space="preserve">    PL同业存单投资</t>
        </is>
      </c>
      <c r="M94" t="inlineStr">
        <is>
          <t>25.07.03</t>
        </is>
      </c>
      <c r="N94" s="10" t="n"/>
      <c r="O94" s="10" t="n"/>
      <c r="P94" s="10" t="n"/>
      <c r="Q94" s="10" t="n"/>
      <c r="R94" t="inlineStr">
        <is>
          <t>AVG</t>
        </is>
      </c>
    </row>
    <row r="95">
      <c r="A95" s="10" t="n"/>
      <c r="B95" s="10" t="n"/>
      <c r="C95" s="10" t="n"/>
      <c r="D95" s="10" t="n"/>
      <c r="N95" s="10" t="n"/>
      <c r="O95" s="10" t="n"/>
      <c r="P95" s="10" t="n"/>
      <c r="Q95" s="10" t="n"/>
    </row>
    <row r="96">
      <c r="A96" s="7" t="inlineStr">
        <is>
          <t>一级</t>
        </is>
      </c>
      <c r="B96" s="1" t="inlineStr">
        <is>
          <t>负债余额</t>
        </is>
      </c>
      <c r="C96" s="11" t="inlineStr">
        <is>
          <t>B02.26</t>
        </is>
      </c>
      <c r="D96" s="11" t="inlineStr">
        <is>
          <t>同业负债余额</t>
        </is>
      </c>
      <c r="F96" t="inlineStr">
        <is>
          <t>B02.26.02+B02.26.03+B02.26.04+B02.26.05+B02.26.06+B02.26.07</t>
        </is>
      </c>
      <c r="H96" s="5">
        <f>H97+#REF!+H100+H101</f>
        <v/>
      </c>
      <c r="I96" s="5">
        <f>I97+#REF!+I100+I101</f>
        <v/>
      </c>
      <c r="L96" s="7" t="n"/>
      <c r="M96" s="1" t="inlineStr">
        <is>
          <t>26</t>
        </is>
      </c>
      <c r="N96" s="11" t="n"/>
      <c r="O96" s="11" t="n"/>
      <c r="P96" s="10" t="n"/>
      <c r="Q96" s="10" t="n"/>
    </row>
    <row r="97">
      <c r="A97" s="10" t="inlineStr">
        <is>
          <t>二级</t>
        </is>
      </c>
      <c r="B97" s="1" t="inlineStr">
        <is>
          <t>负债余额</t>
        </is>
      </c>
      <c r="C97" s="10" t="inlineStr">
        <is>
          <t>B02.26.02</t>
        </is>
      </c>
      <c r="D97" s="10" t="inlineStr">
        <is>
          <t xml:space="preserve">  同业存放</t>
        </is>
      </c>
      <c r="L97" s="10" t="n"/>
      <c r="M97" s="1" t="inlineStr">
        <is>
          <t>26.02</t>
        </is>
      </c>
      <c r="N97" s="10" t="n"/>
      <c r="O97" s="10" t="n"/>
      <c r="P97" s="10" t="n"/>
      <c r="Q97" s="10" t="n"/>
      <c r="R97" t="inlineStr">
        <is>
          <t>LAST</t>
        </is>
      </c>
    </row>
    <row r="98">
      <c r="A98" s="10" t="inlineStr">
        <is>
          <t>三级</t>
        </is>
      </c>
      <c r="B98" s="1" t="inlineStr">
        <is>
          <t>负债余额</t>
        </is>
      </c>
      <c r="C98" s="10" t="inlineStr">
        <is>
          <t>B02.26.03</t>
        </is>
      </c>
      <c r="D98" s="10" t="inlineStr">
        <is>
          <t xml:space="preserve">  同业拆入</t>
        </is>
      </c>
      <c r="L98" s="10" t="n"/>
      <c r="M98" s="10" t="inlineStr">
        <is>
          <t>26.03</t>
        </is>
      </c>
      <c r="N98" s="10" t="n"/>
      <c r="O98" s="10" t="n"/>
      <c r="P98" s="10" t="n"/>
      <c r="Q98" s="10" t="n"/>
      <c r="R98" t="inlineStr">
        <is>
          <t>LAST</t>
        </is>
      </c>
    </row>
    <row r="99">
      <c r="A99" s="10" t="inlineStr">
        <is>
          <t>三级</t>
        </is>
      </c>
      <c r="B99" s="1" t="inlineStr">
        <is>
          <t>负债余额</t>
        </is>
      </c>
      <c r="C99" s="10" t="inlineStr">
        <is>
          <t>B02.26.04</t>
        </is>
      </c>
      <c r="D99" s="10" t="inlineStr">
        <is>
          <t xml:space="preserve">  转贷款</t>
        </is>
      </c>
      <c r="L99" s="10" t="n"/>
      <c r="M99" s="10" t="inlineStr">
        <is>
          <t>26.04</t>
        </is>
      </c>
      <c r="N99" s="10" t="n"/>
      <c r="O99" s="10" t="n"/>
      <c r="P99" s="10" t="n"/>
      <c r="Q99" s="10" t="n"/>
      <c r="R99" t="inlineStr">
        <is>
          <t>LAST</t>
        </is>
      </c>
    </row>
    <row r="100">
      <c r="A100" s="10" t="inlineStr">
        <is>
          <t>二级</t>
        </is>
      </c>
      <c r="B100" s="1" t="inlineStr">
        <is>
          <t>负债余额</t>
        </is>
      </c>
      <c r="C100" s="10" t="inlineStr">
        <is>
          <t>B02.26.05</t>
        </is>
      </c>
      <c r="D100" s="10" t="inlineStr">
        <is>
          <t xml:space="preserve">  卖出回购</t>
        </is>
      </c>
      <c r="L100" s="10" t="n"/>
      <c r="M100" s="1" t="inlineStr">
        <is>
          <t>26.05</t>
        </is>
      </c>
      <c r="N100" s="10" t="n"/>
      <c r="O100" s="10" t="n"/>
      <c r="P100" s="10" t="n"/>
      <c r="Q100" s="10" t="n"/>
      <c r="R100" t="inlineStr">
        <is>
          <t>LAST</t>
        </is>
      </c>
    </row>
    <row r="101">
      <c r="A101" s="10" t="inlineStr">
        <is>
          <t>二级</t>
        </is>
      </c>
      <c r="B101" s="1" t="inlineStr">
        <is>
          <t>负债余额</t>
        </is>
      </c>
      <c r="C101" s="10" t="inlineStr">
        <is>
          <t>B02.26.06</t>
        </is>
      </c>
      <c r="D101" s="10" t="inlineStr">
        <is>
          <t xml:space="preserve">  发行同业存单</t>
        </is>
      </c>
      <c r="L101" s="10" t="n"/>
      <c r="M101" s="1" t="inlineStr">
        <is>
          <t>26.06</t>
        </is>
      </c>
      <c r="N101" s="10" t="n"/>
      <c r="O101" s="10" t="n"/>
      <c r="P101" s="10" t="n"/>
      <c r="Q101" s="10" t="n"/>
      <c r="R101" t="inlineStr">
        <is>
          <t>LAST</t>
        </is>
      </c>
    </row>
    <row r="102">
      <c r="A102" s="10" t="inlineStr">
        <is>
          <t>三级</t>
        </is>
      </c>
      <c r="B102" s="1" t="inlineStr">
        <is>
          <t xml:space="preserve">负债余额 </t>
        </is>
      </c>
      <c r="C102" s="10" t="inlineStr">
        <is>
          <t>B02.26.07</t>
        </is>
      </c>
      <c r="D102" s="10" t="inlineStr">
        <is>
          <t xml:space="preserve">  交易性金融负债</t>
        </is>
      </c>
      <c r="L102" s="10" t="n"/>
      <c r="M102" s="1" t="inlineStr">
        <is>
          <t>26.07</t>
        </is>
      </c>
      <c r="N102" s="10" t="n"/>
      <c r="O102" s="10" t="n"/>
      <c r="P102" s="10" t="n"/>
      <c r="Q102" s="10" t="n"/>
      <c r="R102" t="inlineStr">
        <is>
          <t>LAST</t>
        </is>
      </c>
    </row>
    <row r="103">
      <c r="A103" s="10" t="n"/>
      <c r="B103" s="10" t="n"/>
      <c r="C103" s="10" t="n"/>
      <c r="D103" s="10" t="n"/>
      <c r="L103" s="10" t="n"/>
      <c r="M103" s="10" t="n"/>
      <c r="N103" s="10" t="n"/>
      <c r="O103" s="10" t="n"/>
      <c r="P103" s="10" t="n"/>
      <c r="Q103" s="10" t="n"/>
    </row>
    <row r="104">
      <c r="A104" s="7" t="inlineStr">
        <is>
          <t>一级</t>
        </is>
      </c>
      <c r="B104" s="1" t="inlineStr">
        <is>
          <t>负债日均</t>
        </is>
      </c>
      <c r="C104" s="11" t="inlineStr">
        <is>
          <t>B02.27</t>
        </is>
      </c>
      <c r="D104" s="11" t="inlineStr">
        <is>
          <t>同业负债日均</t>
        </is>
      </c>
      <c r="F104" t="inlineStr">
        <is>
          <t>B02.27.02+B02.27.03+B02.27.04+B02.27.05+B02.27.06+B02.27.07</t>
        </is>
      </c>
      <c r="H104" s="5">
        <f>H105+H106+H107+H108+H109+H110</f>
        <v/>
      </c>
      <c r="I104" s="5">
        <f>I105+I106+I107+I108+I109+I110</f>
        <v/>
      </c>
      <c r="L104" s="7" t="n"/>
      <c r="M104" s="1" t="inlineStr">
        <is>
          <t>27</t>
        </is>
      </c>
      <c r="N104" s="11" t="n"/>
      <c r="O104" s="11" t="n"/>
      <c r="P104" s="10" t="n"/>
      <c r="Q104" s="10" t="n"/>
    </row>
    <row r="105">
      <c r="A105" s="10" t="inlineStr">
        <is>
          <t>二级</t>
        </is>
      </c>
      <c r="B105" s="1" t="inlineStr">
        <is>
          <t>负债日均</t>
        </is>
      </c>
      <c r="C105" s="10" t="inlineStr">
        <is>
          <t>B02.27.02</t>
        </is>
      </c>
      <c r="D105" s="10" t="inlineStr">
        <is>
          <t xml:space="preserve">  同业存放</t>
        </is>
      </c>
      <c r="L105" s="10" t="n"/>
      <c r="M105" s="1" t="inlineStr">
        <is>
          <t>27.02</t>
        </is>
      </c>
      <c r="N105" s="10" t="n"/>
      <c r="O105" s="10" t="n"/>
      <c r="P105" s="10" t="n"/>
      <c r="Q105" s="10" t="n"/>
      <c r="R105" t="inlineStr">
        <is>
          <t>AVG</t>
        </is>
      </c>
    </row>
    <row r="106">
      <c r="A106" s="10" t="inlineStr">
        <is>
          <t>三级</t>
        </is>
      </c>
      <c r="B106" s="1" t="inlineStr">
        <is>
          <t>负债日均</t>
        </is>
      </c>
      <c r="C106" s="10" t="inlineStr">
        <is>
          <t>B02.27.03</t>
        </is>
      </c>
      <c r="D106" s="10" t="inlineStr">
        <is>
          <t xml:space="preserve">  同业拆入</t>
        </is>
      </c>
      <c r="L106" s="10" t="n"/>
      <c r="M106" s="10" t="inlineStr">
        <is>
          <t>27.03</t>
        </is>
      </c>
      <c r="N106" s="10" t="n"/>
      <c r="O106" s="10" t="n"/>
      <c r="P106" s="10" t="n"/>
      <c r="Q106" s="10" t="n"/>
      <c r="R106" t="inlineStr">
        <is>
          <t>AVG</t>
        </is>
      </c>
    </row>
    <row r="107">
      <c r="A107" s="10" t="inlineStr">
        <is>
          <t>三级</t>
        </is>
      </c>
      <c r="B107" s="1" t="inlineStr">
        <is>
          <t>负债日均</t>
        </is>
      </c>
      <c r="C107" s="10" t="inlineStr">
        <is>
          <t>B02.27.04</t>
        </is>
      </c>
      <c r="D107" s="10" t="inlineStr">
        <is>
          <t xml:space="preserve">  转贷款</t>
        </is>
      </c>
      <c r="L107" s="10" t="n"/>
      <c r="M107" s="10" t="inlineStr">
        <is>
          <t>27.04</t>
        </is>
      </c>
      <c r="N107" s="10" t="n"/>
      <c r="O107" s="10" t="n"/>
      <c r="P107" s="10" t="n"/>
      <c r="Q107" s="10" t="n"/>
      <c r="R107" t="inlineStr">
        <is>
          <t>AVG</t>
        </is>
      </c>
    </row>
    <row r="108">
      <c r="A108" s="10" t="inlineStr">
        <is>
          <t>二级</t>
        </is>
      </c>
      <c r="B108" s="1" t="inlineStr">
        <is>
          <t>负债日均</t>
        </is>
      </c>
      <c r="C108" s="10" t="inlineStr">
        <is>
          <t>B02.27.05</t>
        </is>
      </c>
      <c r="D108" s="10" t="inlineStr">
        <is>
          <t xml:space="preserve">  卖出回购</t>
        </is>
      </c>
      <c r="L108" s="10" t="n"/>
      <c r="M108" s="1" t="inlineStr">
        <is>
          <t>27.05</t>
        </is>
      </c>
      <c r="N108" s="10" t="n"/>
      <c r="O108" s="10" t="n"/>
      <c r="P108" s="10" t="n"/>
      <c r="Q108" s="10" t="n"/>
      <c r="R108" t="inlineStr">
        <is>
          <t>AVG</t>
        </is>
      </c>
    </row>
    <row r="109">
      <c r="A109" s="10" t="inlineStr">
        <is>
          <t>二级</t>
        </is>
      </c>
      <c r="B109" s="1" t="inlineStr">
        <is>
          <t>负债日均</t>
        </is>
      </c>
      <c r="C109" s="10" t="inlineStr">
        <is>
          <t>B02.27.06</t>
        </is>
      </c>
      <c r="D109" s="10" t="inlineStr">
        <is>
          <t xml:space="preserve">  发行同业存单</t>
        </is>
      </c>
      <c r="L109" s="10" t="n"/>
      <c r="M109" s="1" t="inlineStr">
        <is>
          <t>27.06</t>
        </is>
      </c>
      <c r="N109" s="10" t="n"/>
      <c r="O109" s="10" t="n"/>
      <c r="P109" s="10" t="n"/>
      <c r="Q109" s="10" t="n"/>
      <c r="R109" t="inlineStr">
        <is>
          <t>AVG</t>
        </is>
      </c>
    </row>
    <row r="110">
      <c r="A110" s="1" t="inlineStr">
        <is>
          <t>三级</t>
        </is>
      </c>
      <c r="B110" s="1" t="inlineStr">
        <is>
          <t>负债日均</t>
        </is>
      </c>
      <c r="C110" s="10" t="inlineStr">
        <is>
          <t>B02.27.07</t>
        </is>
      </c>
      <c r="D110" s="10" t="inlineStr">
        <is>
          <t xml:space="preserve">  交易性金融负债</t>
        </is>
      </c>
      <c r="L110" s="10" t="n"/>
      <c r="M110" s="1" t="inlineStr">
        <is>
          <t>27.07</t>
        </is>
      </c>
      <c r="N110" s="10" t="n"/>
      <c r="O110" s="10" t="n"/>
      <c r="P110" s="10" t="n"/>
      <c r="Q110" s="10" t="n"/>
      <c r="R110" t="inlineStr">
        <is>
          <t>AVG</t>
        </is>
      </c>
    </row>
    <row r="111">
      <c r="A111" s="10" t="n"/>
      <c r="B111" s="1" t="n"/>
      <c r="C111" s="10" t="n"/>
      <c r="D111" s="10" t="n"/>
      <c r="N111" s="10" t="n"/>
      <c r="O111" s="10" t="n"/>
      <c r="P111" s="10" t="n"/>
      <c r="Q111" s="10" t="n"/>
    </row>
    <row r="112" customFormat="1" s="12">
      <c r="A112" s="7" t="inlineStr">
        <is>
          <t>一级</t>
        </is>
      </c>
      <c r="B112" s="7" t="inlineStr">
        <is>
          <t>收入</t>
        </is>
      </c>
      <c r="C112" s="8" t="inlineStr">
        <is>
          <t>B02.14</t>
        </is>
      </c>
      <c r="D112" s="7" t="inlineStr">
        <is>
          <t>利息收入</t>
        </is>
      </c>
      <c r="F112" t="inlineStr">
        <is>
          <t>B02.14.01+B02.14.02+B02.14.03</t>
        </is>
      </c>
      <c r="H112" s="5">
        <f>H113+H116+H128</f>
        <v/>
      </c>
      <c r="I112" s="5">
        <f>I113+I116+I128</f>
        <v/>
      </c>
      <c r="M112" t="inlineStr">
        <is>
          <t>14</t>
        </is>
      </c>
    </row>
    <row r="113" customFormat="1" s="12">
      <c r="A113" s="11" t="inlineStr">
        <is>
          <t>二级</t>
        </is>
      </c>
      <c r="B113" s="11" t="inlineStr">
        <is>
          <t>收入</t>
        </is>
      </c>
      <c r="C113" s="11" t="inlineStr">
        <is>
          <t>B02.14.01</t>
        </is>
      </c>
      <c r="D113" s="11" t="inlineStr">
        <is>
          <t xml:space="preserve">  贷款利息收入</t>
        </is>
      </c>
      <c r="F113" t="inlineStr">
        <is>
          <t>B02.14.01.01</t>
        </is>
      </c>
      <c r="I113" s="5">
        <f>I36*I114</f>
        <v/>
      </c>
      <c r="J113" s="5" t="inlineStr">
        <is>
          <t>收支月化指标</t>
        </is>
      </c>
      <c r="M113" t="inlineStr">
        <is>
          <t>14.01</t>
        </is>
      </c>
    </row>
    <row r="114">
      <c r="A114" s="10" t="inlineStr">
        <is>
          <t>三级</t>
        </is>
      </c>
      <c r="B114" s="10" t="inlineStr">
        <is>
          <t>其他</t>
        </is>
      </c>
      <c r="C114" s="10" t="inlineStr">
        <is>
          <t>B02.14.01.01</t>
        </is>
      </c>
      <c r="D114" s="10" t="inlineStr">
        <is>
          <t xml:space="preserve">    贷款收息率</t>
        </is>
      </c>
      <c r="H114" s="5">
        <f>H113/H36</f>
        <v/>
      </c>
      <c r="J114" s="5" t="inlineStr">
        <is>
          <t>率年化指标</t>
        </is>
      </c>
      <c r="M114" t="inlineStr">
        <is>
          <t>14.01.01</t>
        </is>
      </c>
      <c r="R114" t="inlineStr">
        <is>
          <t>WGT</t>
        </is>
      </c>
    </row>
    <row r="115">
      <c r="A115" s="11" t="n"/>
      <c r="B115" s="11" t="n"/>
      <c r="C115" s="11" t="n"/>
      <c r="D115" s="11" t="n"/>
    </row>
    <row r="116">
      <c r="A116" s="7" t="inlineStr">
        <is>
          <t>二级</t>
        </is>
      </c>
      <c r="B116" s="11" t="inlineStr">
        <is>
          <t>收入</t>
        </is>
      </c>
      <c r="C116" s="11" t="inlineStr">
        <is>
          <t>B02.14.02</t>
        </is>
      </c>
      <c r="D116" s="7" t="inlineStr">
        <is>
          <t xml:space="preserve">  金融机构往来利息收入</t>
        </is>
      </c>
      <c r="F116" t="inlineStr">
        <is>
          <t>B02.14.02.01+B02.14.02.02+B02.14.02.03+B02.14.02.04+B02.14.02.05</t>
        </is>
      </c>
      <c r="H116" s="5">
        <f>H117+H119+H121+H123+H125</f>
        <v/>
      </c>
      <c r="I116" s="5">
        <f>I117+I119+I121+I123+I125</f>
        <v/>
      </c>
      <c r="M116" t="inlineStr">
        <is>
          <t>14.02</t>
        </is>
      </c>
    </row>
    <row r="117">
      <c r="A117" s="7" t="inlineStr">
        <is>
          <t>三级</t>
        </is>
      </c>
      <c r="B117" s="10" t="inlineStr">
        <is>
          <t>收入</t>
        </is>
      </c>
      <c r="C117" s="8" t="inlineStr">
        <is>
          <t>B02.14.02.01</t>
        </is>
      </c>
      <c r="D117" s="7" t="inlineStr">
        <is>
          <t xml:space="preserve">    存放央行</t>
        </is>
      </c>
      <c r="F117" t="inlineStr">
        <is>
          <t>B02.14.02.01.01</t>
        </is>
      </c>
      <c r="I117" s="5">
        <f>I42*I118</f>
        <v/>
      </c>
      <c r="J117" s="5" t="inlineStr">
        <is>
          <t>收支月化指标</t>
        </is>
      </c>
      <c r="M117" t="inlineStr">
        <is>
          <t>14.02.01</t>
        </is>
      </c>
    </row>
    <row r="118">
      <c r="A118" s="1" t="inlineStr">
        <is>
          <t>四级</t>
        </is>
      </c>
      <c r="B118" s="1" t="inlineStr">
        <is>
          <t>其他</t>
        </is>
      </c>
      <c r="C118" s="9" t="inlineStr">
        <is>
          <t>B02.14.02.01.01</t>
        </is>
      </c>
      <c r="D118" s="10" t="inlineStr">
        <is>
          <t xml:space="preserve">      收息率</t>
        </is>
      </c>
      <c r="H118" s="5">
        <f>H117/H42</f>
        <v/>
      </c>
      <c r="J118" s="5" t="inlineStr">
        <is>
          <t>率年化指标</t>
        </is>
      </c>
      <c r="M118" t="inlineStr">
        <is>
          <t>14.02.01.01</t>
        </is>
      </c>
      <c r="R118" t="inlineStr">
        <is>
          <t>WGT</t>
        </is>
      </c>
    </row>
    <row r="119">
      <c r="A119" s="7" t="inlineStr">
        <is>
          <t>三级</t>
        </is>
      </c>
      <c r="B119" s="10" t="inlineStr">
        <is>
          <t>收入</t>
        </is>
      </c>
      <c r="C119" s="8" t="inlineStr">
        <is>
          <t>B02.14.02.02</t>
        </is>
      </c>
      <c r="D119" s="7" t="inlineStr">
        <is>
          <t xml:space="preserve">    存放同业</t>
        </is>
      </c>
      <c r="F119" t="inlineStr">
        <is>
          <t>B02.14.02.02.01</t>
        </is>
      </c>
      <c r="I119" s="5">
        <f>I73*I120</f>
        <v/>
      </c>
      <c r="J119" s="5" t="inlineStr">
        <is>
          <t>收支月化指标</t>
        </is>
      </c>
      <c r="M119" t="inlineStr">
        <is>
          <t>14.02.02</t>
        </is>
      </c>
    </row>
    <row r="120">
      <c r="A120" s="1" t="inlineStr">
        <is>
          <t>四级</t>
        </is>
      </c>
      <c r="B120" s="1" t="inlineStr">
        <is>
          <t>其他</t>
        </is>
      </c>
      <c r="C120" s="9" t="inlineStr">
        <is>
          <t>B02.14.02.02.01</t>
        </is>
      </c>
      <c r="D120" s="10" t="inlineStr">
        <is>
          <t xml:space="preserve">      收息率</t>
        </is>
      </c>
      <c r="H120" s="5">
        <f>H119/H73</f>
        <v/>
      </c>
      <c r="J120" s="5" t="inlineStr">
        <is>
          <t>率年化指标</t>
        </is>
      </c>
      <c r="M120" t="inlineStr">
        <is>
          <t>14.02.02.01</t>
        </is>
      </c>
      <c r="R120" t="inlineStr">
        <is>
          <t>WGT</t>
        </is>
      </c>
    </row>
    <row r="121">
      <c r="A121" s="7" t="inlineStr">
        <is>
          <t>三级</t>
        </is>
      </c>
      <c r="B121" s="10" t="inlineStr">
        <is>
          <t>收入</t>
        </is>
      </c>
      <c r="C121" s="8" t="inlineStr">
        <is>
          <t>B02.14.02.03</t>
        </is>
      </c>
      <c r="D121" s="7" t="inlineStr">
        <is>
          <t xml:space="preserve">    拆放同业</t>
        </is>
      </c>
      <c r="F121" t="inlineStr">
        <is>
          <t>B02.14.02.03.01</t>
        </is>
      </c>
      <c r="I121" s="5">
        <f>I74*I122</f>
        <v/>
      </c>
      <c r="J121" s="5" t="inlineStr">
        <is>
          <t>收支月化指标</t>
        </is>
      </c>
      <c r="M121" t="inlineStr">
        <is>
          <t>14.02.03</t>
        </is>
      </c>
    </row>
    <row r="122">
      <c r="A122" s="1" t="inlineStr">
        <is>
          <t>四级</t>
        </is>
      </c>
      <c r="B122" s="1" t="inlineStr">
        <is>
          <t>其他</t>
        </is>
      </c>
      <c r="C122" s="9" t="inlineStr">
        <is>
          <t>B02.14.02.03.01</t>
        </is>
      </c>
      <c r="D122" s="10" t="inlineStr">
        <is>
          <t xml:space="preserve">      收息率</t>
        </is>
      </c>
      <c r="H122" s="5">
        <f>H121/H74</f>
        <v/>
      </c>
      <c r="J122" s="5" t="inlineStr">
        <is>
          <t>率年化指标</t>
        </is>
      </c>
      <c r="M122" t="inlineStr">
        <is>
          <t>14.02.03.01</t>
        </is>
      </c>
      <c r="R122" t="inlineStr">
        <is>
          <t>WGT</t>
        </is>
      </c>
    </row>
    <row r="123">
      <c r="A123" s="7" t="inlineStr">
        <is>
          <t>三级</t>
        </is>
      </c>
      <c r="B123" s="10" t="inlineStr">
        <is>
          <t>收入</t>
        </is>
      </c>
      <c r="C123" s="8" t="inlineStr">
        <is>
          <t>B02.14.02.04</t>
        </is>
      </c>
      <c r="D123" s="7" t="inlineStr">
        <is>
          <t xml:space="preserve">    买入返售</t>
        </is>
      </c>
      <c r="F123" t="inlineStr">
        <is>
          <t>B02.14.02.04.01</t>
        </is>
      </c>
      <c r="I123" s="5">
        <f>I75*I124</f>
        <v/>
      </c>
      <c r="J123" s="5" t="inlineStr">
        <is>
          <t>收支月化指标</t>
        </is>
      </c>
      <c r="M123" t="inlineStr">
        <is>
          <t>14.02.04</t>
        </is>
      </c>
    </row>
    <row r="124">
      <c r="A124" s="1" t="inlineStr">
        <is>
          <t>四级</t>
        </is>
      </c>
      <c r="B124" s="1" t="inlineStr">
        <is>
          <t>其他</t>
        </is>
      </c>
      <c r="C124" s="9" t="inlineStr">
        <is>
          <t>B02.14.02.04.01</t>
        </is>
      </c>
      <c r="D124" s="10" t="inlineStr">
        <is>
          <t xml:space="preserve">      收息率</t>
        </is>
      </c>
      <c r="H124" s="5">
        <f>H123/H75</f>
        <v/>
      </c>
      <c r="J124" s="5" t="inlineStr">
        <is>
          <t>率年化指标</t>
        </is>
      </c>
      <c r="M124" t="inlineStr">
        <is>
          <t>14.02.04.01</t>
        </is>
      </c>
      <c r="R124" t="inlineStr">
        <is>
          <t>WGT</t>
        </is>
      </c>
    </row>
    <row r="125">
      <c r="A125" s="7" t="inlineStr">
        <is>
          <t>三级</t>
        </is>
      </c>
      <c r="B125" s="10" t="inlineStr">
        <is>
          <t>收入</t>
        </is>
      </c>
      <c r="C125" s="8" t="inlineStr">
        <is>
          <t>B02.14.02.05</t>
        </is>
      </c>
      <c r="D125" s="7" t="inlineStr">
        <is>
          <t xml:space="preserve">    同业存单投资</t>
        </is>
      </c>
      <c r="F125" t="inlineStr">
        <is>
          <t>B02.14.02.05.01</t>
        </is>
      </c>
      <c r="I125" s="5">
        <f>I87*I126</f>
        <v/>
      </c>
      <c r="J125" s="5" t="inlineStr">
        <is>
          <t>收支月化指标</t>
        </is>
      </c>
      <c r="M125" t="inlineStr">
        <is>
          <t>14.02.05</t>
        </is>
      </c>
    </row>
    <row r="126">
      <c r="A126" s="1" t="inlineStr">
        <is>
          <t>四级</t>
        </is>
      </c>
      <c r="B126" s="1" t="inlineStr">
        <is>
          <t>其他</t>
        </is>
      </c>
      <c r="C126" s="9" t="inlineStr">
        <is>
          <t>B02.14.02.05.01</t>
        </is>
      </c>
      <c r="D126" s="10" t="inlineStr">
        <is>
          <t xml:space="preserve">      收息率</t>
        </is>
      </c>
      <c r="H126" s="5">
        <f>H125/H87</f>
        <v/>
      </c>
      <c r="J126" s="5" t="inlineStr">
        <is>
          <t>率年化指标</t>
        </is>
      </c>
      <c r="M126" t="inlineStr">
        <is>
          <t>14.02.05.01</t>
        </is>
      </c>
      <c r="R126" t="inlineStr">
        <is>
          <t>WGT</t>
        </is>
      </c>
    </row>
    <row r="127">
      <c r="A127" s="1" t="n"/>
      <c r="B127" s="1" t="n"/>
      <c r="C127" s="9" t="n"/>
      <c r="D127" s="10" t="n"/>
    </row>
    <row r="128">
      <c r="A128" s="7" t="inlineStr">
        <is>
          <t>二级</t>
        </is>
      </c>
      <c r="B128" s="11" t="inlineStr">
        <is>
          <t>收入</t>
        </is>
      </c>
      <c r="C128" s="8" t="inlineStr">
        <is>
          <t>B02.14.03</t>
        </is>
      </c>
      <c r="D128" s="7" t="inlineStr">
        <is>
          <t xml:space="preserve">  投资利息收入</t>
        </is>
      </c>
      <c r="F128" t="inlineStr">
        <is>
          <t>B02.14.03.01+B02.14.03.02+B02.14.03.03+B02.14.03.04+B02.14.03.05+B02.14.03.06+B02.14.03.07+B02.14.03.08+B02.14.03.09+B02.14.03.10</t>
        </is>
      </c>
      <c r="H128" s="5">
        <f>H129+H131+H133+H135+H137+H139+H141+H143+H145+H147</f>
        <v/>
      </c>
      <c r="I128" s="5">
        <f>I129+I131+I133+I135+I137+I139+I141+I143+I145+I147</f>
        <v/>
      </c>
      <c r="M128" t="inlineStr">
        <is>
          <t>14.03</t>
        </is>
      </c>
    </row>
    <row r="129">
      <c r="A129" s="7" t="inlineStr">
        <is>
          <t>三级</t>
        </is>
      </c>
      <c r="B129" s="10" t="inlineStr">
        <is>
          <t>收入</t>
        </is>
      </c>
      <c r="C129" s="8" t="inlineStr">
        <is>
          <t>B02.14.03.01</t>
        </is>
      </c>
      <c r="D129" s="7" t="inlineStr">
        <is>
          <t xml:space="preserve">    利率债</t>
        </is>
      </c>
      <c r="F129" t="inlineStr">
        <is>
          <t>B02.14.03.01.01</t>
        </is>
      </c>
      <c r="I129" s="5">
        <f>I77*I130</f>
        <v/>
      </c>
      <c r="J129" s="5" t="inlineStr">
        <is>
          <t>收支月化指标</t>
        </is>
      </c>
      <c r="M129" t="inlineStr">
        <is>
          <t>14.03.01</t>
        </is>
      </c>
    </row>
    <row r="130">
      <c r="A130" s="1" t="inlineStr">
        <is>
          <t>四级</t>
        </is>
      </c>
      <c r="B130" s="1" t="inlineStr">
        <is>
          <t>其他</t>
        </is>
      </c>
      <c r="C130" s="9" t="inlineStr">
        <is>
          <t>B02.14.03.01.01</t>
        </is>
      </c>
      <c r="D130" s="10" t="inlineStr">
        <is>
          <t xml:space="preserve">      收息率</t>
        </is>
      </c>
      <c r="H130" s="5">
        <f>H129/H77</f>
        <v/>
      </c>
      <c r="J130" s="5" t="inlineStr">
        <is>
          <t>率年化指标</t>
        </is>
      </c>
      <c r="M130" t="inlineStr">
        <is>
          <t>14.03.01.01</t>
        </is>
      </c>
      <c r="R130" t="inlineStr">
        <is>
          <t>WGT</t>
        </is>
      </c>
    </row>
    <row r="131">
      <c r="A131" s="7" t="inlineStr">
        <is>
          <t>三级</t>
        </is>
      </c>
      <c r="B131" s="10" t="inlineStr">
        <is>
          <t>收入</t>
        </is>
      </c>
      <c r="C131" s="8" t="inlineStr">
        <is>
          <t>B02.14.03.02</t>
        </is>
      </c>
      <c r="D131" s="7" t="inlineStr">
        <is>
          <t xml:space="preserve">    国债</t>
        </is>
      </c>
      <c r="F131" t="inlineStr">
        <is>
          <t>B02.14.03.02.01</t>
        </is>
      </c>
      <c r="I131" s="5">
        <f>I78*I132</f>
        <v/>
      </c>
      <c r="J131" s="5" t="inlineStr">
        <is>
          <t>收支月化指标</t>
        </is>
      </c>
      <c r="M131" t="inlineStr">
        <is>
          <t>14.03.02</t>
        </is>
      </c>
    </row>
    <row r="132">
      <c r="A132" s="1" t="inlineStr">
        <is>
          <t>四级</t>
        </is>
      </c>
      <c r="B132" s="1" t="inlineStr">
        <is>
          <t>其他</t>
        </is>
      </c>
      <c r="C132" s="9" t="inlineStr">
        <is>
          <t>B02.14.03.02.01</t>
        </is>
      </c>
      <c r="D132" s="10" t="inlineStr">
        <is>
          <t xml:space="preserve">      收息率</t>
        </is>
      </c>
      <c r="H132" s="5">
        <f>H131/H78</f>
        <v/>
      </c>
      <c r="J132" s="5" t="inlineStr">
        <is>
          <t>率年化指标</t>
        </is>
      </c>
      <c r="M132" t="inlineStr">
        <is>
          <t>14.03.02.01</t>
        </is>
      </c>
      <c r="R132" t="inlineStr">
        <is>
          <t>WGT</t>
        </is>
      </c>
    </row>
    <row r="133">
      <c r="A133" s="7" t="inlineStr">
        <is>
          <t>三级</t>
        </is>
      </c>
      <c r="B133" s="10" t="inlineStr">
        <is>
          <t>收入</t>
        </is>
      </c>
      <c r="C133" s="8" t="inlineStr">
        <is>
          <t>B02.14.03.03</t>
        </is>
      </c>
      <c r="D133" s="7" t="inlineStr">
        <is>
          <t xml:space="preserve">    政金债</t>
        </is>
      </c>
      <c r="F133" t="inlineStr">
        <is>
          <t>B02.14.03.03.01</t>
        </is>
      </c>
      <c r="I133" s="5">
        <f>I79*I134</f>
        <v/>
      </c>
      <c r="J133" s="5" t="inlineStr">
        <is>
          <t>收支月化指标</t>
        </is>
      </c>
      <c r="M133" t="inlineStr">
        <is>
          <t>14.03.03</t>
        </is>
      </c>
    </row>
    <row r="134">
      <c r="A134" s="1" t="inlineStr">
        <is>
          <t>四级</t>
        </is>
      </c>
      <c r="B134" s="1" t="inlineStr">
        <is>
          <t>其他</t>
        </is>
      </c>
      <c r="C134" s="9" t="inlineStr">
        <is>
          <t>B02.14.03.03.01</t>
        </is>
      </c>
      <c r="D134" s="10" t="inlineStr">
        <is>
          <t xml:space="preserve">      收息率</t>
        </is>
      </c>
      <c r="H134" s="5">
        <f>H133/H79</f>
        <v/>
      </c>
      <c r="J134" s="5" t="inlineStr">
        <is>
          <t>率年化指标</t>
        </is>
      </c>
      <c r="M134" t="inlineStr">
        <is>
          <t>14.03.03.01</t>
        </is>
      </c>
      <c r="R134" t="inlineStr">
        <is>
          <t>WGT</t>
        </is>
      </c>
    </row>
    <row r="135">
      <c r="A135" s="7" t="inlineStr">
        <is>
          <t>三级</t>
        </is>
      </c>
      <c r="B135" s="10" t="inlineStr">
        <is>
          <t>收入</t>
        </is>
      </c>
      <c r="C135" s="8" t="inlineStr">
        <is>
          <t>B02.14.03.04</t>
        </is>
      </c>
      <c r="D135" s="7" t="inlineStr">
        <is>
          <t xml:space="preserve">    地方债</t>
        </is>
      </c>
      <c r="F135" t="inlineStr">
        <is>
          <t>B02.14.03.04.01</t>
        </is>
      </c>
      <c r="I135" s="5">
        <f>I80*I136</f>
        <v/>
      </c>
      <c r="J135" s="5" t="inlineStr">
        <is>
          <t>收支月化指标</t>
        </is>
      </c>
      <c r="M135" t="inlineStr">
        <is>
          <t>14.03.04</t>
        </is>
      </c>
    </row>
    <row r="136">
      <c r="A136" s="1" t="inlineStr">
        <is>
          <t>四级</t>
        </is>
      </c>
      <c r="B136" s="1" t="inlineStr">
        <is>
          <t>其他</t>
        </is>
      </c>
      <c r="C136" s="9" t="inlineStr">
        <is>
          <t>B02.14.03.04.01</t>
        </is>
      </c>
      <c r="D136" s="10" t="inlineStr">
        <is>
          <t xml:space="preserve">      收息率</t>
        </is>
      </c>
      <c r="H136" s="5">
        <f>H135/H80</f>
        <v/>
      </c>
      <c r="J136" s="5" t="inlineStr">
        <is>
          <t>率年化指标</t>
        </is>
      </c>
      <c r="M136" t="inlineStr">
        <is>
          <t>14.03.04.01</t>
        </is>
      </c>
      <c r="R136" t="inlineStr">
        <is>
          <t>WGT</t>
        </is>
      </c>
    </row>
    <row r="137">
      <c r="A137" s="7" t="inlineStr">
        <is>
          <t>三级</t>
        </is>
      </c>
      <c r="B137" s="10" t="inlineStr">
        <is>
          <t>收入</t>
        </is>
      </c>
      <c r="C137" s="8" t="inlineStr">
        <is>
          <t>B02.14.03.05</t>
        </is>
      </c>
      <c r="D137" s="7" t="inlineStr">
        <is>
          <t xml:space="preserve">    铁道债</t>
        </is>
      </c>
      <c r="F137" t="inlineStr">
        <is>
          <t>B02.14.03.05.01</t>
        </is>
      </c>
      <c r="I137" s="5">
        <f>I81*I138</f>
        <v/>
      </c>
      <c r="J137" s="5" t="inlineStr">
        <is>
          <t>收支月化指标</t>
        </is>
      </c>
      <c r="M137" t="inlineStr">
        <is>
          <t>14.03.05</t>
        </is>
      </c>
    </row>
    <row r="138">
      <c r="A138" s="1" t="inlineStr">
        <is>
          <t>四级</t>
        </is>
      </c>
      <c r="B138" s="1" t="inlineStr">
        <is>
          <t>其他</t>
        </is>
      </c>
      <c r="C138" s="9" t="inlineStr">
        <is>
          <t>B02.14.03.05.01</t>
        </is>
      </c>
      <c r="D138" s="10" t="inlineStr">
        <is>
          <t xml:space="preserve">      收息率</t>
        </is>
      </c>
      <c r="H138" s="5">
        <f>H137/H81</f>
        <v/>
      </c>
      <c r="J138" s="5" t="inlineStr">
        <is>
          <t>率年化指标</t>
        </is>
      </c>
      <c r="M138" t="inlineStr">
        <is>
          <t>14.03.05.01</t>
        </is>
      </c>
      <c r="R138" t="inlineStr">
        <is>
          <t>WGT</t>
        </is>
      </c>
    </row>
    <row r="139">
      <c r="A139" s="7" t="inlineStr">
        <is>
          <t>三级</t>
        </is>
      </c>
      <c r="B139" s="10" t="inlineStr">
        <is>
          <t>收入</t>
        </is>
      </c>
      <c r="C139" s="8" t="inlineStr">
        <is>
          <t>B02.14.03.06</t>
        </is>
      </c>
      <c r="D139" s="7" t="inlineStr">
        <is>
          <t xml:space="preserve">    银行债</t>
        </is>
      </c>
      <c r="F139" t="inlineStr">
        <is>
          <t>B02.14.03.06.01</t>
        </is>
      </c>
      <c r="I139" s="5">
        <f>I82*I140</f>
        <v/>
      </c>
      <c r="J139" s="5" t="inlineStr">
        <is>
          <t>收支月化指标</t>
        </is>
      </c>
      <c r="M139" t="inlineStr">
        <is>
          <t>14.03.06</t>
        </is>
      </c>
    </row>
    <row r="140">
      <c r="A140" s="1" t="inlineStr">
        <is>
          <t>四级</t>
        </is>
      </c>
      <c r="B140" s="1" t="inlineStr">
        <is>
          <t>其他</t>
        </is>
      </c>
      <c r="C140" s="9" t="inlineStr">
        <is>
          <t>B02.14.03.06.01</t>
        </is>
      </c>
      <c r="D140" s="10" t="inlineStr">
        <is>
          <t xml:space="preserve">      收息率</t>
        </is>
      </c>
      <c r="H140" s="5">
        <f>H139/H82</f>
        <v/>
      </c>
      <c r="J140" s="5" t="inlineStr">
        <is>
          <t>率年化指标</t>
        </is>
      </c>
      <c r="M140" t="inlineStr">
        <is>
          <t>14.03.06.01</t>
        </is>
      </c>
      <c r="R140" t="inlineStr">
        <is>
          <t>WGT</t>
        </is>
      </c>
    </row>
    <row r="141">
      <c r="A141" s="7" t="inlineStr">
        <is>
          <t>三级</t>
        </is>
      </c>
      <c r="B141" s="10" t="inlineStr">
        <is>
          <t>收入</t>
        </is>
      </c>
      <c r="C141" s="8" t="inlineStr">
        <is>
          <t>B02.14.03.07</t>
        </is>
      </c>
      <c r="D141" s="7" t="inlineStr">
        <is>
          <t xml:space="preserve">    非银债</t>
        </is>
      </c>
      <c r="F141" t="inlineStr">
        <is>
          <t>B02.14.03.07.01</t>
        </is>
      </c>
      <c r="I141" s="5">
        <f>I83*I142</f>
        <v/>
      </c>
      <c r="J141" s="5" t="inlineStr">
        <is>
          <t>收支月化指标</t>
        </is>
      </c>
      <c r="M141" t="inlineStr">
        <is>
          <t>14.03.07</t>
        </is>
      </c>
    </row>
    <row r="142">
      <c r="A142" s="1" t="inlineStr">
        <is>
          <t>四级</t>
        </is>
      </c>
      <c r="B142" s="1" t="inlineStr">
        <is>
          <t>其他</t>
        </is>
      </c>
      <c r="C142" s="9" t="inlineStr">
        <is>
          <t>B02.14.03.07.01</t>
        </is>
      </c>
      <c r="D142" s="10" t="inlineStr">
        <is>
          <t xml:space="preserve">      收息率</t>
        </is>
      </c>
      <c r="H142" s="5">
        <f>H141/H83</f>
        <v/>
      </c>
      <c r="J142" s="5" t="inlineStr">
        <is>
          <t>率年化指标</t>
        </is>
      </c>
      <c r="M142" t="inlineStr">
        <is>
          <t>14.03.07.01</t>
        </is>
      </c>
      <c r="R142" t="inlineStr">
        <is>
          <t>WGT</t>
        </is>
      </c>
    </row>
    <row r="143">
      <c r="A143" s="7" t="inlineStr">
        <is>
          <t>三级</t>
        </is>
      </c>
      <c r="B143" s="10" t="inlineStr">
        <is>
          <t>收入</t>
        </is>
      </c>
      <c r="C143" s="8" t="inlineStr">
        <is>
          <t>B02.14.03.08</t>
        </is>
      </c>
      <c r="D143" s="7" t="inlineStr">
        <is>
          <t xml:space="preserve">    信用债</t>
        </is>
      </c>
      <c r="F143" t="inlineStr">
        <is>
          <t>B02.14.03.08.01</t>
        </is>
      </c>
      <c r="I143" s="5">
        <f>I84*I144</f>
        <v/>
      </c>
      <c r="J143" s="5" t="inlineStr">
        <is>
          <t>收支月化指标</t>
        </is>
      </c>
      <c r="M143" t="inlineStr">
        <is>
          <t>14.03.08</t>
        </is>
      </c>
    </row>
    <row r="144">
      <c r="A144" s="1" t="inlineStr">
        <is>
          <t>四级</t>
        </is>
      </c>
      <c r="B144" s="1" t="inlineStr">
        <is>
          <t>其他</t>
        </is>
      </c>
      <c r="C144" s="9" t="inlineStr">
        <is>
          <t>B02.14.03.08.01</t>
        </is>
      </c>
      <c r="D144" s="10" t="inlineStr">
        <is>
          <t xml:space="preserve">      收息率</t>
        </is>
      </c>
      <c r="H144" s="5">
        <f>H143/H84</f>
        <v/>
      </c>
      <c r="J144" s="5" t="inlineStr">
        <is>
          <t>率年化指标</t>
        </is>
      </c>
      <c r="M144" t="inlineStr">
        <is>
          <t>14.03.08.01</t>
        </is>
      </c>
      <c r="R144" t="inlineStr">
        <is>
          <t>WGT</t>
        </is>
      </c>
    </row>
    <row r="145">
      <c r="A145" s="7" t="inlineStr">
        <is>
          <t>三级</t>
        </is>
      </c>
      <c r="B145" s="10" t="inlineStr">
        <is>
          <t>收入</t>
        </is>
      </c>
      <c r="C145" s="8" t="inlineStr">
        <is>
          <t>B02.14.03.09</t>
        </is>
      </c>
      <c r="D145" s="7" t="inlineStr">
        <is>
          <t xml:space="preserve">    ABS投资</t>
        </is>
      </c>
      <c r="F145" t="inlineStr">
        <is>
          <t>B02.14.03.09.01</t>
        </is>
      </c>
      <c r="I145" s="5">
        <f>I85*I146</f>
        <v/>
      </c>
      <c r="J145" s="5" t="inlineStr">
        <is>
          <t>收支月化指标</t>
        </is>
      </c>
      <c r="M145" t="inlineStr">
        <is>
          <t>14.03.09</t>
        </is>
      </c>
    </row>
    <row r="146">
      <c r="A146" s="1" t="inlineStr">
        <is>
          <t>四级</t>
        </is>
      </c>
      <c r="B146" s="1" t="inlineStr">
        <is>
          <t>其他</t>
        </is>
      </c>
      <c r="C146" s="9" t="inlineStr">
        <is>
          <t>B02.14.03.09.01</t>
        </is>
      </c>
      <c r="D146" s="10" t="inlineStr">
        <is>
          <t xml:space="preserve">      收息率</t>
        </is>
      </c>
      <c r="H146" s="5">
        <f>H145/H85</f>
        <v/>
      </c>
      <c r="J146" s="5" t="inlineStr">
        <is>
          <t>率年化指标</t>
        </is>
      </c>
      <c r="M146" t="inlineStr">
        <is>
          <t>14.03.09.01</t>
        </is>
      </c>
      <c r="R146" t="inlineStr">
        <is>
          <t>WGT</t>
        </is>
      </c>
    </row>
    <row r="147">
      <c r="A147" s="7" t="inlineStr">
        <is>
          <t>三级</t>
        </is>
      </c>
      <c r="B147" s="10" t="inlineStr">
        <is>
          <t>收入</t>
        </is>
      </c>
      <c r="C147" s="8" t="inlineStr">
        <is>
          <t>B02.14.03.10</t>
        </is>
      </c>
      <c r="D147" s="7" t="inlineStr">
        <is>
          <t xml:space="preserve">    二级资本债</t>
        </is>
      </c>
      <c r="F147" t="inlineStr">
        <is>
          <t>B02.14.03.10.01</t>
        </is>
      </c>
      <c r="I147" s="5">
        <f>I86*I148</f>
        <v/>
      </c>
      <c r="J147" s="5" t="inlineStr">
        <is>
          <t>收支月化指标</t>
        </is>
      </c>
      <c r="M147" t="inlineStr">
        <is>
          <t>14.03.10</t>
        </is>
      </c>
    </row>
    <row r="148">
      <c r="A148" s="1" t="inlineStr">
        <is>
          <t>四级</t>
        </is>
      </c>
      <c r="B148" s="1" t="inlineStr">
        <is>
          <t>其他</t>
        </is>
      </c>
      <c r="C148" s="9" t="inlineStr">
        <is>
          <t>B02.14.03.10.01</t>
        </is>
      </c>
      <c r="D148" s="10" t="inlineStr">
        <is>
          <t xml:space="preserve">      收息率</t>
        </is>
      </c>
      <c r="H148" s="5">
        <f>H147/H86</f>
        <v/>
      </c>
      <c r="J148" s="5" t="inlineStr">
        <is>
          <t>率年化指标</t>
        </is>
      </c>
      <c r="M148" t="inlineStr">
        <is>
          <t>14.03.10.01</t>
        </is>
      </c>
      <c r="R148" t="inlineStr">
        <is>
          <t>WGT</t>
        </is>
      </c>
    </row>
    <row r="149">
      <c r="A149" s="1" t="n"/>
      <c r="B149" s="1" t="n"/>
      <c r="C149" s="9" t="n"/>
      <c r="D149" s="10" t="n"/>
    </row>
    <row r="150">
      <c r="A150" s="7" t="inlineStr">
        <is>
          <t>一级</t>
        </is>
      </c>
      <c r="B150" s="7" t="inlineStr">
        <is>
          <t>支出</t>
        </is>
      </c>
      <c r="C150" s="8" t="inlineStr">
        <is>
          <t>B02.15</t>
        </is>
      </c>
      <c r="D150" s="7" t="inlineStr">
        <is>
          <t>FTP成本</t>
        </is>
      </c>
      <c r="F150" t="inlineStr">
        <is>
          <t>B02.15.01+B02.15.02+B02.15.03</t>
        </is>
      </c>
      <c r="H150" s="5">
        <f>H151+H154+H166</f>
        <v/>
      </c>
      <c r="I150" s="5">
        <f>I151+I154+I166</f>
        <v/>
      </c>
      <c r="M150" t="inlineStr">
        <is>
          <t>15</t>
        </is>
      </c>
    </row>
    <row r="151">
      <c r="A151" s="11" t="inlineStr">
        <is>
          <t>二级</t>
        </is>
      </c>
      <c r="B151" s="11" t="inlineStr">
        <is>
          <t>支出</t>
        </is>
      </c>
      <c r="C151" s="11" t="inlineStr">
        <is>
          <t>B02.15.01</t>
        </is>
      </c>
      <c r="D151" s="11" t="inlineStr">
        <is>
          <t xml:space="preserve">  贷款FTP成本</t>
        </is>
      </c>
      <c r="F151" t="inlineStr">
        <is>
          <t>B02.15.01.01</t>
        </is>
      </c>
      <c r="I151" s="5">
        <f>I36*I152</f>
        <v/>
      </c>
      <c r="J151" s="5" t="inlineStr">
        <is>
          <t>收支月化指标</t>
        </is>
      </c>
      <c r="M151" t="inlineStr">
        <is>
          <t>15.01</t>
        </is>
      </c>
    </row>
    <row r="152">
      <c r="A152" s="10" t="inlineStr">
        <is>
          <t>三级</t>
        </is>
      </c>
      <c r="B152" s="10" t="inlineStr">
        <is>
          <t>其他</t>
        </is>
      </c>
      <c r="C152" s="10" t="inlineStr">
        <is>
          <t>B02.15.01.01</t>
        </is>
      </c>
      <c r="D152" s="10" t="inlineStr">
        <is>
          <t xml:space="preserve">    贷款FTP</t>
        </is>
      </c>
      <c r="H152" s="5">
        <f>H151/H36</f>
        <v/>
      </c>
      <c r="J152" s="5" t="inlineStr">
        <is>
          <t>率年化指标</t>
        </is>
      </c>
      <c r="M152" t="inlineStr">
        <is>
          <t>15.01.01</t>
        </is>
      </c>
      <c r="R152" t="inlineStr">
        <is>
          <t>WGT</t>
        </is>
      </c>
    </row>
    <row r="153">
      <c r="A153" s="1" t="n"/>
      <c r="B153" s="1" t="n"/>
      <c r="C153" s="9" t="n"/>
      <c r="D153" s="10" t="n"/>
    </row>
    <row r="154">
      <c r="A154" s="7" t="inlineStr">
        <is>
          <t>二级</t>
        </is>
      </c>
      <c r="B154" s="7" t="inlineStr">
        <is>
          <t>支出</t>
        </is>
      </c>
      <c r="C154" s="8" t="inlineStr">
        <is>
          <t>B02.15.02</t>
        </is>
      </c>
      <c r="D154" s="11" t="inlineStr">
        <is>
          <t xml:space="preserve">  金融机构往来FTP成本</t>
        </is>
      </c>
      <c r="E154" s="12" t="n"/>
      <c r="F154" s="12" t="inlineStr">
        <is>
          <t>B02.15.02.01+B02.15.02.02+B02.15.02.03+B02.15.02.04+B02.15.02.05</t>
        </is>
      </c>
      <c r="G154" s="12" t="n"/>
      <c r="H154" s="12">
        <f>H155+H157+H159+H161+H163</f>
        <v/>
      </c>
      <c r="I154" s="12">
        <f>I155+I157+I159+I161+I163</f>
        <v/>
      </c>
      <c r="M154" t="inlineStr">
        <is>
          <t>15.02</t>
        </is>
      </c>
    </row>
    <row r="155">
      <c r="A155" s="1" t="inlineStr">
        <is>
          <t>三级</t>
        </is>
      </c>
      <c r="B155" s="1" t="inlineStr">
        <is>
          <t>支出</t>
        </is>
      </c>
      <c r="C155" s="9" t="inlineStr">
        <is>
          <t>B02.15.02.01</t>
        </is>
      </c>
      <c r="D155" s="10" t="inlineStr">
        <is>
          <t xml:space="preserve">    存放央行</t>
        </is>
      </c>
      <c r="F155" t="inlineStr">
        <is>
          <t>B02.15.02.01.01</t>
        </is>
      </c>
      <c r="H155" s="5">
        <f>H117</f>
        <v/>
      </c>
      <c r="I155" s="5">
        <f>I117</f>
        <v/>
      </c>
      <c r="M155" t="inlineStr">
        <is>
          <t>15.02.01</t>
        </is>
      </c>
    </row>
    <row r="156">
      <c r="A156" s="1" t="inlineStr">
        <is>
          <t>四级</t>
        </is>
      </c>
      <c r="B156" s="1" t="inlineStr">
        <is>
          <t>其他</t>
        </is>
      </c>
      <c r="C156" s="9" t="inlineStr">
        <is>
          <t>B02.15.02.01.01</t>
        </is>
      </c>
      <c r="D156" s="10" t="inlineStr">
        <is>
          <t xml:space="preserve">      FTP</t>
        </is>
      </c>
      <c r="H156" s="5">
        <f>H118</f>
        <v/>
      </c>
      <c r="I156" s="5">
        <f>I118</f>
        <v/>
      </c>
      <c r="M156" t="inlineStr">
        <is>
          <t>15.02.01.01</t>
        </is>
      </c>
      <c r="R156" t="inlineStr">
        <is>
          <t>WGT</t>
        </is>
      </c>
    </row>
    <row r="157">
      <c r="A157" s="1" t="inlineStr">
        <is>
          <t>三级</t>
        </is>
      </c>
      <c r="B157" s="1" t="inlineStr">
        <is>
          <t>支出</t>
        </is>
      </c>
      <c r="C157" s="9" t="inlineStr">
        <is>
          <t>B02.15.02.02</t>
        </is>
      </c>
      <c r="D157" s="10" t="inlineStr">
        <is>
          <t xml:space="preserve">    存放同业</t>
        </is>
      </c>
      <c r="F157" t="inlineStr">
        <is>
          <t>B02.15.02.02.01</t>
        </is>
      </c>
      <c r="I157" s="5">
        <f>I73*I158</f>
        <v/>
      </c>
      <c r="J157" s="5" t="inlineStr">
        <is>
          <t>收支月化指标</t>
        </is>
      </c>
      <c r="M157" t="inlineStr">
        <is>
          <t>15.02.02</t>
        </is>
      </c>
    </row>
    <row r="158">
      <c r="A158" s="1" t="inlineStr">
        <is>
          <t>四级</t>
        </is>
      </c>
      <c r="B158" s="1" t="inlineStr">
        <is>
          <t>其他</t>
        </is>
      </c>
      <c r="C158" s="9" t="inlineStr">
        <is>
          <t>B02.15.02.02.01</t>
        </is>
      </c>
      <c r="D158" s="10" t="inlineStr">
        <is>
          <t xml:space="preserve">      FTP</t>
        </is>
      </c>
      <c r="H158" s="5">
        <f>H157/H73</f>
        <v/>
      </c>
      <c r="J158" s="5" t="inlineStr">
        <is>
          <t>率年化指标</t>
        </is>
      </c>
      <c r="M158" t="inlineStr">
        <is>
          <t>15.02.02.01</t>
        </is>
      </c>
      <c r="R158" t="inlineStr">
        <is>
          <t>WGT</t>
        </is>
      </c>
    </row>
    <row r="159">
      <c r="A159" s="1" t="inlineStr">
        <is>
          <t>三级</t>
        </is>
      </c>
      <c r="B159" s="1" t="inlineStr">
        <is>
          <t>支出</t>
        </is>
      </c>
      <c r="C159" s="9" t="inlineStr">
        <is>
          <t>B02.15.02.03</t>
        </is>
      </c>
      <c r="D159" s="10" t="inlineStr">
        <is>
          <t xml:space="preserve">    拆放同业</t>
        </is>
      </c>
      <c r="F159" t="inlineStr">
        <is>
          <t>B02.15.02.03.01</t>
        </is>
      </c>
      <c r="I159" s="5">
        <f>I74*I160</f>
        <v/>
      </c>
      <c r="J159" s="5" t="inlineStr">
        <is>
          <t>收支月化指标</t>
        </is>
      </c>
      <c r="M159" t="inlineStr">
        <is>
          <t>15.02.03</t>
        </is>
      </c>
    </row>
    <row r="160">
      <c r="A160" s="1" t="inlineStr">
        <is>
          <t>四级</t>
        </is>
      </c>
      <c r="B160" s="1" t="inlineStr">
        <is>
          <t>其他</t>
        </is>
      </c>
      <c r="C160" s="9" t="inlineStr">
        <is>
          <t>B02.15.02.03.01</t>
        </is>
      </c>
      <c r="D160" s="10" t="inlineStr">
        <is>
          <t xml:space="preserve">      FTP</t>
        </is>
      </c>
      <c r="H160" s="5">
        <f>H159/H74</f>
        <v/>
      </c>
      <c r="J160" s="5" t="inlineStr">
        <is>
          <t>率年化指标</t>
        </is>
      </c>
      <c r="M160" t="inlineStr">
        <is>
          <t>15.02.03.01</t>
        </is>
      </c>
      <c r="R160" t="inlineStr">
        <is>
          <t>WGT</t>
        </is>
      </c>
    </row>
    <row r="161">
      <c r="A161" s="1" t="inlineStr">
        <is>
          <t>三级</t>
        </is>
      </c>
      <c r="B161" s="1" t="inlineStr">
        <is>
          <t>支出</t>
        </is>
      </c>
      <c r="C161" s="9" t="inlineStr">
        <is>
          <t>B02.15.02.04</t>
        </is>
      </c>
      <c r="D161" s="10" t="inlineStr">
        <is>
          <t xml:space="preserve">    买入返售</t>
        </is>
      </c>
      <c r="F161" t="inlineStr">
        <is>
          <t>B02.15.02.04.01</t>
        </is>
      </c>
      <c r="I161" s="5">
        <f>I75*I162</f>
        <v/>
      </c>
      <c r="J161" s="5" t="inlineStr">
        <is>
          <t>收支月化指标</t>
        </is>
      </c>
      <c r="M161" t="inlineStr">
        <is>
          <t>15.02.04</t>
        </is>
      </c>
    </row>
    <row r="162">
      <c r="A162" s="1" t="inlineStr">
        <is>
          <t>四级</t>
        </is>
      </c>
      <c r="B162" s="1" t="inlineStr">
        <is>
          <t>其他</t>
        </is>
      </c>
      <c r="C162" s="9" t="inlineStr">
        <is>
          <t>B02.15.02.04.01</t>
        </is>
      </c>
      <c r="D162" s="10" t="inlineStr">
        <is>
          <t xml:space="preserve">      FTP</t>
        </is>
      </c>
      <c r="H162" s="5">
        <f>H161/H75</f>
        <v/>
      </c>
      <c r="J162" s="5" t="inlineStr">
        <is>
          <t>率年化指标</t>
        </is>
      </c>
      <c r="M162" t="inlineStr">
        <is>
          <t>15.02.04.01</t>
        </is>
      </c>
      <c r="R162" t="inlineStr">
        <is>
          <t>WGT</t>
        </is>
      </c>
    </row>
    <row r="163">
      <c r="A163" s="1" t="inlineStr">
        <is>
          <t>三级</t>
        </is>
      </c>
      <c r="B163" s="1" t="inlineStr">
        <is>
          <t>支出</t>
        </is>
      </c>
      <c r="C163" s="9" t="inlineStr">
        <is>
          <t>B02.15.02.05</t>
        </is>
      </c>
      <c r="D163" s="10" t="inlineStr">
        <is>
          <t xml:space="preserve">    同业存单投资</t>
        </is>
      </c>
      <c r="F163" t="inlineStr">
        <is>
          <t>B02.15.02.05.01</t>
        </is>
      </c>
      <c r="I163" s="5">
        <f>(I87+I94)*I164</f>
        <v/>
      </c>
      <c r="J163" s="5" t="inlineStr">
        <is>
          <t>收支月化指标</t>
        </is>
      </c>
      <c r="M163" t="inlineStr">
        <is>
          <t>15.02.05</t>
        </is>
      </c>
    </row>
    <row r="164">
      <c r="A164" s="1" t="inlineStr">
        <is>
          <t>四级</t>
        </is>
      </c>
      <c r="B164" s="1" t="inlineStr">
        <is>
          <t>其他</t>
        </is>
      </c>
      <c r="C164" s="9" t="inlineStr">
        <is>
          <t>B02.15.02.05.01</t>
        </is>
      </c>
      <c r="D164" s="10" t="inlineStr">
        <is>
          <t xml:space="preserve">      FTP</t>
        </is>
      </c>
      <c r="H164" s="5">
        <f>H163/(H87+H94)</f>
        <v/>
      </c>
      <c r="J164" s="5" t="inlineStr">
        <is>
          <t>率年化指标</t>
        </is>
      </c>
      <c r="M164" t="inlineStr">
        <is>
          <t>15.02.05.01</t>
        </is>
      </c>
      <c r="R164" t="inlineStr">
        <is>
          <t>WGT</t>
        </is>
      </c>
    </row>
    <row r="165">
      <c r="A165" s="1" t="n"/>
      <c r="B165" s="1" t="n"/>
      <c r="C165" s="9" t="n"/>
      <c r="D165" s="10" t="n"/>
    </row>
    <row r="166">
      <c r="A166" s="7" t="inlineStr">
        <is>
          <t>二级</t>
        </is>
      </c>
      <c r="B166" s="7" t="inlineStr">
        <is>
          <t>支出</t>
        </is>
      </c>
      <c r="C166" s="8" t="inlineStr">
        <is>
          <t>B02.15.03</t>
        </is>
      </c>
      <c r="D166" s="11" t="inlineStr">
        <is>
          <t xml:space="preserve">  投资FTP成本</t>
        </is>
      </c>
      <c r="E166" s="12" t="n"/>
      <c r="F166" s="12" t="inlineStr">
        <is>
          <t>B02.15.03.01+B02.15.03.02+B02.15.03.03+B02.15.03.04+B02.15.03.05+B02.15.03.06+B02.15.03.07+B02.15.03.08+B02.15.03.09+B02.15.03.10+B02.15.03.11+B02.15.03.12</t>
        </is>
      </c>
      <c r="G166" s="12" t="n"/>
      <c r="H166" s="12">
        <f>H167+H169+H171+H173+H175+H177+H179+H181+H183+H185+H187+H189</f>
        <v/>
      </c>
      <c r="I166" s="12">
        <f>I167+I169+I171+I173+I175+I177+I179+I181+I183+I185+I187+I189</f>
        <v/>
      </c>
      <c r="M166" t="inlineStr">
        <is>
          <t>15.03</t>
        </is>
      </c>
    </row>
    <row r="167">
      <c r="A167" s="1" t="inlineStr">
        <is>
          <t>三级</t>
        </is>
      </c>
      <c r="B167" s="1" t="inlineStr">
        <is>
          <t>支出</t>
        </is>
      </c>
      <c r="C167" s="9" t="inlineStr">
        <is>
          <t>B02.15.03.01</t>
        </is>
      </c>
      <c r="D167" s="10" t="inlineStr">
        <is>
          <t xml:space="preserve">    利率债</t>
        </is>
      </c>
      <c r="F167" t="inlineStr">
        <is>
          <t>B02.15.03.01.01</t>
        </is>
      </c>
      <c r="I167" s="5">
        <f>(I77+I92)*I168</f>
        <v/>
      </c>
      <c r="J167" s="5" t="inlineStr">
        <is>
          <t>收支月化指标</t>
        </is>
      </c>
      <c r="M167" t="inlineStr">
        <is>
          <t>15.03.01</t>
        </is>
      </c>
    </row>
    <row r="168">
      <c r="A168" s="1" t="inlineStr">
        <is>
          <t>四级</t>
        </is>
      </c>
      <c r="B168" s="1" t="inlineStr">
        <is>
          <t>其他</t>
        </is>
      </c>
      <c r="C168" s="9" t="inlineStr">
        <is>
          <t>B02.15.03.01.01</t>
        </is>
      </c>
      <c r="D168" s="10" t="inlineStr">
        <is>
          <t xml:space="preserve">      FTP</t>
        </is>
      </c>
      <c r="H168" s="5">
        <f>H167/(H77+H92)</f>
        <v/>
      </c>
      <c r="J168" s="5" t="inlineStr">
        <is>
          <t>率年化指标</t>
        </is>
      </c>
      <c r="M168" t="inlineStr">
        <is>
          <t>15.03.01.01</t>
        </is>
      </c>
      <c r="R168" t="inlineStr">
        <is>
          <t>WGT</t>
        </is>
      </c>
    </row>
    <row r="169">
      <c r="A169" s="1" t="inlineStr">
        <is>
          <t>三级</t>
        </is>
      </c>
      <c r="B169" s="1" t="inlineStr">
        <is>
          <t>支出</t>
        </is>
      </c>
      <c r="C169" s="9" t="inlineStr">
        <is>
          <t>B02.15.03.02</t>
        </is>
      </c>
      <c r="D169" s="10" t="inlineStr">
        <is>
          <t xml:space="preserve">    国债</t>
        </is>
      </c>
      <c r="F169" t="inlineStr">
        <is>
          <t>B02.15.03.02.01</t>
        </is>
      </c>
      <c r="I169" s="5">
        <f>I78*I170</f>
        <v/>
      </c>
      <c r="J169" s="5" t="inlineStr">
        <is>
          <t>收支月化指标</t>
        </is>
      </c>
      <c r="M169" t="inlineStr">
        <is>
          <t>15.03.02</t>
        </is>
      </c>
    </row>
    <row r="170">
      <c r="A170" s="1" t="inlineStr">
        <is>
          <t>四级</t>
        </is>
      </c>
      <c r="B170" s="1" t="inlineStr">
        <is>
          <t>其他</t>
        </is>
      </c>
      <c r="C170" s="9" t="inlineStr">
        <is>
          <t>B02.15.03.02.01</t>
        </is>
      </c>
      <c r="D170" s="10" t="inlineStr">
        <is>
          <t xml:space="preserve">      FTP</t>
        </is>
      </c>
      <c r="H170" s="5">
        <f>H169/H78</f>
        <v/>
      </c>
      <c r="J170" s="5" t="inlineStr">
        <is>
          <t>率年化指标</t>
        </is>
      </c>
      <c r="M170" t="inlineStr">
        <is>
          <t>15.03.02.01</t>
        </is>
      </c>
      <c r="R170" t="inlineStr">
        <is>
          <t>WGT</t>
        </is>
      </c>
    </row>
    <row r="171">
      <c r="A171" s="1" t="inlineStr">
        <is>
          <t>三级</t>
        </is>
      </c>
      <c r="B171" s="1" t="inlineStr">
        <is>
          <t>支出</t>
        </is>
      </c>
      <c r="C171" s="9" t="inlineStr">
        <is>
          <t>B02.15.03.03</t>
        </is>
      </c>
      <c r="D171" s="10" t="inlineStr">
        <is>
          <t xml:space="preserve">    政金债</t>
        </is>
      </c>
      <c r="F171" t="inlineStr">
        <is>
          <t>B02.15.03.03.01</t>
        </is>
      </c>
      <c r="I171" s="5">
        <f>I79*I172</f>
        <v/>
      </c>
      <c r="J171" s="5" t="inlineStr">
        <is>
          <t>收支月化指标</t>
        </is>
      </c>
      <c r="M171" t="inlineStr">
        <is>
          <t>15.03.03</t>
        </is>
      </c>
    </row>
    <row r="172">
      <c r="A172" s="1" t="inlineStr">
        <is>
          <t>四级</t>
        </is>
      </c>
      <c r="B172" s="1" t="inlineStr">
        <is>
          <t>其他</t>
        </is>
      </c>
      <c r="C172" s="9" t="inlineStr">
        <is>
          <t>B02.15.03.03.01</t>
        </is>
      </c>
      <c r="D172" s="10" t="inlineStr">
        <is>
          <t xml:space="preserve">      FTP</t>
        </is>
      </c>
      <c r="H172" s="5">
        <f>H171/H79</f>
        <v/>
      </c>
      <c r="J172" s="5" t="inlineStr">
        <is>
          <t>率年化指标</t>
        </is>
      </c>
      <c r="M172" t="inlineStr">
        <is>
          <t>15.03.03.01</t>
        </is>
      </c>
      <c r="R172" t="inlineStr">
        <is>
          <t>WGT</t>
        </is>
      </c>
    </row>
    <row r="173">
      <c r="A173" s="1" t="inlineStr">
        <is>
          <t>三级</t>
        </is>
      </c>
      <c r="B173" s="1" t="inlineStr">
        <is>
          <t>支出</t>
        </is>
      </c>
      <c r="C173" s="9" t="inlineStr">
        <is>
          <t>B02.15.03.04</t>
        </is>
      </c>
      <c r="D173" s="10" t="inlineStr">
        <is>
          <t xml:space="preserve">    地方债</t>
        </is>
      </c>
      <c r="F173" t="inlineStr">
        <is>
          <t>B02.15.03.04.01</t>
        </is>
      </c>
      <c r="I173" s="5">
        <f>I80*I174</f>
        <v/>
      </c>
      <c r="J173" s="5" t="inlineStr">
        <is>
          <t>收支月化指标</t>
        </is>
      </c>
      <c r="M173" t="inlineStr">
        <is>
          <t>15.03.04</t>
        </is>
      </c>
    </row>
    <row r="174">
      <c r="A174" s="1" t="inlineStr">
        <is>
          <t>四级</t>
        </is>
      </c>
      <c r="B174" s="1" t="inlineStr">
        <is>
          <t>其他</t>
        </is>
      </c>
      <c r="C174" s="9" t="inlineStr">
        <is>
          <t>B02.15.03.04.01</t>
        </is>
      </c>
      <c r="D174" s="10" t="inlineStr">
        <is>
          <t xml:space="preserve">      FTP</t>
        </is>
      </c>
      <c r="H174" s="5">
        <f>H173/H80</f>
        <v/>
      </c>
      <c r="J174" s="5" t="inlineStr">
        <is>
          <t>率年化指标</t>
        </is>
      </c>
      <c r="M174" t="inlineStr">
        <is>
          <t>15.03.04.01</t>
        </is>
      </c>
      <c r="R174" t="inlineStr">
        <is>
          <t>WGT</t>
        </is>
      </c>
    </row>
    <row r="175">
      <c r="A175" s="1" t="inlineStr">
        <is>
          <t>三级</t>
        </is>
      </c>
      <c r="B175" s="1" t="inlineStr">
        <is>
          <t>支出</t>
        </is>
      </c>
      <c r="C175" s="9" t="inlineStr">
        <is>
          <t>B02.15.03.05</t>
        </is>
      </c>
      <c r="D175" s="10" t="inlineStr">
        <is>
          <t xml:space="preserve">    铁道债</t>
        </is>
      </c>
      <c r="F175" t="inlineStr">
        <is>
          <t>B02.15.03.05.01</t>
        </is>
      </c>
      <c r="I175" s="5">
        <f>I81*I176</f>
        <v/>
      </c>
      <c r="J175" s="5" t="inlineStr">
        <is>
          <t>收支月化指标</t>
        </is>
      </c>
      <c r="M175" t="inlineStr">
        <is>
          <t>15.03.05</t>
        </is>
      </c>
    </row>
    <row r="176">
      <c r="A176" s="1" t="inlineStr">
        <is>
          <t>四级</t>
        </is>
      </c>
      <c r="B176" s="1" t="inlineStr">
        <is>
          <t>其他</t>
        </is>
      </c>
      <c r="C176" s="9" t="inlineStr">
        <is>
          <t>B02.15.03.05.01</t>
        </is>
      </c>
      <c r="D176" s="10" t="inlineStr">
        <is>
          <t xml:space="preserve">      FTP</t>
        </is>
      </c>
      <c r="H176" s="5">
        <f>H175/H81</f>
        <v/>
      </c>
      <c r="J176" s="5" t="inlineStr">
        <is>
          <t>率年化指标</t>
        </is>
      </c>
      <c r="M176" t="inlineStr">
        <is>
          <t>15.03.05.01</t>
        </is>
      </c>
      <c r="R176" t="inlineStr">
        <is>
          <t>WGT</t>
        </is>
      </c>
    </row>
    <row r="177">
      <c r="A177" s="1" t="inlineStr">
        <is>
          <t>三级</t>
        </is>
      </c>
      <c r="B177" s="1" t="inlineStr">
        <is>
          <t>支出</t>
        </is>
      </c>
      <c r="C177" s="9" t="inlineStr">
        <is>
          <t>B02.15.03.06</t>
        </is>
      </c>
      <c r="D177" s="10" t="inlineStr">
        <is>
          <t xml:space="preserve">    银行债</t>
        </is>
      </c>
      <c r="F177" t="inlineStr">
        <is>
          <t>B02.15.03.06.01</t>
        </is>
      </c>
      <c r="I177" s="5">
        <f>I82*I178</f>
        <v/>
      </c>
      <c r="J177" s="5" t="inlineStr">
        <is>
          <t>收支月化指标</t>
        </is>
      </c>
      <c r="M177" t="inlineStr">
        <is>
          <t>15.03.06</t>
        </is>
      </c>
    </row>
    <row r="178">
      <c r="A178" s="1" t="inlineStr">
        <is>
          <t>四级</t>
        </is>
      </c>
      <c r="B178" s="1" t="inlineStr">
        <is>
          <t>其他</t>
        </is>
      </c>
      <c r="C178" s="9" t="inlineStr">
        <is>
          <t>B02.15.03.06.01</t>
        </is>
      </c>
      <c r="D178" s="10" t="inlineStr">
        <is>
          <t xml:space="preserve">      FTP</t>
        </is>
      </c>
      <c r="H178" s="5">
        <f>H177/H82</f>
        <v/>
      </c>
      <c r="J178" s="5" t="inlineStr">
        <is>
          <t>率年化指标</t>
        </is>
      </c>
      <c r="M178" t="inlineStr">
        <is>
          <t>15.03.06.01</t>
        </is>
      </c>
      <c r="R178" t="inlineStr">
        <is>
          <t>WGT</t>
        </is>
      </c>
    </row>
    <row r="179">
      <c r="A179" s="1" t="inlineStr">
        <is>
          <t>三级</t>
        </is>
      </c>
      <c r="B179" s="1" t="inlineStr">
        <is>
          <t>支出</t>
        </is>
      </c>
      <c r="C179" s="9" t="inlineStr">
        <is>
          <t>B02.15.03.07</t>
        </is>
      </c>
      <c r="D179" s="10" t="inlineStr">
        <is>
          <t xml:space="preserve">    非银债</t>
        </is>
      </c>
      <c r="F179" t="inlineStr">
        <is>
          <t>B02.15.03.07.01</t>
        </is>
      </c>
      <c r="I179" s="5">
        <f>I83*I180</f>
        <v/>
      </c>
      <c r="J179" s="5" t="inlineStr">
        <is>
          <t>收支月化指标</t>
        </is>
      </c>
      <c r="M179" t="inlineStr">
        <is>
          <t>15.03.07</t>
        </is>
      </c>
    </row>
    <row r="180">
      <c r="A180" s="1" t="inlineStr">
        <is>
          <t>四级</t>
        </is>
      </c>
      <c r="B180" s="1" t="inlineStr">
        <is>
          <t>其他</t>
        </is>
      </c>
      <c r="C180" s="9" t="inlineStr">
        <is>
          <t>B02.15.03.07.01</t>
        </is>
      </c>
      <c r="D180" s="10" t="inlineStr">
        <is>
          <t xml:space="preserve">      FTP</t>
        </is>
      </c>
      <c r="H180" s="5">
        <f>H179/H83</f>
        <v/>
      </c>
      <c r="J180" s="5" t="inlineStr">
        <is>
          <t>率年化指标</t>
        </is>
      </c>
      <c r="M180" t="inlineStr">
        <is>
          <t>15.03.07.01</t>
        </is>
      </c>
      <c r="R180" t="inlineStr">
        <is>
          <t>WGT</t>
        </is>
      </c>
    </row>
    <row r="181">
      <c r="A181" s="1" t="inlineStr">
        <is>
          <t>三级</t>
        </is>
      </c>
      <c r="B181" s="1" t="inlineStr">
        <is>
          <t>支出</t>
        </is>
      </c>
      <c r="C181" s="9" t="inlineStr">
        <is>
          <t>B02.15.03.08</t>
        </is>
      </c>
      <c r="D181" s="10" t="inlineStr">
        <is>
          <t xml:space="preserve">    信用债</t>
        </is>
      </c>
      <c r="F181" t="inlineStr">
        <is>
          <t>B02.15.03.08.01</t>
        </is>
      </c>
      <c r="I181" s="5">
        <f>(I84+I93)*I182</f>
        <v/>
      </c>
      <c r="J181" s="5" t="inlineStr">
        <is>
          <t>收支月化指标</t>
        </is>
      </c>
      <c r="M181" t="inlineStr">
        <is>
          <t>15.03.08</t>
        </is>
      </c>
    </row>
    <row r="182">
      <c r="A182" s="1" t="inlineStr">
        <is>
          <t>四级</t>
        </is>
      </c>
      <c r="B182" s="1" t="inlineStr">
        <is>
          <t>其他</t>
        </is>
      </c>
      <c r="C182" s="9" t="inlineStr">
        <is>
          <t>B02.15.03.08.01</t>
        </is>
      </c>
      <c r="D182" s="10" t="inlineStr">
        <is>
          <t xml:space="preserve">      FTP</t>
        </is>
      </c>
      <c r="H182" s="5">
        <f>H181/(H84+H93)</f>
        <v/>
      </c>
      <c r="J182" s="5" t="inlineStr">
        <is>
          <t>率年化指标</t>
        </is>
      </c>
      <c r="M182" t="inlineStr">
        <is>
          <t>15.03.08.01</t>
        </is>
      </c>
      <c r="R182" t="inlineStr">
        <is>
          <t>WGT</t>
        </is>
      </c>
    </row>
    <row r="183">
      <c r="A183" s="1" t="inlineStr">
        <is>
          <t>三级</t>
        </is>
      </c>
      <c r="B183" s="1" t="inlineStr">
        <is>
          <t>支出</t>
        </is>
      </c>
      <c r="C183" s="9" t="inlineStr">
        <is>
          <t>B02.15.03.09</t>
        </is>
      </c>
      <c r="D183" s="10" t="inlineStr">
        <is>
          <t xml:space="preserve">    ABS投资</t>
        </is>
      </c>
      <c r="F183" t="inlineStr">
        <is>
          <t>B02.15.03.09.01</t>
        </is>
      </c>
      <c r="I183" s="5">
        <f>I85*I184</f>
        <v/>
      </c>
      <c r="J183" s="5" t="inlineStr">
        <is>
          <t>收支月化指标</t>
        </is>
      </c>
      <c r="M183" t="inlineStr">
        <is>
          <t>15.03.09</t>
        </is>
      </c>
    </row>
    <row r="184">
      <c r="A184" s="1" t="inlineStr">
        <is>
          <t>四级</t>
        </is>
      </c>
      <c r="B184" s="1" t="inlineStr">
        <is>
          <t>其他</t>
        </is>
      </c>
      <c r="C184" s="9" t="inlineStr">
        <is>
          <t>B02.15.03.09.01</t>
        </is>
      </c>
      <c r="D184" s="10" t="inlineStr">
        <is>
          <t xml:space="preserve">      FTP</t>
        </is>
      </c>
      <c r="H184" s="5">
        <f>H183/H85</f>
        <v/>
      </c>
      <c r="J184" s="5" t="inlineStr">
        <is>
          <t>率年化指标</t>
        </is>
      </c>
      <c r="M184" t="inlineStr">
        <is>
          <t>15.03.09.01</t>
        </is>
      </c>
      <c r="R184" t="inlineStr">
        <is>
          <t>WGT</t>
        </is>
      </c>
    </row>
    <row r="185">
      <c r="A185" s="1" t="inlineStr">
        <is>
          <t>三级</t>
        </is>
      </c>
      <c r="B185" s="1" t="inlineStr">
        <is>
          <t>支出</t>
        </is>
      </c>
      <c r="C185" s="9" t="inlineStr">
        <is>
          <t>B02.15.03.10</t>
        </is>
      </c>
      <c r="D185" s="10" t="inlineStr">
        <is>
          <t xml:space="preserve">    二级资本债</t>
        </is>
      </c>
      <c r="F185" t="inlineStr">
        <is>
          <t>B02.15.03.10.01</t>
        </is>
      </c>
      <c r="I185" s="5">
        <f>I86*I186</f>
        <v/>
      </c>
      <c r="J185" s="5" t="inlineStr">
        <is>
          <t>收支月化指标</t>
        </is>
      </c>
      <c r="M185" t="inlineStr">
        <is>
          <t>15.03.10</t>
        </is>
      </c>
    </row>
    <row r="186">
      <c r="A186" s="1" t="inlineStr">
        <is>
          <t>四级</t>
        </is>
      </c>
      <c r="B186" s="1" t="inlineStr">
        <is>
          <t>其他</t>
        </is>
      </c>
      <c r="C186" s="9" t="inlineStr">
        <is>
          <t>B02.15.03.10.01</t>
        </is>
      </c>
      <c r="D186" s="10" t="inlineStr">
        <is>
          <t xml:space="preserve">      FTP</t>
        </is>
      </c>
      <c r="H186" s="5">
        <f>H185/H86</f>
        <v/>
      </c>
      <c r="J186" s="5" t="inlineStr">
        <is>
          <t>率年化指标</t>
        </is>
      </c>
      <c r="M186" t="inlineStr">
        <is>
          <t>15.03.10.01</t>
        </is>
      </c>
      <c r="R186" t="inlineStr">
        <is>
          <t>WGT</t>
        </is>
      </c>
    </row>
    <row r="187">
      <c r="A187" s="1" t="inlineStr">
        <is>
          <t>三级</t>
        </is>
      </c>
      <c r="B187" s="1" t="inlineStr">
        <is>
          <t>支出</t>
        </is>
      </c>
      <c r="C187" s="9" t="inlineStr">
        <is>
          <t>B02.15.03.11</t>
        </is>
      </c>
      <c r="D187" s="10" t="inlineStr">
        <is>
          <t xml:space="preserve">    货基</t>
        </is>
      </c>
      <c r="F187" t="inlineStr">
        <is>
          <t>B02.15.03.11.01</t>
        </is>
      </c>
      <c r="I187" s="5">
        <f>I89*I188</f>
        <v/>
      </c>
      <c r="J187" s="5" t="inlineStr">
        <is>
          <t>收支月化指标</t>
        </is>
      </c>
      <c r="M187" t="inlineStr">
        <is>
          <t>15.03.11</t>
        </is>
      </c>
    </row>
    <row r="188">
      <c r="A188" s="1" t="inlineStr">
        <is>
          <t>四级</t>
        </is>
      </c>
      <c r="B188" s="1" t="inlineStr">
        <is>
          <t>其他</t>
        </is>
      </c>
      <c r="C188" s="9" t="inlineStr">
        <is>
          <t>B02.15.03.11.01</t>
        </is>
      </c>
      <c r="D188" s="10" t="inlineStr">
        <is>
          <t xml:space="preserve">      FTP</t>
        </is>
      </c>
      <c r="H188" s="5">
        <f>H187/H89</f>
        <v/>
      </c>
      <c r="J188" s="5" t="inlineStr">
        <is>
          <t>率年化指标</t>
        </is>
      </c>
      <c r="M188" t="inlineStr">
        <is>
          <t>15.03.11.01</t>
        </is>
      </c>
      <c r="R188" t="inlineStr">
        <is>
          <t>WGT</t>
        </is>
      </c>
    </row>
    <row r="189">
      <c r="A189" s="1" t="inlineStr">
        <is>
          <t>三级</t>
        </is>
      </c>
      <c r="B189" s="1" t="inlineStr">
        <is>
          <t>支出</t>
        </is>
      </c>
      <c r="C189" s="9" t="inlineStr">
        <is>
          <t>B02.15.03.12</t>
        </is>
      </c>
      <c r="D189" s="10" t="inlineStr">
        <is>
          <t xml:space="preserve">    债基</t>
        </is>
      </c>
      <c r="F189" t="inlineStr">
        <is>
          <t>B02.15.03.12.01</t>
        </is>
      </c>
      <c r="I189" s="5">
        <f>I90*I190</f>
        <v/>
      </c>
      <c r="J189" s="5" t="inlineStr">
        <is>
          <t>收支月化指标</t>
        </is>
      </c>
      <c r="M189" t="inlineStr">
        <is>
          <t>15.03.12</t>
        </is>
      </c>
    </row>
    <row r="190">
      <c r="A190" s="1" t="inlineStr">
        <is>
          <t>四级</t>
        </is>
      </c>
      <c r="B190" s="1" t="inlineStr">
        <is>
          <t>其他</t>
        </is>
      </c>
      <c r="C190" s="9" t="inlineStr">
        <is>
          <t>B02.15.03.12.01</t>
        </is>
      </c>
      <c r="D190" s="10" t="inlineStr">
        <is>
          <t xml:space="preserve">      FTP</t>
        </is>
      </c>
      <c r="H190" s="5">
        <f>H189/H90</f>
        <v/>
      </c>
      <c r="J190" s="5" t="inlineStr">
        <is>
          <t>率年化指标</t>
        </is>
      </c>
      <c r="M190" t="inlineStr">
        <is>
          <t>15.03.12.01</t>
        </is>
      </c>
      <c r="R190" t="inlineStr">
        <is>
          <t>WGT</t>
        </is>
      </c>
    </row>
    <row r="191">
      <c r="A191" s="1" t="n"/>
      <c r="B191" s="1" t="n"/>
      <c r="C191" s="9" t="n"/>
      <c r="D191" s="10" t="n"/>
    </row>
    <row r="192">
      <c r="A192" s="7" t="inlineStr">
        <is>
          <t>一级</t>
        </is>
      </c>
      <c r="B192" s="7" t="inlineStr">
        <is>
          <t>支出</t>
        </is>
      </c>
      <c r="C192" s="8" t="inlineStr">
        <is>
          <t>B02.16</t>
        </is>
      </c>
      <c r="D192" s="11" t="inlineStr">
        <is>
          <t>利息支出</t>
        </is>
      </c>
      <c r="F192" t="inlineStr">
        <is>
          <t>B02.16.02</t>
        </is>
      </c>
      <c r="H192" s="5">
        <f>H193</f>
        <v/>
      </c>
      <c r="I192" s="5">
        <f>I193</f>
        <v/>
      </c>
      <c r="M192" t="inlineStr">
        <is>
          <t>16</t>
        </is>
      </c>
    </row>
    <row r="193">
      <c r="A193" s="7" t="inlineStr">
        <is>
          <t>二级</t>
        </is>
      </c>
      <c r="B193" s="7" t="inlineStr">
        <is>
          <t>支出</t>
        </is>
      </c>
      <c r="C193" s="8" t="inlineStr">
        <is>
          <t>B02.16.02</t>
        </is>
      </c>
      <c r="D193" s="11" t="inlineStr">
        <is>
          <t xml:space="preserve">  金融机构往来利息支出</t>
        </is>
      </c>
      <c r="F193" t="inlineStr">
        <is>
          <t>B02.16.02.02+B02.16.02.03+B02.16.02.04+B02.16.02.05+B02.16.02.06</t>
        </is>
      </c>
      <c r="H193" s="5">
        <f>H194+H196+H198+H200+H202</f>
        <v/>
      </c>
      <c r="I193" s="5">
        <f>I194+I196+I198+I200+I202</f>
        <v/>
      </c>
      <c r="M193" t="inlineStr">
        <is>
          <t>16.02</t>
        </is>
      </c>
    </row>
    <row r="194">
      <c r="A194" s="7" t="inlineStr">
        <is>
          <t>三级</t>
        </is>
      </c>
      <c r="B194" s="7" t="inlineStr">
        <is>
          <t>支出</t>
        </is>
      </c>
      <c r="C194" s="8" t="inlineStr">
        <is>
          <t>B02.16.02.02</t>
        </is>
      </c>
      <c r="D194" s="11" t="inlineStr">
        <is>
          <t xml:space="preserve">    同业存放</t>
        </is>
      </c>
      <c r="F194" t="inlineStr">
        <is>
          <t>B02.16.02.02.01</t>
        </is>
      </c>
      <c r="I194" s="5">
        <f>I105*I195</f>
        <v/>
      </c>
      <c r="J194" s="5" t="inlineStr">
        <is>
          <t>收支月化指标</t>
        </is>
      </c>
      <c r="M194" t="inlineStr">
        <is>
          <t>16.02.02</t>
        </is>
      </c>
    </row>
    <row r="195">
      <c r="A195" s="10" t="inlineStr">
        <is>
          <t>四级</t>
        </is>
      </c>
      <c r="B195" s="10" t="inlineStr">
        <is>
          <t>其他</t>
        </is>
      </c>
      <c r="C195" s="9" t="inlineStr">
        <is>
          <t>B02.16.02.02.01</t>
        </is>
      </c>
      <c r="D195" s="10" t="inlineStr">
        <is>
          <t xml:space="preserve">      付息率</t>
        </is>
      </c>
      <c r="H195" s="5">
        <f>H194/H105</f>
        <v/>
      </c>
      <c r="J195" s="5" t="inlineStr">
        <is>
          <t>率年化指标</t>
        </is>
      </c>
      <c r="M195" t="inlineStr">
        <is>
          <t>16.02.02.01</t>
        </is>
      </c>
      <c r="R195" t="inlineStr">
        <is>
          <t>WGT</t>
        </is>
      </c>
    </row>
    <row r="196">
      <c r="A196" s="7" t="inlineStr">
        <is>
          <t>三级</t>
        </is>
      </c>
      <c r="B196" s="7" t="inlineStr">
        <is>
          <t>支出</t>
        </is>
      </c>
      <c r="C196" s="8" t="inlineStr">
        <is>
          <t>B02.16.02.03</t>
        </is>
      </c>
      <c r="D196" s="11" t="inlineStr">
        <is>
          <t xml:space="preserve">    同业拆入</t>
        </is>
      </c>
      <c r="F196" t="inlineStr">
        <is>
          <t>B02.16.02.03.01</t>
        </is>
      </c>
      <c r="I196" s="5">
        <f>I106*I197</f>
        <v/>
      </c>
      <c r="J196" s="5" t="inlineStr">
        <is>
          <t>收支月化指标</t>
        </is>
      </c>
      <c r="M196" t="inlineStr">
        <is>
          <t>16.02.03</t>
        </is>
      </c>
    </row>
    <row r="197">
      <c r="A197" s="10" t="inlineStr">
        <is>
          <t>四级</t>
        </is>
      </c>
      <c r="B197" s="10" t="inlineStr">
        <is>
          <t>其他</t>
        </is>
      </c>
      <c r="C197" s="9" t="inlineStr">
        <is>
          <t>B02.16.02.03.01</t>
        </is>
      </c>
      <c r="D197" s="10" t="inlineStr">
        <is>
          <t xml:space="preserve">      付息率</t>
        </is>
      </c>
      <c r="H197" s="5">
        <f>H196/H106</f>
        <v/>
      </c>
      <c r="J197" s="5" t="inlineStr">
        <is>
          <t>率年化指标</t>
        </is>
      </c>
      <c r="M197" t="inlineStr">
        <is>
          <t>16.02.03.01</t>
        </is>
      </c>
      <c r="R197" t="inlineStr">
        <is>
          <t>WGT</t>
        </is>
      </c>
    </row>
    <row r="198">
      <c r="A198" s="7" t="inlineStr">
        <is>
          <t>三级</t>
        </is>
      </c>
      <c r="B198" s="7" t="inlineStr">
        <is>
          <t>支出</t>
        </is>
      </c>
      <c r="C198" s="8" t="inlineStr">
        <is>
          <t>B02.16.02.04</t>
        </is>
      </c>
      <c r="D198" s="11" t="inlineStr">
        <is>
          <t xml:space="preserve">    转贷款</t>
        </is>
      </c>
      <c r="F198" t="inlineStr">
        <is>
          <t>B02.16.02.04.01</t>
        </is>
      </c>
      <c r="I198" s="5">
        <f>I107*I199</f>
        <v/>
      </c>
      <c r="J198" s="5" t="inlineStr">
        <is>
          <t>收支月化指标</t>
        </is>
      </c>
      <c r="M198" t="inlineStr">
        <is>
          <t>16.02.04</t>
        </is>
      </c>
    </row>
    <row r="199">
      <c r="A199" s="10" t="inlineStr">
        <is>
          <t>四级</t>
        </is>
      </c>
      <c r="B199" s="10" t="inlineStr">
        <is>
          <t>其他</t>
        </is>
      </c>
      <c r="C199" s="9" t="inlineStr">
        <is>
          <t>B02.16.02.04.01</t>
        </is>
      </c>
      <c r="D199" s="10" t="inlineStr">
        <is>
          <t xml:space="preserve">      付息率</t>
        </is>
      </c>
      <c r="H199" s="5">
        <f>H198/H107</f>
        <v/>
      </c>
      <c r="J199" s="5" t="inlineStr">
        <is>
          <t>率年化指标</t>
        </is>
      </c>
      <c r="M199" t="inlineStr">
        <is>
          <t>16.02.04.01</t>
        </is>
      </c>
      <c r="R199" t="inlineStr">
        <is>
          <t>WGT</t>
        </is>
      </c>
    </row>
    <row r="200">
      <c r="A200" s="7" t="inlineStr">
        <is>
          <t>三级</t>
        </is>
      </c>
      <c r="B200" s="7" t="inlineStr">
        <is>
          <t>支出</t>
        </is>
      </c>
      <c r="C200" s="8" t="inlineStr">
        <is>
          <t>B02.16.02.05</t>
        </is>
      </c>
      <c r="D200" s="11" t="inlineStr">
        <is>
          <t xml:space="preserve">    卖出回购</t>
        </is>
      </c>
      <c r="F200" t="inlineStr">
        <is>
          <t>B02.16.02.05.01</t>
        </is>
      </c>
      <c r="I200" s="5">
        <f>I108*I201</f>
        <v/>
      </c>
      <c r="J200" s="5" t="inlineStr">
        <is>
          <t>收支月化指标</t>
        </is>
      </c>
      <c r="M200" t="inlineStr">
        <is>
          <t>16.02.05</t>
        </is>
      </c>
    </row>
    <row r="201">
      <c r="A201" s="10" t="inlineStr">
        <is>
          <t>四级</t>
        </is>
      </c>
      <c r="B201" s="10" t="inlineStr">
        <is>
          <t>其他</t>
        </is>
      </c>
      <c r="C201" s="9" t="inlineStr">
        <is>
          <t>B02.16.02.05.01</t>
        </is>
      </c>
      <c r="D201" s="10" t="inlineStr">
        <is>
          <t xml:space="preserve">      付息率</t>
        </is>
      </c>
      <c r="H201" s="5">
        <f>H200/H108</f>
        <v/>
      </c>
      <c r="J201" s="5" t="inlineStr">
        <is>
          <t>率年化指标</t>
        </is>
      </c>
      <c r="M201" t="inlineStr">
        <is>
          <t>16.02.05.01</t>
        </is>
      </c>
      <c r="R201" t="inlineStr">
        <is>
          <t>WGT</t>
        </is>
      </c>
    </row>
    <row r="202">
      <c r="A202" s="7" t="inlineStr">
        <is>
          <t>三级</t>
        </is>
      </c>
      <c r="B202" s="7" t="inlineStr">
        <is>
          <t>支出</t>
        </is>
      </c>
      <c r="C202" s="8" t="inlineStr">
        <is>
          <t>B02.16.02.06</t>
        </is>
      </c>
      <c r="D202" s="11" t="inlineStr">
        <is>
          <t xml:space="preserve">    发行同业存单</t>
        </is>
      </c>
      <c r="F202" t="inlineStr">
        <is>
          <t>B02.16.02.06.01</t>
        </is>
      </c>
      <c r="I202" s="5">
        <f>I109*I203</f>
        <v/>
      </c>
      <c r="J202" s="5" t="inlineStr">
        <is>
          <t>收支月化指标</t>
        </is>
      </c>
      <c r="M202" t="inlineStr">
        <is>
          <t>16.02.06</t>
        </is>
      </c>
    </row>
    <row r="203">
      <c r="A203" s="10" t="inlineStr">
        <is>
          <t>四级</t>
        </is>
      </c>
      <c r="B203" s="10" t="inlineStr">
        <is>
          <t>其他</t>
        </is>
      </c>
      <c r="C203" s="9" t="inlineStr">
        <is>
          <t>B02.16.02.06.01</t>
        </is>
      </c>
      <c r="D203" s="10" t="inlineStr">
        <is>
          <t xml:space="preserve">      付息率</t>
        </is>
      </c>
      <c r="H203" s="5">
        <f>H202/H109</f>
        <v/>
      </c>
      <c r="J203" s="5" t="inlineStr">
        <is>
          <t>率年化指标</t>
        </is>
      </c>
      <c r="M203" t="inlineStr">
        <is>
          <t>16.02.06.01</t>
        </is>
      </c>
      <c r="R203" t="inlineStr">
        <is>
          <t>WGT</t>
        </is>
      </c>
    </row>
    <row r="204">
      <c r="A204" s="10" t="n"/>
      <c r="B204" s="10" t="n"/>
      <c r="C204" s="9" t="n"/>
      <c r="D204" s="10" t="n"/>
    </row>
    <row r="205">
      <c r="A205" s="10" t="inlineStr">
        <is>
          <t>一级</t>
        </is>
      </c>
      <c r="B205" s="10" t="inlineStr">
        <is>
          <t>收入</t>
        </is>
      </c>
      <c r="C205" s="9" t="inlineStr">
        <is>
          <t>B02.17</t>
        </is>
      </c>
      <c r="D205" s="10" t="inlineStr">
        <is>
          <t>FTP收入</t>
        </is>
      </c>
      <c r="F205" t="inlineStr">
        <is>
          <t>B02.17.02+B02.17.03</t>
        </is>
      </c>
      <c r="H205" s="5">
        <f>H206+H217</f>
        <v/>
      </c>
      <c r="I205" s="5">
        <f>I206+I217</f>
        <v/>
      </c>
      <c r="M205" t="inlineStr">
        <is>
          <t>17</t>
        </is>
      </c>
    </row>
    <row r="206">
      <c r="A206" s="10" t="inlineStr">
        <is>
          <t>二级</t>
        </is>
      </c>
      <c r="B206" s="10" t="inlineStr">
        <is>
          <t>收入</t>
        </is>
      </c>
      <c r="C206" s="9" t="inlineStr">
        <is>
          <t>B02.17.02</t>
        </is>
      </c>
      <c r="D206" s="10" t="inlineStr">
        <is>
          <t xml:space="preserve">  金融机构往来FTP收入</t>
        </is>
      </c>
      <c r="F206" t="inlineStr">
        <is>
          <t>B02.17.02.01+B02.17.02.02+B02.17.02.03+B02.17.02.04+B02.17.02.05</t>
        </is>
      </c>
      <c r="H206" s="5">
        <f>H207+H209+H211+H213+H215</f>
        <v/>
      </c>
      <c r="I206" s="5">
        <f>I207+I209+I211+I213+I215</f>
        <v/>
      </c>
      <c r="M206" t="inlineStr">
        <is>
          <t>17.02</t>
        </is>
      </c>
    </row>
    <row r="207">
      <c r="A207" s="10" t="inlineStr">
        <is>
          <t>三级</t>
        </is>
      </c>
      <c r="B207" s="10" t="inlineStr">
        <is>
          <t>收入</t>
        </is>
      </c>
      <c r="C207" s="9" t="inlineStr">
        <is>
          <t>B02.17.02.01</t>
        </is>
      </c>
      <c r="D207" s="10" t="inlineStr">
        <is>
          <t xml:space="preserve">    同业存放</t>
        </is>
      </c>
      <c r="F207" t="inlineStr">
        <is>
          <t>B02.17.02.01.01</t>
        </is>
      </c>
      <c r="I207" s="5">
        <f>I105*I208</f>
        <v/>
      </c>
      <c r="J207" s="5" t="inlineStr">
        <is>
          <t>收支月化指标</t>
        </is>
      </c>
      <c r="M207" t="inlineStr">
        <is>
          <t>17.02.01</t>
        </is>
      </c>
    </row>
    <row r="208">
      <c r="A208" s="10" t="inlineStr">
        <is>
          <t>四级</t>
        </is>
      </c>
      <c r="B208" s="10" t="inlineStr">
        <is>
          <t>其他</t>
        </is>
      </c>
      <c r="C208" s="9" t="inlineStr">
        <is>
          <t>B02.17.02.01.01</t>
        </is>
      </c>
      <c r="D208" s="10" t="inlineStr">
        <is>
          <t xml:space="preserve">      FTP</t>
        </is>
      </c>
      <c r="H208" s="5">
        <f>H207/H105</f>
        <v/>
      </c>
      <c r="J208" s="5" t="inlineStr">
        <is>
          <t>率年化指标</t>
        </is>
      </c>
      <c r="M208" t="inlineStr">
        <is>
          <t>17.02.01.01</t>
        </is>
      </c>
      <c r="R208" t="inlineStr">
        <is>
          <t>WGT</t>
        </is>
      </c>
    </row>
    <row r="209">
      <c r="A209" s="10" t="inlineStr">
        <is>
          <t>三级</t>
        </is>
      </c>
      <c r="B209" s="10" t="inlineStr">
        <is>
          <t>收入</t>
        </is>
      </c>
      <c r="C209" s="9" t="inlineStr">
        <is>
          <t>B02.17.02.02</t>
        </is>
      </c>
      <c r="D209" s="10" t="inlineStr">
        <is>
          <t xml:space="preserve">    同业拆入</t>
        </is>
      </c>
      <c r="F209" t="inlineStr">
        <is>
          <t>B02.17.02.02.01</t>
        </is>
      </c>
      <c r="I209" s="5">
        <f>I106*I210</f>
        <v/>
      </c>
      <c r="J209" s="5" t="inlineStr">
        <is>
          <t>收支月化指标</t>
        </is>
      </c>
      <c r="M209" t="inlineStr">
        <is>
          <t>17.02.02</t>
        </is>
      </c>
    </row>
    <row r="210">
      <c r="A210" s="10" t="inlineStr">
        <is>
          <t>四级</t>
        </is>
      </c>
      <c r="B210" s="10" t="inlineStr">
        <is>
          <t>其他</t>
        </is>
      </c>
      <c r="C210" s="9" t="inlineStr">
        <is>
          <t>B02.17.02.02.01</t>
        </is>
      </c>
      <c r="D210" s="10" t="inlineStr">
        <is>
          <t xml:space="preserve">      FTP</t>
        </is>
      </c>
      <c r="H210" s="5">
        <f>H209/H106</f>
        <v/>
      </c>
      <c r="J210" s="5" t="inlineStr">
        <is>
          <t>率年化指标</t>
        </is>
      </c>
      <c r="M210" t="inlineStr">
        <is>
          <t>17.02.02.01</t>
        </is>
      </c>
      <c r="R210" t="inlineStr">
        <is>
          <t>WGT</t>
        </is>
      </c>
    </row>
    <row r="211">
      <c r="A211" s="10" t="inlineStr">
        <is>
          <t>三级</t>
        </is>
      </c>
      <c r="B211" s="10" t="inlineStr">
        <is>
          <t>收入</t>
        </is>
      </c>
      <c r="C211" s="9" t="inlineStr">
        <is>
          <t>B02.17.02.03</t>
        </is>
      </c>
      <c r="D211" s="10" t="inlineStr">
        <is>
          <t xml:space="preserve">    转贷款</t>
        </is>
      </c>
      <c r="F211" t="inlineStr">
        <is>
          <t>B02.17.02.03.01</t>
        </is>
      </c>
      <c r="I211" s="5">
        <f>I107*I212</f>
        <v/>
      </c>
      <c r="J211" s="5" t="inlineStr">
        <is>
          <t>收支月化指标</t>
        </is>
      </c>
      <c r="M211" t="inlineStr">
        <is>
          <t>17.02.03</t>
        </is>
      </c>
    </row>
    <row r="212">
      <c r="A212" s="10" t="inlineStr">
        <is>
          <t>四级</t>
        </is>
      </c>
      <c r="B212" s="10" t="inlineStr">
        <is>
          <t>其他</t>
        </is>
      </c>
      <c r="C212" s="9" t="inlineStr">
        <is>
          <t>B02.17.02.03.01</t>
        </is>
      </c>
      <c r="D212" s="10" t="inlineStr">
        <is>
          <t xml:space="preserve">      FTP</t>
        </is>
      </c>
      <c r="H212" s="5">
        <f>H211/H107</f>
        <v/>
      </c>
      <c r="J212" s="5" t="inlineStr">
        <is>
          <t>率年化指标</t>
        </is>
      </c>
      <c r="M212" t="inlineStr">
        <is>
          <t>17.02.03.01</t>
        </is>
      </c>
      <c r="R212" t="inlineStr">
        <is>
          <t>WGT</t>
        </is>
      </c>
    </row>
    <row r="213">
      <c r="A213" s="10" t="inlineStr">
        <is>
          <t>三级</t>
        </is>
      </c>
      <c r="B213" s="10" t="inlineStr">
        <is>
          <t>收入</t>
        </is>
      </c>
      <c r="C213" s="9" t="inlineStr">
        <is>
          <t>B02.17.02.04</t>
        </is>
      </c>
      <c r="D213" s="10" t="inlineStr">
        <is>
          <t xml:space="preserve">    卖出回购</t>
        </is>
      </c>
      <c r="F213" t="inlineStr">
        <is>
          <t>B02.17.02.04.01</t>
        </is>
      </c>
      <c r="I213" s="5">
        <f>I108*I214</f>
        <v/>
      </c>
      <c r="J213" s="5" t="inlineStr">
        <is>
          <t>收支月化指标</t>
        </is>
      </c>
      <c r="M213" t="inlineStr">
        <is>
          <t>17.02.04</t>
        </is>
      </c>
    </row>
    <row r="214">
      <c r="A214" s="10" t="inlineStr">
        <is>
          <t>四级</t>
        </is>
      </c>
      <c r="B214" s="10" t="inlineStr">
        <is>
          <t>其他</t>
        </is>
      </c>
      <c r="C214" s="9" t="inlineStr">
        <is>
          <t>B02.17.02.04.01</t>
        </is>
      </c>
      <c r="D214" s="10" t="inlineStr">
        <is>
          <t xml:space="preserve">      FTP</t>
        </is>
      </c>
      <c r="H214" s="5">
        <f>H213/H108</f>
        <v/>
      </c>
      <c r="J214" s="5" t="inlineStr">
        <is>
          <t>率年化指标</t>
        </is>
      </c>
      <c r="M214" t="inlineStr">
        <is>
          <t>17.02.04.01</t>
        </is>
      </c>
      <c r="R214" t="inlineStr">
        <is>
          <t>WGT</t>
        </is>
      </c>
    </row>
    <row r="215">
      <c r="A215" s="10" t="inlineStr">
        <is>
          <t>三级</t>
        </is>
      </c>
      <c r="B215" s="10" t="inlineStr">
        <is>
          <t>收入</t>
        </is>
      </c>
      <c r="C215" s="9" t="inlineStr">
        <is>
          <t>B02.17.02.05</t>
        </is>
      </c>
      <c r="D215" s="10" t="inlineStr">
        <is>
          <t xml:space="preserve">    发行同业存单</t>
        </is>
      </c>
      <c r="F215" t="inlineStr">
        <is>
          <t>B02.17.02.05.01</t>
        </is>
      </c>
      <c r="I215" s="5">
        <f>I109*I216</f>
        <v/>
      </c>
      <c r="J215" s="5" t="inlineStr">
        <is>
          <t>收支月化指标</t>
        </is>
      </c>
      <c r="M215" t="inlineStr">
        <is>
          <t>17.02.05</t>
        </is>
      </c>
    </row>
    <row r="216">
      <c r="A216" s="10" t="inlineStr">
        <is>
          <t>四级</t>
        </is>
      </c>
      <c r="B216" s="10" t="inlineStr">
        <is>
          <t>其他</t>
        </is>
      </c>
      <c r="C216" s="9" t="inlineStr">
        <is>
          <t>B02.17.02.05.01</t>
        </is>
      </c>
      <c r="D216" s="10" t="inlineStr">
        <is>
          <t xml:space="preserve">      FTP</t>
        </is>
      </c>
      <c r="H216" s="5">
        <f>H215/H109</f>
        <v/>
      </c>
      <c r="J216" s="5" t="inlineStr">
        <is>
          <t>率年化指标</t>
        </is>
      </c>
      <c r="M216" t="inlineStr">
        <is>
          <t>17.02.05.01</t>
        </is>
      </c>
      <c r="R216" t="inlineStr">
        <is>
          <t>WGT</t>
        </is>
      </c>
    </row>
    <row r="217">
      <c r="A217" s="10" t="inlineStr">
        <is>
          <t>二级</t>
        </is>
      </c>
      <c r="B217" s="10" t="inlineStr">
        <is>
          <t>收入</t>
        </is>
      </c>
      <c r="C217" s="9" t="inlineStr">
        <is>
          <t>B02.17.03</t>
        </is>
      </c>
      <c r="D217" s="10" t="inlineStr">
        <is>
          <t xml:space="preserve">    交易性金融负债</t>
        </is>
      </c>
      <c r="F217" t="inlineStr">
        <is>
          <t>B02.17.03.01</t>
        </is>
      </c>
      <c r="J217" s="5" t="inlineStr">
        <is>
          <t>收支月化指标</t>
        </is>
      </c>
      <c r="M217" t="inlineStr">
        <is>
          <t>17.03</t>
        </is>
      </c>
    </row>
    <row r="218">
      <c r="A218" s="10" t="inlineStr">
        <is>
          <t>三级</t>
        </is>
      </c>
      <c r="B218" s="10" t="inlineStr">
        <is>
          <t>其他</t>
        </is>
      </c>
      <c r="C218" s="9" t="inlineStr">
        <is>
          <t>B02.17.03.01</t>
        </is>
      </c>
      <c r="D218" s="10" t="inlineStr">
        <is>
          <t xml:space="preserve">      FTP</t>
        </is>
      </c>
      <c r="H218" s="5">
        <f>H217/H110</f>
        <v/>
      </c>
      <c r="J218" s="5" t="inlineStr">
        <is>
          <t>率年化指标</t>
        </is>
      </c>
      <c r="M218" t="inlineStr">
        <is>
          <t>17.03.01</t>
        </is>
      </c>
      <c r="R218" t="inlineStr">
        <is>
          <t>WGT</t>
        </is>
      </c>
    </row>
    <row r="219">
      <c r="A219" s="1" t="n"/>
      <c r="B219" s="1" t="n"/>
      <c r="C219" s="9" t="n"/>
      <c r="D219" s="10" t="n"/>
    </row>
    <row r="220">
      <c r="A220" s="11" t="inlineStr">
        <is>
          <t>一级</t>
        </is>
      </c>
      <c r="B220" s="11" t="inlineStr">
        <is>
          <t>收入</t>
        </is>
      </c>
      <c r="C220" s="8" t="inlineStr">
        <is>
          <t>B02.18</t>
        </is>
      </c>
      <c r="D220" s="11" t="inlineStr">
        <is>
          <t>手续费收入</t>
        </is>
      </c>
      <c r="F220" t="inlineStr">
        <is>
          <t>B02.18.99</t>
        </is>
      </c>
      <c r="H220" s="5">
        <f>H221</f>
        <v/>
      </c>
      <c r="I220" s="5">
        <f>I221</f>
        <v/>
      </c>
      <c r="M220" t="inlineStr">
        <is>
          <t>18</t>
        </is>
      </c>
    </row>
    <row r="221">
      <c r="A221" s="11" t="inlineStr">
        <is>
          <t>二级</t>
        </is>
      </c>
      <c r="B221" s="11" t="inlineStr">
        <is>
          <t>收入</t>
        </is>
      </c>
      <c r="C221" s="8" t="inlineStr">
        <is>
          <t>B02.18.99</t>
        </is>
      </c>
      <c r="D221" s="11" t="inlineStr">
        <is>
          <t xml:space="preserve">  手续费收入</t>
        </is>
      </c>
      <c r="M221" t="inlineStr">
        <is>
          <t>18.99</t>
        </is>
      </c>
      <c r="R221" t="inlineStr">
        <is>
          <t>SUM</t>
        </is>
      </c>
    </row>
    <row r="222">
      <c r="A222" s="1" t="n"/>
      <c r="B222" s="1" t="n"/>
      <c r="C222" s="9" t="n"/>
      <c r="D222" s="1" t="n"/>
    </row>
    <row r="223">
      <c r="A223" s="11" t="inlineStr">
        <is>
          <t>一级</t>
        </is>
      </c>
      <c r="B223" s="11" t="inlineStr">
        <is>
          <t>支出</t>
        </is>
      </c>
      <c r="C223" s="8" t="inlineStr">
        <is>
          <t>B02.19</t>
        </is>
      </c>
      <c r="D223" s="11" t="inlineStr">
        <is>
          <t>手续费支出</t>
        </is>
      </c>
      <c r="F223" t="inlineStr">
        <is>
          <t>B02.19.99</t>
        </is>
      </c>
      <c r="H223" s="5">
        <f>H224</f>
        <v/>
      </c>
      <c r="I223" s="5">
        <f>I224</f>
        <v/>
      </c>
      <c r="M223" t="inlineStr">
        <is>
          <t>19</t>
        </is>
      </c>
    </row>
    <row r="224">
      <c r="A224" s="11" t="inlineStr">
        <is>
          <t>二级</t>
        </is>
      </c>
      <c r="B224" s="11" t="inlineStr">
        <is>
          <t>支出</t>
        </is>
      </c>
      <c r="C224" s="8" t="inlineStr">
        <is>
          <t>B02.19.99</t>
        </is>
      </c>
      <c r="D224" s="11" t="inlineStr">
        <is>
          <t xml:space="preserve">  手续费支出</t>
        </is>
      </c>
      <c r="M224" t="inlineStr">
        <is>
          <t>19.99</t>
        </is>
      </c>
      <c r="R224" t="inlineStr">
        <is>
          <t>SUM</t>
        </is>
      </c>
    </row>
    <row r="225">
      <c r="A225" s="1" t="n"/>
      <c r="B225" s="1" t="n"/>
      <c r="C225" s="9" t="n"/>
      <c r="D225" s="1" t="n"/>
    </row>
    <row r="226">
      <c r="A226" s="11" t="inlineStr">
        <is>
          <t>一级</t>
        </is>
      </c>
      <c r="B226" s="11" t="inlineStr">
        <is>
          <t>收入</t>
        </is>
      </c>
      <c r="C226" s="8" t="inlineStr">
        <is>
          <t>B02.20</t>
        </is>
      </c>
      <c r="D226" s="11" t="inlineStr">
        <is>
          <t>其他外部营收</t>
        </is>
      </c>
      <c r="F226" t="inlineStr">
        <is>
          <t>B02.20.01+B02.20.02+B02.20.03+B02.20.04+B02.20.05+B02.20.06+B02.20.99</t>
        </is>
      </c>
      <c r="H226" s="5">
        <f>H227+H235+H237+H239+H241+H243+H245</f>
        <v/>
      </c>
      <c r="I226" s="5">
        <f>I227+I235+I237+I239+I241+I243+I245</f>
        <v/>
      </c>
      <c r="M226" t="inlineStr">
        <is>
          <t>20</t>
        </is>
      </c>
    </row>
    <row r="227">
      <c r="A227" s="7" t="inlineStr">
        <is>
          <t>二级</t>
        </is>
      </c>
      <c r="B227" s="7" t="inlineStr">
        <is>
          <t>收入</t>
        </is>
      </c>
      <c r="C227" s="8" t="inlineStr">
        <is>
          <t>B02.20.01</t>
        </is>
      </c>
      <c r="D227" s="7" t="inlineStr">
        <is>
          <t xml:space="preserve">  价差+公允价值变动损益</t>
        </is>
      </c>
      <c r="F227" t="inlineStr">
        <is>
          <t>B02.20.01.01+B02.20.01.02+B02.20.01.03+B02.20.01.04+B02.20.01.05+B02.20.01.06+B02.20.01.99</t>
        </is>
      </c>
      <c r="H227" s="5">
        <f>H228+H229+H230+H231+H232+H233+H234</f>
        <v/>
      </c>
      <c r="I227" s="5">
        <f>I228+I229+I230+I231+I232+I233+I234</f>
        <v/>
      </c>
      <c r="M227" t="inlineStr">
        <is>
          <t>20.01</t>
        </is>
      </c>
    </row>
    <row r="228">
      <c r="A228" s="1" t="inlineStr">
        <is>
          <t>三级</t>
        </is>
      </c>
      <c r="B228" s="1" t="inlineStr">
        <is>
          <t>收入</t>
        </is>
      </c>
      <c r="C228" s="9" t="inlineStr">
        <is>
          <t>B02.20.01.01</t>
        </is>
      </c>
      <c r="D228" s="1" t="inlineStr">
        <is>
          <t xml:space="preserve">    债券价差</t>
        </is>
      </c>
      <c r="M228" t="inlineStr">
        <is>
          <t>20.01.01</t>
        </is>
      </c>
      <c r="R228" t="inlineStr">
        <is>
          <t>SUM</t>
        </is>
      </c>
    </row>
    <row r="229">
      <c r="A229" s="1" t="inlineStr">
        <is>
          <t>三级</t>
        </is>
      </c>
      <c r="B229" s="1" t="inlineStr">
        <is>
          <t>收入</t>
        </is>
      </c>
      <c r="C229" s="9" t="inlineStr">
        <is>
          <t>B02.20.01.02</t>
        </is>
      </c>
      <c r="D229" s="1" t="inlineStr">
        <is>
          <t xml:space="preserve">    债券公允价值变动</t>
        </is>
      </c>
      <c r="M229" t="inlineStr">
        <is>
          <t>20.01.02</t>
        </is>
      </c>
      <c r="R229" t="inlineStr">
        <is>
          <t>SUM</t>
        </is>
      </c>
    </row>
    <row r="230">
      <c r="A230" s="1" t="inlineStr">
        <is>
          <t>三级</t>
        </is>
      </c>
      <c r="B230" s="1" t="inlineStr">
        <is>
          <t>收入</t>
        </is>
      </c>
      <c r="C230" s="9" t="inlineStr">
        <is>
          <t>B02.20.01.03</t>
        </is>
      </c>
      <c r="D230" s="1" t="inlineStr">
        <is>
          <t xml:space="preserve">    同业存单价差</t>
        </is>
      </c>
      <c r="M230" t="inlineStr">
        <is>
          <t>20.01.03</t>
        </is>
      </c>
      <c r="R230" t="inlineStr">
        <is>
          <t>SUM</t>
        </is>
      </c>
    </row>
    <row r="231">
      <c r="A231" s="1" t="inlineStr">
        <is>
          <t>三级</t>
        </is>
      </c>
      <c r="B231" s="1" t="inlineStr">
        <is>
          <t>收入</t>
        </is>
      </c>
      <c r="C231" s="9" t="inlineStr">
        <is>
          <t>B02.20.01.04</t>
        </is>
      </c>
      <c r="D231" s="1" t="inlineStr">
        <is>
          <t xml:space="preserve">    同业存单公允价值变动</t>
        </is>
      </c>
      <c r="M231" t="inlineStr">
        <is>
          <t>20.01.04</t>
        </is>
      </c>
      <c r="R231" t="inlineStr">
        <is>
          <t>SUM</t>
        </is>
      </c>
    </row>
    <row r="232">
      <c r="A232" s="1" t="inlineStr">
        <is>
          <t>三级</t>
        </is>
      </c>
      <c r="B232" s="1" t="inlineStr">
        <is>
          <t>收入</t>
        </is>
      </c>
      <c r="C232" s="9" t="inlineStr">
        <is>
          <t>B02.20.01.05</t>
        </is>
      </c>
      <c r="D232" s="1" t="inlineStr">
        <is>
          <t xml:space="preserve">    交易性金融负债价差</t>
        </is>
      </c>
      <c r="M232" t="inlineStr">
        <is>
          <t>20.01.05</t>
        </is>
      </c>
      <c r="R232" t="inlineStr">
        <is>
          <t>SUM</t>
        </is>
      </c>
    </row>
    <row r="233">
      <c r="A233" s="1" t="inlineStr">
        <is>
          <t>三级</t>
        </is>
      </c>
      <c r="B233" s="1" t="inlineStr">
        <is>
          <t>收入</t>
        </is>
      </c>
      <c r="C233" s="9" t="inlineStr">
        <is>
          <t>B02.20.01.06</t>
        </is>
      </c>
      <c r="D233" s="1" t="inlineStr">
        <is>
          <t xml:space="preserve">    交易性金融负债公允价值变动</t>
        </is>
      </c>
      <c r="M233" t="inlineStr">
        <is>
          <t>20.01.06</t>
        </is>
      </c>
      <c r="R233" t="inlineStr">
        <is>
          <t>SUM</t>
        </is>
      </c>
    </row>
    <row r="234">
      <c r="A234" s="1" t="inlineStr">
        <is>
          <t>三级</t>
        </is>
      </c>
      <c r="B234" s="1" t="inlineStr">
        <is>
          <t>收入</t>
        </is>
      </c>
      <c r="C234" s="9" t="inlineStr">
        <is>
          <t>B02.20.01.99</t>
        </is>
      </c>
      <c r="D234" s="1" t="inlineStr">
        <is>
          <t xml:space="preserve">    其他</t>
        </is>
      </c>
      <c r="M234" t="inlineStr">
        <is>
          <t>20.01.99</t>
        </is>
      </c>
      <c r="R234" t="inlineStr">
        <is>
          <t>SUM</t>
        </is>
      </c>
    </row>
    <row r="235">
      <c r="A235" s="7" t="inlineStr">
        <is>
          <t>二级</t>
        </is>
      </c>
      <c r="B235" s="7" t="inlineStr">
        <is>
          <t>收入</t>
        </is>
      </c>
      <c r="C235" s="8" t="inlineStr">
        <is>
          <t>B02.20.02</t>
        </is>
      </c>
      <c r="D235" s="7" t="inlineStr">
        <is>
          <t xml:space="preserve">  PL债券投资利息收入</t>
        </is>
      </c>
      <c r="F235" t="inlineStr">
        <is>
          <t>B02.20.02.01</t>
        </is>
      </c>
      <c r="M235" t="inlineStr">
        <is>
          <t>20.02</t>
        </is>
      </c>
    </row>
    <row r="236">
      <c r="A236" s="1" t="inlineStr">
        <is>
          <t>三级</t>
        </is>
      </c>
      <c r="B236" s="1" t="inlineStr">
        <is>
          <t>其他</t>
        </is>
      </c>
      <c r="C236" s="9" t="inlineStr">
        <is>
          <t>B02.20.02.01</t>
        </is>
      </c>
      <c r="D236" s="10" t="inlineStr">
        <is>
          <t xml:space="preserve">    收息率</t>
        </is>
      </c>
      <c r="H236" s="5">
        <f>H235/(H92+H93)</f>
        <v/>
      </c>
      <c r="J236" s="5" t="inlineStr">
        <is>
          <t>率年化指标</t>
        </is>
      </c>
      <c r="M236" t="inlineStr">
        <is>
          <t>20.02.01</t>
        </is>
      </c>
      <c r="R236" t="inlineStr">
        <is>
          <t>WGT</t>
        </is>
      </c>
    </row>
    <row r="237">
      <c r="A237" s="7" t="inlineStr">
        <is>
          <t>二级</t>
        </is>
      </c>
      <c r="B237" s="7" t="inlineStr">
        <is>
          <t>收入</t>
        </is>
      </c>
      <c r="C237" s="8" t="inlineStr">
        <is>
          <t>B02.20.03</t>
        </is>
      </c>
      <c r="D237" s="7" t="inlineStr">
        <is>
          <t xml:space="preserve">  PL同业存单投资利息收入</t>
        </is>
      </c>
      <c r="F237" t="inlineStr">
        <is>
          <t>B02.20.03.01</t>
        </is>
      </c>
      <c r="M237" t="inlineStr">
        <is>
          <t>20.03</t>
        </is>
      </c>
    </row>
    <row r="238">
      <c r="A238" s="1" t="inlineStr">
        <is>
          <t>三级</t>
        </is>
      </c>
      <c r="B238" s="1" t="inlineStr">
        <is>
          <t>其他</t>
        </is>
      </c>
      <c r="C238" s="9" t="inlineStr">
        <is>
          <t>B02.20.03.01</t>
        </is>
      </c>
      <c r="D238" s="10" t="inlineStr">
        <is>
          <t xml:space="preserve">    收息率</t>
        </is>
      </c>
      <c r="H238" s="5">
        <f>H237/H94</f>
        <v/>
      </c>
      <c r="J238" s="5" t="inlineStr">
        <is>
          <t>率年化指标</t>
        </is>
      </c>
      <c r="M238" t="inlineStr">
        <is>
          <t>20.03.01</t>
        </is>
      </c>
      <c r="R238" t="inlineStr">
        <is>
          <t>WGT</t>
        </is>
      </c>
    </row>
    <row r="239">
      <c r="A239" s="7" t="inlineStr">
        <is>
          <t>二级</t>
        </is>
      </c>
      <c r="B239" s="7" t="inlineStr">
        <is>
          <t>收入</t>
        </is>
      </c>
      <c r="C239" s="8" t="inlineStr">
        <is>
          <t>B02.20.04</t>
        </is>
      </c>
      <c r="D239" s="7" t="inlineStr">
        <is>
          <t xml:space="preserve">  货基投资</t>
        </is>
      </c>
      <c r="F239" t="inlineStr">
        <is>
          <t>B02.20.04.01</t>
        </is>
      </c>
      <c r="I239" s="5">
        <f>I89*I240</f>
        <v/>
      </c>
      <c r="J239" s="5" t="inlineStr">
        <is>
          <t>收支月化指标</t>
        </is>
      </c>
      <c r="M239" t="inlineStr">
        <is>
          <t>20.04</t>
        </is>
      </c>
    </row>
    <row r="240">
      <c r="A240" s="1" t="inlineStr">
        <is>
          <t>三级</t>
        </is>
      </c>
      <c r="B240" s="1" t="inlineStr">
        <is>
          <t>其他</t>
        </is>
      </c>
      <c r="C240" s="9" t="inlineStr">
        <is>
          <t>B02.20.04.01</t>
        </is>
      </c>
      <c r="D240" s="10" t="inlineStr">
        <is>
          <t xml:space="preserve">    收益率</t>
        </is>
      </c>
      <c r="H240" s="5">
        <f>H239/H89</f>
        <v/>
      </c>
      <c r="J240" s="5" t="inlineStr">
        <is>
          <t>率年化指标</t>
        </is>
      </c>
      <c r="M240" t="inlineStr">
        <is>
          <t>20.04.01</t>
        </is>
      </c>
      <c r="R240" t="inlineStr">
        <is>
          <t>WGT</t>
        </is>
      </c>
    </row>
    <row r="241">
      <c r="A241" s="7" t="inlineStr">
        <is>
          <t>二级</t>
        </is>
      </c>
      <c r="B241" s="7" t="inlineStr">
        <is>
          <t>收入</t>
        </is>
      </c>
      <c r="C241" s="8" t="inlineStr">
        <is>
          <t>B02.20.05</t>
        </is>
      </c>
      <c r="D241" s="7" t="inlineStr">
        <is>
          <t xml:space="preserve">  债基投资</t>
        </is>
      </c>
      <c r="F241" t="inlineStr">
        <is>
          <t>B02.20.05.01</t>
        </is>
      </c>
      <c r="I241" s="5">
        <f>I90*I242</f>
        <v/>
      </c>
      <c r="J241" s="5" t="inlineStr">
        <is>
          <t>收支月化指标</t>
        </is>
      </c>
      <c r="M241" t="inlineStr">
        <is>
          <t>20.05</t>
        </is>
      </c>
    </row>
    <row r="242">
      <c r="A242" s="1" t="inlineStr">
        <is>
          <t>三级</t>
        </is>
      </c>
      <c r="B242" s="1" t="inlineStr">
        <is>
          <t>其他</t>
        </is>
      </c>
      <c r="C242" s="9" t="inlineStr">
        <is>
          <t>B02.20.05.01</t>
        </is>
      </c>
      <c r="D242" s="10" t="inlineStr">
        <is>
          <t xml:space="preserve">    收益率</t>
        </is>
      </c>
      <c r="H242" s="5">
        <f>H241/H90</f>
        <v/>
      </c>
      <c r="J242" s="5" t="inlineStr">
        <is>
          <t>率年化指标</t>
        </is>
      </c>
      <c r="M242" t="inlineStr">
        <is>
          <t>20.05.01</t>
        </is>
      </c>
      <c r="R242" t="inlineStr">
        <is>
          <t>WGT</t>
        </is>
      </c>
    </row>
    <row r="243">
      <c r="A243" s="7" t="inlineStr">
        <is>
          <t>二级</t>
        </is>
      </c>
      <c r="B243" s="7" t="inlineStr">
        <is>
          <t>收入</t>
        </is>
      </c>
      <c r="C243" s="8" t="inlineStr">
        <is>
          <t>B02.20.06</t>
        </is>
      </c>
      <c r="D243" s="7" t="inlineStr">
        <is>
          <t xml:space="preserve">  交易性金融负债</t>
        </is>
      </c>
      <c r="F243" t="inlineStr">
        <is>
          <t>B02.20.06.01</t>
        </is>
      </c>
      <c r="M243" t="inlineStr">
        <is>
          <t>20.06</t>
        </is>
      </c>
    </row>
    <row r="244">
      <c r="A244" s="1" t="inlineStr">
        <is>
          <t>三级</t>
        </is>
      </c>
      <c r="B244" s="1" t="inlineStr">
        <is>
          <t>其他</t>
        </is>
      </c>
      <c r="C244" s="9" t="inlineStr">
        <is>
          <t>B02.20.06.01</t>
        </is>
      </c>
      <c r="D244" s="10" t="inlineStr">
        <is>
          <t xml:space="preserve">    付息率</t>
        </is>
      </c>
      <c r="H244" s="5">
        <f>H243/H110</f>
        <v/>
      </c>
      <c r="J244" s="5" t="inlineStr">
        <is>
          <t>率年化指标</t>
        </is>
      </c>
      <c r="M244" t="inlineStr">
        <is>
          <t>20.06.01</t>
        </is>
      </c>
      <c r="R244" t="inlineStr">
        <is>
          <t>WGT</t>
        </is>
      </c>
    </row>
    <row r="245">
      <c r="A245" s="7" t="inlineStr">
        <is>
          <t>二级</t>
        </is>
      </c>
      <c r="B245" s="7" t="inlineStr">
        <is>
          <t>收入</t>
        </is>
      </c>
      <c r="C245" s="8" t="inlineStr">
        <is>
          <t>B02.20.99</t>
        </is>
      </c>
      <c r="D245" s="7" t="inlineStr">
        <is>
          <t xml:space="preserve">  返税收入</t>
        </is>
      </c>
      <c r="F245" t="inlineStr">
        <is>
          <t>B02.20.99.01+B02.20.99.02</t>
        </is>
      </c>
      <c r="H245" s="5">
        <f>H246+H251</f>
        <v/>
      </c>
      <c r="I245" s="5">
        <f>I246+I251</f>
        <v/>
      </c>
      <c r="M245" t="inlineStr">
        <is>
          <t>20.99</t>
        </is>
      </c>
    </row>
    <row r="246">
      <c r="A246" s="7" t="inlineStr">
        <is>
          <t>三级</t>
        </is>
      </c>
      <c r="B246" s="7" t="inlineStr">
        <is>
          <t>收入</t>
        </is>
      </c>
      <c r="C246" s="8" t="inlineStr">
        <is>
          <t>B02.20.99.01</t>
        </is>
      </c>
      <c r="D246" s="7" t="inlineStr">
        <is>
          <t xml:space="preserve">    利率债</t>
        </is>
      </c>
      <c r="F246" t="inlineStr">
        <is>
          <t>B02.20.99.01.01+B02.20.99.01.02+B02.20.99.01.03+B02.20.99.01.04</t>
        </is>
      </c>
      <c r="I246" s="5">
        <f>I247+I249</f>
        <v/>
      </c>
      <c r="M246" t="inlineStr">
        <is>
          <t>20.99.01</t>
        </is>
      </c>
    </row>
    <row r="247">
      <c r="A247" s="1" t="inlineStr">
        <is>
          <t>四级</t>
        </is>
      </c>
      <c r="B247" s="7" t="inlineStr">
        <is>
          <t>收入</t>
        </is>
      </c>
      <c r="C247" s="9" t="inlineStr">
        <is>
          <t>B02.20.99.01.01</t>
        </is>
      </c>
      <c r="D247" s="1" t="inlineStr">
        <is>
          <t xml:space="preserve">      国债</t>
        </is>
      </c>
      <c r="I247" s="5">
        <f>I78*(I248-I132)</f>
        <v/>
      </c>
      <c r="J247" s="5" t="inlineStr">
        <is>
          <t>收支月化指标</t>
        </is>
      </c>
      <c r="M247" t="inlineStr">
        <is>
          <t>20.99.01.01</t>
        </is>
      </c>
      <c r="R247" t="inlineStr">
        <is>
          <t>SUM</t>
        </is>
      </c>
    </row>
    <row r="248">
      <c r="A248" s="1" t="inlineStr">
        <is>
          <t>四级</t>
        </is>
      </c>
      <c r="B248" s="1" t="inlineStr">
        <is>
          <t>其他</t>
        </is>
      </c>
      <c r="C248" s="9" t="inlineStr">
        <is>
          <t>B02.20.99.01.02</t>
        </is>
      </c>
      <c r="D248" s="1" t="inlineStr">
        <is>
          <t xml:space="preserve">      返税后收益率</t>
        </is>
      </c>
      <c r="M248" t="inlineStr">
        <is>
          <t>20.99.01.02</t>
        </is>
      </c>
      <c r="R248" t="inlineStr">
        <is>
          <t>WGT</t>
        </is>
      </c>
    </row>
    <row r="249">
      <c r="A249" s="1" t="inlineStr">
        <is>
          <t>四级</t>
        </is>
      </c>
      <c r="B249" s="7" t="inlineStr">
        <is>
          <t>收入</t>
        </is>
      </c>
      <c r="C249" s="9" t="inlineStr">
        <is>
          <t>B02.20.99.01.03</t>
        </is>
      </c>
      <c r="D249" s="1" t="inlineStr">
        <is>
          <t xml:space="preserve">      地方债</t>
        </is>
      </c>
      <c r="I249" s="5">
        <f>I80*(I250-I136)</f>
        <v/>
      </c>
      <c r="J249" s="5" t="inlineStr">
        <is>
          <t>收支月化指标</t>
        </is>
      </c>
      <c r="M249" t="inlineStr">
        <is>
          <t>20.99.01.03</t>
        </is>
      </c>
      <c r="R249" t="inlineStr">
        <is>
          <t>SUM</t>
        </is>
      </c>
    </row>
    <row r="250">
      <c r="A250" s="1" t="inlineStr">
        <is>
          <t>四级</t>
        </is>
      </c>
      <c r="B250" s="1" t="inlineStr">
        <is>
          <t>其他</t>
        </is>
      </c>
      <c r="C250" s="9" t="inlineStr">
        <is>
          <t>B02.20.99.01.04</t>
        </is>
      </c>
      <c r="D250" s="1" t="inlineStr">
        <is>
          <t xml:space="preserve">      返税后收益率</t>
        </is>
      </c>
      <c r="M250" t="inlineStr">
        <is>
          <t>20.99.01.04</t>
        </is>
      </c>
      <c r="R250" t="inlineStr">
        <is>
          <t>WGT</t>
        </is>
      </c>
    </row>
    <row r="251">
      <c r="A251" s="7" t="inlineStr">
        <is>
          <t>三级</t>
        </is>
      </c>
      <c r="B251" s="7" t="inlineStr">
        <is>
          <t>收入</t>
        </is>
      </c>
      <c r="C251" s="8" t="inlineStr">
        <is>
          <t>B02.20.99.02</t>
        </is>
      </c>
      <c r="D251" s="7" t="inlineStr">
        <is>
          <t xml:space="preserve">    基金</t>
        </is>
      </c>
      <c r="F251" t="inlineStr">
        <is>
          <t>B02.20.99.02.01+B02.20.99.02.02+B02.20.99.02.03+B02.20.99.02.04</t>
        </is>
      </c>
      <c r="I251" s="5">
        <f>I252+I254</f>
        <v/>
      </c>
      <c r="M251" t="inlineStr">
        <is>
          <t>20.99.02</t>
        </is>
      </c>
    </row>
    <row r="252">
      <c r="A252" s="1" t="inlineStr">
        <is>
          <t>四级</t>
        </is>
      </c>
      <c r="B252" s="7" t="inlineStr">
        <is>
          <t>收入</t>
        </is>
      </c>
      <c r="C252" s="9" t="inlineStr">
        <is>
          <t>B02.20.99.02.01</t>
        </is>
      </c>
      <c r="D252" s="1" t="inlineStr">
        <is>
          <t xml:space="preserve">      货基</t>
        </is>
      </c>
      <c r="I252" s="5">
        <f>I89*(I253-I240)</f>
        <v/>
      </c>
      <c r="J252" s="5" t="inlineStr">
        <is>
          <t>收支月化指标</t>
        </is>
      </c>
      <c r="M252" t="inlineStr">
        <is>
          <t>20.99.02.01</t>
        </is>
      </c>
      <c r="R252" t="inlineStr">
        <is>
          <t>SUM</t>
        </is>
      </c>
    </row>
    <row r="253">
      <c r="A253" s="1" t="inlineStr">
        <is>
          <t>四级</t>
        </is>
      </c>
      <c r="B253" s="1" t="inlineStr">
        <is>
          <t>其他</t>
        </is>
      </c>
      <c r="C253" s="9" t="inlineStr">
        <is>
          <t>B02.20.99.02.02</t>
        </is>
      </c>
      <c r="D253" s="1" t="inlineStr">
        <is>
          <t xml:space="preserve">      返税后收益率</t>
        </is>
      </c>
      <c r="M253" t="inlineStr">
        <is>
          <t>20.99.02.02</t>
        </is>
      </c>
      <c r="R253" t="inlineStr">
        <is>
          <t>WGT</t>
        </is>
      </c>
    </row>
    <row r="254">
      <c r="A254" s="1" t="inlineStr">
        <is>
          <t>四级</t>
        </is>
      </c>
      <c r="B254" s="7" t="inlineStr">
        <is>
          <t>收入</t>
        </is>
      </c>
      <c r="C254" s="9" t="inlineStr">
        <is>
          <t>B02.20.99.02.03</t>
        </is>
      </c>
      <c r="D254" s="1" t="inlineStr">
        <is>
          <t xml:space="preserve">      债基</t>
        </is>
      </c>
      <c r="I254" s="5">
        <f>I90*(I255-I242)</f>
        <v/>
      </c>
      <c r="J254" s="5" t="inlineStr">
        <is>
          <t>收支月化指标</t>
        </is>
      </c>
      <c r="M254" t="inlineStr">
        <is>
          <t>20.99.02.03</t>
        </is>
      </c>
      <c r="R254" t="inlineStr">
        <is>
          <t>SUM</t>
        </is>
      </c>
    </row>
    <row r="255">
      <c r="A255" s="1" t="inlineStr">
        <is>
          <t>四级</t>
        </is>
      </c>
      <c r="B255" s="1" t="inlineStr">
        <is>
          <t>其他</t>
        </is>
      </c>
      <c r="C255" s="9" t="inlineStr">
        <is>
          <t>B02.20.99.02.04</t>
        </is>
      </c>
      <c r="D255" s="1" t="inlineStr">
        <is>
          <t xml:space="preserve">      返税后收益率</t>
        </is>
      </c>
      <c r="M255" t="inlineStr">
        <is>
          <t>20.99.02.04</t>
        </is>
      </c>
      <c r="R255" t="inlineStr">
        <is>
          <t>WGT</t>
        </is>
      </c>
    </row>
    <row r="256">
      <c r="A256" s="1" t="n"/>
      <c r="B256" s="1" t="n"/>
      <c r="C256" s="9" t="n"/>
      <c r="D256" s="1" t="n"/>
    </row>
    <row r="257">
      <c r="A257" s="11" t="inlineStr">
        <is>
          <t>一级</t>
        </is>
      </c>
      <c r="B257" s="7" t="inlineStr">
        <is>
          <t>收入</t>
        </is>
      </c>
      <c r="C257" s="11" t="inlineStr">
        <is>
          <t>B02.21</t>
        </is>
      </c>
      <c r="D257" s="11" t="inlineStr">
        <is>
          <t>内部营业净收入</t>
        </is>
      </c>
      <c r="M257" t="inlineStr">
        <is>
          <t>21</t>
        </is>
      </c>
      <c r="R257" t="inlineStr">
        <is>
          <t>SUM</t>
        </is>
      </c>
    </row>
    <row r="258">
      <c r="A258" s="10" t="n"/>
      <c r="B258" s="10" t="n"/>
      <c r="C258" s="10" t="n"/>
      <c r="D258" s="10" t="n"/>
    </row>
    <row r="259"/>
    <row r="260">
      <c r="A260" t="inlineStr">
        <is>
          <t>层级</t>
        </is>
      </c>
      <c r="B260" t="inlineStr">
        <is>
          <t>性质</t>
        </is>
      </c>
      <c r="C260" t="inlineStr">
        <is>
          <t>科目代码</t>
        </is>
      </c>
      <c r="D260" t="inlineStr">
        <is>
          <t>科目名称</t>
        </is>
      </c>
      <c r="E260" t="inlineStr">
        <is>
          <t>录入粒度</t>
        </is>
      </c>
      <c r="F260" t="inlineStr">
        <is>
          <t>年预算公式</t>
        </is>
      </c>
      <c r="J260" t="inlineStr">
        <is>
          <t>公式说明</t>
        </is>
      </c>
      <c r="K260" t="inlineStr">
        <is>
          <t>横向汇总</t>
        </is>
      </c>
    </row>
    <row r="261">
      <c r="A261" t="inlineStr">
        <is>
          <t>一级</t>
        </is>
      </c>
      <c r="B261" t="inlineStr">
        <is>
          <t>支出</t>
        </is>
      </c>
      <c r="C261" t="inlineStr">
        <is>
          <t>B02.90</t>
        </is>
      </c>
      <c r="D261" t="inlineStr">
        <is>
          <t>减:业务及管理费</t>
        </is>
      </c>
      <c r="F261" t="inlineStr">
        <is>
          <t>B02.90.01+B02.90.03</t>
        </is>
      </c>
      <c r="K261" t="inlineStr">
        <is>
          <t>是</t>
        </is>
      </c>
      <c r="M261" t="inlineStr">
        <is>
          <t>05</t>
        </is>
      </c>
    </row>
    <row r="262">
      <c r="A262" t="inlineStr">
        <is>
          <t>二级</t>
        </is>
      </c>
      <c r="B262" t="inlineStr">
        <is>
          <t>支出</t>
        </is>
      </c>
      <c r="C262" t="inlineStr">
        <is>
          <t>B02.90.01</t>
        </is>
      </c>
      <c r="D262" t="inlineStr">
        <is>
          <t>直接费用</t>
        </is>
      </c>
      <c r="F262" t="inlineStr">
        <is>
          <t>B02.90.01.01+B02.90.01.02</t>
        </is>
      </c>
      <c r="K262" t="inlineStr">
        <is>
          <t>是</t>
        </is>
      </c>
      <c r="M262" t="inlineStr">
        <is>
          <t>05.01</t>
        </is>
      </c>
    </row>
    <row r="263">
      <c r="A263" t="inlineStr">
        <is>
          <t>三级</t>
        </is>
      </c>
      <c r="B263" t="inlineStr">
        <is>
          <t>支出</t>
        </is>
      </c>
      <c r="C263" t="inlineStr">
        <is>
          <t>B02.90.01.01</t>
        </is>
      </c>
      <c r="D263" t="inlineStr">
        <is>
          <t>直接费用</t>
        </is>
      </c>
      <c r="F263" t="inlineStr">
        <is>
          <t>B02.90.01.01.01+B02.90.01.01.02+B02.90.01.01.03+B02.90.01.01.04.001+B02.90.01.01.05.001</t>
        </is>
      </c>
      <c r="K263" t="inlineStr">
        <is>
          <t>是</t>
        </is>
      </c>
      <c r="M263" t="inlineStr">
        <is>
          <t>05.01.01</t>
        </is>
      </c>
    </row>
    <row r="264">
      <c r="A264" t="inlineStr">
        <is>
          <t>四级</t>
        </is>
      </c>
      <c r="B264" t="inlineStr">
        <is>
          <t>支出</t>
        </is>
      </c>
      <c r="C264" t="inlineStr">
        <is>
          <t>B02.90.01.01.01</t>
        </is>
      </c>
      <c r="D264" t="inlineStr">
        <is>
          <t>人力（不含IT)</t>
        </is>
      </c>
      <c r="F264" t="inlineStr">
        <is>
          <t>B02.90.01.01.01.001+B02.90.01.01.01.002</t>
        </is>
      </c>
      <c r="K264" t="inlineStr">
        <is>
          <t>是</t>
        </is>
      </c>
      <c r="M264" t="inlineStr">
        <is>
          <t>05.01.01.01</t>
        </is>
      </c>
    </row>
    <row r="265">
      <c r="A265" t="inlineStr">
        <is>
          <t>五级</t>
        </is>
      </c>
      <c r="B265" t="inlineStr">
        <is>
          <t>支出</t>
        </is>
      </c>
      <c r="C265" t="inlineStr">
        <is>
          <t>B02.90.01.01.01.001</t>
        </is>
      </c>
      <c r="D265" t="inlineStr">
        <is>
          <t>业务人力</t>
        </is>
      </c>
      <c r="K265" t="inlineStr">
        <is>
          <t>是</t>
        </is>
      </c>
      <c r="M265" t="inlineStr">
        <is>
          <t>05.01.01.01.001</t>
        </is>
      </c>
      <c r="N265" t="inlineStr">
        <is>
          <t>SUM</t>
        </is>
      </c>
    </row>
    <row r="266">
      <c r="A266" t="inlineStr">
        <is>
          <t>五级</t>
        </is>
      </c>
      <c r="B266" t="inlineStr">
        <is>
          <t>支出</t>
        </is>
      </c>
      <c r="C266" t="inlineStr">
        <is>
          <t>B02.90.01.01.01.002</t>
        </is>
      </c>
      <c r="D266" t="inlineStr">
        <is>
          <t>特别人力</t>
        </is>
      </c>
      <c r="K266" t="inlineStr">
        <is>
          <t>是</t>
        </is>
      </c>
      <c r="M266" t="inlineStr">
        <is>
          <t>05.01.01.01.002</t>
        </is>
      </c>
      <c r="N266" t="inlineStr">
        <is>
          <t>SUM</t>
        </is>
      </c>
    </row>
    <row r="267">
      <c r="A267" t="inlineStr">
        <is>
          <t>四级</t>
        </is>
      </c>
      <c r="B267" t="inlineStr">
        <is>
          <t>支出</t>
        </is>
      </c>
      <c r="C267" t="inlineStr">
        <is>
          <t>B02.90.01.01.02</t>
        </is>
      </c>
      <c r="D267" t="inlineStr">
        <is>
          <t>业务费用</t>
        </is>
      </c>
      <c r="F267" t="inlineStr">
        <is>
          <t>B02.90.01.01.02.001+B02.90.01.01.02.002</t>
        </is>
      </c>
      <c r="K267" t="inlineStr">
        <is>
          <t>是</t>
        </is>
      </c>
      <c r="M267" t="inlineStr">
        <is>
          <t>05.01.01.02</t>
        </is>
      </c>
    </row>
    <row r="268">
      <c r="A268" t="inlineStr">
        <is>
          <t>五级</t>
        </is>
      </c>
      <c r="B268" t="inlineStr">
        <is>
          <t>支出</t>
        </is>
      </c>
      <c r="C268" t="inlineStr">
        <is>
          <t>B02.90.01.01.02.001</t>
        </is>
      </c>
      <c r="D268" t="inlineStr">
        <is>
          <t>营销</t>
        </is>
      </c>
      <c r="K268" t="inlineStr">
        <is>
          <t>是</t>
        </is>
      </c>
      <c r="M268" t="inlineStr">
        <is>
          <t>05.01.01.02.001</t>
        </is>
      </c>
      <c r="N268" t="inlineStr">
        <is>
          <t>SUM</t>
        </is>
      </c>
    </row>
    <row r="269">
      <c r="A269" t="inlineStr">
        <is>
          <t>五级</t>
        </is>
      </c>
      <c r="B269" t="inlineStr">
        <is>
          <t>支出</t>
        </is>
      </c>
      <c r="C269" t="inlineStr">
        <is>
          <t>B02.90.01.01.02.002</t>
        </is>
      </c>
      <c r="D269" t="inlineStr">
        <is>
          <t>运营</t>
        </is>
      </c>
      <c r="K269" t="inlineStr">
        <is>
          <t>是</t>
        </is>
      </c>
      <c r="M269" t="inlineStr">
        <is>
          <t>05.01.01.02.002</t>
        </is>
      </c>
      <c r="N269" t="inlineStr">
        <is>
          <t>SUM</t>
        </is>
      </c>
    </row>
    <row r="270">
      <c r="A270" t="inlineStr">
        <is>
          <t>四级</t>
        </is>
      </c>
      <c r="B270" t="inlineStr">
        <is>
          <t>支出</t>
        </is>
      </c>
      <c r="C270" t="inlineStr">
        <is>
          <t>B02.90.01.01.03</t>
        </is>
      </c>
      <c r="D270" t="inlineStr">
        <is>
          <t>IT</t>
        </is>
      </c>
      <c r="F270" t="inlineStr">
        <is>
          <t>B02.90.01.01.03.01+B02.90.01.01.03.02.001+B02.90.01.01.03.03.001+B02.90.01.01.03.04.001</t>
        </is>
      </c>
      <c r="K270" t="inlineStr">
        <is>
          <t>是</t>
        </is>
      </c>
      <c r="M270" t="inlineStr">
        <is>
          <t>05.01.01.03</t>
        </is>
      </c>
    </row>
    <row r="271">
      <c r="A271" t="inlineStr">
        <is>
          <t>五级</t>
        </is>
      </c>
      <c r="B271" t="inlineStr">
        <is>
          <t>支出</t>
        </is>
      </c>
      <c r="C271" t="inlineStr">
        <is>
          <t>B02.90.01.01.03.01</t>
        </is>
      </c>
      <c r="D271" t="inlineStr">
        <is>
          <t>IT人力</t>
        </is>
      </c>
      <c r="F271" t="inlineStr">
        <is>
          <t>B02.90.01.01.03.01.001+B02.90.01.01.03.01.002</t>
        </is>
      </c>
      <c r="K271" t="inlineStr">
        <is>
          <t>是</t>
        </is>
      </c>
      <c r="M271" t="inlineStr">
        <is>
          <t>05.01.01.03.01</t>
        </is>
      </c>
    </row>
    <row r="272">
      <c r="A272" t="inlineStr">
        <is>
          <t>六级</t>
        </is>
      </c>
      <c r="B272" t="inlineStr">
        <is>
          <t>支出</t>
        </is>
      </c>
      <c r="C272" t="inlineStr">
        <is>
          <t>B02.90.01.01.03.01.001</t>
        </is>
      </c>
      <c r="D272" t="inlineStr">
        <is>
          <t>IT常规人力</t>
        </is>
      </c>
      <c r="K272" t="inlineStr">
        <is>
          <t>是</t>
        </is>
      </c>
      <c r="M272" t="inlineStr">
        <is>
          <t>05.01.01.03.01.001</t>
        </is>
      </c>
      <c r="N272" t="inlineStr">
        <is>
          <t>SUM</t>
        </is>
      </c>
    </row>
    <row r="273">
      <c r="A273" t="inlineStr">
        <is>
          <t>六级</t>
        </is>
      </c>
      <c r="B273" t="inlineStr">
        <is>
          <t>支出</t>
        </is>
      </c>
      <c r="C273" t="inlineStr">
        <is>
          <t>B02.90.01.01.03.01.002</t>
        </is>
      </c>
      <c r="D273" t="inlineStr">
        <is>
          <t>IT特别人力</t>
        </is>
      </c>
      <c r="K273" t="inlineStr">
        <is>
          <t>是</t>
        </is>
      </c>
      <c r="M273" t="inlineStr">
        <is>
          <t>05.01.01.03.01.002</t>
        </is>
      </c>
      <c r="N273" t="inlineStr">
        <is>
          <t>SUM</t>
        </is>
      </c>
    </row>
    <row r="274">
      <c r="A274" t="inlineStr">
        <is>
          <t>五级</t>
        </is>
      </c>
      <c r="B274" t="inlineStr">
        <is>
          <t>支出</t>
        </is>
      </c>
      <c r="C274" t="inlineStr">
        <is>
          <t>B02.90.01.01.03.02</t>
        </is>
      </c>
      <c r="D274" t="inlineStr">
        <is>
          <t>科技</t>
        </is>
      </c>
      <c r="K274" t="inlineStr">
        <is>
          <t>是</t>
        </is>
      </c>
      <c r="M274" t="inlineStr">
        <is>
          <t>05.01.01.03.02</t>
        </is>
      </c>
      <c r="N274" t="inlineStr">
        <is>
          <t>SUM</t>
        </is>
      </c>
    </row>
    <row r="275">
      <c r="A275" t="inlineStr">
        <is>
          <t>五级</t>
        </is>
      </c>
      <c r="B275" t="inlineStr">
        <is>
          <t>支出</t>
        </is>
      </c>
      <c r="C275" t="inlineStr">
        <is>
          <t>B02.90.01.01.03.03</t>
        </is>
      </c>
      <c r="D275" t="inlineStr">
        <is>
          <t>IT职场</t>
        </is>
      </c>
      <c r="K275" t="inlineStr">
        <is>
          <t>是</t>
        </is>
      </c>
      <c r="M275" t="inlineStr">
        <is>
          <t>05.01.01.03.03</t>
        </is>
      </c>
      <c r="N275" t="inlineStr">
        <is>
          <t>SUM</t>
        </is>
      </c>
    </row>
    <row r="276">
      <c r="A276" t="inlineStr">
        <is>
          <t>五级</t>
        </is>
      </c>
      <c r="B276" t="inlineStr">
        <is>
          <t>支出</t>
        </is>
      </c>
      <c r="C276" t="inlineStr">
        <is>
          <t>B02.90.01.01.03.04</t>
        </is>
      </c>
      <c r="D276" t="inlineStr">
        <is>
          <t>IT日常</t>
        </is>
      </c>
      <c r="K276" t="inlineStr">
        <is>
          <t>是</t>
        </is>
      </c>
      <c r="M276" t="inlineStr">
        <is>
          <t>05.01.01.03.04</t>
        </is>
      </c>
      <c r="N276" t="inlineStr">
        <is>
          <t>SUM</t>
        </is>
      </c>
    </row>
    <row r="277">
      <c r="A277" t="inlineStr">
        <is>
          <t>四级</t>
        </is>
      </c>
      <c r="B277" t="inlineStr">
        <is>
          <t>支出</t>
        </is>
      </c>
      <c r="C277" t="inlineStr">
        <is>
          <t>B02.90.01.01.04</t>
        </is>
      </c>
      <c r="D277" t="inlineStr">
        <is>
          <t>AA.05.01.01.04</t>
        </is>
      </c>
      <c r="F277" t="inlineStr">
        <is>
          <t>B02.90.01.01.04.001</t>
        </is>
      </c>
      <c r="K277" t="inlineStr">
        <is>
          <t>是</t>
        </is>
      </c>
      <c r="M277" t="inlineStr">
        <is>
          <t>05.01.01.04</t>
        </is>
      </c>
      <c r="N277" t="inlineStr">
        <is>
          <t>SUM</t>
        </is>
      </c>
    </row>
    <row r="278">
      <c r="A278" t="inlineStr">
        <is>
          <t>五级</t>
        </is>
      </c>
      <c r="B278" t="inlineStr">
        <is>
          <t>支出</t>
        </is>
      </c>
      <c r="C278" t="inlineStr">
        <is>
          <t>B02.90.01.01.04.001</t>
        </is>
      </c>
      <c r="D278" t="inlineStr">
        <is>
          <t>职场</t>
        </is>
      </c>
      <c r="K278" t="inlineStr">
        <is>
          <t>是</t>
        </is>
      </c>
      <c r="M278" t="inlineStr">
        <is>
          <t>05.01.01.04.001</t>
        </is>
      </c>
      <c r="N278" t="inlineStr">
        <is>
          <t>SUM</t>
        </is>
      </c>
    </row>
    <row r="279">
      <c r="A279" t="inlineStr">
        <is>
          <t>四级</t>
        </is>
      </c>
      <c r="B279" t="inlineStr">
        <is>
          <t>支出</t>
        </is>
      </c>
      <c r="C279" t="inlineStr">
        <is>
          <t>B02.90.01.01.05</t>
        </is>
      </c>
      <c r="D279" t="inlineStr">
        <is>
          <t>AA.05.01.01.05</t>
        </is>
      </c>
      <c r="F279" t="inlineStr">
        <is>
          <t>B02.90.01.01.05.001</t>
        </is>
      </c>
      <c r="K279" t="inlineStr">
        <is>
          <t>是</t>
        </is>
      </c>
      <c r="M279" t="inlineStr">
        <is>
          <t>05.01.01.05</t>
        </is>
      </c>
      <c r="N279" t="inlineStr">
        <is>
          <t>SUM</t>
        </is>
      </c>
    </row>
    <row r="280">
      <c r="A280" t="inlineStr">
        <is>
          <t>五级</t>
        </is>
      </c>
      <c r="B280" t="inlineStr">
        <is>
          <t>支出</t>
        </is>
      </c>
      <c r="C280" t="inlineStr">
        <is>
          <t>B02.90.01.01.05.001</t>
        </is>
      </c>
      <c r="D280" t="inlineStr">
        <is>
          <t>日常</t>
        </is>
      </c>
      <c r="K280" t="inlineStr">
        <is>
          <t>是</t>
        </is>
      </c>
      <c r="M280" t="inlineStr">
        <is>
          <t>05.01.01.05.001</t>
        </is>
      </c>
      <c r="N280" t="inlineStr">
        <is>
          <t>SUM</t>
        </is>
      </c>
    </row>
    <row r="281">
      <c r="A281" t="inlineStr">
        <is>
          <t>三级</t>
        </is>
      </c>
      <c r="B281" t="inlineStr">
        <is>
          <t>支出</t>
        </is>
      </c>
      <c r="C281" t="inlineStr">
        <is>
          <t>B02.90.01.02</t>
        </is>
      </c>
      <c r="D281" t="inlineStr">
        <is>
          <t>间接费用</t>
        </is>
      </c>
      <c r="F281" t="inlineStr">
        <is>
          <t>B02.90.01.02.01+B02.90.01.02.02+B02.90.01.02.03+B02.90.01.02.04.001+B02.90.01.02.05.001</t>
        </is>
      </c>
      <c r="K281" t="inlineStr">
        <is>
          <t>是</t>
        </is>
      </c>
      <c r="M281" t="inlineStr">
        <is>
          <t>05.01.02</t>
        </is>
      </c>
    </row>
    <row r="282">
      <c r="A282" t="inlineStr">
        <is>
          <t>四级</t>
        </is>
      </c>
      <c r="B282" t="inlineStr">
        <is>
          <t>支出</t>
        </is>
      </c>
      <c r="C282" t="inlineStr">
        <is>
          <t>B02.90.01.02.01</t>
        </is>
      </c>
      <c r="D282" t="inlineStr">
        <is>
          <t>人力（不含IT)</t>
        </is>
      </c>
      <c r="F282" t="inlineStr">
        <is>
          <t>B02.90.01.02.01.001+B02.90.01.02.01.002</t>
        </is>
      </c>
      <c r="K282" t="inlineStr">
        <is>
          <t>是</t>
        </is>
      </c>
      <c r="M282" t="inlineStr">
        <is>
          <t>05.01.02.01</t>
        </is>
      </c>
    </row>
    <row r="283">
      <c r="A283" t="inlineStr">
        <is>
          <t>五级</t>
        </is>
      </c>
      <c r="B283" t="inlineStr">
        <is>
          <t>支出</t>
        </is>
      </c>
      <c r="C283" t="inlineStr">
        <is>
          <t>B02.90.01.02.01.001</t>
        </is>
      </c>
      <c r="D283" t="inlineStr">
        <is>
          <t>业务人力</t>
        </is>
      </c>
      <c r="K283" t="inlineStr">
        <is>
          <t>是</t>
        </is>
      </c>
      <c r="M283" t="inlineStr">
        <is>
          <t>05.01.02.01.001</t>
        </is>
      </c>
      <c r="N283" t="inlineStr">
        <is>
          <t>SUM</t>
        </is>
      </c>
    </row>
    <row r="284">
      <c r="A284" t="inlineStr">
        <is>
          <t>五级</t>
        </is>
      </c>
      <c r="B284" t="inlineStr">
        <is>
          <t>支出</t>
        </is>
      </c>
      <c r="C284" t="inlineStr">
        <is>
          <t>B02.90.01.02.01.002</t>
        </is>
      </c>
      <c r="D284" t="inlineStr">
        <is>
          <t>特别人力</t>
        </is>
      </c>
      <c r="K284" t="inlineStr">
        <is>
          <t>是</t>
        </is>
      </c>
      <c r="M284" t="inlineStr">
        <is>
          <t>05.01.02.01.002</t>
        </is>
      </c>
      <c r="N284" t="inlineStr">
        <is>
          <t>SUM</t>
        </is>
      </c>
    </row>
    <row r="285">
      <c r="A285" t="inlineStr">
        <is>
          <t>四级</t>
        </is>
      </c>
      <c r="B285" t="inlineStr">
        <is>
          <t>支出</t>
        </is>
      </c>
      <c r="C285" t="inlineStr">
        <is>
          <t>B02.90.01.02.02</t>
        </is>
      </c>
      <c r="D285" t="inlineStr">
        <is>
          <t>业务费用</t>
        </is>
      </c>
      <c r="F285" t="inlineStr">
        <is>
          <t>B02.90.01.02.02.001+B02.90.01.02.02.002</t>
        </is>
      </c>
      <c r="K285" t="inlineStr">
        <is>
          <t>是</t>
        </is>
      </c>
      <c r="M285" t="inlineStr">
        <is>
          <t>05.01.02.02</t>
        </is>
      </c>
    </row>
    <row r="286">
      <c r="A286" t="inlineStr">
        <is>
          <t>五级</t>
        </is>
      </c>
      <c r="B286" t="inlineStr">
        <is>
          <t>支出</t>
        </is>
      </c>
      <c r="C286" t="inlineStr">
        <is>
          <t>B02.90.01.02.02.001</t>
        </is>
      </c>
      <c r="D286" t="inlineStr">
        <is>
          <t>营销</t>
        </is>
      </c>
      <c r="K286" t="inlineStr">
        <is>
          <t>是</t>
        </is>
      </c>
      <c r="M286" t="inlineStr">
        <is>
          <t>05.01.02.02.001</t>
        </is>
      </c>
      <c r="N286" t="inlineStr">
        <is>
          <t>SUM</t>
        </is>
      </c>
    </row>
    <row r="287">
      <c r="A287" t="inlineStr">
        <is>
          <t>五级</t>
        </is>
      </c>
      <c r="B287" t="inlineStr">
        <is>
          <t>支出</t>
        </is>
      </c>
      <c r="C287" t="inlineStr">
        <is>
          <t>B02.90.01.02.02.002</t>
        </is>
      </c>
      <c r="D287" t="inlineStr">
        <is>
          <t>运营</t>
        </is>
      </c>
      <c r="K287" t="inlineStr">
        <is>
          <t>是</t>
        </is>
      </c>
      <c r="M287" t="inlineStr">
        <is>
          <t>05.01.02.02.002</t>
        </is>
      </c>
      <c r="N287" t="inlineStr">
        <is>
          <t>SUM</t>
        </is>
      </c>
    </row>
    <row r="288">
      <c r="A288" t="inlineStr">
        <is>
          <t>四级</t>
        </is>
      </c>
      <c r="B288" t="inlineStr">
        <is>
          <t>支出</t>
        </is>
      </c>
      <c r="C288" t="inlineStr">
        <is>
          <t>B02.90.01.02.03</t>
        </is>
      </c>
      <c r="D288" t="inlineStr">
        <is>
          <t>IT</t>
        </is>
      </c>
      <c r="F288" t="inlineStr">
        <is>
          <t>B02.90.01.02.03.01+B02.90.01.02.03.02.001+B02.90.01.02.03.03.001+B02.90.01.02.03.04.001</t>
        </is>
      </c>
      <c r="K288" t="inlineStr">
        <is>
          <t>是</t>
        </is>
      </c>
      <c r="M288" t="inlineStr">
        <is>
          <t>05.01.02.03</t>
        </is>
      </c>
    </row>
    <row r="289">
      <c r="A289" t="inlineStr">
        <is>
          <t>五级</t>
        </is>
      </c>
      <c r="B289" t="inlineStr">
        <is>
          <t>支出</t>
        </is>
      </c>
      <c r="C289" t="inlineStr">
        <is>
          <t>B02.90.01.02.03.01</t>
        </is>
      </c>
      <c r="D289" t="inlineStr">
        <is>
          <t>IT人力</t>
        </is>
      </c>
      <c r="F289" t="inlineStr">
        <is>
          <t>B02.90.01.02.03.01.001+B02.90.01.02.03.01.002</t>
        </is>
      </c>
      <c r="K289" t="inlineStr">
        <is>
          <t>是</t>
        </is>
      </c>
      <c r="M289" t="inlineStr">
        <is>
          <t>05.01.02.03.01</t>
        </is>
      </c>
    </row>
    <row r="290">
      <c r="A290" t="inlineStr">
        <is>
          <t>六级</t>
        </is>
      </c>
      <c r="B290" t="inlineStr">
        <is>
          <t>支出</t>
        </is>
      </c>
      <c r="C290" t="inlineStr">
        <is>
          <t>B02.90.01.02.03.01.001</t>
        </is>
      </c>
      <c r="D290" t="inlineStr">
        <is>
          <t>IT常规人力</t>
        </is>
      </c>
      <c r="K290" t="inlineStr">
        <is>
          <t>是</t>
        </is>
      </c>
      <c r="M290" t="inlineStr">
        <is>
          <t>05.01.02.03.01.001</t>
        </is>
      </c>
      <c r="N290" t="inlineStr">
        <is>
          <t>SUM</t>
        </is>
      </c>
    </row>
    <row r="291">
      <c r="A291" t="inlineStr">
        <is>
          <t>六级</t>
        </is>
      </c>
      <c r="B291" t="inlineStr">
        <is>
          <t>支出</t>
        </is>
      </c>
      <c r="C291" t="inlineStr">
        <is>
          <t>B02.90.01.02.03.01.002</t>
        </is>
      </c>
      <c r="D291" t="inlineStr">
        <is>
          <t>IT特别人力</t>
        </is>
      </c>
      <c r="K291" t="inlineStr">
        <is>
          <t>是</t>
        </is>
      </c>
      <c r="M291" t="inlineStr">
        <is>
          <t>05.01.02.03.01.002</t>
        </is>
      </c>
      <c r="N291" t="inlineStr">
        <is>
          <t>SUM</t>
        </is>
      </c>
    </row>
    <row r="292">
      <c r="A292" t="inlineStr">
        <is>
          <t>五级</t>
        </is>
      </c>
      <c r="B292" t="inlineStr">
        <is>
          <t>支出</t>
        </is>
      </c>
      <c r="C292" t="inlineStr">
        <is>
          <t>B02.90.01.02.03.02</t>
        </is>
      </c>
      <c r="D292" t="inlineStr">
        <is>
          <t>AA.05.01.02.03.02</t>
        </is>
      </c>
      <c r="F292" t="inlineStr">
        <is>
          <t>B02.90.01.02.03.02.001</t>
        </is>
      </c>
      <c r="K292" t="inlineStr">
        <is>
          <t>是</t>
        </is>
      </c>
      <c r="M292" t="inlineStr">
        <is>
          <t>05.01.02.03.02</t>
        </is>
      </c>
      <c r="N292" t="inlineStr">
        <is>
          <t>SUM</t>
        </is>
      </c>
    </row>
    <row r="293">
      <c r="A293" t="inlineStr">
        <is>
          <t>六级</t>
        </is>
      </c>
      <c r="B293" t="inlineStr">
        <is>
          <t>支出</t>
        </is>
      </c>
      <c r="C293" t="inlineStr">
        <is>
          <t>B02.90.01.02.03.02.001</t>
        </is>
      </c>
      <c r="D293" t="inlineStr">
        <is>
          <t>科技</t>
        </is>
      </c>
      <c r="K293" t="inlineStr">
        <is>
          <t>是</t>
        </is>
      </c>
      <c r="M293" t="inlineStr">
        <is>
          <t>05.01.02.03.02.001</t>
        </is>
      </c>
      <c r="N293" t="inlineStr">
        <is>
          <t>SUM</t>
        </is>
      </c>
    </row>
    <row r="294">
      <c r="A294" t="inlineStr">
        <is>
          <t>五级</t>
        </is>
      </c>
      <c r="B294" t="inlineStr">
        <is>
          <t>支出</t>
        </is>
      </c>
      <c r="C294" t="inlineStr">
        <is>
          <t>B02.90.01.02.03.03</t>
        </is>
      </c>
      <c r="D294" t="inlineStr">
        <is>
          <t>AA.05.01.02.03.03</t>
        </is>
      </c>
      <c r="F294" t="inlineStr">
        <is>
          <t>B02.90.01.02.03.03.001</t>
        </is>
      </c>
      <c r="K294" t="inlineStr">
        <is>
          <t>是</t>
        </is>
      </c>
      <c r="M294" t="inlineStr">
        <is>
          <t>05.01.02.03.03</t>
        </is>
      </c>
      <c r="N294" t="inlineStr">
        <is>
          <t>SUM</t>
        </is>
      </c>
    </row>
    <row r="295">
      <c r="A295" t="inlineStr">
        <is>
          <t>六级</t>
        </is>
      </c>
      <c r="B295" t="inlineStr">
        <is>
          <t>支出</t>
        </is>
      </c>
      <c r="C295" t="inlineStr">
        <is>
          <t>B02.90.01.02.03.03.001</t>
        </is>
      </c>
      <c r="D295" t="inlineStr">
        <is>
          <t>IT职场</t>
        </is>
      </c>
      <c r="K295" t="inlineStr">
        <is>
          <t>是</t>
        </is>
      </c>
      <c r="M295" t="inlineStr">
        <is>
          <t>05.01.02.03.03.001</t>
        </is>
      </c>
      <c r="N295" t="inlineStr">
        <is>
          <t>SUM</t>
        </is>
      </c>
    </row>
    <row r="296">
      <c r="A296" t="inlineStr">
        <is>
          <t>五级</t>
        </is>
      </c>
      <c r="B296" t="inlineStr">
        <is>
          <t>支出</t>
        </is>
      </c>
      <c r="C296" t="inlineStr">
        <is>
          <t>B02.90.01.02.03.04</t>
        </is>
      </c>
      <c r="D296" t="inlineStr">
        <is>
          <t>AA.05.01.02.03.04</t>
        </is>
      </c>
      <c r="F296" t="inlineStr">
        <is>
          <t>B02.90.01.02.03.04.001</t>
        </is>
      </c>
      <c r="K296" t="inlineStr">
        <is>
          <t>是</t>
        </is>
      </c>
      <c r="M296" t="inlineStr">
        <is>
          <t>05.01.02.03.04</t>
        </is>
      </c>
      <c r="N296" t="inlineStr">
        <is>
          <t>SUM</t>
        </is>
      </c>
    </row>
    <row r="297">
      <c r="A297" t="inlineStr">
        <is>
          <t>六级</t>
        </is>
      </c>
      <c r="B297" t="inlineStr">
        <is>
          <t>支出</t>
        </is>
      </c>
      <c r="C297" t="inlineStr">
        <is>
          <t>B02.90.01.02.03.04.001</t>
        </is>
      </c>
      <c r="D297" t="inlineStr">
        <is>
          <t>IT日常</t>
        </is>
      </c>
      <c r="K297" t="inlineStr">
        <is>
          <t>是</t>
        </is>
      </c>
      <c r="M297" t="inlineStr">
        <is>
          <t>05.01.02.03.04.001</t>
        </is>
      </c>
      <c r="N297" t="inlineStr">
        <is>
          <t>SUM</t>
        </is>
      </c>
    </row>
    <row r="298">
      <c r="A298" t="inlineStr">
        <is>
          <t>四级</t>
        </is>
      </c>
      <c r="B298" t="inlineStr">
        <is>
          <t>支出</t>
        </is>
      </c>
      <c r="C298" t="inlineStr">
        <is>
          <t>B02.90.01.02.04</t>
        </is>
      </c>
      <c r="D298" t="inlineStr">
        <is>
          <t>AA.05.01.02.04</t>
        </is>
      </c>
      <c r="F298" t="inlineStr">
        <is>
          <t>B02.90.01.02.04.001</t>
        </is>
      </c>
      <c r="K298" t="inlineStr">
        <is>
          <t>是</t>
        </is>
      </c>
      <c r="M298" t="inlineStr">
        <is>
          <t>05.01.02.04</t>
        </is>
      </c>
      <c r="N298" t="inlineStr">
        <is>
          <t>SUM</t>
        </is>
      </c>
    </row>
    <row r="299">
      <c r="A299" t="inlineStr">
        <is>
          <t>五级</t>
        </is>
      </c>
      <c r="B299" t="inlineStr">
        <is>
          <t>支出</t>
        </is>
      </c>
      <c r="C299" t="inlineStr">
        <is>
          <t>B02.90.01.02.04.001</t>
        </is>
      </c>
      <c r="D299" t="inlineStr">
        <is>
          <t>职场</t>
        </is>
      </c>
      <c r="K299" t="inlineStr">
        <is>
          <t>是</t>
        </is>
      </c>
      <c r="M299" t="inlineStr">
        <is>
          <t>05.01.02.04.001</t>
        </is>
      </c>
      <c r="N299" t="inlineStr">
        <is>
          <t>SUM</t>
        </is>
      </c>
    </row>
    <row r="300">
      <c r="A300" t="inlineStr">
        <is>
          <t>四级</t>
        </is>
      </c>
      <c r="B300" t="inlineStr">
        <is>
          <t>支出</t>
        </is>
      </c>
      <c r="C300" t="inlineStr">
        <is>
          <t>B02.90.01.02.05</t>
        </is>
      </c>
      <c r="D300" t="inlineStr">
        <is>
          <t>AA.05.01.02.05</t>
        </is>
      </c>
      <c r="F300" t="inlineStr">
        <is>
          <t>B02.90.01.02.05.001</t>
        </is>
      </c>
      <c r="K300" t="inlineStr">
        <is>
          <t>是</t>
        </is>
      </c>
      <c r="M300" t="inlineStr">
        <is>
          <t>05.01.02.05</t>
        </is>
      </c>
      <c r="N300" t="inlineStr">
        <is>
          <t>SUM</t>
        </is>
      </c>
    </row>
    <row r="301">
      <c r="A301" t="inlineStr">
        <is>
          <t>五级</t>
        </is>
      </c>
      <c r="B301" t="inlineStr">
        <is>
          <t>支出</t>
        </is>
      </c>
      <c r="C301" t="inlineStr">
        <is>
          <t>B02.90.01.02.05.001</t>
        </is>
      </c>
      <c r="D301" t="inlineStr">
        <is>
          <t>日常</t>
        </is>
      </c>
      <c r="K301" t="inlineStr">
        <is>
          <t>是</t>
        </is>
      </c>
      <c r="M301" t="inlineStr">
        <is>
          <t>05.01.02.05.001</t>
        </is>
      </c>
      <c r="N301" t="inlineStr">
        <is>
          <t>SUM</t>
        </is>
      </c>
    </row>
    <row r="302">
      <c r="A302" t="inlineStr">
        <is>
          <t>二级</t>
        </is>
      </c>
      <c r="B302" t="inlineStr">
        <is>
          <t>支出</t>
        </is>
      </c>
      <c r="C302" t="inlineStr">
        <is>
          <t>B02.90.02</t>
        </is>
      </c>
      <c r="D302" t="inlineStr">
        <is>
          <t>业务费用</t>
        </is>
      </c>
      <c r="F302" t="inlineStr">
        <is>
          <t>B02.90.02.01+B02.90.02.02</t>
        </is>
      </c>
      <c r="K302" t="inlineStr">
        <is>
          <t>是</t>
        </is>
      </c>
      <c r="N302" t="inlineStr">
        <is>
          <t>SUM</t>
        </is>
      </c>
    </row>
    <row r="303">
      <c r="A303" t="inlineStr">
        <is>
          <t>三级</t>
        </is>
      </c>
      <c r="B303" t="inlineStr">
        <is>
          <t>支出</t>
        </is>
      </c>
      <c r="C303" t="inlineStr">
        <is>
          <t>B02.90.02.01</t>
        </is>
      </c>
      <c r="D303" t="inlineStr">
        <is>
          <t>营销费用</t>
        </is>
      </c>
      <c r="K303" t="inlineStr">
        <is>
          <t>是</t>
        </is>
      </c>
      <c r="N303" t="inlineStr">
        <is>
          <t>SUM</t>
        </is>
      </c>
    </row>
    <row r="304">
      <c r="A304" t="inlineStr">
        <is>
          <t>三级</t>
        </is>
      </c>
      <c r="B304" t="inlineStr">
        <is>
          <t>支出</t>
        </is>
      </c>
      <c r="C304" t="inlineStr">
        <is>
          <t>B02.90.02.02</t>
        </is>
      </c>
      <c r="D304" t="inlineStr">
        <is>
          <t>运营费用</t>
        </is>
      </c>
      <c r="K304" t="inlineStr">
        <is>
          <t>是</t>
        </is>
      </c>
      <c r="N304" t="inlineStr">
        <is>
          <t>SUM</t>
        </is>
      </c>
    </row>
    <row r="305">
      <c r="A305" t="inlineStr">
        <is>
          <t>二级</t>
        </is>
      </c>
      <c r="B305" t="inlineStr">
        <is>
          <t>支出</t>
        </is>
      </c>
      <c r="C305" t="inlineStr">
        <is>
          <t>B02.90.03</t>
        </is>
      </c>
      <c r="D305" t="inlineStr">
        <is>
          <t>业务支出评估</t>
        </is>
      </c>
      <c r="F305" t="inlineStr">
        <is>
          <t>B02.90.03.09</t>
        </is>
      </c>
      <c r="K305" t="inlineStr">
        <is>
          <t>是</t>
        </is>
      </c>
      <c r="M305" t="inlineStr">
        <is>
          <t>05.02</t>
        </is>
      </c>
    </row>
    <row r="306">
      <c r="A306" t="inlineStr">
        <is>
          <t>三级</t>
        </is>
      </c>
      <c r="B306" t="inlineStr">
        <is>
          <t>支出</t>
        </is>
      </c>
      <c r="C306" t="inlineStr">
        <is>
          <t>B02.90.03.09</t>
        </is>
      </c>
      <c r="D306" t="inlineStr">
        <is>
          <t>客户经营指标</t>
        </is>
      </c>
      <c r="F306" t="inlineStr">
        <is>
          <t>B02.90.03.09.01+B02.90.03.09.02+B02.90.03.09.03</t>
        </is>
      </c>
      <c r="K306" t="inlineStr">
        <is>
          <t>是</t>
        </is>
      </c>
      <c r="M306" t="inlineStr">
        <is>
          <t>05.02.09</t>
        </is>
      </c>
    </row>
    <row r="307">
      <c r="A307" t="inlineStr">
        <is>
          <t>四级</t>
        </is>
      </c>
      <c r="B307" t="inlineStr">
        <is>
          <t>支出</t>
        </is>
      </c>
      <c r="C307" t="inlineStr">
        <is>
          <t>B02.90.03.09.01</t>
        </is>
      </c>
      <c r="D307" t="inlineStr">
        <is>
          <t>客户营销与投入</t>
        </is>
      </c>
      <c r="F307" t="inlineStr">
        <is>
          <t>B02.90.03.09.01.001+B02.90.03.09.01.002+B02.90.03.09.01.003+B02.90.03.09.01.004</t>
        </is>
      </c>
      <c r="K307" t="inlineStr">
        <is>
          <t>是</t>
        </is>
      </c>
      <c r="M307" t="inlineStr">
        <is>
          <t>05.02.09.01</t>
        </is>
      </c>
    </row>
    <row r="308">
      <c r="A308" t="inlineStr">
        <is>
          <t>五级</t>
        </is>
      </c>
      <c r="B308" t="inlineStr">
        <is>
          <t>支出</t>
        </is>
      </c>
      <c r="C308" t="inlineStr">
        <is>
          <t>B02.90.03.09.01.001</t>
        </is>
      </c>
      <c r="D308" t="inlineStr">
        <is>
          <t>新客营销支出</t>
        </is>
      </c>
      <c r="K308" t="inlineStr">
        <is>
          <t>是</t>
        </is>
      </c>
      <c r="M308" t="inlineStr">
        <is>
          <t>05.02.09.01.001</t>
        </is>
      </c>
      <c r="N308" t="inlineStr">
        <is>
          <t>SUM</t>
        </is>
      </c>
    </row>
    <row r="309">
      <c r="A309" t="inlineStr">
        <is>
          <t>五级</t>
        </is>
      </c>
      <c r="B309" t="inlineStr">
        <is>
          <t>支出</t>
        </is>
      </c>
      <c r="C309" t="inlineStr">
        <is>
          <t>B02.90.03.09.01.002</t>
        </is>
      </c>
      <c r="D309" t="inlineStr">
        <is>
          <t>存客营销支出</t>
        </is>
      </c>
      <c r="K309" t="inlineStr">
        <is>
          <t>是</t>
        </is>
      </c>
      <c r="M309" t="inlineStr">
        <is>
          <t>05.02.09.01.002</t>
        </is>
      </c>
      <c r="N309" t="inlineStr">
        <is>
          <t>SUM</t>
        </is>
      </c>
    </row>
    <row r="310">
      <c r="A310" t="inlineStr">
        <is>
          <t>五级</t>
        </is>
      </c>
      <c r="B310" t="inlineStr">
        <is>
          <t>支出</t>
        </is>
      </c>
      <c r="C310" t="inlineStr">
        <is>
          <t>B02.90.03.09.01.003</t>
        </is>
      </c>
      <c r="D310" t="inlineStr">
        <is>
          <t>新开通客户投入</t>
        </is>
      </c>
      <c r="K310" t="inlineStr">
        <is>
          <t>是</t>
        </is>
      </c>
      <c r="M310" t="inlineStr">
        <is>
          <t>05.02.09.01.003</t>
        </is>
      </c>
      <c r="N310" t="inlineStr">
        <is>
          <t>SUM</t>
        </is>
      </c>
    </row>
    <row r="311">
      <c r="A311" t="inlineStr">
        <is>
          <t>五级</t>
        </is>
      </c>
      <c r="B311" t="inlineStr">
        <is>
          <t>支出</t>
        </is>
      </c>
      <c r="C311" t="inlineStr">
        <is>
          <t>B02.90.03.09.01.004</t>
        </is>
      </c>
      <c r="D311" t="inlineStr">
        <is>
          <t>新发放投入</t>
        </is>
      </c>
      <c r="K311" t="inlineStr">
        <is>
          <t>是</t>
        </is>
      </c>
      <c r="M311" t="inlineStr">
        <is>
          <t>05.02.09.01.004</t>
        </is>
      </c>
      <c r="N311" t="inlineStr">
        <is>
          <t>SUM</t>
        </is>
      </c>
    </row>
    <row r="312">
      <c r="A312" t="inlineStr">
        <is>
          <t>四级</t>
        </is>
      </c>
      <c r="B312" t="inlineStr">
        <is>
          <t>支出</t>
        </is>
      </c>
      <c r="C312" t="inlineStr">
        <is>
          <t>B02.90.03.09.02</t>
        </is>
      </c>
      <c r="D312" t="inlineStr">
        <is>
          <t>客户规模与数量</t>
        </is>
      </c>
      <c r="F312" t="inlineStr">
        <is>
          <t>B02.90.03.09.02.101+B02.90.03.09.02.102+B02.90.03.09.02.103</t>
        </is>
      </c>
      <c r="K312" t="inlineStr">
        <is>
          <t>是</t>
        </is>
      </c>
      <c r="M312" t="inlineStr">
        <is>
          <t>05.02.09.02</t>
        </is>
      </c>
    </row>
    <row r="313">
      <c r="A313" t="inlineStr">
        <is>
          <t>五级</t>
        </is>
      </c>
      <c r="B313" t="inlineStr">
        <is>
          <t>支出</t>
        </is>
      </c>
      <c r="C313" t="inlineStr">
        <is>
          <t>B02.90.03.09.02.001</t>
        </is>
      </c>
      <c r="D313" t="inlineStr">
        <is>
          <t>新客日均LUM</t>
        </is>
      </c>
      <c r="K313" t="inlineStr">
        <is>
          <t>是</t>
        </is>
      </c>
      <c r="M313" t="inlineStr">
        <is>
          <t>05.02.09.02.001</t>
        </is>
      </c>
      <c r="N313" t="inlineStr">
        <is>
          <t>SUM</t>
        </is>
      </c>
    </row>
    <row r="314">
      <c r="A314" t="inlineStr">
        <is>
          <t>五级</t>
        </is>
      </c>
      <c r="B314" t="inlineStr">
        <is>
          <t>支出</t>
        </is>
      </c>
      <c r="C314" t="inlineStr">
        <is>
          <t>B02.90.03.09.02.002</t>
        </is>
      </c>
      <c r="D314" t="inlineStr">
        <is>
          <t>存客日均LUM</t>
        </is>
      </c>
      <c r="K314" t="inlineStr">
        <is>
          <t>是</t>
        </is>
      </c>
      <c r="M314" t="inlineStr">
        <is>
          <t>05.02.09.02.002</t>
        </is>
      </c>
      <c r="N314" t="inlineStr">
        <is>
          <t>SUM</t>
        </is>
      </c>
    </row>
    <row r="315">
      <c r="A315" t="inlineStr">
        <is>
          <t>五级</t>
        </is>
      </c>
      <c r="B315" t="inlineStr">
        <is>
          <t>支出</t>
        </is>
      </c>
      <c r="C315" t="inlineStr">
        <is>
          <t>B02.90.03.09.02.003</t>
        </is>
      </c>
      <c r="D315" t="inlineStr">
        <is>
          <t>新开通客户数</t>
        </is>
      </c>
      <c r="K315" t="inlineStr">
        <is>
          <t>是</t>
        </is>
      </c>
      <c r="M315" t="inlineStr">
        <is>
          <t>05.02.09.02.003</t>
        </is>
      </c>
      <c r="N315" t="inlineStr">
        <is>
          <t>SUM</t>
        </is>
      </c>
    </row>
    <row r="316">
      <c r="A316" t="inlineStr">
        <is>
          <t>五级</t>
        </is>
      </c>
      <c r="B316" t="inlineStr">
        <is>
          <t>支出</t>
        </is>
      </c>
      <c r="C316" t="inlineStr">
        <is>
          <t>B02.90.03.09.02.004</t>
        </is>
      </c>
      <c r="D316" t="inlineStr">
        <is>
          <t>平均有效客户数</t>
        </is>
      </c>
      <c r="K316" t="inlineStr">
        <is>
          <t>是</t>
        </is>
      </c>
      <c r="M316" t="inlineStr">
        <is>
          <t>05.02.09.02.004</t>
        </is>
      </c>
      <c r="N316" t="inlineStr">
        <is>
          <t>SUM</t>
        </is>
      </c>
    </row>
    <row r="317">
      <c r="A317" t="inlineStr">
        <is>
          <t>五级</t>
        </is>
      </c>
      <c r="B317" t="inlineStr">
        <is>
          <t>支出</t>
        </is>
      </c>
      <c r="C317" t="inlineStr">
        <is>
          <t>B02.90.03.09.02.005</t>
        </is>
      </c>
      <c r="D317" t="inlineStr">
        <is>
          <t>新发放LUM</t>
        </is>
      </c>
      <c r="K317" t="inlineStr">
        <is>
          <t>是</t>
        </is>
      </c>
      <c r="M317" t="inlineStr">
        <is>
          <t>05.02.09.02.005</t>
        </is>
      </c>
      <c r="N317" t="inlineStr">
        <is>
          <t>SUM</t>
        </is>
      </c>
    </row>
    <row r="318">
      <c r="A318" t="inlineStr">
        <is>
          <t>五级</t>
        </is>
      </c>
      <c r="B318" t="inlineStr">
        <is>
          <t>支出</t>
        </is>
      </c>
      <c r="C318" t="inlineStr">
        <is>
          <t>B02.90.03.09.02.006</t>
        </is>
      </c>
      <c r="D318" t="inlineStr">
        <is>
          <t>新发放LUM（标服）</t>
        </is>
      </c>
      <c r="K318" t="inlineStr">
        <is>
          <t>是</t>
        </is>
      </c>
      <c r="M318" t="inlineStr">
        <is>
          <t>05.02.09.02.006</t>
        </is>
      </c>
      <c r="N318" t="inlineStr">
        <is>
          <t>SUM</t>
        </is>
      </c>
    </row>
    <row r="319">
      <c r="A319" t="inlineStr">
        <is>
          <t>五级</t>
        </is>
      </c>
      <c r="B319" t="inlineStr">
        <is>
          <t>支出</t>
        </is>
      </c>
      <c r="C319" t="inlineStr">
        <is>
          <t>B02.90.03.09.02.007</t>
        </is>
      </c>
      <c r="D319" t="inlineStr">
        <is>
          <t>存客日均AuM</t>
        </is>
      </c>
      <c r="K319" t="inlineStr">
        <is>
          <t>是</t>
        </is>
      </c>
      <c r="M319" t="inlineStr">
        <is>
          <t>05.02.09.02.007</t>
        </is>
      </c>
      <c r="N319" t="inlineStr">
        <is>
          <t>SUM</t>
        </is>
      </c>
    </row>
    <row r="320">
      <c r="A320" t="inlineStr">
        <is>
          <t>五级</t>
        </is>
      </c>
      <c r="B320" t="inlineStr">
        <is>
          <t>支出</t>
        </is>
      </c>
      <c r="C320" t="inlineStr">
        <is>
          <t>B02.90.03.09.02.008</t>
        </is>
      </c>
      <c r="D320" t="inlineStr">
        <is>
          <t>新客AuM余额</t>
        </is>
      </c>
      <c r="K320" t="inlineStr">
        <is>
          <t>是</t>
        </is>
      </c>
      <c r="M320" t="inlineStr">
        <is>
          <t>05.02.09.02.008</t>
        </is>
      </c>
      <c r="N320" t="inlineStr">
        <is>
          <t>SUM</t>
        </is>
      </c>
    </row>
    <row r="321">
      <c r="A321" t="inlineStr">
        <is>
          <t>五级</t>
        </is>
      </c>
      <c r="B321" t="inlineStr">
        <is>
          <t>支出</t>
        </is>
      </c>
      <c r="C321" t="inlineStr">
        <is>
          <t>B02.90.03.09.02.009</t>
        </is>
      </c>
      <c r="D321" t="inlineStr">
        <is>
          <t>MFAU客户数</t>
        </is>
      </c>
      <c r="K321" t="inlineStr">
        <is>
          <t>是</t>
        </is>
      </c>
      <c r="M321" t="inlineStr">
        <is>
          <t>05.02.09.02.009</t>
        </is>
      </c>
      <c r="N321" t="inlineStr">
        <is>
          <t>SUM</t>
        </is>
      </c>
    </row>
    <row r="322">
      <c r="A322" t="inlineStr">
        <is>
          <t>五级</t>
        </is>
      </c>
      <c r="B322" t="inlineStr">
        <is>
          <t>支出</t>
        </is>
      </c>
      <c r="C322" t="inlineStr">
        <is>
          <t>B02.90.03.09.02.010</t>
        </is>
      </c>
      <c r="D322" t="inlineStr">
        <is>
          <t>日均LUM</t>
        </is>
      </c>
      <c r="K322" t="inlineStr">
        <is>
          <t>是</t>
        </is>
      </c>
      <c r="M322" t="inlineStr">
        <is>
          <t>05.02.09.02.010</t>
        </is>
      </c>
      <c r="N322" t="inlineStr">
        <is>
          <t>SUM</t>
        </is>
      </c>
    </row>
    <row r="323">
      <c r="A323" t="inlineStr">
        <is>
          <t>五级</t>
        </is>
      </c>
      <c r="B323" t="inlineStr">
        <is>
          <t>支出</t>
        </is>
      </c>
      <c r="C323" t="inlineStr">
        <is>
          <t>B02.90.03.09.02.011</t>
        </is>
      </c>
      <c r="D323" t="inlineStr">
        <is>
          <t>日均AuM</t>
        </is>
      </c>
      <c r="K323" t="inlineStr">
        <is>
          <t>是</t>
        </is>
      </c>
      <c r="M323" t="inlineStr">
        <is>
          <t>05.02.09.02.011</t>
        </is>
      </c>
      <c r="N323" t="inlineStr">
        <is>
          <t>SUM</t>
        </is>
      </c>
    </row>
    <row r="324">
      <c r="A324" t="inlineStr">
        <is>
          <t>五级</t>
        </is>
      </c>
      <c r="B324" t="inlineStr">
        <is>
          <t>支出</t>
        </is>
      </c>
      <c r="C324" t="inlineStr">
        <is>
          <t>B02.90.03.09.02.101</t>
        </is>
      </c>
      <c r="D324" t="inlineStr">
        <is>
          <t>LUM规模</t>
        </is>
      </c>
      <c r="F324" t="inlineStr">
        <is>
          <t>B02.90.03.09.02.001+B02.90.03.09.02.002+B02.90.03.09.02.005+B02.90.03.09.02.006+B02.90.03.09.02.010</t>
        </is>
      </c>
      <c r="K324" t="inlineStr">
        <is>
          <t>是</t>
        </is>
      </c>
      <c r="M324" t="inlineStr">
        <is>
          <t>05.02.09.02.101</t>
        </is>
      </c>
    </row>
    <row r="325">
      <c r="A325" t="inlineStr">
        <is>
          <t>五级</t>
        </is>
      </c>
      <c r="B325" t="inlineStr">
        <is>
          <t>支出</t>
        </is>
      </c>
      <c r="C325" t="inlineStr">
        <is>
          <t>B02.90.03.09.02.102</t>
        </is>
      </c>
      <c r="D325" t="inlineStr">
        <is>
          <t>AuM规模</t>
        </is>
      </c>
      <c r="F325" t="inlineStr">
        <is>
          <t>B02.90.03.09.02.007+B02.90.03.09.02.008+B02.90.03.09.02.011</t>
        </is>
      </c>
      <c r="K325" t="inlineStr">
        <is>
          <t>是</t>
        </is>
      </c>
      <c r="M325" t="inlineStr">
        <is>
          <t>05.02.09.02.102</t>
        </is>
      </c>
    </row>
    <row r="326">
      <c r="A326" t="inlineStr">
        <is>
          <t>五级</t>
        </is>
      </c>
      <c r="B326" t="inlineStr">
        <is>
          <t>支出</t>
        </is>
      </c>
      <c r="C326" t="inlineStr">
        <is>
          <t>B02.90.03.09.02.103</t>
        </is>
      </c>
      <c r="D326" t="inlineStr">
        <is>
          <t>客户数量</t>
        </is>
      </c>
      <c r="F326" t="inlineStr">
        <is>
          <t>B02.90.03.09.02.003+B02.90.03.09.02.004+B02.90.03.09.02.009</t>
        </is>
      </c>
      <c r="K326" t="inlineStr">
        <is>
          <t>是</t>
        </is>
      </c>
      <c r="M326" t="inlineStr">
        <is>
          <t>05.02.09.02.103</t>
        </is>
      </c>
    </row>
    <row r="327">
      <c r="A327" t="inlineStr">
        <is>
          <t>四级</t>
        </is>
      </c>
      <c r="B327" t="inlineStr">
        <is>
          <t>支出</t>
        </is>
      </c>
      <c r="C327" t="inlineStr">
        <is>
          <t>B02.90.03.09.03</t>
        </is>
      </c>
      <c r="D327" t="inlineStr">
        <is>
          <t>客户回收与催收</t>
        </is>
      </c>
      <c r="F327" t="inlineStr">
        <is>
          <t>B02.90.03.09.03.001+B02.90.03.09.03.002+B02.90.03.09.03.003</t>
        </is>
      </c>
      <c r="K327" t="inlineStr">
        <is>
          <t>是</t>
        </is>
      </c>
      <c r="M327" t="inlineStr">
        <is>
          <t>05.02.09.03</t>
        </is>
      </c>
    </row>
    <row r="328">
      <c r="A328" t="inlineStr">
        <is>
          <t>五级</t>
        </is>
      </c>
      <c r="B328" t="inlineStr">
        <is>
          <t>支出</t>
        </is>
      </c>
      <c r="C328" t="inlineStr">
        <is>
          <t>B02.90.03.09.03.001</t>
        </is>
      </c>
      <c r="D328" t="inlineStr">
        <is>
          <t>内催回收额</t>
        </is>
      </c>
      <c r="K328" t="inlineStr">
        <is>
          <t>是</t>
        </is>
      </c>
      <c r="M328" t="inlineStr">
        <is>
          <t>05.02.09.03.001</t>
        </is>
      </c>
      <c r="N328" t="inlineStr">
        <is>
          <t>SUM</t>
        </is>
      </c>
    </row>
    <row r="329">
      <c r="A329" t="inlineStr">
        <is>
          <t>五级</t>
        </is>
      </c>
      <c r="B329" t="inlineStr">
        <is>
          <t>支出</t>
        </is>
      </c>
      <c r="C329" t="inlineStr">
        <is>
          <t>B02.90.03.09.03.002</t>
        </is>
      </c>
      <c r="D329" t="inlineStr">
        <is>
          <t>M6-压降金额</t>
        </is>
      </c>
      <c r="K329" t="inlineStr">
        <is>
          <t>是</t>
        </is>
      </c>
      <c r="M329" t="inlineStr">
        <is>
          <t>05.02.09.03.002</t>
        </is>
      </c>
      <c r="N329" t="inlineStr">
        <is>
          <t>SUM</t>
        </is>
      </c>
    </row>
    <row r="330">
      <c r="A330" t="inlineStr">
        <is>
          <t>五级</t>
        </is>
      </c>
      <c r="B330" t="inlineStr">
        <is>
          <t>支出</t>
        </is>
      </c>
      <c r="C330" t="inlineStr">
        <is>
          <t>B02.90.03.09.03.003</t>
        </is>
      </c>
      <c r="D330" t="inlineStr">
        <is>
          <t>M7+现金回收额</t>
        </is>
      </c>
      <c r="K330" t="inlineStr">
        <is>
          <t>是</t>
        </is>
      </c>
      <c r="M330" t="inlineStr">
        <is>
          <t>05.02.09.03.003</t>
        </is>
      </c>
      <c r="N330" t="inlineStr">
        <is>
          <t>SUM</t>
        </is>
      </c>
    </row>
    <row r="331"/>
    <row r="332"/>
    <row r="333"/>
    <row r="334"/>
    <row r="335"/>
    <row r="336"/>
    <row r="337"/>
    <row r="338"/>
    <row r="339"/>
    <row r="340"/>
    <row r="34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H116"/>
  <sheetViews>
    <sheetView workbookViewId="0">
      <selection activeCell="C2" sqref="C2"/>
    </sheetView>
  </sheetViews>
  <sheetFormatPr baseColWidth="8" defaultColWidth="9" defaultRowHeight="15" customHeight="1"/>
  <cols>
    <col width="10.8303571428571" customWidth="1" min="3" max="3"/>
    <col width="17.5" customWidth="1" min="4" max="4"/>
  </cols>
  <sheetData>
    <row r="1" ht="16.8" customFormat="1" customHeight="1" s="1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" t="inlineStr">
        <is>
          <t>录入粒度</t>
        </is>
      </c>
      <c r="F1" t="inlineStr">
        <is>
          <t>年预算公式</t>
        </is>
      </c>
      <c r="G1" t="inlineStr">
        <is>
          <t>年预测公式</t>
        </is>
      </c>
      <c r="H1" t="inlineStr">
        <is>
          <t>实际月公式</t>
        </is>
      </c>
      <c r="I1" t="inlineStr">
        <is>
          <t>预测月公式</t>
        </is>
      </c>
      <c r="J1" t="inlineStr">
        <is>
          <t>公式说明</t>
        </is>
      </c>
      <c r="K1" t="inlineStr">
        <is>
          <t>横向汇总</t>
        </is>
      </c>
      <c r="L1" t="inlineStr">
        <is>
          <t>纵向汇总</t>
        </is>
      </c>
      <c r="M1" t="inlineStr">
        <is>
          <t>逻辑码</t>
        </is>
      </c>
      <c r="N1" t="inlineStr">
        <is>
          <t>规则</t>
        </is>
      </c>
    </row>
    <row r="2" ht="16.8" customHeight="1">
      <c r="A2" s="7" t="inlineStr">
        <is>
          <t>一级</t>
        </is>
      </c>
      <c r="B2" s="1" t="inlineStr">
        <is>
          <t>收入</t>
        </is>
      </c>
      <c r="C2" s="8" t="inlineStr">
        <is>
          <t>C.01</t>
        </is>
      </c>
      <c r="D2" s="7" t="inlineStr">
        <is>
          <t>营业收入</t>
        </is>
      </c>
      <c r="F2" t="inlineStr">
        <is>
          <t>C.01.01+C.01.02+C.01.03</t>
        </is>
      </c>
      <c r="K2" t="inlineStr">
        <is>
          <t>是</t>
        </is>
      </c>
      <c r="M2" t="inlineStr">
        <is>
          <t>01</t>
        </is>
      </c>
    </row>
    <row r="3" ht="16.8" customHeight="1">
      <c r="A3" s="1" t="inlineStr">
        <is>
          <t>二级</t>
        </is>
      </c>
      <c r="B3" s="1" t="inlineStr">
        <is>
          <t>收入</t>
        </is>
      </c>
      <c r="C3" s="8" t="inlineStr">
        <is>
          <t>C.01.01</t>
        </is>
      </c>
      <c r="D3" s="1" t="inlineStr">
        <is>
          <t xml:space="preserve">  利息净收入</t>
        </is>
      </c>
      <c r="F3" t="inlineStr">
        <is>
          <t>C.01.01.01+C.01.01.02</t>
        </is>
      </c>
      <c r="K3" t="inlineStr">
        <is>
          <t>是</t>
        </is>
      </c>
      <c r="M3" t="inlineStr">
        <is>
          <t>01.01</t>
        </is>
      </c>
    </row>
    <row r="4" ht="16.8" customHeight="1">
      <c r="A4" s="1" t="inlineStr">
        <is>
          <t>三级</t>
        </is>
      </c>
      <c r="B4" s="1" t="inlineStr">
        <is>
          <t>收入</t>
        </is>
      </c>
      <c r="C4" s="9" t="inlineStr">
        <is>
          <t>C.01.01.01</t>
        </is>
      </c>
      <c r="D4" s="1" t="inlineStr">
        <is>
          <t xml:space="preserve">    资产业务</t>
        </is>
      </c>
      <c r="M4" t="inlineStr">
        <is>
          <t>01.01.01</t>
        </is>
      </c>
      <c r="N4" t="inlineStr">
        <is>
          <t>SUM</t>
        </is>
      </c>
    </row>
    <row r="5" ht="16.8" customHeight="1">
      <c r="A5" s="10" t="inlineStr">
        <is>
          <t>一级</t>
        </is>
      </c>
      <c r="B5" s="10" t="inlineStr">
        <is>
          <t>收入</t>
        </is>
      </c>
      <c r="C5" s="10" t="inlineStr">
        <is>
          <t>C.14</t>
        </is>
      </c>
      <c r="D5" s="10" t="inlineStr">
        <is>
          <t xml:space="preserve">      利息收入</t>
        </is>
      </c>
      <c r="K5" t="inlineStr">
        <is>
          <t>是</t>
        </is>
      </c>
      <c r="M5" t="inlineStr">
        <is>
          <t>14</t>
        </is>
      </c>
      <c r="N5" t="inlineStr">
        <is>
          <t>SUM</t>
        </is>
      </c>
    </row>
    <row r="6" ht="16.8" customHeight="1">
      <c r="A6" s="1" t="inlineStr">
        <is>
          <t>一级</t>
        </is>
      </c>
      <c r="B6" s="1" t="inlineStr">
        <is>
          <t>支出</t>
        </is>
      </c>
      <c r="C6" s="9" t="inlineStr">
        <is>
          <t>C.15</t>
        </is>
      </c>
      <c r="D6" s="1" t="inlineStr">
        <is>
          <t xml:space="preserve">      FTP成本</t>
        </is>
      </c>
      <c r="M6" t="inlineStr">
        <is>
          <t>15</t>
        </is>
      </c>
      <c r="N6" t="inlineStr">
        <is>
          <t>SUM</t>
        </is>
      </c>
    </row>
    <row r="7" ht="16.8" customHeight="1">
      <c r="A7" s="1" t="inlineStr">
        <is>
          <t>三级</t>
        </is>
      </c>
      <c r="B7" s="1" t="inlineStr">
        <is>
          <t>收入</t>
        </is>
      </c>
      <c r="C7" s="9" t="inlineStr">
        <is>
          <t>C.01.01.02</t>
        </is>
      </c>
      <c r="D7" s="1" t="inlineStr">
        <is>
          <t xml:space="preserve">    负债业务</t>
        </is>
      </c>
      <c r="M7" t="inlineStr">
        <is>
          <t>01.01.02</t>
        </is>
      </c>
      <c r="N7" t="inlineStr">
        <is>
          <t>SUM</t>
        </is>
      </c>
    </row>
    <row r="8" ht="16.8" customHeight="1">
      <c r="A8" s="7" t="inlineStr">
        <is>
          <t>一级</t>
        </is>
      </c>
      <c r="B8" s="1" t="inlineStr">
        <is>
          <t>支出</t>
        </is>
      </c>
      <c r="C8" s="9" t="inlineStr">
        <is>
          <t>C.16</t>
        </is>
      </c>
      <c r="D8" s="1" t="inlineStr">
        <is>
          <t xml:space="preserve">      利息支出</t>
        </is>
      </c>
      <c r="K8" t="inlineStr">
        <is>
          <t>是</t>
        </is>
      </c>
      <c r="M8" t="inlineStr">
        <is>
          <t>16</t>
        </is>
      </c>
      <c r="N8" t="inlineStr">
        <is>
          <t>SUM</t>
        </is>
      </c>
    </row>
    <row r="9" ht="16.8" customHeight="1">
      <c r="A9" s="7" t="inlineStr">
        <is>
          <t>一级</t>
        </is>
      </c>
      <c r="B9" s="1" t="inlineStr">
        <is>
          <t>支出</t>
        </is>
      </c>
      <c r="C9" s="9" t="inlineStr">
        <is>
          <t>C.17</t>
        </is>
      </c>
      <c r="D9" s="1" t="inlineStr">
        <is>
          <t xml:space="preserve">      FTP收入</t>
        </is>
      </c>
      <c r="M9" t="inlineStr">
        <is>
          <t>17</t>
        </is>
      </c>
      <c r="N9" t="inlineStr">
        <is>
          <t>SUM</t>
        </is>
      </c>
    </row>
    <row r="10" ht="16.8" customHeight="1">
      <c r="A10" s="1" t="inlineStr">
        <is>
          <t>二级</t>
        </is>
      </c>
      <c r="B10" s="1" t="inlineStr">
        <is>
          <t>收入</t>
        </is>
      </c>
      <c r="C10" s="8" t="inlineStr">
        <is>
          <t>C.01.02</t>
        </is>
      </c>
      <c r="D10" s="1" t="inlineStr">
        <is>
          <t xml:space="preserve">  净手续费收入</t>
        </is>
      </c>
      <c r="K10" t="inlineStr">
        <is>
          <t>是</t>
        </is>
      </c>
      <c r="M10" t="inlineStr">
        <is>
          <t>01.02</t>
        </is>
      </c>
      <c r="N10" t="inlineStr">
        <is>
          <t>SUM</t>
        </is>
      </c>
    </row>
    <row r="11" ht="16.8" customHeight="1">
      <c r="A11" s="11" t="inlineStr">
        <is>
          <t>一级</t>
        </is>
      </c>
      <c r="B11" s="11" t="inlineStr">
        <is>
          <t>收入</t>
        </is>
      </c>
      <c r="C11" s="8" t="inlineStr">
        <is>
          <t>C.18</t>
        </is>
      </c>
      <c r="D11" s="1" t="inlineStr">
        <is>
          <t xml:space="preserve">    手续费收入</t>
        </is>
      </c>
      <c r="K11" t="inlineStr">
        <is>
          <t>是</t>
        </is>
      </c>
      <c r="M11" t="inlineStr">
        <is>
          <t>18</t>
        </is>
      </c>
      <c r="N11" t="inlineStr">
        <is>
          <t>SUM</t>
        </is>
      </c>
    </row>
    <row r="12" ht="16.8" customHeight="1">
      <c r="A12" s="11" t="inlineStr">
        <is>
          <t>一级</t>
        </is>
      </c>
      <c r="B12" s="11" t="inlineStr">
        <is>
          <t>支出</t>
        </is>
      </c>
      <c r="C12" s="8" t="inlineStr">
        <is>
          <t>C.19</t>
        </is>
      </c>
      <c r="D12" s="1" t="inlineStr">
        <is>
          <t xml:space="preserve">    手续费支出</t>
        </is>
      </c>
      <c r="K12" t="inlineStr">
        <is>
          <t>是</t>
        </is>
      </c>
      <c r="M12" t="inlineStr">
        <is>
          <t>19</t>
        </is>
      </c>
      <c r="N12" t="inlineStr">
        <is>
          <t>SUM</t>
        </is>
      </c>
    </row>
    <row r="13" ht="16.8" customHeight="1">
      <c r="A13" s="1" t="inlineStr">
        <is>
          <t>二级</t>
        </is>
      </c>
      <c r="B13" s="1" t="inlineStr">
        <is>
          <t>收入</t>
        </is>
      </c>
      <c r="C13" s="8" t="inlineStr">
        <is>
          <t>C.01.03</t>
        </is>
      </c>
      <c r="D13" s="1" t="inlineStr">
        <is>
          <t xml:space="preserve">  其他营收</t>
        </is>
      </c>
      <c r="K13" t="inlineStr">
        <is>
          <t>是</t>
        </is>
      </c>
      <c r="M13" t="inlineStr">
        <is>
          <t>01.03</t>
        </is>
      </c>
      <c r="N13" t="inlineStr">
        <is>
          <t>SUM</t>
        </is>
      </c>
    </row>
    <row r="14" ht="16.8" customHeight="1">
      <c r="A14" s="7" t="inlineStr">
        <is>
          <t>一级</t>
        </is>
      </c>
      <c r="B14" s="1" t="inlineStr">
        <is>
          <t>支出</t>
        </is>
      </c>
      <c r="C14" s="8" t="inlineStr">
        <is>
          <t>C.02</t>
        </is>
      </c>
      <c r="D14" s="7" t="inlineStr">
        <is>
          <t>减：风险成本</t>
        </is>
      </c>
      <c r="K14" t="inlineStr">
        <is>
          <t>是</t>
        </is>
      </c>
      <c r="M14" t="inlineStr">
        <is>
          <t>02</t>
        </is>
      </c>
      <c r="N14" t="inlineStr">
        <is>
          <t>SUM</t>
        </is>
      </c>
    </row>
    <row r="15" ht="16.8" customHeight="1">
      <c r="A15" s="7" t="inlineStr">
        <is>
          <t>一级</t>
        </is>
      </c>
      <c r="B15" s="1" t="inlineStr">
        <is>
          <t>收入</t>
        </is>
      </c>
      <c r="C15" s="8" t="inlineStr">
        <is>
          <t>C.03</t>
        </is>
      </c>
      <c r="D15" s="7" t="inlineStr">
        <is>
          <t>净收入</t>
        </is>
      </c>
      <c r="K15" t="inlineStr">
        <is>
          <t>是</t>
        </is>
      </c>
      <c r="M15" t="inlineStr">
        <is>
          <t>03</t>
        </is>
      </c>
      <c r="N15" t="inlineStr">
        <is>
          <t>SUM</t>
        </is>
      </c>
    </row>
    <row r="16" ht="16.8" customHeight="1">
      <c r="A16" s="7" t="inlineStr">
        <is>
          <t>一级</t>
        </is>
      </c>
      <c r="B16" s="1" t="inlineStr">
        <is>
          <t>支出</t>
        </is>
      </c>
      <c r="C16" s="8" t="inlineStr">
        <is>
          <t>C.04</t>
        </is>
      </c>
      <c r="D16" s="7" t="inlineStr">
        <is>
          <t>减：税金及附加</t>
        </is>
      </c>
      <c r="K16" t="inlineStr">
        <is>
          <t>是</t>
        </is>
      </c>
      <c r="M16" t="inlineStr">
        <is>
          <t>04</t>
        </is>
      </c>
      <c r="N16" t="inlineStr">
        <is>
          <t>SUM</t>
        </is>
      </c>
    </row>
    <row r="17" ht="16.8" customHeight="1">
      <c r="A17" s="7" t="inlineStr">
        <is>
          <t>一级</t>
        </is>
      </c>
      <c r="B17" s="1" t="inlineStr">
        <is>
          <t>支出</t>
        </is>
      </c>
      <c r="C17" s="8" t="inlineStr">
        <is>
          <t>C.05</t>
        </is>
      </c>
      <c r="D17" s="7" t="inlineStr">
        <is>
          <t>减：直接费用</t>
        </is>
      </c>
      <c r="F17" t="inlineStr">
        <is>
          <t>C.90.01+C.90.09+C.90.03+C.90.04+C.90.05</t>
        </is>
      </c>
      <c r="K17" t="inlineStr">
        <is>
          <t>是</t>
        </is>
      </c>
      <c r="M17" t="inlineStr">
        <is>
          <t>05</t>
        </is>
      </c>
    </row>
    <row r="18" ht="16.8" customHeight="1">
      <c r="A18" s="1" t="inlineStr">
        <is>
          <t>二级</t>
        </is>
      </c>
      <c r="B18" s="1" t="inlineStr">
        <is>
          <t>支出</t>
        </is>
      </c>
      <c r="C18" s="8" t="inlineStr">
        <is>
          <t>C.05.01</t>
        </is>
      </c>
      <c r="D18" s="1" t="inlineStr">
        <is>
          <t xml:space="preserve">  人力费用（不含IT）</t>
        </is>
      </c>
      <c r="F18" t="inlineStr">
        <is>
          <t>C.90.01.01+C.90.01.02</t>
        </is>
      </c>
      <c r="K18" t="inlineStr">
        <is>
          <t>是</t>
        </is>
      </c>
      <c r="M18" t="inlineStr">
        <is>
          <t>05.01</t>
        </is>
      </c>
    </row>
    <row r="19" ht="16.8" customHeight="1">
      <c r="A19" s="1" t="inlineStr">
        <is>
          <t>三级</t>
        </is>
      </c>
      <c r="B19" s="1" t="inlineStr">
        <is>
          <t>支出</t>
        </is>
      </c>
      <c r="C19" s="9" t="inlineStr">
        <is>
          <t>C.05.01.01</t>
        </is>
      </c>
      <c r="D19" s="1" t="inlineStr">
        <is>
          <t xml:space="preserve">    常规人力</t>
        </is>
      </c>
      <c r="F19" t="inlineStr">
        <is>
          <t>C.90.01.01.01+C.90.01.01.02+C.90.01.01.03+C.90.01.01.04.001+C.90.01.01.05.001</t>
        </is>
      </c>
      <c r="K19" t="inlineStr">
        <is>
          <t>是</t>
        </is>
      </c>
      <c r="M19" t="inlineStr">
        <is>
          <t>05.01.01</t>
        </is>
      </c>
    </row>
    <row r="20" ht="16.8" customHeight="1">
      <c r="A20" s="1" t="inlineStr">
        <is>
          <t>三级</t>
        </is>
      </c>
      <c r="B20" s="1" t="inlineStr">
        <is>
          <t>支出</t>
        </is>
      </c>
      <c r="C20" s="9" t="inlineStr">
        <is>
          <t>C.05.01.02</t>
        </is>
      </c>
      <c r="D20" s="1" t="inlineStr">
        <is>
          <t xml:space="preserve">    特别人力</t>
        </is>
      </c>
      <c r="F20" t="inlineStr">
        <is>
          <t>C.90.01.02.01+C.90.01.02.02+C.90.01.02.03+C.90.01.02.04.001+C.90.01.02.05.001</t>
        </is>
      </c>
      <c r="K20" t="inlineStr">
        <is>
          <t>是</t>
        </is>
      </c>
      <c r="M20" t="inlineStr">
        <is>
          <t>05.01.02</t>
        </is>
      </c>
    </row>
    <row r="21" ht="16.8" customHeight="1">
      <c r="A21" s="1" t="inlineStr">
        <is>
          <t>二级</t>
        </is>
      </c>
      <c r="B21" s="1" t="inlineStr">
        <is>
          <t>支出</t>
        </is>
      </c>
      <c r="C21" s="8" t="inlineStr">
        <is>
          <t>C.05.02</t>
        </is>
      </c>
      <c r="D21" s="1" t="inlineStr">
        <is>
          <t xml:space="preserve">  业务费用</t>
        </is>
      </c>
      <c r="K21" t="inlineStr">
        <is>
          <t>是</t>
        </is>
      </c>
      <c r="N21" t="inlineStr">
        <is>
          <t>SUM</t>
        </is>
      </c>
    </row>
    <row r="22" ht="16.8" customHeight="1">
      <c r="A22" s="1" t="inlineStr">
        <is>
          <t>三级</t>
        </is>
      </c>
      <c r="B22" s="1" t="inlineStr">
        <is>
          <t>支出</t>
        </is>
      </c>
      <c r="C22" s="9" t="inlineStr">
        <is>
          <t>C.05.02.01</t>
        </is>
      </c>
      <c r="D22" s="1" t="inlineStr">
        <is>
          <t xml:space="preserve">    营销费用</t>
        </is>
      </c>
      <c r="K22" t="inlineStr">
        <is>
          <t>是</t>
        </is>
      </c>
      <c r="N22" t="inlineStr">
        <is>
          <t>SUM</t>
        </is>
      </c>
    </row>
    <row r="23" ht="16.8" customHeight="1">
      <c r="A23" s="1" t="inlineStr">
        <is>
          <t>三级</t>
        </is>
      </c>
      <c r="B23" s="1" t="inlineStr">
        <is>
          <t>支出</t>
        </is>
      </c>
      <c r="C23" s="9" t="inlineStr">
        <is>
          <t>C.05.02.02</t>
        </is>
      </c>
      <c r="D23" s="1" t="inlineStr">
        <is>
          <t xml:space="preserve">    运营费用</t>
        </is>
      </c>
      <c r="K23" t="inlineStr">
        <is>
          <t>是</t>
        </is>
      </c>
      <c r="N23" t="inlineStr">
        <is>
          <t>SUM</t>
        </is>
      </c>
    </row>
    <row r="24" ht="16.8" customHeight="1">
      <c r="A24" s="1" t="inlineStr">
        <is>
          <t>二级</t>
        </is>
      </c>
      <c r="B24" s="1" t="inlineStr">
        <is>
          <t>支出</t>
        </is>
      </c>
      <c r="C24" s="8" t="inlineStr">
        <is>
          <t>C.05.03</t>
        </is>
      </c>
      <c r="D24" s="1" t="inlineStr">
        <is>
          <t xml:space="preserve">  IT费用</t>
        </is>
      </c>
      <c r="F24" t="inlineStr">
        <is>
          <t>C.90.03.01+C.90.03.02+C.90.03.03+C.90.03.04</t>
        </is>
      </c>
      <c r="K24" t="inlineStr">
        <is>
          <t>是</t>
        </is>
      </c>
      <c r="M24" t="inlineStr">
        <is>
          <t>05.03</t>
        </is>
      </c>
    </row>
    <row r="25" ht="16.8" customHeight="1">
      <c r="A25" s="1" t="inlineStr">
        <is>
          <t>三级</t>
        </is>
      </c>
      <c r="B25" s="1" t="inlineStr">
        <is>
          <t>支出</t>
        </is>
      </c>
      <c r="C25" s="9" t="inlineStr">
        <is>
          <t>C.05.03.01</t>
        </is>
      </c>
      <c r="D25" s="1" t="inlineStr">
        <is>
          <t xml:space="preserve">    IT人力</t>
        </is>
      </c>
      <c r="F25" t="inlineStr">
        <is>
          <t>C.90.03.01.01+C.90.03.01.02</t>
        </is>
      </c>
      <c r="K25" t="inlineStr">
        <is>
          <t>是</t>
        </is>
      </c>
      <c r="M25" t="inlineStr">
        <is>
          <t>05.03.01</t>
        </is>
      </c>
    </row>
    <row r="26" ht="16.8" customHeight="1">
      <c r="A26" s="1" t="inlineStr">
        <is>
          <t>四级</t>
        </is>
      </c>
      <c r="B26" s="1" t="inlineStr">
        <is>
          <t>支出</t>
        </is>
      </c>
      <c r="C26" s="9" t="inlineStr">
        <is>
          <t>C.05.03.01.01</t>
        </is>
      </c>
      <c r="D26" s="1" t="inlineStr">
        <is>
          <t xml:space="preserve">      IT常规人力</t>
        </is>
      </c>
      <c r="K26" t="inlineStr">
        <is>
          <t>是</t>
        </is>
      </c>
      <c r="M26" t="inlineStr">
        <is>
          <t>05.03.01.01</t>
        </is>
      </c>
      <c r="N26" t="inlineStr">
        <is>
          <t>SUM</t>
        </is>
      </c>
    </row>
    <row r="27" ht="16.8" customHeight="1">
      <c r="A27" s="1" t="inlineStr">
        <is>
          <t>四级</t>
        </is>
      </c>
      <c r="B27" s="1" t="inlineStr">
        <is>
          <t>支出</t>
        </is>
      </c>
      <c r="C27" s="9" t="inlineStr">
        <is>
          <t>C.05.03.01.02</t>
        </is>
      </c>
      <c r="D27" s="1" t="inlineStr">
        <is>
          <t xml:space="preserve">      IT特别人力</t>
        </is>
      </c>
      <c r="K27" t="inlineStr">
        <is>
          <t>是</t>
        </is>
      </c>
      <c r="M27" t="inlineStr">
        <is>
          <t>05.03.01.02</t>
        </is>
      </c>
      <c r="N27" t="inlineStr">
        <is>
          <t>SUM</t>
        </is>
      </c>
    </row>
    <row r="28" ht="16.8" customHeight="1">
      <c r="A28" s="1" t="inlineStr">
        <is>
          <t>三级</t>
        </is>
      </c>
      <c r="B28" s="1" t="inlineStr">
        <is>
          <t>支出</t>
        </is>
      </c>
      <c r="C28" s="9" t="inlineStr">
        <is>
          <t>C.05.03.02</t>
        </is>
      </c>
      <c r="D28" s="1" t="inlineStr">
        <is>
          <t xml:space="preserve">    科技费用</t>
        </is>
      </c>
      <c r="K28" t="inlineStr">
        <is>
          <t>是</t>
        </is>
      </c>
      <c r="M28" t="inlineStr">
        <is>
          <t>05.03.02</t>
        </is>
      </c>
      <c r="N28" t="inlineStr">
        <is>
          <t>SUM</t>
        </is>
      </c>
    </row>
    <row r="29" ht="16.8" customHeight="1">
      <c r="A29" s="1" t="inlineStr">
        <is>
          <t>三级</t>
        </is>
      </c>
      <c r="B29" s="1" t="inlineStr">
        <is>
          <t>支出</t>
        </is>
      </c>
      <c r="C29" s="9" t="inlineStr">
        <is>
          <t>C.05.03.03</t>
        </is>
      </c>
      <c r="D29" s="1" t="inlineStr">
        <is>
          <t xml:space="preserve">    IT职场</t>
        </is>
      </c>
      <c r="K29" t="inlineStr">
        <is>
          <t>是</t>
        </is>
      </c>
      <c r="M29" t="inlineStr">
        <is>
          <t>05.03.03</t>
        </is>
      </c>
      <c r="N29" t="inlineStr">
        <is>
          <t>SUM</t>
        </is>
      </c>
    </row>
    <row r="30" ht="16.8" customHeight="1">
      <c r="A30" s="1" t="inlineStr">
        <is>
          <t>三级</t>
        </is>
      </c>
      <c r="B30" s="1" t="inlineStr">
        <is>
          <t>支出</t>
        </is>
      </c>
      <c r="C30" s="9" t="inlineStr">
        <is>
          <t>C.05.03.04</t>
        </is>
      </c>
      <c r="D30" s="1" t="inlineStr">
        <is>
          <t xml:space="preserve">    IT日常</t>
        </is>
      </c>
      <c r="K30" t="inlineStr">
        <is>
          <t>是</t>
        </is>
      </c>
      <c r="M30" t="inlineStr">
        <is>
          <t>05.03.04</t>
        </is>
      </c>
      <c r="N30" t="inlineStr">
        <is>
          <t>SUM</t>
        </is>
      </c>
    </row>
    <row r="31" ht="16.8" customHeight="1">
      <c r="A31" s="1" t="inlineStr">
        <is>
          <t>二级</t>
        </is>
      </c>
      <c r="B31" s="1" t="inlineStr">
        <is>
          <t>支出</t>
        </is>
      </c>
      <c r="C31" s="8" t="inlineStr">
        <is>
          <t>C.05.04</t>
        </is>
      </c>
      <c r="D31" s="1" t="inlineStr">
        <is>
          <t xml:space="preserve">  职场费用</t>
        </is>
      </c>
      <c r="K31" t="inlineStr">
        <is>
          <t>是</t>
        </is>
      </c>
      <c r="M31" t="inlineStr">
        <is>
          <t>05.04</t>
        </is>
      </c>
      <c r="N31" t="inlineStr">
        <is>
          <t>SUM</t>
        </is>
      </c>
    </row>
    <row r="32" ht="16.8" customHeight="1">
      <c r="A32" s="1" t="inlineStr">
        <is>
          <t>二级</t>
        </is>
      </c>
      <c r="B32" s="1" t="inlineStr">
        <is>
          <t>支出</t>
        </is>
      </c>
      <c r="C32" s="8" t="inlineStr">
        <is>
          <t>C.05.05</t>
        </is>
      </c>
      <c r="D32" s="1" t="inlineStr">
        <is>
          <t xml:space="preserve">  日常费用</t>
        </is>
      </c>
      <c r="K32" t="inlineStr">
        <is>
          <t>是</t>
        </is>
      </c>
      <c r="M32" t="inlineStr">
        <is>
          <t>05.05</t>
        </is>
      </c>
      <c r="N32" t="inlineStr">
        <is>
          <t>SUM</t>
        </is>
      </c>
    </row>
    <row r="33" ht="16.8" customHeight="1">
      <c r="A33" s="7" t="inlineStr">
        <is>
          <t>一级</t>
        </is>
      </c>
      <c r="B33" s="1" t="inlineStr">
        <is>
          <t>收入</t>
        </is>
      </c>
      <c r="C33" s="8" t="inlineStr">
        <is>
          <t>C.06</t>
        </is>
      </c>
      <c r="D33" s="7" t="inlineStr">
        <is>
          <t>加：营业外净收入</t>
        </is>
      </c>
      <c r="K33" t="inlineStr">
        <is>
          <t>是</t>
        </is>
      </c>
      <c r="M33" t="inlineStr">
        <is>
          <t>06</t>
        </is>
      </c>
      <c r="N33" t="inlineStr">
        <is>
          <t>SUM</t>
        </is>
      </c>
    </row>
    <row r="34" ht="16.8" customHeight="1">
      <c r="A34" s="7" t="inlineStr">
        <is>
          <t>一级</t>
        </is>
      </c>
      <c r="B34" s="1" t="inlineStr">
        <is>
          <t>利润</t>
        </is>
      </c>
      <c r="C34" s="8" t="inlineStr">
        <is>
          <t>C.07</t>
        </is>
      </c>
      <c r="D34" s="7" t="inlineStr">
        <is>
          <t>分摊前利润</t>
        </is>
      </c>
      <c r="M34" t="inlineStr">
        <is>
          <t>07</t>
        </is>
      </c>
      <c r="N34" t="inlineStr">
        <is>
          <t>SUM</t>
        </is>
      </c>
    </row>
    <row r="35" ht="16.8" customHeight="1">
      <c r="A35" s="7" t="inlineStr">
        <is>
          <t>一级</t>
        </is>
      </c>
      <c r="B35" s="1" t="inlineStr">
        <is>
          <t>支出</t>
        </is>
      </c>
      <c r="C35" s="8" t="inlineStr">
        <is>
          <t>C.08</t>
        </is>
      </c>
      <c r="D35" s="7" t="inlineStr">
        <is>
          <t>减：固定管理费</t>
        </is>
      </c>
      <c r="M35" t="inlineStr">
        <is>
          <t>08</t>
        </is>
      </c>
      <c r="N35" t="inlineStr">
        <is>
          <t>SUM</t>
        </is>
      </c>
    </row>
    <row r="36" ht="16.8" customHeight="1">
      <c r="A36" s="7" t="inlineStr">
        <is>
          <t>一级</t>
        </is>
      </c>
      <c r="B36" s="1" t="inlineStr">
        <is>
          <t>利润</t>
        </is>
      </c>
      <c r="C36" s="8" t="inlineStr">
        <is>
          <t>C.09</t>
        </is>
      </c>
      <c r="D36" s="7" t="inlineStr">
        <is>
          <t>税前利润</t>
        </is>
      </c>
      <c r="K36" t="inlineStr">
        <is>
          <t>是</t>
        </is>
      </c>
      <c r="M36" t="inlineStr">
        <is>
          <t>09</t>
        </is>
      </c>
      <c r="N36" t="inlineStr">
        <is>
          <t>SUM</t>
        </is>
      </c>
    </row>
    <row r="37">
      <c r="A37" s="10" t="n"/>
      <c r="B37" s="10" t="n"/>
      <c r="C37" s="10" t="n"/>
      <c r="D37" s="10" t="n"/>
    </row>
    <row r="38" ht="16.8" customHeight="1">
      <c r="A38" s="7" t="inlineStr">
        <is>
          <t>一级</t>
        </is>
      </c>
      <c r="B38" s="1" t="inlineStr">
        <is>
          <t>负债余额</t>
        </is>
      </c>
      <c r="C38" s="11" t="inlineStr">
        <is>
          <t>C.12</t>
        </is>
      </c>
      <c r="D38" s="11" t="inlineStr">
        <is>
          <t>管理资产余额</t>
        </is>
      </c>
      <c r="F38" t="inlineStr">
        <is>
          <t>C.12.01</t>
        </is>
      </c>
      <c r="M38" t="inlineStr">
        <is>
          <t>12</t>
        </is>
      </c>
    </row>
    <row r="39" ht="16.8" customHeight="1">
      <c r="A39" s="7" t="inlineStr">
        <is>
          <t>二级</t>
        </is>
      </c>
      <c r="B39" s="1" t="inlineStr">
        <is>
          <t>负债余额</t>
        </is>
      </c>
      <c r="C39" s="11" t="inlineStr">
        <is>
          <t>C.12.01</t>
        </is>
      </c>
      <c r="D39" s="11" t="inlineStr">
        <is>
          <t xml:space="preserve">  存款余额</t>
        </is>
      </c>
      <c r="M39" t="inlineStr">
        <is>
          <t>12.01</t>
        </is>
      </c>
      <c r="N39" t="inlineStr">
        <is>
          <t>LAST</t>
        </is>
      </c>
    </row>
    <row r="40" ht="16.8" customHeight="1">
      <c r="A40" s="7" t="inlineStr">
        <is>
          <t>一级</t>
        </is>
      </c>
      <c r="B40" s="1" t="inlineStr">
        <is>
          <t>负债日均</t>
        </is>
      </c>
      <c r="C40" s="11" t="inlineStr">
        <is>
          <t>C.13</t>
        </is>
      </c>
      <c r="D40" s="11" t="inlineStr">
        <is>
          <t>管理资产日均</t>
        </is>
      </c>
      <c r="F40" t="inlineStr">
        <is>
          <t>C.13.01</t>
        </is>
      </c>
      <c r="M40" t="inlineStr">
        <is>
          <t>13</t>
        </is>
      </c>
    </row>
    <row r="41" ht="16.8" customHeight="1">
      <c r="A41" s="7" t="inlineStr">
        <is>
          <t>二级</t>
        </is>
      </c>
      <c r="B41" s="1" t="inlineStr">
        <is>
          <t>负债日均</t>
        </is>
      </c>
      <c r="C41" s="11" t="inlineStr">
        <is>
          <t>C.13.01</t>
        </is>
      </c>
      <c r="D41" s="11" t="inlineStr">
        <is>
          <t xml:space="preserve">  存款日均</t>
        </is>
      </c>
      <c r="M41" t="inlineStr">
        <is>
          <t>13.01</t>
        </is>
      </c>
      <c r="N41" t="inlineStr">
        <is>
          <t>AVG</t>
        </is>
      </c>
    </row>
    <row r="42">
      <c r="A42" s="10" t="n"/>
      <c r="B42" s="10" t="n"/>
      <c r="C42" s="10" t="n"/>
      <c r="D42" s="10" t="n"/>
    </row>
    <row r="43">
      <c r="A43" s="10" t="n"/>
      <c r="B43" s="10" t="n"/>
      <c r="C43" s="10" t="n"/>
      <c r="D43" s="10" t="n"/>
    </row>
    <row r="44">
      <c r="A44" s="10" t="n"/>
      <c r="B44" s="10" t="n"/>
      <c r="C44" s="10" t="n"/>
      <c r="D44" s="10" t="n"/>
    </row>
    <row r="45"/>
    <row r="46" ht="16.8" customHeight="1">
      <c r="A46" t="inlineStr">
        <is>
          <t>层级</t>
        </is>
      </c>
      <c r="B46" t="inlineStr">
        <is>
          <t>性质</t>
        </is>
      </c>
      <c r="C46" t="inlineStr">
        <is>
          <t>科目代码</t>
        </is>
      </c>
      <c r="D46" t="inlineStr">
        <is>
          <t>科目名称</t>
        </is>
      </c>
      <c r="F46" t="inlineStr">
        <is>
          <t>年预算公式</t>
        </is>
      </c>
      <c r="J46" t="inlineStr">
        <is>
          <t>公式说明</t>
        </is>
      </c>
      <c r="K46" t="inlineStr">
        <is>
          <t>横向汇总</t>
        </is>
      </c>
      <c r="M46" t="inlineStr">
        <is>
          <t>录入粒度</t>
        </is>
      </c>
    </row>
    <row r="47" ht="16.8" customHeight="1">
      <c r="A47" t="inlineStr">
        <is>
          <t>一级</t>
        </is>
      </c>
      <c r="B47" t="inlineStr">
        <is>
          <t>支出</t>
        </is>
      </c>
      <c r="C47" t="inlineStr">
        <is>
          <t>C.90</t>
        </is>
      </c>
      <c r="D47" t="inlineStr">
        <is>
          <t>减:业务及管理费</t>
        </is>
      </c>
      <c r="F47" t="inlineStr">
        <is>
          <t>C.90.01+C.90.03</t>
        </is>
      </c>
      <c r="K47" t="inlineStr">
        <is>
          <t>是</t>
        </is>
      </c>
      <c r="M47" t="inlineStr">
        <is>
          <t>05</t>
        </is>
      </c>
    </row>
    <row r="48" ht="16.8" customHeight="1">
      <c r="A48" t="inlineStr">
        <is>
          <t>二级</t>
        </is>
      </c>
      <c r="B48" t="inlineStr">
        <is>
          <t>支出</t>
        </is>
      </c>
      <c r="C48" t="inlineStr">
        <is>
          <t>C.90.01</t>
        </is>
      </c>
      <c r="D48" t="inlineStr">
        <is>
          <t>直接费用</t>
        </is>
      </c>
      <c r="F48" t="inlineStr">
        <is>
          <t>C.90.01.01+C.90.01.02</t>
        </is>
      </c>
      <c r="K48" t="inlineStr">
        <is>
          <t>是</t>
        </is>
      </c>
      <c r="M48" t="inlineStr">
        <is>
          <t>05.01</t>
        </is>
      </c>
    </row>
    <row r="49" ht="16.8" customHeight="1">
      <c r="A49" t="inlineStr">
        <is>
          <t>三级</t>
        </is>
      </c>
      <c r="B49" t="inlineStr">
        <is>
          <t>支出</t>
        </is>
      </c>
      <c r="C49" t="inlineStr">
        <is>
          <t>C.90.01.01</t>
        </is>
      </c>
      <c r="D49" t="inlineStr">
        <is>
          <t>直接费用</t>
        </is>
      </c>
      <c r="F49" t="inlineStr">
        <is>
          <t>C.90.01.01.01+C.90.01.01.02+C.90.01.01.03+C.90.01.01.04.001+C.90.01.01.05.001</t>
        </is>
      </c>
      <c r="K49" t="inlineStr">
        <is>
          <t>是</t>
        </is>
      </c>
      <c r="M49" t="inlineStr">
        <is>
          <t>05.01.01</t>
        </is>
      </c>
    </row>
    <row r="50" ht="16.8" customHeight="1">
      <c r="A50" t="inlineStr">
        <is>
          <t>四级</t>
        </is>
      </c>
      <c r="B50" t="inlineStr">
        <is>
          <t>支出</t>
        </is>
      </c>
      <c r="C50" t="inlineStr">
        <is>
          <t>C.90.01.01.01</t>
        </is>
      </c>
      <c r="D50" t="inlineStr">
        <is>
          <t>人力（不含IT)</t>
        </is>
      </c>
      <c r="F50" t="inlineStr">
        <is>
          <t>C.90.01.01.01.001+C.90.01.01.01.002</t>
        </is>
      </c>
      <c r="K50" t="inlineStr">
        <is>
          <t>是</t>
        </is>
      </c>
      <c r="M50" t="inlineStr">
        <is>
          <t>05.01.01.01</t>
        </is>
      </c>
    </row>
    <row r="51" ht="16.8" customHeight="1">
      <c r="A51" t="inlineStr">
        <is>
          <t>五级</t>
        </is>
      </c>
      <c r="B51" t="inlineStr">
        <is>
          <t>支出</t>
        </is>
      </c>
      <c r="C51" t="inlineStr">
        <is>
          <t>C.90.01.01.01.001</t>
        </is>
      </c>
      <c r="D51" t="inlineStr">
        <is>
          <t>业务人力</t>
        </is>
      </c>
      <c r="K51" t="inlineStr">
        <is>
          <t>是</t>
        </is>
      </c>
      <c r="M51" t="inlineStr">
        <is>
          <t>05.01.01.01.001</t>
        </is>
      </c>
      <c r="N51" t="inlineStr">
        <is>
          <t>SUM</t>
        </is>
      </c>
    </row>
    <row r="52" ht="16.8" customHeight="1">
      <c r="A52" t="inlineStr">
        <is>
          <t>五级</t>
        </is>
      </c>
      <c r="B52" t="inlineStr">
        <is>
          <t>支出</t>
        </is>
      </c>
      <c r="C52" t="inlineStr">
        <is>
          <t>C.90.01.01.01.002</t>
        </is>
      </c>
      <c r="D52" t="inlineStr">
        <is>
          <t>特别人力</t>
        </is>
      </c>
      <c r="K52" t="inlineStr">
        <is>
          <t>是</t>
        </is>
      </c>
      <c r="M52" t="inlineStr">
        <is>
          <t>05.01.01.01.002</t>
        </is>
      </c>
      <c r="N52" t="inlineStr">
        <is>
          <t>SUM</t>
        </is>
      </c>
    </row>
    <row r="53" ht="16.8" customHeight="1">
      <c r="A53" t="inlineStr">
        <is>
          <t>四级</t>
        </is>
      </c>
      <c r="B53" t="inlineStr">
        <is>
          <t>支出</t>
        </is>
      </c>
      <c r="C53" t="inlineStr">
        <is>
          <t>C.90.01.01.02</t>
        </is>
      </c>
      <c r="D53" t="inlineStr">
        <is>
          <t>业务费用</t>
        </is>
      </c>
      <c r="F53" t="inlineStr">
        <is>
          <t>C.90.01.01.02.001+C.90.01.01.02.002</t>
        </is>
      </c>
      <c r="K53" t="inlineStr">
        <is>
          <t>是</t>
        </is>
      </c>
      <c r="M53" t="inlineStr">
        <is>
          <t>05.01.01.02</t>
        </is>
      </c>
    </row>
    <row r="54" ht="16.8" customHeight="1">
      <c r="A54" t="inlineStr">
        <is>
          <t>五级</t>
        </is>
      </c>
      <c r="B54" t="inlineStr">
        <is>
          <t>支出</t>
        </is>
      </c>
      <c r="C54" t="inlineStr">
        <is>
          <t>C.90.01.01.02.001</t>
        </is>
      </c>
      <c r="D54" t="inlineStr">
        <is>
          <t>营销</t>
        </is>
      </c>
      <c r="K54" t="inlineStr">
        <is>
          <t>是</t>
        </is>
      </c>
      <c r="M54" t="inlineStr">
        <is>
          <t>05.01.01.02.001</t>
        </is>
      </c>
      <c r="N54" t="inlineStr">
        <is>
          <t>SUM</t>
        </is>
      </c>
    </row>
    <row r="55" ht="16.8" customHeight="1">
      <c r="A55" t="inlineStr">
        <is>
          <t>五级</t>
        </is>
      </c>
      <c r="B55" t="inlineStr">
        <is>
          <t>支出</t>
        </is>
      </c>
      <c r="C55" t="inlineStr">
        <is>
          <t>C.90.01.01.02.002</t>
        </is>
      </c>
      <c r="D55" t="inlineStr">
        <is>
          <t>运营</t>
        </is>
      </c>
      <c r="K55" t="inlineStr">
        <is>
          <t>是</t>
        </is>
      </c>
      <c r="M55" t="inlineStr">
        <is>
          <t>05.01.01.02.002</t>
        </is>
      </c>
      <c r="N55" t="inlineStr">
        <is>
          <t>SUM</t>
        </is>
      </c>
    </row>
    <row r="56" ht="16.8" customHeight="1">
      <c r="A56" t="inlineStr">
        <is>
          <t>四级</t>
        </is>
      </c>
      <c r="B56" t="inlineStr">
        <is>
          <t>支出</t>
        </is>
      </c>
      <c r="C56" t="inlineStr">
        <is>
          <t>C.90.01.01.03</t>
        </is>
      </c>
      <c r="D56" t="inlineStr">
        <is>
          <t>IT</t>
        </is>
      </c>
      <c r="F56" t="inlineStr">
        <is>
          <t>C.90.01.01.03.01+C.90.01.01.03.02.001+C.90.01.01.03.03.001+C.90.01.01.03.04.001</t>
        </is>
      </c>
      <c r="K56" t="inlineStr">
        <is>
          <t>是</t>
        </is>
      </c>
      <c r="M56" t="inlineStr">
        <is>
          <t>05.01.01.03</t>
        </is>
      </c>
    </row>
    <row r="57" ht="16.8" customHeight="1">
      <c r="A57" t="inlineStr">
        <is>
          <t>五级</t>
        </is>
      </c>
      <c r="B57" t="inlineStr">
        <is>
          <t>支出</t>
        </is>
      </c>
      <c r="C57" t="inlineStr">
        <is>
          <t>C.90.01.01.03.01</t>
        </is>
      </c>
      <c r="D57" t="inlineStr">
        <is>
          <t>IT人力</t>
        </is>
      </c>
      <c r="F57" t="inlineStr">
        <is>
          <t>C.90.01.01.03.01.001+C.90.01.01.03.01.002</t>
        </is>
      </c>
      <c r="K57" t="inlineStr">
        <is>
          <t>是</t>
        </is>
      </c>
      <c r="M57" t="inlineStr">
        <is>
          <t>05.01.01.03.01</t>
        </is>
      </c>
    </row>
    <row r="58" ht="16.8" customHeight="1">
      <c r="A58" t="inlineStr">
        <is>
          <t>六级</t>
        </is>
      </c>
      <c r="B58" t="inlineStr">
        <is>
          <t>支出</t>
        </is>
      </c>
      <c r="C58" t="inlineStr">
        <is>
          <t>C.90.01.01.03.01.001</t>
        </is>
      </c>
      <c r="D58" t="inlineStr">
        <is>
          <t>IT常规人力</t>
        </is>
      </c>
      <c r="K58" t="inlineStr">
        <is>
          <t>是</t>
        </is>
      </c>
      <c r="M58" t="inlineStr">
        <is>
          <t>05.01.01.03.01.001</t>
        </is>
      </c>
      <c r="N58" t="inlineStr">
        <is>
          <t>SUM</t>
        </is>
      </c>
    </row>
    <row r="59" ht="16.8" customHeight="1">
      <c r="A59" t="inlineStr">
        <is>
          <t>六级</t>
        </is>
      </c>
      <c r="B59" t="inlineStr">
        <is>
          <t>支出</t>
        </is>
      </c>
      <c r="C59" t="inlineStr">
        <is>
          <t>C.90.01.01.03.01.002</t>
        </is>
      </c>
      <c r="D59" t="inlineStr">
        <is>
          <t>IT特别人力</t>
        </is>
      </c>
      <c r="K59" t="inlineStr">
        <is>
          <t>是</t>
        </is>
      </c>
      <c r="M59" t="inlineStr">
        <is>
          <t>05.01.01.03.01.002</t>
        </is>
      </c>
      <c r="N59" t="inlineStr">
        <is>
          <t>SUM</t>
        </is>
      </c>
    </row>
    <row r="60" ht="16.8" customHeight="1">
      <c r="A60" t="inlineStr">
        <is>
          <t>五级</t>
        </is>
      </c>
      <c r="B60" t="inlineStr">
        <is>
          <t>支出</t>
        </is>
      </c>
      <c r="C60" t="inlineStr">
        <is>
          <t>C.90.01.01.03.02</t>
        </is>
      </c>
      <c r="D60" t="inlineStr">
        <is>
          <t>科技</t>
        </is>
      </c>
      <c r="K60" t="inlineStr">
        <is>
          <t>是</t>
        </is>
      </c>
      <c r="M60" t="inlineStr">
        <is>
          <t>05.01.01.03.02</t>
        </is>
      </c>
      <c r="N60" t="inlineStr">
        <is>
          <t>SUM</t>
        </is>
      </c>
    </row>
    <row r="61" ht="16.8" customHeight="1">
      <c r="A61" t="inlineStr">
        <is>
          <t>五级</t>
        </is>
      </c>
      <c r="B61" t="inlineStr">
        <is>
          <t>支出</t>
        </is>
      </c>
      <c r="C61" t="inlineStr">
        <is>
          <t>C.90.01.01.03.03</t>
        </is>
      </c>
      <c r="D61" t="inlineStr">
        <is>
          <t>IT职场</t>
        </is>
      </c>
      <c r="K61" t="inlineStr">
        <is>
          <t>是</t>
        </is>
      </c>
      <c r="M61" t="inlineStr">
        <is>
          <t>05.01.01.03.03</t>
        </is>
      </c>
      <c r="N61" t="inlineStr">
        <is>
          <t>SUM</t>
        </is>
      </c>
    </row>
    <row r="62" ht="16.8" customHeight="1">
      <c r="A62" t="inlineStr">
        <is>
          <t>五级</t>
        </is>
      </c>
      <c r="B62" t="inlineStr">
        <is>
          <t>支出</t>
        </is>
      </c>
      <c r="C62" t="inlineStr">
        <is>
          <t>C.90.01.01.03.04</t>
        </is>
      </c>
      <c r="D62" t="inlineStr">
        <is>
          <t>IT日常</t>
        </is>
      </c>
      <c r="K62" t="inlineStr">
        <is>
          <t>是</t>
        </is>
      </c>
      <c r="M62" t="inlineStr">
        <is>
          <t>05.01.01.03.04</t>
        </is>
      </c>
      <c r="N62" t="inlineStr">
        <is>
          <t>SUM</t>
        </is>
      </c>
    </row>
    <row r="63" ht="16.8" customHeight="1">
      <c r="A63" t="inlineStr">
        <is>
          <t>四级</t>
        </is>
      </c>
      <c r="B63" t="inlineStr">
        <is>
          <t>支出</t>
        </is>
      </c>
      <c r="C63" t="inlineStr">
        <is>
          <t>C.90.01.01.04</t>
        </is>
      </c>
      <c r="D63" t="inlineStr">
        <is>
          <t>AA.05.01.01.04</t>
        </is>
      </c>
      <c r="F63" t="inlineStr">
        <is>
          <t>C.90.01.01.04.001</t>
        </is>
      </c>
      <c r="K63" t="inlineStr">
        <is>
          <t>是</t>
        </is>
      </c>
      <c r="M63" t="inlineStr">
        <is>
          <t>05.01.01.04</t>
        </is>
      </c>
      <c r="N63" t="inlineStr">
        <is>
          <t>SUM</t>
        </is>
      </c>
    </row>
    <row r="64" ht="16.8" customHeight="1">
      <c r="A64" t="inlineStr">
        <is>
          <t>五级</t>
        </is>
      </c>
      <c r="B64" t="inlineStr">
        <is>
          <t>支出</t>
        </is>
      </c>
      <c r="C64" t="inlineStr">
        <is>
          <t>C.90.01.01.04.001</t>
        </is>
      </c>
      <c r="D64" t="inlineStr">
        <is>
          <t>职场</t>
        </is>
      </c>
      <c r="K64" t="inlineStr">
        <is>
          <t>是</t>
        </is>
      </c>
      <c r="M64" t="inlineStr">
        <is>
          <t>05.01.01.04.001</t>
        </is>
      </c>
      <c r="N64" t="inlineStr">
        <is>
          <t>SUM</t>
        </is>
      </c>
    </row>
    <row r="65" ht="16.8" customHeight="1">
      <c r="A65" t="inlineStr">
        <is>
          <t>四级</t>
        </is>
      </c>
      <c r="B65" t="inlineStr">
        <is>
          <t>支出</t>
        </is>
      </c>
      <c r="C65" t="inlineStr">
        <is>
          <t>C.90.01.01.05</t>
        </is>
      </c>
      <c r="D65" t="inlineStr">
        <is>
          <t>AA.05.01.01.05</t>
        </is>
      </c>
      <c r="F65" t="inlineStr">
        <is>
          <t>C.90.01.01.05.001</t>
        </is>
      </c>
      <c r="K65" t="inlineStr">
        <is>
          <t>是</t>
        </is>
      </c>
      <c r="M65" t="inlineStr">
        <is>
          <t>05.01.01.05</t>
        </is>
      </c>
      <c r="N65" t="inlineStr">
        <is>
          <t>SUM</t>
        </is>
      </c>
    </row>
    <row r="66" ht="16.8" customHeight="1">
      <c r="A66" t="inlineStr">
        <is>
          <t>五级</t>
        </is>
      </c>
      <c r="B66" t="inlineStr">
        <is>
          <t>支出</t>
        </is>
      </c>
      <c r="C66" t="inlineStr">
        <is>
          <t>C.90.01.01.05.001</t>
        </is>
      </c>
      <c r="D66" t="inlineStr">
        <is>
          <t>日常</t>
        </is>
      </c>
      <c r="K66" t="inlineStr">
        <is>
          <t>是</t>
        </is>
      </c>
      <c r="M66" t="inlineStr">
        <is>
          <t>05.01.01.05.001</t>
        </is>
      </c>
      <c r="N66" t="inlineStr">
        <is>
          <t>SUM</t>
        </is>
      </c>
    </row>
    <row r="67" ht="16.8" customHeight="1">
      <c r="A67" t="inlineStr">
        <is>
          <t>三级</t>
        </is>
      </c>
      <c r="B67" t="inlineStr">
        <is>
          <t>支出</t>
        </is>
      </c>
      <c r="C67" t="inlineStr">
        <is>
          <t>C.90.01.02</t>
        </is>
      </c>
      <c r="D67" t="inlineStr">
        <is>
          <t>间接费用</t>
        </is>
      </c>
      <c r="F67" t="inlineStr">
        <is>
          <t>C.90.01.02.01+C.90.01.02.02+C.90.01.02.03+C.90.01.02.04.001+C.90.01.02.05.001</t>
        </is>
      </c>
      <c r="K67" t="inlineStr">
        <is>
          <t>是</t>
        </is>
      </c>
      <c r="M67" t="inlineStr">
        <is>
          <t>05.01.02</t>
        </is>
      </c>
    </row>
    <row r="68" ht="16.8" customHeight="1">
      <c r="A68" t="inlineStr">
        <is>
          <t>四级</t>
        </is>
      </c>
      <c r="B68" t="inlineStr">
        <is>
          <t>支出</t>
        </is>
      </c>
      <c r="C68" t="inlineStr">
        <is>
          <t>C.90.01.02.01</t>
        </is>
      </c>
      <c r="D68" t="inlineStr">
        <is>
          <t>人力（不含IT)</t>
        </is>
      </c>
      <c r="F68" t="inlineStr">
        <is>
          <t>C.90.01.02.01.001+C.90.01.02.01.002</t>
        </is>
      </c>
      <c r="K68" t="inlineStr">
        <is>
          <t>是</t>
        </is>
      </c>
      <c r="M68" t="inlineStr">
        <is>
          <t>05.01.02.01</t>
        </is>
      </c>
    </row>
    <row r="69" ht="16.8" customHeight="1">
      <c r="A69" t="inlineStr">
        <is>
          <t>五级</t>
        </is>
      </c>
      <c r="B69" t="inlineStr">
        <is>
          <t>支出</t>
        </is>
      </c>
      <c r="C69" t="inlineStr">
        <is>
          <t>C.90.01.02.01.001</t>
        </is>
      </c>
      <c r="D69" t="inlineStr">
        <is>
          <t>业务人力</t>
        </is>
      </c>
      <c r="K69" t="inlineStr">
        <is>
          <t>是</t>
        </is>
      </c>
      <c r="M69" t="inlineStr">
        <is>
          <t>05.01.02.01.001</t>
        </is>
      </c>
      <c r="N69" t="inlineStr">
        <is>
          <t>SUM</t>
        </is>
      </c>
    </row>
    <row r="70" ht="16.8" customHeight="1">
      <c r="A70" t="inlineStr">
        <is>
          <t>五级</t>
        </is>
      </c>
      <c r="B70" t="inlineStr">
        <is>
          <t>支出</t>
        </is>
      </c>
      <c r="C70" t="inlineStr">
        <is>
          <t>C.90.01.02.01.002</t>
        </is>
      </c>
      <c r="D70" t="inlineStr">
        <is>
          <t>特别人力</t>
        </is>
      </c>
      <c r="K70" t="inlineStr">
        <is>
          <t>是</t>
        </is>
      </c>
      <c r="M70" t="inlineStr">
        <is>
          <t>05.01.02.01.002</t>
        </is>
      </c>
      <c r="N70" t="inlineStr">
        <is>
          <t>SUM</t>
        </is>
      </c>
    </row>
    <row r="71" ht="16.8" customHeight="1">
      <c r="A71" t="inlineStr">
        <is>
          <t>四级</t>
        </is>
      </c>
      <c r="B71" t="inlineStr">
        <is>
          <t>支出</t>
        </is>
      </c>
      <c r="C71" t="inlineStr">
        <is>
          <t>C.90.01.02.02</t>
        </is>
      </c>
      <c r="D71" t="inlineStr">
        <is>
          <t>业务费用</t>
        </is>
      </c>
      <c r="F71" t="inlineStr">
        <is>
          <t>C.90.01.02.02.001+C.90.01.02.02.002</t>
        </is>
      </c>
      <c r="K71" t="inlineStr">
        <is>
          <t>是</t>
        </is>
      </c>
      <c r="M71" t="inlineStr">
        <is>
          <t>05.01.02.02</t>
        </is>
      </c>
    </row>
    <row r="72" ht="16.8" customHeight="1">
      <c r="A72" t="inlineStr">
        <is>
          <t>五级</t>
        </is>
      </c>
      <c r="B72" t="inlineStr">
        <is>
          <t>支出</t>
        </is>
      </c>
      <c r="C72" t="inlineStr">
        <is>
          <t>C.90.01.02.02.001</t>
        </is>
      </c>
      <c r="D72" t="inlineStr">
        <is>
          <t>营销</t>
        </is>
      </c>
      <c r="K72" t="inlineStr">
        <is>
          <t>是</t>
        </is>
      </c>
      <c r="M72" t="inlineStr">
        <is>
          <t>05.01.02.02.001</t>
        </is>
      </c>
      <c r="N72" t="inlineStr">
        <is>
          <t>SUM</t>
        </is>
      </c>
    </row>
    <row r="73" ht="16.8" customHeight="1">
      <c r="A73" t="inlineStr">
        <is>
          <t>五级</t>
        </is>
      </c>
      <c r="B73" t="inlineStr">
        <is>
          <t>支出</t>
        </is>
      </c>
      <c r="C73" t="inlineStr">
        <is>
          <t>C.90.01.02.02.002</t>
        </is>
      </c>
      <c r="D73" t="inlineStr">
        <is>
          <t>运营</t>
        </is>
      </c>
      <c r="K73" t="inlineStr">
        <is>
          <t>是</t>
        </is>
      </c>
      <c r="M73" t="inlineStr">
        <is>
          <t>05.01.02.02.002</t>
        </is>
      </c>
      <c r="N73" t="inlineStr">
        <is>
          <t>SUM</t>
        </is>
      </c>
    </row>
    <row r="74" ht="16.8" customHeight="1">
      <c r="A74" t="inlineStr">
        <is>
          <t>四级</t>
        </is>
      </c>
      <c r="B74" t="inlineStr">
        <is>
          <t>支出</t>
        </is>
      </c>
      <c r="C74" t="inlineStr">
        <is>
          <t>C.90.01.02.03</t>
        </is>
      </c>
      <c r="D74" t="inlineStr">
        <is>
          <t>IT</t>
        </is>
      </c>
      <c r="F74" t="inlineStr">
        <is>
          <t>C.90.01.02.03.01+C.90.01.02.03.02.001+C.90.01.02.03.03.001+C.90.01.02.03.04.001</t>
        </is>
      </c>
      <c r="K74" t="inlineStr">
        <is>
          <t>是</t>
        </is>
      </c>
      <c r="M74" t="inlineStr">
        <is>
          <t>05.01.02.03</t>
        </is>
      </c>
    </row>
    <row r="75" ht="16.8" customHeight="1">
      <c r="A75" t="inlineStr">
        <is>
          <t>五级</t>
        </is>
      </c>
      <c r="B75" t="inlineStr">
        <is>
          <t>支出</t>
        </is>
      </c>
      <c r="C75" t="inlineStr">
        <is>
          <t>C.90.01.02.03.01</t>
        </is>
      </c>
      <c r="D75" t="inlineStr">
        <is>
          <t>IT人力</t>
        </is>
      </c>
      <c r="F75" t="inlineStr">
        <is>
          <t>C.90.01.02.03.01.001+C.90.01.02.03.01.002</t>
        </is>
      </c>
      <c r="K75" t="inlineStr">
        <is>
          <t>是</t>
        </is>
      </c>
      <c r="M75" t="inlineStr">
        <is>
          <t>05.01.02.03.01</t>
        </is>
      </c>
    </row>
    <row r="76" ht="16.8" customHeight="1">
      <c r="A76" t="inlineStr">
        <is>
          <t>六级</t>
        </is>
      </c>
      <c r="B76" t="inlineStr">
        <is>
          <t>支出</t>
        </is>
      </c>
      <c r="C76" t="inlineStr">
        <is>
          <t>C.90.01.02.03.01.001</t>
        </is>
      </c>
      <c r="D76" t="inlineStr">
        <is>
          <t>IT常规人力</t>
        </is>
      </c>
      <c r="K76" t="inlineStr">
        <is>
          <t>是</t>
        </is>
      </c>
      <c r="M76" t="inlineStr">
        <is>
          <t>05.01.02.03.01.001</t>
        </is>
      </c>
      <c r="N76" t="inlineStr">
        <is>
          <t>SUM</t>
        </is>
      </c>
    </row>
    <row r="77" ht="16.8" customHeight="1">
      <c r="A77" t="inlineStr">
        <is>
          <t>六级</t>
        </is>
      </c>
      <c r="B77" t="inlineStr">
        <is>
          <t>支出</t>
        </is>
      </c>
      <c r="C77" t="inlineStr">
        <is>
          <t>C.90.01.02.03.01.002</t>
        </is>
      </c>
      <c r="D77" t="inlineStr">
        <is>
          <t>IT特别人力</t>
        </is>
      </c>
      <c r="K77" t="inlineStr">
        <is>
          <t>是</t>
        </is>
      </c>
      <c r="M77" t="inlineStr">
        <is>
          <t>05.01.02.03.01.002</t>
        </is>
      </c>
      <c r="N77" t="inlineStr">
        <is>
          <t>SUM</t>
        </is>
      </c>
    </row>
    <row r="78" ht="16.8" customHeight="1">
      <c r="A78" t="inlineStr">
        <is>
          <t>五级</t>
        </is>
      </c>
      <c r="B78" t="inlineStr">
        <is>
          <t>支出</t>
        </is>
      </c>
      <c r="C78" t="inlineStr">
        <is>
          <t>C.90.01.02.03.02</t>
        </is>
      </c>
      <c r="D78" t="inlineStr">
        <is>
          <t>AA.05.01.02.03.02</t>
        </is>
      </c>
      <c r="F78" t="inlineStr">
        <is>
          <t>C.90.01.02.03.02.001</t>
        </is>
      </c>
      <c r="K78" t="inlineStr">
        <is>
          <t>是</t>
        </is>
      </c>
      <c r="M78" t="inlineStr">
        <is>
          <t>05.01.02.03.02</t>
        </is>
      </c>
      <c r="N78" t="inlineStr">
        <is>
          <t>SUM</t>
        </is>
      </c>
    </row>
    <row r="79" ht="16.8" customHeight="1">
      <c r="A79" t="inlineStr">
        <is>
          <t>六级</t>
        </is>
      </c>
      <c r="B79" t="inlineStr">
        <is>
          <t>支出</t>
        </is>
      </c>
      <c r="C79" t="inlineStr">
        <is>
          <t>C.90.01.02.03.02.001</t>
        </is>
      </c>
      <c r="D79" t="inlineStr">
        <is>
          <t>科技</t>
        </is>
      </c>
      <c r="K79" t="inlineStr">
        <is>
          <t>是</t>
        </is>
      </c>
      <c r="M79" t="inlineStr">
        <is>
          <t>05.01.02.03.02.001</t>
        </is>
      </c>
      <c r="N79" t="inlineStr">
        <is>
          <t>SUM</t>
        </is>
      </c>
    </row>
    <row r="80" ht="16.8" customHeight="1">
      <c r="A80" t="inlineStr">
        <is>
          <t>五级</t>
        </is>
      </c>
      <c r="B80" t="inlineStr">
        <is>
          <t>支出</t>
        </is>
      </c>
      <c r="C80" t="inlineStr">
        <is>
          <t>C.90.01.02.03.03</t>
        </is>
      </c>
      <c r="D80" t="inlineStr">
        <is>
          <t>AA.05.01.02.03.03</t>
        </is>
      </c>
      <c r="F80" t="inlineStr">
        <is>
          <t>C.90.01.02.03.03.001</t>
        </is>
      </c>
      <c r="K80" t="inlineStr">
        <is>
          <t>是</t>
        </is>
      </c>
      <c r="M80" t="inlineStr">
        <is>
          <t>05.01.02.03.03</t>
        </is>
      </c>
      <c r="N80" t="inlineStr">
        <is>
          <t>SUM</t>
        </is>
      </c>
    </row>
    <row r="81" ht="16.8" customHeight="1">
      <c r="A81" t="inlineStr">
        <is>
          <t>六级</t>
        </is>
      </c>
      <c r="B81" t="inlineStr">
        <is>
          <t>支出</t>
        </is>
      </c>
      <c r="C81" t="inlineStr">
        <is>
          <t>C.90.01.02.03.03.001</t>
        </is>
      </c>
      <c r="D81" t="inlineStr">
        <is>
          <t>IT职场</t>
        </is>
      </c>
      <c r="K81" t="inlineStr">
        <is>
          <t>是</t>
        </is>
      </c>
      <c r="M81" t="inlineStr">
        <is>
          <t>05.01.02.03.03.001</t>
        </is>
      </c>
      <c r="N81" t="inlineStr">
        <is>
          <t>SUM</t>
        </is>
      </c>
    </row>
    <row r="82" ht="16.8" customHeight="1">
      <c r="A82" t="inlineStr">
        <is>
          <t>五级</t>
        </is>
      </c>
      <c r="B82" t="inlineStr">
        <is>
          <t>支出</t>
        </is>
      </c>
      <c r="C82" t="inlineStr">
        <is>
          <t>C.90.01.02.03.04</t>
        </is>
      </c>
      <c r="D82" t="inlineStr">
        <is>
          <t>AA.05.01.02.03.04</t>
        </is>
      </c>
      <c r="F82" t="inlineStr">
        <is>
          <t>C.90.01.02.03.04.001</t>
        </is>
      </c>
      <c r="K82" t="inlineStr">
        <is>
          <t>是</t>
        </is>
      </c>
      <c r="M82" t="inlineStr">
        <is>
          <t>05.01.02.03.04</t>
        </is>
      </c>
      <c r="N82" t="inlineStr">
        <is>
          <t>SUM</t>
        </is>
      </c>
    </row>
    <row r="83" ht="16.8" customHeight="1">
      <c r="A83" t="inlineStr">
        <is>
          <t>六级</t>
        </is>
      </c>
      <c r="B83" t="inlineStr">
        <is>
          <t>支出</t>
        </is>
      </c>
      <c r="C83" t="inlineStr">
        <is>
          <t>C.90.01.02.03.04.001</t>
        </is>
      </c>
      <c r="D83" t="inlineStr">
        <is>
          <t>IT日常</t>
        </is>
      </c>
      <c r="K83" t="inlineStr">
        <is>
          <t>是</t>
        </is>
      </c>
      <c r="M83" t="inlineStr">
        <is>
          <t>05.01.02.03.04.001</t>
        </is>
      </c>
      <c r="N83" t="inlineStr">
        <is>
          <t>SUM</t>
        </is>
      </c>
    </row>
    <row r="84" ht="16.8" customHeight="1">
      <c r="A84" t="inlineStr">
        <is>
          <t>四级</t>
        </is>
      </c>
      <c r="B84" t="inlineStr">
        <is>
          <t>支出</t>
        </is>
      </c>
      <c r="C84" t="inlineStr">
        <is>
          <t>C.90.01.02.04</t>
        </is>
      </c>
      <c r="D84" t="inlineStr">
        <is>
          <t>AA.05.01.02.04</t>
        </is>
      </c>
      <c r="F84" t="inlineStr">
        <is>
          <t>C.90.01.02.04.001</t>
        </is>
      </c>
      <c r="K84" t="inlineStr">
        <is>
          <t>是</t>
        </is>
      </c>
      <c r="M84" t="inlineStr">
        <is>
          <t>05.01.02.04</t>
        </is>
      </c>
      <c r="N84" t="inlineStr">
        <is>
          <t>SUM</t>
        </is>
      </c>
    </row>
    <row r="85" ht="16.8" customHeight="1">
      <c r="A85" t="inlineStr">
        <is>
          <t>五级</t>
        </is>
      </c>
      <c r="B85" t="inlineStr">
        <is>
          <t>支出</t>
        </is>
      </c>
      <c r="C85" t="inlineStr">
        <is>
          <t>C.90.01.02.04.001</t>
        </is>
      </c>
      <c r="D85" t="inlineStr">
        <is>
          <t>职场</t>
        </is>
      </c>
      <c r="K85" t="inlineStr">
        <is>
          <t>是</t>
        </is>
      </c>
      <c r="M85" t="inlineStr">
        <is>
          <t>05.01.02.04.001</t>
        </is>
      </c>
      <c r="N85" t="inlineStr">
        <is>
          <t>SUM</t>
        </is>
      </c>
    </row>
    <row r="86" ht="16.8" customHeight="1">
      <c r="A86" t="inlineStr">
        <is>
          <t>四级</t>
        </is>
      </c>
      <c r="B86" t="inlineStr">
        <is>
          <t>支出</t>
        </is>
      </c>
      <c r="C86" t="inlineStr">
        <is>
          <t>C.90.01.02.05</t>
        </is>
      </c>
      <c r="D86" t="inlineStr">
        <is>
          <t>AA.05.01.02.05</t>
        </is>
      </c>
      <c r="F86" t="inlineStr">
        <is>
          <t>C.90.01.02.05.001</t>
        </is>
      </c>
      <c r="K86" t="inlineStr">
        <is>
          <t>是</t>
        </is>
      </c>
      <c r="M86" t="inlineStr">
        <is>
          <t>05.01.02.05</t>
        </is>
      </c>
      <c r="N86" t="inlineStr">
        <is>
          <t>SUM</t>
        </is>
      </c>
    </row>
    <row r="87" ht="16.8" customHeight="1">
      <c r="A87" t="inlineStr">
        <is>
          <t>五级</t>
        </is>
      </c>
      <c r="B87" t="inlineStr">
        <is>
          <t>支出</t>
        </is>
      </c>
      <c r="C87" t="inlineStr">
        <is>
          <t>C.90.01.02.05.001</t>
        </is>
      </c>
      <c r="D87" t="inlineStr">
        <is>
          <t>日常</t>
        </is>
      </c>
      <c r="K87" t="inlineStr">
        <is>
          <t>是</t>
        </is>
      </c>
      <c r="M87" t="inlineStr">
        <is>
          <t>05.01.02.05.001</t>
        </is>
      </c>
      <c r="N87" t="inlineStr">
        <is>
          <t>SUM</t>
        </is>
      </c>
    </row>
    <row r="88" ht="16.8" customHeight="1">
      <c r="A88" t="inlineStr">
        <is>
          <t>二级</t>
        </is>
      </c>
      <c r="B88" t="inlineStr">
        <is>
          <t>支出</t>
        </is>
      </c>
      <c r="C88" t="inlineStr">
        <is>
          <t>C.90.02</t>
        </is>
      </c>
      <c r="D88" t="inlineStr">
        <is>
          <t>业务费用</t>
        </is>
      </c>
      <c r="F88" t="inlineStr">
        <is>
          <t>C.90.02.01+C.90.02.02</t>
        </is>
      </c>
      <c r="K88" t="inlineStr">
        <is>
          <t>是</t>
        </is>
      </c>
      <c r="N88" t="inlineStr">
        <is>
          <t>SUM</t>
        </is>
      </c>
    </row>
    <row r="89" ht="16.8" customHeight="1">
      <c r="A89" t="inlineStr">
        <is>
          <t>三级</t>
        </is>
      </c>
      <c r="B89" t="inlineStr">
        <is>
          <t>支出</t>
        </is>
      </c>
      <c r="C89" t="inlineStr">
        <is>
          <t>C.90.02.01</t>
        </is>
      </c>
      <c r="D89" t="inlineStr">
        <is>
          <t>营销费用</t>
        </is>
      </c>
      <c r="K89" t="inlineStr">
        <is>
          <t>是</t>
        </is>
      </c>
      <c r="N89" t="inlineStr">
        <is>
          <t>SUM</t>
        </is>
      </c>
    </row>
    <row r="90" ht="16.8" customHeight="1">
      <c r="A90" t="inlineStr">
        <is>
          <t>三级</t>
        </is>
      </c>
      <c r="B90" t="inlineStr">
        <is>
          <t>支出</t>
        </is>
      </c>
      <c r="C90" t="inlineStr">
        <is>
          <t>C.90.02.02</t>
        </is>
      </c>
      <c r="D90" t="inlineStr">
        <is>
          <t>运营费用</t>
        </is>
      </c>
      <c r="K90" t="inlineStr">
        <is>
          <t>是</t>
        </is>
      </c>
      <c r="N90" t="inlineStr">
        <is>
          <t>SUM</t>
        </is>
      </c>
    </row>
    <row r="91" ht="16.8" customHeight="1">
      <c r="A91" t="inlineStr">
        <is>
          <t>二级</t>
        </is>
      </c>
      <c r="B91" t="inlineStr">
        <is>
          <t>支出</t>
        </is>
      </c>
      <c r="C91" t="inlineStr">
        <is>
          <t>C.90.03</t>
        </is>
      </c>
      <c r="D91" t="inlineStr">
        <is>
          <t>业务支出评估</t>
        </is>
      </c>
      <c r="F91" t="inlineStr">
        <is>
          <t>C.90.03.09</t>
        </is>
      </c>
      <c r="K91" t="inlineStr">
        <is>
          <t>是</t>
        </is>
      </c>
      <c r="M91" t="inlineStr">
        <is>
          <t>05.02</t>
        </is>
      </c>
    </row>
    <row r="92" ht="16.8" customHeight="1">
      <c r="A92" t="inlineStr">
        <is>
          <t>三级</t>
        </is>
      </c>
      <c r="B92" t="inlineStr">
        <is>
          <t>支出</t>
        </is>
      </c>
      <c r="C92" t="inlineStr">
        <is>
          <t>C.90.03.09</t>
        </is>
      </c>
      <c r="D92" t="inlineStr">
        <is>
          <t>客户经营指标</t>
        </is>
      </c>
      <c r="F92" t="inlineStr">
        <is>
          <t>C.90.03.09.01+C.90.03.09.02+C.90.03.09.03</t>
        </is>
      </c>
      <c r="K92" t="inlineStr">
        <is>
          <t>是</t>
        </is>
      </c>
      <c r="M92" t="inlineStr">
        <is>
          <t>05.02.09</t>
        </is>
      </c>
    </row>
    <row r="93" ht="16.8" customHeight="1">
      <c r="A93" t="inlineStr">
        <is>
          <t>四级</t>
        </is>
      </c>
      <c r="B93" t="inlineStr">
        <is>
          <t>支出</t>
        </is>
      </c>
      <c r="C93" t="inlineStr">
        <is>
          <t>C.90.03.09.01</t>
        </is>
      </c>
      <c r="D93" t="inlineStr">
        <is>
          <t>客户营销与投入</t>
        </is>
      </c>
      <c r="F93" t="inlineStr">
        <is>
          <t>C.90.03.09.01.001+C.90.03.09.01.002+C.90.03.09.01.003+C.90.03.09.01.004</t>
        </is>
      </c>
      <c r="K93" t="inlineStr">
        <is>
          <t>是</t>
        </is>
      </c>
      <c r="M93" t="inlineStr">
        <is>
          <t>05.02.09.01</t>
        </is>
      </c>
    </row>
    <row r="94" ht="16.8" customHeight="1">
      <c r="A94" t="inlineStr">
        <is>
          <t>五级</t>
        </is>
      </c>
      <c r="B94" t="inlineStr">
        <is>
          <t>支出</t>
        </is>
      </c>
      <c r="C94" t="inlineStr">
        <is>
          <t>C.90.03.09.01.001</t>
        </is>
      </c>
      <c r="D94" t="inlineStr">
        <is>
          <t>新客营销支出</t>
        </is>
      </c>
      <c r="K94" t="inlineStr">
        <is>
          <t>是</t>
        </is>
      </c>
      <c r="M94" t="inlineStr">
        <is>
          <t>05.02.09.01.001</t>
        </is>
      </c>
      <c r="N94" t="inlineStr">
        <is>
          <t>SUM</t>
        </is>
      </c>
    </row>
    <row r="95" ht="16.8" customHeight="1">
      <c r="A95" t="inlineStr">
        <is>
          <t>五级</t>
        </is>
      </c>
      <c r="B95" t="inlineStr">
        <is>
          <t>支出</t>
        </is>
      </c>
      <c r="C95" t="inlineStr">
        <is>
          <t>C.90.03.09.01.002</t>
        </is>
      </c>
      <c r="D95" t="inlineStr">
        <is>
          <t>存客营销支出</t>
        </is>
      </c>
      <c r="K95" t="inlineStr">
        <is>
          <t>是</t>
        </is>
      </c>
      <c r="M95" t="inlineStr">
        <is>
          <t>05.02.09.01.002</t>
        </is>
      </c>
      <c r="N95" t="inlineStr">
        <is>
          <t>SUM</t>
        </is>
      </c>
    </row>
    <row r="96" ht="16.8" customHeight="1">
      <c r="A96" t="inlineStr">
        <is>
          <t>五级</t>
        </is>
      </c>
      <c r="B96" t="inlineStr">
        <is>
          <t>支出</t>
        </is>
      </c>
      <c r="C96" t="inlineStr">
        <is>
          <t>C.90.03.09.01.003</t>
        </is>
      </c>
      <c r="D96" t="inlineStr">
        <is>
          <t>新开通客户投入</t>
        </is>
      </c>
      <c r="K96" t="inlineStr">
        <is>
          <t>是</t>
        </is>
      </c>
      <c r="M96" t="inlineStr">
        <is>
          <t>05.02.09.01.003</t>
        </is>
      </c>
      <c r="N96" t="inlineStr">
        <is>
          <t>SUM</t>
        </is>
      </c>
    </row>
    <row r="97" ht="16.8" customHeight="1">
      <c r="A97" t="inlineStr">
        <is>
          <t>五级</t>
        </is>
      </c>
      <c r="B97" t="inlineStr">
        <is>
          <t>支出</t>
        </is>
      </c>
      <c r="C97" t="inlineStr">
        <is>
          <t>C.90.03.09.01.004</t>
        </is>
      </c>
      <c r="D97" t="inlineStr">
        <is>
          <t>新发放投入</t>
        </is>
      </c>
      <c r="K97" t="inlineStr">
        <is>
          <t>是</t>
        </is>
      </c>
      <c r="M97" t="inlineStr">
        <is>
          <t>05.02.09.01.004</t>
        </is>
      </c>
      <c r="N97" t="inlineStr">
        <is>
          <t>SUM</t>
        </is>
      </c>
    </row>
    <row r="98" ht="16.8" customHeight="1">
      <c r="A98" t="inlineStr">
        <is>
          <t>四级</t>
        </is>
      </c>
      <c r="B98" t="inlineStr">
        <is>
          <t>支出</t>
        </is>
      </c>
      <c r="C98" t="inlineStr">
        <is>
          <t>C.90.03.09.02</t>
        </is>
      </c>
      <c r="D98" t="inlineStr">
        <is>
          <t>客户规模与数量</t>
        </is>
      </c>
      <c r="F98" t="inlineStr">
        <is>
          <t>C.90.03.09.02.101+C.90.03.09.02.102+C.90.03.09.02.103</t>
        </is>
      </c>
      <c r="K98" t="inlineStr">
        <is>
          <t>是</t>
        </is>
      </c>
      <c r="M98" t="inlineStr">
        <is>
          <t>05.02.09.02</t>
        </is>
      </c>
    </row>
    <row r="99" ht="16.8" customHeight="1">
      <c r="A99" t="inlineStr">
        <is>
          <t>五级</t>
        </is>
      </c>
      <c r="B99" t="inlineStr">
        <is>
          <t>支出</t>
        </is>
      </c>
      <c r="C99" t="inlineStr">
        <is>
          <t>C.90.03.09.02.001</t>
        </is>
      </c>
      <c r="D99" t="inlineStr">
        <is>
          <t>新客日均LUM</t>
        </is>
      </c>
      <c r="K99" t="inlineStr">
        <is>
          <t>是</t>
        </is>
      </c>
      <c r="M99" t="inlineStr">
        <is>
          <t>05.02.09.02.001</t>
        </is>
      </c>
      <c r="N99" t="inlineStr">
        <is>
          <t>SUM</t>
        </is>
      </c>
    </row>
    <row r="100" ht="16.8" customHeight="1">
      <c r="A100" t="inlineStr">
        <is>
          <t>五级</t>
        </is>
      </c>
      <c r="B100" t="inlineStr">
        <is>
          <t>支出</t>
        </is>
      </c>
      <c r="C100" t="inlineStr">
        <is>
          <t>C.90.03.09.02.002</t>
        </is>
      </c>
      <c r="D100" t="inlineStr">
        <is>
          <t>存客日均LUM</t>
        </is>
      </c>
      <c r="K100" t="inlineStr">
        <is>
          <t>是</t>
        </is>
      </c>
      <c r="M100" t="inlineStr">
        <is>
          <t>05.02.09.02.002</t>
        </is>
      </c>
      <c r="N100" t="inlineStr">
        <is>
          <t>SUM</t>
        </is>
      </c>
    </row>
    <row r="101" ht="16.8" customHeight="1">
      <c r="A101" t="inlineStr">
        <is>
          <t>五级</t>
        </is>
      </c>
      <c r="B101" t="inlineStr">
        <is>
          <t>支出</t>
        </is>
      </c>
      <c r="C101" t="inlineStr">
        <is>
          <t>C.90.03.09.02.003</t>
        </is>
      </c>
      <c r="D101" t="inlineStr">
        <is>
          <t>新开通客户数</t>
        </is>
      </c>
      <c r="K101" t="inlineStr">
        <is>
          <t>是</t>
        </is>
      </c>
      <c r="M101" t="inlineStr">
        <is>
          <t>05.02.09.02.003</t>
        </is>
      </c>
      <c r="N101" t="inlineStr">
        <is>
          <t>SUM</t>
        </is>
      </c>
    </row>
    <row r="102" ht="16.8" customHeight="1">
      <c r="A102" t="inlineStr">
        <is>
          <t>五级</t>
        </is>
      </c>
      <c r="B102" t="inlineStr">
        <is>
          <t>支出</t>
        </is>
      </c>
      <c r="C102" t="inlineStr">
        <is>
          <t>C.90.03.09.02.004</t>
        </is>
      </c>
      <c r="D102" t="inlineStr">
        <is>
          <t>平均有效客户数</t>
        </is>
      </c>
      <c r="K102" t="inlineStr">
        <is>
          <t>是</t>
        </is>
      </c>
      <c r="M102" t="inlineStr">
        <is>
          <t>05.02.09.02.004</t>
        </is>
      </c>
      <c r="N102" t="inlineStr">
        <is>
          <t>SUM</t>
        </is>
      </c>
    </row>
    <row r="103" ht="16.8" customHeight="1">
      <c r="A103" t="inlineStr">
        <is>
          <t>五级</t>
        </is>
      </c>
      <c r="B103" t="inlineStr">
        <is>
          <t>支出</t>
        </is>
      </c>
      <c r="C103" t="inlineStr">
        <is>
          <t>C.90.03.09.02.005</t>
        </is>
      </c>
      <c r="D103" t="inlineStr">
        <is>
          <t>新发放LUM</t>
        </is>
      </c>
      <c r="K103" t="inlineStr">
        <is>
          <t>是</t>
        </is>
      </c>
      <c r="M103" t="inlineStr">
        <is>
          <t>05.02.09.02.005</t>
        </is>
      </c>
      <c r="N103" t="inlineStr">
        <is>
          <t>SUM</t>
        </is>
      </c>
    </row>
    <row r="104" ht="16.8" customHeight="1">
      <c r="A104" t="inlineStr">
        <is>
          <t>五级</t>
        </is>
      </c>
      <c r="B104" t="inlineStr">
        <is>
          <t>支出</t>
        </is>
      </c>
      <c r="C104" t="inlineStr">
        <is>
          <t>C.90.03.09.02.006</t>
        </is>
      </c>
      <c r="D104" t="inlineStr">
        <is>
          <t>新发放LUM（标服）</t>
        </is>
      </c>
      <c r="K104" t="inlineStr">
        <is>
          <t>是</t>
        </is>
      </c>
      <c r="M104" t="inlineStr">
        <is>
          <t>05.02.09.02.006</t>
        </is>
      </c>
      <c r="N104" t="inlineStr">
        <is>
          <t>SUM</t>
        </is>
      </c>
    </row>
    <row r="105" ht="16.8" customHeight="1">
      <c r="A105" t="inlineStr">
        <is>
          <t>五级</t>
        </is>
      </c>
      <c r="B105" t="inlineStr">
        <is>
          <t>支出</t>
        </is>
      </c>
      <c r="C105" t="inlineStr">
        <is>
          <t>C.90.03.09.02.007</t>
        </is>
      </c>
      <c r="D105" t="inlineStr">
        <is>
          <t>存客日均AuM</t>
        </is>
      </c>
      <c r="K105" t="inlineStr">
        <is>
          <t>是</t>
        </is>
      </c>
      <c r="M105" t="inlineStr">
        <is>
          <t>05.02.09.02.007</t>
        </is>
      </c>
      <c r="N105" t="inlineStr">
        <is>
          <t>SUM</t>
        </is>
      </c>
    </row>
    <row r="106" ht="16.8" customHeight="1">
      <c r="A106" t="inlineStr">
        <is>
          <t>五级</t>
        </is>
      </c>
      <c r="B106" t="inlineStr">
        <is>
          <t>支出</t>
        </is>
      </c>
      <c r="C106" t="inlineStr">
        <is>
          <t>C.90.03.09.02.008</t>
        </is>
      </c>
      <c r="D106" t="inlineStr">
        <is>
          <t>新客AuM余额</t>
        </is>
      </c>
      <c r="K106" t="inlineStr">
        <is>
          <t>是</t>
        </is>
      </c>
      <c r="M106" t="inlineStr">
        <is>
          <t>05.02.09.02.008</t>
        </is>
      </c>
      <c r="N106" t="inlineStr">
        <is>
          <t>SUM</t>
        </is>
      </c>
    </row>
    <row r="107" ht="16.8" customHeight="1">
      <c r="A107" t="inlineStr">
        <is>
          <t>五级</t>
        </is>
      </c>
      <c r="B107" t="inlineStr">
        <is>
          <t>支出</t>
        </is>
      </c>
      <c r="C107" t="inlineStr">
        <is>
          <t>C.90.03.09.02.009</t>
        </is>
      </c>
      <c r="D107" t="inlineStr">
        <is>
          <t>MFAU客户数</t>
        </is>
      </c>
      <c r="K107" t="inlineStr">
        <is>
          <t>是</t>
        </is>
      </c>
      <c r="M107" t="inlineStr">
        <is>
          <t>05.02.09.02.009</t>
        </is>
      </c>
      <c r="N107" t="inlineStr">
        <is>
          <t>SUM</t>
        </is>
      </c>
    </row>
    <row r="108" ht="16.8" customHeight="1">
      <c r="A108" t="inlineStr">
        <is>
          <t>五级</t>
        </is>
      </c>
      <c r="B108" t="inlineStr">
        <is>
          <t>支出</t>
        </is>
      </c>
      <c r="C108" t="inlineStr">
        <is>
          <t>C.90.03.09.02.010</t>
        </is>
      </c>
      <c r="D108" t="inlineStr">
        <is>
          <t>日均LUM</t>
        </is>
      </c>
      <c r="K108" t="inlineStr">
        <is>
          <t>是</t>
        </is>
      </c>
      <c r="M108" t="inlineStr">
        <is>
          <t>05.02.09.02.010</t>
        </is>
      </c>
      <c r="N108" t="inlineStr">
        <is>
          <t>SUM</t>
        </is>
      </c>
    </row>
    <row r="109" ht="16.8" customHeight="1">
      <c r="A109" t="inlineStr">
        <is>
          <t>五级</t>
        </is>
      </c>
      <c r="B109" t="inlineStr">
        <is>
          <t>支出</t>
        </is>
      </c>
      <c r="C109" t="inlineStr">
        <is>
          <t>C.90.03.09.02.011</t>
        </is>
      </c>
      <c r="D109" t="inlineStr">
        <is>
          <t>日均AuM</t>
        </is>
      </c>
      <c r="K109" t="inlineStr">
        <is>
          <t>是</t>
        </is>
      </c>
      <c r="M109" t="inlineStr">
        <is>
          <t>05.02.09.02.011</t>
        </is>
      </c>
      <c r="N109" t="inlineStr">
        <is>
          <t>SUM</t>
        </is>
      </c>
    </row>
    <row r="110" ht="16.8" customHeight="1">
      <c r="A110" t="inlineStr">
        <is>
          <t>五级</t>
        </is>
      </c>
      <c r="B110" t="inlineStr">
        <is>
          <t>支出</t>
        </is>
      </c>
      <c r="C110" t="inlineStr">
        <is>
          <t>C.90.03.09.02.101</t>
        </is>
      </c>
      <c r="D110" t="inlineStr">
        <is>
          <t>LUM规模</t>
        </is>
      </c>
      <c r="F110" t="inlineStr">
        <is>
          <t>C.90.03.09.02.001+C.90.03.09.02.002+C.90.03.09.02.005+C.90.03.09.02.006+C.90.03.09.02.010</t>
        </is>
      </c>
      <c r="K110" t="inlineStr">
        <is>
          <t>是</t>
        </is>
      </c>
      <c r="M110" t="inlineStr">
        <is>
          <t>05.02.09.02.101</t>
        </is>
      </c>
    </row>
    <row r="111" ht="16.8" customHeight="1">
      <c r="A111" t="inlineStr">
        <is>
          <t>五级</t>
        </is>
      </c>
      <c r="B111" t="inlineStr">
        <is>
          <t>支出</t>
        </is>
      </c>
      <c r="C111" t="inlineStr">
        <is>
          <t>C.90.03.09.02.102</t>
        </is>
      </c>
      <c r="D111" t="inlineStr">
        <is>
          <t>AuM规模</t>
        </is>
      </c>
      <c r="F111" t="inlineStr">
        <is>
          <t>C.90.03.09.02.007+C.90.03.09.02.008+C.90.03.09.02.011</t>
        </is>
      </c>
      <c r="K111" t="inlineStr">
        <is>
          <t>是</t>
        </is>
      </c>
      <c r="M111" t="inlineStr">
        <is>
          <t>05.02.09.02.102</t>
        </is>
      </c>
    </row>
    <row r="112" ht="16.8" customHeight="1">
      <c r="A112" t="inlineStr">
        <is>
          <t>五级</t>
        </is>
      </c>
      <c r="B112" t="inlineStr">
        <is>
          <t>支出</t>
        </is>
      </c>
      <c r="C112" t="inlineStr">
        <is>
          <t>C.90.03.09.02.103</t>
        </is>
      </c>
      <c r="D112" t="inlineStr">
        <is>
          <t>客户数量</t>
        </is>
      </c>
      <c r="F112" t="inlineStr">
        <is>
          <t>C.90.03.09.02.003+C.90.03.09.02.004+C.90.03.09.02.009</t>
        </is>
      </c>
      <c r="K112" t="inlineStr">
        <is>
          <t>是</t>
        </is>
      </c>
      <c r="M112" t="inlineStr">
        <is>
          <t>05.02.09.02.103</t>
        </is>
      </c>
    </row>
    <row r="113" ht="16.8" customHeight="1">
      <c r="A113" t="inlineStr">
        <is>
          <t>四级</t>
        </is>
      </c>
      <c r="B113" t="inlineStr">
        <is>
          <t>支出</t>
        </is>
      </c>
      <c r="C113" t="inlineStr">
        <is>
          <t>C.90.03.09.03</t>
        </is>
      </c>
      <c r="D113" t="inlineStr">
        <is>
          <t>客户回收与催收</t>
        </is>
      </c>
      <c r="F113" t="inlineStr">
        <is>
          <t>C.90.03.09.03.001+C.90.03.09.03.002+C.90.03.09.03.003</t>
        </is>
      </c>
      <c r="K113" t="inlineStr">
        <is>
          <t>是</t>
        </is>
      </c>
      <c r="M113" t="inlineStr">
        <is>
          <t>05.02.09.03</t>
        </is>
      </c>
    </row>
    <row r="114" ht="16.8" customHeight="1">
      <c r="A114" t="inlineStr">
        <is>
          <t>五级</t>
        </is>
      </c>
      <c r="B114" t="inlineStr">
        <is>
          <t>支出</t>
        </is>
      </c>
      <c r="C114" t="inlineStr">
        <is>
          <t>C.90.03.09.03.001</t>
        </is>
      </c>
      <c r="D114" t="inlineStr">
        <is>
          <t>内催回收额</t>
        </is>
      </c>
      <c r="K114" t="inlineStr">
        <is>
          <t>是</t>
        </is>
      </c>
      <c r="M114" t="inlineStr">
        <is>
          <t>05.02.09.03.001</t>
        </is>
      </c>
      <c r="N114" t="inlineStr">
        <is>
          <t>SUM</t>
        </is>
      </c>
    </row>
    <row r="115" ht="16.8" customHeight="1">
      <c r="A115" t="inlineStr">
        <is>
          <t>五级</t>
        </is>
      </c>
      <c r="B115" t="inlineStr">
        <is>
          <t>支出</t>
        </is>
      </c>
      <c r="C115" t="inlineStr">
        <is>
          <t>C.90.03.09.03.002</t>
        </is>
      </c>
      <c r="D115" t="inlineStr">
        <is>
          <t>M6-压降金额</t>
        </is>
      </c>
      <c r="K115" t="inlineStr">
        <is>
          <t>是</t>
        </is>
      </c>
      <c r="M115" t="inlineStr">
        <is>
          <t>05.02.09.03.002</t>
        </is>
      </c>
      <c r="N115" t="inlineStr">
        <is>
          <t>SUM</t>
        </is>
      </c>
    </row>
    <row r="116" ht="16.8" customHeight="1">
      <c r="A116" t="inlineStr">
        <is>
          <t>五级</t>
        </is>
      </c>
      <c r="B116" t="inlineStr">
        <is>
          <t>支出</t>
        </is>
      </c>
      <c r="C116" t="inlineStr">
        <is>
          <t>C.90.03.09.03.003</t>
        </is>
      </c>
      <c r="D116" t="inlineStr">
        <is>
          <t>M7+现金回收额</t>
        </is>
      </c>
      <c r="K116" t="inlineStr">
        <is>
          <t>是</t>
        </is>
      </c>
      <c r="M116" t="inlineStr">
        <is>
          <t>05.02.09.03.003</t>
        </is>
      </c>
      <c r="N116" t="inlineStr">
        <is>
          <t>SUM</t>
        </is>
      </c>
    </row>
    <row r="117" ht="16.8" customHeight="1"/>
    <row r="118" ht="16.8" customHeight="1"/>
    <row r="119" ht="16.8" customHeight="1"/>
    <row r="120" ht="16.8" customHeight="1"/>
    <row r="121" ht="16.8" customHeight="1"/>
    <row r="122" ht="16.8" customHeight="1"/>
    <row r="123" ht="16.8" customHeight="1"/>
    <row r="124" ht="16.8" customHeight="1"/>
    <row r="125" ht="16.8" customHeight="1"/>
    <row r="126" ht="16.8" customHeight="1"/>
    <row r="127" ht="16.8" customHeight="1"/>
    <row r="128" ht="16.8" customHeight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H125"/>
  <sheetViews>
    <sheetView workbookViewId="0">
      <selection activeCell="A1" sqref="$A1:$XFD1"/>
    </sheetView>
  </sheetViews>
  <sheetFormatPr baseColWidth="8" defaultColWidth="9" defaultRowHeight="15" customHeight="1"/>
  <cols>
    <col width="8.66071428571429" customWidth="1" style="5" min="1" max="2"/>
    <col width="9.580357142857141" customWidth="1" style="5" min="3" max="3"/>
    <col width="15.5" customWidth="1" style="5" min="4" max="4"/>
    <col width="8.66071428571429" customWidth="1" style="5" min="5" max="9"/>
    <col width="10.1607142857143" customWidth="1" style="5" min="10" max="10"/>
    <col width="8.66071428571429" customWidth="1" style="5" min="11" max="16384"/>
  </cols>
  <sheetData>
    <row r="1" customFormat="1" s="1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3" t="inlineStr">
        <is>
          <t>录入粒度</t>
        </is>
      </c>
      <c r="F1" s="3" t="inlineStr">
        <is>
          <t>年预算公式</t>
        </is>
      </c>
      <c r="G1" s="3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6" t="n"/>
      <c r="O1" s="6" t="n"/>
      <c r="P1" t="inlineStr">
        <is>
          <t>规则</t>
        </is>
      </c>
    </row>
    <row r="2">
      <c r="A2" s="7" t="inlineStr">
        <is>
          <t>一级</t>
        </is>
      </c>
      <c r="B2" s="1" t="inlineStr">
        <is>
          <t>收入</t>
        </is>
      </c>
      <c r="C2" s="8" t="inlineStr">
        <is>
          <t>C01.01</t>
        </is>
      </c>
      <c r="D2" s="7" t="inlineStr">
        <is>
          <t>营业收入</t>
        </is>
      </c>
      <c r="F2" t="inlineStr">
        <is>
          <t>C01.01.01+C01.01.02+C01.01.03</t>
        </is>
      </c>
      <c r="H2" s="5">
        <f>H3+H6+H7</f>
        <v/>
      </c>
      <c r="I2" s="5">
        <f>I3+I6+I7</f>
        <v/>
      </c>
      <c r="M2" t="inlineStr">
        <is>
          <t>01</t>
        </is>
      </c>
    </row>
    <row r="3">
      <c r="A3" s="1" t="inlineStr">
        <is>
          <t>二级</t>
        </is>
      </c>
      <c r="B3" s="1" t="inlineStr">
        <is>
          <t>收入</t>
        </is>
      </c>
      <c r="C3" s="8" t="inlineStr">
        <is>
          <t>C01.01.01</t>
        </is>
      </c>
      <c r="D3" s="1" t="inlineStr">
        <is>
          <t xml:space="preserve">  利息净收入</t>
        </is>
      </c>
      <c r="F3" t="inlineStr">
        <is>
          <t>C01.01.01.01+C01.01.01.02</t>
        </is>
      </c>
      <c r="H3" s="5">
        <f>H4+H5</f>
        <v/>
      </c>
      <c r="I3" s="5">
        <f>I4+I5</f>
        <v/>
      </c>
      <c r="M3" t="inlineStr">
        <is>
          <t>01.01</t>
        </is>
      </c>
    </row>
    <row r="4">
      <c r="A4" s="1" t="inlineStr">
        <is>
          <t>三级</t>
        </is>
      </c>
      <c r="B4" s="1" t="inlineStr">
        <is>
          <t>收入</t>
        </is>
      </c>
      <c r="C4" s="9" t="inlineStr">
        <is>
          <t>C01.01.01.01</t>
        </is>
      </c>
      <c r="D4" s="1" t="inlineStr">
        <is>
          <t xml:space="preserve">    资产业务</t>
        </is>
      </c>
      <c r="M4" t="inlineStr">
        <is>
          <t>01.01.01</t>
        </is>
      </c>
      <c r="P4" t="inlineStr">
        <is>
          <t>SUM</t>
        </is>
      </c>
    </row>
    <row r="5">
      <c r="A5" s="1" t="inlineStr">
        <is>
          <t>三级</t>
        </is>
      </c>
      <c r="B5" s="1" t="inlineStr">
        <is>
          <t>收入</t>
        </is>
      </c>
      <c r="C5" s="9" t="inlineStr">
        <is>
          <t>C01.01.01.02</t>
        </is>
      </c>
      <c r="D5" s="1" t="inlineStr">
        <is>
          <t xml:space="preserve">    负债业务</t>
        </is>
      </c>
      <c r="H5" s="5">
        <f>H41-H37</f>
        <v/>
      </c>
      <c r="I5" s="5">
        <f>I41-I37</f>
        <v/>
      </c>
      <c r="M5" t="inlineStr">
        <is>
          <t>01.01.02</t>
        </is>
      </c>
      <c r="P5" t="inlineStr">
        <is>
          <t>SUM</t>
        </is>
      </c>
    </row>
    <row r="6">
      <c r="A6" s="1" t="inlineStr">
        <is>
          <t>二级</t>
        </is>
      </c>
      <c r="B6" s="1" t="inlineStr">
        <is>
          <t>收入</t>
        </is>
      </c>
      <c r="C6" s="8" t="inlineStr">
        <is>
          <t>C01.01.02</t>
        </is>
      </c>
      <c r="D6" s="1" t="inlineStr">
        <is>
          <t xml:space="preserve">  净手续费收入</t>
        </is>
      </c>
      <c r="H6" s="5">
        <f>H45-H48</f>
        <v/>
      </c>
      <c r="I6" s="5">
        <f>I45-I48</f>
        <v/>
      </c>
      <c r="M6" t="inlineStr">
        <is>
          <t>01.02</t>
        </is>
      </c>
      <c r="P6" t="inlineStr">
        <is>
          <t>SUM</t>
        </is>
      </c>
    </row>
    <row r="7">
      <c r="A7" s="1" t="inlineStr">
        <is>
          <t>二级</t>
        </is>
      </c>
      <c r="B7" s="1" t="inlineStr">
        <is>
          <t>收入</t>
        </is>
      </c>
      <c r="C7" s="8" t="inlineStr">
        <is>
          <t>C01.01.03</t>
        </is>
      </c>
      <c r="D7" s="1" t="inlineStr">
        <is>
          <t xml:space="preserve">  其他营收</t>
        </is>
      </c>
      <c r="H7" s="5">
        <f>H51+H53</f>
        <v/>
      </c>
      <c r="I7" s="5">
        <f>I51+I53</f>
        <v/>
      </c>
      <c r="M7" t="inlineStr">
        <is>
          <t>01.03</t>
        </is>
      </c>
      <c r="P7" t="inlineStr">
        <is>
          <t>SUM</t>
        </is>
      </c>
    </row>
    <row r="8">
      <c r="A8" s="7" t="inlineStr">
        <is>
          <t>一级</t>
        </is>
      </c>
      <c r="B8" s="1" t="inlineStr">
        <is>
          <t>支出</t>
        </is>
      </c>
      <c r="C8" s="8" t="inlineStr">
        <is>
          <t>C01.02</t>
        </is>
      </c>
      <c r="D8" s="7" t="inlineStr">
        <is>
          <t>减：风险成本</t>
        </is>
      </c>
      <c r="M8" t="inlineStr">
        <is>
          <t>02</t>
        </is>
      </c>
      <c r="P8" t="inlineStr">
        <is>
          <t>SUM</t>
        </is>
      </c>
    </row>
    <row r="9">
      <c r="A9" s="7" t="inlineStr">
        <is>
          <t>一级</t>
        </is>
      </c>
      <c r="B9" s="1" t="inlineStr">
        <is>
          <t>收入</t>
        </is>
      </c>
      <c r="C9" s="8" t="inlineStr">
        <is>
          <t>C01.03</t>
        </is>
      </c>
      <c r="D9" s="7" t="inlineStr">
        <is>
          <t>净收入</t>
        </is>
      </c>
      <c r="F9" t="inlineStr">
        <is>
          <t>C01.01-C01.02</t>
        </is>
      </c>
      <c r="H9" s="5">
        <f>H2-H8</f>
        <v/>
      </c>
      <c r="I9" s="5">
        <f>I2-I8</f>
        <v/>
      </c>
      <c r="M9" t="inlineStr">
        <is>
          <t>03</t>
        </is>
      </c>
    </row>
    <row r="10">
      <c r="A10" s="7" t="inlineStr">
        <is>
          <t>一级</t>
        </is>
      </c>
      <c r="B10" s="1" t="inlineStr">
        <is>
          <t>支出</t>
        </is>
      </c>
      <c r="C10" s="8" t="inlineStr">
        <is>
          <t>C01.04</t>
        </is>
      </c>
      <c r="D10" s="7" t="inlineStr">
        <is>
          <t>减：税金及附加</t>
        </is>
      </c>
      <c r="M10" t="inlineStr">
        <is>
          <t>04</t>
        </is>
      </c>
      <c r="P10" t="inlineStr">
        <is>
          <t>SUM</t>
        </is>
      </c>
    </row>
    <row r="11">
      <c r="A11" s="7" t="inlineStr">
        <is>
          <t>一级</t>
        </is>
      </c>
      <c r="B11" s="1" t="inlineStr">
        <is>
          <t>支出</t>
        </is>
      </c>
      <c r="C11" s="8" t="inlineStr">
        <is>
          <t>C01.05</t>
        </is>
      </c>
      <c r="D11" s="7" t="inlineStr">
        <is>
          <t>减：直接费用</t>
        </is>
      </c>
      <c r="F11" t="inlineStr">
        <is>
          <t>C01.90.01+C01.90.02+C01.90.03+C01.90.04+C01.90.05</t>
        </is>
      </c>
      <c r="H11" s="5">
        <f>H12+H15+H18+H25+H26</f>
        <v/>
      </c>
      <c r="I11" s="5">
        <f>I12+I15+I18+I25+I26</f>
        <v/>
      </c>
      <c r="K11" t="inlineStr">
        <is>
          <t>是</t>
        </is>
      </c>
      <c r="M11" t="inlineStr">
        <is>
          <t>05</t>
        </is>
      </c>
    </row>
    <row r="12">
      <c r="A12" s="1" t="inlineStr">
        <is>
          <t>二级</t>
        </is>
      </c>
      <c r="B12" s="1" t="inlineStr">
        <is>
          <t>支出</t>
        </is>
      </c>
      <c r="C12" s="8" t="inlineStr">
        <is>
          <t>C01.05.01</t>
        </is>
      </c>
      <c r="D12" s="1" t="inlineStr">
        <is>
          <t xml:space="preserve">  人力费用（不含IT）</t>
        </is>
      </c>
      <c r="F12" t="inlineStr">
        <is>
          <t>C01.90.01.01+C01.90.01.02</t>
        </is>
      </c>
      <c r="H12" s="5">
        <f>H13+H14</f>
        <v/>
      </c>
      <c r="I12" s="5">
        <f>I13+I14</f>
        <v/>
      </c>
      <c r="K12" t="inlineStr">
        <is>
          <t>是</t>
        </is>
      </c>
      <c r="M12" t="inlineStr">
        <is>
          <t>05.01</t>
        </is>
      </c>
    </row>
    <row r="13">
      <c r="A13" s="1" t="inlineStr">
        <is>
          <t>三级</t>
        </is>
      </c>
      <c r="B13" s="1" t="inlineStr">
        <is>
          <t>支出</t>
        </is>
      </c>
      <c r="C13" s="9" t="inlineStr">
        <is>
          <t>C01.05.01.01</t>
        </is>
      </c>
      <c r="D13" s="1" t="inlineStr">
        <is>
          <t xml:space="preserve">    常规人力</t>
        </is>
      </c>
      <c r="F13" t="inlineStr">
        <is>
          <t>C01.90.01.01.01+C01.90.01.01.02+C01.90.01.01.03+C01.90.01.01.04.001+C01.90.01.01.05.001</t>
        </is>
      </c>
      <c r="K13" t="inlineStr">
        <is>
          <t>是</t>
        </is>
      </c>
      <c r="M13" t="inlineStr">
        <is>
          <t>05.01.01</t>
        </is>
      </c>
    </row>
    <row r="14">
      <c r="A14" s="1" t="inlineStr">
        <is>
          <t>三级</t>
        </is>
      </c>
      <c r="B14" s="1" t="inlineStr">
        <is>
          <t>支出</t>
        </is>
      </c>
      <c r="C14" s="9" t="inlineStr">
        <is>
          <t>C01.05.01.02</t>
        </is>
      </c>
      <c r="D14" s="1" t="inlineStr">
        <is>
          <t xml:space="preserve">    特别人力</t>
        </is>
      </c>
      <c r="F14" t="inlineStr">
        <is>
          <t>C01.90.01.02.01+C01.90.01.02.02+C01.90.01.02.03+C01.90.01.02.04.001+C01.90.01.02.05.001</t>
        </is>
      </c>
      <c r="K14" t="inlineStr">
        <is>
          <t>是</t>
        </is>
      </c>
      <c r="M14" t="inlineStr">
        <is>
          <t>05.01.02</t>
        </is>
      </c>
    </row>
    <row r="15">
      <c r="A15" s="1" t="inlineStr">
        <is>
          <t>二级</t>
        </is>
      </c>
      <c r="B15" s="1" t="inlineStr">
        <is>
          <t>支出</t>
        </is>
      </c>
      <c r="C15" s="8" t="inlineStr">
        <is>
          <t>C01.05.02</t>
        </is>
      </c>
      <c r="D15" s="1" t="inlineStr">
        <is>
          <t xml:space="preserve">  业务费用</t>
        </is>
      </c>
      <c r="F15" t="inlineStr">
        <is>
          <t>C01.90.02.01+C01.90.02.02+C01.90.02.09</t>
        </is>
      </c>
      <c r="H15" s="5">
        <f>H16+H17</f>
        <v/>
      </c>
      <c r="I15" s="5">
        <f>I16+I17</f>
        <v/>
      </c>
      <c r="K15" t="inlineStr">
        <is>
          <t>是</t>
        </is>
      </c>
      <c r="M15" t="inlineStr">
        <is>
          <t>05.02</t>
        </is>
      </c>
    </row>
    <row r="16">
      <c r="A16" s="1" t="inlineStr">
        <is>
          <t>三级</t>
        </is>
      </c>
      <c r="B16" s="1" t="inlineStr">
        <is>
          <t>支出</t>
        </is>
      </c>
      <c r="C16" s="9" t="inlineStr">
        <is>
          <t>C01.05.02.01</t>
        </is>
      </c>
      <c r="D16" s="1" t="inlineStr">
        <is>
          <t xml:space="preserve">    营销费用</t>
        </is>
      </c>
      <c r="K16" t="inlineStr">
        <is>
          <t>是</t>
        </is>
      </c>
      <c r="M16" t="inlineStr">
        <is>
          <t>05.02.01</t>
        </is>
      </c>
      <c r="P16" t="inlineStr">
        <is>
          <t>SUM</t>
        </is>
      </c>
    </row>
    <row r="17">
      <c r="A17" s="1" t="inlineStr">
        <is>
          <t>三级</t>
        </is>
      </c>
      <c r="B17" s="1" t="inlineStr">
        <is>
          <t>支出</t>
        </is>
      </c>
      <c r="C17" s="9" t="inlineStr">
        <is>
          <t>C01.05.02.02</t>
        </is>
      </c>
      <c r="D17" s="1" t="inlineStr">
        <is>
          <t xml:space="preserve">    运营费用</t>
        </is>
      </c>
      <c r="K17" t="inlineStr">
        <is>
          <t>是</t>
        </is>
      </c>
      <c r="M17" t="inlineStr">
        <is>
          <t>05.02.02</t>
        </is>
      </c>
      <c r="P17" t="inlineStr">
        <is>
          <t>SUM</t>
        </is>
      </c>
    </row>
    <row r="18">
      <c r="A18" s="1" t="inlineStr">
        <is>
          <t>二级</t>
        </is>
      </c>
      <c r="B18" s="1" t="inlineStr">
        <is>
          <t>支出</t>
        </is>
      </c>
      <c r="C18" s="8" t="inlineStr">
        <is>
          <t>C01.05.03</t>
        </is>
      </c>
      <c r="D18" s="1" t="inlineStr">
        <is>
          <t xml:space="preserve">  IT费用</t>
        </is>
      </c>
      <c r="F18" t="inlineStr">
        <is>
          <t>C01.90.03.01+C01.90.03.02+C01.90.03.03+C01.90.03.04</t>
        </is>
      </c>
      <c r="H18" s="5">
        <f>H19+H22+H23+H24</f>
        <v/>
      </c>
      <c r="I18" s="5">
        <f>I19+I22+I23+I24</f>
        <v/>
      </c>
      <c r="K18" t="inlineStr">
        <is>
          <t>是</t>
        </is>
      </c>
      <c r="M18" t="inlineStr">
        <is>
          <t>05.03</t>
        </is>
      </c>
    </row>
    <row r="19">
      <c r="A19" s="1" t="inlineStr">
        <is>
          <t>三级</t>
        </is>
      </c>
      <c r="B19" s="1" t="inlineStr">
        <is>
          <t>支出</t>
        </is>
      </c>
      <c r="C19" s="9" t="inlineStr">
        <is>
          <t>C01.05.03.01</t>
        </is>
      </c>
      <c r="D19" s="1" t="inlineStr">
        <is>
          <t xml:space="preserve">    IT人力</t>
        </is>
      </c>
      <c r="F19" t="inlineStr">
        <is>
          <t>C01.90.03.01.01+C01.90.03.01.02</t>
        </is>
      </c>
      <c r="H19" s="5">
        <f>H20+H21</f>
        <v/>
      </c>
      <c r="I19" s="5">
        <f>I20+I21</f>
        <v/>
      </c>
      <c r="K19" t="inlineStr">
        <is>
          <t>是</t>
        </is>
      </c>
      <c r="M19" t="inlineStr">
        <is>
          <t>05.03.01</t>
        </is>
      </c>
    </row>
    <row r="20">
      <c r="A20" s="1" t="inlineStr">
        <is>
          <t>四级</t>
        </is>
      </c>
      <c r="B20" s="1" t="inlineStr">
        <is>
          <t>支出</t>
        </is>
      </c>
      <c r="C20" s="9" t="inlineStr">
        <is>
          <t>C01.05.03.01.01</t>
        </is>
      </c>
      <c r="D20" s="1" t="inlineStr">
        <is>
          <t xml:space="preserve">      IT常规人力</t>
        </is>
      </c>
      <c r="K20" t="inlineStr">
        <is>
          <t>是</t>
        </is>
      </c>
      <c r="M20" t="inlineStr">
        <is>
          <t>05.03.01.01</t>
        </is>
      </c>
      <c r="P20" t="inlineStr">
        <is>
          <t>SUM</t>
        </is>
      </c>
    </row>
    <row r="21">
      <c r="A21" s="1" t="inlineStr">
        <is>
          <t>四级</t>
        </is>
      </c>
      <c r="B21" s="1" t="inlineStr">
        <is>
          <t>支出</t>
        </is>
      </c>
      <c r="C21" s="9" t="inlineStr">
        <is>
          <t>C01.05.03.01.02</t>
        </is>
      </c>
      <c r="D21" s="1" t="inlineStr">
        <is>
          <t xml:space="preserve">      IT特别人力</t>
        </is>
      </c>
      <c r="K21" t="inlineStr">
        <is>
          <t>是</t>
        </is>
      </c>
      <c r="M21" t="inlineStr">
        <is>
          <t>05.03.01.02</t>
        </is>
      </c>
      <c r="P21" t="inlineStr">
        <is>
          <t>SUM</t>
        </is>
      </c>
    </row>
    <row r="22">
      <c r="A22" s="1" t="inlineStr">
        <is>
          <t>三级</t>
        </is>
      </c>
      <c r="B22" s="1" t="inlineStr">
        <is>
          <t>支出</t>
        </is>
      </c>
      <c r="C22" s="9" t="inlineStr">
        <is>
          <t>C01.05.03.02</t>
        </is>
      </c>
      <c r="D22" s="1" t="inlineStr">
        <is>
          <t xml:space="preserve">    科技费用</t>
        </is>
      </c>
      <c r="K22" t="inlineStr">
        <is>
          <t>是</t>
        </is>
      </c>
      <c r="M22" t="inlineStr">
        <is>
          <t>05.03.02</t>
        </is>
      </c>
      <c r="P22" t="inlineStr">
        <is>
          <t>SUM</t>
        </is>
      </c>
    </row>
    <row r="23">
      <c r="A23" s="1" t="inlineStr">
        <is>
          <t>三级</t>
        </is>
      </c>
      <c r="B23" s="1" t="inlineStr">
        <is>
          <t>支出</t>
        </is>
      </c>
      <c r="C23" s="9" t="inlineStr">
        <is>
          <t>C01.05.03.03</t>
        </is>
      </c>
      <c r="D23" s="1" t="inlineStr">
        <is>
          <t xml:space="preserve">    IT职场</t>
        </is>
      </c>
      <c r="K23" t="inlineStr">
        <is>
          <t>是</t>
        </is>
      </c>
      <c r="M23" t="inlineStr">
        <is>
          <t>05.03.03</t>
        </is>
      </c>
      <c r="P23" t="inlineStr">
        <is>
          <t>SUM</t>
        </is>
      </c>
    </row>
    <row r="24">
      <c r="A24" s="1" t="inlineStr">
        <is>
          <t>三级</t>
        </is>
      </c>
      <c r="B24" s="1" t="inlineStr">
        <is>
          <t>支出</t>
        </is>
      </c>
      <c r="C24" s="9" t="inlineStr">
        <is>
          <t>C01.05.03.04</t>
        </is>
      </c>
      <c r="D24" s="1" t="inlineStr">
        <is>
          <t xml:space="preserve">    IT日常</t>
        </is>
      </c>
      <c r="K24" t="inlineStr">
        <is>
          <t>是</t>
        </is>
      </c>
      <c r="M24" t="inlineStr">
        <is>
          <t>05.03.04</t>
        </is>
      </c>
      <c r="P24" t="inlineStr">
        <is>
          <t>SUM</t>
        </is>
      </c>
    </row>
    <row r="25">
      <c r="A25" s="1" t="inlineStr">
        <is>
          <t>二级</t>
        </is>
      </c>
      <c r="B25" s="1" t="inlineStr">
        <is>
          <t>支出</t>
        </is>
      </c>
      <c r="C25" s="8" t="inlineStr">
        <is>
          <t>C01.05.04</t>
        </is>
      </c>
      <c r="D25" s="1" t="inlineStr">
        <is>
          <t xml:space="preserve">  职场费用</t>
        </is>
      </c>
      <c r="K25" t="inlineStr">
        <is>
          <t>是</t>
        </is>
      </c>
      <c r="M25" t="inlineStr">
        <is>
          <t>05.04</t>
        </is>
      </c>
      <c r="P25" t="inlineStr">
        <is>
          <t>SUM</t>
        </is>
      </c>
    </row>
    <row r="26">
      <c r="A26" s="1" t="inlineStr">
        <is>
          <t>二级</t>
        </is>
      </c>
      <c r="B26" s="1" t="inlineStr">
        <is>
          <t>支出</t>
        </is>
      </c>
      <c r="C26" s="8" t="inlineStr">
        <is>
          <t>C01.05.05</t>
        </is>
      </c>
      <c r="D26" s="1" t="inlineStr">
        <is>
          <t xml:space="preserve">  日常费用</t>
        </is>
      </c>
      <c r="K26" t="inlineStr">
        <is>
          <t>是</t>
        </is>
      </c>
      <c r="M26" t="inlineStr">
        <is>
          <t>05.05</t>
        </is>
      </c>
      <c r="P26" t="inlineStr">
        <is>
          <t>SUM</t>
        </is>
      </c>
    </row>
    <row r="27">
      <c r="A27" s="7" t="inlineStr">
        <is>
          <t>一级</t>
        </is>
      </c>
      <c r="B27" s="1" t="inlineStr">
        <is>
          <t>收入</t>
        </is>
      </c>
      <c r="C27" s="8" t="inlineStr">
        <is>
          <t>C01.06</t>
        </is>
      </c>
      <c r="D27" s="7" t="inlineStr">
        <is>
          <t>加：营业外净收入</t>
        </is>
      </c>
      <c r="M27" t="inlineStr">
        <is>
          <t>06</t>
        </is>
      </c>
      <c r="P27" t="inlineStr">
        <is>
          <t>SUM</t>
        </is>
      </c>
    </row>
    <row r="28">
      <c r="A28" s="7" t="inlineStr">
        <is>
          <t>一级</t>
        </is>
      </c>
      <c r="B28" s="1" t="inlineStr">
        <is>
          <t>利润</t>
        </is>
      </c>
      <c r="C28" s="8" t="inlineStr">
        <is>
          <t>C01.07</t>
        </is>
      </c>
      <c r="D28" s="7" t="inlineStr">
        <is>
          <t>分摊前利润</t>
        </is>
      </c>
      <c r="F28" t="inlineStr">
        <is>
          <t>C01.03-C01.04-C01.90+C01.06</t>
        </is>
      </c>
      <c r="H28" s="5">
        <f>H9-H10-H11+H27</f>
        <v/>
      </c>
      <c r="I28" s="5">
        <f>I9-I10-I11+I27</f>
        <v/>
      </c>
      <c r="M28" t="inlineStr">
        <is>
          <t>07</t>
        </is>
      </c>
    </row>
    <row r="29">
      <c r="A29" s="7" t="inlineStr">
        <is>
          <t>一级</t>
        </is>
      </c>
      <c r="B29" s="1" t="inlineStr">
        <is>
          <t>支出</t>
        </is>
      </c>
      <c r="C29" s="8" t="inlineStr">
        <is>
          <t>C01.08</t>
        </is>
      </c>
      <c r="D29" s="7" t="inlineStr">
        <is>
          <t>减：固定管理费</t>
        </is>
      </c>
      <c r="M29" t="inlineStr">
        <is>
          <t>08</t>
        </is>
      </c>
      <c r="P29" t="inlineStr">
        <is>
          <t>SUM</t>
        </is>
      </c>
    </row>
    <row r="30">
      <c r="A30" s="7" t="inlineStr">
        <is>
          <t>一级</t>
        </is>
      </c>
      <c r="B30" s="1" t="inlineStr">
        <is>
          <t>利润</t>
        </is>
      </c>
      <c r="C30" s="8" t="inlineStr">
        <is>
          <t>C01.09</t>
        </is>
      </c>
      <c r="D30" s="7" t="inlineStr">
        <is>
          <t>税前利润</t>
        </is>
      </c>
      <c r="F30" t="inlineStr">
        <is>
          <t>C01.07-C01.08</t>
        </is>
      </c>
      <c r="H30" s="5">
        <f>H28-H29</f>
        <v/>
      </c>
      <c r="I30" s="5">
        <f>I28-I29</f>
        <v/>
      </c>
      <c r="M30" t="inlineStr">
        <is>
          <t>09</t>
        </is>
      </c>
    </row>
    <row r="31">
      <c r="A31" s="10" t="n"/>
      <c r="B31" s="10" t="n"/>
      <c r="C31" s="10" t="n"/>
      <c r="D31" s="10" t="n"/>
    </row>
    <row r="32">
      <c r="A32" s="7" t="inlineStr">
        <is>
          <t>一级</t>
        </is>
      </c>
      <c r="B32" s="1" t="inlineStr">
        <is>
          <t>负债余额</t>
        </is>
      </c>
      <c r="C32" s="11" t="inlineStr">
        <is>
          <t>C01.12</t>
        </is>
      </c>
      <c r="D32" s="11" t="inlineStr">
        <is>
          <t>管理资产余额</t>
        </is>
      </c>
      <c r="F32" t="inlineStr">
        <is>
          <t>C01.12.01</t>
        </is>
      </c>
      <c r="H32" s="5">
        <f>H33</f>
        <v/>
      </c>
      <c r="I32" s="5">
        <f>I33</f>
        <v/>
      </c>
      <c r="M32" t="inlineStr">
        <is>
          <t>12</t>
        </is>
      </c>
    </row>
    <row r="33">
      <c r="A33" s="7" t="inlineStr">
        <is>
          <t>二级</t>
        </is>
      </c>
      <c r="B33" s="1" t="inlineStr">
        <is>
          <t>负债余额</t>
        </is>
      </c>
      <c r="C33" s="11" t="inlineStr">
        <is>
          <t>C01.12.01</t>
        </is>
      </c>
      <c r="D33" s="11" t="inlineStr">
        <is>
          <t xml:space="preserve">  存款余额</t>
        </is>
      </c>
      <c r="M33" t="inlineStr">
        <is>
          <t>12.01</t>
        </is>
      </c>
      <c r="P33" t="inlineStr">
        <is>
          <t>LAST</t>
        </is>
      </c>
    </row>
    <row r="34">
      <c r="A34" s="7" t="inlineStr">
        <is>
          <t>一级</t>
        </is>
      </c>
      <c r="B34" s="1" t="inlineStr">
        <is>
          <t>负债日均</t>
        </is>
      </c>
      <c r="C34" s="11" t="inlineStr">
        <is>
          <t>C01.13</t>
        </is>
      </c>
      <c r="D34" s="11" t="inlineStr">
        <is>
          <t>管理资产日均</t>
        </is>
      </c>
      <c r="F34" t="inlineStr">
        <is>
          <t>C01.13.01</t>
        </is>
      </c>
      <c r="H34" s="5">
        <f>H35</f>
        <v/>
      </c>
      <c r="I34" s="5">
        <f>I35</f>
        <v/>
      </c>
      <c r="M34" t="inlineStr">
        <is>
          <t>13</t>
        </is>
      </c>
    </row>
    <row r="35">
      <c r="A35" s="7" t="inlineStr">
        <is>
          <t>二级</t>
        </is>
      </c>
      <c r="B35" s="1" t="inlineStr">
        <is>
          <t>负债日均</t>
        </is>
      </c>
      <c r="C35" s="11" t="inlineStr">
        <is>
          <t>C01.13.01</t>
        </is>
      </c>
      <c r="D35" s="11" t="inlineStr">
        <is>
          <t xml:space="preserve">  存款日均</t>
        </is>
      </c>
      <c r="M35" t="inlineStr">
        <is>
          <t>13.01</t>
        </is>
      </c>
      <c r="P35" t="inlineStr">
        <is>
          <t>AVG</t>
        </is>
      </c>
    </row>
    <row r="36">
      <c r="A36" s="10" t="n"/>
      <c r="B36" s="10" t="n"/>
      <c r="C36" s="10" t="n"/>
      <c r="D36" s="10" t="n"/>
    </row>
    <row r="37">
      <c r="A37" s="11" t="inlineStr">
        <is>
          <t>一级</t>
        </is>
      </c>
      <c r="B37" s="11" t="inlineStr">
        <is>
          <t>支出</t>
        </is>
      </c>
      <c r="C37" s="11" t="inlineStr">
        <is>
          <t>C01.16</t>
        </is>
      </c>
      <c r="D37" s="11" t="inlineStr">
        <is>
          <t>利息支出</t>
        </is>
      </c>
      <c r="F37" t="inlineStr">
        <is>
          <t>C01.16.01</t>
        </is>
      </c>
      <c r="H37" s="5">
        <f>H38</f>
        <v/>
      </c>
      <c r="I37" s="5">
        <f>I38</f>
        <v/>
      </c>
      <c r="M37" t="inlineStr">
        <is>
          <t>16</t>
        </is>
      </c>
    </row>
    <row r="38">
      <c r="A38" s="11" t="inlineStr">
        <is>
          <t>二级</t>
        </is>
      </c>
      <c r="B38" s="11" t="inlineStr">
        <is>
          <t>支出</t>
        </is>
      </c>
      <c r="C38" s="11" t="inlineStr">
        <is>
          <t>C01.16.01</t>
        </is>
      </c>
      <c r="D38" s="11" t="inlineStr">
        <is>
          <t xml:space="preserve">  存款利息支出</t>
        </is>
      </c>
      <c r="F38" t="inlineStr">
        <is>
          <t>C01.16.01.01</t>
        </is>
      </c>
      <c r="I38" s="5">
        <f>I35*I39</f>
        <v/>
      </c>
      <c r="J38" s="5" t="inlineStr">
        <is>
          <t>收支月化指标</t>
        </is>
      </c>
      <c r="M38" t="inlineStr">
        <is>
          <t>16.01</t>
        </is>
      </c>
    </row>
    <row r="39">
      <c r="A39" s="10" t="inlineStr">
        <is>
          <t>三级</t>
        </is>
      </c>
      <c r="B39" s="10" t="inlineStr">
        <is>
          <t>其他</t>
        </is>
      </c>
      <c r="C39" s="10" t="inlineStr">
        <is>
          <t>C01.16.01.01</t>
        </is>
      </c>
      <c r="D39" s="10" t="inlineStr">
        <is>
          <t xml:space="preserve">    存款付息率</t>
        </is>
      </c>
      <c r="H39" s="5">
        <f>H38/H35</f>
        <v/>
      </c>
      <c r="J39" s="5" t="inlineStr">
        <is>
          <t>率年化指标</t>
        </is>
      </c>
      <c r="M39" t="inlineStr">
        <is>
          <t>16.01.01</t>
        </is>
      </c>
      <c r="P39" t="inlineStr">
        <is>
          <t>WGT</t>
        </is>
      </c>
    </row>
    <row r="40">
      <c r="A40" s="10" t="n"/>
      <c r="B40" s="10" t="n"/>
      <c r="C40" s="10" t="n"/>
      <c r="D40" s="10" t="n"/>
    </row>
    <row r="41">
      <c r="A41" s="11" t="inlineStr">
        <is>
          <t>一级</t>
        </is>
      </c>
      <c r="B41" s="11" t="inlineStr">
        <is>
          <t>收入</t>
        </is>
      </c>
      <c r="C41" s="11" t="inlineStr">
        <is>
          <t>C01.17</t>
        </is>
      </c>
      <c r="D41" s="11" t="inlineStr">
        <is>
          <t>FTP收入</t>
        </is>
      </c>
      <c r="F41" t="inlineStr">
        <is>
          <t>C01.17.01</t>
        </is>
      </c>
      <c r="H41" s="5">
        <f>H42</f>
        <v/>
      </c>
      <c r="I41" s="5">
        <f>I42</f>
        <v/>
      </c>
      <c r="M41" t="inlineStr">
        <is>
          <t>17</t>
        </is>
      </c>
    </row>
    <row r="42">
      <c r="A42" s="11" t="inlineStr">
        <is>
          <t>二级</t>
        </is>
      </c>
      <c r="B42" s="11" t="inlineStr">
        <is>
          <t>收入</t>
        </is>
      </c>
      <c r="C42" s="11" t="inlineStr">
        <is>
          <t>C01.17.01</t>
        </is>
      </c>
      <c r="D42" s="11" t="inlineStr">
        <is>
          <t xml:space="preserve">  存款FTP收入</t>
        </is>
      </c>
      <c r="F42" t="inlineStr">
        <is>
          <t>C01.17.01.01</t>
        </is>
      </c>
      <c r="I42" s="5">
        <f>I35*I43</f>
        <v/>
      </c>
      <c r="J42" s="5" t="inlineStr">
        <is>
          <t>收支月化指标</t>
        </is>
      </c>
      <c r="M42" t="inlineStr">
        <is>
          <t>17.01</t>
        </is>
      </c>
    </row>
    <row r="43">
      <c r="A43" s="10" t="inlineStr">
        <is>
          <t>三级</t>
        </is>
      </c>
      <c r="B43" s="10" t="inlineStr">
        <is>
          <t>其他</t>
        </is>
      </c>
      <c r="C43" s="10" t="inlineStr">
        <is>
          <t>C01.17.01.01</t>
        </is>
      </c>
      <c r="D43" s="10" t="inlineStr">
        <is>
          <t xml:space="preserve">    存款FTP</t>
        </is>
      </c>
      <c r="H43" s="5">
        <f>H42/H35</f>
        <v/>
      </c>
      <c r="J43" s="5" t="inlineStr">
        <is>
          <t>率年化指标</t>
        </is>
      </c>
      <c r="M43" t="inlineStr">
        <is>
          <t>17.01.01</t>
        </is>
      </c>
      <c r="P43" t="inlineStr">
        <is>
          <t>WGT</t>
        </is>
      </c>
    </row>
    <row r="44">
      <c r="A44" s="10" t="n"/>
      <c r="B44" s="10" t="n"/>
      <c r="C44" s="10" t="n"/>
      <c r="D44" s="10" t="n"/>
    </row>
    <row r="45">
      <c r="A45" s="11" t="inlineStr">
        <is>
          <t>一级</t>
        </is>
      </c>
      <c r="B45" s="11" t="inlineStr">
        <is>
          <t>收入</t>
        </is>
      </c>
      <c r="C45" s="8" t="inlineStr">
        <is>
          <t>C01.18</t>
        </is>
      </c>
      <c r="D45" s="11" t="inlineStr">
        <is>
          <t>手续费收入</t>
        </is>
      </c>
      <c r="F45" t="inlineStr">
        <is>
          <t>C01.18.99</t>
        </is>
      </c>
      <c r="H45" s="5">
        <f>H46</f>
        <v/>
      </c>
      <c r="I45" s="5">
        <f>I46</f>
        <v/>
      </c>
      <c r="M45" t="inlineStr">
        <is>
          <t>18</t>
        </is>
      </c>
    </row>
    <row r="46">
      <c r="A46" s="11" t="inlineStr">
        <is>
          <t>二级</t>
        </is>
      </c>
      <c r="B46" s="11" t="inlineStr">
        <is>
          <t>收入</t>
        </is>
      </c>
      <c r="C46" s="8" t="inlineStr">
        <is>
          <t>C01.18.99</t>
        </is>
      </c>
      <c r="D46" s="11" t="inlineStr">
        <is>
          <t xml:space="preserve">  手续费收入</t>
        </is>
      </c>
      <c r="M46" t="inlineStr">
        <is>
          <t>18.99</t>
        </is>
      </c>
      <c r="P46" t="inlineStr">
        <is>
          <t>SUM</t>
        </is>
      </c>
    </row>
    <row r="47">
      <c r="A47" s="1" t="n"/>
      <c r="B47" s="1" t="n"/>
      <c r="C47" s="9" t="n"/>
      <c r="D47" s="1" t="n"/>
    </row>
    <row r="48">
      <c r="A48" s="11" t="inlineStr">
        <is>
          <t>一级</t>
        </is>
      </c>
      <c r="B48" s="11" t="inlineStr">
        <is>
          <t>支出</t>
        </is>
      </c>
      <c r="C48" s="8" t="inlineStr">
        <is>
          <t>C01.19</t>
        </is>
      </c>
      <c r="D48" s="11" t="inlineStr">
        <is>
          <t>手续费支出</t>
        </is>
      </c>
      <c r="F48" t="inlineStr">
        <is>
          <t>C01.19.99</t>
        </is>
      </c>
      <c r="H48" s="5">
        <f>H49</f>
        <v/>
      </c>
      <c r="I48" s="5">
        <f>I49</f>
        <v/>
      </c>
      <c r="M48" t="inlineStr">
        <is>
          <t>19</t>
        </is>
      </c>
    </row>
    <row r="49">
      <c r="A49" s="11" t="inlineStr">
        <is>
          <t>二级</t>
        </is>
      </c>
      <c r="B49" s="11" t="inlineStr">
        <is>
          <t>支出</t>
        </is>
      </c>
      <c r="C49" s="8" t="inlineStr">
        <is>
          <t>C01.19.99</t>
        </is>
      </c>
      <c r="D49" s="11" t="inlineStr">
        <is>
          <t xml:space="preserve">  手续费支出</t>
        </is>
      </c>
      <c r="M49" t="inlineStr">
        <is>
          <t>19.99</t>
        </is>
      </c>
      <c r="P49" t="inlineStr">
        <is>
          <t>SUM</t>
        </is>
      </c>
    </row>
    <row r="50">
      <c r="A50" s="10" t="n"/>
      <c r="B50" s="10" t="n"/>
      <c r="C50" s="10" t="n"/>
      <c r="D50" s="10" t="n"/>
    </row>
    <row r="51">
      <c r="A51" s="11" t="inlineStr">
        <is>
          <t>一级</t>
        </is>
      </c>
      <c r="B51" s="11" t="inlineStr">
        <is>
          <t>收入</t>
        </is>
      </c>
      <c r="C51" s="11" t="inlineStr">
        <is>
          <t>C01.20</t>
        </is>
      </c>
      <c r="D51" s="11" t="inlineStr">
        <is>
          <t>其他外部营收</t>
        </is>
      </c>
      <c r="M51" t="inlineStr">
        <is>
          <t>20</t>
        </is>
      </c>
      <c r="P51" t="inlineStr">
        <is>
          <t>SUM</t>
        </is>
      </c>
    </row>
    <row r="52">
      <c r="A52" s="10" t="n"/>
      <c r="B52" s="10" t="n"/>
      <c r="C52" s="10" t="n"/>
      <c r="D52" s="10" t="n"/>
    </row>
    <row r="53">
      <c r="A53" s="11" t="inlineStr">
        <is>
          <t>一级</t>
        </is>
      </c>
      <c r="B53" s="11" t="inlineStr">
        <is>
          <t>收入</t>
        </is>
      </c>
      <c r="C53" s="11" t="inlineStr">
        <is>
          <t>C01.21</t>
        </is>
      </c>
      <c r="D53" s="11" t="inlineStr">
        <is>
          <t>内部营业净收入</t>
        </is>
      </c>
      <c r="M53" t="inlineStr">
        <is>
          <t>21</t>
        </is>
      </c>
      <c r="P53" t="inlineStr">
        <is>
          <t>SUM</t>
        </is>
      </c>
    </row>
    <row r="54"/>
    <row r="55">
      <c r="A55" t="inlineStr">
        <is>
          <t>层级</t>
        </is>
      </c>
      <c r="B55" t="inlineStr">
        <is>
          <t>性质</t>
        </is>
      </c>
      <c r="C55" t="inlineStr">
        <is>
          <t>科目代码</t>
        </is>
      </c>
      <c r="D55" t="inlineStr">
        <is>
          <t>科目名称</t>
        </is>
      </c>
      <c r="E55" t="inlineStr">
        <is>
          <t>录入粒度</t>
        </is>
      </c>
      <c r="F55" t="inlineStr">
        <is>
          <t>年预算公式</t>
        </is>
      </c>
      <c r="J55" t="inlineStr">
        <is>
          <t>公式说明</t>
        </is>
      </c>
      <c r="K55" t="inlineStr">
        <is>
          <t>横向汇总</t>
        </is>
      </c>
    </row>
    <row r="56">
      <c r="A56" t="inlineStr">
        <is>
          <t>一级</t>
        </is>
      </c>
      <c r="B56" t="inlineStr">
        <is>
          <t>支出</t>
        </is>
      </c>
      <c r="C56" t="inlineStr">
        <is>
          <t>C01.90</t>
        </is>
      </c>
      <c r="D56" t="inlineStr">
        <is>
          <t>减:业务及管理费</t>
        </is>
      </c>
      <c r="F56" t="inlineStr">
        <is>
          <t>C01.90.01+C01.90.03</t>
        </is>
      </c>
      <c r="K56" t="inlineStr">
        <is>
          <t>是</t>
        </is>
      </c>
      <c r="M56" t="inlineStr">
        <is>
          <t>05</t>
        </is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C01.90.01</t>
        </is>
      </c>
      <c r="D57" t="inlineStr">
        <is>
          <t>直接费用</t>
        </is>
      </c>
      <c r="F57" t="inlineStr">
        <is>
          <t>C01.90.01.01+C01.90.01.02</t>
        </is>
      </c>
      <c r="K57" t="inlineStr">
        <is>
          <t>是</t>
        </is>
      </c>
      <c r="M57" t="inlineStr">
        <is>
          <t>05.01</t>
        </is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C01.90.01.01</t>
        </is>
      </c>
      <c r="D58" t="inlineStr">
        <is>
          <t>直接费用</t>
        </is>
      </c>
      <c r="F58" t="inlineStr">
        <is>
          <t>C01.90.01.01.01+C01.90.01.01.02+C01.90.01.01.03+C01.90.01.01.04.001+C01.90.01.01.05.001</t>
        </is>
      </c>
      <c r="K58" t="inlineStr">
        <is>
          <t>是</t>
        </is>
      </c>
      <c r="M58" t="inlineStr">
        <is>
          <t>05.01.01</t>
        </is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C01.90.01.01.01</t>
        </is>
      </c>
      <c r="D59" t="inlineStr">
        <is>
          <t>人力（不含IT)</t>
        </is>
      </c>
      <c r="F59" t="inlineStr">
        <is>
          <t>C01.90.01.01.01.001+C01.90.01.01.01.002</t>
        </is>
      </c>
      <c r="K59" t="inlineStr">
        <is>
          <t>是</t>
        </is>
      </c>
      <c r="M59" t="inlineStr">
        <is>
          <t>05.01.01.01</t>
        </is>
      </c>
    </row>
    <row r="60">
      <c r="A60" t="inlineStr">
        <is>
          <t>五级</t>
        </is>
      </c>
      <c r="B60" t="inlineStr">
        <is>
          <t>支出</t>
        </is>
      </c>
      <c r="C60" t="inlineStr">
        <is>
          <t>C01.90.01.01.01.001</t>
        </is>
      </c>
      <c r="D60" t="inlineStr">
        <is>
          <t>业务人力</t>
        </is>
      </c>
      <c r="K60" t="inlineStr">
        <is>
          <t>是</t>
        </is>
      </c>
      <c r="M60" t="inlineStr">
        <is>
          <t>05.01.01.01.001</t>
        </is>
      </c>
      <c r="N60" t="inlineStr">
        <is>
          <t>SUM</t>
        </is>
      </c>
    </row>
    <row r="61">
      <c r="A61" t="inlineStr">
        <is>
          <t>五级</t>
        </is>
      </c>
      <c r="B61" t="inlineStr">
        <is>
          <t>支出</t>
        </is>
      </c>
      <c r="C61" t="inlineStr">
        <is>
          <t>C01.90.01.01.01.002</t>
        </is>
      </c>
      <c r="D61" t="inlineStr">
        <is>
          <t>特别人力</t>
        </is>
      </c>
      <c r="K61" t="inlineStr">
        <is>
          <t>是</t>
        </is>
      </c>
      <c r="M61" t="inlineStr">
        <is>
          <t>05.01.01.01.002</t>
        </is>
      </c>
      <c r="N61" t="inlineStr">
        <is>
          <t>SUM</t>
        </is>
      </c>
    </row>
    <row r="62">
      <c r="A62" t="inlineStr">
        <is>
          <t>四级</t>
        </is>
      </c>
      <c r="B62" t="inlineStr">
        <is>
          <t>支出</t>
        </is>
      </c>
      <c r="C62" t="inlineStr">
        <is>
          <t>C01.90.01.01.02</t>
        </is>
      </c>
      <c r="D62" t="inlineStr">
        <is>
          <t>业务费用</t>
        </is>
      </c>
      <c r="F62" t="inlineStr">
        <is>
          <t>C01.90.01.01.02.001+C01.90.01.01.02.002</t>
        </is>
      </c>
      <c r="K62" t="inlineStr">
        <is>
          <t>是</t>
        </is>
      </c>
      <c r="M62" t="inlineStr">
        <is>
          <t>05.01.01.02</t>
        </is>
      </c>
    </row>
    <row r="63">
      <c r="A63" t="inlineStr">
        <is>
          <t>五级</t>
        </is>
      </c>
      <c r="B63" t="inlineStr">
        <is>
          <t>支出</t>
        </is>
      </c>
      <c r="C63" t="inlineStr">
        <is>
          <t>C01.90.01.01.02.001</t>
        </is>
      </c>
      <c r="D63" t="inlineStr">
        <is>
          <t>营销</t>
        </is>
      </c>
      <c r="K63" t="inlineStr">
        <is>
          <t>是</t>
        </is>
      </c>
      <c r="M63" t="inlineStr">
        <is>
          <t>05.01.01.02.001</t>
        </is>
      </c>
      <c r="N63" t="inlineStr">
        <is>
          <t>SUM</t>
        </is>
      </c>
    </row>
    <row r="64">
      <c r="A64" t="inlineStr">
        <is>
          <t>五级</t>
        </is>
      </c>
      <c r="B64" t="inlineStr">
        <is>
          <t>支出</t>
        </is>
      </c>
      <c r="C64" t="inlineStr">
        <is>
          <t>C01.90.01.01.02.002</t>
        </is>
      </c>
      <c r="D64" t="inlineStr">
        <is>
          <t>运营</t>
        </is>
      </c>
      <c r="K64" t="inlineStr">
        <is>
          <t>是</t>
        </is>
      </c>
      <c r="M64" t="inlineStr">
        <is>
          <t>05.01.01.02.002</t>
        </is>
      </c>
      <c r="N64" t="inlineStr">
        <is>
          <t>SUM</t>
        </is>
      </c>
    </row>
    <row r="65">
      <c r="A65" t="inlineStr">
        <is>
          <t>四级</t>
        </is>
      </c>
      <c r="B65" t="inlineStr">
        <is>
          <t>支出</t>
        </is>
      </c>
      <c r="C65" t="inlineStr">
        <is>
          <t>C01.90.01.01.03</t>
        </is>
      </c>
      <c r="D65" t="inlineStr">
        <is>
          <t>IT</t>
        </is>
      </c>
      <c r="F65" t="inlineStr">
        <is>
          <t>C01.90.01.01.03.01+C01.90.01.01.03.02.001+C01.90.01.01.03.03.001+C01.90.01.01.03.04.001</t>
        </is>
      </c>
      <c r="K65" t="inlineStr">
        <is>
          <t>是</t>
        </is>
      </c>
      <c r="M65" t="inlineStr">
        <is>
          <t>05.01.01.03</t>
        </is>
      </c>
    </row>
    <row r="66">
      <c r="A66" t="inlineStr">
        <is>
          <t>五级</t>
        </is>
      </c>
      <c r="B66" t="inlineStr">
        <is>
          <t>支出</t>
        </is>
      </c>
      <c r="C66" t="inlineStr">
        <is>
          <t>C01.90.01.01.03.01</t>
        </is>
      </c>
      <c r="D66" t="inlineStr">
        <is>
          <t>IT人力</t>
        </is>
      </c>
      <c r="F66" t="inlineStr">
        <is>
          <t>C01.90.01.01.03.01.001+C01.90.01.01.03.01.002</t>
        </is>
      </c>
      <c r="K66" t="inlineStr">
        <is>
          <t>是</t>
        </is>
      </c>
      <c r="M66" t="inlineStr">
        <is>
          <t>05.01.01.03.01</t>
        </is>
      </c>
    </row>
    <row r="67">
      <c r="A67" t="inlineStr">
        <is>
          <t>六级</t>
        </is>
      </c>
      <c r="B67" t="inlineStr">
        <is>
          <t>支出</t>
        </is>
      </c>
      <c r="C67" t="inlineStr">
        <is>
          <t>C01.90.01.01.03.01.001</t>
        </is>
      </c>
      <c r="D67" t="inlineStr">
        <is>
          <t>IT常规人力</t>
        </is>
      </c>
      <c r="K67" t="inlineStr">
        <is>
          <t>是</t>
        </is>
      </c>
      <c r="M67" t="inlineStr">
        <is>
          <t>05.01.01.03.01.001</t>
        </is>
      </c>
      <c r="N67" t="inlineStr">
        <is>
          <t>SUM</t>
        </is>
      </c>
    </row>
    <row r="68">
      <c r="A68" t="inlineStr">
        <is>
          <t>六级</t>
        </is>
      </c>
      <c r="B68" t="inlineStr">
        <is>
          <t>支出</t>
        </is>
      </c>
      <c r="C68" t="inlineStr">
        <is>
          <t>C01.90.01.01.03.01.002</t>
        </is>
      </c>
      <c r="D68" t="inlineStr">
        <is>
          <t>IT特别人力</t>
        </is>
      </c>
      <c r="K68" t="inlineStr">
        <is>
          <t>是</t>
        </is>
      </c>
      <c r="M68" t="inlineStr">
        <is>
          <t>05.01.01.03.01.002</t>
        </is>
      </c>
      <c r="N68" t="inlineStr">
        <is>
          <t>SUM</t>
        </is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C01.90.01.01.03.02</t>
        </is>
      </c>
      <c r="D69" t="inlineStr">
        <is>
          <t>科技</t>
        </is>
      </c>
      <c r="K69" t="inlineStr">
        <is>
          <t>是</t>
        </is>
      </c>
      <c r="M69" t="inlineStr">
        <is>
          <t>05.01.01.03.02</t>
        </is>
      </c>
      <c r="N69" t="inlineStr">
        <is>
          <t>SUM</t>
        </is>
      </c>
    </row>
    <row r="70">
      <c r="A70" t="inlineStr">
        <is>
          <t>五级</t>
        </is>
      </c>
      <c r="B70" t="inlineStr">
        <is>
          <t>支出</t>
        </is>
      </c>
      <c r="C70" t="inlineStr">
        <is>
          <t>C01.90.01.01.03.03</t>
        </is>
      </c>
      <c r="D70" t="inlineStr">
        <is>
          <t>IT职场</t>
        </is>
      </c>
      <c r="K70" t="inlineStr">
        <is>
          <t>是</t>
        </is>
      </c>
      <c r="M70" t="inlineStr">
        <is>
          <t>05.01.01.03.03</t>
        </is>
      </c>
      <c r="N70" t="inlineStr">
        <is>
          <t>SUM</t>
        </is>
      </c>
    </row>
    <row r="71">
      <c r="A71" t="inlineStr">
        <is>
          <t>五级</t>
        </is>
      </c>
      <c r="B71" t="inlineStr">
        <is>
          <t>支出</t>
        </is>
      </c>
      <c r="C71" t="inlineStr">
        <is>
          <t>C01.90.01.01.03.04</t>
        </is>
      </c>
      <c r="D71" t="inlineStr">
        <is>
          <t>IT日常</t>
        </is>
      </c>
      <c r="K71" t="inlineStr">
        <is>
          <t>是</t>
        </is>
      </c>
      <c r="M71" t="inlineStr">
        <is>
          <t>05.01.01.03.04</t>
        </is>
      </c>
      <c r="N71" t="inlineStr">
        <is>
          <t>SUM</t>
        </is>
      </c>
    </row>
    <row r="72">
      <c r="A72" t="inlineStr">
        <is>
          <t>四级</t>
        </is>
      </c>
      <c r="B72" t="inlineStr">
        <is>
          <t>支出</t>
        </is>
      </c>
      <c r="C72" t="inlineStr">
        <is>
          <t>C01.90.01.01.04</t>
        </is>
      </c>
      <c r="D72" t="inlineStr">
        <is>
          <t>AA.05.01.01.04</t>
        </is>
      </c>
      <c r="F72" t="inlineStr">
        <is>
          <t>C01.90.01.01.04.001</t>
        </is>
      </c>
      <c r="K72" t="inlineStr">
        <is>
          <t>是</t>
        </is>
      </c>
      <c r="M72" t="inlineStr">
        <is>
          <t>05.01.01.04</t>
        </is>
      </c>
      <c r="N72" t="inlineStr">
        <is>
          <t>SUM</t>
        </is>
      </c>
    </row>
    <row r="73">
      <c r="A73" t="inlineStr">
        <is>
          <t>五级</t>
        </is>
      </c>
      <c r="B73" t="inlineStr">
        <is>
          <t>支出</t>
        </is>
      </c>
      <c r="C73" t="inlineStr">
        <is>
          <t>C01.90.01.01.04.001</t>
        </is>
      </c>
      <c r="D73" t="inlineStr">
        <is>
          <t>职场</t>
        </is>
      </c>
      <c r="K73" t="inlineStr">
        <is>
          <t>是</t>
        </is>
      </c>
      <c r="M73" t="inlineStr">
        <is>
          <t>05.01.01.04.001</t>
        </is>
      </c>
      <c r="N73" t="inlineStr">
        <is>
          <t>SUM</t>
        </is>
      </c>
    </row>
    <row r="74">
      <c r="A74" t="inlineStr">
        <is>
          <t>四级</t>
        </is>
      </c>
      <c r="B74" t="inlineStr">
        <is>
          <t>支出</t>
        </is>
      </c>
      <c r="C74" t="inlineStr">
        <is>
          <t>C01.90.01.01.05</t>
        </is>
      </c>
      <c r="D74" t="inlineStr">
        <is>
          <t>AA.05.01.01.05</t>
        </is>
      </c>
      <c r="F74" t="inlineStr">
        <is>
          <t>C01.90.01.01.05.001</t>
        </is>
      </c>
      <c r="K74" t="inlineStr">
        <is>
          <t>是</t>
        </is>
      </c>
      <c r="M74" t="inlineStr">
        <is>
          <t>05.01.01.05</t>
        </is>
      </c>
      <c r="N74" t="inlineStr">
        <is>
          <t>SUM</t>
        </is>
      </c>
    </row>
    <row r="75">
      <c r="A75" t="inlineStr">
        <is>
          <t>五级</t>
        </is>
      </c>
      <c r="B75" t="inlineStr">
        <is>
          <t>支出</t>
        </is>
      </c>
      <c r="C75" t="inlineStr">
        <is>
          <t>C01.90.01.01.05.001</t>
        </is>
      </c>
      <c r="D75" t="inlineStr">
        <is>
          <t>日常</t>
        </is>
      </c>
      <c r="K75" t="inlineStr">
        <is>
          <t>是</t>
        </is>
      </c>
      <c r="M75" t="inlineStr">
        <is>
          <t>05.01.01.05.001</t>
        </is>
      </c>
      <c r="N75" t="inlineStr">
        <is>
          <t>SUM</t>
        </is>
      </c>
    </row>
    <row r="76">
      <c r="A76" t="inlineStr">
        <is>
          <t>三级</t>
        </is>
      </c>
      <c r="B76" t="inlineStr">
        <is>
          <t>支出</t>
        </is>
      </c>
      <c r="C76" t="inlineStr">
        <is>
          <t>C01.90.01.02</t>
        </is>
      </c>
      <c r="D76" t="inlineStr">
        <is>
          <t>间接费用</t>
        </is>
      </c>
      <c r="F76" t="inlineStr">
        <is>
          <t>C01.90.01.02.01+C01.90.01.02.02+C01.90.01.02.03+C01.90.01.02.04.001+C01.90.01.02.05.001</t>
        </is>
      </c>
      <c r="K76" t="inlineStr">
        <is>
          <t>是</t>
        </is>
      </c>
      <c r="M76" t="inlineStr">
        <is>
          <t>05.01.02</t>
        </is>
      </c>
    </row>
    <row r="77">
      <c r="A77" t="inlineStr">
        <is>
          <t>四级</t>
        </is>
      </c>
      <c r="B77" t="inlineStr">
        <is>
          <t>支出</t>
        </is>
      </c>
      <c r="C77" t="inlineStr">
        <is>
          <t>C01.90.01.02.01</t>
        </is>
      </c>
      <c r="D77" t="inlineStr">
        <is>
          <t>人力（不含IT)</t>
        </is>
      </c>
      <c r="F77" t="inlineStr">
        <is>
          <t>C01.90.01.02.01.001+C01.90.01.02.01.002</t>
        </is>
      </c>
      <c r="K77" t="inlineStr">
        <is>
          <t>是</t>
        </is>
      </c>
      <c r="M77" t="inlineStr">
        <is>
          <t>05.01.02.01</t>
        </is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C01.90.01.02.01.001</t>
        </is>
      </c>
      <c r="D78" t="inlineStr">
        <is>
          <t>业务人力</t>
        </is>
      </c>
      <c r="K78" t="inlineStr">
        <is>
          <t>是</t>
        </is>
      </c>
      <c r="M78" t="inlineStr">
        <is>
          <t>05.01.02.01.001</t>
        </is>
      </c>
      <c r="N78" t="inlineStr">
        <is>
          <t>SUM</t>
        </is>
      </c>
    </row>
    <row r="79">
      <c r="A79" t="inlineStr">
        <is>
          <t>五级</t>
        </is>
      </c>
      <c r="B79" t="inlineStr">
        <is>
          <t>支出</t>
        </is>
      </c>
      <c r="C79" t="inlineStr">
        <is>
          <t>C01.90.01.02.01.002</t>
        </is>
      </c>
      <c r="D79" t="inlineStr">
        <is>
          <t>特别人力</t>
        </is>
      </c>
      <c r="K79" t="inlineStr">
        <is>
          <t>是</t>
        </is>
      </c>
      <c r="M79" t="inlineStr">
        <is>
          <t>05.01.02.01.002</t>
        </is>
      </c>
      <c r="N79" t="inlineStr">
        <is>
          <t>SUM</t>
        </is>
      </c>
    </row>
    <row r="80">
      <c r="A80" t="inlineStr">
        <is>
          <t>四级</t>
        </is>
      </c>
      <c r="B80" t="inlineStr">
        <is>
          <t>支出</t>
        </is>
      </c>
      <c r="C80" t="inlineStr">
        <is>
          <t>C01.90.01.02.02</t>
        </is>
      </c>
      <c r="D80" t="inlineStr">
        <is>
          <t>业务费用</t>
        </is>
      </c>
      <c r="F80" t="inlineStr">
        <is>
          <t>C01.90.01.02.02.001+C01.90.01.02.02.002</t>
        </is>
      </c>
      <c r="K80" t="inlineStr">
        <is>
          <t>是</t>
        </is>
      </c>
      <c r="M80" t="inlineStr">
        <is>
          <t>05.01.02.02</t>
        </is>
      </c>
    </row>
    <row r="81">
      <c r="A81" t="inlineStr">
        <is>
          <t>五级</t>
        </is>
      </c>
      <c r="B81" t="inlineStr">
        <is>
          <t>支出</t>
        </is>
      </c>
      <c r="C81" t="inlineStr">
        <is>
          <t>C01.90.01.02.02.001</t>
        </is>
      </c>
      <c r="D81" t="inlineStr">
        <is>
          <t>营销</t>
        </is>
      </c>
      <c r="K81" t="inlineStr">
        <is>
          <t>是</t>
        </is>
      </c>
      <c r="M81" t="inlineStr">
        <is>
          <t>05.01.02.02.001</t>
        </is>
      </c>
      <c r="N81" t="inlineStr">
        <is>
          <t>SUM</t>
        </is>
      </c>
    </row>
    <row r="82">
      <c r="A82" t="inlineStr">
        <is>
          <t>五级</t>
        </is>
      </c>
      <c r="B82" t="inlineStr">
        <is>
          <t>支出</t>
        </is>
      </c>
      <c r="C82" t="inlineStr">
        <is>
          <t>C01.90.01.02.02.002</t>
        </is>
      </c>
      <c r="D82" t="inlineStr">
        <is>
          <t>运营</t>
        </is>
      </c>
      <c r="K82" t="inlineStr">
        <is>
          <t>是</t>
        </is>
      </c>
      <c r="M82" t="inlineStr">
        <is>
          <t>05.01.02.02.002</t>
        </is>
      </c>
      <c r="N82" t="inlineStr">
        <is>
          <t>SUM</t>
        </is>
      </c>
    </row>
    <row r="83">
      <c r="A83" t="inlineStr">
        <is>
          <t>四级</t>
        </is>
      </c>
      <c r="B83" t="inlineStr">
        <is>
          <t>支出</t>
        </is>
      </c>
      <c r="C83" t="inlineStr">
        <is>
          <t>C01.90.01.02.03</t>
        </is>
      </c>
      <c r="D83" t="inlineStr">
        <is>
          <t>IT</t>
        </is>
      </c>
      <c r="F83" t="inlineStr">
        <is>
          <t>C01.90.01.02.03.01+C01.90.01.02.03.02.001+C01.90.01.02.03.03.001+C01.90.01.02.03.04.001</t>
        </is>
      </c>
      <c r="K83" t="inlineStr">
        <is>
          <t>是</t>
        </is>
      </c>
      <c r="M83" t="inlineStr">
        <is>
          <t>05.01.02.03</t>
        </is>
      </c>
    </row>
    <row r="84">
      <c r="A84" t="inlineStr">
        <is>
          <t>五级</t>
        </is>
      </c>
      <c r="B84" t="inlineStr">
        <is>
          <t>支出</t>
        </is>
      </c>
      <c r="C84" t="inlineStr">
        <is>
          <t>C01.90.01.02.03.01</t>
        </is>
      </c>
      <c r="D84" t="inlineStr">
        <is>
          <t>IT人力</t>
        </is>
      </c>
      <c r="F84" t="inlineStr">
        <is>
          <t>C01.90.01.02.03.01.001+C01.90.01.02.03.01.002</t>
        </is>
      </c>
      <c r="K84" t="inlineStr">
        <is>
          <t>是</t>
        </is>
      </c>
      <c r="M84" t="inlineStr">
        <is>
          <t>05.01.02.03.01</t>
        </is>
      </c>
    </row>
    <row r="85">
      <c r="A85" t="inlineStr">
        <is>
          <t>六级</t>
        </is>
      </c>
      <c r="B85" t="inlineStr">
        <is>
          <t>支出</t>
        </is>
      </c>
      <c r="C85" t="inlineStr">
        <is>
          <t>C01.90.01.02.03.01.001</t>
        </is>
      </c>
      <c r="D85" t="inlineStr">
        <is>
          <t>IT常规人力</t>
        </is>
      </c>
      <c r="K85" t="inlineStr">
        <is>
          <t>是</t>
        </is>
      </c>
      <c r="M85" t="inlineStr">
        <is>
          <t>05.01.02.03.01.001</t>
        </is>
      </c>
      <c r="N85" t="inlineStr">
        <is>
          <t>SUM</t>
        </is>
      </c>
    </row>
    <row r="86">
      <c r="A86" t="inlineStr">
        <is>
          <t>六级</t>
        </is>
      </c>
      <c r="B86" t="inlineStr">
        <is>
          <t>支出</t>
        </is>
      </c>
      <c r="C86" t="inlineStr">
        <is>
          <t>C01.90.01.02.03.01.002</t>
        </is>
      </c>
      <c r="D86" t="inlineStr">
        <is>
          <t>IT特别人力</t>
        </is>
      </c>
      <c r="K86" t="inlineStr">
        <is>
          <t>是</t>
        </is>
      </c>
      <c r="M86" t="inlineStr">
        <is>
          <t>05.01.02.03.01.002</t>
        </is>
      </c>
      <c r="N86" t="inlineStr">
        <is>
          <t>SUM</t>
        </is>
      </c>
    </row>
    <row r="87">
      <c r="A87" t="inlineStr">
        <is>
          <t>五级</t>
        </is>
      </c>
      <c r="B87" t="inlineStr">
        <is>
          <t>支出</t>
        </is>
      </c>
      <c r="C87" t="inlineStr">
        <is>
          <t>C01.90.01.02.03.02</t>
        </is>
      </c>
      <c r="D87" t="inlineStr">
        <is>
          <t>AA.05.01.02.03.02</t>
        </is>
      </c>
      <c r="F87" t="inlineStr">
        <is>
          <t>C01.90.01.02.03.02.001</t>
        </is>
      </c>
      <c r="K87" t="inlineStr">
        <is>
          <t>是</t>
        </is>
      </c>
      <c r="M87" t="inlineStr">
        <is>
          <t>05.01.02.03.02</t>
        </is>
      </c>
      <c r="N87" t="inlineStr">
        <is>
          <t>SUM</t>
        </is>
      </c>
    </row>
    <row r="88">
      <c r="A88" t="inlineStr">
        <is>
          <t>六级</t>
        </is>
      </c>
      <c r="B88" t="inlineStr">
        <is>
          <t>支出</t>
        </is>
      </c>
      <c r="C88" t="inlineStr">
        <is>
          <t>C01.90.01.02.03.02.001</t>
        </is>
      </c>
      <c r="D88" t="inlineStr">
        <is>
          <t>科技</t>
        </is>
      </c>
      <c r="K88" t="inlineStr">
        <is>
          <t>是</t>
        </is>
      </c>
      <c r="M88" t="inlineStr">
        <is>
          <t>05.01.02.03.02.001</t>
        </is>
      </c>
      <c r="N88" t="inlineStr">
        <is>
          <t>SUM</t>
        </is>
      </c>
    </row>
    <row r="89">
      <c r="A89" t="inlineStr">
        <is>
          <t>五级</t>
        </is>
      </c>
      <c r="B89" t="inlineStr">
        <is>
          <t>支出</t>
        </is>
      </c>
      <c r="C89" t="inlineStr">
        <is>
          <t>C01.90.01.02.03.03</t>
        </is>
      </c>
      <c r="D89" t="inlineStr">
        <is>
          <t>AA.05.01.02.03.03</t>
        </is>
      </c>
      <c r="F89" t="inlineStr">
        <is>
          <t>C01.90.01.02.03.03.001</t>
        </is>
      </c>
      <c r="K89" t="inlineStr">
        <is>
          <t>是</t>
        </is>
      </c>
      <c r="M89" t="inlineStr">
        <is>
          <t>05.01.02.03.03</t>
        </is>
      </c>
      <c r="N89" t="inlineStr">
        <is>
          <t>SUM</t>
        </is>
      </c>
    </row>
    <row r="90">
      <c r="A90" t="inlineStr">
        <is>
          <t>六级</t>
        </is>
      </c>
      <c r="B90" t="inlineStr">
        <is>
          <t>支出</t>
        </is>
      </c>
      <c r="C90" t="inlineStr">
        <is>
          <t>C01.90.01.02.03.03.001</t>
        </is>
      </c>
      <c r="D90" t="inlineStr">
        <is>
          <t>IT职场</t>
        </is>
      </c>
      <c r="K90" t="inlineStr">
        <is>
          <t>是</t>
        </is>
      </c>
      <c r="M90" t="inlineStr">
        <is>
          <t>05.01.02.03.03.001</t>
        </is>
      </c>
      <c r="N90" t="inlineStr">
        <is>
          <t>SUM</t>
        </is>
      </c>
    </row>
    <row r="91">
      <c r="A91" t="inlineStr">
        <is>
          <t>五级</t>
        </is>
      </c>
      <c r="B91" t="inlineStr">
        <is>
          <t>支出</t>
        </is>
      </c>
      <c r="C91" t="inlineStr">
        <is>
          <t>C01.90.01.02.03.04</t>
        </is>
      </c>
      <c r="D91" t="inlineStr">
        <is>
          <t>AA.05.01.02.03.04</t>
        </is>
      </c>
      <c r="F91" t="inlineStr">
        <is>
          <t>C01.90.01.02.03.04.001</t>
        </is>
      </c>
      <c r="K91" t="inlineStr">
        <is>
          <t>是</t>
        </is>
      </c>
      <c r="M91" t="inlineStr">
        <is>
          <t>05.01.02.03.04</t>
        </is>
      </c>
      <c r="N91" t="inlineStr">
        <is>
          <t>SUM</t>
        </is>
      </c>
    </row>
    <row r="92">
      <c r="A92" t="inlineStr">
        <is>
          <t>六级</t>
        </is>
      </c>
      <c r="B92" t="inlineStr">
        <is>
          <t>支出</t>
        </is>
      </c>
      <c r="C92" t="inlineStr">
        <is>
          <t>C01.90.01.02.03.04.001</t>
        </is>
      </c>
      <c r="D92" t="inlineStr">
        <is>
          <t>IT日常</t>
        </is>
      </c>
      <c r="K92" t="inlineStr">
        <is>
          <t>是</t>
        </is>
      </c>
      <c r="M92" t="inlineStr">
        <is>
          <t>05.01.02.03.04.001</t>
        </is>
      </c>
      <c r="N92" t="inlineStr">
        <is>
          <t>SUM</t>
        </is>
      </c>
    </row>
    <row r="93">
      <c r="A93" t="inlineStr">
        <is>
          <t>四级</t>
        </is>
      </c>
      <c r="B93" t="inlineStr">
        <is>
          <t>支出</t>
        </is>
      </c>
      <c r="C93" t="inlineStr">
        <is>
          <t>C01.90.01.02.04</t>
        </is>
      </c>
      <c r="D93" t="inlineStr">
        <is>
          <t>AA.05.01.02.04</t>
        </is>
      </c>
      <c r="F93" t="inlineStr">
        <is>
          <t>C01.90.01.02.04.001</t>
        </is>
      </c>
      <c r="K93" t="inlineStr">
        <is>
          <t>是</t>
        </is>
      </c>
      <c r="M93" t="inlineStr">
        <is>
          <t>05.01.02.04</t>
        </is>
      </c>
      <c r="N93" t="inlineStr">
        <is>
          <t>SUM</t>
        </is>
      </c>
    </row>
    <row r="94">
      <c r="A94" t="inlineStr">
        <is>
          <t>五级</t>
        </is>
      </c>
      <c r="B94" t="inlineStr">
        <is>
          <t>支出</t>
        </is>
      </c>
      <c r="C94" t="inlineStr">
        <is>
          <t>C01.90.01.02.04.001</t>
        </is>
      </c>
      <c r="D94" t="inlineStr">
        <is>
          <t>职场</t>
        </is>
      </c>
      <c r="K94" t="inlineStr">
        <is>
          <t>是</t>
        </is>
      </c>
      <c r="M94" t="inlineStr">
        <is>
          <t>05.01.02.04.001</t>
        </is>
      </c>
      <c r="N94" t="inlineStr">
        <is>
          <t>SUM</t>
        </is>
      </c>
    </row>
    <row r="95">
      <c r="A95" t="inlineStr">
        <is>
          <t>四级</t>
        </is>
      </c>
      <c r="B95" t="inlineStr">
        <is>
          <t>支出</t>
        </is>
      </c>
      <c r="C95" t="inlineStr">
        <is>
          <t>C01.90.01.02.05</t>
        </is>
      </c>
      <c r="D95" t="inlineStr">
        <is>
          <t>AA.05.01.02.05</t>
        </is>
      </c>
      <c r="F95" t="inlineStr">
        <is>
          <t>C01.90.01.02.05.001</t>
        </is>
      </c>
      <c r="K95" t="inlineStr">
        <is>
          <t>是</t>
        </is>
      </c>
      <c r="M95" t="inlineStr">
        <is>
          <t>05.01.02.05</t>
        </is>
      </c>
      <c r="N95" t="inlineStr">
        <is>
          <t>SUM</t>
        </is>
      </c>
    </row>
    <row r="96">
      <c r="A96" t="inlineStr">
        <is>
          <t>五级</t>
        </is>
      </c>
      <c r="B96" t="inlineStr">
        <is>
          <t>支出</t>
        </is>
      </c>
      <c r="C96" t="inlineStr">
        <is>
          <t>C01.90.01.02.05.001</t>
        </is>
      </c>
      <c r="D96" t="inlineStr">
        <is>
          <t>日常</t>
        </is>
      </c>
      <c r="K96" t="inlineStr">
        <is>
          <t>是</t>
        </is>
      </c>
      <c r="M96" t="inlineStr">
        <is>
          <t>05.01.02.05.001</t>
        </is>
      </c>
      <c r="N96" t="inlineStr">
        <is>
          <t>SUM</t>
        </is>
      </c>
    </row>
    <row r="97">
      <c r="A97" t="inlineStr">
        <is>
          <t>二级</t>
        </is>
      </c>
      <c r="B97" t="inlineStr">
        <is>
          <t>支出</t>
        </is>
      </c>
      <c r="C97" t="inlineStr">
        <is>
          <t>C01.90.02</t>
        </is>
      </c>
      <c r="D97" t="inlineStr">
        <is>
          <t>业务费用</t>
        </is>
      </c>
      <c r="F97" t="inlineStr">
        <is>
          <t>C01.90.02.01+C01.90.02.02</t>
        </is>
      </c>
      <c r="K97" t="inlineStr">
        <is>
          <t>是</t>
        </is>
      </c>
      <c r="N97" t="inlineStr">
        <is>
          <t>SUM</t>
        </is>
      </c>
    </row>
    <row r="98">
      <c r="A98" t="inlineStr">
        <is>
          <t>三级</t>
        </is>
      </c>
      <c r="B98" t="inlineStr">
        <is>
          <t>支出</t>
        </is>
      </c>
      <c r="C98" t="inlineStr">
        <is>
          <t>C01.90.02.01</t>
        </is>
      </c>
      <c r="D98" t="inlineStr">
        <is>
          <t>营销费用</t>
        </is>
      </c>
      <c r="K98" t="inlineStr">
        <is>
          <t>是</t>
        </is>
      </c>
      <c r="N98" t="inlineStr">
        <is>
          <t>SUM</t>
        </is>
      </c>
    </row>
    <row r="99">
      <c r="A99" t="inlineStr">
        <is>
          <t>三级</t>
        </is>
      </c>
      <c r="B99" t="inlineStr">
        <is>
          <t>支出</t>
        </is>
      </c>
      <c r="C99" t="inlineStr">
        <is>
          <t>C01.90.02.02</t>
        </is>
      </c>
      <c r="D99" t="inlineStr">
        <is>
          <t>运营费用</t>
        </is>
      </c>
      <c r="K99" t="inlineStr">
        <is>
          <t>是</t>
        </is>
      </c>
      <c r="N99" t="inlineStr">
        <is>
          <t>SUM</t>
        </is>
      </c>
    </row>
    <row r="100">
      <c r="A100" t="inlineStr">
        <is>
          <t>二级</t>
        </is>
      </c>
      <c r="B100" t="inlineStr">
        <is>
          <t>支出</t>
        </is>
      </c>
      <c r="C100" t="inlineStr">
        <is>
          <t>C01.90.03</t>
        </is>
      </c>
      <c r="D100" t="inlineStr">
        <is>
          <t>业务支出评估</t>
        </is>
      </c>
      <c r="F100" t="inlineStr">
        <is>
          <t>C01.90.03.09</t>
        </is>
      </c>
      <c r="K100" t="inlineStr">
        <is>
          <t>是</t>
        </is>
      </c>
      <c r="M100" t="inlineStr">
        <is>
          <t>05.02</t>
        </is>
      </c>
    </row>
    <row r="101">
      <c r="A101" t="inlineStr">
        <is>
          <t>三级</t>
        </is>
      </c>
      <c r="B101" t="inlineStr">
        <is>
          <t>支出</t>
        </is>
      </c>
      <c r="C101" t="inlineStr">
        <is>
          <t>C01.90.03.09</t>
        </is>
      </c>
      <c r="D101" t="inlineStr">
        <is>
          <t>客户经营指标</t>
        </is>
      </c>
      <c r="F101" t="inlineStr">
        <is>
          <t>C01.90.03.09.01+C01.90.03.09.02+C01.90.03.09.03</t>
        </is>
      </c>
      <c r="K101" t="inlineStr">
        <is>
          <t>是</t>
        </is>
      </c>
      <c r="M101" t="inlineStr">
        <is>
          <t>05.02.09</t>
        </is>
      </c>
    </row>
    <row r="102">
      <c r="A102" t="inlineStr">
        <is>
          <t>四级</t>
        </is>
      </c>
      <c r="B102" t="inlineStr">
        <is>
          <t>支出</t>
        </is>
      </c>
      <c r="C102" t="inlineStr">
        <is>
          <t>C01.90.03.09.01</t>
        </is>
      </c>
      <c r="D102" t="inlineStr">
        <is>
          <t>客户营销与投入</t>
        </is>
      </c>
      <c r="F102" t="inlineStr">
        <is>
          <t>C01.90.03.09.01.001+C01.90.03.09.01.002+C01.90.03.09.01.003+C01.90.03.09.01.004</t>
        </is>
      </c>
      <c r="K102" t="inlineStr">
        <is>
          <t>是</t>
        </is>
      </c>
      <c r="M102" t="inlineStr">
        <is>
          <t>05.02.09.01</t>
        </is>
      </c>
    </row>
    <row r="103">
      <c r="A103" t="inlineStr">
        <is>
          <t>五级</t>
        </is>
      </c>
      <c r="B103" t="inlineStr">
        <is>
          <t>支出</t>
        </is>
      </c>
      <c r="C103" t="inlineStr">
        <is>
          <t>C01.90.03.09.01.001</t>
        </is>
      </c>
      <c r="D103" t="inlineStr">
        <is>
          <t>新客营销支出</t>
        </is>
      </c>
      <c r="K103" t="inlineStr">
        <is>
          <t>是</t>
        </is>
      </c>
      <c r="M103" t="inlineStr">
        <is>
          <t>05.02.09.01.001</t>
        </is>
      </c>
      <c r="N103" t="inlineStr">
        <is>
          <t>SUM</t>
        </is>
      </c>
    </row>
    <row r="104">
      <c r="A104" t="inlineStr">
        <is>
          <t>五级</t>
        </is>
      </c>
      <c r="B104" t="inlineStr">
        <is>
          <t>支出</t>
        </is>
      </c>
      <c r="C104" t="inlineStr">
        <is>
          <t>C01.90.03.09.01.002</t>
        </is>
      </c>
      <c r="D104" t="inlineStr">
        <is>
          <t>存客营销支出</t>
        </is>
      </c>
      <c r="K104" t="inlineStr">
        <is>
          <t>是</t>
        </is>
      </c>
      <c r="M104" t="inlineStr">
        <is>
          <t>05.02.09.01.002</t>
        </is>
      </c>
      <c r="N104" t="inlineStr">
        <is>
          <t>SUM</t>
        </is>
      </c>
    </row>
    <row r="105">
      <c r="A105" t="inlineStr">
        <is>
          <t>五级</t>
        </is>
      </c>
      <c r="B105" t="inlineStr">
        <is>
          <t>支出</t>
        </is>
      </c>
      <c r="C105" t="inlineStr">
        <is>
          <t>C01.90.03.09.01.003</t>
        </is>
      </c>
      <c r="D105" t="inlineStr">
        <is>
          <t>新开通客户投入</t>
        </is>
      </c>
      <c r="K105" t="inlineStr">
        <is>
          <t>是</t>
        </is>
      </c>
      <c r="M105" t="inlineStr">
        <is>
          <t>05.02.09.01.003</t>
        </is>
      </c>
      <c r="N105" t="inlineStr">
        <is>
          <t>SUM</t>
        </is>
      </c>
    </row>
    <row r="106">
      <c r="A106" t="inlineStr">
        <is>
          <t>五级</t>
        </is>
      </c>
      <c r="B106" t="inlineStr">
        <is>
          <t>支出</t>
        </is>
      </c>
      <c r="C106" t="inlineStr">
        <is>
          <t>C01.90.03.09.01.004</t>
        </is>
      </c>
      <c r="D106" t="inlineStr">
        <is>
          <t>新发放投入</t>
        </is>
      </c>
      <c r="K106" t="inlineStr">
        <is>
          <t>是</t>
        </is>
      </c>
      <c r="M106" t="inlineStr">
        <is>
          <t>05.02.09.01.004</t>
        </is>
      </c>
      <c r="N106" t="inlineStr">
        <is>
          <t>SUM</t>
        </is>
      </c>
    </row>
    <row r="107">
      <c r="A107" t="inlineStr">
        <is>
          <t>四级</t>
        </is>
      </c>
      <c r="B107" t="inlineStr">
        <is>
          <t>支出</t>
        </is>
      </c>
      <c r="C107" t="inlineStr">
        <is>
          <t>C01.90.03.09.02</t>
        </is>
      </c>
      <c r="D107" t="inlineStr">
        <is>
          <t>客户规模与数量</t>
        </is>
      </c>
      <c r="F107" t="inlineStr">
        <is>
          <t>C01.90.03.09.02.101+C01.90.03.09.02.102+C01.90.03.09.02.103</t>
        </is>
      </c>
      <c r="K107" t="inlineStr">
        <is>
          <t>是</t>
        </is>
      </c>
      <c r="M107" t="inlineStr">
        <is>
          <t>05.02.09.02</t>
        </is>
      </c>
    </row>
    <row r="108">
      <c r="A108" t="inlineStr">
        <is>
          <t>五级</t>
        </is>
      </c>
      <c r="B108" t="inlineStr">
        <is>
          <t>支出</t>
        </is>
      </c>
      <c r="C108" t="inlineStr">
        <is>
          <t>C01.90.03.09.02.001</t>
        </is>
      </c>
      <c r="D108" t="inlineStr">
        <is>
          <t>新客日均LUM</t>
        </is>
      </c>
      <c r="K108" t="inlineStr">
        <is>
          <t>是</t>
        </is>
      </c>
      <c r="M108" t="inlineStr">
        <is>
          <t>05.02.09.02.001</t>
        </is>
      </c>
      <c r="N108" t="inlineStr">
        <is>
          <t>SUM</t>
        </is>
      </c>
    </row>
    <row r="109">
      <c r="A109" t="inlineStr">
        <is>
          <t>五级</t>
        </is>
      </c>
      <c r="B109" t="inlineStr">
        <is>
          <t>支出</t>
        </is>
      </c>
      <c r="C109" t="inlineStr">
        <is>
          <t>C01.90.03.09.02.002</t>
        </is>
      </c>
      <c r="D109" t="inlineStr">
        <is>
          <t>存客日均LUM</t>
        </is>
      </c>
      <c r="K109" t="inlineStr">
        <is>
          <t>是</t>
        </is>
      </c>
      <c r="M109" t="inlineStr">
        <is>
          <t>05.02.09.02.002</t>
        </is>
      </c>
      <c r="N109" t="inlineStr">
        <is>
          <t>SUM</t>
        </is>
      </c>
    </row>
    <row r="110">
      <c r="A110" t="inlineStr">
        <is>
          <t>五级</t>
        </is>
      </c>
      <c r="B110" t="inlineStr">
        <is>
          <t>支出</t>
        </is>
      </c>
      <c r="C110" t="inlineStr">
        <is>
          <t>C01.90.03.09.02.003</t>
        </is>
      </c>
      <c r="D110" t="inlineStr">
        <is>
          <t>新开通客户数</t>
        </is>
      </c>
      <c r="K110" t="inlineStr">
        <is>
          <t>是</t>
        </is>
      </c>
      <c r="M110" t="inlineStr">
        <is>
          <t>05.02.09.02.003</t>
        </is>
      </c>
      <c r="N110" t="inlineStr">
        <is>
          <t>SUM</t>
        </is>
      </c>
    </row>
    <row r="111">
      <c r="A111" t="inlineStr">
        <is>
          <t>五级</t>
        </is>
      </c>
      <c r="B111" t="inlineStr">
        <is>
          <t>支出</t>
        </is>
      </c>
      <c r="C111" t="inlineStr">
        <is>
          <t>C01.90.03.09.02.004</t>
        </is>
      </c>
      <c r="D111" t="inlineStr">
        <is>
          <t>平均有效客户数</t>
        </is>
      </c>
      <c r="K111" t="inlineStr">
        <is>
          <t>是</t>
        </is>
      </c>
      <c r="M111" t="inlineStr">
        <is>
          <t>05.02.09.02.004</t>
        </is>
      </c>
      <c r="N111" t="inlineStr">
        <is>
          <t>SUM</t>
        </is>
      </c>
    </row>
    <row r="112">
      <c r="A112" t="inlineStr">
        <is>
          <t>五级</t>
        </is>
      </c>
      <c r="B112" t="inlineStr">
        <is>
          <t>支出</t>
        </is>
      </c>
      <c r="C112" t="inlineStr">
        <is>
          <t>C01.90.03.09.02.005</t>
        </is>
      </c>
      <c r="D112" t="inlineStr">
        <is>
          <t>新发放LUM</t>
        </is>
      </c>
      <c r="K112" t="inlineStr">
        <is>
          <t>是</t>
        </is>
      </c>
      <c r="M112" t="inlineStr">
        <is>
          <t>05.02.09.02.005</t>
        </is>
      </c>
      <c r="N112" t="inlineStr">
        <is>
          <t>SUM</t>
        </is>
      </c>
    </row>
    <row r="113">
      <c r="A113" t="inlineStr">
        <is>
          <t>五级</t>
        </is>
      </c>
      <c r="B113" t="inlineStr">
        <is>
          <t>支出</t>
        </is>
      </c>
      <c r="C113" t="inlineStr">
        <is>
          <t>C01.90.03.09.02.006</t>
        </is>
      </c>
      <c r="D113" t="inlineStr">
        <is>
          <t>新发放LUM（标服）</t>
        </is>
      </c>
      <c r="K113" t="inlineStr">
        <is>
          <t>是</t>
        </is>
      </c>
      <c r="M113" t="inlineStr">
        <is>
          <t>05.02.09.02.006</t>
        </is>
      </c>
      <c r="N113" t="inlineStr">
        <is>
          <t>SUM</t>
        </is>
      </c>
    </row>
    <row r="114">
      <c r="A114" t="inlineStr">
        <is>
          <t>五级</t>
        </is>
      </c>
      <c r="B114" t="inlineStr">
        <is>
          <t>支出</t>
        </is>
      </c>
      <c r="C114" t="inlineStr">
        <is>
          <t>C01.90.03.09.02.007</t>
        </is>
      </c>
      <c r="D114" t="inlineStr">
        <is>
          <t>存客日均AuM</t>
        </is>
      </c>
      <c r="K114" t="inlineStr">
        <is>
          <t>是</t>
        </is>
      </c>
      <c r="M114" t="inlineStr">
        <is>
          <t>05.02.09.02.007</t>
        </is>
      </c>
      <c r="N114" t="inlineStr">
        <is>
          <t>SUM</t>
        </is>
      </c>
    </row>
    <row r="115">
      <c r="A115" t="inlineStr">
        <is>
          <t>五级</t>
        </is>
      </c>
      <c r="B115" t="inlineStr">
        <is>
          <t>支出</t>
        </is>
      </c>
      <c r="C115" t="inlineStr">
        <is>
          <t>C01.90.03.09.02.008</t>
        </is>
      </c>
      <c r="D115" t="inlineStr">
        <is>
          <t>新客AuM余额</t>
        </is>
      </c>
      <c r="K115" t="inlineStr">
        <is>
          <t>是</t>
        </is>
      </c>
      <c r="M115" t="inlineStr">
        <is>
          <t>05.02.09.02.008</t>
        </is>
      </c>
      <c r="N115" t="inlineStr">
        <is>
          <t>SUM</t>
        </is>
      </c>
    </row>
    <row r="116">
      <c r="A116" t="inlineStr">
        <is>
          <t>五级</t>
        </is>
      </c>
      <c r="B116" t="inlineStr">
        <is>
          <t>支出</t>
        </is>
      </c>
      <c r="C116" t="inlineStr">
        <is>
          <t>C01.90.03.09.02.009</t>
        </is>
      </c>
      <c r="D116" t="inlineStr">
        <is>
          <t>MFAU客户数</t>
        </is>
      </c>
      <c r="K116" t="inlineStr">
        <is>
          <t>是</t>
        </is>
      </c>
      <c r="M116" t="inlineStr">
        <is>
          <t>05.02.09.02.009</t>
        </is>
      </c>
      <c r="N116" t="inlineStr">
        <is>
          <t>SUM</t>
        </is>
      </c>
    </row>
    <row r="117">
      <c r="A117" t="inlineStr">
        <is>
          <t>五级</t>
        </is>
      </c>
      <c r="B117" t="inlineStr">
        <is>
          <t>支出</t>
        </is>
      </c>
      <c r="C117" t="inlineStr">
        <is>
          <t>C01.90.03.09.02.010</t>
        </is>
      </c>
      <c r="D117" t="inlineStr">
        <is>
          <t>日均LUM</t>
        </is>
      </c>
      <c r="K117" t="inlineStr">
        <is>
          <t>是</t>
        </is>
      </c>
      <c r="M117" t="inlineStr">
        <is>
          <t>05.02.09.02.010</t>
        </is>
      </c>
      <c r="N117" t="inlineStr">
        <is>
          <t>SUM</t>
        </is>
      </c>
    </row>
    <row r="118">
      <c r="A118" t="inlineStr">
        <is>
          <t>五级</t>
        </is>
      </c>
      <c r="B118" t="inlineStr">
        <is>
          <t>支出</t>
        </is>
      </c>
      <c r="C118" t="inlineStr">
        <is>
          <t>C01.90.03.09.02.011</t>
        </is>
      </c>
      <c r="D118" t="inlineStr">
        <is>
          <t>日均AuM</t>
        </is>
      </c>
      <c r="K118" t="inlineStr">
        <is>
          <t>是</t>
        </is>
      </c>
      <c r="M118" t="inlineStr">
        <is>
          <t>05.02.09.02.011</t>
        </is>
      </c>
      <c r="N118" t="inlineStr">
        <is>
          <t>SUM</t>
        </is>
      </c>
    </row>
    <row r="119">
      <c r="A119" t="inlineStr">
        <is>
          <t>五级</t>
        </is>
      </c>
      <c r="B119" t="inlineStr">
        <is>
          <t>支出</t>
        </is>
      </c>
      <c r="C119" t="inlineStr">
        <is>
          <t>C01.90.03.09.02.101</t>
        </is>
      </c>
      <c r="D119" t="inlineStr">
        <is>
          <t>LUM规模</t>
        </is>
      </c>
      <c r="F119" t="inlineStr">
        <is>
          <t>C01.90.03.09.02.001+C01.90.03.09.02.002+C01.90.03.09.02.005+C01.90.03.09.02.006+C01.90.03.09.02.010</t>
        </is>
      </c>
      <c r="K119" t="inlineStr">
        <is>
          <t>是</t>
        </is>
      </c>
      <c r="M119" t="inlineStr">
        <is>
          <t>05.02.09.02.101</t>
        </is>
      </c>
    </row>
    <row r="120">
      <c r="A120" t="inlineStr">
        <is>
          <t>五级</t>
        </is>
      </c>
      <c r="B120" t="inlineStr">
        <is>
          <t>支出</t>
        </is>
      </c>
      <c r="C120" t="inlineStr">
        <is>
          <t>C01.90.03.09.02.102</t>
        </is>
      </c>
      <c r="D120" t="inlineStr">
        <is>
          <t>AuM规模</t>
        </is>
      </c>
      <c r="F120" t="inlineStr">
        <is>
          <t>C01.90.03.09.02.007+C01.90.03.09.02.008+C01.90.03.09.02.011</t>
        </is>
      </c>
      <c r="K120" t="inlineStr">
        <is>
          <t>是</t>
        </is>
      </c>
      <c r="M120" t="inlineStr">
        <is>
          <t>05.02.09.02.102</t>
        </is>
      </c>
    </row>
    <row r="121">
      <c r="A121" t="inlineStr">
        <is>
          <t>五级</t>
        </is>
      </c>
      <c r="B121" t="inlineStr">
        <is>
          <t>支出</t>
        </is>
      </c>
      <c r="C121" t="inlineStr">
        <is>
          <t>C01.90.03.09.02.103</t>
        </is>
      </c>
      <c r="D121" t="inlineStr">
        <is>
          <t>客户数量</t>
        </is>
      </c>
      <c r="F121" t="inlineStr">
        <is>
          <t>C01.90.03.09.02.003+C01.90.03.09.02.004+C01.90.03.09.02.009</t>
        </is>
      </c>
      <c r="K121" t="inlineStr">
        <is>
          <t>是</t>
        </is>
      </c>
      <c r="M121" t="inlineStr">
        <is>
          <t>05.02.09.02.103</t>
        </is>
      </c>
    </row>
    <row r="122">
      <c r="A122" t="inlineStr">
        <is>
          <t>四级</t>
        </is>
      </c>
      <c r="B122" t="inlineStr">
        <is>
          <t>支出</t>
        </is>
      </c>
      <c r="C122" t="inlineStr">
        <is>
          <t>C01.90.03.09.03</t>
        </is>
      </c>
      <c r="D122" t="inlineStr">
        <is>
          <t>客户回收与催收</t>
        </is>
      </c>
      <c r="F122" t="inlineStr">
        <is>
          <t>C01.90.03.09.03.001+C01.90.03.09.03.002+C01.90.03.09.03.003</t>
        </is>
      </c>
      <c r="K122" t="inlineStr">
        <is>
          <t>是</t>
        </is>
      </c>
      <c r="M122" t="inlineStr">
        <is>
          <t>05.02.09.03</t>
        </is>
      </c>
    </row>
    <row r="123">
      <c r="A123" t="inlineStr">
        <is>
          <t>五级</t>
        </is>
      </c>
      <c r="B123" t="inlineStr">
        <is>
          <t>支出</t>
        </is>
      </c>
      <c r="C123" t="inlineStr">
        <is>
          <t>C01.90.03.09.03.001</t>
        </is>
      </c>
      <c r="D123" t="inlineStr">
        <is>
          <t>内催回收额</t>
        </is>
      </c>
      <c r="K123" t="inlineStr">
        <is>
          <t>是</t>
        </is>
      </c>
      <c r="M123" t="inlineStr">
        <is>
          <t>05.02.09.03.001</t>
        </is>
      </c>
      <c r="N123" t="inlineStr">
        <is>
          <t>SUM</t>
        </is>
      </c>
    </row>
    <row r="124">
      <c r="A124" t="inlineStr">
        <is>
          <t>五级</t>
        </is>
      </c>
      <c r="B124" t="inlineStr">
        <is>
          <t>支出</t>
        </is>
      </c>
      <c r="C124" t="inlineStr">
        <is>
          <t>C01.90.03.09.03.002</t>
        </is>
      </c>
      <c r="D124" t="inlineStr">
        <is>
          <t>M6-压降金额</t>
        </is>
      </c>
      <c r="K124" t="inlineStr">
        <is>
          <t>是</t>
        </is>
      </c>
      <c r="M124" t="inlineStr">
        <is>
          <t>05.02.09.03.002</t>
        </is>
      </c>
      <c r="N124" t="inlineStr">
        <is>
          <t>SUM</t>
        </is>
      </c>
    </row>
    <row r="125">
      <c r="A125" t="inlineStr">
        <is>
          <t>五级</t>
        </is>
      </c>
      <c r="B125" t="inlineStr">
        <is>
          <t>支出</t>
        </is>
      </c>
      <c r="C125" t="inlineStr">
        <is>
          <t>C01.90.03.09.03.003</t>
        </is>
      </c>
      <c r="D125" t="inlineStr">
        <is>
          <t>M7+现金回收额</t>
        </is>
      </c>
      <c r="K125" t="inlineStr">
        <is>
          <t>是</t>
        </is>
      </c>
      <c r="M125" t="inlineStr">
        <is>
          <t>05.02.09.03.003</t>
        </is>
      </c>
      <c r="N125" t="inlineStr">
        <is>
          <t>SUM</t>
        </is>
      </c>
    </row>
    <row r="126"/>
    <row r="127"/>
    <row r="128"/>
    <row r="129"/>
    <row r="130"/>
    <row r="131"/>
    <row r="132"/>
    <row r="133"/>
    <row r="134"/>
    <row r="135"/>
    <row r="136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H112"/>
  <sheetViews>
    <sheetView workbookViewId="0">
      <selection activeCell="A1" sqref="$A1:$XFD1"/>
    </sheetView>
  </sheetViews>
  <sheetFormatPr baseColWidth="8" defaultColWidth="9" defaultRowHeight="15" customHeight="1"/>
  <cols>
    <col width="8.66071428571429" customWidth="1" style="5" min="1" max="2"/>
    <col width="11" customWidth="1" style="5" min="3" max="3"/>
    <col width="15.5" customWidth="1" style="5" min="4" max="4"/>
    <col width="8.66071428571429" customWidth="1" style="5" min="5" max="16384"/>
  </cols>
  <sheetData>
    <row r="1" customFormat="1" s="1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3" t="inlineStr">
        <is>
          <t>录入粒度</t>
        </is>
      </c>
      <c r="F1" s="3" t="inlineStr">
        <is>
          <t>年预算公式</t>
        </is>
      </c>
      <c r="G1" s="3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6" t="n"/>
      <c r="O1" s="6" t="n"/>
      <c r="P1" t="inlineStr">
        <is>
          <t>规则</t>
        </is>
      </c>
    </row>
    <row r="2">
      <c r="A2" s="7" t="inlineStr">
        <is>
          <t>一级</t>
        </is>
      </c>
      <c r="B2" s="1" t="inlineStr">
        <is>
          <t>收入</t>
        </is>
      </c>
      <c r="C2" s="8" t="inlineStr">
        <is>
          <t>C02.01</t>
        </is>
      </c>
      <c r="D2" s="7" t="inlineStr">
        <is>
          <t>营业收入</t>
        </is>
      </c>
      <c r="F2" t="inlineStr">
        <is>
          <t>C02.01.01+C02.01.02+C02.01.03</t>
        </is>
      </c>
      <c r="H2" s="5">
        <f>H3+H6+H7</f>
        <v/>
      </c>
      <c r="I2" s="5">
        <f>I3+I6+I7</f>
        <v/>
      </c>
      <c r="M2" t="inlineStr">
        <is>
          <t>01</t>
        </is>
      </c>
    </row>
    <row r="3">
      <c r="A3" s="1" t="inlineStr">
        <is>
          <t>二级</t>
        </is>
      </c>
      <c r="B3" s="1" t="inlineStr">
        <is>
          <t>收入</t>
        </is>
      </c>
      <c r="C3" s="8" t="inlineStr">
        <is>
          <t>C02.01.01</t>
        </is>
      </c>
      <c r="D3" s="1" t="inlineStr">
        <is>
          <t xml:space="preserve">  利息净收入</t>
        </is>
      </c>
      <c r="F3" t="inlineStr">
        <is>
          <t>C02.01.01.01+C02.01.01.02</t>
        </is>
      </c>
      <c r="H3" s="5">
        <f>H4+H5</f>
        <v/>
      </c>
      <c r="I3" s="5">
        <f>I4+I5</f>
        <v/>
      </c>
      <c r="M3" t="inlineStr">
        <is>
          <t>01.01</t>
        </is>
      </c>
    </row>
    <row r="4">
      <c r="A4" s="1" t="inlineStr">
        <is>
          <t>三级</t>
        </is>
      </c>
      <c r="B4" s="1" t="inlineStr">
        <is>
          <t>收入</t>
        </is>
      </c>
      <c r="C4" s="9" t="inlineStr">
        <is>
          <t>C02.01.01.01</t>
        </is>
      </c>
      <c r="D4" s="1" t="inlineStr">
        <is>
          <t xml:space="preserve">    资产业务</t>
        </is>
      </c>
      <c r="M4" t="inlineStr">
        <is>
          <t>01.01.01</t>
        </is>
      </c>
      <c r="P4" t="inlineStr">
        <is>
          <t>SUM</t>
        </is>
      </c>
    </row>
    <row r="5">
      <c r="A5" s="1" t="inlineStr">
        <is>
          <t>三级</t>
        </is>
      </c>
      <c r="B5" s="1" t="inlineStr">
        <is>
          <t>收入</t>
        </is>
      </c>
      <c r="C5" s="9" t="inlineStr">
        <is>
          <t>C02.01.01.02</t>
        </is>
      </c>
      <c r="D5" s="1" t="inlineStr">
        <is>
          <t xml:space="preserve">    负债业务</t>
        </is>
      </c>
      <c r="M5" t="inlineStr">
        <is>
          <t>01.01.02</t>
        </is>
      </c>
      <c r="P5" t="inlineStr">
        <is>
          <t>SUM</t>
        </is>
      </c>
    </row>
    <row r="6">
      <c r="A6" s="1" t="inlineStr">
        <is>
          <t>二级</t>
        </is>
      </c>
      <c r="B6" s="1" t="inlineStr">
        <is>
          <t>收入</t>
        </is>
      </c>
      <c r="C6" s="8" t="inlineStr">
        <is>
          <t>C02.01.02</t>
        </is>
      </c>
      <c r="D6" s="1" t="inlineStr">
        <is>
          <t xml:space="preserve">  净手续费收入</t>
        </is>
      </c>
      <c r="H6" s="5">
        <f>H32-H35</f>
        <v/>
      </c>
      <c r="I6" s="5">
        <f>I32-I35</f>
        <v/>
      </c>
      <c r="M6" t="inlineStr">
        <is>
          <t>01.02</t>
        </is>
      </c>
      <c r="P6" t="inlineStr">
        <is>
          <t>SUM</t>
        </is>
      </c>
    </row>
    <row r="7">
      <c r="A7" s="1" t="inlineStr">
        <is>
          <t>二级</t>
        </is>
      </c>
      <c r="B7" s="1" t="inlineStr">
        <is>
          <t>收入</t>
        </is>
      </c>
      <c r="C7" s="8" t="inlineStr">
        <is>
          <t>C02.01.03</t>
        </is>
      </c>
      <c r="D7" s="1" t="inlineStr">
        <is>
          <t xml:space="preserve">  其他营收</t>
        </is>
      </c>
      <c r="H7" s="5">
        <f>H38+H40</f>
        <v/>
      </c>
      <c r="I7" s="5">
        <f>I38+I40</f>
        <v/>
      </c>
      <c r="M7" t="inlineStr">
        <is>
          <t>01.03</t>
        </is>
      </c>
      <c r="P7" t="inlineStr">
        <is>
          <t>SUM</t>
        </is>
      </c>
    </row>
    <row r="8">
      <c r="A8" s="7" t="inlineStr">
        <is>
          <t>一级</t>
        </is>
      </c>
      <c r="B8" s="1" t="inlineStr">
        <is>
          <t>支出</t>
        </is>
      </c>
      <c r="C8" s="8" t="inlineStr">
        <is>
          <t>C02.02</t>
        </is>
      </c>
      <c r="D8" s="7" t="inlineStr">
        <is>
          <t>减：风险成本</t>
        </is>
      </c>
      <c r="M8" t="inlineStr">
        <is>
          <t>02</t>
        </is>
      </c>
      <c r="P8" t="inlineStr">
        <is>
          <t>SUM</t>
        </is>
      </c>
    </row>
    <row r="9">
      <c r="A9" s="7" t="inlineStr">
        <is>
          <t>一级</t>
        </is>
      </c>
      <c r="B9" s="1" t="inlineStr">
        <is>
          <t>收入</t>
        </is>
      </c>
      <c r="C9" s="8" t="inlineStr">
        <is>
          <t>C02.03</t>
        </is>
      </c>
      <c r="D9" s="7" t="inlineStr">
        <is>
          <t>净收入</t>
        </is>
      </c>
      <c r="F9" t="inlineStr">
        <is>
          <t>C02.01-C02.02</t>
        </is>
      </c>
      <c r="H9" s="5">
        <f>H2-H8</f>
        <v/>
      </c>
      <c r="I9" s="5">
        <f>I2-I8</f>
        <v/>
      </c>
      <c r="M9" t="inlineStr">
        <is>
          <t>03</t>
        </is>
      </c>
    </row>
    <row r="10">
      <c r="A10" s="7" t="inlineStr">
        <is>
          <t>一级</t>
        </is>
      </c>
      <c r="B10" s="1" t="inlineStr">
        <is>
          <t>支出</t>
        </is>
      </c>
      <c r="C10" s="8" t="inlineStr">
        <is>
          <t>C02.04</t>
        </is>
      </c>
      <c r="D10" s="7" t="inlineStr">
        <is>
          <t>减：税金及附加</t>
        </is>
      </c>
      <c r="M10" t="inlineStr">
        <is>
          <t>04</t>
        </is>
      </c>
      <c r="P10" t="inlineStr">
        <is>
          <t>SUM</t>
        </is>
      </c>
    </row>
    <row r="11">
      <c r="A11" s="7" t="inlineStr">
        <is>
          <t>一级</t>
        </is>
      </c>
      <c r="B11" s="1" t="inlineStr">
        <is>
          <t>支出</t>
        </is>
      </c>
      <c r="C11" s="8" t="inlineStr">
        <is>
          <t>C02.05</t>
        </is>
      </c>
      <c r="D11" s="7" t="inlineStr">
        <is>
          <t>减：直接费用</t>
        </is>
      </c>
      <c r="F11" t="inlineStr">
        <is>
          <t>C02.90.01+C02.90.02+C02.90.03+C02.90.04+C02.90.05</t>
        </is>
      </c>
      <c r="H11" s="5">
        <f>H12+H15+H18+H25+H26</f>
        <v/>
      </c>
      <c r="I11" s="5">
        <f>I12+I15+I18+I25+I26</f>
        <v/>
      </c>
      <c r="K11" t="inlineStr">
        <is>
          <t>是</t>
        </is>
      </c>
      <c r="M11" t="inlineStr">
        <is>
          <t>05</t>
        </is>
      </c>
    </row>
    <row r="12">
      <c r="A12" s="1" t="inlineStr">
        <is>
          <t>二级</t>
        </is>
      </c>
      <c r="B12" s="1" t="inlineStr">
        <is>
          <t>支出</t>
        </is>
      </c>
      <c r="C12" s="8" t="inlineStr">
        <is>
          <t>C02.05.01</t>
        </is>
      </c>
      <c r="D12" s="1" t="inlineStr">
        <is>
          <t xml:space="preserve">  人力费用（不含IT）</t>
        </is>
      </c>
      <c r="F12" t="inlineStr">
        <is>
          <t>C02.90.01.01+C02.90.01.02</t>
        </is>
      </c>
      <c r="H12" s="5">
        <f>H13+H14</f>
        <v/>
      </c>
      <c r="I12" s="5">
        <f>I13+I14</f>
        <v/>
      </c>
      <c r="K12" t="inlineStr">
        <is>
          <t>是</t>
        </is>
      </c>
      <c r="M12" t="inlineStr">
        <is>
          <t>05.01</t>
        </is>
      </c>
    </row>
    <row r="13">
      <c r="A13" s="1" t="inlineStr">
        <is>
          <t>三级</t>
        </is>
      </c>
      <c r="B13" s="1" t="inlineStr">
        <is>
          <t>支出</t>
        </is>
      </c>
      <c r="C13" s="9" t="inlineStr">
        <is>
          <t>C02.05.01.01</t>
        </is>
      </c>
      <c r="D13" s="1" t="inlineStr">
        <is>
          <t xml:space="preserve">    常规人力</t>
        </is>
      </c>
      <c r="F13" t="inlineStr">
        <is>
          <t>C02.90.01.01.01+C02.90.01.01.02+C02.90.01.01.03+C02.90.01.01.04.001+C02.90.01.01.05.001</t>
        </is>
      </c>
      <c r="K13" t="inlineStr">
        <is>
          <t>是</t>
        </is>
      </c>
      <c r="M13" t="inlineStr">
        <is>
          <t>05.01.01</t>
        </is>
      </c>
    </row>
    <row r="14">
      <c r="A14" s="1" t="inlineStr">
        <is>
          <t>三级</t>
        </is>
      </c>
      <c r="B14" s="1" t="inlineStr">
        <is>
          <t>支出</t>
        </is>
      </c>
      <c r="C14" s="9" t="inlineStr">
        <is>
          <t>C02.05.01.02</t>
        </is>
      </c>
      <c r="D14" s="1" t="inlineStr">
        <is>
          <t xml:space="preserve">    特别人力</t>
        </is>
      </c>
      <c r="F14" t="inlineStr">
        <is>
          <t>C02.90.01.02.01+C02.90.01.02.02+C02.90.01.02.03+C02.90.01.02.04.001+C02.90.01.02.05.001</t>
        </is>
      </c>
      <c r="K14" t="inlineStr">
        <is>
          <t>是</t>
        </is>
      </c>
      <c r="M14" t="inlineStr">
        <is>
          <t>05.01.02</t>
        </is>
      </c>
    </row>
    <row r="15">
      <c r="A15" s="1" t="inlineStr">
        <is>
          <t>二级</t>
        </is>
      </c>
      <c r="B15" s="1" t="inlineStr">
        <is>
          <t>支出</t>
        </is>
      </c>
      <c r="C15" s="8" t="inlineStr">
        <is>
          <t>C02.05.02</t>
        </is>
      </c>
      <c r="D15" s="1" t="inlineStr">
        <is>
          <t xml:space="preserve">  业务费用</t>
        </is>
      </c>
      <c r="F15" t="inlineStr">
        <is>
          <t>C02.90.02.01+C02.90.02.02+C02.90.02.09</t>
        </is>
      </c>
      <c r="H15" s="5">
        <f>H16+H17</f>
        <v/>
      </c>
      <c r="I15" s="5">
        <f>I16+I17</f>
        <v/>
      </c>
      <c r="K15" t="inlineStr">
        <is>
          <t>是</t>
        </is>
      </c>
      <c r="M15" t="inlineStr">
        <is>
          <t>05.02</t>
        </is>
      </c>
    </row>
    <row r="16">
      <c r="A16" s="1" t="inlineStr">
        <is>
          <t>三级</t>
        </is>
      </c>
      <c r="B16" s="1" t="inlineStr">
        <is>
          <t>支出</t>
        </is>
      </c>
      <c r="C16" s="9" t="inlineStr">
        <is>
          <t>C02.05.02.01</t>
        </is>
      </c>
      <c r="D16" s="1" t="inlineStr">
        <is>
          <t xml:space="preserve">    营销费用</t>
        </is>
      </c>
      <c r="K16" t="inlineStr">
        <is>
          <t>是</t>
        </is>
      </c>
      <c r="M16" t="inlineStr">
        <is>
          <t>05.02.01</t>
        </is>
      </c>
      <c r="P16" t="inlineStr">
        <is>
          <t>SUM</t>
        </is>
      </c>
    </row>
    <row r="17">
      <c r="A17" s="1" t="inlineStr">
        <is>
          <t>三级</t>
        </is>
      </c>
      <c r="B17" s="1" t="inlineStr">
        <is>
          <t>支出</t>
        </is>
      </c>
      <c r="C17" s="9" t="inlineStr">
        <is>
          <t>C02.05.02.02</t>
        </is>
      </c>
      <c r="D17" s="1" t="inlineStr">
        <is>
          <t xml:space="preserve">    运营费用</t>
        </is>
      </c>
      <c r="K17" t="inlineStr">
        <is>
          <t>是</t>
        </is>
      </c>
      <c r="M17" t="inlineStr">
        <is>
          <t>05.02.02</t>
        </is>
      </c>
      <c r="P17" t="inlineStr">
        <is>
          <t>SUM</t>
        </is>
      </c>
    </row>
    <row r="18">
      <c r="A18" s="1" t="inlineStr">
        <is>
          <t>二级</t>
        </is>
      </c>
      <c r="B18" s="1" t="inlineStr">
        <is>
          <t>支出</t>
        </is>
      </c>
      <c r="C18" s="8" t="inlineStr">
        <is>
          <t>C02.05.03</t>
        </is>
      </c>
      <c r="D18" s="1" t="inlineStr">
        <is>
          <t xml:space="preserve">  IT费用</t>
        </is>
      </c>
      <c r="F18" t="inlineStr">
        <is>
          <t>C02.90.03.01+C02.90.03.02+C02.90.03.03+C02.90.03.04</t>
        </is>
      </c>
      <c r="H18" s="5">
        <f>H19+H22+H23+H24</f>
        <v/>
      </c>
      <c r="I18" s="5">
        <f>I19+I22+I23+I24</f>
        <v/>
      </c>
      <c r="K18" t="inlineStr">
        <is>
          <t>是</t>
        </is>
      </c>
      <c r="M18" t="inlineStr">
        <is>
          <t>05.03</t>
        </is>
      </c>
    </row>
    <row r="19">
      <c r="A19" s="1" t="inlineStr">
        <is>
          <t>三级</t>
        </is>
      </c>
      <c r="B19" s="1" t="inlineStr">
        <is>
          <t>支出</t>
        </is>
      </c>
      <c r="C19" s="9" t="inlineStr">
        <is>
          <t>C02.05.03.01</t>
        </is>
      </c>
      <c r="D19" s="1" t="inlineStr">
        <is>
          <t xml:space="preserve">    IT人力</t>
        </is>
      </c>
      <c r="F19" t="inlineStr">
        <is>
          <t>C02.90.03.01.01+C02.90.03.01.02</t>
        </is>
      </c>
      <c r="H19" s="5">
        <f>H20+H21</f>
        <v/>
      </c>
      <c r="I19" s="5">
        <f>I20+I21</f>
        <v/>
      </c>
      <c r="K19" t="inlineStr">
        <is>
          <t>是</t>
        </is>
      </c>
      <c r="M19" t="inlineStr">
        <is>
          <t>05.03.01</t>
        </is>
      </c>
    </row>
    <row r="20">
      <c r="A20" s="1" t="inlineStr">
        <is>
          <t>四级</t>
        </is>
      </c>
      <c r="B20" s="1" t="inlineStr">
        <is>
          <t>支出</t>
        </is>
      </c>
      <c r="C20" s="9" t="inlineStr">
        <is>
          <t>C02.05.03.01.01</t>
        </is>
      </c>
      <c r="D20" s="1" t="inlineStr">
        <is>
          <t xml:space="preserve">      IT常规人力</t>
        </is>
      </c>
      <c r="K20" t="inlineStr">
        <is>
          <t>是</t>
        </is>
      </c>
      <c r="M20" t="inlineStr">
        <is>
          <t>05.03.01.01</t>
        </is>
      </c>
      <c r="P20" t="inlineStr">
        <is>
          <t>SUM</t>
        </is>
      </c>
    </row>
    <row r="21">
      <c r="A21" s="1" t="inlineStr">
        <is>
          <t>四级</t>
        </is>
      </c>
      <c r="B21" s="1" t="inlineStr">
        <is>
          <t>支出</t>
        </is>
      </c>
      <c r="C21" s="9" t="inlineStr">
        <is>
          <t>C02.05.03.01.02</t>
        </is>
      </c>
      <c r="D21" s="1" t="inlineStr">
        <is>
          <t xml:space="preserve">      IT特别人力</t>
        </is>
      </c>
      <c r="K21" t="inlineStr">
        <is>
          <t>是</t>
        </is>
      </c>
      <c r="M21" t="inlineStr">
        <is>
          <t>05.03.01.02</t>
        </is>
      </c>
      <c r="P21" t="inlineStr">
        <is>
          <t>SUM</t>
        </is>
      </c>
    </row>
    <row r="22">
      <c r="A22" s="1" t="inlineStr">
        <is>
          <t>三级</t>
        </is>
      </c>
      <c r="B22" s="1" t="inlineStr">
        <is>
          <t>支出</t>
        </is>
      </c>
      <c r="C22" s="9" t="inlineStr">
        <is>
          <t>C02.05.03.02</t>
        </is>
      </c>
      <c r="D22" s="1" t="inlineStr">
        <is>
          <t xml:space="preserve">    科技费用</t>
        </is>
      </c>
      <c r="K22" t="inlineStr">
        <is>
          <t>是</t>
        </is>
      </c>
      <c r="M22" t="inlineStr">
        <is>
          <t>05.03.02</t>
        </is>
      </c>
      <c r="P22" t="inlineStr">
        <is>
          <t>SUM</t>
        </is>
      </c>
    </row>
    <row r="23">
      <c r="A23" s="1" t="inlineStr">
        <is>
          <t>三级</t>
        </is>
      </c>
      <c r="B23" s="1" t="inlineStr">
        <is>
          <t>支出</t>
        </is>
      </c>
      <c r="C23" s="9" t="inlineStr">
        <is>
          <t>C02.05.03.03</t>
        </is>
      </c>
      <c r="D23" s="1" t="inlineStr">
        <is>
          <t xml:space="preserve">    IT职场</t>
        </is>
      </c>
      <c r="K23" t="inlineStr">
        <is>
          <t>是</t>
        </is>
      </c>
      <c r="M23" t="inlineStr">
        <is>
          <t>05.03.03</t>
        </is>
      </c>
      <c r="P23" t="inlineStr">
        <is>
          <t>SUM</t>
        </is>
      </c>
    </row>
    <row r="24">
      <c r="A24" s="1" t="inlineStr">
        <is>
          <t>三级</t>
        </is>
      </c>
      <c r="B24" s="1" t="inlineStr">
        <is>
          <t>支出</t>
        </is>
      </c>
      <c r="C24" s="9" t="inlineStr">
        <is>
          <t>C02.05.03.04</t>
        </is>
      </c>
      <c r="D24" s="1" t="inlineStr">
        <is>
          <t xml:space="preserve">    IT日常</t>
        </is>
      </c>
      <c r="K24" t="inlineStr">
        <is>
          <t>是</t>
        </is>
      </c>
      <c r="M24" t="inlineStr">
        <is>
          <t>05.03.04</t>
        </is>
      </c>
      <c r="P24" t="inlineStr">
        <is>
          <t>SUM</t>
        </is>
      </c>
    </row>
    <row r="25">
      <c r="A25" s="1" t="inlineStr">
        <is>
          <t>二级</t>
        </is>
      </c>
      <c r="B25" s="1" t="inlineStr">
        <is>
          <t>支出</t>
        </is>
      </c>
      <c r="C25" s="8" t="inlineStr">
        <is>
          <t>C02.05.04</t>
        </is>
      </c>
      <c r="D25" s="1" t="inlineStr">
        <is>
          <t xml:space="preserve">  职场费用</t>
        </is>
      </c>
      <c r="K25" t="inlineStr">
        <is>
          <t>是</t>
        </is>
      </c>
      <c r="M25" t="inlineStr">
        <is>
          <t>05.04</t>
        </is>
      </c>
      <c r="P25" t="inlineStr">
        <is>
          <t>SUM</t>
        </is>
      </c>
    </row>
    <row r="26">
      <c r="A26" s="1" t="inlineStr">
        <is>
          <t>二级</t>
        </is>
      </c>
      <c r="B26" s="1" t="inlineStr">
        <is>
          <t>支出</t>
        </is>
      </c>
      <c r="C26" s="8" t="inlineStr">
        <is>
          <t>C02.05.05</t>
        </is>
      </c>
      <c r="D26" s="1" t="inlineStr">
        <is>
          <t xml:space="preserve">  日常费用</t>
        </is>
      </c>
      <c r="K26" t="inlineStr">
        <is>
          <t>是</t>
        </is>
      </c>
      <c r="M26" t="inlineStr">
        <is>
          <t>05.05</t>
        </is>
      </c>
      <c r="P26" t="inlineStr">
        <is>
          <t>SUM</t>
        </is>
      </c>
    </row>
    <row r="27">
      <c r="A27" s="7" t="inlineStr">
        <is>
          <t>一级</t>
        </is>
      </c>
      <c r="B27" s="1" t="inlineStr">
        <is>
          <t>收入</t>
        </is>
      </c>
      <c r="C27" s="8" t="inlineStr">
        <is>
          <t>C02.06</t>
        </is>
      </c>
      <c r="D27" s="7" t="inlineStr">
        <is>
          <t>加：营业外净收入</t>
        </is>
      </c>
      <c r="M27" t="inlineStr">
        <is>
          <t>06</t>
        </is>
      </c>
      <c r="P27" t="inlineStr">
        <is>
          <t>SUM</t>
        </is>
      </c>
    </row>
    <row r="28">
      <c r="A28" s="7" t="inlineStr">
        <is>
          <t>一级</t>
        </is>
      </c>
      <c r="B28" s="1" t="inlineStr">
        <is>
          <t>利润</t>
        </is>
      </c>
      <c r="C28" s="8" t="inlineStr">
        <is>
          <t>C02.07</t>
        </is>
      </c>
      <c r="D28" s="7" t="inlineStr">
        <is>
          <t>分摊前利润</t>
        </is>
      </c>
      <c r="F28" t="inlineStr">
        <is>
          <t>C02.03-C02.04-C02.90+C02.06</t>
        </is>
      </c>
      <c r="H28" s="5">
        <f>H9-H10-H11+H27</f>
        <v/>
      </c>
      <c r="I28" s="5">
        <f>I9-I10-I11+I27</f>
        <v/>
      </c>
      <c r="M28" t="inlineStr">
        <is>
          <t>07</t>
        </is>
      </c>
    </row>
    <row r="29">
      <c r="A29" s="7" t="inlineStr">
        <is>
          <t>一级</t>
        </is>
      </c>
      <c r="B29" s="1" t="inlineStr">
        <is>
          <t>支出</t>
        </is>
      </c>
      <c r="C29" s="8" t="inlineStr">
        <is>
          <t>C02.08</t>
        </is>
      </c>
      <c r="D29" s="7" t="inlineStr">
        <is>
          <t>减：固定管理费</t>
        </is>
      </c>
      <c r="M29" t="inlineStr">
        <is>
          <t>08</t>
        </is>
      </c>
      <c r="P29" t="inlineStr">
        <is>
          <t>SUM</t>
        </is>
      </c>
    </row>
    <row r="30">
      <c r="A30" s="7" t="inlineStr">
        <is>
          <t>一级</t>
        </is>
      </c>
      <c r="B30" s="1" t="inlineStr">
        <is>
          <t>利润</t>
        </is>
      </c>
      <c r="C30" s="8" t="inlineStr">
        <is>
          <t>C02.09</t>
        </is>
      </c>
      <c r="D30" s="7" t="inlineStr">
        <is>
          <t>税前利润</t>
        </is>
      </c>
      <c r="F30" t="inlineStr">
        <is>
          <t>C02.07-C02.08</t>
        </is>
      </c>
      <c r="H30" s="5">
        <f>H28-H29</f>
        <v/>
      </c>
      <c r="I30" s="5">
        <f>I28-I29</f>
        <v/>
      </c>
      <c r="M30" t="inlineStr">
        <is>
          <t>09</t>
        </is>
      </c>
    </row>
    <row r="31">
      <c r="A31" s="10" t="n"/>
      <c r="B31" s="10" t="n"/>
      <c r="C31" s="10" t="n"/>
      <c r="D31" s="10" t="n"/>
    </row>
    <row r="32">
      <c r="A32" s="11" t="inlineStr">
        <is>
          <t>一级</t>
        </is>
      </c>
      <c r="B32" s="11" t="inlineStr">
        <is>
          <t>收入</t>
        </is>
      </c>
      <c r="C32" s="8" t="inlineStr">
        <is>
          <t>C02.18</t>
        </is>
      </c>
      <c r="D32" s="11" t="inlineStr">
        <is>
          <t>手续费收入</t>
        </is>
      </c>
      <c r="F32" t="inlineStr">
        <is>
          <t>C02.18.99</t>
        </is>
      </c>
      <c r="H32" s="5">
        <f>H33</f>
        <v/>
      </c>
      <c r="I32" s="5">
        <f>I33</f>
        <v/>
      </c>
      <c r="M32" t="inlineStr">
        <is>
          <t>18</t>
        </is>
      </c>
    </row>
    <row r="33">
      <c r="A33" s="11" t="inlineStr">
        <is>
          <t>二级</t>
        </is>
      </c>
      <c r="B33" s="11" t="inlineStr">
        <is>
          <t>收入</t>
        </is>
      </c>
      <c r="C33" s="8" t="inlineStr">
        <is>
          <t>C02.18.99</t>
        </is>
      </c>
      <c r="D33" s="11" t="inlineStr">
        <is>
          <t xml:space="preserve">  手续费收入</t>
        </is>
      </c>
      <c r="M33" t="inlineStr">
        <is>
          <t>18.99</t>
        </is>
      </c>
      <c r="P33" t="inlineStr">
        <is>
          <t>SUM</t>
        </is>
      </c>
    </row>
    <row r="34">
      <c r="A34" s="1" t="n"/>
      <c r="B34" s="1" t="n"/>
      <c r="C34" s="9" t="n"/>
      <c r="D34" s="1" t="n"/>
    </row>
    <row r="35">
      <c r="A35" s="11" t="inlineStr">
        <is>
          <t>一级</t>
        </is>
      </c>
      <c r="B35" s="11" t="inlineStr">
        <is>
          <t>支出</t>
        </is>
      </c>
      <c r="C35" s="8" t="inlineStr">
        <is>
          <t>C02.19</t>
        </is>
      </c>
      <c r="D35" s="11" t="inlineStr">
        <is>
          <t>手续费支出</t>
        </is>
      </c>
      <c r="F35" t="inlineStr">
        <is>
          <t>C02.19.99</t>
        </is>
      </c>
      <c r="H35" s="5">
        <f>H36</f>
        <v/>
      </c>
      <c r="I35" s="5">
        <f>I36</f>
        <v/>
      </c>
      <c r="M35" t="inlineStr">
        <is>
          <t>19</t>
        </is>
      </c>
    </row>
    <row r="36">
      <c r="A36" s="11" t="inlineStr">
        <is>
          <t>二级</t>
        </is>
      </c>
      <c r="B36" s="11" t="inlineStr">
        <is>
          <t>支出</t>
        </is>
      </c>
      <c r="C36" s="8" t="inlineStr">
        <is>
          <t>C02.19.99</t>
        </is>
      </c>
      <c r="D36" s="11" t="inlineStr">
        <is>
          <t xml:space="preserve">  手续费支出</t>
        </is>
      </c>
      <c r="M36" t="inlineStr">
        <is>
          <t>19.99</t>
        </is>
      </c>
      <c r="P36" t="inlineStr">
        <is>
          <t>SUM</t>
        </is>
      </c>
    </row>
    <row r="37">
      <c r="A37" s="10" t="n"/>
      <c r="B37" s="10" t="n"/>
      <c r="C37" s="10" t="n"/>
      <c r="D37" s="10" t="n"/>
    </row>
    <row r="38">
      <c r="A38" s="11" t="inlineStr">
        <is>
          <t>一级</t>
        </is>
      </c>
      <c r="B38" s="11" t="inlineStr">
        <is>
          <t>收入</t>
        </is>
      </c>
      <c r="C38" s="11" t="inlineStr">
        <is>
          <t>C02.20</t>
        </is>
      </c>
      <c r="D38" s="11" t="inlineStr">
        <is>
          <t>其他外部营收</t>
        </is>
      </c>
      <c r="M38" t="inlineStr">
        <is>
          <t>20</t>
        </is>
      </c>
      <c r="P38" t="inlineStr">
        <is>
          <t>SUM</t>
        </is>
      </c>
    </row>
    <row r="39">
      <c r="A39" s="10" t="n"/>
      <c r="B39" s="10" t="n"/>
      <c r="C39" s="10" t="n"/>
      <c r="D39" s="10" t="n"/>
    </row>
    <row r="40">
      <c r="A40" s="11" t="inlineStr">
        <is>
          <t>一级</t>
        </is>
      </c>
      <c r="B40" s="11" t="inlineStr">
        <is>
          <t>收入</t>
        </is>
      </c>
      <c r="C40" s="11" t="inlineStr">
        <is>
          <t>C02.21</t>
        </is>
      </c>
      <c r="D40" s="11" t="inlineStr">
        <is>
          <t>内部营业净收入</t>
        </is>
      </c>
      <c r="M40" t="inlineStr">
        <is>
          <t>21</t>
        </is>
      </c>
      <c r="P40" t="inlineStr">
        <is>
          <t>SUM</t>
        </is>
      </c>
    </row>
    <row r="41"/>
    <row r="42">
      <c r="A42" t="inlineStr">
        <is>
          <t>层级</t>
        </is>
      </c>
      <c r="B42" t="inlineStr">
        <is>
          <t>性质</t>
        </is>
      </c>
      <c r="C42" t="inlineStr">
        <is>
          <t>科目代码</t>
        </is>
      </c>
      <c r="D42" t="inlineStr">
        <is>
          <t>科目名称</t>
        </is>
      </c>
      <c r="E42" t="inlineStr">
        <is>
          <t>录入粒度</t>
        </is>
      </c>
      <c r="F42" t="inlineStr">
        <is>
          <t>年预算公式</t>
        </is>
      </c>
      <c r="J42" t="inlineStr">
        <is>
          <t>公式说明</t>
        </is>
      </c>
      <c r="K42" t="inlineStr">
        <is>
          <t>横向汇总</t>
        </is>
      </c>
    </row>
    <row r="43">
      <c r="A43" t="inlineStr">
        <is>
          <t>一级</t>
        </is>
      </c>
      <c r="B43" t="inlineStr">
        <is>
          <t>支出</t>
        </is>
      </c>
      <c r="C43" t="inlineStr">
        <is>
          <t>C02.90</t>
        </is>
      </c>
      <c r="D43" t="inlineStr">
        <is>
          <t>减:业务及管理费</t>
        </is>
      </c>
      <c r="F43" t="inlineStr">
        <is>
          <t>C02.90.01+C02.90.03</t>
        </is>
      </c>
      <c r="K43" t="inlineStr">
        <is>
          <t>是</t>
        </is>
      </c>
      <c r="M43" t="inlineStr">
        <is>
          <t>05</t>
        </is>
      </c>
    </row>
    <row r="44">
      <c r="A44" t="inlineStr">
        <is>
          <t>二级</t>
        </is>
      </c>
      <c r="B44" t="inlineStr">
        <is>
          <t>支出</t>
        </is>
      </c>
      <c r="C44" t="inlineStr">
        <is>
          <t>C02.90.01</t>
        </is>
      </c>
      <c r="D44" t="inlineStr">
        <is>
          <t>直接费用</t>
        </is>
      </c>
      <c r="F44" t="inlineStr">
        <is>
          <t>C02.90.01.01+C02.90.01.02</t>
        </is>
      </c>
      <c r="K44" t="inlineStr">
        <is>
          <t>是</t>
        </is>
      </c>
      <c r="M44" t="inlineStr">
        <is>
          <t>05.01</t>
        </is>
      </c>
    </row>
    <row r="45">
      <c r="A45" t="inlineStr">
        <is>
          <t>三级</t>
        </is>
      </c>
      <c r="B45" t="inlineStr">
        <is>
          <t>支出</t>
        </is>
      </c>
      <c r="C45" t="inlineStr">
        <is>
          <t>C02.90.01.01</t>
        </is>
      </c>
      <c r="D45" t="inlineStr">
        <is>
          <t>直接费用</t>
        </is>
      </c>
      <c r="F45" t="inlineStr">
        <is>
          <t>C02.90.01.01.01+C02.90.01.01.02+C02.90.01.01.03+C02.90.01.01.04.001+C02.90.01.01.05.001</t>
        </is>
      </c>
      <c r="K45" t="inlineStr">
        <is>
          <t>是</t>
        </is>
      </c>
      <c r="M45" t="inlineStr">
        <is>
          <t>05.01.01</t>
        </is>
      </c>
    </row>
    <row r="46">
      <c r="A46" t="inlineStr">
        <is>
          <t>四级</t>
        </is>
      </c>
      <c r="B46" t="inlineStr">
        <is>
          <t>支出</t>
        </is>
      </c>
      <c r="C46" t="inlineStr">
        <is>
          <t>C02.90.01.01.01</t>
        </is>
      </c>
      <c r="D46" t="inlineStr">
        <is>
          <t>人力（不含IT)</t>
        </is>
      </c>
      <c r="F46" t="inlineStr">
        <is>
          <t>C02.90.01.01.01.001+C02.90.01.01.01.002</t>
        </is>
      </c>
      <c r="K46" t="inlineStr">
        <is>
          <t>是</t>
        </is>
      </c>
      <c r="M46" t="inlineStr">
        <is>
          <t>05.01.01.01</t>
        </is>
      </c>
    </row>
    <row r="47">
      <c r="A47" t="inlineStr">
        <is>
          <t>五级</t>
        </is>
      </c>
      <c r="B47" t="inlineStr">
        <is>
          <t>支出</t>
        </is>
      </c>
      <c r="C47" t="inlineStr">
        <is>
          <t>C02.90.01.01.01.001</t>
        </is>
      </c>
      <c r="D47" t="inlineStr">
        <is>
          <t>业务人力</t>
        </is>
      </c>
      <c r="K47" t="inlineStr">
        <is>
          <t>是</t>
        </is>
      </c>
      <c r="M47" t="inlineStr">
        <is>
          <t>05.01.01.01.001</t>
        </is>
      </c>
      <c r="N47" t="inlineStr">
        <is>
          <t>SUM</t>
        </is>
      </c>
    </row>
    <row r="48">
      <c r="A48" t="inlineStr">
        <is>
          <t>五级</t>
        </is>
      </c>
      <c r="B48" t="inlineStr">
        <is>
          <t>支出</t>
        </is>
      </c>
      <c r="C48" t="inlineStr">
        <is>
          <t>C02.90.01.01.01.002</t>
        </is>
      </c>
      <c r="D48" t="inlineStr">
        <is>
          <t>特别人力</t>
        </is>
      </c>
      <c r="K48" t="inlineStr">
        <is>
          <t>是</t>
        </is>
      </c>
      <c r="M48" t="inlineStr">
        <is>
          <t>05.01.01.01.002</t>
        </is>
      </c>
      <c r="N48" t="inlineStr">
        <is>
          <t>SUM</t>
        </is>
      </c>
    </row>
    <row r="49">
      <c r="A49" t="inlineStr">
        <is>
          <t>四级</t>
        </is>
      </c>
      <c r="B49" t="inlineStr">
        <is>
          <t>支出</t>
        </is>
      </c>
      <c r="C49" t="inlineStr">
        <is>
          <t>C02.90.01.01.02</t>
        </is>
      </c>
      <c r="D49" t="inlineStr">
        <is>
          <t>业务费用</t>
        </is>
      </c>
      <c r="F49" t="inlineStr">
        <is>
          <t>C02.90.01.01.02.001+C02.90.01.01.02.002</t>
        </is>
      </c>
      <c r="K49" t="inlineStr">
        <is>
          <t>是</t>
        </is>
      </c>
      <c r="M49" t="inlineStr">
        <is>
          <t>05.01.01.02</t>
        </is>
      </c>
    </row>
    <row r="50">
      <c r="A50" t="inlineStr">
        <is>
          <t>五级</t>
        </is>
      </c>
      <c r="B50" t="inlineStr">
        <is>
          <t>支出</t>
        </is>
      </c>
      <c r="C50" t="inlineStr">
        <is>
          <t>C02.90.01.01.02.001</t>
        </is>
      </c>
      <c r="D50" t="inlineStr">
        <is>
          <t>营销</t>
        </is>
      </c>
      <c r="K50" t="inlineStr">
        <is>
          <t>是</t>
        </is>
      </c>
      <c r="M50" t="inlineStr">
        <is>
          <t>05.01.01.02.001</t>
        </is>
      </c>
      <c r="N50" t="inlineStr">
        <is>
          <t>SUM</t>
        </is>
      </c>
    </row>
    <row r="51">
      <c r="A51" t="inlineStr">
        <is>
          <t>五级</t>
        </is>
      </c>
      <c r="B51" t="inlineStr">
        <is>
          <t>支出</t>
        </is>
      </c>
      <c r="C51" t="inlineStr">
        <is>
          <t>C02.90.01.01.02.002</t>
        </is>
      </c>
      <c r="D51" t="inlineStr">
        <is>
          <t>运营</t>
        </is>
      </c>
      <c r="K51" t="inlineStr">
        <is>
          <t>是</t>
        </is>
      </c>
      <c r="M51" t="inlineStr">
        <is>
          <t>05.01.01.02.002</t>
        </is>
      </c>
      <c r="N51" t="inlineStr">
        <is>
          <t>SUM</t>
        </is>
      </c>
    </row>
    <row r="52">
      <c r="A52" t="inlineStr">
        <is>
          <t>四级</t>
        </is>
      </c>
      <c r="B52" t="inlineStr">
        <is>
          <t>支出</t>
        </is>
      </c>
      <c r="C52" t="inlineStr">
        <is>
          <t>C02.90.01.01.03</t>
        </is>
      </c>
      <c r="D52" t="inlineStr">
        <is>
          <t>IT</t>
        </is>
      </c>
      <c r="F52" t="inlineStr">
        <is>
          <t>C02.90.01.01.03.01+C02.90.01.01.03.02.001+C02.90.01.01.03.03.001+C02.90.01.01.03.04.001</t>
        </is>
      </c>
      <c r="K52" t="inlineStr">
        <is>
          <t>是</t>
        </is>
      </c>
      <c r="M52" t="inlineStr">
        <is>
          <t>05.01.01.03</t>
        </is>
      </c>
    </row>
    <row r="53">
      <c r="A53" t="inlineStr">
        <is>
          <t>五级</t>
        </is>
      </c>
      <c r="B53" t="inlineStr">
        <is>
          <t>支出</t>
        </is>
      </c>
      <c r="C53" t="inlineStr">
        <is>
          <t>C02.90.01.01.03.01</t>
        </is>
      </c>
      <c r="D53" t="inlineStr">
        <is>
          <t>IT人力</t>
        </is>
      </c>
      <c r="F53" t="inlineStr">
        <is>
          <t>C02.90.01.01.03.01.001+C02.90.01.01.03.01.002</t>
        </is>
      </c>
      <c r="K53" t="inlineStr">
        <is>
          <t>是</t>
        </is>
      </c>
      <c r="M53" t="inlineStr">
        <is>
          <t>05.01.01.03.01</t>
        </is>
      </c>
    </row>
    <row r="54">
      <c r="A54" t="inlineStr">
        <is>
          <t>六级</t>
        </is>
      </c>
      <c r="B54" t="inlineStr">
        <is>
          <t>支出</t>
        </is>
      </c>
      <c r="C54" t="inlineStr">
        <is>
          <t>C02.90.01.01.03.01.001</t>
        </is>
      </c>
      <c r="D54" t="inlineStr">
        <is>
          <t>IT常规人力</t>
        </is>
      </c>
      <c r="K54" t="inlineStr">
        <is>
          <t>是</t>
        </is>
      </c>
      <c r="M54" t="inlineStr">
        <is>
          <t>05.01.01.03.01.001</t>
        </is>
      </c>
      <c r="N54" t="inlineStr">
        <is>
          <t>SUM</t>
        </is>
      </c>
    </row>
    <row r="55">
      <c r="A55" t="inlineStr">
        <is>
          <t>六级</t>
        </is>
      </c>
      <c r="B55" t="inlineStr">
        <is>
          <t>支出</t>
        </is>
      </c>
      <c r="C55" t="inlineStr">
        <is>
          <t>C02.90.01.01.03.01.002</t>
        </is>
      </c>
      <c r="D55" t="inlineStr">
        <is>
          <t>IT特别人力</t>
        </is>
      </c>
      <c r="K55" t="inlineStr">
        <is>
          <t>是</t>
        </is>
      </c>
      <c r="M55" t="inlineStr">
        <is>
          <t>05.01.01.03.01.002</t>
        </is>
      </c>
      <c r="N55" t="inlineStr">
        <is>
          <t>SUM</t>
        </is>
      </c>
    </row>
    <row r="56">
      <c r="A56" t="inlineStr">
        <is>
          <t>五级</t>
        </is>
      </c>
      <c r="B56" t="inlineStr">
        <is>
          <t>支出</t>
        </is>
      </c>
      <c r="C56" t="inlineStr">
        <is>
          <t>C02.90.01.01.03.02</t>
        </is>
      </c>
      <c r="D56" t="inlineStr">
        <is>
          <t>科技</t>
        </is>
      </c>
      <c r="K56" t="inlineStr">
        <is>
          <t>是</t>
        </is>
      </c>
      <c r="M56" t="inlineStr">
        <is>
          <t>05.01.01.03.02</t>
        </is>
      </c>
      <c r="N56" t="inlineStr">
        <is>
          <t>SUM</t>
        </is>
      </c>
    </row>
    <row r="57">
      <c r="A57" t="inlineStr">
        <is>
          <t>五级</t>
        </is>
      </c>
      <c r="B57" t="inlineStr">
        <is>
          <t>支出</t>
        </is>
      </c>
      <c r="C57" t="inlineStr">
        <is>
          <t>C02.90.01.01.03.03</t>
        </is>
      </c>
      <c r="D57" t="inlineStr">
        <is>
          <t>IT职场</t>
        </is>
      </c>
      <c r="K57" t="inlineStr">
        <is>
          <t>是</t>
        </is>
      </c>
      <c r="M57" t="inlineStr">
        <is>
          <t>05.01.01.03.03</t>
        </is>
      </c>
      <c r="N57" t="inlineStr">
        <is>
          <t>SUM</t>
        </is>
      </c>
    </row>
    <row r="58">
      <c r="A58" t="inlineStr">
        <is>
          <t>五级</t>
        </is>
      </c>
      <c r="B58" t="inlineStr">
        <is>
          <t>支出</t>
        </is>
      </c>
      <c r="C58" t="inlineStr">
        <is>
          <t>C02.90.01.01.03.04</t>
        </is>
      </c>
      <c r="D58" t="inlineStr">
        <is>
          <t>IT日常</t>
        </is>
      </c>
      <c r="K58" t="inlineStr">
        <is>
          <t>是</t>
        </is>
      </c>
      <c r="M58" t="inlineStr">
        <is>
          <t>05.01.01.03.04</t>
        </is>
      </c>
      <c r="N58" t="inlineStr">
        <is>
          <t>SUM</t>
        </is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C02.90.01.01.04</t>
        </is>
      </c>
      <c r="D59" t="inlineStr">
        <is>
          <t>AA.05.01.01.04</t>
        </is>
      </c>
      <c r="F59" t="inlineStr">
        <is>
          <t>C02.90.01.01.04.001</t>
        </is>
      </c>
      <c r="K59" t="inlineStr">
        <is>
          <t>是</t>
        </is>
      </c>
      <c r="M59" t="inlineStr">
        <is>
          <t>05.01.01.04</t>
        </is>
      </c>
      <c r="N59" t="inlineStr">
        <is>
          <t>SUM</t>
        </is>
      </c>
    </row>
    <row r="60">
      <c r="A60" t="inlineStr">
        <is>
          <t>五级</t>
        </is>
      </c>
      <c r="B60" t="inlineStr">
        <is>
          <t>支出</t>
        </is>
      </c>
      <c r="C60" t="inlineStr">
        <is>
          <t>C02.90.01.01.04.001</t>
        </is>
      </c>
      <c r="D60" t="inlineStr">
        <is>
          <t>职场</t>
        </is>
      </c>
      <c r="K60" t="inlineStr">
        <is>
          <t>是</t>
        </is>
      </c>
      <c r="M60" t="inlineStr">
        <is>
          <t>05.01.01.04.001</t>
        </is>
      </c>
      <c r="N60" t="inlineStr">
        <is>
          <t>SUM</t>
        </is>
      </c>
    </row>
    <row r="61">
      <c r="A61" t="inlineStr">
        <is>
          <t>四级</t>
        </is>
      </c>
      <c r="B61" t="inlineStr">
        <is>
          <t>支出</t>
        </is>
      </c>
      <c r="C61" t="inlineStr">
        <is>
          <t>C02.90.01.01.05</t>
        </is>
      </c>
      <c r="D61" t="inlineStr">
        <is>
          <t>AA.05.01.01.05</t>
        </is>
      </c>
      <c r="F61" t="inlineStr">
        <is>
          <t>C02.90.01.01.05.001</t>
        </is>
      </c>
      <c r="K61" t="inlineStr">
        <is>
          <t>是</t>
        </is>
      </c>
      <c r="M61" t="inlineStr">
        <is>
          <t>05.01.01.05</t>
        </is>
      </c>
      <c r="N61" t="inlineStr">
        <is>
          <t>SUM</t>
        </is>
      </c>
    </row>
    <row r="62">
      <c r="A62" t="inlineStr">
        <is>
          <t>五级</t>
        </is>
      </c>
      <c r="B62" t="inlineStr">
        <is>
          <t>支出</t>
        </is>
      </c>
      <c r="C62" t="inlineStr">
        <is>
          <t>C02.90.01.01.05.001</t>
        </is>
      </c>
      <c r="D62" t="inlineStr">
        <is>
          <t>日常</t>
        </is>
      </c>
      <c r="K62" t="inlineStr">
        <is>
          <t>是</t>
        </is>
      </c>
      <c r="M62" t="inlineStr">
        <is>
          <t>05.01.01.05.001</t>
        </is>
      </c>
      <c r="N62" t="inlineStr">
        <is>
          <t>SUM</t>
        </is>
      </c>
    </row>
    <row r="63">
      <c r="A63" t="inlineStr">
        <is>
          <t>三级</t>
        </is>
      </c>
      <c r="B63" t="inlineStr">
        <is>
          <t>支出</t>
        </is>
      </c>
      <c r="C63" t="inlineStr">
        <is>
          <t>C02.90.01.02</t>
        </is>
      </c>
      <c r="D63" t="inlineStr">
        <is>
          <t>间接费用</t>
        </is>
      </c>
      <c r="F63" t="inlineStr">
        <is>
          <t>C02.90.01.02.01+C02.90.01.02.02+C02.90.01.02.03+C02.90.01.02.04.001+C02.90.01.02.05.001</t>
        </is>
      </c>
      <c r="K63" t="inlineStr">
        <is>
          <t>是</t>
        </is>
      </c>
      <c r="M63" t="inlineStr">
        <is>
          <t>05.01.02</t>
        </is>
      </c>
    </row>
    <row r="64">
      <c r="A64" t="inlineStr">
        <is>
          <t>四级</t>
        </is>
      </c>
      <c r="B64" t="inlineStr">
        <is>
          <t>支出</t>
        </is>
      </c>
      <c r="C64" t="inlineStr">
        <is>
          <t>C02.90.01.02.01</t>
        </is>
      </c>
      <c r="D64" t="inlineStr">
        <is>
          <t>人力（不含IT)</t>
        </is>
      </c>
      <c r="F64" t="inlineStr">
        <is>
          <t>C02.90.01.02.01.001+C02.90.01.02.01.002</t>
        </is>
      </c>
      <c r="K64" t="inlineStr">
        <is>
          <t>是</t>
        </is>
      </c>
      <c r="M64" t="inlineStr">
        <is>
          <t>05.01.02.01</t>
        </is>
      </c>
    </row>
    <row r="65">
      <c r="A65" t="inlineStr">
        <is>
          <t>五级</t>
        </is>
      </c>
      <c r="B65" t="inlineStr">
        <is>
          <t>支出</t>
        </is>
      </c>
      <c r="C65" t="inlineStr">
        <is>
          <t>C02.90.01.02.01.001</t>
        </is>
      </c>
      <c r="D65" t="inlineStr">
        <is>
          <t>业务人力</t>
        </is>
      </c>
      <c r="K65" t="inlineStr">
        <is>
          <t>是</t>
        </is>
      </c>
      <c r="M65" t="inlineStr">
        <is>
          <t>05.01.02.01.001</t>
        </is>
      </c>
      <c r="N65" t="inlineStr">
        <is>
          <t>SUM</t>
        </is>
      </c>
    </row>
    <row r="66">
      <c r="A66" t="inlineStr">
        <is>
          <t>五级</t>
        </is>
      </c>
      <c r="B66" t="inlineStr">
        <is>
          <t>支出</t>
        </is>
      </c>
      <c r="C66" t="inlineStr">
        <is>
          <t>C02.90.01.02.01.002</t>
        </is>
      </c>
      <c r="D66" t="inlineStr">
        <is>
          <t>特别人力</t>
        </is>
      </c>
      <c r="K66" t="inlineStr">
        <is>
          <t>是</t>
        </is>
      </c>
      <c r="M66" t="inlineStr">
        <is>
          <t>05.01.02.01.002</t>
        </is>
      </c>
      <c r="N66" t="inlineStr">
        <is>
          <t>SUM</t>
        </is>
      </c>
    </row>
    <row r="67">
      <c r="A67" t="inlineStr">
        <is>
          <t>四级</t>
        </is>
      </c>
      <c r="B67" t="inlineStr">
        <is>
          <t>支出</t>
        </is>
      </c>
      <c r="C67" t="inlineStr">
        <is>
          <t>C02.90.01.02.02</t>
        </is>
      </c>
      <c r="D67" t="inlineStr">
        <is>
          <t>业务费用</t>
        </is>
      </c>
      <c r="F67" t="inlineStr">
        <is>
          <t>C02.90.01.02.02.001+C02.90.01.02.02.002</t>
        </is>
      </c>
      <c r="K67" t="inlineStr">
        <is>
          <t>是</t>
        </is>
      </c>
      <c r="M67" t="inlineStr">
        <is>
          <t>05.01.02.02</t>
        </is>
      </c>
    </row>
    <row r="68">
      <c r="A68" t="inlineStr">
        <is>
          <t>五级</t>
        </is>
      </c>
      <c r="B68" t="inlineStr">
        <is>
          <t>支出</t>
        </is>
      </c>
      <c r="C68" t="inlineStr">
        <is>
          <t>C02.90.01.02.02.001</t>
        </is>
      </c>
      <c r="D68" t="inlineStr">
        <is>
          <t>营销</t>
        </is>
      </c>
      <c r="K68" t="inlineStr">
        <is>
          <t>是</t>
        </is>
      </c>
      <c r="M68" t="inlineStr">
        <is>
          <t>05.01.02.02.001</t>
        </is>
      </c>
      <c r="N68" t="inlineStr">
        <is>
          <t>SUM</t>
        </is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C02.90.01.02.02.002</t>
        </is>
      </c>
      <c r="D69" t="inlineStr">
        <is>
          <t>运营</t>
        </is>
      </c>
      <c r="K69" t="inlineStr">
        <is>
          <t>是</t>
        </is>
      </c>
      <c r="M69" t="inlineStr">
        <is>
          <t>05.01.02.02.002</t>
        </is>
      </c>
      <c r="N69" t="inlineStr">
        <is>
          <t>SUM</t>
        </is>
      </c>
    </row>
    <row r="70">
      <c r="A70" t="inlineStr">
        <is>
          <t>四级</t>
        </is>
      </c>
      <c r="B70" t="inlineStr">
        <is>
          <t>支出</t>
        </is>
      </c>
      <c r="C70" t="inlineStr">
        <is>
          <t>C02.90.01.02.03</t>
        </is>
      </c>
      <c r="D70" t="inlineStr">
        <is>
          <t>IT</t>
        </is>
      </c>
      <c r="F70" t="inlineStr">
        <is>
          <t>C02.90.01.02.03.01+C02.90.01.02.03.02.001+C02.90.01.02.03.03.001+C02.90.01.02.03.04.001</t>
        </is>
      </c>
      <c r="K70" t="inlineStr">
        <is>
          <t>是</t>
        </is>
      </c>
      <c r="M70" t="inlineStr">
        <is>
          <t>05.01.02.03</t>
        </is>
      </c>
    </row>
    <row r="71">
      <c r="A71" t="inlineStr">
        <is>
          <t>五级</t>
        </is>
      </c>
      <c r="B71" t="inlineStr">
        <is>
          <t>支出</t>
        </is>
      </c>
      <c r="C71" t="inlineStr">
        <is>
          <t>C02.90.01.02.03.01</t>
        </is>
      </c>
      <c r="D71" t="inlineStr">
        <is>
          <t>IT人力</t>
        </is>
      </c>
      <c r="F71" t="inlineStr">
        <is>
          <t>C02.90.01.02.03.01.001+C02.90.01.02.03.01.002</t>
        </is>
      </c>
      <c r="K71" t="inlineStr">
        <is>
          <t>是</t>
        </is>
      </c>
      <c r="M71" t="inlineStr">
        <is>
          <t>05.01.02.03.01</t>
        </is>
      </c>
    </row>
    <row r="72">
      <c r="A72" t="inlineStr">
        <is>
          <t>六级</t>
        </is>
      </c>
      <c r="B72" t="inlineStr">
        <is>
          <t>支出</t>
        </is>
      </c>
      <c r="C72" t="inlineStr">
        <is>
          <t>C02.90.01.02.03.01.001</t>
        </is>
      </c>
      <c r="D72" t="inlineStr">
        <is>
          <t>IT常规人力</t>
        </is>
      </c>
      <c r="K72" t="inlineStr">
        <is>
          <t>是</t>
        </is>
      </c>
      <c r="M72" t="inlineStr">
        <is>
          <t>05.01.02.03.01.001</t>
        </is>
      </c>
      <c r="N72" t="inlineStr">
        <is>
          <t>SUM</t>
        </is>
      </c>
    </row>
    <row r="73">
      <c r="A73" t="inlineStr">
        <is>
          <t>六级</t>
        </is>
      </c>
      <c r="B73" t="inlineStr">
        <is>
          <t>支出</t>
        </is>
      </c>
      <c r="C73" t="inlineStr">
        <is>
          <t>C02.90.01.02.03.01.002</t>
        </is>
      </c>
      <c r="D73" t="inlineStr">
        <is>
          <t>IT特别人力</t>
        </is>
      </c>
      <c r="K73" t="inlineStr">
        <is>
          <t>是</t>
        </is>
      </c>
      <c r="M73" t="inlineStr">
        <is>
          <t>05.01.02.03.01.002</t>
        </is>
      </c>
      <c r="N73" t="inlineStr">
        <is>
          <t>SUM</t>
        </is>
      </c>
    </row>
    <row r="74">
      <c r="A74" t="inlineStr">
        <is>
          <t>五级</t>
        </is>
      </c>
      <c r="B74" t="inlineStr">
        <is>
          <t>支出</t>
        </is>
      </c>
      <c r="C74" t="inlineStr">
        <is>
          <t>C02.90.01.02.03.02</t>
        </is>
      </c>
      <c r="D74" t="inlineStr">
        <is>
          <t>AA.05.01.02.03.02</t>
        </is>
      </c>
      <c r="F74" t="inlineStr">
        <is>
          <t>C02.90.01.02.03.02.001</t>
        </is>
      </c>
      <c r="K74" t="inlineStr">
        <is>
          <t>是</t>
        </is>
      </c>
      <c r="M74" t="inlineStr">
        <is>
          <t>05.01.02.03.02</t>
        </is>
      </c>
      <c r="N74" t="inlineStr">
        <is>
          <t>SUM</t>
        </is>
      </c>
    </row>
    <row r="75">
      <c r="A75" t="inlineStr">
        <is>
          <t>六级</t>
        </is>
      </c>
      <c r="B75" t="inlineStr">
        <is>
          <t>支出</t>
        </is>
      </c>
      <c r="C75" t="inlineStr">
        <is>
          <t>C02.90.01.02.03.02.001</t>
        </is>
      </c>
      <c r="D75" t="inlineStr">
        <is>
          <t>科技</t>
        </is>
      </c>
      <c r="K75" t="inlineStr">
        <is>
          <t>是</t>
        </is>
      </c>
      <c r="M75" t="inlineStr">
        <is>
          <t>05.01.02.03.02.001</t>
        </is>
      </c>
      <c r="N75" t="inlineStr">
        <is>
          <t>SUM</t>
        </is>
      </c>
    </row>
    <row r="76">
      <c r="A76" t="inlineStr">
        <is>
          <t>五级</t>
        </is>
      </c>
      <c r="B76" t="inlineStr">
        <is>
          <t>支出</t>
        </is>
      </c>
      <c r="C76" t="inlineStr">
        <is>
          <t>C02.90.01.02.03.03</t>
        </is>
      </c>
      <c r="D76" t="inlineStr">
        <is>
          <t>AA.05.01.02.03.03</t>
        </is>
      </c>
      <c r="F76" t="inlineStr">
        <is>
          <t>C02.90.01.02.03.03.001</t>
        </is>
      </c>
      <c r="K76" t="inlineStr">
        <is>
          <t>是</t>
        </is>
      </c>
      <c r="M76" t="inlineStr">
        <is>
          <t>05.01.02.03.03</t>
        </is>
      </c>
      <c r="N76" t="inlineStr">
        <is>
          <t>SUM</t>
        </is>
      </c>
    </row>
    <row r="77">
      <c r="A77" t="inlineStr">
        <is>
          <t>六级</t>
        </is>
      </c>
      <c r="B77" t="inlineStr">
        <is>
          <t>支出</t>
        </is>
      </c>
      <c r="C77" t="inlineStr">
        <is>
          <t>C02.90.01.02.03.03.001</t>
        </is>
      </c>
      <c r="D77" t="inlineStr">
        <is>
          <t>IT职场</t>
        </is>
      </c>
      <c r="K77" t="inlineStr">
        <is>
          <t>是</t>
        </is>
      </c>
      <c r="M77" t="inlineStr">
        <is>
          <t>05.01.02.03.03.001</t>
        </is>
      </c>
      <c r="N77" t="inlineStr">
        <is>
          <t>SUM</t>
        </is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C02.90.01.02.03.04</t>
        </is>
      </c>
      <c r="D78" t="inlineStr">
        <is>
          <t>AA.05.01.02.03.04</t>
        </is>
      </c>
      <c r="F78" t="inlineStr">
        <is>
          <t>C02.90.01.02.03.04.001</t>
        </is>
      </c>
      <c r="K78" t="inlineStr">
        <is>
          <t>是</t>
        </is>
      </c>
      <c r="M78" t="inlineStr">
        <is>
          <t>05.01.02.03.04</t>
        </is>
      </c>
      <c r="N78" t="inlineStr">
        <is>
          <t>SUM</t>
        </is>
      </c>
    </row>
    <row r="79">
      <c r="A79" t="inlineStr">
        <is>
          <t>六级</t>
        </is>
      </c>
      <c r="B79" t="inlineStr">
        <is>
          <t>支出</t>
        </is>
      </c>
      <c r="C79" t="inlineStr">
        <is>
          <t>C02.90.01.02.03.04.001</t>
        </is>
      </c>
      <c r="D79" t="inlineStr">
        <is>
          <t>IT日常</t>
        </is>
      </c>
      <c r="K79" t="inlineStr">
        <is>
          <t>是</t>
        </is>
      </c>
      <c r="M79" t="inlineStr">
        <is>
          <t>05.01.02.03.04.001</t>
        </is>
      </c>
      <c r="N79" t="inlineStr">
        <is>
          <t>SUM</t>
        </is>
      </c>
    </row>
    <row r="80">
      <c r="A80" t="inlineStr">
        <is>
          <t>四级</t>
        </is>
      </c>
      <c r="B80" t="inlineStr">
        <is>
          <t>支出</t>
        </is>
      </c>
      <c r="C80" t="inlineStr">
        <is>
          <t>C02.90.01.02.04</t>
        </is>
      </c>
      <c r="D80" t="inlineStr">
        <is>
          <t>AA.05.01.02.04</t>
        </is>
      </c>
      <c r="F80" t="inlineStr">
        <is>
          <t>C02.90.01.02.04.001</t>
        </is>
      </c>
      <c r="K80" t="inlineStr">
        <is>
          <t>是</t>
        </is>
      </c>
      <c r="M80" t="inlineStr">
        <is>
          <t>05.01.02.04</t>
        </is>
      </c>
      <c r="N80" t="inlineStr">
        <is>
          <t>SUM</t>
        </is>
      </c>
    </row>
    <row r="81">
      <c r="A81" t="inlineStr">
        <is>
          <t>五级</t>
        </is>
      </c>
      <c r="B81" t="inlineStr">
        <is>
          <t>支出</t>
        </is>
      </c>
      <c r="C81" t="inlineStr">
        <is>
          <t>C02.90.01.02.04.001</t>
        </is>
      </c>
      <c r="D81" t="inlineStr">
        <is>
          <t>职场</t>
        </is>
      </c>
      <c r="K81" t="inlineStr">
        <is>
          <t>是</t>
        </is>
      </c>
      <c r="M81" t="inlineStr">
        <is>
          <t>05.01.02.04.001</t>
        </is>
      </c>
      <c r="N81" t="inlineStr">
        <is>
          <t>SUM</t>
        </is>
      </c>
    </row>
    <row r="82">
      <c r="A82" t="inlineStr">
        <is>
          <t>四级</t>
        </is>
      </c>
      <c r="B82" t="inlineStr">
        <is>
          <t>支出</t>
        </is>
      </c>
      <c r="C82" t="inlineStr">
        <is>
          <t>C02.90.01.02.05</t>
        </is>
      </c>
      <c r="D82" t="inlineStr">
        <is>
          <t>AA.05.01.02.05</t>
        </is>
      </c>
      <c r="F82" t="inlineStr">
        <is>
          <t>C02.90.01.02.05.001</t>
        </is>
      </c>
      <c r="K82" t="inlineStr">
        <is>
          <t>是</t>
        </is>
      </c>
      <c r="M82" t="inlineStr">
        <is>
          <t>05.01.02.05</t>
        </is>
      </c>
      <c r="N82" t="inlineStr">
        <is>
          <t>SUM</t>
        </is>
      </c>
    </row>
    <row r="83">
      <c r="A83" t="inlineStr">
        <is>
          <t>五级</t>
        </is>
      </c>
      <c r="B83" t="inlineStr">
        <is>
          <t>支出</t>
        </is>
      </c>
      <c r="C83" t="inlineStr">
        <is>
          <t>C02.90.01.02.05.001</t>
        </is>
      </c>
      <c r="D83" t="inlineStr">
        <is>
          <t>日常</t>
        </is>
      </c>
      <c r="K83" t="inlineStr">
        <is>
          <t>是</t>
        </is>
      </c>
      <c r="M83" t="inlineStr">
        <is>
          <t>05.01.02.05.001</t>
        </is>
      </c>
      <c r="N83" t="inlineStr">
        <is>
          <t>SUM</t>
        </is>
      </c>
    </row>
    <row r="84">
      <c r="A84" t="inlineStr">
        <is>
          <t>二级</t>
        </is>
      </c>
      <c r="B84" t="inlineStr">
        <is>
          <t>支出</t>
        </is>
      </c>
      <c r="C84" t="inlineStr">
        <is>
          <t>C02.90.02</t>
        </is>
      </c>
      <c r="D84" t="inlineStr">
        <is>
          <t>业务费用</t>
        </is>
      </c>
      <c r="F84" t="inlineStr">
        <is>
          <t>C02.90.02.01+C02.90.02.02</t>
        </is>
      </c>
      <c r="K84" t="inlineStr">
        <is>
          <t>是</t>
        </is>
      </c>
      <c r="N84" t="inlineStr">
        <is>
          <t>SUM</t>
        </is>
      </c>
    </row>
    <row r="85">
      <c r="A85" t="inlineStr">
        <is>
          <t>三级</t>
        </is>
      </c>
      <c r="B85" t="inlineStr">
        <is>
          <t>支出</t>
        </is>
      </c>
      <c r="C85" t="inlineStr">
        <is>
          <t>C02.90.02.01</t>
        </is>
      </c>
      <c r="D85" t="inlineStr">
        <is>
          <t>营销费用</t>
        </is>
      </c>
      <c r="K85" t="inlineStr">
        <is>
          <t>是</t>
        </is>
      </c>
      <c r="N85" t="inlineStr">
        <is>
          <t>SUM</t>
        </is>
      </c>
    </row>
    <row r="86">
      <c r="A86" t="inlineStr">
        <is>
          <t>三级</t>
        </is>
      </c>
      <c r="B86" t="inlineStr">
        <is>
          <t>支出</t>
        </is>
      </c>
      <c r="C86" t="inlineStr">
        <is>
          <t>C02.90.02.02</t>
        </is>
      </c>
      <c r="D86" t="inlineStr">
        <is>
          <t>运营费用</t>
        </is>
      </c>
      <c r="K86" t="inlineStr">
        <is>
          <t>是</t>
        </is>
      </c>
      <c r="N86" t="inlineStr">
        <is>
          <t>SUM</t>
        </is>
      </c>
    </row>
    <row r="87">
      <c r="A87" t="inlineStr">
        <is>
          <t>二级</t>
        </is>
      </c>
      <c r="B87" t="inlineStr">
        <is>
          <t>支出</t>
        </is>
      </c>
      <c r="C87" t="inlineStr">
        <is>
          <t>C02.90.03</t>
        </is>
      </c>
      <c r="D87" t="inlineStr">
        <is>
          <t>业务支出评估</t>
        </is>
      </c>
      <c r="F87" t="inlineStr">
        <is>
          <t>C02.90.03.09</t>
        </is>
      </c>
      <c r="K87" t="inlineStr">
        <is>
          <t>是</t>
        </is>
      </c>
      <c r="M87" t="inlineStr">
        <is>
          <t>05.02</t>
        </is>
      </c>
    </row>
    <row r="88">
      <c r="A88" t="inlineStr">
        <is>
          <t>三级</t>
        </is>
      </c>
      <c r="B88" t="inlineStr">
        <is>
          <t>支出</t>
        </is>
      </c>
      <c r="C88" t="inlineStr">
        <is>
          <t>C02.90.03.09</t>
        </is>
      </c>
      <c r="D88" t="inlineStr">
        <is>
          <t>客户经营指标</t>
        </is>
      </c>
      <c r="F88" t="inlineStr">
        <is>
          <t>C02.90.03.09.01+C02.90.03.09.02+C02.90.03.09.03</t>
        </is>
      </c>
      <c r="K88" t="inlineStr">
        <is>
          <t>是</t>
        </is>
      </c>
      <c r="M88" t="inlineStr">
        <is>
          <t>05.02.09</t>
        </is>
      </c>
    </row>
    <row r="89">
      <c r="A89" t="inlineStr">
        <is>
          <t>四级</t>
        </is>
      </c>
      <c r="B89" t="inlineStr">
        <is>
          <t>支出</t>
        </is>
      </c>
      <c r="C89" t="inlineStr">
        <is>
          <t>C02.90.03.09.01</t>
        </is>
      </c>
      <c r="D89" t="inlineStr">
        <is>
          <t>客户营销与投入</t>
        </is>
      </c>
      <c r="F89" t="inlineStr">
        <is>
          <t>C02.90.03.09.01.001+C02.90.03.09.01.002+C02.90.03.09.01.003+C02.90.03.09.01.004</t>
        </is>
      </c>
      <c r="K89" t="inlineStr">
        <is>
          <t>是</t>
        </is>
      </c>
      <c r="M89" t="inlineStr">
        <is>
          <t>05.02.09.01</t>
        </is>
      </c>
    </row>
    <row r="90">
      <c r="A90" t="inlineStr">
        <is>
          <t>五级</t>
        </is>
      </c>
      <c r="B90" t="inlineStr">
        <is>
          <t>支出</t>
        </is>
      </c>
      <c r="C90" t="inlineStr">
        <is>
          <t>C02.90.03.09.01.001</t>
        </is>
      </c>
      <c r="D90" t="inlineStr">
        <is>
          <t>新客营销支出</t>
        </is>
      </c>
      <c r="K90" t="inlineStr">
        <is>
          <t>是</t>
        </is>
      </c>
      <c r="M90" t="inlineStr">
        <is>
          <t>05.02.09.01.001</t>
        </is>
      </c>
      <c r="N90" t="inlineStr">
        <is>
          <t>SUM</t>
        </is>
      </c>
    </row>
    <row r="91">
      <c r="A91" t="inlineStr">
        <is>
          <t>五级</t>
        </is>
      </c>
      <c r="B91" t="inlineStr">
        <is>
          <t>支出</t>
        </is>
      </c>
      <c r="C91" t="inlineStr">
        <is>
          <t>C02.90.03.09.01.002</t>
        </is>
      </c>
      <c r="D91" t="inlineStr">
        <is>
          <t>存客营销支出</t>
        </is>
      </c>
      <c r="K91" t="inlineStr">
        <is>
          <t>是</t>
        </is>
      </c>
      <c r="M91" t="inlineStr">
        <is>
          <t>05.02.09.01.002</t>
        </is>
      </c>
      <c r="N91" t="inlineStr">
        <is>
          <t>SUM</t>
        </is>
      </c>
    </row>
    <row r="92">
      <c r="A92" t="inlineStr">
        <is>
          <t>五级</t>
        </is>
      </c>
      <c r="B92" t="inlineStr">
        <is>
          <t>支出</t>
        </is>
      </c>
      <c r="C92" t="inlineStr">
        <is>
          <t>C02.90.03.09.01.003</t>
        </is>
      </c>
      <c r="D92" t="inlineStr">
        <is>
          <t>新开通客户投入</t>
        </is>
      </c>
      <c r="K92" t="inlineStr">
        <is>
          <t>是</t>
        </is>
      </c>
      <c r="M92" t="inlineStr">
        <is>
          <t>05.02.09.01.003</t>
        </is>
      </c>
      <c r="N92" t="inlineStr">
        <is>
          <t>SUM</t>
        </is>
      </c>
    </row>
    <row r="93">
      <c r="A93" t="inlineStr">
        <is>
          <t>五级</t>
        </is>
      </c>
      <c r="B93" t="inlineStr">
        <is>
          <t>支出</t>
        </is>
      </c>
      <c r="C93" t="inlineStr">
        <is>
          <t>C02.90.03.09.01.004</t>
        </is>
      </c>
      <c r="D93" t="inlineStr">
        <is>
          <t>新发放投入</t>
        </is>
      </c>
      <c r="K93" t="inlineStr">
        <is>
          <t>是</t>
        </is>
      </c>
      <c r="M93" t="inlineStr">
        <is>
          <t>05.02.09.01.004</t>
        </is>
      </c>
      <c r="N93" t="inlineStr">
        <is>
          <t>SUM</t>
        </is>
      </c>
    </row>
    <row r="94">
      <c r="A94" t="inlineStr">
        <is>
          <t>四级</t>
        </is>
      </c>
      <c r="B94" t="inlineStr">
        <is>
          <t>支出</t>
        </is>
      </c>
      <c r="C94" t="inlineStr">
        <is>
          <t>C02.90.03.09.02</t>
        </is>
      </c>
      <c r="D94" t="inlineStr">
        <is>
          <t>客户规模与数量</t>
        </is>
      </c>
      <c r="F94" t="inlineStr">
        <is>
          <t>C02.90.03.09.02.101+C02.90.03.09.02.102+C02.90.03.09.02.103</t>
        </is>
      </c>
      <c r="K94" t="inlineStr">
        <is>
          <t>是</t>
        </is>
      </c>
      <c r="M94" t="inlineStr">
        <is>
          <t>05.02.09.02</t>
        </is>
      </c>
    </row>
    <row r="95">
      <c r="A95" t="inlineStr">
        <is>
          <t>五级</t>
        </is>
      </c>
      <c r="B95" t="inlineStr">
        <is>
          <t>支出</t>
        </is>
      </c>
      <c r="C95" t="inlineStr">
        <is>
          <t>C02.90.03.09.02.001</t>
        </is>
      </c>
      <c r="D95" t="inlineStr">
        <is>
          <t>新客日均LUM</t>
        </is>
      </c>
      <c r="K95" t="inlineStr">
        <is>
          <t>是</t>
        </is>
      </c>
      <c r="M95" t="inlineStr">
        <is>
          <t>05.02.09.02.001</t>
        </is>
      </c>
      <c r="N95" t="inlineStr">
        <is>
          <t>SUM</t>
        </is>
      </c>
    </row>
    <row r="96">
      <c r="A96" t="inlineStr">
        <is>
          <t>五级</t>
        </is>
      </c>
      <c r="B96" t="inlineStr">
        <is>
          <t>支出</t>
        </is>
      </c>
      <c r="C96" t="inlineStr">
        <is>
          <t>C02.90.03.09.02.002</t>
        </is>
      </c>
      <c r="D96" t="inlineStr">
        <is>
          <t>存客日均LUM</t>
        </is>
      </c>
      <c r="K96" t="inlineStr">
        <is>
          <t>是</t>
        </is>
      </c>
      <c r="M96" t="inlineStr">
        <is>
          <t>05.02.09.02.002</t>
        </is>
      </c>
      <c r="N96" t="inlineStr">
        <is>
          <t>SUM</t>
        </is>
      </c>
    </row>
    <row r="97">
      <c r="A97" t="inlineStr">
        <is>
          <t>五级</t>
        </is>
      </c>
      <c r="B97" t="inlineStr">
        <is>
          <t>支出</t>
        </is>
      </c>
      <c r="C97" t="inlineStr">
        <is>
          <t>C02.90.03.09.02.003</t>
        </is>
      </c>
      <c r="D97" t="inlineStr">
        <is>
          <t>新开通客户数</t>
        </is>
      </c>
      <c r="K97" t="inlineStr">
        <is>
          <t>是</t>
        </is>
      </c>
      <c r="M97" t="inlineStr">
        <is>
          <t>05.02.09.02.003</t>
        </is>
      </c>
      <c r="N97" t="inlineStr">
        <is>
          <t>SUM</t>
        </is>
      </c>
    </row>
    <row r="98">
      <c r="A98" t="inlineStr">
        <is>
          <t>五级</t>
        </is>
      </c>
      <c r="B98" t="inlineStr">
        <is>
          <t>支出</t>
        </is>
      </c>
      <c r="C98" t="inlineStr">
        <is>
          <t>C02.90.03.09.02.004</t>
        </is>
      </c>
      <c r="D98" t="inlineStr">
        <is>
          <t>平均有效客户数</t>
        </is>
      </c>
      <c r="K98" t="inlineStr">
        <is>
          <t>是</t>
        </is>
      </c>
      <c r="M98" t="inlineStr">
        <is>
          <t>05.02.09.02.004</t>
        </is>
      </c>
      <c r="N98" t="inlineStr">
        <is>
          <t>SUM</t>
        </is>
      </c>
    </row>
    <row r="99">
      <c r="A99" t="inlineStr">
        <is>
          <t>五级</t>
        </is>
      </c>
      <c r="B99" t="inlineStr">
        <is>
          <t>支出</t>
        </is>
      </c>
      <c r="C99" t="inlineStr">
        <is>
          <t>C02.90.03.09.02.005</t>
        </is>
      </c>
      <c r="D99" t="inlineStr">
        <is>
          <t>新发放LUM</t>
        </is>
      </c>
      <c r="K99" t="inlineStr">
        <is>
          <t>是</t>
        </is>
      </c>
      <c r="M99" t="inlineStr">
        <is>
          <t>05.02.09.02.005</t>
        </is>
      </c>
      <c r="N99" t="inlineStr">
        <is>
          <t>SUM</t>
        </is>
      </c>
    </row>
    <row r="100">
      <c r="A100" t="inlineStr">
        <is>
          <t>五级</t>
        </is>
      </c>
      <c r="B100" t="inlineStr">
        <is>
          <t>支出</t>
        </is>
      </c>
      <c r="C100" t="inlineStr">
        <is>
          <t>C02.90.03.09.02.006</t>
        </is>
      </c>
      <c r="D100" t="inlineStr">
        <is>
          <t>新发放LUM（标服）</t>
        </is>
      </c>
      <c r="K100" t="inlineStr">
        <is>
          <t>是</t>
        </is>
      </c>
      <c r="M100" t="inlineStr">
        <is>
          <t>05.02.09.02.006</t>
        </is>
      </c>
      <c r="N100" t="inlineStr">
        <is>
          <t>SUM</t>
        </is>
      </c>
    </row>
    <row r="101">
      <c r="A101" t="inlineStr">
        <is>
          <t>五级</t>
        </is>
      </c>
      <c r="B101" t="inlineStr">
        <is>
          <t>支出</t>
        </is>
      </c>
      <c r="C101" t="inlineStr">
        <is>
          <t>C02.90.03.09.02.007</t>
        </is>
      </c>
      <c r="D101" t="inlineStr">
        <is>
          <t>存客日均AuM</t>
        </is>
      </c>
      <c r="K101" t="inlineStr">
        <is>
          <t>是</t>
        </is>
      </c>
      <c r="M101" t="inlineStr">
        <is>
          <t>05.02.09.02.007</t>
        </is>
      </c>
      <c r="N101" t="inlineStr">
        <is>
          <t>SUM</t>
        </is>
      </c>
    </row>
    <row r="102">
      <c r="A102" t="inlineStr">
        <is>
          <t>五级</t>
        </is>
      </c>
      <c r="B102" t="inlineStr">
        <is>
          <t>支出</t>
        </is>
      </c>
      <c r="C102" t="inlineStr">
        <is>
          <t>C02.90.03.09.02.008</t>
        </is>
      </c>
      <c r="D102" t="inlineStr">
        <is>
          <t>新客AuM余额</t>
        </is>
      </c>
      <c r="K102" t="inlineStr">
        <is>
          <t>是</t>
        </is>
      </c>
      <c r="M102" t="inlineStr">
        <is>
          <t>05.02.09.02.008</t>
        </is>
      </c>
      <c r="N102" t="inlineStr">
        <is>
          <t>SUM</t>
        </is>
      </c>
    </row>
    <row r="103">
      <c r="A103" t="inlineStr">
        <is>
          <t>五级</t>
        </is>
      </c>
      <c r="B103" t="inlineStr">
        <is>
          <t>支出</t>
        </is>
      </c>
      <c r="C103" t="inlineStr">
        <is>
          <t>C02.90.03.09.02.009</t>
        </is>
      </c>
      <c r="D103" t="inlineStr">
        <is>
          <t>MFAU客户数</t>
        </is>
      </c>
      <c r="K103" t="inlineStr">
        <is>
          <t>是</t>
        </is>
      </c>
      <c r="M103" t="inlineStr">
        <is>
          <t>05.02.09.02.009</t>
        </is>
      </c>
      <c r="N103" t="inlineStr">
        <is>
          <t>SUM</t>
        </is>
      </c>
    </row>
    <row r="104">
      <c r="A104" t="inlineStr">
        <is>
          <t>五级</t>
        </is>
      </c>
      <c r="B104" t="inlineStr">
        <is>
          <t>支出</t>
        </is>
      </c>
      <c r="C104" t="inlineStr">
        <is>
          <t>C02.90.03.09.02.010</t>
        </is>
      </c>
      <c r="D104" t="inlineStr">
        <is>
          <t>日均LUM</t>
        </is>
      </c>
      <c r="K104" t="inlineStr">
        <is>
          <t>是</t>
        </is>
      </c>
      <c r="M104" t="inlineStr">
        <is>
          <t>05.02.09.02.010</t>
        </is>
      </c>
      <c r="N104" t="inlineStr">
        <is>
          <t>SUM</t>
        </is>
      </c>
    </row>
    <row r="105">
      <c r="A105" t="inlineStr">
        <is>
          <t>五级</t>
        </is>
      </c>
      <c r="B105" t="inlineStr">
        <is>
          <t>支出</t>
        </is>
      </c>
      <c r="C105" t="inlineStr">
        <is>
          <t>C02.90.03.09.02.011</t>
        </is>
      </c>
      <c r="D105" t="inlineStr">
        <is>
          <t>日均AuM</t>
        </is>
      </c>
      <c r="K105" t="inlineStr">
        <is>
          <t>是</t>
        </is>
      </c>
      <c r="M105" t="inlineStr">
        <is>
          <t>05.02.09.02.011</t>
        </is>
      </c>
      <c r="N105" t="inlineStr">
        <is>
          <t>SUM</t>
        </is>
      </c>
    </row>
    <row r="106">
      <c r="A106" t="inlineStr">
        <is>
          <t>五级</t>
        </is>
      </c>
      <c r="B106" t="inlineStr">
        <is>
          <t>支出</t>
        </is>
      </c>
      <c r="C106" t="inlineStr">
        <is>
          <t>C02.90.03.09.02.101</t>
        </is>
      </c>
      <c r="D106" t="inlineStr">
        <is>
          <t>LUM规模</t>
        </is>
      </c>
      <c r="F106" t="inlineStr">
        <is>
          <t>C02.90.03.09.02.001+C02.90.03.09.02.002+C02.90.03.09.02.005+C02.90.03.09.02.006+C02.90.03.09.02.010</t>
        </is>
      </c>
      <c r="K106" t="inlineStr">
        <is>
          <t>是</t>
        </is>
      </c>
      <c r="M106" t="inlineStr">
        <is>
          <t>05.02.09.02.101</t>
        </is>
      </c>
    </row>
    <row r="107">
      <c r="A107" t="inlineStr">
        <is>
          <t>五级</t>
        </is>
      </c>
      <c r="B107" t="inlineStr">
        <is>
          <t>支出</t>
        </is>
      </c>
      <c r="C107" t="inlineStr">
        <is>
          <t>C02.90.03.09.02.102</t>
        </is>
      </c>
      <c r="D107" t="inlineStr">
        <is>
          <t>AuM规模</t>
        </is>
      </c>
      <c r="F107" t="inlineStr">
        <is>
          <t>C02.90.03.09.02.007+C02.90.03.09.02.008+C02.90.03.09.02.011</t>
        </is>
      </c>
      <c r="K107" t="inlineStr">
        <is>
          <t>是</t>
        </is>
      </c>
      <c r="M107" t="inlineStr">
        <is>
          <t>05.02.09.02.102</t>
        </is>
      </c>
    </row>
    <row r="108">
      <c r="A108" t="inlineStr">
        <is>
          <t>五级</t>
        </is>
      </c>
      <c r="B108" t="inlineStr">
        <is>
          <t>支出</t>
        </is>
      </c>
      <c r="C108" t="inlineStr">
        <is>
          <t>C02.90.03.09.02.103</t>
        </is>
      </c>
      <c r="D108" t="inlineStr">
        <is>
          <t>客户数量</t>
        </is>
      </c>
      <c r="F108" t="inlineStr">
        <is>
          <t>C02.90.03.09.02.003+C02.90.03.09.02.004+C02.90.03.09.02.009</t>
        </is>
      </c>
      <c r="K108" t="inlineStr">
        <is>
          <t>是</t>
        </is>
      </c>
      <c r="M108" t="inlineStr">
        <is>
          <t>05.02.09.02.103</t>
        </is>
      </c>
    </row>
    <row r="109">
      <c r="A109" t="inlineStr">
        <is>
          <t>四级</t>
        </is>
      </c>
      <c r="B109" t="inlineStr">
        <is>
          <t>支出</t>
        </is>
      </c>
      <c r="C109" t="inlineStr">
        <is>
          <t>C02.90.03.09.03</t>
        </is>
      </c>
      <c r="D109" t="inlineStr">
        <is>
          <t>客户回收与催收</t>
        </is>
      </c>
      <c r="F109" t="inlineStr">
        <is>
          <t>C02.90.03.09.03.001+C02.90.03.09.03.002+C02.90.03.09.03.003</t>
        </is>
      </c>
      <c r="K109" t="inlineStr">
        <is>
          <t>是</t>
        </is>
      </c>
      <c r="M109" t="inlineStr">
        <is>
          <t>05.02.09.03</t>
        </is>
      </c>
    </row>
    <row r="110">
      <c r="A110" t="inlineStr">
        <is>
          <t>五级</t>
        </is>
      </c>
      <c r="B110" t="inlineStr">
        <is>
          <t>支出</t>
        </is>
      </c>
      <c r="C110" t="inlineStr">
        <is>
          <t>C02.90.03.09.03.001</t>
        </is>
      </c>
      <c r="D110" t="inlineStr">
        <is>
          <t>内催回收额</t>
        </is>
      </c>
      <c r="K110" t="inlineStr">
        <is>
          <t>是</t>
        </is>
      </c>
      <c r="M110" t="inlineStr">
        <is>
          <t>05.02.09.03.001</t>
        </is>
      </c>
      <c r="N110" t="inlineStr">
        <is>
          <t>SUM</t>
        </is>
      </c>
    </row>
    <row r="111">
      <c r="A111" t="inlineStr">
        <is>
          <t>五级</t>
        </is>
      </c>
      <c r="B111" t="inlineStr">
        <is>
          <t>支出</t>
        </is>
      </c>
      <c r="C111" t="inlineStr">
        <is>
          <t>C02.90.03.09.03.002</t>
        </is>
      </c>
      <c r="D111" t="inlineStr">
        <is>
          <t>M6-压降金额</t>
        </is>
      </c>
      <c r="K111" t="inlineStr">
        <is>
          <t>是</t>
        </is>
      </c>
      <c r="M111" t="inlineStr">
        <is>
          <t>05.02.09.03.002</t>
        </is>
      </c>
      <c r="N111" t="inlineStr">
        <is>
          <t>SUM</t>
        </is>
      </c>
    </row>
    <row r="112">
      <c r="A112" t="inlineStr">
        <is>
          <t>五级</t>
        </is>
      </c>
      <c r="B112" t="inlineStr">
        <is>
          <t>支出</t>
        </is>
      </c>
      <c r="C112" t="inlineStr">
        <is>
          <t>C02.90.03.09.03.003</t>
        </is>
      </c>
      <c r="D112" t="inlineStr">
        <is>
          <t>M7+现金回收额</t>
        </is>
      </c>
      <c r="K112" t="inlineStr">
        <is>
          <t>是</t>
        </is>
      </c>
      <c r="M112" t="inlineStr">
        <is>
          <t>05.02.09.03.003</t>
        </is>
      </c>
      <c r="N112" t="inlineStr">
        <is>
          <t>SUM</t>
        </is>
      </c>
    </row>
    <row r="113"/>
    <row r="114"/>
    <row r="115"/>
    <row r="116"/>
    <row r="117"/>
    <row r="118"/>
    <row r="119"/>
    <row r="120"/>
    <row r="121"/>
    <row r="122"/>
    <row r="123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H116"/>
  <sheetViews>
    <sheetView workbookViewId="0">
      <selection activeCell="D2" sqref="D2"/>
    </sheetView>
  </sheetViews>
  <sheetFormatPr baseColWidth="8" defaultColWidth="9" defaultRowHeight="16.8"/>
  <cols>
    <col width="10.8303571428571" customWidth="1" min="3" max="3"/>
    <col width="17.5" customWidth="1" min="4" max="4"/>
  </cols>
  <sheetData>
    <row r="1" ht="15" customFormat="1" customHeight="1" s="1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" t="inlineStr">
        <is>
          <t>录入粒度</t>
        </is>
      </c>
      <c r="F1" t="inlineStr">
        <is>
          <t>年预算公式</t>
        </is>
      </c>
      <c r="G1" t="inlineStr">
        <is>
          <t>年预测公式</t>
        </is>
      </c>
      <c r="H1" t="inlineStr">
        <is>
          <t>实际月公式</t>
        </is>
      </c>
      <c r="I1" t="inlineStr">
        <is>
          <t>预测月公式</t>
        </is>
      </c>
      <c r="J1" t="inlineStr">
        <is>
          <t>公式说明</t>
        </is>
      </c>
      <c r="K1" t="inlineStr">
        <is>
          <t>横向汇总</t>
        </is>
      </c>
      <c r="L1" t="inlineStr">
        <is>
          <t>纵向汇总</t>
        </is>
      </c>
      <c r="M1" t="inlineStr">
        <is>
          <t>逻辑码</t>
        </is>
      </c>
      <c r="N1" t="inlineStr">
        <is>
          <t>规则</t>
        </is>
      </c>
    </row>
    <row r="2">
      <c r="A2" s="7" t="inlineStr">
        <is>
          <t>一级</t>
        </is>
      </c>
      <c r="B2" s="1" t="inlineStr">
        <is>
          <t>收入</t>
        </is>
      </c>
      <c r="C2" s="8" t="inlineStr">
        <is>
          <t>D.01</t>
        </is>
      </c>
      <c r="D2" s="7" t="inlineStr">
        <is>
          <t>营业收入</t>
        </is>
      </c>
      <c r="F2" t="inlineStr">
        <is>
          <t>D.01.01+D.01.02+D.01.03</t>
        </is>
      </c>
      <c r="K2" t="inlineStr">
        <is>
          <t>是</t>
        </is>
      </c>
      <c r="M2" t="inlineStr">
        <is>
          <t>01</t>
        </is>
      </c>
    </row>
    <row r="3">
      <c r="A3" s="1" t="inlineStr">
        <is>
          <t>二级</t>
        </is>
      </c>
      <c r="B3" s="1" t="inlineStr">
        <is>
          <t>收入</t>
        </is>
      </c>
      <c r="C3" s="8" t="inlineStr">
        <is>
          <t>D.01.01</t>
        </is>
      </c>
      <c r="D3" s="1" t="inlineStr">
        <is>
          <t xml:space="preserve">  利息净收入</t>
        </is>
      </c>
      <c r="F3" t="inlineStr">
        <is>
          <t>D.01.01.01+D.01.01.02</t>
        </is>
      </c>
      <c r="K3" t="inlineStr">
        <is>
          <t>是</t>
        </is>
      </c>
      <c r="M3" t="inlineStr">
        <is>
          <t>01.01</t>
        </is>
      </c>
    </row>
    <row r="4">
      <c r="A4" s="1" t="inlineStr">
        <is>
          <t>三级</t>
        </is>
      </c>
      <c r="B4" s="1" t="inlineStr">
        <is>
          <t>收入</t>
        </is>
      </c>
      <c r="C4" s="9" t="inlineStr">
        <is>
          <t>D.01.01.01</t>
        </is>
      </c>
      <c r="D4" s="1" t="inlineStr">
        <is>
          <t xml:space="preserve">    资产业务</t>
        </is>
      </c>
      <c r="M4" t="inlineStr">
        <is>
          <t>01.01.01</t>
        </is>
      </c>
      <c r="N4" t="inlineStr">
        <is>
          <t>SUM</t>
        </is>
      </c>
    </row>
    <row r="5">
      <c r="A5" s="10" t="inlineStr">
        <is>
          <t>一级</t>
        </is>
      </c>
      <c r="B5" s="10" t="inlineStr">
        <is>
          <t>收入</t>
        </is>
      </c>
      <c r="C5" s="10" t="inlineStr">
        <is>
          <t>D.14</t>
        </is>
      </c>
      <c r="D5" s="10" t="inlineStr">
        <is>
          <t xml:space="preserve">      利息收入</t>
        </is>
      </c>
      <c r="K5" t="inlineStr">
        <is>
          <t>是</t>
        </is>
      </c>
      <c r="M5" t="inlineStr">
        <is>
          <t>14</t>
        </is>
      </c>
      <c r="N5" t="inlineStr">
        <is>
          <t>SUM</t>
        </is>
      </c>
    </row>
    <row r="6">
      <c r="A6" s="1" t="inlineStr">
        <is>
          <t>一级</t>
        </is>
      </c>
      <c r="B6" s="1" t="inlineStr">
        <is>
          <t>支出</t>
        </is>
      </c>
      <c r="C6" s="9" t="inlineStr">
        <is>
          <t>D.15</t>
        </is>
      </c>
      <c r="D6" s="1" t="inlineStr">
        <is>
          <t xml:space="preserve">      FTP成本</t>
        </is>
      </c>
      <c r="M6" t="inlineStr">
        <is>
          <t>15</t>
        </is>
      </c>
      <c r="N6" t="inlineStr">
        <is>
          <t>SUM</t>
        </is>
      </c>
    </row>
    <row r="7">
      <c r="A7" s="1" t="inlineStr">
        <is>
          <t>三级</t>
        </is>
      </c>
      <c r="B7" s="1" t="inlineStr">
        <is>
          <t>收入</t>
        </is>
      </c>
      <c r="C7" s="9" t="inlineStr">
        <is>
          <t>D.01.01.02</t>
        </is>
      </c>
      <c r="D7" s="1" t="inlineStr">
        <is>
          <t xml:space="preserve">    负债业务</t>
        </is>
      </c>
      <c r="M7" t="inlineStr">
        <is>
          <t>01.01.02</t>
        </is>
      </c>
      <c r="N7" t="inlineStr">
        <is>
          <t>SUM</t>
        </is>
      </c>
    </row>
    <row r="8">
      <c r="A8" s="7" t="inlineStr">
        <is>
          <t>一级</t>
        </is>
      </c>
      <c r="B8" s="1" t="inlineStr">
        <is>
          <t>支出</t>
        </is>
      </c>
      <c r="C8" s="9" t="inlineStr">
        <is>
          <t>D.16</t>
        </is>
      </c>
      <c r="D8" s="1" t="inlineStr">
        <is>
          <t xml:space="preserve">      利息支出</t>
        </is>
      </c>
      <c r="K8" t="inlineStr">
        <is>
          <t>是</t>
        </is>
      </c>
      <c r="M8" t="inlineStr">
        <is>
          <t>16</t>
        </is>
      </c>
      <c r="N8" t="inlineStr">
        <is>
          <t>SUM</t>
        </is>
      </c>
    </row>
    <row r="9">
      <c r="A9" s="7" t="inlineStr">
        <is>
          <t>一级</t>
        </is>
      </c>
      <c r="B9" s="1" t="inlineStr">
        <is>
          <t>支出</t>
        </is>
      </c>
      <c r="C9" s="9" t="inlineStr">
        <is>
          <t>D.17</t>
        </is>
      </c>
      <c r="D9" s="1" t="inlineStr">
        <is>
          <t xml:space="preserve">      FTP收入</t>
        </is>
      </c>
      <c r="M9" t="inlineStr">
        <is>
          <t>17</t>
        </is>
      </c>
      <c r="N9" t="inlineStr">
        <is>
          <t>SUM</t>
        </is>
      </c>
    </row>
    <row r="10">
      <c r="A10" s="1" t="inlineStr">
        <is>
          <t>二级</t>
        </is>
      </c>
      <c r="B10" s="1" t="inlineStr">
        <is>
          <t>收入</t>
        </is>
      </c>
      <c r="C10" s="8" t="inlineStr">
        <is>
          <t>D.01.02</t>
        </is>
      </c>
      <c r="D10" s="1" t="inlineStr">
        <is>
          <t xml:space="preserve">  净手续费收入</t>
        </is>
      </c>
      <c r="K10" t="inlineStr">
        <is>
          <t>是</t>
        </is>
      </c>
      <c r="M10" t="inlineStr">
        <is>
          <t>01.02</t>
        </is>
      </c>
      <c r="N10" t="inlineStr">
        <is>
          <t>SUM</t>
        </is>
      </c>
    </row>
    <row r="11">
      <c r="A11" s="11" t="inlineStr">
        <is>
          <t>一级</t>
        </is>
      </c>
      <c r="B11" s="11" t="inlineStr">
        <is>
          <t>收入</t>
        </is>
      </c>
      <c r="C11" s="8" t="inlineStr">
        <is>
          <t>D.18</t>
        </is>
      </c>
      <c r="D11" s="1" t="inlineStr">
        <is>
          <t xml:space="preserve">    手续费收入</t>
        </is>
      </c>
      <c r="K11" t="inlineStr">
        <is>
          <t>是</t>
        </is>
      </c>
      <c r="M11" t="inlineStr">
        <is>
          <t>18</t>
        </is>
      </c>
      <c r="N11" t="inlineStr">
        <is>
          <t>SUM</t>
        </is>
      </c>
    </row>
    <row r="12">
      <c r="A12" s="11" t="inlineStr">
        <is>
          <t>一级</t>
        </is>
      </c>
      <c r="B12" s="11" t="inlineStr">
        <is>
          <t>支出</t>
        </is>
      </c>
      <c r="C12" s="8" t="inlineStr">
        <is>
          <t>D.19</t>
        </is>
      </c>
      <c r="D12" s="1" t="inlineStr">
        <is>
          <t xml:space="preserve">    手续费支出</t>
        </is>
      </c>
      <c r="K12" t="inlineStr">
        <is>
          <t>是</t>
        </is>
      </c>
      <c r="M12" t="inlineStr">
        <is>
          <t>19</t>
        </is>
      </c>
      <c r="N12" t="inlineStr">
        <is>
          <t>SUM</t>
        </is>
      </c>
    </row>
    <row r="13">
      <c r="A13" s="1" t="inlineStr">
        <is>
          <t>二级</t>
        </is>
      </c>
      <c r="B13" s="1" t="inlineStr">
        <is>
          <t>收入</t>
        </is>
      </c>
      <c r="C13" s="8" t="inlineStr">
        <is>
          <t>D.01.03</t>
        </is>
      </c>
      <c r="D13" s="1" t="inlineStr">
        <is>
          <t xml:space="preserve">  其他营收</t>
        </is>
      </c>
      <c r="K13" t="inlineStr">
        <is>
          <t>是</t>
        </is>
      </c>
      <c r="M13" t="inlineStr">
        <is>
          <t>01.03</t>
        </is>
      </c>
      <c r="N13" t="inlineStr">
        <is>
          <t>SUM</t>
        </is>
      </c>
    </row>
    <row r="14">
      <c r="A14" s="7" t="inlineStr">
        <is>
          <t>一级</t>
        </is>
      </c>
      <c r="B14" s="1" t="inlineStr">
        <is>
          <t>支出</t>
        </is>
      </c>
      <c r="C14" s="8" t="inlineStr">
        <is>
          <t>D.02</t>
        </is>
      </c>
      <c r="D14" s="7" t="inlineStr">
        <is>
          <t>减：风险成本</t>
        </is>
      </c>
      <c r="K14" t="inlineStr">
        <is>
          <t>是</t>
        </is>
      </c>
      <c r="M14" t="inlineStr">
        <is>
          <t>02</t>
        </is>
      </c>
      <c r="N14" t="inlineStr">
        <is>
          <t>SUM</t>
        </is>
      </c>
    </row>
    <row r="15">
      <c r="A15" s="7" t="inlineStr">
        <is>
          <t>一级</t>
        </is>
      </c>
      <c r="B15" s="1" t="inlineStr">
        <is>
          <t>收入</t>
        </is>
      </c>
      <c r="C15" s="8" t="inlineStr">
        <is>
          <t>D.03</t>
        </is>
      </c>
      <c r="D15" s="7" t="inlineStr">
        <is>
          <t>净收入</t>
        </is>
      </c>
      <c r="K15" t="inlineStr">
        <is>
          <t>是</t>
        </is>
      </c>
      <c r="M15" t="inlineStr">
        <is>
          <t>03</t>
        </is>
      </c>
      <c r="N15" t="inlineStr">
        <is>
          <t>SUM</t>
        </is>
      </c>
    </row>
    <row r="16">
      <c r="A16" s="7" t="inlineStr">
        <is>
          <t>一级</t>
        </is>
      </c>
      <c r="B16" s="1" t="inlineStr">
        <is>
          <t>支出</t>
        </is>
      </c>
      <c r="C16" s="8" t="inlineStr">
        <is>
          <t>D.04</t>
        </is>
      </c>
      <c r="D16" s="7" t="inlineStr">
        <is>
          <t>减：税金及附加</t>
        </is>
      </c>
      <c r="K16" t="inlineStr">
        <is>
          <t>是</t>
        </is>
      </c>
      <c r="M16" t="inlineStr">
        <is>
          <t>04</t>
        </is>
      </c>
      <c r="N16" t="inlineStr">
        <is>
          <t>SUM</t>
        </is>
      </c>
    </row>
    <row r="17">
      <c r="A17" s="7" t="inlineStr">
        <is>
          <t>一级</t>
        </is>
      </c>
      <c r="B17" s="1" t="inlineStr">
        <is>
          <t>支出</t>
        </is>
      </c>
      <c r="C17" s="8" t="inlineStr">
        <is>
          <t>D.05</t>
        </is>
      </c>
      <c r="D17" s="7" t="inlineStr">
        <is>
          <t>减：直接费用</t>
        </is>
      </c>
      <c r="F17" t="inlineStr">
        <is>
          <t>D.90.01+D.90.09+D.90.03+D.90.04+D.90.05</t>
        </is>
      </c>
      <c r="K17" t="inlineStr">
        <is>
          <t>是</t>
        </is>
      </c>
      <c r="M17" t="inlineStr">
        <is>
          <t>05</t>
        </is>
      </c>
    </row>
    <row r="18">
      <c r="A18" s="1" t="inlineStr">
        <is>
          <t>二级</t>
        </is>
      </c>
      <c r="B18" s="1" t="inlineStr">
        <is>
          <t>支出</t>
        </is>
      </c>
      <c r="C18" s="8" t="inlineStr">
        <is>
          <t>D.05.01</t>
        </is>
      </c>
      <c r="D18" s="1" t="inlineStr">
        <is>
          <t xml:space="preserve">  人力费用（不含IT）</t>
        </is>
      </c>
      <c r="F18" t="inlineStr">
        <is>
          <t>D.90.01.01+D.90.01.02</t>
        </is>
      </c>
      <c r="K18" t="inlineStr">
        <is>
          <t>是</t>
        </is>
      </c>
      <c r="M18" t="inlineStr">
        <is>
          <t>05.01</t>
        </is>
      </c>
    </row>
    <row r="19">
      <c r="A19" s="1" t="inlineStr">
        <is>
          <t>三级</t>
        </is>
      </c>
      <c r="B19" s="1" t="inlineStr">
        <is>
          <t>支出</t>
        </is>
      </c>
      <c r="C19" s="9" t="inlineStr">
        <is>
          <t>D.05.01.01</t>
        </is>
      </c>
      <c r="D19" s="1" t="inlineStr">
        <is>
          <t xml:space="preserve">    常规人力</t>
        </is>
      </c>
      <c r="F19" t="inlineStr">
        <is>
          <t>D.90.01.01.01+D.90.01.01.02+D.90.01.01.03+D.90.01.01.04.001+D.90.01.01.05.001</t>
        </is>
      </c>
      <c r="K19" t="inlineStr">
        <is>
          <t>是</t>
        </is>
      </c>
      <c r="M19" t="inlineStr">
        <is>
          <t>05.01.01</t>
        </is>
      </c>
    </row>
    <row r="20">
      <c r="A20" s="1" t="inlineStr">
        <is>
          <t>三级</t>
        </is>
      </c>
      <c r="B20" s="1" t="inlineStr">
        <is>
          <t>支出</t>
        </is>
      </c>
      <c r="C20" s="9" t="inlineStr">
        <is>
          <t>D.05.01.02</t>
        </is>
      </c>
      <c r="D20" s="1" t="inlineStr">
        <is>
          <t xml:space="preserve">    特别人力</t>
        </is>
      </c>
      <c r="F20" t="inlineStr">
        <is>
          <t>D.90.01.02.01+D.90.01.02.02+D.90.01.02.03+D.90.01.02.04.001+D.90.01.02.05.001</t>
        </is>
      </c>
      <c r="K20" t="inlineStr">
        <is>
          <t>是</t>
        </is>
      </c>
      <c r="M20" t="inlineStr">
        <is>
          <t>05.01.02</t>
        </is>
      </c>
    </row>
    <row r="21">
      <c r="A21" s="1" t="inlineStr">
        <is>
          <t>二级</t>
        </is>
      </c>
      <c r="B21" s="1" t="inlineStr">
        <is>
          <t>支出</t>
        </is>
      </c>
      <c r="C21" s="8" t="inlineStr">
        <is>
          <t>D.05.02</t>
        </is>
      </c>
      <c r="D21" s="1" t="inlineStr">
        <is>
          <t xml:space="preserve">  业务费用</t>
        </is>
      </c>
      <c r="K21" t="inlineStr">
        <is>
          <t>是</t>
        </is>
      </c>
      <c r="N21" t="inlineStr">
        <is>
          <t>SUM</t>
        </is>
      </c>
    </row>
    <row r="22">
      <c r="A22" s="1" t="inlineStr">
        <is>
          <t>三级</t>
        </is>
      </c>
      <c r="B22" s="1" t="inlineStr">
        <is>
          <t>支出</t>
        </is>
      </c>
      <c r="C22" s="9" t="inlineStr">
        <is>
          <t>D.05.02.01</t>
        </is>
      </c>
      <c r="D22" s="1" t="inlineStr">
        <is>
          <t xml:space="preserve">    营销费用</t>
        </is>
      </c>
      <c r="K22" t="inlineStr">
        <is>
          <t>是</t>
        </is>
      </c>
      <c r="N22" t="inlineStr">
        <is>
          <t>SUM</t>
        </is>
      </c>
    </row>
    <row r="23">
      <c r="A23" s="1" t="inlineStr">
        <is>
          <t>三级</t>
        </is>
      </c>
      <c r="B23" s="1" t="inlineStr">
        <is>
          <t>支出</t>
        </is>
      </c>
      <c r="C23" s="9" t="inlineStr">
        <is>
          <t>D.05.02.02</t>
        </is>
      </c>
      <c r="D23" s="1" t="inlineStr">
        <is>
          <t xml:space="preserve">    运营费用</t>
        </is>
      </c>
      <c r="K23" t="inlineStr">
        <is>
          <t>是</t>
        </is>
      </c>
      <c r="N23" t="inlineStr">
        <is>
          <t>SUM</t>
        </is>
      </c>
    </row>
    <row r="24">
      <c r="A24" s="1" t="inlineStr">
        <is>
          <t>二级</t>
        </is>
      </c>
      <c r="B24" s="1" t="inlineStr">
        <is>
          <t>支出</t>
        </is>
      </c>
      <c r="C24" s="8" t="inlineStr">
        <is>
          <t>D.05.03</t>
        </is>
      </c>
      <c r="D24" s="1" t="inlineStr">
        <is>
          <t xml:space="preserve">  IT费用</t>
        </is>
      </c>
      <c r="F24" t="inlineStr">
        <is>
          <t>D.90.03.01+D.90.03.02+D.90.03.03+D.90.03.04</t>
        </is>
      </c>
      <c r="K24" t="inlineStr">
        <is>
          <t>是</t>
        </is>
      </c>
      <c r="M24" t="inlineStr">
        <is>
          <t>05.03</t>
        </is>
      </c>
    </row>
    <row r="25">
      <c r="A25" s="1" t="inlineStr">
        <is>
          <t>三级</t>
        </is>
      </c>
      <c r="B25" s="1" t="inlineStr">
        <is>
          <t>支出</t>
        </is>
      </c>
      <c r="C25" s="9" t="inlineStr">
        <is>
          <t>D.05.03.01</t>
        </is>
      </c>
      <c r="D25" s="1" t="inlineStr">
        <is>
          <t xml:space="preserve">    IT人力</t>
        </is>
      </c>
      <c r="F25" t="inlineStr">
        <is>
          <t>D.90.03.01.01+D.90.03.01.02</t>
        </is>
      </c>
      <c r="K25" t="inlineStr">
        <is>
          <t>是</t>
        </is>
      </c>
      <c r="M25" t="inlineStr">
        <is>
          <t>05.03.01</t>
        </is>
      </c>
    </row>
    <row r="26">
      <c r="A26" s="1" t="inlineStr">
        <is>
          <t>四级</t>
        </is>
      </c>
      <c r="B26" s="1" t="inlineStr">
        <is>
          <t>支出</t>
        </is>
      </c>
      <c r="C26" s="9" t="inlineStr">
        <is>
          <t>D.05.03.01.01</t>
        </is>
      </c>
      <c r="D26" s="1" t="inlineStr">
        <is>
          <t xml:space="preserve">      IT常规人力</t>
        </is>
      </c>
      <c r="K26" t="inlineStr">
        <is>
          <t>是</t>
        </is>
      </c>
      <c r="M26" t="inlineStr">
        <is>
          <t>05.03.01.01</t>
        </is>
      </c>
      <c r="N26" t="inlineStr">
        <is>
          <t>SUM</t>
        </is>
      </c>
    </row>
    <row r="27">
      <c r="A27" s="1" t="inlineStr">
        <is>
          <t>四级</t>
        </is>
      </c>
      <c r="B27" s="1" t="inlineStr">
        <is>
          <t>支出</t>
        </is>
      </c>
      <c r="C27" s="9" t="inlineStr">
        <is>
          <t>D.05.03.01.02</t>
        </is>
      </c>
      <c r="D27" s="1" t="inlineStr">
        <is>
          <t xml:space="preserve">      IT特别人力</t>
        </is>
      </c>
      <c r="K27" t="inlineStr">
        <is>
          <t>是</t>
        </is>
      </c>
      <c r="M27" t="inlineStr">
        <is>
          <t>05.03.01.02</t>
        </is>
      </c>
      <c r="N27" t="inlineStr">
        <is>
          <t>SUM</t>
        </is>
      </c>
    </row>
    <row r="28">
      <c r="A28" s="1" t="inlineStr">
        <is>
          <t>三级</t>
        </is>
      </c>
      <c r="B28" s="1" t="inlineStr">
        <is>
          <t>支出</t>
        </is>
      </c>
      <c r="C28" s="9" t="inlineStr">
        <is>
          <t>D.05.03.02</t>
        </is>
      </c>
      <c r="D28" s="1" t="inlineStr">
        <is>
          <t xml:space="preserve">    科技费用</t>
        </is>
      </c>
      <c r="K28" t="inlineStr">
        <is>
          <t>是</t>
        </is>
      </c>
      <c r="M28" t="inlineStr">
        <is>
          <t>05.03.02</t>
        </is>
      </c>
      <c r="N28" t="inlineStr">
        <is>
          <t>SUM</t>
        </is>
      </c>
    </row>
    <row r="29">
      <c r="A29" s="1" t="inlineStr">
        <is>
          <t>三级</t>
        </is>
      </c>
      <c r="B29" s="1" t="inlineStr">
        <is>
          <t>支出</t>
        </is>
      </c>
      <c r="C29" s="9" t="inlineStr">
        <is>
          <t>D.05.03.03</t>
        </is>
      </c>
      <c r="D29" s="1" t="inlineStr">
        <is>
          <t xml:space="preserve">    IT职场</t>
        </is>
      </c>
      <c r="K29" t="inlineStr">
        <is>
          <t>是</t>
        </is>
      </c>
      <c r="M29" t="inlineStr">
        <is>
          <t>05.03.03</t>
        </is>
      </c>
      <c r="N29" t="inlineStr">
        <is>
          <t>SUM</t>
        </is>
      </c>
    </row>
    <row r="30">
      <c r="A30" s="1" t="inlineStr">
        <is>
          <t>三级</t>
        </is>
      </c>
      <c r="B30" s="1" t="inlineStr">
        <is>
          <t>支出</t>
        </is>
      </c>
      <c r="C30" s="9" t="inlineStr">
        <is>
          <t>D.05.03.04</t>
        </is>
      </c>
      <c r="D30" s="1" t="inlineStr">
        <is>
          <t xml:space="preserve">    IT日常</t>
        </is>
      </c>
      <c r="K30" t="inlineStr">
        <is>
          <t>是</t>
        </is>
      </c>
      <c r="M30" t="inlineStr">
        <is>
          <t>05.03.04</t>
        </is>
      </c>
      <c r="N30" t="inlineStr">
        <is>
          <t>SUM</t>
        </is>
      </c>
    </row>
    <row r="31">
      <c r="A31" s="1" t="inlineStr">
        <is>
          <t>二级</t>
        </is>
      </c>
      <c r="B31" s="1" t="inlineStr">
        <is>
          <t>支出</t>
        </is>
      </c>
      <c r="C31" s="8" t="inlineStr">
        <is>
          <t>D.05.04</t>
        </is>
      </c>
      <c r="D31" s="1" t="inlineStr">
        <is>
          <t xml:space="preserve">  职场费用</t>
        </is>
      </c>
      <c r="K31" t="inlineStr">
        <is>
          <t>是</t>
        </is>
      </c>
      <c r="M31" t="inlineStr">
        <is>
          <t>05.04</t>
        </is>
      </c>
      <c r="N31" t="inlineStr">
        <is>
          <t>SUM</t>
        </is>
      </c>
    </row>
    <row r="32">
      <c r="A32" s="1" t="inlineStr">
        <is>
          <t>二级</t>
        </is>
      </c>
      <c r="B32" s="1" t="inlineStr">
        <is>
          <t>支出</t>
        </is>
      </c>
      <c r="C32" s="8" t="inlineStr">
        <is>
          <t>D.05.05</t>
        </is>
      </c>
      <c r="D32" s="1" t="inlineStr">
        <is>
          <t xml:space="preserve">  日常费用</t>
        </is>
      </c>
      <c r="K32" t="inlineStr">
        <is>
          <t>是</t>
        </is>
      </c>
      <c r="M32" t="inlineStr">
        <is>
          <t>05.05</t>
        </is>
      </c>
      <c r="N32" t="inlineStr">
        <is>
          <t>SUM</t>
        </is>
      </c>
    </row>
    <row r="33">
      <c r="A33" s="7" t="inlineStr">
        <is>
          <t>一级</t>
        </is>
      </c>
      <c r="B33" s="1" t="inlineStr">
        <is>
          <t>收入</t>
        </is>
      </c>
      <c r="C33" s="8" t="inlineStr">
        <is>
          <t>D.06</t>
        </is>
      </c>
      <c r="D33" s="7" t="inlineStr">
        <is>
          <t>加：营业外净收入</t>
        </is>
      </c>
      <c r="K33" t="inlineStr">
        <is>
          <t>是</t>
        </is>
      </c>
      <c r="M33" t="inlineStr">
        <is>
          <t>06</t>
        </is>
      </c>
      <c r="N33" t="inlineStr">
        <is>
          <t>SUM</t>
        </is>
      </c>
    </row>
    <row r="34">
      <c r="A34" s="7" t="inlineStr">
        <is>
          <t>一级</t>
        </is>
      </c>
      <c r="B34" s="1" t="inlineStr">
        <is>
          <t>利润</t>
        </is>
      </c>
      <c r="C34" s="8" t="inlineStr">
        <is>
          <t>D.07</t>
        </is>
      </c>
      <c r="D34" s="7" t="inlineStr">
        <is>
          <t>分摊前利润</t>
        </is>
      </c>
      <c r="M34" t="inlineStr">
        <is>
          <t>07</t>
        </is>
      </c>
      <c r="N34" t="inlineStr">
        <is>
          <t>SUM</t>
        </is>
      </c>
    </row>
    <row r="35">
      <c r="A35" s="7" t="inlineStr">
        <is>
          <t>一级</t>
        </is>
      </c>
      <c r="B35" s="1" t="inlineStr">
        <is>
          <t>支出</t>
        </is>
      </c>
      <c r="C35" s="8" t="inlineStr">
        <is>
          <t>D.08</t>
        </is>
      </c>
      <c r="D35" s="7" t="inlineStr">
        <is>
          <t>减：固定管理费</t>
        </is>
      </c>
      <c r="M35" t="inlineStr">
        <is>
          <t>08</t>
        </is>
      </c>
      <c r="N35" t="inlineStr">
        <is>
          <t>SUM</t>
        </is>
      </c>
    </row>
    <row r="36">
      <c r="A36" s="7" t="inlineStr">
        <is>
          <t>一级</t>
        </is>
      </c>
      <c r="B36" s="1" t="inlineStr">
        <is>
          <t>利润</t>
        </is>
      </c>
      <c r="C36" s="8" t="inlineStr">
        <is>
          <t>D.09</t>
        </is>
      </c>
      <c r="D36" s="7" t="inlineStr">
        <is>
          <t>税前利润</t>
        </is>
      </c>
      <c r="K36" t="inlineStr">
        <is>
          <t>是</t>
        </is>
      </c>
      <c r="M36" t="inlineStr">
        <is>
          <t>09</t>
        </is>
      </c>
      <c r="N36" t="inlineStr">
        <is>
          <t>SUM</t>
        </is>
      </c>
    </row>
    <row r="37">
      <c r="A37" s="10" t="n"/>
      <c r="B37" s="10" t="n"/>
      <c r="C37" s="10" t="n"/>
      <c r="D37" s="10" t="n"/>
    </row>
    <row r="38">
      <c r="A38" s="11" t="n"/>
      <c r="B38" s="11" t="n"/>
      <c r="C38" s="11" t="n"/>
      <c r="D38" s="11" t="n"/>
    </row>
    <row r="39">
      <c r="A39" s="10" t="n"/>
      <c r="B39" s="10" t="n"/>
      <c r="C39" s="10" t="n"/>
      <c r="D39" s="10" t="n"/>
    </row>
    <row r="40">
      <c r="A40" s="10" t="n"/>
      <c r="B40" s="10" t="n"/>
      <c r="C40" s="10" t="n"/>
      <c r="D40" s="10" t="n"/>
    </row>
    <row r="41">
      <c r="A41" s="11" t="n"/>
      <c r="B41" s="11" t="n"/>
      <c r="C41" s="11" t="n"/>
      <c r="D41" s="11" t="n"/>
    </row>
    <row r="42">
      <c r="A42" s="10" t="n"/>
      <c r="B42" s="10" t="n"/>
      <c r="C42" s="10" t="n"/>
      <c r="D42" s="10" t="n"/>
    </row>
    <row r="43">
      <c r="A43" s="10" t="n"/>
      <c r="B43" s="10" t="n"/>
      <c r="C43" s="10" t="n"/>
      <c r="D43" s="10" t="n"/>
    </row>
    <row r="44">
      <c r="A44" s="10" t="n"/>
      <c r="B44" s="10" t="n"/>
      <c r="C44" s="10" t="n"/>
      <c r="D44" s="10" t="n"/>
    </row>
    <row r="45"/>
    <row r="46">
      <c r="A46" t="inlineStr">
        <is>
          <t>层级</t>
        </is>
      </c>
      <c r="B46" t="inlineStr">
        <is>
          <t>性质</t>
        </is>
      </c>
      <c r="C46" t="inlineStr">
        <is>
          <t>科目代码</t>
        </is>
      </c>
      <c r="D46" t="inlineStr">
        <is>
          <t>科目名称</t>
        </is>
      </c>
      <c r="F46" t="inlineStr">
        <is>
          <t>年预算公式</t>
        </is>
      </c>
      <c r="J46" t="inlineStr">
        <is>
          <t>公式说明</t>
        </is>
      </c>
      <c r="K46" t="inlineStr">
        <is>
          <t>横向汇总</t>
        </is>
      </c>
      <c r="M46" t="inlineStr">
        <is>
          <t>录入粒度</t>
        </is>
      </c>
    </row>
    <row r="47">
      <c r="A47" t="inlineStr">
        <is>
          <t>一级</t>
        </is>
      </c>
      <c r="B47" t="inlineStr">
        <is>
          <t>支出</t>
        </is>
      </c>
      <c r="C47" t="inlineStr">
        <is>
          <t>D.90</t>
        </is>
      </c>
      <c r="D47" t="inlineStr">
        <is>
          <t>减:业务及管理费</t>
        </is>
      </c>
      <c r="F47" t="inlineStr">
        <is>
          <t>D.90.01+D.90.03</t>
        </is>
      </c>
      <c r="K47" t="inlineStr">
        <is>
          <t>是</t>
        </is>
      </c>
      <c r="M47" t="inlineStr">
        <is>
          <t>05</t>
        </is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D.90.01</t>
        </is>
      </c>
      <c r="D48" t="inlineStr">
        <is>
          <t>直接费用</t>
        </is>
      </c>
      <c r="F48" t="inlineStr">
        <is>
          <t>D.90.01.01+D.90.01.02</t>
        </is>
      </c>
      <c r="K48" t="inlineStr">
        <is>
          <t>是</t>
        </is>
      </c>
      <c r="M48" t="inlineStr">
        <is>
          <t>05.01</t>
        </is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D.90.01.01</t>
        </is>
      </c>
      <c r="D49" t="inlineStr">
        <is>
          <t>直接费用</t>
        </is>
      </c>
      <c r="F49" t="inlineStr">
        <is>
          <t>D.90.01.01.01+D.90.01.01.02+D.90.01.01.03+D.90.01.01.04.001+D.90.01.01.05.001</t>
        </is>
      </c>
      <c r="K49" t="inlineStr">
        <is>
          <t>是</t>
        </is>
      </c>
      <c r="M49" t="inlineStr">
        <is>
          <t>05.01.01</t>
        </is>
      </c>
    </row>
    <row r="50">
      <c r="A50" t="inlineStr">
        <is>
          <t>四级</t>
        </is>
      </c>
      <c r="B50" t="inlineStr">
        <is>
          <t>支出</t>
        </is>
      </c>
      <c r="C50" t="inlineStr">
        <is>
          <t>D.90.01.01.01</t>
        </is>
      </c>
      <c r="D50" t="inlineStr">
        <is>
          <t>人力（不含IT)</t>
        </is>
      </c>
      <c r="F50" t="inlineStr">
        <is>
          <t>D.90.01.01.01.001+D.90.01.01.01.002</t>
        </is>
      </c>
      <c r="K50" t="inlineStr">
        <is>
          <t>是</t>
        </is>
      </c>
      <c r="M50" t="inlineStr">
        <is>
          <t>05.01.01.01</t>
        </is>
      </c>
    </row>
    <row r="51">
      <c r="A51" t="inlineStr">
        <is>
          <t>五级</t>
        </is>
      </c>
      <c r="B51" t="inlineStr">
        <is>
          <t>支出</t>
        </is>
      </c>
      <c r="C51" t="inlineStr">
        <is>
          <t>D.90.01.01.01.001</t>
        </is>
      </c>
      <c r="D51" t="inlineStr">
        <is>
          <t>业务人力</t>
        </is>
      </c>
      <c r="K51" t="inlineStr">
        <is>
          <t>是</t>
        </is>
      </c>
      <c r="M51" t="inlineStr">
        <is>
          <t>05.01.01.01.001</t>
        </is>
      </c>
      <c r="N51" t="inlineStr">
        <is>
          <t>SUM</t>
        </is>
      </c>
    </row>
    <row r="52">
      <c r="A52" t="inlineStr">
        <is>
          <t>五级</t>
        </is>
      </c>
      <c r="B52" t="inlineStr">
        <is>
          <t>支出</t>
        </is>
      </c>
      <c r="C52" t="inlineStr">
        <is>
          <t>D.90.01.01.01.002</t>
        </is>
      </c>
      <c r="D52" t="inlineStr">
        <is>
          <t>特别人力</t>
        </is>
      </c>
      <c r="K52" t="inlineStr">
        <is>
          <t>是</t>
        </is>
      </c>
      <c r="M52" t="inlineStr">
        <is>
          <t>05.01.01.01.002</t>
        </is>
      </c>
      <c r="N52" t="inlineStr">
        <is>
          <t>SUM</t>
        </is>
      </c>
    </row>
    <row r="53">
      <c r="A53" t="inlineStr">
        <is>
          <t>四级</t>
        </is>
      </c>
      <c r="B53" t="inlineStr">
        <is>
          <t>支出</t>
        </is>
      </c>
      <c r="C53" t="inlineStr">
        <is>
          <t>D.90.01.01.02</t>
        </is>
      </c>
      <c r="D53" t="inlineStr">
        <is>
          <t>业务费用</t>
        </is>
      </c>
      <c r="F53" t="inlineStr">
        <is>
          <t>D.90.01.01.02.001+D.90.01.01.02.002</t>
        </is>
      </c>
      <c r="K53" t="inlineStr">
        <is>
          <t>是</t>
        </is>
      </c>
      <c r="M53" t="inlineStr">
        <is>
          <t>05.01.01.02</t>
        </is>
      </c>
    </row>
    <row r="54">
      <c r="A54" t="inlineStr">
        <is>
          <t>五级</t>
        </is>
      </c>
      <c r="B54" t="inlineStr">
        <is>
          <t>支出</t>
        </is>
      </c>
      <c r="C54" t="inlineStr">
        <is>
          <t>D.90.01.01.02.001</t>
        </is>
      </c>
      <c r="D54" t="inlineStr">
        <is>
          <t>营销</t>
        </is>
      </c>
      <c r="K54" t="inlineStr">
        <is>
          <t>是</t>
        </is>
      </c>
      <c r="M54" t="inlineStr">
        <is>
          <t>05.01.01.02.001</t>
        </is>
      </c>
      <c r="N54" t="inlineStr">
        <is>
          <t>SUM</t>
        </is>
      </c>
    </row>
    <row r="55">
      <c r="A55" t="inlineStr">
        <is>
          <t>五级</t>
        </is>
      </c>
      <c r="B55" t="inlineStr">
        <is>
          <t>支出</t>
        </is>
      </c>
      <c r="C55" t="inlineStr">
        <is>
          <t>D.90.01.01.02.002</t>
        </is>
      </c>
      <c r="D55" t="inlineStr">
        <is>
          <t>运营</t>
        </is>
      </c>
      <c r="K55" t="inlineStr">
        <is>
          <t>是</t>
        </is>
      </c>
      <c r="M55" t="inlineStr">
        <is>
          <t>05.01.01.02.002</t>
        </is>
      </c>
      <c r="N55" t="inlineStr">
        <is>
          <t>SUM</t>
        </is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D.90.01.01.03</t>
        </is>
      </c>
      <c r="D56" t="inlineStr">
        <is>
          <t>IT</t>
        </is>
      </c>
      <c r="F56" t="inlineStr">
        <is>
          <t>D.90.01.01.03.01+D.90.01.01.03.02.001+D.90.01.01.03.03.001+D.90.01.01.03.04.001</t>
        </is>
      </c>
      <c r="K56" t="inlineStr">
        <is>
          <t>是</t>
        </is>
      </c>
      <c r="M56" t="inlineStr">
        <is>
          <t>05.01.01.03</t>
        </is>
      </c>
    </row>
    <row r="57">
      <c r="A57" t="inlineStr">
        <is>
          <t>五级</t>
        </is>
      </c>
      <c r="B57" t="inlineStr">
        <is>
          <t>支出</t>
        </is>
      </c>
      <c r="C57" t="inlineStr">
        <is>
          <t>D.90.01.01.03.01</t>
        </is>
      </c>
      <c r="D57" t="inlineStr">
        <is>
          <t>IT人力</t>
        </is>
      </c>
      <c r="F57" t="inlineStr">
        <is>
          <t>D.90.01.01.03.01.001+D.90.01.01.03.01.002</t>
        </is>
      </c>
      <c r="K57" t="inlineStr">
        <is>
          <t>是</t>
        </is>
      </c>
      <c r="M57" t="inlineStr">
        <is>
          <t>05.01.01.03.01</t>
        </is>
      </c>
    </row>
    <row r="58">
      <c r="A58" t="inlineStr">
        <is>
          <t>六级</t>
        </is>
      </c>
      <c r="B58" t="inlineStr">
        <is>
          <t>支出</t>
        </is>
      </c>
      <c r="C58" t="inlineStr">
        <is>
          <t>D.90.01.01.03.01.001</t>
        </is>
      </c>
      <c r="D58" t="inlineStr">
        <is>
          <t>IT常规人力</t>
        </is>
      </c>
      <c r="K58" t="inlineStr">
        <is>
          <t>是</t>
        </is>
      </c>
      <c r="M58" t="inlineStr">
        <is>
          <t>05.01.01.03.01.001</t>
        </is>
      </c>
      <c r="N58" t="inlineStr">
        <is>
          <t>SUM</t>
        </is>
      </c>
    </row>
    <row r="59">
      <c r="A59" t="inlineStr">
        <is>
          <t>六级</t>
        </is>
      </c>
      <c r="B59" t="inlineStr">
        <is>
          <t>支出</t>
        </is>
      </c>
      <c r="C59" t="inlineStr">
        <is>
          <t>D.90.01.01.03.01.002</t>
        </is>
      </c>
      <c r="D59" t="inlineStr">
        <is>
          <t>IT特别人力</t>
        </is>
      </c>
      <c r="K59" t="inlineStr">
        <is>
          <t>是</t>
        </is>
      </c>
      <c r="M59" t="inlineStr">
        <is>
          <t>05.01.01.03.01.002</t>
        </is>
      </c>
      <c r="N59" t="inlineStr">
        <is>
          <t>SUM</t>
        </is>
      </c>
    </row>
    <row r="60">
      <c r="A60" t="inlineStr">
        <is>
          <t>五级</t>
        </is>
      </c>
      <c r="B60" t="inlineStr">
        <is>
          <t>支出</t>
        </is>
      </c>
      <c r="C60" t="inlineStr">
        <is>
          <t>D.90.01.01.03.02</t>
        </is>
      </c>
      <c r="D60" t="inlineStr">
        <is>
          <t>科技</t>
        </is>
      </c>
      <c r="K60" t="inlineStr">
        <is>
          <t>是</t>
        </is>
      </c>
      <c r="M60" t="inlineStr">
        <is>
          <t>05.01.01.03.02</t>
        </is>
      </c>
      <c r="N60" t="inlineStr">
        <is>
          <t>SUM</t>
        </is>
      </c>
    </row>
    <row r="61">
      <c r="A61" t="inlineStr">
        <is>
          <t>五级</t>
        </is>
      </c>
      <c r="B61" t="inlineStr">
        <is>
          <t>支出</t>
        </is>
      </c>
      <c r="C61" t="inlineStr">
        <is>
          <t>D.90.01.01.03.03</t>
        </is>
      </c>
      <c r="D61" t="inlineStr">
        <is>
          <t>IT职场</t>
        </is>
      </c>
      <c r="K61" t="inlineStr">
        <is>
          <t>是</t>
        </is>
      </c>
      <c r="M61" t="inlineStr">
        <is>
          <t>05.01.01.03.03</t>
        </is>
      </c>
      <c r="N61" t="inlineStr">
        <is>
          <t>SUM</t>
        </is>
      </c>
    </row>
    <row r="62">
      <c r="A62" t="inlineStr">
        <is>
          <t>五级</t>
        </is>
      </c>
      <c r="B62" t="inlineStr">
        <is>
          <t>支出</t>
        </is>
      </c>
      <c r="C62" t="inlineStr">
        <is>
          <t>D.90.01.01.03.04</t>
        </is>
      </c>
      <c r="D62" t="inlineStr">
        <is>
          <t>IT日常</t>
        </is>
      </c>
      <c r="K62" t="inlineStr">
        <is>
          <t>是</t>
        </is>
      </c>
      <c r="M62" t="inlineStr">
        <is>
          <t>05.01.01.03.04</t>
        </is>
      </c>
      <c r="N62" t="inlineStr">
        <is>
          <t>SUM</t>
        </is>
      </c>
    </row>
    <row r="63">
      <c r="A63" t="inlineStr">
        <is>
          <t>四级</t>
        </is>
      </c>
      <c r="B63" t="inlineStr">
        <is>
          <t>支出</t>
        </is>
      </c>
      <c r="C63" t="inlineStr">
        <is>
          <t>D.90.01.01.04</t>
        </is>
      </c>
      <c r="D63" t="inlineStr">
        <is>
          <t>AA.05.01.01.04</t>
        </is>
      </c>
      <c r="F63" t="inlineStr">
        <is>
          <t>D.90.01.01.04.001</t>
        </is>
      </c>
      <c r="K63" t="inlineStr">
        <is>
          <t>是</t>
        </is>
      </c>
      <c r="M63" t="inlineStr">
        <is>
          <t>05.01.01.04</t>
        </is>
      </c>
      <c r="N63" t="inlineStr">
        <is>
          <t>SUM</t>
        </is>
      </c>
    </row>
    <row r="64">
      <c r="A64" t="inlineStr">
        <is>
          <t>五级</t>
        </is>
      </c>
      <c r="B64" t="inlineStr">
        <is>
          <t>支出</t>
        </is>
      </c>
      <c r="C64" t="inlineStr">
        <is>
          <t>D.90.01.01.04.001</t>
        </is>
      </c>
      <c r="D64" t="inlineStr">
        <is>
          <t>职场</t>
        </is>
      </c>
      <c r="K64" t="inlineStr">
        <is>
          <t>是</t>
        </is>
      </c>
      <c r="M64" t="inlineStr">
        <is>
          <t>05.01.01.04.001</t>
        </is>
      </c>
      <c r="N64" t="inlineStr">
        <is>
          <t>SUM</t>
        </is>
      </c>
    </row>
    <row r="65">
      <c r="A65" t="inlineStr">
        <is>
          <t>四级</t>
        </is>
      </c>
      <c r="B65" t="inlineStr">
        <is>
          <t>支出</t>
        </is>
      </c>
      <c r="C65" t="inlineStr">
        <is>
          <t>D.90.01.01.05</t>
        </is>
      </c>
      <c r="D65" t="inlineStr">
        <is>
          <t>AA.05.01.01.05</t>
        </is>
      </c>
      <c r="F65" t="inlineStr">
        <is>
          <t>D.90.01.01.05.001</t>
        </is>
      </c>
      <c r="K65" t="inlineStr">
        <is>
          <t>是</t>
        </is>
      </c>
      <c r="M65" t="inlineStr">
        <is>
          <t>05.01.01.05</t>
        </is>
      </c>
      <c r="N65" t="inlineStr">
        <is>
          <t>SUM</t>
        </is>
      </c>
    </row>
    <row r="66">
      <c r="A66" t="inlineStr">
        <is>
          <t>五级</t>
        </is>
      </c>
      <c r="B66" t="inlineStr">
        <is>
          <t>支出</t>
        </is>
      </c>
      <c r="C66" t="inlineStr">
        <is>
          <t>D.90.01.01.05.001</t>
        </is>
      </c>
      <c r="D66" t="inlineStr">
        <is>
          <t>日常</t>
        </is>
      </c>
      <c r="K66" t="inlineStr">
        <is>
          <t>是</t>
        </is>
      </c>
      <c r="M66" t="inlineStr">
        <is>
          <t>05.01.01.05.001</t>
        </is>
      </c>
      <c r="N66" t="inlineStr">
        <is>
          <t>SUM</t>
        </is>
      </c>
    </row>
    <row r="67">
      <c r="A67" t="inlineStr">
        <is>
          <t>三级</t>
        </is>
      </c>
      <c r="B67" t="inlineStr">
        <is>
          <t>支出</t>
        </is>
      </c>
      <c r="C67" t="inlineStr">
        <is>
          <t>D.90.01.02</t>
        </is>
      </c>
      <c r="D67" t="inlineStr">
        <is>
          <t>间接费用</t>
        </is>
      </c>
      <c r="F67" t="inlineStr">
        <is>
          <t>D.90.01.02.01+D.90.01.02.02+D.90.01.02.03+D.90.01.02.04.001+D.90.01.02.05.001</t>
        </is>
      </c>
      <c r="K67" t="inlineStr">
        <is>
          <t>是</t>
        </is>
      </c>
      <c r="M67" t="inlineStr">
        <is>
          <t>05.01.02</t>
        </is>
      </c>
    </row>
    <row r="68">
      <c r="A68" t="inlineStr">
        <is>
          <t>四级</t>
        </is>
      </c>
      <c r="B68" t="inlineStr">
        <is>
          <t>支出</t>
        </is>
      </c>
      <c r="C68" t="inlineStr">
        <is>
          <t>D.90.01.02.01</t>
        </is>
      </c>
      <c r="D68" t="inlineStr">
        <is>
          <t>人力（不含IT)</t>
        </is>
      </c>
      <c r="F68" t="inlineStr">
        <is>
          <t>D.90.01.02.01.001+D.90.01.02.01.002</t>
        </is>
      </c>
      <c r="K68" t="inlineStr">
        <is>
          <t>是</t>
        </is>
      </c>
      <c r="M68" t="inlineStr">
        <is>
          <t>05.01.02.01</t>
        </is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D.90.01.02.01.001</t>
        </is>
      </c>
      <c r="D69" t="inlineStr">
        <is>
          <t>业务人力</t>
        </is>
      </c>
      <c r="K69" t="inlineStr">
        <is>
          <t>是</t>
        </is>
      </c>
      <c r="M69" t="inlineStr">
        <is>
          <t>05.01.02.01.001</t>
        </is>
      </c>
      <c r="N69" t="inlineStr">
        <is>
          <t>SUM</t>
        </is>
      </c>
    </row>
    <row r="70">
      <c r="A70" t="inlineStr">
        <is>
          <t>五级</t>
        </is>
      </c>
      <c r="B70" t="inlineStr">
        <is>
          <t>支出</t>
        </is>
      </c>
      <c r="C70" t="inlineStr">
        <is>
          <t>D.90.01.02.01.002</t>
        </is>
      </c>
      <c r="D70" t="inlineStr">
        <is>
          <t>特别人力</t>
        </is>
      </c>
      <c r="K70" t="inlineStr">
        <is>
          <t>是</t>
        </is>
      </c>
      <c r="M70" t="inlineStr">
        <is>
          <t>05.01.02.01.002</t>
        </is>
      </c>
      <c r="N70" t="inlineStr">
        <is>
          <t>SUM</t>
        </is>
      </c>
    </row>
    <row r="71">
      <c r="A71" t="inlineStr">
        <is>
          <t>四级</t>
        </is>
      </c>
      <c r="B71" t="inlineStr">
        <is>
          <t>支出</t>
        </is>
      </c>
      <c r="C71" t="inlineStr">
        <is>
          <t>D.90.01.02.02</t>
        </is>
      </c>
      <c r="D71" t="inlineStr">
        <is>
          <t>业务费用</t>
        </is>
      </c>
      <c r="F71" t="inlineStr">
        <is>
          <t>D.90.01.02.02.001+D.90.01.02.02.002</t>
        </is>
      </c>
      <c r="K71" t="inlineStr">
        <is>
          <t>是</t>
        </is>
      </c>
      <c r="M71" t="inlineStr">
        <is>
          <t>05.01.02.02</t>
        </is>
      </c>
    </row>
    <row r="72">
      <c r="A72" t="inlineStr">
        <is>
          <t>五级</t>
        </is>
      </c>
      <c r="B72" t="inlineStr">
        <is>
          <t>支出</t>
        </is>
      </c>
      <c r="C72" t="inlineStr">
        <is>
          <t>D.90.01.02.02.001</t>
        </is>
      </c>
      <c r="D72" t="inlineStr">
        <is>
          <t>营销</t>
        </is>
      </c>
      <c r="K72" t="inlineStr">
        <is>
          <t>是</t>
        </is>
      </c>
      <c r="M72" t="inlineStr">
        <is>
          <t>05.01.02.02.001</t>
        </is>
      </c>
      <c r="N72" t="inlineStr">
        <is>
          <t>SUM</t>
        </is>
      </c>
    </row>
    <row r="73">
      <c r="A73" t="inlineStr">
        <is>
          <t>五级</t>
        </is>
      </c>
      <c r="B73" t="inlineStr">
        <is>
          <t>支出</t>
        </is>
      </c>
      <c r="C73" t="inlineStr">
        <is>
          <t>D.90.01.02.02.002</t>
        </is>
      </c>
      <c r="D73" t="inlineStr">
        <is>
          <t>运营</t>
        </is>
      </c>
      <c r="K73" t="inlineStr">
        <is>
          <t>是</t>
        </is>
      </c>
      <c r="M73" t="inlineStr">
        <is>
          <t>05.01.02.02.002</t>
        </is>
      </c>
      <c r="N73" t="inlineStr">
        <is>
          <t>SUM</t>
        </is>
      </c>
    </row>
    <row r="74">
      <c r="A74" t="inlineStr">
        <is>
          <t>四级</t>
        </is>
      </c>
      <c r="B74" t="inlineStr">
        <is>
          <t>支出</t>
        </is>
      </c>
      <c r="C74" t="inlineStr">
        <is>
          <t>D.90.01.02.03</t>
        </is>
      </c>
      <c r="D74" t="inlineStr">
        <is>
          <t>IT</t>
        </is>
      </c>
      <c r="F74" t="inlineStr">
        <is>
          <t>D.90.01.02.03.01+D.90.01.02.03.02.001+D.90.01.02.03.03.001+D.90.01.02.03.04.001</t>
        </is>
      </c>
      <c r="K74" t="inlineStr">
        <is>
          <t>是</t>
        </is>
      </c>
      <c r="M74" t="inlineStr">
        <is>
          <t>05.01.02.03</t>
        </is>
      </c>
    </row>
    <row r="75">
      <c r="A75" t="inlineStr">
        <is>
          <t>五级</t>
        </is>
      </c>
      <c r="B75" t="inlineStr">
        <is>
          <t>支出</t>
        </is>
      </c>
      <c r="C75" t="inlineStr">
        <is>
          <t>D.90.01.02.03.01</t>
        </is>
      </c>
      <c r="D75" t="inlineStr">
        <is>
          <t>IT人力</t>
        </is>
      </c>
      <c r="F75" t="inlineStr">
        <is>
          <t>D.90.01.02.03.01.001+D.90.01.02.03.01.002</t>
        </is>
      </c>
      <c r="K75" t="inlineStr">
        <is>
          <t>是</t>
        </is>
      </c>
      <c r="M75" t="inlineStr">
        <is>
          <t>05.01.02.03.01</t>
        </is>
      </c>
    </row>
    <row r="76">
      <c r="A76" t="inlineStr">
        <is>
          <t>六级</t>
        </is>
      </c>
      <c r="B76" t="inlineStr">
        <is>
          <t>支出</t>
        </is>
      </c>
      <c r="C76" t="inlineStr">
        <is>
          <t>D.90.01.02.03.01.001</t>
        </is>
      </c>
      <c r="D76" t="inlineStr">
        <is>
          <t>IT常规人力</t>
        </is>
      </c>
      <c r="K76" t="inlineStr">
        <is>
          <t>是</t>
        </is>
      </c>
      <c r="M76" t="inlineStr">
        <is>
          <t>05.01.02.03.01.001</t>
        </is>
      </c>
      <c r="N76" t="inlineStr">
        <is>
          <t>SUM</t>
        </is>
      </c>
    </row>
    <row r="77">
      <c r="A77" t="inlineStr">
        <is>
          <t>六级</t>
        </is>
      </c>
      <c r="B77" t="inlineStr">
        <is>
          <t>支出</t>
        </is>
      </c>
      <c r="C77" t="inlineStr">
        <is>
          <t>D.90.01.02.03.01.002</t>
        </is>
      </c>
      <c r="D77" t="inlineStr">
        <is>
          <t>IT特别人力</t>
        </is>
      </c>
      <c r="K77" t="inlineStr">
        <is>
          <t>是</t>
        </is>
      </c>
      <c r="M77" t="inlineStr">
        <is>
          <t>05.01.02.03.01.002</t>
        </is>
      </c>
      <c r="N77" t="inlineStr">
        <is>
          <t>SUM</t>
        </is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D.90.01.02.03.02</t>
        </is>
      </c>
      <c r="D78" t="inlineStr">
        <is>
          <t>AA.05.01.02.03.02</t>
        </is>
      </c>
      <c r="F78" t="inlineStr">
        <is>
          <t>D.90.01.02.03.02.001</t>
        </is>
      </c>
      <c r="K78" t="inlineStr">
        <is>
          <t>是</t>
        </is>
      </c>
      <c r="M78" t="inlineStr">
        <is>
          <t>05.01.02.03.02</t>
        </is>
      </c>
      <c r="N78" t="inlineStr">
        <is>
          <t>SUM</t>
        </is>
      </c>
    </row>
    <row r="79">
      <c r="A79" t="inlineStr">
        <is>
          <t>六级</t>
        </is>
      </c>
      <c r="B79" t="inlineStr">
        <is>
          <t>支出</t>
        </is>
      </c>
      <c r="C79" t="inlineStr">
        <is>
          <t>D.90.01.02.03.02.001</t>
        </is>
      </c>
      <c r="D79" t="inlineStr">
        <is>
          <t>科技</t>
        </is>
      </c>
      <c r="K79" t="inlineStr">
        <is>
          <t>是</t>
        </is>
      </c>
      <c r="M79" t="inlineStr">
        <is>
          <t>05.01.02.03.02.001</t>
        </is>
      </c>
      <c r="N79" t="inlineStr">
        <is>
          <t>SUM</t>
        </is>
      </c>
    </row>
    <row r="80">
      <c r="A80" t="inlineStr">
        <is>
          <t>五级</t>
        </is>
      </c>
      <c r="B80" t="inlineStr">
        <is>
          <t>支出</t>
        </is>
      </c>
      <c r="C80" t="inlineStr">
        <is>
          <t>D.90.01.02.03.03</t>
        </is>
      </c>
      <c r="D80" t="inlineStr">
        <is>
          <t>AA.05.01.02.03.03</t>
        </is>
      </c>
      <c r="F80" t="inlineStr">
        <is>
          <t>D.90.01.02.03.03.001</t>
        </is>
      </c>
      <c r="K80" t="inlineStr">
        <is>
          <t>是</t>
        </is>
      </c>
      <c r="M80" t="inlineStr">
        <is>
          <t>05.01.02.03.03</t>
        </is>
      </c>
      <c r="N80" t="inlineStr">
        <is>
          <t>SUM</t>
        </is>
      </c>
    </row>
    <row r="81">
      <c r="A81" t="inlineStr">
        <is>
          <t>六级</t>
        </is>
      </c>
      <c r="B81" t="inlineStr">
        <is>
          <t>支出</t>
        </is>
      </c>
      <c r="C81" t="inlineStr">
        <is>
          <t>D.90.01.02.03.03.001</t>
        </is>
      </c>
      <c r="D81" t="inlineStr">
        <is>
          <t>IT职场</t>
        </is>
      </c>
      <c r="K81" t="inlineStr">
        <is>
          <t>是</t>
        </is>
      </c>
      <c r="M81" t="inlineStr">
        <is>
          <t>05.01.02.03.03.001</t>
        </is>
      </c>
      <c r="N81" t="inlineStr">
        <is>
          <t>SUM</t>
        </is>
      </c>
    </row>
    <row r="82">
      <c r="A82" t="inlineStr">
        <is>
          <t>五级</t>
        </is>
      </c>
      <c r="B82" t="inlineStr">
        <is>
          <t>支出</t>
        </is>
      </c>
      <c r="C82" t="inlineStr">
        <is>
          <t>D.90.01.02.03.04</t>
        </is>
      </c>
      <c r="D82" t="inlineStr">
        <is>
          <t>AA.05.01.02.03.04</t>
        </is>
      </c>
      <c r="F82" t="inlineStr">
        <is>
          <t>D.90.01.02.03.04.001</t>
        </is>
      </c>
      <c r="K82" t="inlineStr">
        <is>
          <t>是</t>
        </is>
      </c>
      <c r="M82" t="inlineStr">
        <is>
          <t>05.01.02.03.04</t>
        </is>
      </c>
      <c r="N82" t="inlineStr">
        <is>
          <t>SUM</t>
        </is>
      </c>
    </row>
    <row r="83">
      <c r="A83" t="inlineStr">
        <is>
          <t>六级</t>
        </is>
      </c>
      <c r="B83" t="inlineStr">
        <is>
          <t>支出</t>
        </is>
      </c>
      <c r="C83" t="inlineStr">
        <is>
          <t>D.90.01.02.03.04.001</t>
        </is>
      </c>
      <c r="D83" t="inlineStr">
        <is>
          <t>IT日常</t>
        </is>
      </c>
      <c r="K83" t="inlineStr">
        <is>
          <t>是</t>
        </is>
      </c>
      <c r="M83" t="inlineStr">
        <is>
          <t>05.01.02.03.04.001</t>
        </is>
      </c>
      <c r="N83" t="inlineStr">
        <is>
          <t>SUM</t>
        </is>
      </c>
    </row>
    <row r="84">
      <c r="A84" t="inlineStr">
        <is>
          <t>四级</t>
        </is>
      </c>
      <c r="B84" t="inlineStr">
        <is>
          <t>支出</t>
        </is>
      </c>
      <c r="C84" t="inlineStr">
        <is>
          <t>D.90.01.02.04</t>
        </is>
      </c>
      <c r="D84" t="inlineStr">
        <is>
          <t>AA.05.01.02.04</t>
        </is>
      </c>
      <c r="F84" t="inlineStr">
        <is>
          <t>D.90.01.02.04.001</t>
        </is>
      </c>
      <c r="K84" t="inlineStr">
        <is>
          <t>是</t>
        </is>
      </c>
      <c r="M84" t="inlineStr">
        <is>
          <t>05.01.02.04</t>
        </is>
      </c>
      <c r="N84" t="inlineStr">
        <is>
          <t>SUM</t>
        </is>
      </c>
    </row>
    <row r="85">
      <c r="A85" t="inlineStr">
        <is>
          <t>五级</t>
        </is>
      </c>
      <c r="B85" t="inlineStr">
        <is>
          <t>支出</t>
        </is>
      </c>
      <c r="C85" t="inlineStr">
        <is>
          <t>D.90.01.02.04.001</t>
        </is>
      </c>
      <c r="D85" t="inlineStr">
        <is>
          <t>职场</t>
        </is>
      </c>
      <c r="K85" t="inlineStr">
        <is>
          <t>是</t>
        </is>
      </c>
      <c r="M85" t="inlineStr">
        <is>
          <t>05.01.02.04.001</t>
        </is>
      </c>
      <c r="N85" t="inlineStr">
        <is>
          <t>SUM</t>
        </is>
      </c>
    </row>
    <row r="86">
      <c r="A86" t="inlineStr">
        <is>
          <t>四级</t>
        </is>
      </c>
      <c r="B86" t="inlineStr">
        <is>
          <t>支出</t>
        </is>
      </c>
      <c r="C86" t="inlineStr">
        <is>
          <t>D.90.01.02.05</t>
        </is>
      </c>
      <c r="D86" t="inlineStr">
        <is>
          <t>AA.05.01.02.05</t>
        </is>
      </c>
      <c r="F86" t="inlineStr">
        <is>
          <t>D.90.01.02.05.001</t>
        </is>
      </c>
      <c r="K86" t="inlineStr">
        <is>
          <t>是</t>
        </is>
      </c>
      <c r="M86" t="inlineStr">
        <is>
          <t>05.01.02.05</t>
        </is>
      </c>
      <c r="N86" t="inlineStr">
        <is>
          <t>SUM</t>
        </is>
      </c>
    </row>
    <row r="87">
      <c r="A87" t="inlineStr">
        <is>
          <t>五级</t>
        </is>
      </c>
      <c r="B87" t="inlineStr">
        <is>
          <t>支出</t>
        </is>
      </c>
      <c r="C87" t="inlineStr">
        <is>
          <t>D.90.01.02.05.001</t>
        </is>
      </c>
      <c r="D87" t="inlineStr">
        <is>
          <t>日常</t>
        </is>
      </c>
      <c r="K87" t="inlineStr">
        <is>
          <t>是</t>
        </is>
      </c>
      <c r="M87" t="inlineStr">
        <is>
          <t>05.01.02.05.001</t>
        </is>
      </c>
      <c r="N87" t="inlineStr">
        <is>
          <t>SUM</t>
        </is>
      </c>
    </row>
    <row r="88">
      <c r="A88" t="inlineStr">
        <is>
          <t>二级</t>
        </is>
      </c>
      <c r="B88" t="inlineStr">
        <is>
          <t>支出</t>
        </is>
      </c>
      <c r="C88" t="inlineStr">
        <is>
          <t>D.90.02</t>
        </is>
      </c>
      <c r="D88" t="inlineStr">
        <is>
          <t>业务费用</t>
        </is>
      </c>
      <c r="F88" t="inlineStr">
        <is>
          <t>D.90.02.01+D.90.02.02</t>
        </is>
      </c>
      <c r="K88" t="inlineStr">
        <is>
          <t>是</t>
        </is>
      </c>
      <c r="N88" t="inlineStr">
        <is>
          <t>SUM</t>
        </is>
      </c>
    </row>
    <row r="89">
      <c r="A89" t="inlineStr">
        <is>
          <t>三级</t>
        </is>
      </c>
      <c r="B89" t="inlineStr">
        <is>
          <t>支出</t>
        </is>
      </c>
      <c r="C89" t="inlineStr">
        <is>
          <t>D.90.02.01</t>
        </is>
      </c>
      <c r="D89" t="inlineStr">
        <is>
          <t>营销费用</t>
        </is>
      </c>
      <c r="K89" t="inlineStr">
        <is>
          <t>是</t>
        </is>
      </c>
      <c r="N89" t="inlineStr">
        <is>
          <t>SUM</t>
        </is>
      </c>
    </row>
    <row r="90">
      <c r="A90" t="inlineStr">
        <is>
          <t>三级</t>
        </is>
      </c>
      <c r="B90" t="inlineStr">
        <is>
          <t>支出</t>
        </is>
      </c>
      <c r="C90" t="inlineStr">
        <is>
          <t>D.90.02.02</t>
        </is>
      </c>
      <c r="D90" t="inlineStr">
        <is>
          <t>运营费用</t>
        </is>
      </c>
      <c r="K90" t="inlineStr">
        <is>
          <t>是</t>
        </is>
      </c>
      <c r="N90" t="inlineStr">
        <is>
          <t>SUM</t>
        </is>
      </c>
    </row>
    <row r="91">
      <c r="A91" t="inlineStr">
        <is>
          <t>二级</t>
        </is>
      </c>
      <c r="B91" t="inlineStr">
        <is>
          <t>支出</t>
        </is>
      </c>
      <c r="C91" t="inlineStr">
        <is>
          <t>D.90.03</t>
        </is>
      </c>
      <c r="D91" t="inlineStr">
        <is>
          <t>业务支出评估</t>
        </is>
      </c>
      <c r="F91" t="inlineStr">
        <is>
          <t>D.90.03.09</t>
        </is>
      </c>
      <c r="K91" t="inlineStr">
        <is>
          <t>是</t>
        </is>
      </c>
      <c r="M91" t="inlineStr">
        <is>
          <t>05.02</t>
        </is>
      </c>
    </row>
    <row r="92">
      <c r="A92" t="inlineStr">
        <is>
          <t>三级</t>
        </is>
      </c>
      <c r="B92" t="inlineStr">
        <is>
          <t>支出</t>
        </is>
      </c>
      <c r="C92" t="inlineStr">
        <is>
          <t>D.90.03.09</t>
        </is>
      </c>
      <c r="D92" t="inlineStr">
        <is>
          <t>客户经营指标</t>
        </is>
      </c>
      <c r="F92" t="inlineStr">
        <is>
          <t>D.90.03.09.01+D.90.03.09.02+D.90.03.09.03</t>
        </is>
      </c>
      <c r="K92" t="inlineStr">
        <is>
          <t>是</t>
        </is>
      </c>
      <c r="M92" t="inlineStr">
        <is>
          <t>05.02.09</t>
        </is>
      </c>
    </row>
    <row r="93">
      <c r="A93" t="inlineStr">
        <is>
          <t>四级</t>
        </is>
      </c>
      <c r="B93" t="inlineStr">
        <is>
          <t>支出</t>
        </is>
      </c>
      <c r="C93" t="inlineStr">
        <is>
          <t>D.90.03.09.01</t>
        </is>
      </c>
      <c r="D93" t="inlineStr">
        <is>
          <t>客户营销与投入</t>
        </is>
      </c>
      <c r="F93" t="inlineStr">
        <is>
          <t>D.90.03.09.01.001+D.90.03.09.01.002+D.90.03.09.01.003+D.90.03.09.01.004</t>
        </is>
      </c>
      <c r="K93" t="inlineStr">
        <is>
          <t>是</t>
        </is>
      </c>
      <c r="M93" t="inlineStr">
        <is>
          <t>05.02.09.01</t>
        </is>
      </c>
    </row>
    <row r="94">
      <c r="A94" t="inlineStr">
        <is>
          <t>五级</t>
        </is>
      </c>
      <c r="B94" t="inlineStr">
        <is>
          <t>支出</t>
        </is>
      </c>
      <c r="C94" t="inlineStr">
        <is>
          <t>D.90.03.09.01.001</t>
        </is>
      </c>
      <c r="D94" t="inlineStr">
        <is>
          <t>新客营销支出</t>
        </is>
      </c>
      <c r="K94" t="inlineStr">
        <is>
          <t>是</t>
        </is>
      </c>
      <c r="M94" t="inlineStr">
        <is>
          <t>05.02.09.01.001</t>
        </is>
      </c>
      <c r="N94" t="inlineStr">
        <is>
          <t>SUM</t>
        </is>
      </c>
    </row>
    <row r="95">
      <c r="A95" t="inlineStr">
        <is>
          <t>五级</t>
        </is>
      </c>
      <c r="B95" t="inlineStr">
        <is>
          <t>支出</t>
        </is>
      </c>
      <c r="C95" t="inlineStr">
        <is>
          <t>D.90.03.09.01.002</t>
        </is>
      </c>
      <c r="D95" t="inlineStr">
        <is>
          <t>存客营销支出</t>
        </is>
      </c>
      <c r="K95" t="inlineStr">
        <is>
          <t>是</t>
        </is>
      </c>
      <c r="M95" t="inlineStr">
        <is>
          <t>05.02.09.01.002</t>
        </is>
      </c>
      <c r="N95" t="inlineStr">
        <is>
          <t>SUM</t>
        </is>
      </c>
    </row>
    <row r="96">
      <c r="A96" t="inlineStr">
        <is>
          <t>五级</t>
        </is>
      </c>
      <c r="B96" t="inlineStr">
        <is>
          <t>支出</t>
        </is>
      </c>
      <c r="C96" t="inlineStr">
        <is>
          <t>D.90.03.09.01.003</t>
        </is>
      </c>
      <c r="D96" t="inlineStr">
        <is>
          <t>新开通客户投入</t>
        </is>
      </c>
      <c r="K96" t="inlineStr">
        <is>
          <t>是</t>
        </is>
      </c>
      <c r="M96" t="inlineStr">
        <is>
          <t>05.02.09.01.003</t>
        </is>
      </c>
      <c r="N96" t="inlineStr">
        <is>
          <t>SUM</t>
        </is>
      </c>
    </row>
    <row r="97">
      <c r="A97" t="inlineStr">
        <is>
          <t>五级</t>
        </is>
      </c>
      <c r="B97" t="inlineStr">
        <is>
          <t>支出</t>
        </is>
      </c>
      <c r="C97" t="inlineStr">
        <is>
          <t>D.90.03.09.01.004</t>
        </is>
      </c>
      <c r="D97" t="inlineStr">
        <is>
          <t>新发放投入</t>
        </is>
      </c>
      <c r="K97" t="inlineStr">
        <is>
          <t>是</t>
        </is>
      </c>
      <c r="M97" t="inlineStr">
        <is>
          <t>05.02.09.01.004</t>
        </is>
      </c>
      <c r="N97" t="inlineStr">
        <is>
          <t>SUM</t>
        </is>
      </c>
    </row>
    <row r="98">
      <c r="A98" t="inlineStr">
        <is>
          <t>四级</t>
        </is>
      </c>
      <c r="B98" t="inlineStr">
        <is>
          <t>支出</t>
        </is>
      </c>
      <c r="C98" t="inlineStr">
        <is>
          <t>D.90.03.09.02</t>
        </is>
      </c>
      <c r="D98" t="inlineStr">
        <is>
          <t>客户规模与数量</t>
        </is>
      </c>
      <c r="F98" t="inlineStr">
        <is>
          <t>D.90.03.09.02.101+D.90.03.09.02.102+D.90.03.09.02.103</t>
        </is>
      </c>
      <c r="K98" t="inlineStr">
        <is>
          <t>是</t>
        </is>
      </c>
      <c r="M98" t="inlineStr">
        <is>
          <t>05.02.09.02</t>
        </is>
      </c>
    </row>
    <row r="99">
      <c r="A99" t="inlineStr">
        <is>
          <t>五级</t>
        </is>
      </c>
      <c r="B99" t="inlineStr">
        <is>
          <t>支出</t>
        </is>
      </c>
      <c r="C99" t="inlineStr">
        <is>
          <t>D.90.03.09.02.001</t>
        </is>
      </c>
      <c r="D99" t="inlineStr">
        <is>
          <t>新客日均LUM</t>
        </is>
      </c>
      <c r="K99" t="inlineStr">
        <is>
          <t>是</t>
        </is>
      </c>
      <c r="M99" t="inlineStr">
        <is>
          <t>05.02.09.02.001</t>
        </is>
      </c>
      <c r="N99" t="inlineStr">
        <is>
          <t>SUM</t>
        </is>
      </c>
    </row>
    <row r="100">
      <c r="A100" t="inlineStr">
        <is>
          <t>五级</t>
        </is>
      </c>
      <c r="B100" t="inlineStr">
        <is>
          <t>支出</t>
        </is>
      </c>
      <c r="C100" t="inlineStr">
        <is>
          <t>D.90.03.09.02.002</t>
        </is>
      </c>
      <c r="D100" t="inlineStr">
        <is>
          <t>存客日均LUM</t>
        </is>
      </c>
      <c r="K100" t="inlineStr">
        <is>
          <t>是</t>
        </is>
      </c>
      <c r="M100" t="inlineStr">
        <is>
          <t>05.02.09.02.002</t>
        </is>
      </c>
      <c r="N100" t="inlineStr">
        <is>
          <t>SUM</t>
        </is>
      </c>
    </row>
    <row r="101">
      <c r="A101" t="inlineStr">
        <is>
          <t>五级</t>
        </is>
      </c>
      <c r="B101" t="inlineStr">
        <is>
          <t>支出</t>
        </is>
      </c>
      <c r="C101" t="inlineStr">
        <is>
          <t>D.90.03.09.02.003</t>
        </is>
      </c>
      <c r="D101" t="inlineStr">
        <is>
          <t>新开通客户数</t>
        </is>
      </c>
      <c r="K101" t="inlineStr">
        <is>
          <t>是</t>
        </is>
      </c>
      <c r="M101" t="inlineStr">
        <is>
          <t>05.02.09.02.003</t>
        </is>
      </c>
      <c r="N101" t="inlineStr">
        <is>
          <t>SUM</t>
        </is>
      </c>
    </row>
    <row r="102">
      <c r="A102" t="inlineStr">
        <is>
          <t>五级</t>
        </is>
      </c>
      <c r="B102" t="inlineStr">
        <is>
          <t>支出</t>
        </is>
      </c>
      <c r="C102" t="inlineStr">
        <is>
          <t>D.90.03.09.02.004</t>
        </is>
      </c>
      <c r="D102" t="inlineStr">
        <is>
          <t>平均有效客户数</t>
        </is>
      </c>
      <c r="K102" t="inlineStr">
        <is>
          <t>是</t>
        </is>
      </c>
      <c r="M102" t="inlineStr">
        <is>
          <t>05.02.09.02.004</t>
        </is>
      </c>
      <c r="N102" t="inlineStr">
        <is>
          <t>SUM</t>
        </is>
      </c>
    </row>
    <row r="103">
      <c r="A103" t="inlineStr">
        <is>
          <t>五级</t>
        </is>
      </c>
      <c r="B103" t="inlineStr">
        <is>
          <t>支出</t>
        </is>
      </c>
      <c r="C103" t="inlineStr">
        <is>
          <t>D.90.03.09.02.005</t>
        </is>
      </c>
      <c r="D103" t="inlineStr">
        <is>
          <t>新发放LUM</t>
        </is>
      </c>
      <c r="K103" t="inlineStr">
        <is>
          <t>是</t>
        </is>
      </c>
      <c r="M103" t="inlineStr">
        <is>
          <t>05.02.09.02.005</t>
        </is>
      </c>
      <c r="N103" t="inlineStr">
        <is>
          <t>SUM</t>
        </is>
      </c>
    </row>
    <row r="104">
      <c r="A104" t="inlineStr">
        <is>
          <t>五级</t>
        </is>
      </c>
      <c r="B104" t="inlineStr">
        <is>
          <t>支出</t>
        </is>
      </c>
      <c r="C104" t="inlineStr">
        <is>
          <t>D.90.03.09.02.006</t>
        </is>
      </c>
      <c r="D104" t="inlineStr">
        <is>
          <t>新发放LUM（标服）</t>
        </is>
      </c>
      <c r="K104" t="inlineStr">
        <is>
          <t>是</t>
        </is>
      </c>
      <c r="M104" t="inlineStr">
        <is>
          <t>05.02.09.02.006</t>
        </is>
      </c>
      <c r="N104" t="inlineStr">
        <is>
          <t>SUM</t>
        </is>
      </c>
    </row>
    <row r="105">
      <c r="A105" t="inlineStr">
        <is>
          <t>五级</t>
        </is>
      </c>
      <c r="B105" t="inlineStr">
        <is>
          <t>支出</t>
        </is>
      </c>
      <c r="C105" t="inlineStr">
        <is>
          <t>D.90.03.09.02.007</t>
        </is>
      </c>
      <c r="D105" t="inlineStr">
        <is>
          <t>存客日均AuM</t>
        </is>
      </c>
      <c r="K105" t="inlineStr">
        <is>
          <t>是</t>
        </is>
      </c>
      <c r="M105" t="inlineStr">
        <is>
          <t>05.02.09.02.007</t>
        </is>
      </c>
      <c r="N105" t="inlineStr">
        <is>
          <t>SUM</t>
        </is>
      </c>
    </row>
    <row r="106">
      <c r="A106" t="inlineStr">
        <is>
          <t>五级</t>
        </is>
      </c>
      <c r="B106" t="inlineStr">
        <is>
          <t>支出</t>
        </is>
      </c>
      <c r="C106" t="inlineStr">
        <is>
          <t>D.90.03.09.02.008</t>
        </is>
      </c>
      <c r="D106" t="inlineStr">
        <is>
          <t>新客AuM余额</t>
        </is>
      </c>
      <c r="K106" t="inlineStr">
        <is>
          <t>是</t>
        </is>
      </c>
      <c r="M106" t="inlineStr">
        <is>
          <t>05.02.09.02.008</t>
        </is>
      </c>
      <c r="N106" t="inlineStr">
        <is>
          <t>SUM</t>
        </is>
      </c>
    </row>
    <row r="107">
      <c r="A107" t="inlineStr">
        <is>
          <t>五级</t>
        </is>
      </c>
      <c r="B107" t="inlineStr">
        <is>
          <t>支出</t>
        </is>
      </c>
      <c r="C107" t="inlineStr">
        <is>
          <t>D.90.03.09.02.009</t>
        </is>
      </c>
      <c r="D107" t="inlineStr">
        <is>
          <t>MFAU客户数</t>
        </is>
      </c>
      <c r="K107" t="inlineStr">
        <is>
          <t>是</t>
        </is>
      </c>
      <c r="M107" t="inlineStr">
        <is>
          <t>05.02.09.02.009</t>
        </is>
      </c>
      <c r="N107" t="inlineStr">
        <is>
          <t>SUM</t>
        </is>
      </c>
    </row>
    <row r="108">
      <c r="A108" t="inlineStr">
        <is>
          <t>五级</t>
        </is>
      </c>
      <c r="B108" t="inlineStr">
        <is>
          <t>支出</t>
        </is>
      </c>
      <c r="C108" t="inlineStr">
        <is>
          <t>D.90.03.09.02.010</t>
        </is>
      </c>
      <c r="D108" t="inlineStr">
        <is>
          <t>日均LUM</t>
        </is>
      </c>
      <c r="K108" t="inlineStr">
        <is>
          <t>是</t>
        </is>
      </c>
      <c r="M108" t="inlineStr">
        <is>
          <t>05.02.09.02.010</t>
        </is>
      </c>
      <c r="N108" t="inlineStr">
        <is>
          <t>SUM</t>
        </is>
      </c>
    </row>
    <row r="109">
      <c r="A109" t="inlineStr">
        <is>
          <t>五级</t>
        </is>
      </c>
      <c r="B109" t="inlineStr">
        <is>
          <t>支出</t>
        </is>
      </c>
      <c r="C109" t="inlineStr">
        <is>
          <t>D.90.03.09.02.011</t>
        </is>
      </c>
      <c r="D109" t="inlineStr">
        <is>
          <t>日均AuM</t>
        </is>
      </c>
      <c r="K109" t="inlineStr">
        <is>
          <t>是</t>
        </is>
      </c>
      <c r="M109" t="inlineStr">
        <is>
          <t>05.02.09.02.011</t>
        </is>
      </c>
      <c r="N109" t="inlineStr">
        <is>
          <t>SUM</t>
        </is>
      </c>
    </row>
    <row r="110">
      <c r="A110" t="inlineStr">
        <is>
          <t>五级</t>
        </is>
      </c>
      <c r="B110" t="inlineStr">
        <is>
          <t>支出</t>
        </is>
      </c>
      <c r="C110" t="inlineStr">
        <is>
          <t>D.90.03.09.02.101</t>
        </is>
      </c>
      <c r="D110" t="inlineStr">
        <is>
          <t>LUM规模</t>
        </is>
      </c>
      <c r="F110" t="inlineStr">
        <is>
          <t>D.90.03.09.02.001+D.90.03.09.02.002+D.90.03.09.02.005+D.90.03.09.02.006+D.90.03.09.02.010</t>
        </is>
      </c>
      <c r="K110" t="inlineStr">
        <is>
          <t>是</t>
        </is>
      </c>
      <c r="M110" t="inlineStr">
        <is>
          <t>05.02.09.02.101</t>
        </is>
      </c>
    </row>
    <row r="111">
      <c r="A111" t="inlineStr">
        <is>
          <t>五级</t>
        </is>
      </c>
      <c r="B111" t="inlineStr">
        <is>
          <t>支出</t>
        </is>
      </c>
      <c r="C111" t="inlineStr">
        <is>
          <t>D.90.03.09.02.102</t>
        </is>
      </c>
      <c r="D111" t="inlineStr">
        <is>
          <t>AuM规模</t>
        </is>
      </c>
      <c r="F111" t="inlineStr">
        <is>
          <t>D.90.03.09.02.007+D.90.03.09.02.008+D.90.03.09.02.011</t>
        </is>
      </c>
      <c r="K111" t="inlineStr">
        <is>
          <t>是</t>
        </is>
      </c>
      <c r="M111" t="inlineStr">
        <is>
          <t>05.02.09.02.102</t>
        </is>
      </c>
    </row>
    <row r="112">
      <c r="A112" t="inlineStr">
        <is>
          <t>五级</t>
        </is>
      </c>
      <c r="B112" t="inlineStr">
        <is>
          <t>支出</t>
        </is>
      </c>
      <c r="C112" t="inlineStr">
        <is>
          <t>D.90.03.09.02.103</t>
        </is>
      </c>
      <c r="D112" t="inlineStr">
        <is>
          <t>客户数量</t>
        </is>
      </c>
      <c r="F112" t="inlineStr">
        <is>
          <t>D.90.03.09.02.003+D.90.03.09.02.004+D.90.03.09.02.009</t>
        </is>
      </c>
      <c r="K112" t="inlineStr">
        <is>
          <t>是</t>
        </is>
      </c>
      <c r="M112" t="inlineStr">
        <is>
          <t>05.02.09.02.103</t>
        </is>
      </c>
    </row>
    <row r="113">
      <c r="A113" t="inlineStr">
        <is>
          <t>四级</t>
        </is>
      </c>
      <c r="B113" t="inlineStr">
        <is>
          <t>支出</t>
        </is>
      </c>
      <c r="C113" t="inlineStr">
        <is>
          <t>D.90.03.09.03</t>
        </is>
      </c>
      <c r="D113" t="inlineStr">
        <is>
          <t>客户回收与催收</t>
        </is>
      </c>
      <c r="F113" t="inlineStr">
        <is>
          <t>D.90.03.09.03.001+D.90.03.09.03.002+D.90.03.09.03.003</t>
        </is>
      </c>
      <c r="K113" t="inlineStr">
        <is>
          <t>是</t>
        </is>
      </c>
      <c r="M113" t="inlineStr">
        <is>
          <t>05.02.09.03</t>
        </is>
      </c>
    </row>
    <row r="114">
      <c r="A114" t="inlineStr">
        <is>
          <t>五级</t>
        </is>
      </c>
      <c r="B114" t="inlineStr">
        <is>
          <t>支出</t>
        </is>
      </c>
      <c r="C114" t="inlineStr">
        <is>
          <t>D.90.03.09.03.001</t>
        </is>
      </c>
      <c r="D114" t="inlineStr">
        <is>
          <t>内催回收额</t>
        </is>
      </c>
      <c r="K114" t="inlineStr">
        <is>
          <t>是</t>
        </is>
      </c>
      <c r="M114" t="inlineStr">
        <is>
          <t>05.02.09.03.001</t>
        </is>
      </c>
      <c r="N114" t="inlineStr">
        <is>
          <t>SUM</t>
        </is>
      </c>
    </row>
    <row r="115">
      <c r="A115" t="inlineStr">
        <is>
          <t>五级</t>
        </is>
      </c>
      <c r="B115" t="inlineStr">
        <is>
          <t>支出</t>
        </is>
      </c>
      <c r="C115" t="inlineStr">
        <is>
          <t>D.90.03.09.03.002</t>
        </is>
      </c>
      <c r="D115" t="inlineStr">
        <is>
          <t>M6-压降金额</t>
        </is>
      </c>
      <c r="K115" t="inlineStr">
        <is>
          <t>是</t>
        </is>
      </c>
      <c r="M115" t="inlineStr">
        <is>
          <t>05.02.09.03.002</t>
        </is>
      </c>
      <c r="N115" t="inlineStr">
        <is>
          <t>SUM</t>
        </is>
      </c>
    </row>
    <row r="116">
      <c r="A116" t="inlineStr">
        <is>
          <t>五级</t>
        </is>
      </c>
      <c r="B116" t="inlineStr">
        <is>
          <t>支出</t>
        </is>
      </c>
      <c r="C116" t="inlineStr">
        <is>
          <t>D.90.03.09.03.003</t>
        </is>
      </c>
      <c r="D116" t="inlineStr">
        <is>
          <t>M7+现金回收额</t>
        </is>
      </c>
      <c r="K116" t="inlineStr">
        <is>
          <t>是</t>
        </is>
      </c>
      <c r="M116" t="inlineStr">
        <is>
          <t>05.02.09.03.003</t>
        </is>
      </c>
      <c r="N116" t="inlineStr">
        <is>
          <t>SUM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H118"/>
  <sheetViews>
    <sheetView workbookViewId="0">
      <selection activeCell="C1" sqref="C1"/>
    </sheetView>
  </sheetViews>
  <sheetFormatPr baseColWidth="8" defaultColWidth="9" defaultRowHeight="16.8"/>
  <cols>
    <col width="9.66071428571429" customWidth="1" min="3" max="3"/>
    <col width="15.5" customWidth="1" min="4" max="4"/>
  </cols>
  <sheetData>
    <row r="1" ht="15" customFormat="1" customHeight="1" s="1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3" t="inlineStr">
        <is>
          <t>录入粒度</t>
        </is>
      </c>
      <c r="F1" s="3" t="inlineStr">
        <is>
          <t>年预算公式</t>
        </is>
      </c>
      <c r="G1" s="3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6" t="n"/>
      <c r="O1" s="6" t="n"/>
      <c r="P1" t="inlineStr">
        <is>
          <t>规则</t>
        </is>
      </c>
    </row>
    <row r="2" ht="15" customHeight="1">
      <c r="A2" s="7" t="inlineStr">
        <is>
          <t>一级</t>
        </is>
      </c>
      <c r="B2" s="1" t="inlineStr">
        <is>
          <t>收入</t>
        </is>
      </c>
      <c r="C2" s="8" t="inlineStr">
        <is>
          <t>D01.01</t>
        </is>
      </c>
      <c r="D2" s="7" t="inlineStr">
        <is>
          <t>营业收入</t>
        </is>
      </c>
      <c r="E2" s="5" t="n"/>
      <c r="F2" s="5" t="inlineStr">
        <is>
          <t>D01.01.01+D01.01.02+D01.01.03</t>
        </is>
      </c>
      <c r="G2" s="5" t="n"/>
      <c r="H2" s="5">
        <f>H3+H6+H7</f>
        <v/>
      </c>
      <c r="I2" s="5">
        <f>I3+I6+I7</f>
        <v/>
      </c>
      <c r="J2" s="5" t="n"/>
      <c r="M2" t="inlineStr">
        <is>
          <t>01</t>
        </is>
      </c>
    </row>
    <row r="3" ht="15" customHeight="1">
      <c r="A3" s="1" t="inlineStr">
        <is>
          <t>二级</t>
        </is>
      </c>
      <c r="B3" s="1" t="inlineStr">
        <is>
          <t>收入</t>
        </is>
      </c>
      <c r="C3" s="8" t="inlineStr">
        <is>
          <t>D01.01.01</t>
        </is>
      </c>
      <c r="D3" s="1" t="inlineStr">
        <is>
          <t xml:space="preserve">  利息净收入</t>
        </is>
      </c>
      <c r="E3" s="5" t="n"/>
      <c r="F3" s="5" t="inlineStr">
        <is>
          <t>D01.01.01.01+D01.01.01.02</t>
        </is>
      </c>
      <c r="G3" s="5" t="n"/>
      <c r="H3" s="5">
        <f>H4+H5</f>
        <v/>
      </c>
      <c r="I3" s="5">
        <f>I4+I5</f>
        <v/>
      </c>
      <c r="J3" s="5" t="n"/>
      <c r="M3" t="inlineStr">
        <is>
          <t>01.01</t>
        </is>
      </c>
    </row>
    <row r="4" ht="15" customHeight="1">
      <c r="A4" s="1" t="inlineStr">
        <is>
          <t>三级</t>
        </is>
      </c>
      <c r="B4" s="1" t="inlineStr">
        <is>
          <t>收入</t>
        </is>
      </c>
      <c r="C4" s="9" t="inlineStr">
        <is>
          <t>D01.01.01.01</t>
        </is>
      </c>
      <c r="D4" s="1" t="inlineStr">
        <is>
          <t xml:space="preserve">    资产业务</t>
        </is>
      </c>
      <c r="E4" s="5" t="n"/>
      <c r="F4" s="5" t="n"/>
      <c r="G4" s="5" t="n"/>
      <c r="H4" s="5" t="n"/>
      <c r="I4" s="5" t="n"/>
      <c r="J4" s="5" t="n"/>
      <c r="M4" t="inlineStr">
        <is>
          <t>01.01.01</t>
        </is>
      </c>
      <c r="P4" t="inlineStr">
        <is>
          <t>SUM</t>
        </is>
      </c>
    </row>
    <row r="5" ht="15" customHeight="1">
      <c r="A5" s="1" t="inlineStr">
        <is>
          <t>三级</t>
        </is>
      </c>
      <c r="B5" s="1" t="inlineStr">
        <is>
          <t>收入</t>
        </is>
      </c>
      <c r="C5" s="9" t="inlineStr">
        <is>
          <t>D01.01.01.02</t>
        </is>
      </c>
      <c r="D5" s="1" t="inlineStr">
        <is>
          <t xml:space="preserve">    负债业务</t>
        </is>
      </c>
      <c r="E5" s="5" t="n"/>
      <c r="F5" s="5" t="n"/>
      <c r="G5" s="5" t="n"/>
      <c r="H5" s="5" t="n"/>
      <c r="I5" s="5" t="n"/>
      <c r="J5" s="5" t="n"/>
      <c r="M5" t="inlineStr">
        <is>
          <t>01.01.02</t>
        </is>
      </c>
      <c r="P5" t="inlineStr">
        <is>
          <t>SUM</t>
        </is>
      </c>
    </row>
    <row r="6" ht="15" customHeight="1">
      <c r="A6" s="1" t="inlineStr">
        <is>
          <t>二级</t>
        </is>
      </c>
      <c r="B6" s="1" t="inlineStr">
        <is>
          <t>收入</t>
        </is>
      </c>
      <c r="C6" s="8" t="inlineStr">
        <is>
          <t>D01.01.02</t>
        </is>
      </c>
      <c r="D6" s="1" t="inlineStr">
        <is>
          <t xml:space="preserve">  净手续费收入</t>
        </is>
      </c>
      <c r="E6" s="5" t="n"/>
      <c r="F6" s="5" t="n"/>
      <c r="G6" s="5" t="n"/>
      <c r="H6" s="5">
        <f>H32-H35</f>
        <v/>
      </c>
      <c r="I6" s="5">
        <f>I32-I35</f>
        <v/>
      </c>
      <c r="J6" s="5" t="n"/>
      <c r="M6" t="inlineStr">
        <is>
          <t>01.02</t>
        </is>
      </c>
      <c r="P6" t="inlineStr">
        <is>
          <t>SUM</t>
        </is>
      </c>
    </row>
    <row r="7" ht="15" customHeight="1">
      <c r="A7" s="1" t="inlineStr">
        <is>
          <t>二级</t>
        </is>
      </c>
      <c r="B7" s="1" t="inlineStr">
        <is>
          <t>收入</t>
        </is>
      </c>
      <c r="C7" s="8" t="inlineStr">
        <is>
          <t>D01.01.03</t>
        </is>
      </c>
      <c r="D7" s="1" t="inlineStr">
        <is>
          <t xml:space="preserve">  其他营收</t>
        </is>
      </c>
      <c r="E7" s="5" t="n"/>
      <c r="F7" s="5" t="n"/>
      <c r="G7" s="5" t="n"/>
      <c r="H7" s="5">
        <f>H38+H40</f>
        <v/>
      </c>
      <c r="I7" s="5">
        <f>I38+I40</f>
        <v/>
      </c>
      <c r="J7" s="5" t="n"/>
      <c r="M7" t="inlineStr">
        <is>
          <t>01.03</t>
        </is>
      </c>
      <c r="P7" t="inlineStr">
        <is>
          <t>SUM</t>
        </is>
      </c>
    </row>
    <row r="8" ht="15" customHeight="1">
      <c r="A8" s="7" t="inlineStr">
        <is>
          <t>一级</t>
        </is>
      </c>
      <c r="B8" s="1" t="inlineStr">
        <is>
          <t>支出</t>
        </is>
      </c>
      <c r="C8" s="8" t="inlineStr">
        <is>
          <t>D01.02</t>
        </is>
      </c>
      <c r="D8" s="7" t="inlineStr">
        <is>
          <t>减：风险成本</t>
        </is>
      </c>
      <c r="E8" s="5" t="n"/>
      <c r="F8" s="5" t="n"/>
      <c r="G8" s="5" t="n"/>
      <c r="H8" s="5" t="n"/>
      <c r="I8" s="5" t="n"/>
      <c r="J8" s="5" t="n"/>
      <c r="M8" t="inlineStr">
        <is>
          <t>02</t>
        </is>
      </c>
      <c r="P8" t="inlineStr">
        <is>
          <t>SUM</t>
        </is>
      </c>
    </row>
    <row r="9" ht="15" customHeight="1">
      <c r="A9" s="7" t="inlineStr">
        <is>
          <t>一级</t>
        </is>
      </c>
      <c r="B9" s="1" t="inlineStr">
        <is>
          <t>收入</t>
        </is>
      </c>
      <c r="C9" s="8" t="inlineStr">
        <is>
          <t>D01.03</t>
        </is>
      </c>
      <c r="D9" s="7" t="inlineStr">
        <is>
          <t>净收入</t>
        </is>
      </c>
      <c r="E9" s="5" t="n"/>
      <c r="F9" s="5" t="inlineStr">
        <is>
          <t>D01.01-D01.02</t>
        </is>
      </c>
      <c r="G9" s="5" t="n"/>
      <c r="H9" s="5">
        <f>H2-H8</f>
        <v/>
      </c>
      <c r="I9" s="5">
        <f>I2-I8</f>
        <v/>
      </c>
      <c r="J9" s="5" t="n"/>
      <c r="M9" t="inlineStr">
        <is>
          <t>03</t>
        </is>
      </c>
    </row>
    <row r="10" ht="15" customHeight="1">
      <c r="A10" s="7" t="inlineStr">
        <is>
          <t>一级</t>
        </is>
      </c>
      <c r="B10" s="1" t="inlineStr">
        <is>
          <t>支出</t>
        </is>
      </c>
      <c r="C10" s="8" t="inlineStr">
        <is>
          <t>D01.04</t>
        </is>
      </c>
      <c r="D10" s="7" t="inlineStr">
        <is>
          <t>减：税金及附加</t>
        </is>
      </c>
      <c r="E10" s="5" t="n"/>
      <c r="F10" s="5" t="n"/>
      <c r="G10" s="5" t="n"/>
      <c r="H10" s="5" t="n"/>
      <c r="I10" s="5" t="n"/>
      <c r="J10" s="5" t="n"/>
      <c r="M10" t="inlineStr">
        <is>
          <t>04</t>
        </is>
      </c>
      <c r="P10" t="inlineStr">
        <is>
          <t>SUM</t>
        </is>
      </c>
    </row>
    <row r="11" ht="15" customHeight="1">
      <c r="A11" s="7" t="inlineStr">
        <is>
          <t>一级</t>
        </is>
      </c>
      <c r="B11" s="1" t="inlineStr">
        <is>
          <t>支出</t>
        </is>
      </c>
      <c r="C11" s="8" t="inlineStr">
        <is>
          <t>D01.05</t>
        </is>
      </c>
      <c r="D11" s="7" t="inlineStr">
        <is>
          <t>减：直接费用</t>
        </is>
      </c>
      <c r="E11" s="5" t="n"/>
      <c r="F11" s="5" t="inlineStr">
        <is>
          <t>D01.90.01+D01.90.02+D01.90.03+D01.90.04+D01.90.05</t>
        </is>
      </c>
      <c r="G11" s="5" t="n"/>
      <c r="H11" s="5">
        <f>H12+H15+H18+H25+H26</f>
        <v/>
      </c>
      <c r="I11" s="5">
        <f>I12+I15+I18+I25+I26</f>
        <v/>
      </c>
      <c r="J11" s="5" t="n"/>
      <c r="K11" t="inlineStr">
        <is>
          <t>是</t>
        </is>
      </c>
      <c r="M11" t="inlineStr">
        <is>
          <t>05</t>
        </is>
      </c>
    </row>
    <row r="12" ht="15" customHeight="1">
      <c r="A12" s="1" t="inlineStr">
        <is>
          <t>二级</t>
        </is>
      </c>
      <c r="B12" s="1" t="inlineStr">
        <is>
          <t>支出</t>
        </is>
      </c>
      <c r="C12" s="8" t="inlineStr">
        <is>
          <t>D01.05.01</t>
        </is>
      </c>
      <c r="D12" s="1" t="inlineStr">
        <is>
          <t xml:space="preserve">  人力费用（不含IT）</t>
        </is>
      </c>
      <c r="E12" s="5" t="n"/>
      <c r="F12" s="5" t="inlineStr">
        <is>
          <t>D01.90.01.01+D01.90.01.02</t>
        </is>
      </c>
      <c r="G12" s="5" t="n"/>
      <c r="H12" s="5">
        <f>H13+H14</f>
        <v/>
      </c>
      <c r="I12" s="5">
        <f>I13+I14</f>
        <v/>
      </c>
      <c r="J12" s="5" t="n"/>
      <c r="K12" t="inlineStr">
        <is>
          <t>是</t>
        </is>
      </c>
      <c r="M12" t="inlineStr">
        <is>
          <t>05.01</t>
        </is>
      </c>
    </row>
    <row r="13" ht="15" customHeight="1">
      <c r="A13" s="1" t="inlineStr">
        <is>
          <t>三级</t>
        </is>
      </c>
      <c r="B13" s="1" t="inlineStr">
        <is>
          <t>支出</t>
        </is>
      </c>
      <c r="C13" s="9" t="inlineStr">
        <is>
          <t>D01.05.01.01</t>
        </is>
      </c>
      <c r="D13" s="1" t="inlineStr">
        <is>
          <t xml:space="preserve">    常规人力</t>
        </is>
      </c>
      <c r="E13" s="5" t="n"/>
      <c r="F13" s="5" t="inlineStr">
        <is>
          <t>D01.90.01.01.01+D01.90.01.01.02+D01.90.01.01.03+D01.90.01.01.04.001+D01.90.01.01.05.001</t>
        </is>
      </c>
      <c r="G13" s="5" t="n"/>
      <c r="H13" s="5" t="n"/>
      <c r="I13" s="5" t="n"/>
      <c r="J13" s="5" t="n"/>
      <c r="K13" t="inlineStr">
        <is>
          <t>是</t>
        </is>
      </c>
      <c r="M13" t="inlineStr">
        <is>
          <t>05.01.01</t>
        </is>
      </c>
    </row>
    <row r="14" ht="15" customHeight="1">
      <c r="A14" s="1" t="inlineStr">
        <is>
          <t>三级</t>
        </is>
      </c>
      <c r="B14" s="1" t="inlineStr">
        <is>
          <t>支出</t>
        </is>
      </c>
      <c r="C14" s="9" t="inlineStr">
        <is>
          <t>D01.05.01.02</t>
        </is>
      </c>
      <c r="D14" s="1" t="inlineStr">
        <is>
          <t xml:space="preserve">    特别人力</t>
        </is>
      </c>
      <c r="E14" s="5" t="n"/>
      <c r="F14" s="5" t="inlineStr">
        <is>
          <t>D01.90.01.02.01+D01.90.01.02.02+D01.90.01.02.03+D01.90.01.02.04.001+D01.90.01.02.05.001</t>
        </is>
      </c>
      <c r="G14" s="5" t="n"/>
      <c r="H14" s="5" t="n"/>
      <c r="I14" s="5" t="n"/>
      <c r="J14" s="5" t="n"/>
      <c r="K14" t="inlineStr">
        <is>
          <t>是</t>
        </is>
      </c>
      <c r="M14" t="inlineStr">
        <is>
          <t>05.01.02</t>
        </is>
      </c>
    </row>
    <row r="15" ht="15" customHeight="1">
      <c r="A15" s="1" t="inlineStr">
        <is>
          <t>二级</t>
        </is>
      </c>
      <c r="B15" s="1" t="inlineStr">
        <is>
          <t>支出</t>
        </is>
      </c>
      <c r="C15" s="8" t="inlineStr">
        <is>
          <t>D01.05.02</t>
        </is>
      </c>
      <c r="D15" s="1" t="inlineStr">
        <is>
          <t xml:space="preserve">  业务费用</t>
        </is>
      </c>
      <c r="E15" s="5" t="n"/>
      <c r="F15" s="5" t="inlineStr">
        <is>
          <t>D01.90.02.01+D01.90.02.02+D01.90.02.09</t>
        </is>
      </c>
      <c r="G15" s="5" t="n"/>
      <c r="H15" s="5">
        <f>H16+H17</f>
        <v/>
      </c>
      <c r="I15" s="5">
        <f>I16+I17</f>
        <v/>
      </c>
      <c r="J15" s="5" t="n"/>
      <c r="K15" t="inlineStr">
        <is>
          <t>是</t>
        </is>
      </c>
      <c r="M15" t="inlineStr">
        <is>
          <t>05.02</t>
        </is>
      </c>
    </row>
    <row r="16" ht="15" customHeight="1">
      <c r="A16" s="1" t="inlineStr">
        <is>
          <t>三级</t>
        </is>
      </c>
      <c r="B16" s="1" t="inlineStr">
        <is>
          <t>支出</t>
        </is>
      </c>
      <c r="C16" s="9" t="inlineStr">
        <is>
          <t>D01.05.02.01</t>
        </is>
      </c>
      <c r="D16" s="1" t="inlineStr">
        <is>
          <t xml:space="preserve">    营销费用</t>
        </is>
      </c>
      <c r="E16" s="5" t="n"/>
      <c r="F16" s="5" t="n"/>
      <c r="G16" s="5" t="n"/>
      <c r="H16" s="5" t="n"/>
      <c r="I16" s="5" t="n"/>
      <c r="J16" s="5" t="n"/>
      <c r="K16" t="inlineStr">
        <is>
          <t>是</t>
        </is>
      </c>
      <c r="M16" t="inlineStr">
        <is>
          <t>05.02.01</t>
        </is>
      </c>
      <c r="P16" t="inlineStr">
        <is>
          <t>SUM</t>
        </is>
      </c>
    </row>
    <row r="17" ht="15" customHeight="1">
      <c r="A17" s="1" t="inlineStr">
        <is>
          <t>三级</t>
        </is>
      </c>
      <c r="B17" s="1" t="inlineStr">
        <is>
          <t>支出</t>
        </is>
      </c>
      <c r="C17" s="9" t="inlineStr">
        <is>
          <t>D01.05.02.02</t>
        </is>
      </c>
      <c r="D17" s="1" t="inlineStr">
        <is>
          <t xml:space="preserve">    运营费用</t>
        </is>
      </c>
      <c r="E17" s="5" t="n"/>
      <c r="F17" s="5" t="n"/>
      <c r="G17" s="5" t="n"/>
      <c r="H17" s="5" t="n"/>
      <c r="I17" s="5" t="n"/>
      <c r="J17" s="5" t="n"/>
      <c r="K17" t="inlineStr">
        <is>
          <t>是</t>
        </is>
      </c>
      <c r="M17" t="inlineStr">
        <is>
          <t>05.02.02</t>
        </is>
      </c>
      <c r="P17" t="inlineStr">
        <is>
          <t>SUM</t>
        </is>
      </c>
    </row>
    <row r="18" ht="15" customHeight="1">
      <c r="A18" s="1" t="inlineStr">
        <is>
          <t>二级</t>
        </is>
      </c>
      <c r="B18" s="1" t="inlineStr">
        <is>
          <t>支出</t>
        </is>
      </c>
      <c r="C18" s="8" t="inlineStr">
        <is>
          <t>D01.05.03</t>
        </is>
      </c>
      <c r="D18" s="1" t="inlineStr">
        <is>
          <t xml:space="preserve">  IT费用</t>
        </is>
      </c>
      <c r="E18" s="5" t="n"/>
      <c r="F18" s="5" t="inlineStr">
        <is>
          <t>D01.90.03.01+D01.90.03.02+D01.90.03.03+D01.90.03.04</t>
        </is>
      </c>
      <c r="G18" s="5" t="n"/>
      <c r="H18" s="5">
        <f>H19+H22+H23+H24</f>
        <v/>
      </c>
      <c r="I18" s="5">
        <f>I19+I22+I23+I24</f>
        <v/>
      </c>
      <c r="J18" s="5" t="n"/>
      <c r="K18" t="inlineStr">
        <is>
          <t>是</t>
        </is>
      </c>
      <c r="M18" t="inlineStr">
        <is>
          <t>05.03</t>
        </is>
      </c>
    </row>
    <row r="19" ht="15" customHeight="1">
      <c r="A19" s="1" t="inlineStr">
        <is>
          <t>三级</t>
        </is>
      </c>
      <c r="B19" s="1" t="inlineStr">
        <is>
          <t>支出</t>
        </is>
      </c>
      <c r="C19" s="9" t="inlineStr">
        <is>
          <t>D01.05.03.01</t>
        </is>
      </c>
      <c r="D19" s="1" t="inlineStr">
        <is>
          <t xml:space="preserve">    IT人力</t>
        </is>
      </c>
      <c r="E19" s="5" t="n"/>
      <c r="F19" s="5" t="inlineStr">
        <is>
          <t>D01.90.03.01.01+D01.90.03.01.02</t>
        </is>
      </c>
      <c r="G19" s="5" t="n"/>
      <c r="H19" s="5">
        <f>H20+H21</f>
        <v/>
      </c>
      <c r="I19" s="5">
        <f>I20+I21</f>
        <v/>
      </c>
      <c r="J19" s="5" t="n"/>
      <c r="K19" t="inlineStr">
        <is>
          <t>是</t>
        </is>
      </c>
      <c r="M19" t="inlineStr">
        <is>
          <t>05.03.01</t>
        </is>
      </c>
    </row>
    <row r="20" ht="15" customHeight="1">
      <c r="A20" s="1" t="inlineStr">
        <is>
          <t>四级</t>
        </is>
      </c>
      <c r="B20" s="1" t="inlineStr">
        <is>
          <t>支出</t>
        </is>
      </c>
      <c r="C20" s="9" t="inlineStr">
        <is>
          <t>D01.05.03.01.01</t>
        </is>
      </c>
      <c r="D20" s="1" t="inlineStr">
        <is>
          <t xml:space="preserve">      IT常规人力</t>
        </is>
      </c>
      <c r="E20" s="5" t="n"/>
      <c r="F20" s="5" t="n"/>
      <c r="G20" s="5" t="n"/>
      <c r="H20" s="5" t="n"/>
      <c r="I20" s="5" t="n"/>
      <c r="J20" s="5" t="n"/>
      <c r="K20" t="inlineStr">
        <is>
          <t>是</t>
        </is>
      </c>
      <c r="M20" t="inlineStr">
        <is>
          <t>05.03.01.01</t>
        </is>
      </c>
      <c r="P20" t="inlineStr">
        <is>
          <t>SUM</t>
        </is>
      </c>
    </row>
    <row r="21" ht="15" customHeight="1">
      <c r="A21" s="1" t="inlineStr">
        <is>
          <t>四级</t>
        </is>
      </c>
      <c r="B21" s="1" t="inlineStr">
        <is>
          <t>支出</t>
        </is>
      </c>
      <c r="C21" s="9" t="inlineStr">
        <is>
          <t>D01.05.03.01.02</t>
        </is>
      </c>
      <c r="D21" s="1" t="inlineStr">
        <is>
          <t xml:space="preserve">      IT特别人力</t>
        </is>
      </c>
      <c r="E21" s="5" t="n"/>
      <c r="F21" s="5" t="n"/>
      <c r="G21" s="5" t="n"/>
      <c r="H21" s="5" t="n"/>
      <c r="I21" s="5" t="n"/>
      <c r="J21" s="5" t="n"/>
      <c r="K21" t="inlineStr">
        <is>
          <t>是</t>
        </is>
      </c>
      <c r="M21" t="inlineStr">
        <is>
          <t>05.03.01.02</t>
        </is>
      </c>
      <c r="P21" t="inlineStr">
        <is>
          <t>SUM</t>
        </is>
      </c>
    </row>
    <row r="22" ht="15" customHeight="1">
      <c r="A22" s="1" t="inlineStr">
        <is>
          <t>三级</t>
        </is>
      </c>
      <c r="B22" s="1" t="inlineStr">
        <is>
          <t>支出</t>
        </is>
      </c>
      <c r="C22" s="9" t="inlineStr">
        <is>
          <t>D01.05.03.02</t>
        </is>
      </c>
      <c r="D22" s="1" t="inlineStr">
        <is>
          <t xml:space="preserve">    科技费用</t>
        </is>
      </c>
      <c r="E22" s="5" t="n"/>
      <c r="F22" s="5" t="n"/>
      <c r="G22" s="5" t="n"/>
      <c r="H22" s="5" t="n"/>
      <c r="I22" s="5" t="n"/>
      <c r="J22" s="5" t="n"/>
      <c r="K22" t="inlineStr">
        <is>
          <t>是</t>
        </is>
      </c>
      <c r="M22" t="inlineStr">
        <is>
          <t>05.03.02</t>
        </is>
      </c>
      <c r="P22" t="inlineStr">
        <is>
          <t>SUM</t>
        </is>
      </c>
    </row>
    <row r="23" ht="15" customHeight="1">
      <c r="A23" s="1" t="inlineStr">
        <is>
          <t>三级</t>
        </is>
      </c>
      <c r="B23" s="1" t="inlineStr">
        <is>
          <t>支出</t>
        </is>
      </c>
      <c r="C23" s="9" t="inlineStr">
        <is>
          <t>D01.05.03.03</t>
        </is>
      </c>
      <c r="D23" s="1" t="inlineStr">
        <is>
          <t xml:space="preserve">    IT职场</t>
        </is>
      </c>
      <c r="E23" s="5" t="n"/>
      <c r="F23" s="5" t="n"/>
      <c r="G23" s="5" t="n"/>
      <c r="H23" s="5" t="n"/>
      <c r="I23" s="5" t="n"/>
      <c r="J23" s="5" t="n"/>
      <c r="K23" t="inlineStr">
        <is>
          <t>是</t>
        </is>
      </c>
      <c r="M23" t="inlineStr">
        <is>
          <t>05.03.03</t>
        </is>
      </c>
      <c r="P23" t="inlineStr">
        <is>
          <t>SUM</t>
        </is>
      </c>
    </row>
    <row r="24" ht="15" customHeight="1">
      <c r="A24" s="1" t="inlineStr">
        <is>
          <t>三级</t>
        </is>
      </c>
      <c r="B24" s="1" t="inlineStr">
        <is>
          <t>支出</t>
        </is>
      </c>
      <c r="C24" s="9" t="inlineStr">
        <is>
          <t>D01.05.03.04</t>
        </is>
      </c>
      <c r="D24" s="1" t="inlineStr">
        <is>
          <t xml:space="preserve">    IT日常</t>
        </is>
      </c>
      <c r="E24" s="5" t="n"/>
      <c r="F24" s="5" t="n"/>
      <c r="G24" s="5" t="n"/>
      <c r="H24" s="5" t="n"/>
      <c r="I24" s="5" t="n"/>
      <c r="J24" s="5" t="n"/>
      <c r="K24" t="inlineStr">
        <is>
          <t>是</t>
        </is>
      </c>
      <c r="M24" t="inlineStr">
        <is>
          <t>05.03.04</t>
        </is>
      </c>
      <c r="P24" t="inlineStr">
        <is>
          <t>SUM</t>
        </is>
      </c>
    </row>
    <row r="25" ht="15" customHeight="1">
      <c r="A25" s="1" t="inlineStr">
        <is>
          <t>二级</t>
        </is>
      </c>
      <c r="B25" s="1" t="inlineStr">
        <is>
          <t>支出</t>
        </is>
      </c>
      <c r="C25" s="8" t="inlineStr">
        <is>
          <t>D01.05.04</t>
        </is>
      </c>
      <c r="D25" s="1" t="inlineStr">
        <is>
          <t xml:space="preserve">  职场费用</t>
        </is>
      </c>
      <c r="E25" s="5" t="n"/>
      <c r="F25" s="5" t="n"/>
      <c r="G25" s="5" t="n"/>
      <c r="H25" s="5" t="n"/>
      <c r="I25" s="5" t="n"/>
      <c r="J25" s="5" t="n"/>
      <c r="K25" t="inlineStr">
        <is>
          <t>是</t>
        </is>
      </c>
      <c r="M25" t="inlineStr">
        <is>
          <t>05.04</t>
        </is>
      </c>
      <c r="P25" t="inlineStr">
        <is>
          <t>SUM</t>
        </is>
      </c>
    </row>
    <row r="26" ht="15" customHeight="1">
      <c r="A26" s="1" t="inlineStr">
        <is>
          <t>二级</t>
        </is>
      </c>
      <c r="B26" s="1" t="inlineStr">
        <is>
          <t>支出</t>
        </is>
      </c>
      <c r="C26" s="8" t="inlineStr">
        <is>
          <t>D01.05.05</t>
        </is>
      </c>
      <c r="D26" s="1" t="inlineStr">
        <is>
          <t xml:space="preserve">  日常费用</t>
        </is>
      </c>
      <c r="E26" s="5" t="n"/>
      <c r="F26" s="5" t="n"/>
      <c r="G26" s="5" t="n"/>
      <c r="H26" s="5" t="n"/>
      <c r="I26" s="5" t="n"/>
      <c r="J26" s="5" t="n"/>
      <c r="K26" t="inlineStr">
        <is>
          <t>是</t>
        </is>
      </c>
      <c r="M26" t="inlineStr">
        <is>
          <t>05.05</t>
        </is>
      </c>
      <c r="P26" t="inlineStr">
        <is>
          <t>SUM</t>
        </is>
      </c>
    </row>
    <row r="27" ht="15" customHeight="1">
      <c r="A27" s="7" t="inlineStr">
        <is>
          <t>一级</t>
        </is>
      </c>
      <c r="B27" s="1" t="inlineStr">
        <is>
          <t>收入</t>
        </is>
      </c>
      <c r="C27" s="8" t="inlineStr">
        <is>
          <t>D01.06</t>
        </is>
      </c>
      <c r="D27" s="7" t="inlineStr">
        <is>
          <t>加：营业外净收入</t>
        </is>
      </c>
      <c r="E27" s="5" t="n"/>
      <c r="F27" s="5" t="n"/>
      <c r="G27" s="5" t="n"/>
      <c r="H27" s="5" t="n"/>
      <c r="I27" s="5" t="n"/>
      <c r="J27" s="5" t="n"/>
      <c r="M27" t="inlineStr">
        <is>
          <t>06</t>
        </is>
      </c>
      <c r="P27" t="inlineStr">
        <is>
          <t>SUM</t>
        </is>
      </c>
    </row>
    <row r="28" ht="15" customHeight="1">
      <c r="A28" s="7" t="inlineStr">
        <is>
          <t>一级</t>
        </is>
      </c>
      <c r="B28" s="1" t="inlineStr">
        <is>
          <t>利润</t>
        </is>
      </c>
      <c r="C28" s="8" t="inlineStr">
        <is>
          <t>D01.07</t>
        </is>
      </c>
      <c r="D28" s="7" t="inlineStr">
        <is>
          <t>分摊前利润</t>
        </is>
      </c>
      <c r="E28" s="5" t="n"/>
      <c r="F28" s="5" t="inlineStr">
        <is>
          <t>D01.03-D01.04-D01.90+D01.06</t>
        </is>
      </c>
      <c r="G28" s="5" t="n"/>
      <c r="H28" s="5">
        <f>H9-H10-H11+H27</f>
        <v/>
      </c>
      <c r="I28" s="5">
        <f>I9-I10-I11+I27</f>
        <v/>
      </c>
      <c r="J28" s="5" t="n"/>
      <c r="M28" t="inlineStr">
        <is>
          <t>07</t>
        </is>
      </c>
    </row>
    <row r="29" ht="15" customHeight="1">
      <c r="A29" s="7" t="inlineStr">
        <is>
          <t>一级</t>
        </is>
      </c>
      <c r="B29" s="1" t="inlineStr">
        <is>
          <t>支出</t>
        </is>
      </c>
      <c r="C29" s="8" t="inlineStr">
        <is>
          <t>D01.08</t>
        </is>
      </c>
      <c r="D29" s="7" t="inlineStr">
        <is>
          <t>减：固定管理费</t>
        </is>
      </c>
      <c r="E29" s="5" t="n"/>
      <c r="F29" s="5" t="n"/>
      <c r="G29" s="5" t="n"/>
      <c r="H29" s="5" t="n"/>
      <c r="I29" s="5" t="n"/>
      <c r="J29" s="5" t="n"/>
      <c r="M29" t="inlineStr">
        <is>
          <t>08</t>
        </is>
      </c>
      <c r="P29" t="inlineStr">
        <is>
          <t>SUM</t>
        </is>
      </c>
    </row>
    <row r="30" ht="15" customHeight="1">
      <c r="A30" s="7" t="inlineStr">
        <is>
          <t>一级</t>
        </is>
      </c>
      <c r="B30" s="1" t="inlineStr">
        <is>
          <t>利润</t>
        </is>
      </c>
      <c r="C30" s="8" t="inlineStr">
        <is>
          <t>D01.09</t>
        </is>
      </c>
      <c r="D30" s="7" t="inlineStr">
        <is>
          <t>税前利润</t>
        </is>
      </c>
      <c r="E30" s="5" t="n"/>
      <c r="F30" s="5" t="inlineStr">
        <is>
          <t>D01.07-D01.08</t>
        </is>
      </c>
      <c r="G30" s="5" t="n"/>
      <c r="H30" s="5">
        <f>H28-H29</f>
        <v/>
      </c>
      <c r="I30" s="5">
        <f>I28-I29</f>
        <v/>
      </c>
      <c r="J30" s="5" t="n"/>
      <c r="M30" t="inlineStr">
        <is>
          <t>09</t>
        </is>
      </c>
    </row>
    <row r="31" ht="15" customHeight="1">
      <c r="A31" s="10" t="n"/>
      <c r="B31" s="10" t="n"/>
      <c r="C31" s="10" t="n"/>
      <c r="D31" s="10" t="n"/>
      <c r="E31" s="5" t="n"/>
      <c r="F31" s="5" t="n"/>
      <c r="G31" s="5" t="n"/>
      <c r="H31" s="5" t="n"/>
      <c r="I31" s="5" t="n"/>
      <c r="J31" s="5" t="n"/>
    </row>
    <row r="32" ht="15" customHeight="1">
      <c r="A32" s="11" t="inlineStr">
        <is>
          <t>一级</t>
        </is>
      </c>
      <c r="B32" s="11" t="inlineStr">
        <is>
          <t>收入</t>
        </is>
      </c>
      <c r="C32" s="8" t="inlineStr">
        <is>
          <t>D01.18</t>
        </is>
      </c>
      <c r="D32" s="11" t="inlineStr">
        <is>
          <t>手续费收入</t>
        </is>
      </c>
      <c r="E32" s="5" t="n"/>
      <c r="F32" s="5" t="inlineStr">
        <is>
          <t>D01.18.99</t>
        </is>
      </c>
      <c r="G32" s="5" t="n"/>
      <c r="H32" s="5">
        <f>H33</f>
        <v/>
      </c>
      <c r="I32" s="5">
        <f>I33</f>
        <v/>
      </c>
      <c r="J32" s="5" t="n"/>
      <c r="M32" t="inlineStr">
        <is>
          <t>18</t>
        </is>
      </c>
    </row>
    <row r="33" ht="15" customHeight="1">
      <c r="A33" s="11" t="inlineStr">
        <is>
          <t>二级</t>
        </is>
      </c>
      <c r="B33" s="11" t="inlineStr">
        <is>
          <t>收入</t>
        </is>
      </c>
      <c r="C33" s="8" t="inlineStr">
        <is>
          <t>D01.18.99</t>
        </is>
      </c>
      <c r="D33" s="11" t="inlineStr">
        <is>
          <t xml:space="preserve">  手续费收入</t>
        </is>
      </c>
      <c r="E33" s="5" t="n"/>
      <c r="F33" s="5" t="n"/>
      <c r="G33" s="5" t="n"/>
      <c r="H33" s="5" t="n"/>
      <c r="I33" s="5" t="n"/>
      <c r="J33" s="5" t="n"/>
      <c r="M33" t="inlineStr">
        <is>
          <t>18.99</t>
        </is>
      </c>
      <c r="P33" t="inlineStr">
        <is>
          <t>SUM</t>
        </is>
      </c>
    </row>
    <row r="34" ht="15" customHeight="1">
      <c r="A34" s="1" t="n"/>
      <c r="B34" s="1" t="n"/>
      <c r="C34" s="9" t="n"/>
      <c r="D34" s="1" t="n"/>
      <c r="E34" s="5" t="n"/>
      <c r="F34" s="5" t="n"/>
      <c r="G34" s="5" t="n"/>
      <c r="H34" s="5" t="n"/>
      <c r="I34" s="5" t="n"/>
      <c r="J34" s="5" t="n"/>
    </row>
    <row r="35" ht="15" customHeight="1">
      <c r="A35" s="11" t="inlineStr">
        <is>
          <t>一级</t>
        </is>
      </c>
      <c r="B35" s="11" t="inlineStr">
        <is>
          <t>支出</t>
        </is>
      </c>
      <c r="C35" s="8" t="inlineStr">
        <is>
          <t>D01.19</t>
        </is>
      </c>
      <c r="D35" s="11" t="inlineStr">
        <is>
          <t>手续费支出</t>
        </is>
      </c>
      <c r="E35" s="5" t="n"/>
      <c r="F35" s="5" t="inlineStr">
        <is>
          <t>D01.19.99</t>
        </is>
      </c>
      <c r="G35" s="5" t="n"/>
      <c r="H35" s="5">
        <f>H36</f>
        <v/>
      </c>
      <c r="I35" s="5">
        <f>I36</f>
        <v/>
      </c>
      <c r="J35" s="5" t="n"/>
      <c r="M35" t="inlineStr">
        <is>
          <t>19</t>
        </is>
      </c>
    </row>
    <row r="36" ht="15" customHeight="1">
      <c r="A36" s="11" t="inlineStr">
        <is>
          <t>二级</t>
        </is>
      </c>
      <c r="B36" s="11" t="inlineStr">
        <is>
          <t>支出</t>
        </is>
      </c>
      <c r="C36" s="8" t="inlineStr">
        <is>
          <t>D01.19.99</t>
        </is>
      </c>
      <c r="D36" s="11" t="inlineStr">
        <is>
          <t xml:space="preserve">  手续费支出</t>
        </is>
      </c>
      <c r="E36" s="5" t="n"/>
      <c r="F36" s="5" t="n"/>
      <c r="G36" s="5" t="n"/>
      <c r="H36" s="5" t="n"/>
      <c r="I36" s="5" t="n"/>
      <c r="J36" s="5" t="n"/>
      <c r="M36" t="inlineStr">
        <is>
          <t>19.99</t>
        </is>
      </c>
      <c r="P36" t="inlineStr">
        <is>
          <t>SUM</t>
        </is>
      </c>
    </row>
    <row r="37" ht="15" customHeight="1">
      <c r="A37" s="10" t="n"/>
      <c r="B37" s="10" t="n"/>
      <c r="C37" s="10" t="n"/>
      <c r="D37" s="10" t="n"/>
      <c r="E37" s="5" t="n"/>
      <c r="F37" s="5" t="n"/>
      <c r="G37" s="5" t="n"/>
      <c r="H37" s="5" t="n"/>
      <c r="I37" s="5" t="n"/>
      <c r="J37" s="5" t="n"/>
    </row>
    <row r="38" ht="15" customHeight="1">
      <c r="A38" s="11" t="inlineStr">
        <is>
          <t>一级</t>
        </is>
      </c>
      <c r="B38" s="11" t="inlineStr">
        <is>
          <t>收入</t>
        </is>
      </c>
      <c r="C38" s="11" t="inlineStr">
        <is>
          <t>D01.20</t>
        </is>
      </c>
      <c r="D38" s="11" t="inlineStr">
        <is>
          <t>其他外部营收</t>
        </is>
      </c>
      <c r="E38" s="5" t="n"/>
      <c r="F38" s="5" t="n"/>
      <c r="G38" s="5" t="n"/>
      <c r="H38" s="5" t="n"/>
      <c r="I38" s="5" t="n"/>
      <c r="J38" s="5" t="n"/>
      <c r="M38" t="inlineStr">
        <is>
          <t>20</t>
        </is>
      </c>
      <c r="P38" t="inlineStr">
        <is>
          <t>SUM</t>
        </is>
      </c>
    </row>
    <row r="39" ht="15" customHeight="1">
      <c r="A39" s="10" t="n"/>
      <c r="B39" s="10" t="n"/>
      <c r="C39" s="10" t="n"/>
      <c r="D39" s="10" t="n"/>
      <c r="E39" s="5" t="n"/>
      <c r="F39" s="5" t="n"/>
      <c r="G39" s="5" t="n"/>
      <c r="H39" s="5" t="n"/>
      <c r="I39" s="5" t="n"/>
      <c r="J39" s="5" t="n"/>
    </row>
    <row r="40" ht="15" customHeight="1">
      <c r="A40" s="11" t="inlineStr">
        <is>
          <t>一级</t>
        </is>
      </c>
      <c r="B40" s="11" t="inlineStr">
        <is>
          <t>收入</t>
        </is>
      </c>
      <c r="C40" s="11" t="inlineStr">
        <is>
          <t>D01.21</t>
        </is>
      </c>
      <c r="D40" s="11" t="inlineStr">
        <is>
          <t>内部营业净收入</t>
        </is>
      </c>
      <c r="E40" s="5" t="n"/>
      <c r="F40" s="5" t="n"/>
      <c r="G40" s="5" t="n"/>
      <c r="H40" s="5" t="n"/>
      <c r="I40" s="5" t="n"/>
      <c r="J40" s="5" t="n"/>
      <c r="M40" t="inlineStr">
        <is>
          <t>21</t>
        </is>
      </c>
      <c r="P40" t="inlineStr">
        <is>
          <t>SUM</t>
        </is>
      </c>
    </row>
    <row r="41">
      <c r="A41" s="11" t="n"/>
      <c r="B41" s="11" t="n"/>
      <c r="C41" s="8" t="n"/>
      <c r="D41" s="11" t="n"/>
    </row>
    <row r="42">
      <c r="A42" s="10" t="n"/>
      <c r="B42" s="10" t="n"/>
      <c r="C42" s="9" t="n"/>
      <c r="D42" s="10" t="n"/>
    </row>
    <row r="43">
      <c r="A43" s="10" t="n"/>
      <c r="B43" s="10" t="n"/>
      <c r="C43" s="10" t="n"/>
      <c r="D43" s="10" t="n"/>
    </row>
    <row r="44">
      <c r="A44" s="11" t="n"/>
      <c r="B44" s="11" t="n"/>
      <c r="C44" s="8" t="n"/>
      <c r="D44" s="11" t="n"/>
    </row>
    <row r="45">
      <c r="A45" s="10" t="n"/>
      <c r="B45" s="10" t="n"/>
      <c r="C45" s="10" t="n"/>
      <c r="D45" s="10" t="n"/>
    </row>
    <row r="46">
      <c r="A46" s="11" t="n"/>
      <c r="B46" s="11" t="n"/>
      <c r="C46" s="11" t="n"/>
      <c r="D46" s="11" t="n"/>
    </row>
    <row r="47"/>
    <row r="48">
      <c r="A48" t="inlineStr">
        <is>
          <t>层级</t>
        </is>
      </c>
      <c r="B48" t="inlineStr">
        <is>
          <t>性质</t>
        </is>
      </c>
      <c r="C48" t="inlineStr">
        <is>
          <t>科目代码</t>
        </is>
      </c>
      <c r="D48" t="inlineStr">
        <is>
          <t>科目名称</t>
        </is>
      </c>
      <c r="E48" t="inlineStr">
        <is>
          <t>录入粒度</t>
        </is>
      </c>
      <c r="F48" t="inlineStr">
        <is>
          <t>年预算公式</t>
        </is>
      </c>
      <c r="J48" t="inlineStr">
        <is>
          <t>公式说明</t>
        </is>
      </c>
      <c r="K48" t="inlineStr">
        <is>
          <t>横向汇总</t>
        </is>
      </c>
    </row>
    <row r="49">
      <c r="A49" t="inlineStr">
        <is>
          <t>一级</t>
        </is>
      </c>
      <c r="B49" t="inlineStr">
        <is>
          <t>支出</t>
        </is>
      </c>
      <c r="C49" t="inlineStr">
        <is>
          <t>D01.90</t>
        </is>
      </c>
      <c r="D49" t="inlineStr">
        <is>
          <t>减:业务及管理费</t>
        </is>
      </c>
      <c r="F49" t="inlineStr">
        <is>
          <t>D01.90.01+D01.90.03</t>
        </is>
      </c>
      <c r="K49" t="inlineStr">
        <is>
          <t>是</t>
        </is>
      </c>
      <c r="M49" t="inlineStr">
        <is>
          <t>05</t>
        </is>
      </c>
    </row>
    <row r="50">
      <c r="A50" t="inlineStr">
        <is>
          <t>二级</t>
        </is>
      </c>
      <c r="B50" t="inlineStr">
        <is>
          <t>支出</t>
        </is>
      </c>
      <c r="C50" t="inlineStr">
        <is>
          <t>D01.90.01</t>
        </is>
      </c>
      <c r="D50" t="inlineStr">
        <is>
          <t>直接费用</t>
        </is>
      </c>
      <c r="F50" t="inlineStr">
        <is>
          <t>D01.90.01.01+D01.90.01.02</t>
        </is>
      </c>
      <c r="K50" t="inlineStr">
        <is>
          <t>是</t>
        </is>
      </c>
      <c r="M50" t="inlineStr">
        <is>
          <t>05.01</t>
        </is>
      </c>
    </row>
    <row r="51">
      <c r="A51" t="inlineStr">
        <is>
          <t>三级</t>
        </is>
      </c>
      <c r="B51" t="inlineStr">
        <is>
          <t>支出</t>
        </is>
      </c>
      <c r="C51" t="inlineStr">
        <is>
          <t>D01.90.01.01</t>
        </is>
      </c>
      <c r="D51" t="inlineStr">
        <is>
          <t>直接费用</t>
        </is>
      </c>
      <c r="F51" t="inlineStr">
        <is>
          <t>D01.90.01.01.01+D01.90.01.01.02+D01.90.01.01.03+D01.90.01.01.04.001+D01.90.01.01.05.001</t>
        </is>
      </c>
      <c r="K51" t="inlineStr">
        <is>
          <t>是</t>
        </is>
      </c>
      <c r="M51" t="inlineStr">
        <is>
          <t>05.01.01</t>
        </is>
      </c>
    </row>
    <row r="52">
      <c r="A52" t="inlineStr">
        <is>
          <t>四级</t>
        </is>
      </c>
      <c r="B52" t="inlineStr">
        <is>
          <t>支出</t>
        </is>
      </c>
      <c r="C52" t="inlineStr">
        <is>
          <t>D01.90.01.01.01</t>
        </is>
      </c>
      <c r="D52" t="inlineStr">
        <is>
          <t>人力（不含IT)</t>
        </is>
      </c>
      <c r="F52" t="inlineStr">
        <is>
          <t>D01.90.01.01.01.001+D01.90.01.01.01.002</t>
        </is>
      </c>
      <c r="K52" t="inlineStr">
        <is>
          <t>是</t>
        </is>
      </c>
      <c r="M52" t="inlineStr">
        <is>
          <t>05.01.01.01</t>
        </is>
      </c>
    </row>
    <row r="53">
      <c r="A53" t="inlineStr">
        <is>
          <t>五级</t>
        </is>
      </c>
      <c r="B53" t="inlineStr">
        <is>
          <t>支出</t>
        </is>
      </c>
      <c r="C53" t="inlineStr">
        <is>
          <t>D01.90.01.01.01.001</t>
        </is>
      </c>
      <c r="D53" t="inlineStr">
        <is>
          <t>业务人力</t>
        </is>
      </c>
      <c r="K53" t="inlineStr">
        <is>
          <t>是</t>
        </is>
      </c>
      <c r="M53" t="inlineStr">
        <is>
          <t>05.01.01.01.001</t>
        </is>
      </c>
      <c r="N53" t="inlineStr">
        <is>
          <t>SUM</t>
        </is>
      </c>
    </row>
    <row r="54">
      <c r="A54" t="inlineStr">
        <is>
          <t>五级</t>
        </is>
      </c>
      <c r="B54" t="inlineStr">
        <is>
          <t>支出</t>
        </is>
      </c>
      <c r="C54" t="inlineStr">
        <is>
          <t>D01.90.01.01.01.002</t>
        </is>
      </c>
      <c r="D54" t="inlineStr">
        <is>
          <t>特别人力</t>
        </is>
      </c>
      <c r="K54" t="inlineStr">
        <is>
          <t>是</t>
        </is>
      </c>
      <c r="M54" t="inlineStr">
        <is>
          <t>05.01.01.01.002</t>
        </is>
      </c>
      <c r="N54" t="inlineStr">
        <is>
          <t>SUM</t>
        </is>
      </c>
    </row>
    <row r="55">
      <c r="A55" t="inlineStr">
        <is>
          <t>四级</t>
        </is>
      </c>
      <c r="B55" t="inlineStr">
        <is>
          <t>支出</t>
        </is>
      </c>
      <c r="C55" t="inlineStr">
        <is>
          <t>D01.90.01.01.02</t>
        </is>
      </c>
      <c r="D55" t="inlineStr">
        <is>
          <t>业务费用</t>
        </is>
      </c>
      <c r="F55" t="inlineStr">
        <is>
          <t>D01.90.01.01.02.001+D01.90.01.01.02.002</t>
        </is>
      </c>
      <c r="K55" t="inlineStr">
        <is>
          <t>是</t>
        </is>
      </c>
      <c r="M55" t="inlineStr">
        <is>
          <t>05.01.01.02</t>
        </is>
      </c>
    </row>
    <row r="56">
      <c r="A56" t="inlineStr">
        <is>
          <t>五级</t>
        </is>
      </c>
      <c r="B56" t="inlineStr">
        <is>
          <t>支出</t>
        </is>
      </c>
      <c r="C56" t="inlineStr">
        <is>
          <t>D01.90.01.01.02.001</t>
        </is>
      </c>
      <c r="D56" t="inlineStr">
        <is>
          <t>营销</t>
        </is>
      </c>
      <c r="K56" t="inlineStr">
        <is>
          <t>是</t>
        </is>
      </c>
      <c r="M56" t="inlineStr">
        <is>
          <t>05.01.01.02.001</t>
        </is>
      </c>
      <c r="N56" t="inlineStr">
        <is>
          <t>SUM</t>
        </is>
      </c>
    </row>
    <row r="57">
      <c r="A57" t="inlineStr">
        <is>
          <t>五级</t>
        </is>
      </c>
      <c r="B57" t="inlineStr">
        <is>
          <t>支出</t>
        </is>
      </c>
      <c r="C57" t="inlineStr">
        <is>
          <t>D01.90.01.01.02.002</t>
        </is>
      </c>
      <c r="D57" t="inlineStr">
        <is>
          <t>运营</t>
        </is>
      </c>
      <c r="K57" t="inlineStr">
        <is>
          <t>是</t>
        </is>
      </c>
      <c r="M57" t="inlineStr">
        <is>
          <t>05.01.01.02.002</t>
        </is>
      </c>
      <c r="N57" t="inlineStr">
        <is>
          <t>SUM</t>
        </is>
      </c>
    </row>
    <row r="58">
      <c r="A58" t="inlineStr">
        <is>
          <t>四级</t>
        </is>
      </c>
      <c r="B58" t="inlineStr">
        <is>
          <t>支出</t>
        </is>
      </c>
      <c r="C58" t="inlineStr">
        <is>
          <t>D01.90.01.01.03</t>
        </is>
      </c>
      <c r="D58" t="inlineStr">
        <is>
          <t>IT</t>
        </is>
      </c>
      <c r="F58" t="inlineStr">
        <is>
          <t>D01.90.01.01.03.01+D01.90.01.01.03.02.001+D01.90.01.01.03.03.001+D01.90.01.01.03.04.001</t>
        </is>
      </c>
      <c r="K58" t="inlineStr">
        <is>
          <t>是</t>
        </is>
      </c>
      <c r="M58" t="inlineStr">
        <is>
          <t>05.01.01.03</t>
        </is>
      </c>
    </row>
    <row r="59">
      <c r="A59" t="inlineStr">
        <is>
          <t>五级</t>
        </is>
      </c>
      <c r="B59" t="inlineStr">
        <is>
          <t>支出</t>
        </is>
      </c>
      <c r="C59" t="inlineStr">
        <is>
          <t>D01.90.01.01.03.01</t>
        </is>
      </c>
      <c r="D59" t="inlineStr">
        <is>
          <t>IT人力</t>
        </is>
      </c>
      <c r="F59" t="inlineStr">
        <is>
          <t>D01.90.01.01.03.01.001+D01.90.01.01.03.01.002</t>
        </is>
      </c>
      <c r="K59" t="inlineStr">
        <is>
          <t>是</t>
        </is>
      </c>
      <c r="M59" t="inlineStr">
        <is>
          <t>05.01.01.03.01</t>
        </is>
      </c>
    </row>
    <row r="60">
      <c r="A60" t="inlineStr">
        <is>
          <t>六级</t>
        </is>
      </c>
      <c r="B60" t="inlineStr">
        <is>
          <t>支出</t>
        </is>
      </c>
      <c r="C60" t="inlineStr">
        <is>
          <t>D01.90.01.01.03.01.001</t>
        </is>
      </c>
      <c r="D60" t="inlineStr">
        <is>
          <t>IT常规人力</t>
        </is>
      </c>
      <c r="K60" t="inlineStr">
        <is>
          <t>是</t>
        </is>
      </c>
      <c r="M60" t="inlineStr">
        <is>
          <t>05.01.01.03.01.001</t>
        </is>
      </c>
      <c r="N60" t="inlineStr">
        <is>
          <t>SUM</t>
        </is>
      </c>
    </row>
    <row r="61">
      <c r="A61" t="inlineStr">
        <is>
          <t>六级</t>
        </is>
      </c>
      <c r="B61" t="inlineStr">
        <is>
          <t>支出</t>
        </is>
      </c>
      <c r="C61" t="inlineStr">
        <is>
          <t>D01.90.01.01.03.01.002</t>
        </is>
      </c>
      <c r="D61" t="inlineStr">
        <is>
          <t>IT特别人力</t>
        </is>
      </c>
      <c r="K61" t="inlineStr">
        <is>
          <t>是</t>
        </is>
      </c>
      <c r="M61" t="inlineStr">
        <is>
          <t>05.01.01.03.01.002</t>
        </is>
      </c>
      <c r="N61" t="inlineStr">
        <is>
          <t>SUM</t>
        </is>
      </c>
    </row>
    <row r="62">
      <c r="A62" t="inlineStr">
        <is>
          <t>五级</t>
        </is>
      </c>
      <c r="B62" t="inlineStr">
        <is>
          <t>支出</t>
        </is>
      </c>
      <c r="C62" t="inlineStr">
        <is>
          <t>D01.90.01.01.03.02</t>
        </is>
      </c>
      <c r="D62" t="inlineStr">
        <is>
          <t>科技</t>
        </is>
      </c>
      <c r="K62" t="inlineStr">
        <is>
          <t>是</t>
        </is>
      </c>
      <c r="M62" t="inlineStr">
        <is>
          <t>05.01.01.03.02</t>
        </is>
      </c>
      <c r="N62" t="inlineStr">
        <is>
          <t>SUM</t>
        </is>
      </c>
    </row>
    <row r="63">
      <c r="A63" t="inlineStr">
        <is>
          <t>五级</t>
        </is>
      </c>
      <c r="B63" t="inlineStr">
        <is>
          <t>支出</t>
        </is>
      </c>
      <c r="C63" t="inlineStr">
        <is>
          <t>D01.90.01.01.03.03</t>
        </is>
      </c>
      <c r="D63" t="inlineStr">
        <is>
          <t>IT职场</t>
        </is>
      </c>
      <c r="K63" t="inlineStr">
        <is>
          <t>是</t>
        </is>
      </c>
      <c r="M63" t="inlineStr">
        <is>
          <t>05.01.01.03.03</t>
        </is>
      </c>
      <c r="N63" t="inlineStr">
        <is>
          <t>SUM</t>
        </is>
      </c>
    </row>
    <row r="64">
      <c r="A64" t="inlineStr">
        <is>
          <t>五级</t>
        </is>
      </c>
      <c r="B64" t="inlineStr">
        <is>
          <t>支出</t>
        </is>
      </c>
      <c r="C64" t="inlineStr">
        <is>
          <t>D01.90.01.01.03.04</t>
        </is>
      </c>
      <c r="D64" t="inlineStr">
        <is>
          <t>IT日常</t>
        </is>
      </c>
      <c r="K64" t="inlineStr">
        <is>
          <t>是</t>
        </is>
      </c>
      <c r="M64" t="inlineStr">
        <is>
          <t>05.01.01.03.04</t>
        </is>
      </c>
      <c r="N64" t="inlineStr">
        <is>
          <t>SUM</t>
        </is>
      </c>
    </row>
    <row r="65">
      <c r="A65" t="inlineStr">
        <is>
          <t>四级</t>
        </is>
      </c>
      <c r="B65" t="inlineStr">
        <is>
          <t>支出</t>
        </is>
      </c>
      <c r="C65" t="inlineStr">
        <is>
          <t>D01.90.01.01.04</t>
        </is>
      </c>
      <c r="D65" t="inlineStr">
        <is>
          <t>AA.05.01.01.04</t>
        </is>
      </c>
      <c r="F65" t="inlineStr">
        <is>
          <t>D01.90.01.01.04.001</t>
        </is>
      </c>
      <c r="K65" t="inlineStr">
        <is>
          <t>是</t>
        </is>
      </c>
      <c r="M65" t="inlineStr">
        <is>
          <t>05.01.01.04</t>
        </is>
      </c>
      <c r="N65" t="inlineStr">
        <is>
          <t>SUM</t>
        </is>
      </c>
    </row>
    <row r="66">
      <c r="A66" t="inlineStr">
        <is>
          <t>五级</t>
        </is>
      </c>
      <c r="B66" t="inlineStr">
        <is>
          <t>支出</t>
        </is>
      </c>
      <c r="C66" t="inlineStr">
        <is>
          <t>D01.90.01.01.04.001</t>
        </is>
      </c>
      <c r="D66" t="inlineStr">
        <is>
          <t>职场</t>
        </is>
      </c>
      <c r="K66" t="inlineStr">
        <is>
          <t>是</t>
        </is>
      </c>
      <c r="M66" t="inlineStr">
        <is>
          <t>05.01.01.04.001</t>
        </is>
      </c>
      <c r="N66" t="inlineStr">
        <is>
          <t>SUM</t>
        </is>
      </c>
    </row>
    <row r="67">
      <c r="A67" t="inlineStr">
        <is>
          <t>四级</t>
        </is>
      </c>
      <c r="B67" t="inlineStr">
        <is>
          <t>支出</t>
        </is>
      </c>
      <c r="C67" t="inlineStr">
        <is>
          <t>D01.90.01.01.05</t>
        </is>
      </c>
      <c r="D67" t="inlineStr">
        <is>
          <t>AA.05.01.01.05</t>
        </is>
      </c>
      <c r="F67" t="inlineStr">
        <is>
          <t>D01.90.01.01.05.001</t>
        </is>
      </c>
      <c r="K67" t="inlineStr">
        <is>
          <t>是</t>
        </is>
      </c>
      <c r="M67" t="inlineStr">
        <is>
          <t>05.01.01.05</t>
        </is>
      </c>
      <c r="N67" t="inlineStr">
        <is>
          <t>SUM</t>
        </is>
      </c>
    </row>
    <row r="68">
      <c r="A68" t="inlineStr">
        <is>
          <t>五级</t>
        </is>
      </c>
      <c r="B68" t="inlineStr">
        <is>
          <t>支出</t>
        </is>
      </c>
      <c r="C68" t="inlineStr">
        <is>
          <t>D01.90.01.01.05.001</t>
        </is>
      </c>
      <c r="D68" t="inlineStr">
        <is>
          <t>日常</t>
        </is>
      </c>
      <c r="K68" t="inlineStr">
        <is>
          <t>是</t>
        </is>
      </c>
      <c r="M68" t="inlineStr">
        <is>
          <t>05.01.01.05.001</t>
        </is>
      </c>
      <c r="N68" t="inlineStr">
        <is>
          <t>SUM</t>
        </is>
      </c>
    </row>
    <row r="69">
      <c r="A69" t="inlineStr">
        <is>
          <t>三级</t>
        </is>
      </c>
      <c r="B69" t="inlineStr">
        <is>
          <t>支出</t>
        </is>
      </c>
      <c r="C69" t="inlineStr">
        <is>
          <t>D01.90.01.02</t>
        </is>
      </c>
      <c r="D69" t="inlineStr">
        <is>
          <t>间接费用</t>
        </is>
      </c>
      <c r="F69" t="inlineStr">
        <is>
          <t>D01.90.01.02.01+D01.90.01.02.02+D01.90.01.02.03+D01.90.01.02.04.001+D01.90.01.02.05.001</t>
        </is>
      </c>
      <c r="K69" t="inlineStr">
        <is>
          <t>是</t>
        </is>
      </c>
      <c r="M69" t="inlineStr">
        <is>
          <t>05.01.02</t>
        </is>
      </c>
    </row>
    <row r="70">
      <c r="A70" t="inlineStr">
        <is>
          <t>四级</t>
        </is>
      </c>
      <c r="B70" t="inlineStr">
        <is>
          <t>支出</t>
        </is>
      </c>
      <c r="C70" t="inlineStr">
        <is>
          <t>D01.90.01.02.01</t>
        </is>
      </c>
      <c r="D70" t="inlineStr">
        <is>
          <t>人力（不含IT)</t>
        </is>
      </c>
      <c r="F70" t="inlineStr">
        <is>
          <t>D01.90.01.02.01.001+D01.90.01.02.01.002</t>
        </is>
      </c>
      <c r="K70" t="inlineStr">
        <is>
          <t>是</t>
        </is>
      </c>
      <c r="M70" t="inlineStr">
        <is>
          <t>05.01.02.01</t>
        </is>
      </c>
    </row>
    <row r="71">
      <c r="A71" t="inlineStr">
        <is>
          <t>五级</t>
        </is>
      </c>
      <c r="B71" t="inlineStr">
        <is>
          <t>支出</t>
        </is>
      </c>
      <c r="C71" t="inlineStr">
        <is>
          <t>D01.90.01.02.01.001</t>
        </is>
      </c>
      <c r="D71" t="inlineStr">
        <is>
          <t>业务人力</t>
        </is>
      </c>
      <c r="K71" t="inlineStr">
        <is>
          <t>是</t>
        </is>
      </c>
      <c r="M71" t="inlineStr">
        <is>
          <t>05.01.02.01.001</t>
        </is>
      </c>
      <c r="N71" t="inlineStr">
        <is>
          <t>SUM</t>
        </is>
      </c>
    </row>
    <row r="72">
      <c r="A72" t="inlineStr">
        <is>
          <t>五级</t>
        </is>
      </c>
      <c r="B72" t="inlineStr">
        <is>
          <t>支出</t>
        </is>
      </c>
      <c r="C72" t="inlineStr">
        <is>
          <t>D01.90.01.02.01.002</t>
        </is>
      </c>
      <c r="D72" t="inlineStr">
        <is>
          <t>特别人力</t>
        </is>
      </c>
      <c r="K72" t="inlineStr">
        <is>
          <t>是</t>
        </is>
      </c>
      <c r="M72" t="inlineStr">
        <is>
          <t>05.01.02.01.002</t>
        </is>
      </c>
      <c r="N72" t="inlineStr">
        <is>
          <t>SUM</t>
        </is>
      </c>
    </row>
    <row r="73">
      <c r="A73" t="inlineStr">
        <is>
          <t>四级</t>
        </is>
      </c>
      <c r="B73" t="inlineStr">
        <is>
          <t>支出</t>
        </is>
      </c>
      <c r="C73" t="inlineStr">
        <is>
          <t>D01.90.01.02.02</t>
        </is>
      </c>
      <c r="D73" t="inlineStr">
        <is>
          <t>业务费用</t>
        </is>
      </c>
      <c r="F73" t="inlineStr">
        <is>
          <t>D01.90.01.02.02.001+D01.90.01.02.02.002</t>
        </is>
      </c>
      <c r="K73" t="inlineStr">
        <is>
          <t>是</t>
        </is>
      </c>
      <c r="M73" t="inlineStr">
        <is>
          <t>05.01.02.02</t>
        </is>
      </c>
    </row>
    <row r="74">
      <c r="A74" t="inlineStr">
        <is>
          <t>五级</t>
        </is>
      </c>
      <c r="B74" t="inlineStr">
        <is>
          <t>支出</t>
        </is>
      </c>
      <c r="C74" t="inlineStr">
        <is>
          <t>D01.90.01.02.02.001</t>
        </is>
      </c>
      <c r="D74" t="inlineStr">
        <is>
          <t>营销</t>
        </is>
      </c>
      <c r="K74" t="inlineStr">
        <is>
          <t>是</t>
        </is>
      </c>
      <c r="M74" t="inlineStr">
        <is>
          <t>05.01.02.02.001</t>
        </is>
      </c>
      <c r="N74" t="inlineStr">
        <is>
          <t>SUM</t>
        </is>
      </c>
    </row>
    <row r="75">
      <c r="A75" t="inlineStr">
        <is>
          <t>五级</t>
        </is>
      </c>
      <c r="B75" t="inlineStr">
        <is>
          <t>支出</t>
        </is>
      </c>
      <c r="C75" t="inlineStr">
        <is>
          <t>D01.90.01.02.02.002</t>
        </is>
      </c>
      <c r="D75" t="inlineStr">
        <is>
          <t>运营</t>
        </is>
      </c>
      <c r="K75" t="inlineStr">
        <is>
          <t>是</t>
        </is>
      </c>
      <c r="M75" t="inlineStr">
        <is>
          <t>05.01.02.02.002</t>
        </is>
      </c>
      <c r="N75" t="inlineStr">
        <is>
          <t>SUM</t>
        </is>
      </c>
    </row>
    <row r="76">
      <c r="A76" t="inlineStr">
        <is>
          <t>四级</t>
        </is>
      </c>
      <c r="B76" t="inlineStr">
        <is>
          <t>支出</t>
        </is>
      </c>
      <c r="C76" t="inlineStr">
        <is>
          <t>D01.90.01.02.03</t>
        </is>
      </c>
      <c r="D76" t="inlineStr">
        <is>
          <t>IT</t>
        </is>
      </c>
      <c r="F76" t="inlineStr">
        <is>
          <t>D01.90.01.02.03.01+D01.90.01.02.03.02.001+D01.90.01.02.03.03.001+D01.90.01.02.03.04.001</t>
        </is>
      </c>
      <c r="K76" t="inlineStr">
        <is>
          <t>是</t>
        </is>
      </c>
      <c r="M76" t="inlineStr">
        <is>
          <t>05.01.02.03</t>
        </is>
      </c>
    </row>
    <row r="77">
      <c r="A77" t="inlineStr">
        <is>
          <t>五级</t>
        </is>
      </c>
      <c r="B77" t="inlineStr">
        <is>
          <t>支出</t>
        </is>
      </c>
      <c r="C77" t="inlineStr">
        <is>
          <t>D01.90.01.02.03.01</t>
        </is>
      </c>
      <c r="D77" t="inlineStr">
        <is>
          <t>IT人力</t>
        </is>
      </c>
      <c r="F77" t="inlineStr">
        <is>
          <t>D01.90.01.02.03.01.001+D01.90.01.02.03.01.002</t>
        </is>
      </c>
      <c r="K77" t="inlineStr">
        <is>
          <t>是</t>
        </is>
      </c>
      <c r="M77" t="inlineStr">
        <is>
          <t>05.01.02.03.01</t>
        </is>
      </c>
    </row>
    <row r="78">
      <c r="A78" t="inlineStr">
        <is>
          <t>六级</t>
        </is>
      </c>
      <c r="B78" t="inlineStr">
        <is>
          <t>支出</t>
        </is>
      </c>
      <c r="C78" t="inlineStr">
        <is>
          <t>D01.90.01.02.03.01.001</t>
        </is>
      </c>
      <c r="D78" t="inlineStr">
        <is>
          <t>IT常规人力</t>
        </is>
      </c>
      <c r="K78" t="inlineStr">
        <is>
          <t>是</t>
        </is>
      </c>
      <c r="M78" t="inlineStr">
        <is>
          <t>05.01.02.03.01.001</t>
        </is>
      </c>
      <c r="N78" t="inlineStr">
        <is>
          <t>SUM</t>
        </is>
      </c>
    </row>
    <row r="79">
      <c r="A79" t="inlineStr">
        <is>
          <t>六级</t>
        </is>
      </c>
      <c r="B79" t="inlineStr">
        <is>
          <t>支出</t>
        </is>
      </c>
      <c r="C79" t="inlineStr">
        <is>
          <t>D01.90.01.02.03.01.002</t>
        </is>
      </c>
      <c r="D79" t="inlineStr">
        <is>
          <t>IT特别人力</t>
        </is>
      </c>
      <c r="K79" t="inlineStr">
        <is>
          <t>是</t>
        </is>
      </c>
      <c r="M79" t="inlineStr">
        <is>
          <t>05.01.02.03.01.002</t>
        </is>
      </c>
      <c r="N79" t="inlineStr">
        <is>
          <t>SUM</t>
        </is>
      </c>
    </row>
    <row r="80">
      <c r="A80" t="inlineStr">
        <is>
          <t>五级</t>
        </is>
      </c>
      <c r="B80" t="inlineStr">
        <is>
          <t>支出</t>
        </is>
      </c>
      <c r="C80" t="inlineStr">
        <is>
          <t>D01.90.01.02.03.02</t>
        </is>
      </c>
      <c r="D80" t="inlineStr">
        <is>
          <t>AA.05.01.02.03.02</t>
        </is>
      </c>
      <c r="F80" t="inlineStr">
        <is>
          <t>D01.90.01.02.03.02.001</t>
        </is>
      </c>
      <c r="K80" t="inlineStr">
        <is>
          <t>是</t>
        </is>
      </c>
      <c r="M80" t="inlineStr">
        <is>
          <t>05.01.02.03.02</t>
        </is>
      </c>
      <c r="N80" t="inlineStr">
        <is>
          <t>SUM</t>
        </is>
      </c>
    </row>
    <row r="81">
      <c r="A81" t="inlineStr">
        <is>
          <t>六级</t>
        </is>
      </c>
      <c r="B81" t="inlineStr">
        <is>
          <t>支出</t>
        </is>
      </c>
      <c r="C81" t="inlineStr">
        <is>
          <t>D01.90.01.02.03.02.001</t>
        </is>
      </c>
      <c r="D81" t="inlineStr">
        <is>
          <t>科技</t>
        </is>
      </c>
      <c r="K81" t="inlineStr">
        <is>
          <t>是</t>
        </is>
      </c>
      <c r="M81" t="inlineStr">
        <is>
          <t>05.01.02.03.02.001</t>
        </is>
      </c>
      <c r="N81" t="inlineStr">
        <is>
          <t>SUM</t>
        </is>
      </c>
    </row>
    <row r="82">
      <c r="A82" t="inlineStr">
        <is>
          <t>五级</t>
        </is>
      </c>
      <c r="B82" t="inlineStr">
        <is>
          <t>支出</t>
        </is>
      </c>
      <c r="C82" t="inlineStr">
        <is>
          <t>D01.90.01.02.03.03</t>
        </is>
      </c>
      <c r="D82" t="inlineStr">
        <is>
          <t>AA.05.01.02.03.03</t>
        </is>
      </c>
      <c r="F82" t="inlineStr">
        <is>
          <t>D01.90.01.02.03.03.001</t>
        </is>
      </c>
      <c r="K82" t="inlineStr">
        <is>
          <t>是</t>
        </is>
      </c>
      <c r="M82" t="inlineStr">
        <is>
          <t>05.01.02.03.03</t>
        </is>
      </c>
      <c r="N82" t="inlineStr">
        <is>
          <t>SUM</t>
        </is>
      </c>
    </row>
    <row r="83">
      <c r="A83" t="inlineStr">
        <is>
          <t>六级</t>
        </is>
      </c>
      <c r="B83" t="inlineStr">
        <is>
          <t>支出</t>
        </is>
      </c>
      <c r="C83" t="inlineStr">
        <is>
          <t>D01.90.01.02.03.03.001</t>
        </is>
      </c>
      <c r="D83" t="inlineStr">
        <is>
          <t>IT职场</t>
        </is>
      </c>
      <c r="K83" t="inlineStr">
        <is>
          <t>是</t>
        </is>
      </c>
      <c r="M83" t="inlineStr">
        <is>
          <t>05.01.02.03.03.001</t>
        </is>
      </c>
      <c r="N83" t="inlineStr">
        <is>
          <t>SUM</t>
        </is>
      </c>
    </row>
    <row r="84">
      <c r="A84" t="inlineStr">
        <is>
          <t>五级</t>
        </is>
      </c>
      <c r="B84" t="inlineStr">
        <is>
          <t>支出</t>
        </is>
      </c>
      <c r="C84" t="inlineStr">
        <is>
          <t>D01.90.01.02.03.04</t>
        </is>
      </c>
      <c r="D84" t="inlineStr">
        <is>
          <t>AA.05.01.02.03.04</t>
        </is>
      </c>
      <c r="F84" t="inlineStr">
        <is>
          <t>D01.90.01.02.03.04.001</t>
        </is>
      </c>
      <c r="K84" t="inlineStr">
        <is>
          <t>是</t>
        </is>
      </c>
      <c r="M84" t="inlineStr">
        <is>
          <t>05.01.02.03.04</t>
        </is>
      </c>
      <c r="N84" t="inlineStr">
        <is>
          <t>SUM</t>
        </is>
      </c>
    </row>
    <row r="85">
      <c r="A85" t="inlineStr">
        <is>
          <t>六级</t>
        </is>
      </c>
      <c r="B85" t="inlineStr">
        <is>
          <t>支出</t>
        </is>
      </c>
      <c r="C85" t="inlineStr">
        <is>
          <t>D01.90.01.02.03.04.001</t>
        </is>
      </c>
      <c r="D85" t="inlineStr">
        <is>
          <t>IT日常</t>
        </is>
      </c>
      <c r="K85" t="inlineStr">
        <is>
          <t>是</t>
        </is>
      </c>
      <c r="M85" t="inlineStr">
        <is>
          <t>05.01.02.03.04.001</t>
        </is>
      </c>
      <c r="N85" t="inlineStr">
        <is>
          <t>SUM</t>
        </is>
      </c>
    </row>
    <row r="86">
      <c r="A86" t="inlineStr">
        <is>
          <t>四级</t>
        </is>
      </c>
      <c r="B86" t="inlineStr">
        <is>
          <t>支出</t>
        </is>
      </c>
      <c r="C86" t="inlineStr">
        <is>
          <t>D01.90.01.02.04</t>
        </is>
      </c>
      <c r="D86" t="inlineStr">
        <is>
          <t>AA.05.01.02.04</t>
        </is>
      </c>
      <c r="F86" t="inlineStr">
        <is>
          <t>D01.90.01.02.04.001</t>
        </is>
      </c>
      <c r="K86" t="inlineStr">
        <is>
          <t>是</t>
        </is>
      </c>
      <c r="M86" t="inlineStr">
        <is>
          <t>05.01.02.04</t>
        </is>
      </c>
      <c r="N86" t="inlineStr">
        <is>
          <t>SUM</t>
        </is>
      </c>
    </row>
    <row r="87">
      <c r="A87" t="inlineStr">
        <is>
          <t>五级</t>
        </is>
      </c>
      <c r="B87" t="inlineStr">
        <is>
          <t>支出</t>
        </is>
      </c>
      <c r="C87" t="inlineStr">
        <is>
          <t>D01.90.01.02.04.001</t>
        </is>
      </c>
      <c r="D87" t="inlineStr">
        <is>
          <t>职场</t>
        </is>
      </c>
      <c r="K87" t="inlineStr">
        <is>
          <t>是</t>
        </is>
      </c>
      <c r="M87" t="inlineStr">
        <is>
          <t>05.01.02.04.001</t>
        </is>
      </c>
      <c r="N87" t="inlineStr">
        <is>
          <t>SUM</t>
        </is>
      </c>
    </row>
    <row r="88">
      <c r="A88" t="inlineStr">
        <is>
          <t>四级</t>
        </is>
      </c>
      <c r="B88" t="inlineStr">
        <is>
          <t>支出</t>
        </is>
      </c>
      <c r="C88" t="inlineStr">
        <is>
          <t>D01.90.01.02.05</t>
        </is>
      </c>
      <c r="D88" t="inlineStr">
        <is>
          <t>AA.05.01.02.05</t>
        </is>
      </c>
      <c r="F88" t="inlineStr">
        <is>
          <t>D01.90.01.02.05.001</t>
        </is>
      </c>
      <c r="K88" t="inlineStr">
        <is>
          <t>是</t>
        </is>
      </c>
      <c r="M88" t="inlineStr">
        <is>
          <t>05.01.02.05</t>
        </is>
      </c>
      <c r="N88" t="inlineStr">
        <is>
          <t>SUM</t>
        </is>
      </c>
    </row>
    <row r="89">
      <c r="A89" t="inlineStr">
        <is>
          <t>五级</t>
        </is>
      </c>
      <c r="B89" t="inlineStr">
        <is>
          <t>支出</t>
        </is>
      </c>
      <c r="C89" t="inlineStr">
        <is>
          <t>D01.90.01.02.05.001</t>
        </is>
      </c>
      <c r="D89" t="inlineStr">
        <is>
          <t>日常</t>
        </is>
      </c>
      <c r="K89" t="inlineStr">
        <is>
          <t>是</t>
        </is>
      </c>
      <c r="M89" t="inlineStr">
        <is>
          <t>05.01.02.05.001</t>
        </is>
      </c>
      <c r="N89" t="inlineStr">
        <is>
          <t>SUM</t>
        </is>
      </c>
    </row>
    <row r="90">
      <c r="A90" t="inlineStr">
        <is>
          <t>二级</t>
        </is>
      </c>
      <c r="B90" t="inlineStr">
        <is>
          <t>支出</t>
        </is>
      </c>
      <c r="C90" t="inlineStr">
        <is>
          <t>D01.90.02</t>
        </is>
      </c>
      <c r="D90" t="inlineStr">
        <is>
          <t>业务费用</t>
        </is>
      </c>
      <c r="F90" t="inlineStr">
        <is>
          <t>D01.90.02.01+D01.90.02.02</t>
        </is>
      </c>
      <c r="K90" t="inlineStr">
        <is>
          <t>是</t>
        </is>
      </c>
      <c r="N90" t="inlineStr">
        <is>
          <t>SUM</t>
        </is>
      </c>
    </row>
    <row r="91">
      <c r="A91" t="inlineStr">
        <is>
          <t>三级</t>
        </is>
      </c>
      <c r="B91" t="inlineStr">
        <is>
          <t>支出</t>
        </is>
      </c>
      <c r="C91" t="inlineStr">
        <is>
          <t>D01.90.02.01</t>
        </is>
      </c>
      <c r="D91" t="inlineStr">
        <is>
          <t>营销费用</t>
        </is>
      </c>
      <c r="K91" t="inlineStr">
        <is>
          <t>是</t>
        </is>
      </c>
      <c r="N91" t="inlineStr">
        <is>
          <t>SUM</t>
        </is>
      </c>
    </row>
    <row r="92">
      <c r="A92" t="inlineStr">
        <is>
          <t>三级</t>
        </is>
      </c>
      <c r="B92" t="inlineStr">
        <is>
          <t>支出</t>
        </is>
      </c>
      <c r="C92" t="inlineStr">
        <is>
          <t>D01.90.02.02</t>
        </is>
      </c>
      <c r="D92" t="inlineStr">
        <is>
          <t>运营费用</t>
        </is>
      </c>
      <c r="K92" t="inlineStr">
        <is>
          <t>是</t>
        </is>
      </c>
      <c r="N92" t="inlineStr">
        <is>
          <t>SUM</t>
        </is>
      </c>
    </row>
    <row r="93">
      <c r="A93" t="inlineStr">
        <is>
          <t>二级</t>
        </is>
      </c>
      <c r="B93" t="inlineStr">
        <is>
          <t>支出</t>
        </is>
      </c>
      <c r="C93" t="inlineStr">
        <is>
          <t>D01.90.03</t>
        </is>
      </c>
      <c r="D93" t="inlineStr">
        <is>
          <t>业务支出评估</t>
        </is>
      </c>
      <c r="F93" t="inlineStr">
        <is>
          <t>D01.90.03.09</t>
        </is>
      </c>
      <c r="K93" t="inlineStr">
        <is>
          <t>是</t>
        </is>
      </c>
      <c r="M93" t="inlineStr">
        <is>
          <t>05.02</t>
        </is>
      </c>
    </row>
    <row r="94">
      <c r="A94" t="inlineStr">
        <is>
          <t>三级</t>
        </is>
      </c>
      <c r="B94" t="inlineStr">
        <is>
          <t>支出</t>
        </is>
      </c>
      <c r="C94" t="inlineStr">
        <is>
          <t>D01.90.03.09</t>
        </is>
      </c>
      <c r="D94" t="inlineStr">
        <is>
          <t>客户经营指标</t>
        </is>
      </c>
      <c r="F94" t="inlineStr">
        <is>
          <t>D01.90.03.09.01+D01.90.03.09.02+D01.90.03.09.03</t>
        </is>
      </c>
      <c r="K94" t="inlineStr">
        <is>
          <t>是</t>
        </is>
      </c>
      <c r="M94" t="inlineStr">
        <is>
          <t>05.02.09</t>
        </is>
      </c>
    </row>
    <row r="95">
      <c r="A95" t="inlineStr">
        <is>
          <t>四级</t>
        </is>
      </c>
      <c r="B95" t="inlineStr">
        <is>
          <t>支出</t>
        </is>
      </c>
      <c r="C95" t="inlineStr">
        <is>
          <t>D01.90.03.09.01</t>
        </is>
      </c>
      <c r="D95" t="inlineStr">
        <is>
          <t>客户营销与投入</t>
        </is>
      </c>
      <c r="F95" t="inlineStr">
        <is>
          <t>D01.90.03.09.01.001+D01.90.03.09.01.002+D01.90.03.09.01.003+D01.90.03.09.01.004</t>
        </is>
      </c>
      <c r="K95" t="inlineStr">
        <is>
          <t>是</t>
        </is>
      </c>
      <c r="M95" t="inlineStr">
        <is>
          <t>05.02.09.01</t>
        </is>
      </c>
    </row>
    <row r="96">
      <c r="A96" t="inlineStr">
        <is>
          <t>五级</t>
        </is>
      </c>
      <c r="B96" t="inlineStr">
        <is>
          <t>支出</t>
        </is>
      </c>
      <c r="C96" t="inlineStr">
        <is>
          <t>D01.90.03.09.01.001</t>
        </is>
      </c>
      <c r="D96" t="inlineStr">
        <is>
          <t>新客营销支出</t>
        </is>
      </c>
      <c r="K96" t="inlineStr">
        <is>
          <t>是</t>
        </is>
      </c>
      <c r="M96" t="inlineStr">
        <is>
          <t>05.02.09.01.001</t>
        </is>
      </c>
      <c r="N96" t="inlineStr">
        <is>
          <t>SUM</t>
        </is>
      </c>
    </row>
    <row r="97">
      <c r="A97" t="inlineStr">
        <is>
          <t>五级</t>
        </is>
      </c>
      <c r="B97" t="inlineStr">
        <is>
          <t>支出</t>
        </is>
      </c>
      <c r="C97" t="inlineStr">
        <is>
          <t>D01.90.03.09.01.002</t>
        </is>
      </c>
      <c r="D97" t="inlineStr">
        <is>
          <t>存客营销支出</t>
        </is>
      </c>
      <c r="K97" t="inlineStr">
        <is>
          <t>是</t>
        </is>
      </c>
      <c r="M97" t="inlineStr">
        <is>
          <t>05.02.09.01.002</t>
        </is>
      </c>
      <c r="N97" t="inlineStr">
        <is>
          <t>SUM</t>
        </is>
      </c>
    </row>
    <row r="98">
      <c r="A98" t="inlineStr">
        <is>
          <t>五级</t>
        </is>
      </c>
      <c r="B98" t="inlineStr">
        <is>
          <t>支出</t>
        </is>
      </c>
      <c r="C98" t="inlineStr">
        <is>
          <t>D01.90.03.09.01.003</t>
        </is>
      </c>
      <c r="D98" t="inlineStr">
        <is>
          <t>新开通客户投入</t>
        </is>
      </c>
      <c r="K98" t="inlineStr">
        <is>
          <t>是</t>
        </is>
      </c>
      <c r="M98" t="inlineStr">
        <is>
          <t>05.02.09.01.003</t>
        </is>
      </c>
      <c r="N98" t="inlineStr">
        <is>
          <t>SUM</t>
        </is>
      </c>
    </row>
    <row r="99">
      <c r="A99" t="inlineStr">
        <is>
          <t>五级</t>
        </is>
      </c>
      <c r="B99" t="inlineStr">
        <is>
          <t>支出</t>
        </is>
      </c>
      <c r="C99" t="inlineStr">
        <is>
          <t>D01.90.03.09.01.004</t>
        </is>
      </c>
      <c r="D99" t="inlineStr">
        <is>
          <t>新发放投入</t>
        </is>
      </c>
      <c r="K99" t="inlineStr">
        <is>
          <t>是</t>
        </is>
      </c>
      <c r="M99" t="inlineStr">
        <is>
          <t>05.02.09.01.004</t>
        </is>
      </c>
      <c r="N99" t="inlineStr">
        <is>
          <t>SUM</t>
        </is>
      </c>
    </row>
    <row r="100">
      <c r="A100" t="inlineStr">
        <is>
          <t>四级</t>
        </is>
      </c>
      <c r="B100" t="inlineStr">
        <is>
          <t>支出</t>
        </is>
      </c>
      <c r="C100" t="inlineStr">
        <is>
          <t>D01.90.03.09.02</t>
        </is>
      </c>
      <c r="D100" t="inlineStr">
        <is>
          <t>客户规模与数量</t>
        </is>
      </c>
      <c r="F100" t="inlineStr">
        <is>
          <t>D01.90.03.09.02.101+D01.90.03.09.02.102+D01.90.03.09.02.103</t>
        </is>
      </c>
      <c r="K100" t="inlineStr">
        <is>
          <t>是</t>
        </is>
      </c>
      <c r="M100" t="inlineStr">
        <is>
          <t>05.02.09.02</t>
        </is>
      </c>
    </row>
    <row r="101">
      <c r="A101" t="inlineStr">
        <is>
          <t>五级</t>
        </is>
      </c>
      <c r="B101" t="inlineStr">
        <is>
          <t>支出</t>
        </is>
      </c>
      <c r="C101" t="inlineStr">
        <is>
          <t>D01.90.03.09.02.001</t>
        </is>
      </c>
      <c r="D101" t="inlineStr">
        <is>
          <t>新客日均LUM</t>
        </is>
      </c>
      <c r="K101" t="inlineStr">
        <is>
          <t>是</t>
        </is>
      </c>
      <c r="M101" t="inlineStr">
        <is>
          <t>05.02.09.02.001</t>
        </is>
      </c>
      <c r="N101" t="inlineStr">
        <is>
          <t>SUM</t>
        </is>
      </c>
    </row>
    <row r="102">
      <c r="A102" t="inlineStr">
        <is>
          <t>五级</t>
        </is>
      </c>
      <c r="B102" t="inlineStr">
        <is>
          <t>支出</t>
        </is>
      </c>
      <c r="C102" t="inlineStr">
        <is>
          <t>D01.90.03.09.02.002</t>
        </is>
      </c>
      <c r="D102" t="inlineStr">
        <is>
          <t>存客日均LUM</t>
        </is>
      </c>
      <c r="K102" t="inlineStr">
        <is>
          <t>是</t>
        </is>
      </c>
      <c r="M102" t="inlineStr">
        <is>
          <t>05.02.09.02.002</t>
        </is>
      </c>
      <c r="N102" t="inlineStr">
        <is>
          <t>SUM</t>
        </is>
      </c>
    </row>
    <row r="103">
      <c r="A103" t="inlineStr">
        <is>
          <t>五级</t>
        </is>
      </c>
      <c r="B103" t="inlineStr">
        <is>
          <t>支出</t>
        </is>
      </c>
      <c r="C103" t="inlineStr">
        <is>
          <t>D01.90.03.09.02.003</t>
        </is>
      </c>
      <c r="D103" t="inlineStr">
        <is>
          <t>新开通客户数</t>
        </is>
      </c>
      <c r="K103" t="inlineStr">
        <is>
          <t>是</t>
        </is>
      </c>
      <c r="M103" t="inlineStr">
        <is>
          <t>05.02.09.02.003</t>
        </is>
      </c>
      <c r="N103" t="inlineStr">
        <is>
          <t>SUM</t>
        </is>
      </c>
    </row>
    <row r="104">
      <c r="A104" t="inlineStr">
        <is>
          <t>五级</t>
        </is>
      </c>
      <c r="B104" t="inlineStr">
        <is>
          <t>支出</t>
        </is>
      </c>
      <c r="C104" t="inlineStr">
        <is>
          <t>D01.90.03.09.02.004</t>
        </is>
      </c>
      <c r="D104" t="inlineStr">
        <is>
          <t>平均有效客户数</t>
        </is>
      </c>
      <c r="K104" t="inlineStr">
        <is>
          <t>是</t>
        </is>
      </c>
      <c r="M104" t="inlineStr">
        <is>
          <t>05.02.09.02.004</t>
        </is>
      </c>
      <c r="N104" t="inlineStr">
        <is>
          <t>SUM</t>
        </is>
      </c>
    </row>
    <row r="105">
      <c r="A105" t="inlineStr">
        <is>
          <t>五级</t>
        </is>
      </c>
      <c r="B105" t="inlineStr">
        <is>
          <t>支出</t>
        </is>
      </c>
      <c r="C105" t="inlineStr">
        <is>
          <t>D01.90.03.09.02.005</t>
        </is>
      </c>
      <c r="D105" t="inlineStr">
        <is>
          <t>新发放LUM</t>
        </is>
      </c>
      <c r="K105" t="inlineStr">
        <is>
          <t>是</t>
        </is>
      </c>
      <c r="M105" t="inlineStr">
        <is>
          <t>05.02.09.02.005</t>
        </is>
      </c>
      <c r="N105" t="inlineStr">
        <is>
          <t>SUM</t>
        </is>
      </c>
    </row>
    <row r="106">
      <c r="A106" t="inlineStr">
        <is>
          <t>五级</t>
        </is>
      </c>
      <c r="B106" t="inlineStr">
        <is>
          <t>支出</t>
        </is>
      </c>
      <c r="C106" t="inlineStr">
        <is>
          <t>D01.90.03.09.02.006</t>
        </is>
      </c>
      <c r="D106" t="inlineStr">
        <is>
          <t>新发放LUM（标服）</t>
        </is>
      </c>
      <c r="K106" t="inlineStr">
        <is>
          <t>是</t>
        </is>
      </c>
      <c r="M106" t="inlineStr">
        <is>
          <t>05.02.09.02.006</t>
        </is>
      </c>
      <c r="N106" t="inlineStr">
        <is>
          <t>SUM</t>
        </is>
      </c>
    </row>
    <row r="107">
      <c r="A107" t="inlineStr">
        <is>
          <t>五级</t>
        </is>
      </c>
      <c r="B107" t="inlineStr">
        <is>
          <t>支出</t>
        </is>
      </c>
      <c r="C107" t="inlineStr">
        <is>
          <t>D01.90.03.09.02.007</t>
        </is>
      </c>
      <c r="D107" t="inlineStr">
        <is>
          <t>存客日均AuM</t>
        </is>
      </c>
      <c r="K107" t="inlineStr">
        <is>
          <t>是</t>
        </is>
      </c>
      <c r="M107" t="inlineStr">
        <is>
          <t>05.02.09.02.007</t>
        </is>
      </c>
      <c r="N107" t="inlineStr">
        <is>
          <t>SUM</t>
        </is>
      </c>
    </row>
    <row r="108">
      <c r="A108" t="inlineStr">
        <is>
          <t>五级</t>
        </is>
      </c>
      <c r="B108" t="inlineStr">
        <is>
          <t>支出</t>
        </is>
      </c>
      <c r="C108" t="inlineStr">
        <is>
          <t>D01.90.03.09.02.008</t>
        </is>
      </c>
      <c r="D108" t="inlineStr">
        <is>
          <t>新客AuM余额</t>
        </is>
      </c>
      <c r="K108" t="inlineStr">
        <is>
          <t>是</t>
        </is>
      </c>
      <c r="M108" t="inlineStr">
        <is>
          <t>05.02.09.02.008</t>
        </is>
      </c>
      <c r="N108" t="inlineStr">
        <is>
          <t>SUM</t>
        </is>
      </c>
    </row>
    <row r="109">
      <c r="A109" t="inlineStr">
        <is>
          <t>五级</t>
        </is>
      </c>
      <c r="B109" t="inlineStr">
        <is>
          <t>支出</t>
        </is>
      </c>
      <c r="C109" t="inlineStr">
        <is>
          <t>D01.90.03.09.02.009</t>
        </is>
      </c>
      <c r="D109" t="inlineStr">
        <is>
          <t>MFAU客户数</t>
        </is>
      </c>
      <c r="K109" t="inlineStr">
        <is>
          <t>是</t>
        </is>
      </c>
      <c r="M109" t="inlineStr">
        <is>
          <t>05.02.09.02.009</t>
        </is>
      </c>
      <c r="N109" t="inlineStr">
        <is>
          <t>SUM</t>
        </is>
      </c>
    </row>
    <row r="110">
      <c r="A110" t="inlineStr">
        <is>
          <t>五级</t>
        </is>
      </c>
      <c r="B110" t="inlineStr">
        <is>
          <t>支出</t>
        </is>
      </c>
      <c r="C110" t="inlineStr">
        <is>
          <t>D01.90.03.09.02.010</t>
        </is>
      </c>
      <c r="D110" t="inlineStr">
        <is>
          <t>日均LUM</t>
        </is>
      </c>
      <c r="K110" t="inlineStr">
        <is>
          <t>是</t>
        </is>
      </c>
      <c r="M110" t="inlineStr">
        <is>
          <t>05.02.09.02.010</t>
        </is>
      </c>
      <c r="N110" t="inlineStr">
        <is>
          <t>SUM</t>
        </is>
      </c>
    </row>
    <row r="111">
      <c r="A111" t="inlineStr">
        <is>
          <t>五级</t>
        </is>
      </c>
      <c r="B111" t="inlineStr">
        <is>
          <t>支出</t>
        </is>
      </c>
      <c r="C111" t="inlineStr">
        <is>
          <t>D01.90.03.09.02.011</t>
        </is>
      </c>
      <c r="D111" t="inlineStr">
        <is>
          <t>日均AuM</t>
        </is>
      </c>
      <c r="K111" t="inlineStr">
        <is>
          <t>是</t>
        </is>
      </c>
      <c r="M111" t="inlineStr">
        <is>
          <t>05.02.09.02.011</t>
        </is>
      </c>
      <c r="N111" t="inlineStr">
        <is>
          <t>SUM</t>
        </is>
      </c>
    </row>
    <row r="112">
      <c r="A112" t="inlineStr">
        <is>
          <t>五级</t>
        </is>
      </c>
      <c r="B112" t="inlineStr">
        <is>
          <t>支出</t>
        </is>
      </c>
      <c r="C112" t="inlineStr">
        <is>
          <t>D01.90.03.09.02.101</t>
        </is>
      </c>
      <c r="D112" t="inlineStr">
        <is>
          <t>LUM规模</t>
        </is>
      </c>
      <c r="F112" t="inlineStr">
        <is>
          <t>D01.90.03.09.02.001+D01.90.03.09.02.002+D01.90.03.09.02.005+D01.90.03.09.02.006+D01.90.03.09.02.010</t>
        </is>
      </c>
      <c r="K112" t="inlineStr">
        <is>
          <t>是</t>
        </is>
      </c>
      <c r="M112" t="inlineStr">
        <is>
          <t>05.02.09.02.101</t>
        </is>
      </c>
    </row>
    <row r="113">
      <c r="A113" t="inlineStr">
        <is>
          <t>五级</t>
        </is>
      </c>
      <c r="B113" t="inlineStr">
        <is>
          <t>支出</t>
        </is>
      </c>
      <c r="C113" t="inlineStr">
        <is>
          <t>D01.90.03.09.02.102</t>
        </is>
      </c>
      <c r="D113" t="inlineStr">
        <is>
          <t>AuM规模</t>
        </is>
      </c>
      <c r="F113" t="inlineStr">
        <is>
          <t>D01.90.03.09.02.007+D01.90.03.09.02.008+D01.90.03.09.02.011</t>
        </is>
      </c>
      <c r="K113" t="inlineStr">
        <is>
          <t>是</t>
        </is>
      </c>
      <c r="M113" t="inlineStr">
        <is>
          <t>05.02.09.02.102</t>
        </is>
      </c>
    </row>
    <row r="114">
      <c r="A114" t="inlineStr">
        <is>
          <t>五级</t>
        </is>
      </c>
      <c r="B114" t="inlineStr">
        <is>
          <t>支出</t>
        </is>
      </c>
      <c r="C114" t="inlineStr">
        <is>
          <t>D01.90.03.09.02.103</t>
        </is>
      </c>
      <c r="D114" t="inlineStr">
        <is>
          <t>客户数量</t>
        </is>
      </c>
      <c r="F114" t="inlineStr">
        <is>
          <t>D01.90.03.09.02.003+D01.90.03.09.02.004+D01.90.03.09.02.009</t>
        </is>
      </c>
      <c r="K114" t="inlineStr">
        <is>
          <t>是</t>
        </is>
      </c>
      <c r="M114" t="inlineStr">
        <is>
          <t>05.02.09.02.103</t>
        </is>
      </c>
    </row>
    <row r="115">
      <c r="A115" t="inlineStr">
        <is>
          <t>四级</t>
        </is>
      </c>
      <c r="B115" t="inlineStr">
        <is>
          <t>支出</t>
        </is>
      </c>
      <c r="C115" t="inlineStr">
        <is>
          <t>D01.90.03.09.03</t>
        </is>
      </c>
      <c r="D115" t="inlineStr">
        <is>
          <t>客户回收与催收</t>
        </is>
      </c>
      <c r="F115" t="inlineStr">
        <is>
          <t>D01.90.03.09.03.001+D01.90.03.09.03.002+D01.90.03.09.03.003</t>
        </is>
      </c>
      <c r="K115" t="inlineStr">
        <is>
          <t>是</t>
        </is>
      </c>
      <c r="M115" t="inlineStr">
        <is>
          <t>05.02.09.03</t>
        </is>
      </c>
    </row>
    <row r="116">
      <c r="A116" t="inlineStr">
        <is>
          <t>五级</t>
        </is>
      </c>
      <c r="B116" t="inlineStr">
        <is>
          <t>支出</t>
        </is>
      </c>
      <c r="C116" t="inlineStr">
        <is>
          <t>D01.90.03.09.03.001</t>
        </is>
      </c>
      <c r="D116" t="inlineStr">
        <is>
          <t>内催回收额</t>
        </is>
      </c>
      <c r="K116" t="inlineStr">
        <is>
          <t>是</t>
        </is>
      </c>
      <c r="M116" t="inlineStr">
        <is>
          <t>05.02.09.03.001</t>
        </is>
      </c>
      <c r="N116" t="inlineStr">
        <is>
          <t>SUM</t>
        </is>
      </c>
    </row>
    <row r="117">
      <c r="A117" t="inlineStr">
        <is>
          <t>五级</t>
        </is>
      </c>
      <c r="B117" t="inlineStr">
        <is>
          <t>支出</t>
        </is>
      </c>
      <c r="C117" t="inlineStr">
        <is>
          <t>D01.90.03.09.03.002</t>
        </is>
      </c>
      <c r="D117" t="inlineStr">
        <is>
          <t>M6-压降金额</t>
        </is>
      </c>
      <c r="K117" t="inlineStr">
        <is>
          <t>是</t>
        </is>
      </c>
      <c r="M117" t="inlineStr">
        <is>
          <t>05.02.09.03.002</t>
        </is>
      </c>
      <c r="N117" t="inlineStr">
        <is>
          <t>SUM</t>
        </is>
      </c>
    </row>
    <row r="118">
      <c r="A118" t="inlineStr">
        <is>
          <t>五级</t>
        </is>
      </c>
      <c r="B118" t="inlineStr">
        <is>
          <t>支出</t>
        </is>
      </c>
      <c r="C118" t="inlineStr">
        <is>
          <t>D01.90.03.09.03.003</t>
        </is>
      </c>
      <c r="D118" t="inlineStr">
        <is>
          <t>M7+现金回收额</t>
        </is>
      </c>
      <c r="K118" t="inlineStr">
        <is>
          <t>是</t>
        </is>
      </c>
      <c r="M118" t="inlineStr">
        <is>
          <t>05.02.09.03.003</t>
        </is>
      </c>
      <c r="N118" t="inlineStr">
        <is>
          <t>SUM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H116"/>
  <sheetViews>
    <sheetView workbookViewId="0">
      <selection activeCell="C2" sqref="C2"/>
    </sheetView>
  </sheetViews>
  <sheetFormatPr baseColWidth="8" defaultColWidth="9" defaultRowHeight="16.8"/>
  <cols>
    <col width="10.8303571428571" customWidth="1" min="3" max="3"/>
    <col width="17.5" customWidth="1" min="4" max="4"/>
  </cols>
  <sheetData>
    <row r="1" ht="15" customFormat="1" customHeight="1" s="1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" t="inlineStr">
        <is>
          <t>录入粒度</t>
        </is>
      </c>
      <c r="F1" t="inlineStr">
        <is>
          <t>年预算公式</t>
        </is>
      </c>
      <c r="G1" t="inlineStr">
        <is>
          <t>年预测公式</t>
        </is>
      </c>
      <c r="H1" t="inlineStr">
        <is>
          <t>实际月公式</t>
        </is>
      </c>
      <c r="I1" t="inlineStr">
        <is>
          <t>预测月公式</t>
        </is>
      </c>
      <c r="J1" t="inlineStr">
        <is>
          <t>公式说明</t>
        </is>
      </c>
      <c r="K1" t="inlineStr">
        <is>
          <t>横向汇总</t>
        </is>
      </c>
      <c r="L1" t="inlineStr">
        <is>
          <t>纵向汇总</t>
        </is>
      </c>
      <c r="M1" t="inlineStr">
        <is>
          <t>逻辑码</t>
        </is>
      </c>
      <c r="N1" t="inlineStr">
        <is>
          <t>规则</t>
        </is>
      </c>
    </row>
    <row r="2">
      <c r="A2" s="7" t="inlineStr">
        <is>
          <t>一级</t>
        </is>
      </c>
      <c r="B2" s="1" t="inlineStr">
        <is>
          <t>收入</t>
        </is>
      </c>
      <c r="C2" s="8" t="inlineStr">
        <is>
          <t>E.01</t>
        </is>
      </c>
      <c r="D2" s="7" t="inlineStr">
        <is>
          <t>营业收入</t>
        </is>
      </c>
      <c r="F2" t="inlineStr">
        <is>
          <t>E.01.01+E.01.02+E.01.03</t>
        </is>
      </c>
      <c r="K2" t="inlineStr">
        <is>
          <t>是</t>
        </is>
      </c>
      <c r="M2" t="inlineStr">
        <is>
          <t>01</t>
        </is>
      </c>
    </row>
    <row r="3">
      <c r="A3" s="1" t="inlineStr">
        <is>
          <t>二级</t>
        </is>
      </c>
      <c r="B3" s="1" t="inlineStr">
        <is>
          <t>收入</t>
        </is>
      </c>
      <c r="C3" s="8" t="inlineStr">
        <is>
          <t>E.01.01</t>
        </is>
      </c>
      <c r="D3" s="1" t="inlineStr">
        <is>
          <t xml:space="preserve">  利息净收入</t>
        </is>
      </c>
      <c r="F3" t="inlineStr">
        <is>
          <t>E.01.01.01+E.01.01.02</t>
        </is>
      </c>
      <c r="K3" t="inlineStr">
        <is>
          <t>是</t>
        </is>
      </c>
      <c r="M3" t="inlineStr">
        <is>
          <t>01.01</t>
        </is>
      </c>
    </row>
    <row r="4">
      <c r="A4" s="1" t="inlineStr">
        <is>
          <t>三级</t>
        </is>
      </c>
      <c r="B4" s="1" t="inlineStr">
        <is>
          <t>收入</t>
        </is>
      </c>
      <c r="C4" s="9" t="inlineStr">
        <is>
          <t>E.01.01.01</t>
        </is>
      </c>
      <c r="D4" s="1" t="inlineStr">
        <is>
          <t xml:space="preserve">    资产业务</t>
        </is>
      </c>
      <c r="M4" t="inlineStr">
        <is>
          <t>01.01.01</t>
        </is>
      </c>
      <c r="N4" t="inlineStr">
        <is>
          <t>SUM</t>
        </is>
      </c>
    </row>
    <row r="5">
      <c r="A5" s="10" t="inlineStr">
        <is>
          <t>一级</t>
        </is>
      </c>
      <c r="B5" s="10" t="inlineStr">
        <is>
          <t>收入</t>
        </is>
      </c>
      <c r="C5" s="10" t="inlineStr">
        <is>
          <t>E.14</t>
        </is>
      </c>
      <c r="D5" s="10" t="inlineStr">
        <is>
          <t xml:space="preserve">      利息收入</t>
        </is>
      </c>
      <c r="K5" t="inlineStr">
        <is>
          <t>是</t>
        </is>
      </c>
      <c r="M5" t="inlineStr">
        <is>
          <t>14</t>
        </is>
      </c>
      <c r="N5" t="inlineStr">
        <is>
          <t>SUM</t>
        </is>
      </c>
    </row>
    <row r="6">
      <c r="A6" s="1" t="inlineStr">
        <is>
          <t>一级</t>
        </is>
      </c>
      <c r="B6" s="1" t="inlineStr">
        <is>
          <t>支出</t>
        </is>
      </c>
      <c r="C6" s="9" t="inlineStr">
        <is>
          <t>E.15</t>
        </is>
      </c>
      <c r="D6" s="1" t="inlineStr">
        <is>
          <t xml:space="preserve">      FTP成本</t>
        </is>
      </c>
      <c r="M6" t="inlineStr">
        <is>
          <t>15</t>
        </is>
      </c>
      <c r="N6" t="inlineStr">
        <is>
          <t>SUM</t>
        </is>
      </c>
    </row>
    <row r="7">
      <c r="A7" s="1" t="inlineStr">
        <is>
          <t>三级</t>
        </is>
      </c>
      <c r="B7" s="1" t="inlineStr">
        <is>
          <t>收入</t>
        </is>
      </c>
      <c r="C7" s="9" t="inlineStr">
        <is>
          <t>E.01.01.02</t>
        </is>
      </c>
      <c r="D7" s="1" t="inlineStr">
        <is>
          <t xml:space="preserve">    负债业务</t>
        </is>
      </c>
      <c r="M7" t="inlineStr">
        <is>
          <t>01.01.02</t>
        </is>
      </c>
      <c r="N7" t="inlineStr">
        <is>
          <t>SUM</t>
        </is>
      </c>
    </row>
    <row r="8">
      <c r="A8" s="7" t="inlineStr">
        <is>
          <t>一级</t>
        </is>
      </c>
      <c r="B8" s="1" t="inlineStr">
        <is>
          <t>支出</t>
        </is>
      </c>
      <c r="C8" s="9" t="inlineStr">
        <is>
          <t>E.16</t>
        </is>
      </c>
      <c r="D8" s="1" t="inlineStr">
        <is>
          <t xml:space="preserve">      利息支出</t>
        </is>
      </c>
      <c r="K8" t="inlineStr">
        <is>
          <t>是</t>
        </is>
      </c>
      <c r="M8" t="inlineStr">
        <is>
          <t>16</t>
        </is>
      </c>
      <c r="N8" t="inlineStr">
        <is>
          <t>SUM</t>
        </is>
      </c>
    </row>
    <row r="9">
      <c r="A9" s="7" t="inlineStr">
        <is>
          <t>一级</t>
        </is>
      </c>
      <c r="B9" s="1" t="inlineStr">
        <is>
          <t>支出</t>
        </is>
      </c>
      <c r="C9" s="9" t="inlineStr">
        <is>
          <t>E.17</t>
        </is>
      </c>
      <c r="D9" s="1" t="inlineStr">
        <is>
          <t xml:space="preserve">      FTP收入</t>
        </is>
      </c>
      <c r="M9" t="inlineStr">
        <is>
          <t>17</t>
        </is>
      </c>
      <c r="N9" t="inlineStr">
        <is>
          <t>SUM</t>
        </is>
      </c>
    </row>
    <row r="10">
      <c r="A10" s="1" t="inlineStr">
        <is>
          <t>二级</t>
        </is>
      </c>
      <c r="B10" s="1" t="inlineStr">
        <is>
          <t>收入</t>
        </is>
      </c>
      <c r="C10" s="8" t="inlineStr">
        <is>
          <t>E.01.02</t>
        </is>
      </c>
      <c r="D10" s="1" t="inlineStr">
        <is>
          <t xml:space="preserve">  净手续费收入</t>
        </is>
      </c>
      <c r="K10" t="inlineStr">
        <is>
          <t>是</t>
        </is>
      </c>
      <c r="M10" t="inlineStr">
        <is>
          <t>01.02</t>
        </is>
      </c>
      <c r="N10" t="inlineStr">
        <is>
          <t>SUM</t>
        </is>
      </c>
    </row>
    <row r="11">
      <c r="A11" s="11" t="inlineStr">
        <is>
          <t>一级</t>
        </is>
      </c>
      <c r="B11" s="11" t="inlineStr">
        <is>
          <t>收入</t>
        </is>
      </c>
      <c r="C11" s="8" t="inlineStr">
        <is>
          <t>E.18</t>
        </is>
      </c>
      <c r="D11" s="1" t="inlineStr">
        <is>
          <t xml:space="preserve">    手续费收入</t>
        </is>
      </c>
      <c r="K11" t="inlineStr">
        <is>
          <t>是</t>
        </is>
      </c>
      <c r="M11" t="inlineStr">
        <is>
          <t>18</t>
        </is>
      </c>
      <c r="N11" t="inlineStr">
        <is>
          <t>SUM</t>
        </is>
      </c>
    </row>
    <row r="12">
      <c r="A12" s="11" t="inlineStr">
        <is>
          <t>一级</t>
        </is>
      </c>
      <c r="B12" s="11" t="inlineStr">
        <is>
          <t>支出</t>
        </is>
      </c>
      <c r="C12" s="8" t="inlineStr">
        <is>
          <t>E.19</t>
        </is>
      </c>
      <c r="D12" s="1" t="inlineStr">
        <is>
          <t xml:space="preserve">    手续费支出</t>
        </is>
      </c>
      <c r="K12" t="inlineStr">
        <is>
          <t>是</t>
        </is>
      </c>
      <c r="M12" t="inlineStr">
        <is>
          <t>19</t>
        </is>
      </c>
      <c r="N12" t="inlineStr">
        <is>
          <t>SUM</t>
        </is>
      </c>
    </row>
    <row r="13">
      <c r="A13" s="1" t="inlineStr">
        <is>
          <t>二级</t>
        </is>
      </c>
      <c r="B13" s="1" t="inlineStr">
        <is>
          <t>收入</t>
        </is>
      </c>
      <c r="C13" s="8" t="inlineStr">
        <is>
          <t>E.01.03</t>
        </is>
      </c>
      <c r="D13" s="1" t="inlineStr">
        <is>
          <t xml:space="preserve">  其他营收</t>
        </is>
      </c>
      <c r="K13" t="inlineStr">
        <is>
          <t>是</t>
        </is>
      </c>
      <c r="M13" t="inlineStr">
        <is>
          <t>01.03</t>
        </is>
      </c>
      <c r="N13" t="inlineStr">
        <is>
          <t>SUM</t>
        </is>
      </c>
    </row>
    <row r="14">
      <c r="A14" s="7" t="inlineStr">
        <is>
          <t>一级</t>
        </is>
      </c>
      <c r="B14" s="1" t="inlineStr">
        <is>
          <t>支出</t>
        </is>
      </c>
      <c r="C14" s="8" t="inlineStr">
        <is>
          <t>E.02</t>
        </is>
      </c>
      <c r="D14" s="7" t="inlineStr">
        <is>
          <t>减：风险成本</t>
        </is>
      </c>
      <c r="K14" t="inlineStr">
        <is>
          <t>是</t>
        </is>
      </c>
      <c r="M14" t="inlineStr">
        <is>
          <t>02</t>
        </is>
      </c>
      <c r="N14" t="inlineStr">
        <is>
          <t>SUM</t>
        </is>
      </c>
    </row>
    <row r="15">
      <c r="A15" s="7" t="inlineStr">
        <is>
          <t>一级</t>
        </is>
      </c>
      <c r="B15" s="1" t="inlineStr">
        <is>
          <t>收入</t>
        </is>
      </c>
      <c r="C15" s="8" t="inlineStr">
        <is>
          <t>E.03</t>
        </is>
      </c>
      <c r="D15" s="7" t="inlineStr">
        <is>
          <t>净收入</t>
        </is>
      </c>
      <c r="K15" t="inlineStr">
        <is>
          <t>是</t>
        </is>
      </c>
      <c r="M15" t="inlineStr">
        <is>
          <t>03</t>
        </is>
      </c>
      <c r="N15" t="inlineStr">
        <is>
          <t>SUM</t>
        </is>
      </c>
    </row>
    <row r="16">
      <c r="A16" s="7" t="inlineStr">
        <is>
          <t>一级</t>
        </is>
      </c>
      <c r="B16" s="1" t="inlineStr">
        <is>
          <t>支出</t>
        </is>
      </c>
      <c r="C16" s="8" t="inlineStr">
        <is>
          <t>E.04</t>
        </is>
      </c>
      <c r="D16" s="7" t="inlineStr">
        <is>
          <t>减：税金及附加</t>
        </is>
      </c>
      <c r="K16" t="inlineStr">
        <is>
          <t>是</t>
        </is>
      </c>
      <c r="M16" t="inlineStr">
        <is>
          <t>04</t>
        </is>
      </c>
      <c r="N16" t="inlineStr">
        <is>
          <t>SUM</t>
        </is>
      </c>
    </row>
    <row r="17">
      <c r="A17" s="7" t="inlineStr">
        <is>
          <t>一级</t>
        </is>
      </c>
      <c r="B17" s="1" t="inlineStr">
        <is>
          <t>支出</t>
        </is>
      </c>
      <c r="C17" s="8" t="inlineStr">
        <is>
          <t>E.05</t>
        </is>
      </c>
      <c r="D17" s="7" t="inlineStr">
        <is>
          <t>减：直接费用</t>
        </is>
      </c>
      <c r="F17" t="inlineStr">
        <is>
          <t>E.90.01+E.90.09+E.90.03+E.90.04+E.90.05</t>
        </is>
      </c>
      <c r="K17" t="inlineStr">
        <is>
          <t>是</t>
        </is>
      </c>
      <c r="M17" t="inlineStr">
        <is>
          <t>05</t>
        </is>
      </c>
    </row>
    <row r="18">
      <c r="A18" s="1" t="inlineStr">
        <is>
          <t>二级</t>
        </is>
      </c>
      <c r="B18" s="1" t="inlineStr">
        <is>
          <t>支出</t>
        </is>
      </c>
      <c r="C18" s="8" t="inlineStr">
        <is>
          <t>E.05.01</t>
        </is>
      </c>
      <c r="D18" s="1" t="inlineStr">
        <is>
          <t xml:space="preserve">  人力费用（不含IT）</t>
        </is>
      </c>
      <c r="F18" t="inlineStr">
        <is>
          <t>E.90.01.01+E.90.01.02</t>
        </is>
      </c>
      <c r="K18" t="inlineStr">
        <is>
          <t>是</t>
        </is>
      </c>
      <c r="M18" t="inlineStr">
        <is>
          <t>05.01</t>
        </is>
      </c>
    </row>
    <row r="19">
      <c r="A19" s="1" t="inlineStr">
        <is>
          <t>三级</t>
        </is>
      </c>
      <c r="B19" s="1" t="inlineStr">
        <is>
          <t>支出</t>
        </is>
      </c>
      <c r="C19" s="9" t="inlineStr">
        <is>
          <t>E.05.01.01</t>
        </is>
      </c>
      <c r="D19" s="1" t="inlineStr">
        <is>
          <t xml:space="preserve">    常规人力</t>
        </is>
      </c>
      <c r="F19" t="inlineStr">
        <is>
          <t>E.90.01.01.01+E.90.01.01.02+E.90.01.01.03+E.90.01.01.04.001+E.90.01.01.05.001</t>
        </is>
      </c>
      <c r="K19" t="inlineStr">
        <is>
          <t>是</t>
        </is>
      </c>
      <c r="M19" t="inlineStr">
        <is>
          <t>05.01.01</t>
        </is>
      </c>
    </row>
    <row r="20">
      <c r="A20" s="1" t="inlineStr">
        <is>
          <t>三级</t>
        </is>
      </c>
      <c r="B20" s="1" t="inlineStr">
        <is>
          <t>支出</t>
        </is>
      </c>
      <c r="C20" s="9" t="inlineStr">
        <is>
          <t>E.05.01.02</t>
        </is>
      </c>
      <c r="D20" s="1" t="inlineStr">
        <is>
          <t xml:space="preserve">    特别人力</t>
        </is>
      </c>
      <c r="F20" t="inlineStr">
        <is>
          <t>E.90.01.02.01+E.90.01.02.02+E.90.01.02.03+E.90.01.02.04.001+E.90.01.02.05.001</t>
        </is>
      </c>
      <c r="K20" t="inlineStr">
        <is>
          <t>是</t>
        </is>
      </c>
      <c r="M20" t="inlineStr">
        <is>
          <t>05.01.02</t>
        </is>
      </c>
    </row>
    <row r="21">
      <c r="A21" s="1" t="inlineStr">
        <is>
          <t>二级</t>
        </is>
      </c>
      <c r="B21" s="1" t="inlineStr">
        <is>
          <t>支出</t>
        </is>
      </c>
      <c r="C21" s="8" t="inlineStr">
        <is>
          <t>E.05.02</t>
        </is>
      </c>
      <c r="D21" s="1" t="inlineStr">
        <is>
          <t xml:space="preserve">  业务费用</t>
        </is>
      </c>
      <c r="K21" t="inlineStr">
        <is>
          <t>是</t>
        </is>
      </c>
      <c r="N21" t="inlineStr">
        <is>
          <t>SUM</t>
        </is>
      </c>
    </row>
    <row r="22">
      <c r="A22" s="1" t="inlineStr">
        <is>
          <t>三级</t>
        </is>
      </c>
      <c r="B22" s="1" t="inlineStr">
        <is>
          <t>支出</t>
        </is>
      </c>
      <c r="C22" s="9" t="inlineStr">
        <is>
          <t>E.05.02.01</t>
        </is>
      </c>
      <c r="D22" s="1" t="inlineStr">
        <is>
          <t xml:space="preserve">    营销费用</t>
        </is>
      </c>
      <c r="K22" t="inlineStr">
        <is>
          <t>是</t>
        </is>
      </c>
      <c r="N22" t="inlineStr">
        <is>
          <t>SUM</t>
        </is>
      </c>
    </row>
    <row r="23">
      <c r="A23" s="1" t="inlineStr">
        <is>
          <t>三级</t>
        </is>
      </c>
      <c r="B23" s="1" t="inlineStr">
        <is>
          <t>支出</t>
        </is>
      </c>
      <c r="C23" s="9" t="inlineStr">
        <is>
          <t>E.05.02.02</t>
        </is>
      </c>
      <c r="D23" s="1" t="inlineStr">
        <is>
          <t xml:space="preserve">    运营费用</t>
        </is>
      </c>
      <c r="K23" t="inlineStr">
        <is>
          <t>是</t>
        </is>
      </c>
      <c r="N23" t="inlineStr">
        <is>
          <t>SUM</t>
        </is>
      </c>
    </row>
    <row r="24">
      <c r="A24" s="1" t="inlineStr">
        <is>
          <t>二级</t>
        </is>
      </c>
      <c r="B24" s="1" t="inlineStr">
        <is>
          <t>支出</t>
        </is>
      </c>
      <c r="C24" s="8" t="inlineStr">
        <is>
          <t>E.05.03</t>
        </is>
      </c>
      <c r="D24" s="1" t="inlineStr">
        <is>
          <t xml:space="preserve">  IT费用</t>
        </is>
      </c>
      <c r="F24" t="inlineStr">
        <is>
          <t>E.90.03.01+E.90.03.02+E.90.03.03+E.90.03.04</t>
        </is>
      </c>
      <c r="K24" t="inlineStr">
        <is>
          <t>是</t>
        </is>
      </c>
      <c r="M24" t="inlineStr">
        <is>
          <t>05.03</t>
        </is>
      </c>
    </row>
    <row r="25">
      <c r="A25" s="1" t="inlineStr">
        <is>
          <t>三级</t>
        </is>
      </c>
      <c r="B25" s="1" t="inlineStr">
        <is>
          <t>支出</t>
        </is>
      </c>
      <c r="C25" s="9" t="inlineStr">
        <is>
          <t>E.05.03.01</t>
        </is>
      </c>
      <c r="D25" s="1" t="inlineStr">
        <is>
          <t xml:space="preserve">    IT人力</t>
        </is>
      </c>
      <c r="F25" t="inlineStr">
        <is>
          <t>E.90.03.01.01+E.90.03.01.02</t>
        </is>
      </c>
      <c r="K25" t="inlineStr">
        <is>
          <t>是</t>
        </is>
      </c>
      <c r="M25" t="inlineStr">
        <is>
          <t>05.03.01</t>
        </is>
      </c>
    </row>
    <row r="26">
      <c r="A26" s="1" t="inlineStr">
        <is>
          <t>四级</t>
        </is>
      </c>
      <c r="B26" s="1" t="inlineStr">
        <is>
          <t>支出</t>
        </is>
      </c>
      <c r="C26" s="9" t="inlineStr">
        <is>
          <t>E.05.03.01.01</t>
        </is>
      </c>
      <c r="D26" s="1" t="inlineStr">
        <is>
          <t xml:space="preserve">      IT常规人力</t>
        </is>
      </c>
      <c r="K26" t="inlineStr">
        <is>
          <t>是</t>
        </is>
      </c>
      <c r="M26" t="inlineStr">
        <is>
          <t>05.03.01.01</t>
        </is>
      </c>
      <c r="N26" t="inlineStr">
        <is>
          <t>SUM</t>
        </is>
      </c>
    </row>
    <row r="27">
      <c r="A27" s="1" t="inlineStr">
        <is>
          <t>四级</t>
        </is>
      </c>
      <c r="B27" s="1" t="inlineStr">
        <is>
          <t>支出</t>
        </is>
      </c>
      <c r="C27" s="9" t="inlineStr">
        <is>
          <t>E.05.03.01.02</t>
        </is>
      </c>
      <c r="D27" s="1" t="inlineStr">
        <is>
          <t xml:space="preserve">      IT特别人力</t>
        </is>
      </c>
      <c r="K27" t="inlineStr">
        <is>
          <t>是</t>
        </is>
      </c>
      <c r="M27" t="inlineStr">
        <is>
          <t>05.03.01.02</t>
        </is>
      </c>
      <c r="N27" t="inlineStr">
        <is>
          <t>SUM</t>
        </is>
      </c>
    </row>
    <row r="28">
      <c r="A28" s="1" t="inlineStr">
        <is>
          <t>三级</t>
        </is>
      </c>
      <c r="B28" s="1" t="inlineStr">
        <is>
          <t>支出</t>
        </is>
      </c>
      <c r="C28" s="9" t="inlineStr">
        <is>
          <t>E.05.03.02</t>
        </is>
      </c>
      <c r="D28" s="1" t="inlineStr">
        <is>
          <t xml:space="preserve">    科技费用</t>
        </is>
      </c>
      <c r="K28" t="inlineStr">
        <is>
          <t>是</t>
        </is>
      </c>
      <c r="M28" t="inlineStr">
        <is>
          <t>05.03.02</t>
        </is>
      </c>
      <c r="N28" t="inlineStr">
        <is>
          <t>SUM</t>
        </is>
      </c>
    </row>
    <row r="29">
      <c r="A29" s="1" t="inlineStr">
        <is>
          <t>三级</t>
        </is>
      </c>
      <c r="B29" s="1" t="inlineStr">
        <is>
          <t>支出</t>
        </is>
      </c>
      <c r="C29" s="9" t="inlineStr">
        <is>
          <t>E.05.03.03</t>
        </is>
      </c>
      <c r="D29" s="1" t="inlineStr">
        <is>
          <t xml:space="preserve">    IT职场</t>
        </is>
      </c>
      <c r="K29" t="inlineStr">
        <is>
          <t>是</t>
        </is>
      </c>
      <c r="M29" t="inlineStr">
        <is>
          <t>05.03.03</t>
        </is>
      </c>
      <c r="N29" t="inlineStr">
        <is>
          <t>SUM</t>
        </is>
      </c>
    </row>
    <row r="30">
      <c r="A30" s="1" t="inlineStr">
        <is>
          <t>三级</t>
        </is>
      </c>
      <c r="B30" s="1" t="inlineStr">
        <is>
          <t>支出</t>
        </is>
      </c>
      <c r="C30" s="9" t="inlineStr">
        <is>
          <t>E.05.03.04</t>
        </is>
      </c>
      <c r="D30" s="1" t="inlineStr">
        <is>
          <t xml:space="preserve">    IT日常</t>
        </is>
      </c>
      <c r="K30" t="inlineStr">
        <is>
          <t>是</t>
        </is>
      </c>
      <c r="M30" t="inlineStr">
        <is>
          <t>05.03.04</t>
        </is>
      </c>
      <c r="N30" t="inlineStr">
        <is>
          <t>SUM</t>
        </is>
      </c>
    </row>
    <row r="31">
      <c r="A31" s="1" t="inlineStr">
        <is>
          <t>二级</t>
        </is>
      </c>
      <c r="B31" s="1" t="inlineStr">
        <is>
          <t>支出</t>
        </is>
      </c>
      <c r="C31" s="8" t="inlineStr">
        <is>
          <t>E.05.04</t>
        </is>
      </c>
      <c r="D31" s="1" t="inlineStr">
        <is>
          <t xml:space="preserve">  职场费用</t>
        </is>
      </c>
      <c r="K31" t="inlineStr">
        <is>
          <t>是</t>
        </is>
      </c>
      <c r="M31" t="inlineStr">
        <is>
          <t>05.04</t>
        </is>
      </c>
      <c r="N31" t="inlineStr">
        <is>
          <t>SUM</t>
        </is>
      </c>
    </row>
    <row r="32">
      <c r="A32" s="1" t="inlineStr">
        <is>
          <t>二级</t>
        </is>
      </c>
      <c r="B32" s="1" t="inlineStr">
        <is>
          <t>支出</t>
        </is>
      </c>
      <c r="C32" s="8" t="inlineStr">
        <is>
          <t>E.05.05</t>
        </is>
      </c>
      <c r="D32" s="1" t="inlineStr">
        <is>
          <t xml:space="preserve">  日常费用</t>
        </is>
      </c>
      <c r="K32" t="inlineStr">
        <is>
          <t>是</t>
        </is>
      </c>
      <c r="M32" t="inlineStr">
        <is>
          <t>05.05</t>
        </is>
      </c>
      <c r="N32" t="inlineStr">
        <is>
          <t>SUM</t>
        </is>
      </c>
    </row>
    <row r="33">
      <c r="A33" s="7" t="inlineStr">
        <is>
          <t>一级</t>
        </is>
      </c>
      <c r="B33" s="1" t="inlineStr">
        <is>
          <t>收入</t>
        </is>
      </c>
      <c r="C33" s="8" t="inlineStr">
        <is>
          <t>E.06</t>
        </is>
      </c>
      <c r="D33" s="7" t="inlineStr">
        <is>
          <t>加：营业外净收入</t>
        </is>
      </c>
      <c r="K33" t="inlineStr">
        <is>
          <t>是</t>
        </is>
      </c>
      <c r="M33" t="inlineStr">
        <is>
          <t>06</t>
        </is>
      </c>
      <c r="N33" t="inlineStr">
        <is>
          <t>SUM</t>
        </is>
      </c>
    </row>
    <row r="34">
      <c r="A34" s="7" t="inlineStr">
        <is>
          <t>一级</t>
        </is>
      </c>
      <c r="B34" s="1" t="inlineStr">
        <is>
          <t>利润</t>
        </is>
      </c>
      <c r="C34" s="8" t="inlineStr">
        <is>
          <t>E.07</t>
        </is>
      </c>
      <c r="D34" s="7" t="inlineStr">
        <is>
          <t>分摊前利润</t>
        </is>
      </c>
      <c r="M34" t="inlineStr">
        <is>
          <t>07</t>
        </is>
      </c>
      <c r="N34" t="inlineStr">
        <is>
          <t>SUM</t>
        </is>
      </c>
    </row>
    <row r="35">
      <c r="A35" s="7" t="inlineStr">
        <is>
          <t>一级</t>
        </is>
      </c>
      <c r="B35" s="1" t="inlineStr">
        <is>
          <t>支出</t>
        </is>
      </c>
      <c r="C35" s="8" t="inlineStr">
        <is>
          <t>E.08</t>
        </is>
      </c>
      <c r="D35" s="7" t="inlineStr">
        <is>
          <t>减：固定管理费</t>
        </is>
      </c>
      <c r="M35" t="inlineStr">
        <is>
          <t>08</t>
        </is>
      </c>
      <c r="N35" t="inlineStr">
        <is>
          <t>SUM</t>
        </is>
      </c>
    </row>
    <row r="36">
      <c r="A36" s="7" t="inlineStr">
        <is>
          <t>一级</t>
        </is>
      </c>
      <c r="B36" s="1" t="inlineStr">
        <is>
          <t>利润</t>
        </is>
      </c>
      <c r="C36" s="8" t="inlineStr">
        <is>
          <t>E.09</t>
        </is>
      </c>
      <c r="D36" s="7" t="inlineStr">
        <is>
          <t>税前利润</t>
        </is>
      </c>
      <c r="K36" t="inlineStr">
        <is>
          <t>是</t>
        </is>
      </c>
      <c r="M36" t="inlineStr">
        <is>
          <t>09</t>
        </is>
      </c>
      <c r="N36" t="inlineStr">
        <is>
          <t>SUM</t>
        </is>
      </c>
    </row>
    <row r="37">
      <c r="A37" s="10" t="n"/>
      <c r="B37" s="10" t="n"/>
      <c r="C37" s="10" t="n"/>
      <c r="D37" s="10" t="n"/>
    </row>
    <row r="38">
      <c r="A38" s="11" t="n"/>
      <c r="B38" s="11" t="n"/>
      <c r="C38" s="11" t="n"/>
      <c r="D38" s="11" t="n"/>
    </row>
    <row r="39">
      <c r="A39" s="10" t="n"/>
      <c r="B39" s="10" t="n"/>
      <c r="C39" s="10" t="n"/>
      <c r="D39" s="10" t="n"/>
    </row>
    <row r="40">
      <c r="A40" s="10" t="n"/>
      <c r="B40" s="10" t="n"/>
      <c r="C40" s="10" t="n"/>
      <c r="D40" s="10" t="n"/>
    </row>
    <row r="41">
      <c r="A41" s="11" t="n"/>
      <c r="B41" s="11" t="n"/>
      <c r="C41" s="11" t="n"/>
      <c r="D41" s="11" t="n"/>
    </row>
    <row r="42">
      <c r="A42" s="10" t="n"/>
      <c r="B42" s="10" t="n"/>
      <c r="C42" s="10" t="n"/>
      <c r="D42" s="10" t="n"/>
    </row>
    <row r="43">
      <c r="A43" s="10" t="n"/>
      <c r="B43" s="10" t="n"/>
      <c r="C43" s="10" t="n"/>
      <c r="D43" s="10" t="n"/>
    </row>
    <row r="44">
      <c r="A44" s="10" t="n"/>
      <c r="B44" s="10" t="n"/>
      <c r="C44" s="10" t="n"/>
      <c r="D44" s="10" t="n"/>
    </row>
    <row r="45"/>
    <row r="46">
      <c r="A46" t="inlineStr">
        <is>
          <t>层级</t>
        </is>
      </c>
      <c r="B46" t="inlineStr">
        <is>
          <t>性质</t>
        </is>
      </c>
      <c r="C46" t="inlineStr">
        <is>
          <t>科目代码</t>
        </is>
      </c>
      <c r="D46" t="inlineStr">
        <is>
          <t>科目名称</t>
        </is>
      </c>
      <c r="F46" t="inlineStr">
        <is>
          <t>年预算公式</t>
        </is>
      </c>
      <c r="J46" t="inlineStr">
        <is>
          <t>公式说明</t>
        </is>
      </c>
      <c r="K46" t="inlineStr">
        <is>
          <t>横向汇总</t>
        </is>
      </c>
      <c r="M46" t="inlineStr">
        <is>
          <t>录入粒度</t>
        </is>
      </c>
    </row>
    <row r="47">
      <c r="A47" t="inlineStr">
        <is>
          <t>一级</t>
        </is>
      </c>
      <c r="B47" t="inlineStr">
        <is>
          <t>支出</t>
        </is>
      </c>
      <c r="C47" t="inlineStr">
        <is>
          <t>E.90</t>
        </is>
      </c>
      <c r="D47" t="inlineStr">
        <is>
          <t>减:业务及管理费</t>
        </is>
      </c>
      <c r="F47" t="inlineStr">
        <is>
          <t>E.90.01+E.90.03</t>
        </is>
      </c>
      <c r="K47" t="inlineStr">
        <is>
          <t>是</t>
        </is>
      </c>
      <c r="M47" t="inlineStr">
        <is>
          <t>05</t>
        </is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E.90.01</t>
        </is>
      </c>
      <c r="D48" t="inlineStr">
        <is>
          <t>直接费用</t>
        </is>
      </c>
      <c r="F48" t="inlineStr">
        <is>
          <t>E.90.01.01+E.90.01.02</t>
        </is>
      </c>
      <c r="K48" t="inlineStr">
        <is>
          <t>是</t>
        </is>
      </c>
      <c r="M48" t="inlineStr">
        <is>
          <t>05.01</t>
        </is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E.90.01.01</t>
        </is>
      </c>
      <c r="D49" t="inlineStr">
        <is>
          <t>直接费用</t>
        </is>
      </c>
      <c r="F49" t="inlineStr">
        <is>
          <t>E.90.01.01.01+E.90.01.01.02+E.90.01.01.03+E.90.01.01.04.001+E.90.01.01.05.001</t>
        </is>
      </c>
      <c r="K49" t="inlineStr">
        <is>
          <t>是</t>
        </is>
      </c>
      <c r="M49" t="inlineStr">
        <is>
          <t>05.01.01</t>
        </is>
      </c>
    </row>
    <row r="50">
      <c r="A50" t="inlineStr">
        <is>
          <t>四级</t>
        </is>
      </c>
      <c r="B50" t="inlineStr">
        <is>
          <t>支出</t>
        </is>
      </c>
      <c r="C50" t="inlineStr">
        <is>
          <t>E.90.01.01.01</t>
        </is>
      </c>
      <c r="D50" t="inlineStr">
        <is>
          <t>人力（不含IT)</t>
        </is>
      </c>
      <c r="F50" t="inlineStr">
        <is>
          <t>E.90.01.01.01.001+E.90.01.01.01.002</t>
        </is>
      </c>
      <c r="K50" t="inlineStr">
        <is>
          <t>是</t>
        </is>
      </c>
      <c r="M50" t="inlineStr">
        <is>
          <t>05.01.01.01</t>
        </is>
      </c>
    </row>
    <row r="51">
      <c r="A51" t="inlineStr">
        <is>
          <t>五级</t>
        </is>
      </c>
      <c r="B51" t="inlineStr">
        <is>
          <t>支出</t>
        </is>
      </c>
      <c r="C51" t="inlineStr">
        <is>
          <t>E.90.01.01.01.001</t>
        </is>
      </c>
      <c r="D51" t="inlineStr">
        <is>
          <t>业务人力</t>
        </is>
      </c>
      <c r="K51" t="inlineStr">
        <is>
          <t>是</t>
        </is>
      </c>
      <c r="M51" t="inlineStr">
        <is>
          <t>05.01.01.01.001</t>
        </is>
      </c>
      <c r="N51" t="inlineStr">
        <is>
          <t>SUM</t>
        </is>
      </c>
    </row>
    <row r="52">
      <c r="A52" t="inlineStr">
        <is>
          <t>五级</t>
        </is>
      </c>
      <c r="B52" t="inlineStr">
        <is>
          <t>支出</t>
        </is>
      </c>
      <c r="C52" t="inlineStr">
        <is>
          <t>E.90.01.01.01.002</t>
        </is>
      </c>
      <c r="D52" t="inlineStr">
        <is>
          <t>特别人力</t>
        </is>
      </c>
      <c r="K52" t="inlineStr">
        <is>
          <t>是</t>
        </is>
      </c>
      <c r="M52" t="inlineStr">
        <is>
          <t>05.01.01.01.002</t>
        </is>
      </c>
      <c r="N52" t="inlineStr">
        <is>
          <t>SUM</t>
        </is>
      </c>
    </row>
    <row r="53">
      <c r="A53" t="inlineStr">
        <is>
          <t>四级</t>
        </is>
      </c>
      <c r="B53" t="inlineStr">
        <is>
          <t>支出</t>
        </is>
      </c>
      <c r="C53" t="inlineStr">
        <is>
          <t>E.90.01.01.02</t>
        </is>
      </c>
      <c r="D53" t="inlineStr">
        <is>
          <t>业务费用</t>
        </is>
      </c>
      <c r="F53" t="inlineStr">
        <is>
          <t>E.90.01.01.02.001+E.90.01.01.02.002</t>
        </is>
      </c>
      <c r="K53" t="inlineStr">
        <is>
          <t>是</t>
        </is>
      </c>
      <c r="M53" t="inlineStr">
        <is>
          <t>05.01.01.02</t>
        </is>
      </c>
    </row>
    <row r="54">
      <c r="A54" t="inlineStr">
        <is>
          <t>五级</t>
        </is>
      </c>
      <c r="B54" t="inlineStr">
        <is>
          <t>支出</t>
        </is>
      </c>
      <c r="C54" t="inlineStr">
        <is>
          <t>E.90.01.01.02.001</t>
        </is>
      </c>
      <c r="D54" t="inlineStr">
        <is>
          <t>营销</t>
        </is>
      </c>
      <c r="K54" t="inlineStr">
        <is>
          <t>是</t>
        </is>
      </c>
      <c r="M54" t="inlineStr">
        <is>
          <t>05.01.01.02.001</t>
        </is>
      </c>
      <c r="N54" t="inlineStr">
        <is>
          <t>SUM</t>
        </is>
      </c>
    </row>
    <row r="55">
      <c r="A55" t="inlineStr">
        <is>
          <t>五级</t>
        </is>
      </c>
      <c r="B55" t="inlineStr">
        <is>
          <t>支出</t>
        </is>
      </c>
      <c r="C55" t="inlineStr">
        <is>
          <t>E.90.01.01.02.002</t>
        </is>
      </c>
      <c r="D55" t="inlineStr">
        <is>
          <t>运营</t>
        </is>
      </c>
      <c r="K55" t="inlineStr">
        <is>
          <t>是</t>
        </is>
      </c>
      <c r="M55" t="inlineStr">
        <is>
          <t>05.01.01.02.002</t>
        </is>
      </c>
      <c r="N55" t="inlineStr">
        <is>
          <t>SUM</t>
        </is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E.90.01.01.03</t>
        </is>
      </c>
      <c r="D56" t="inlineStr">
        <is>
          <t>IT</t>
        </is>
      </c>
      <c r="F56" t="inlineStr">
        <is>
          <t>E.90.01.01.03.01+E.90.01.01.03.02.001+E.90.01.01.03.03.001+E.90.01.01.03.04.001</t>
        </is>
      </c>
      <c r="K56" t="inlineStr">
        <is>
          <t>是</t>
        </is>
      </c>
      <c r="M56" t="inlineStr">
        <is>
          <t>05.01.01.03</t>
        </is>
      </c>
    </row>
    <row r="57">
      <c r="A57" t="inlineStr">
        <is>
          <t>五级</t>
        </is>
      </c>
      <c r="B57" t="inlineStr">
        <is>
          <t>支出</t>
        </is>
      </c>
      <c r="C57" t="inlineStr">
        <is>
          <t>E.90.01.01.03.01</t>
        </is>
      </c>
      <c r="D57" t="inlineStr">
        <is>
          <t>IT人力</t>
        </is>
      </c>
      <c r="F57" t="inlineStr">
        <is>
          <t>E.90.01.01.03.01.001+E.90.01.01.03.01.002</t>
        </is>
      </c>
      <c r="K57" t="inlineStr">
        <is>
          <t>是</t>
        </is>
      </c>
      <c r="M57" t="inlineStr">
        <is>
          <t>05.01.01.03.01</t>
        </is>
      </c>
    </row>
    <row r="58">
      <c r="A58" t="inlineStr">
        <is>
          <t>六级</t>
        </is>
      </c>
      <c r="B58" t="inlineStr">
        <is>
          <t>支出</t>
        </is>
      </c>
      <c r="C58" t="inlineStr">
        <is>
          <t>E.90.01.01.03.01.001</t>
        </is>
      </c>
      <c r="D58" t="inlineStr">
        <is>
          <t>IT常规人力</t>
        </is>
      </c>
      <c r="K58" t="inlineStr">
        <is>
          <t>是</t>
        </is>
      </c>
      <c r="M58" t="inlineStr">
        <is>
          <t>05.01.01.03.01.001</t>
        </is>
      </c>
      <c r="N58" t="inlineStr">
        <is>
          <t>SUM</t>
        </is>
      </c>
    </row>
    <row r="59">
      <c r="A59" t="inlineStr">
        <is>
          <t>六级</t>
        </is>
      </c>
      <c r="B59" t="inlineStr">
        <is>
          <t>支出</t>
        </is>
      </c>
      <c r="C59" t="inlineStr">
        <is>
          <t>E.90.01.01.03.01.002</t>
        </is>
      </c>
      <c r="D59" t="inlineStr">
        <is>
          <t>IT特别人力</t>
        </is>
      </c>
      <c r="K59" t="inlineStr">
        <is>
          <t>是</t>
        </is>
      </c>
      <c r="M59" t="inlineStr">
        <is>
          <t>05.01.01.03.01.002</t>
        </is>
      </c>
      <c r="N59" t="inlineStr">
        <is>
          <t>SUM</t>
        </is>
      </c>
    </row>
    <row r="60">
      <c r="A60" t="inlineStr">
        <is>
          <t>五级</t>
        </is>
      </c>
      <c r="B60" t="inlineStr">
        <is>
          <t>支出</t>
        </is>
      </c>
      <c r="C60" t="inlineStr">
        <is>
          <t>E.90.01.01.03.02</t>
        </is>
      </c>
      <c r="D60" t="inlineStr">
        <is>
          <t>科技</t>
        </is>
      </c>
      <c r="K60" t="inlineStr">
        <is>
          <t>是</t>
        </is>
      </c>
      <c r="M60" t="inlineStr">
        <is>
          <t>05.01.01.03.02</t>
        </is>
      </c>
      <c r="N60" t="inlineStr">
        <is>
          <t>SUM</t>
        </is>
      </c>
    </row>
    <row r="61">
      <c r="A61" t="inlineStr">
        <is>
          <t>五级</t>
        </is>
      </c>
      <c r="B61" t="inlineStr">
        <is>
          <t>支出</t>
        </is>
      </c>
      <c r="C61" t="inlineStr">
        <is>
          <t>E.90.01.01.03.03</t>
        </is>
      </c>
      <c r="D61" t="inlineStr">
        <is>
          <t>IT职场</t>
        </is>
      </c>
      <c r="K61" t="inlineStr">
        <is>
          <t>是</t>
        </is>
      </c>
      <c r="M61" t="inlineStr">
        <is>
          <t>05.01.01.03.03</t>
        </is>
      </c>
      <c r="N61" t="inlineStr">
        <is>
          <t>SUM</t>
        </is>
      </c>
    </row>
    <row r="62">
      <c r="A62" t="inlineStr">
        <is>
          <t>五级</t>
        </is>
      </c>
      <c r="B62" t="inlineStr">
        <is>
          <t>支出</t>
        </is>
      </c>
      <c r="C62" t="inlineStr">
        <is>
          <t>E.90.01.01.03.04</t>
        </is>
      </c>
      <c r="D62" t="inlineStr">
        <is>
          <t>IT日常</t>
        </is>
      </c>
      <c r="K62" t="inlineStr">
        <is>
          <t>是</t>
        </is>
      </c>
      <c r="M62" t="inlineStr">
        <is>
          <t>05.01.01.03.04</t>
        </is>
      </c>
      <c r="N62" t="inlineStr">
        <is>
          <t>SUM</t>
        </is>
      </c>
    </row>
    <row r="63">
      <c r="A63" t="inlineStr">
        <is>
          <t>四级</t>
        </is>
      </c>
      <c r="B63" t="inlineStr">
        <is>
          <t>支出</t>
        </is>
      </c>
      <c r="C63" t="inlineStr">
        <is>
          <t>E.90.01.01.04</t>
        </is>
      </c>
      <c r="D63" t="inlineStr">
        <is>
          <t>AA.05.01.01.04</t>
        </is>
      </c>
      <c r="F63" t="inlineStr">
        <is>
          <t>E.90.01.01.04.001</t>
        </is>
      </c>
      <c r="K63" t="inlineStr">
        <is>
          <t>是</t>
        </is>
      </c>
      <c r="M63" t="inlineStr">
        <is>
          <t>05.01.01.04</t>
        </is>
      </c>
      <c r="N63" t="inlineStr">
        <is>
          <t>SUM</t>
        </is>
      </c>
    </row>
    <row r="64">
      <c r="A64" t="inlineStr">
        <is>
          <t>五级</t>
        </is>
      </c>
      <c r="B64" t="inlineStr">
        <is>
          <t>支出</t>
        </is>
      </c>
      <c r="C64" t="inlineStr">
        <is>
          <t>E.90.01.01.04.001</t>
        </is>
      </c>
      <c r="D64" t="inlineStr">
        <is>
          <t>职场</t>
        </is>
      </c>
      <c r="K64" t="inlineStr">
        <is>
          <t>是</t>
        </is>
      </c>
      <c r="M64" t="inlineStr">
        <is>
          <t>05.01.01.04.001</t>
        </is>
      </c>
      <c r="N64" t="inlineStr">
        <is>
          <t>SUM</t>
        </is>
      </c>
    </row>
    <row r="65">
      <c r="A65" t="inlineStr">
        <is>
          <t>四级</t>
        </is>
      </c>
      <c r="B65" t="inlineStr">
        <is>
          <t>支出</t>
        </is>
      </c>
      <c r="C65" t="inlineStr">
        <is>
          <t>E.90.01.01.05</t>
        </is>
      </c>
      <c r="D65" t="inlineStr">
        <is>
          <t>AA.05.01.01.05</t>
        </is>
      </c>
      <c r="F65" t="inlineStr">
        <is>
          <t>E.90.01.01.05.001</t>
        </is>
      </c>
      <c r="K65" t="inlineStr">
        <is>
          <t>是</t>
        </is>
      </c>
      <c r="M65" t="inlineStr">
        <is>
          <t>05.01.01.05</t>
        </is>
      </c>
      <c r="N65" t="inlineStr">
        <is>
          <t>SUM</t>
        </is>
      </c>
    </row>
    <row r="66">
      <c r="A66" t="inlineStr">
        <is>
          <t>五级</t>
        </is>
      </c>
      <c r="B66" t="inlineStr">
        <is>
          <t>支出</t>
        </is>
      </c>
      <c r="C66" t="inlineStr">
        <is>
          <t>E.90.01.01.05.001</t>
        </is>
      </c>
      <c r="D66" t="inlineStr">
        <is>
          <t>日常</t>
        </is>
      </c>
      <c r="K66" t="inlineStr">
        <is>
          <t>是</t>
        </is>
      </c>
      <c r="M66" t="inlineStr">
        <is>
          <t>05.01.01.05.001</t>
        </is>
      </c>
      <c r="N66" t="inlineStr">
        <is>
          <t>SUM</t>
        </is>
      </c>
    </row>
    <row r="67">
      <c r="A67" t="inlineStr">
        <is>
          <t>三级</t>
        </is>
      </c>
      <c r="B67" t="inlineStr">
        <is>
          <t>支出</t>
        </is>
      </c>
      <c r="C67" t="inlineStr">
        <is>
          <t>E.90.01.02</t>
        </is>
      </c>
      <c r="D67" t="inlineStr">
        <is>
          <t>间接费用</t>
        </is>
      </c>
      <c r="F67" t="inlineStr">
        <is>
          <t>E.90.01.02.01+E.90.01.02.02+E.90.01.02.03+E.90.01.02.04.001+E.90.01.02.05.001</t>
        </is>
      </c>
      <c r="K67" t="inlineStr">
        <is>
          <t>是</t>
        </is>
      </c>
      <c r="M67" t="inlineStr">
        <is>
          <t>05.01.02</t>
        </is>
      </c>
    </row>
    <row r="68">
      <c r="A68" t="inlineStr">
        <is>
          <t>四级</t>
        </is>
      </c>
      <c r="B68" t="inlineStr">
        <is>
          <t>支出</t>
        </is>
      </c>
      <c r="C68" t="inlineStr">
        <is>
          <t>E.90.01.02.01</t>
        </is>
      </c>
      <c r="D68" t="inlineStr">
        <is>
          <t>人力（不含IT)</t>
        </is>
      </c>
      <c r="F68" t="inlineStr">
        <is>
          <t>E.90.01.02.01.001+E.90.01.02.01.002</t>
        </is>
      </c>
      <c r="K68" t="inlineStr">
        <is>
          <t>是</t>
        </is>
      </c>
      <c r="M68" t="inlineStr">
        <is>
          <t>05.01.02.01</t>
        </is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E.90.01.02.01.001</t>
        </is>
      </c>
      <c r="D69" t="inlineStr">
        <is>
          <t>业务人力</t>
        </is>
      </c>
      <c r="K69" t="inlineStr">
        <is>
          <t>是</t>
        </is>
      </c>
      <c r="M69" t="inlineStr">
        <is>
          <t>05.01.02.01.001</t>
        </is>
      </c>
      <c r="N69" t="inlineStr">
        <is>
          <t>SUM</t>
        </is>
      </c>
    </row>
    <row r="70">
      <c r="A70" t="inlineStr">
        <is>
          <t>五级</t>
        </is>
      </c>
      <c r="B70" t="inlineStr">
        <is>
          <t>支出</t>
        </is>
      </c>
      <c r="C70" t="inlineStr">
        <is>
          <t>E.90.01.02.01.002</t>
        </is>
      </c>
      <c r="D70" t="inlineStr">
        <is>
          <t>特别人力</t>
        </is>
      </c>
      <c r="K70" t="inlineStr">
        <is>
          <t>是</t>
        </is>
      </c>
      <c r="M70" t="inlineStr">
        <is>
          <t>05.01.02.01.002</t>
        </is>
      </c>
      <c r="N70" t="inlineStr">
        <is>
          <t>SUM</t>
        </is>
      </c>
    </row>
    <row r="71">
      <c r="A71" t="inlineStr">
        <is>
          <t>四级</t>
        </is>
      </c>
      <c r="B71" t="inlineStr">
        <is>
          <t>支出</t>
        </is>
      </c>
      <c r="C71" t="inlineStr">
        <is>
          <t>E.90.01.02.02</t>
        </is>
      </c>
      <c r="D71" t="inlineStr">
        <is>
          <t>业务费用</t>
        </is>
      </c>
      <c r="F71" t="inlineStr">
        <is>
          <t>E.90.01.02.02.001+E.90.01.02.02.002</t>
        </is>
      </c>
      <c r="K71" t="inlineStr">
        <is>
          <t>是</t>
        </is>
      </c>
      <c r="M71" t="inlineStr">
        <is>
          <t>05.01.02.02</t>
        </is>
      </c>
    </row>
    <row r="72">
      <c r="A72" t="inlineStr">
        <is>
          <t>五级</t>
        </is>
      </c>
      <c r="B72" t="inlineStr">
        <is>
          <t>支出</t>
        </is>
      </c>
      <c r="C72" t="inlineStr">
        <is>
          <t>E.90.01.02.02.001</t>
        </is>
      </c>
      <c r="D72" t="inlineStr">
        <is>
          <t>营销</t>
        </is>
      </c>
      <c r="K72" t="inlineStr">
        <is>
          <t>是</t>
        </is>
      </c>
      <c r="M72" t="inlineStr">
        <is>
          <t>05.01.02.02.001</t>
        </is>
      </c>
      <c r="N72" t="inlineStr">
        <is>
          <t>SUM</t>
        </is>
      </c>
    </row>
    <row r="73">
      <c r="A73" t="inlineStr">
        <is>
          <t>五级</t>
        </is>
      </c>
      <c r="B73" t="inlineStr">
        <is>
          <t>支出</t>
        </is>
      </c>
      <c r="C73" t="inlineStr">
        <is>
          <t>E.90.01.02.02.002</t>
        </is>
      </c>
      <c r="D73" t="inlineStr">
        <is>
          <t>运营</t>
        </is>
      </c>
      <c r="K73" t="inlineStr">
        <is>
          <t>是</t>
        </is>
      </c>
      <c r="M73" t="inlineStr">
        <is>
          <t>05.01.02.02.002</t>
        </is>
      </c>
      <c r="N73" t="inlineStr">
        <is>
          <t>SUM</t>
        </is>
      </c>
    </row>
    <row r="74">
      <c r="A74" t="inlineStr">
        <is>
          <t>四级</t>
        </is>
      </c>
      <c r="B74" t="inlineStr">
        <is>
          <t>支出</t>
        </is>
      </c>
      <c r="C74" t="inlineStr">
        <is>
          <t>E.90.01.02.03</t>
        </is>
      </c>
      <c r="D74" t="inlineStr">
        <is>
          <t>IT</t>
        </is>
      </c>
      <c r="F74" t="inlineStr">
        <is>
          <t>E.90.01.02.03.01+E.90.01.02.03.02.001+E.90.01.02.03.03.001+E.90.01.02.03.04.001</t>
        </is>
      </c>
      <c r="K74" t="inlineStr">
        <is>
          <t>是</t>
        </is>
      </c>
      <c r="M74" t="inlineStr">
        <is>
          <t>05.01.02.03</t>
        </is>
      </c>
    </row>
    <row r="75">
      <c r="A75" t="inlineStr">
        <is>
          <t>五级</t>
        </is>
      </c>
      <c r="B75" t="inlineStr">
        <is>
          <t>支出</t>
        </is>
      </c>
      <c r="C75" t="inlineStr">
        <is>
          <t>E.90.01.02.03.01</t>
        </is>
      </c>
      <c r="D75" t="inlineStr">
        <is>
          <t>IT人力</t>
        </is>
      </c>
      <c r="F75" t="inlineStr">
        <is>
          <t>E.90.01.02.03.01.001+E.90.01.02.03.01.002</t>
        </is>
      </c>
      <c r="K75" t="inlineStr">
        <is>
          <t>是</t>
        </is>
      </c>
      <c r="M75" t="inlineStr">
        <is>
          <t>05.01.02.03.01</t>
        </is>
      </c>
    </row>
    <row r="76">
      <c r="A76" t="inlineStr">
        <is>
          <t>六级</t>
        </is>
      </c>
      <c r="B76" t="inlineStr">
        <is>
          <t>支出</t>
        </is>
      </c>
      <c r="C76" t="inlineStr">
        <is>
          <t>E.90.01.02.03.01.001</t>
        </is>
      </c>
      <c r="D76" t="inlineStr">
        <is>
          <t>IT常规人力</t>
        </is>
      </c>
      <c r="K76" t="inlineStr">
        <is>
          <t>是</t>
        </is>
      </c>
      <c r="M76" t="inlineStr">
        <is>
          <t>05.01.02.03.01.001</t>
        </is>
      </c>
      <c r="N76" t="inlineStr">
        <is>
          <t>SUM</t>
        </is>
      </c>
    </row>
    <row r="77">
      <c r="A77" t="inlineStr">
        <is>
          <t>六级</t>
        </is>
      </c>
      <c r="B77" t="inlineStr">
        <is>
          <t>支出</t>
        </is>
      </c>
      <c r="C77" t="inlineStr">
        <is>
          <t>E.90.01.02.03.01.002</t>
        </is>
      </c>
      <c r="D77" t="inlineStr">
        <is>
          <t>IT特别人力</t>
        </is>
      </c>
      <c r="K77" t="inlineStr">
        <is>
          <t>是</t>
        </is>
      </c>
      <c r="M77" t="inlineStr">
        <is>
          <t>05.01.02.03.01.002</t>
        </is>
      </c>
      <c r="N77" t="inlineStr">
        <is>
          <t>SUM</t>
        </is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E.90.01.02.03.02</t>
        </is>
      </c>
      <c r="D78" t="inlineStr">
        <is>
          <t>AA.05.01.02.03.02</t>
        </is>
      </c>
      <c r="F78" t="inlineStr">
        <is>
          <t>E.90.01.02.03.02.001</t>
        </is>
      </c>
      <c r="K78" t="inlineStr">
        <is>
          <t>是</t>
        </is>
      </c>
      <c r="M78" t="inlineStr">
        <is>
          <t>05.01.02.03.02</t>
        </is>
      </c>
      <c r="N78" t="inlineStr">
        <is>
          <t>SUM</t>
        </is>
      </c>
    </row>
    <row r="79">
      <c r="A79" t="inlineStr">
        <is>
          <t>六级</t>
        </is>
      </c>
      <c r="B79" t="inlineStr">
        <is>
          <t>支出</t>
        </is>
      </c>
      <c r="C79" t="inlineStr">
        <is>
          <t>E.90.01.02.03.02.001</t>
        </is>
      </c>
      <c r="D79" t="inlineStr">
        <is>
          <t>科技</t>
        </is>
      </c>
      <c r="K79" t="inlineStr">
        <is>
          <t>是</t>
        </is>
      </c>
      <c r="M79" t="inlineStr">
        <is>
          <t>05.01.02.03.02.001</t>
        </is>
      </c>
      <c r="N79" t="inlineStr">
        <is>
          <t>SUM</t>
        </is>
      </c>
    </row>
    <row r="80">
      <c r="A80" t="inlineStr">
        <is>
          <t>五级</t>
        </is>
      </c>
      <c r="B80" t="inlineStr">
        <is>
          <t>支出</t>
        </is>
      </c>
      <c r="C80" t="inlineStr">
        <is>
          <t>E.90.01.02.03.03</t>
        </is>
      </c>
      <c r="D80" t="inlineStr">
        <is>
          <t>AA.05.01.02.03.03</t>
        </is>
      </c>
      <c r="F80" t="inlineStr">
        <is>
          <t>E.90.01.02.03.03.001</t>
        </is>
      </c>
      <c r="K80" t="inlineStr">
        <is>
          <t>是</t>
        </is>
      </c>
      <c r="M80" t="inlineStr">
        <is>
          <t>05.01.02.03.03</t>
        </is>
      </c>
      <c r="N80" t="inlineStr">
        <is>
          <t>SUM</t>
        </is>
      </c>
    </row>
    <row r="81">
      <c r="A81" t="inlineStr">
        <is>
          <t>六级</t>
        </is>
      </c>
      <c r="B81" t="inlineStr">
        <is>
          <t>支出</t>
        </is>
      </c>
      <c r="C81" t="inlineStr">
        <is>
          <t>E.90.01.02.03.03.001</t>
        </is>
      </c>
      <c r="D81" t="inlineStr">
        <is>
          <t>IT职场</t>
        </is>
      </c>
      <c r="K81" t="inlineStr">
        <is>
          <t>是</t>
        </is>
      </c>
      <c r="M81" t="inlineStr">
        <is>
          <t>05.01.02.03.03.001</t>
        </is>
      </c>
      <c r="N81" t="inlineStr">
        <is>
          <t>SUM</t>
        </is>
      </c>
    </row>
    <row r="82">
      <c r="A82" t="inlineStr">
        <is>
          <t>五级</t>
        </is>
      </c>
      <c r="B82" t="inlineStr">
        <is>
          <t>支出</t>
        </is>
      </c>
      <c r="C82" t="inlineStr">
        <is>
          <t>E.90.01.02.03.04</t>
        </is>
      </c>
      <c r="D82" t="inlineStr">
        <is>
          <t>AA.05.01.02.03.04</t>
        </is>
      </c>
      <c r="F82" t="inlineStr">
        <is>
          <t>E.90.01.02.03.04.001</t>
        </is>
      </c>
      <c r="K82" t="inlineStr">
        <is>
          <t>是</t>
        </is>
      </c>
      <c r="M82" t="inlineStr">
        <is>
          <t>05.01.02.03.04</t>
        </is>
      </c>
      <c r="N82" t="inlineStr">
        <is>
          <t>SUM</t>
        </is>
      </c>
    </row>
    <row r="83">
      <c r="A83" t="inlineStr">
        <is>
          <t>六级</t>
        </is>
      </c>
      <c r="B83" t="inlineStr">
        <is>
          <t>支出</t>
        </is>
      </c>
      <c r="C83" t="inlineStr">
        <is>
          <t>E.90.01.02.03.04.001</t>
        </is>
      </c>
      <c r="D83" t="inlineStr">
        <is>
          <t>IT日常</t>
        </is>
      </c>
      <c r="K83" t="inlineStr">
        <is>
          <t>是</t>
        </is>
      </c>
      <c r="M83" t="inlineStr">
        <is>
          <t>05.01.02.03.04.001</t>
        </is>
      </c>
      <c r="N83" t="inlineStr">
        <is>
          <t>SUM</t>
        </is>
      </c>
    </row>
    <row r="84">
      <c r="A84" t="inlineStr">
        <is>
          <t>四级</t>
        </is>
      </c>
      <c r="B84" t="inlineStr">
        <is>
          <t>支出</t>
        </is>
      </c>
      <c r="C84" t="inlineStr">
        <is>
          <t>E.90.01.02.04</t>
        </is>
      </c>
      <c r="D84" t="inlineStr">
        <is>
          <t>AA.05.01.02.04</t>
        </is>
      </c>
      <c r="F84" t="inlineStr">
        <is>
          <t>E.90.01.02.04.001</t>
        </is>
      </c>
      <c r="K84" t="inlineStr">
        <is>
          <t>是</t>
        </is>
      </c>
      <c r="M84" t="inlineStr">
        <is>
          <t>05.01.02.04</t>
        </is>
      </c>
      <c r="N84" t="inlineStr">
        <is>
          <t>SUM</t>
        </is>
      </c>
    </row>
    <row r="85">
      <c r="A85" t="inlineStr">
        <is>
          <t>五级</t>
        </is>
      </c>
      <c r="B85" t="inlineStr">
        <is>
          <t>支出</t>
        </is>
      </c>
      <c r="C85" t="inlineStr">
        <is>
          <t>E.90.01.02.04.001</t>
        </is>
      </c>
      <c r="D85" t="inlineStr">
        <is>
          <t>职场</t>
        </is>
      </c>
      <c r="K85" t="inlineStr">
        <is>
          <t>是</t>
        </is>
      </c>
      <c r="M85" t="inlineStr">
        <is>
          <t>05.01.02.04.001</t>
        </is>
      </c>
      <c r="N85" t="inlineStr">
        <is>
          <t>SUM</t>
        </is>
      </c>
    </row>
    <row r="86">
      <c r="A86" t="inlineStr">
        <is>
          <t>四级</t>
        </is>
      </c>
      <c r="B86" t="inlineStr">
        <is>
          <t>支出</t>
        </is>
      </c>
      <c r="C86" t="inlineStr">
        <is>
          <t>E.90.01.02.05</t>
        </is>
      </c>
      <c r="D86" t="inlineStr">
        <is>
          <t>AA.05.01.02.05</t>
        </is>
      </c>
      <c r="F86" t="inlineStr">
        <is>
          <t>E.90.01.02.05.001</t>
        </is>
      </c>
      <c r="K86" t="inlineStr">
        <is>
          <t>是</t>
        </is>
      </c>
      <c r="M86" t="inlineStr">
        <is>
          <t>05.01.02.05</t>
        </is>
      </c>
      <c r="N86" t="inlineStr">
        <is>
          <t>SUM</t>
        </is>
      </c>
    </row>
    <row r="87">
      <c r="A87" t="inlineStr">
        <is>
          <t>五级</t>
        </is>
      </c>
      <c r="B87" t="inlineStr">
        <is>
          <t>支出</t>
        </is>
      </c>
      <c r="C87" t="inlineStr">
        <is>
          <t>E.90.01.02.05.001</t>
        </is>
      </c>
      <c r="D87" t="inlineStr">
        <is>
          <t>日常</t>
        </is>
      </c>
      <c r="K87" t="inlineStr">
        <is>
          <t>是</t>
        </is>
      </c>
      <c r="M87" t="inlineStr">
        <is>
          <t>05.01.02.05.001</t>
        </is>
      </c>
      <c r="N87" t="inlineStr">
        <is>
          <t>SUM</t>
        </is>
      </c>
    </row>
    <row r="88">
      <c r="A88" t="inlineStr">
        <is>
          <t>二级</t>
        </is>
      </c>
      <c r="B88" t="inlineStr">
        <is>
          <t>支出</t>
        </is>
      </c>
      <c r="C88" t="inlineStr">
        <is>
          <t>E.90.02</t>
        </is>
      </c>
      <c r="D88" t="inlineStr">
        <is>
          <t>业务费用</t>
        </is>
      </c>
      <c r="F88" t="inlineStr">
        <is>
          <t>E.90.02.01+E.90.02.02</t>
        </is>
      </c>
      <c r="K88" t="inlineStr">
        <is>
          <t>是</t>
        </is>
      </c>
      <c r="N88" t="inlineStr">
        <is>
          <t>SUM</t>
        </is>
      </c>
    </row>
    <row r="89">
      <c r="A89" t="inlineStr">
        <is>
          <t>三级</t>
        </is>
      </c>
      <c r="B89" t="inlineStr">
        <is>
          <t>支出</t>
        </is>
      </c>
      <c r="C89" t="inlineStr">
        <is>
          <t>E.90.02.01</t>
        </is>
      </c>
      <c r="D89" t="inlineStr">
        <is>
          <t>营销费用</t>
        </is>
      </c>
      <c r="K89" t="inlineStr">
        <is>
          <t>是</t>
        </is>
      </c>
      <c r="N89" t="inlineStr">
        <is>
          <t>SUM</t>
        </is>
      </c>
    </row>
    <row r="90">
      <c r="A90" t="inlineStr">
        <is>
          <t>三级</t>
        </is>
      </c>
      <c r="B90" t="inlineStr">
        <is>
          <t>支出</t>
        </is>
      </c>
      <c r="C90" t="inlineStr">
        <is>
          <t>E.90.02.02</t>
        </is>
      </c>
      <c r="D90" t="inlineStr">
        <is>
          <t>运营费用</t>
        </is>
      </c>
      <c r="K90" t="inlineStr">
        <is>
          <t>是</t>
        </is>
      </c>
      <c r="N90" t="inlineStr">
        <is>
          <t>SUM</t>
        </is>
      </c>
    </row>
    <row r="91">
      <c r="A91" t="inlineStr">
        <is>
          <t>二级</t>
        </is>
      </c>
      <c r="B91" t="inlineStr">
        <is>
          <t>支出</t>
        </is>
      </c>
      <c r="C91" t="inlineStr">
        <is>
          <t>E.90.03</t>
        </is>
      </c>
      <c r="D91" t="inlineStr">
        <is>
          <t>业务支出评估</t>
        </is>
      </c>
      <c r="F91" t="inlineStr">
        <is>
          <t>E.90.03.09</t>
        </is>
      </c>
      <c r="K91" t="inlineStr">
        <is>
          <t>是</t>
        </is>
      </c>
      <c r="M91" t="inlineStr">
        <is>
          <t>05.02</t>
        </is>
      </c>
    </row>
    <row r="92">
      <c r="A92" t="inlineStr">
        <is>
          <t>三级</t>
        </is>
      </c>
      <c r="B92" t="inlineStr">
        <is>
          <t>支出</t>
        </is>
      </c>
      <c r="C92" t="inlineStr">
        <is>
          <t>E.90.03.09</t>
        </is>
      </c>
      <c r="D92" t="inlineStr">
        <is>
          <t>客户经营指标</t>
        </is>
      </c>
      <c r="F92" t="inlineStr">
        <is>
          <t>E.90.03.09.01+E.90.03.09.02+E.90.03.09.03</t>
        </is>
      </c>
      <c r="K92" t="inlineStr">
        <is>
          <t>是</t>
        </is>
      </c>
      <c r="M92" t="inlineStr">
        <is>
          <t>05.02.09</t>
        </is>
      </c>
    </row>
    <row r="93">
      <c r="A93" t="inlineStr">
        <is>
          <t>四级</t>
        </is>
      </c>
      <c r="B93" t="inlineStr">
        <is>
          <t>支出</t>
        </is>
      </c>
      <c r="C93" t="inlineStr">
        <is>
          <t>E.90.03.09.01</t>
        </is>
      </c>
      <c r="D93" t="inlineStr">
        <is>
          <t>客户营销与投入</t>
        </is>
      </c>
      <c r="F93" t="inlineStr">
        <is>
          <t>E.90.03.09.01.001+E.90.03.09.01.002+E.90.03.09.01.003+E.90.03.09.01.004</t>
        </is>
      </c>
      <c r="K93" t="inlineStr">
        <is>
          <t>是</t>
        </is>
      </c>
      <c r="M93" t="inlineStr">
        <is>
          <t>05.02.09.01</t>
        </is>
      </c>
    </row>
    <row r="94">
      <c r="A94" t="inlineStr">
        <is>
          <t>五级</t>
        </is>
      </c>
      <c r="B94" t="inlineStr">
        <is>
          <t>支出</t>
        </is>
      </c>
      <c r="C94" t="inlineStr">
        <is>
          <t>E.90.03.09.01.001</t>
        </is>
      </c>
      <c r="D94" t="inlineStr">
        <is>
          <t>新客营销支出</t>
        </is>
      </c>
      <c r="K94" t="inlineStr">
        <is>
          <t>是</t>
        </is>
      </c>
      <c r="M94" t="inlineStr">
        <is>
          <t>05.02.09.01.001</t>
        </is>
      </c>
      <c r="N94" t="inlineStr">
        <is>
          <t>SUM</t>
        </is>
      </c>
    </row>
    <row r="95">
      <c r="A95" t="inlineStr">
        <is>
          <t>五级</t>
        </is>
      </c>
      <c r="B95" t="inlineStr">
        <is>
          <t>支出</t>
        </is>
      </c>
      <c r="C95" t="inlineStr">
        <is>
          <t>E.90.03.09.01.002</t>
        </is>
      </c>
      <c r="D95" t="inlineStr">
        <is>
          <t>存客营销支出</t>
        </is>
      </c>
      <c r="K95" t="inlineStr">
        <is>
          <t>是</t>
        </is>
      </c>
      <c r="M95" t="inlineStr">
        <is>
          <t>05.02.09.01.002</t>
        </is>
      </c>
      <c r="N95" t="inlineStr">
        <is>
          <t>SUM</t>
        </is>
      </c>
    </row>
    <row r="96">
      <c r="A96" t="inlineStr">
        <is>
          <t>五级</t>
        </is>
      </c>
      <c r="B96" t="inlineStr">
        <is>
          <t>支出</t>
        </is>
      </c>
      <c r="C96" t="inlineStr">
        <is>
          <t>E.90.03.09.01.003</t>
        </is>
      </c>
      <c r="D96" t="inlineStr">
        <is>
          <t>新开通客户投入</t>
        </is>
      </c>
      <c r="K96" t="inlineStr">
        <is>
          <t>是</t>
        </is>
      </c>
      <c r="M96" t="inlineStr">
        <is>
          <t>05.02.09.01.003</t>
        </is>
      </c>
      <c r="N96" t="inlineStr">
        <is>
          <t>SUM</t>
        </is>
      </c>
    </row>
    <row r="97">
      <c r="A97" t="inlineStr">
        <is>
          <t>五级</t>
        </is>
      </c>
      <c r="B97" t="inlineStr">
        <is>
          <t>支出</t>
        </is>
      </c>
      <c r="C97" t="inlineStr">
        <is>
          <t>E.90.03.09.01.004</t>
        </is>
      </c>
      <c r="D97" t="inlineStr">
        <is>
          <t>新发放投入</t>
        </is>
      </c>
      <c r="K97" t="inlineStr">
        <is>
          <t>是</t>
        </is>
      </c>
      <c r="M97" t="inlineStr">
        <is>
          <t>05.02.09.01.004</t>
        </is>
      </c>
      <c r="N97" t="inlineStr">
        <is>
          <t>SUM</t>
        </is>
      </c>
    </row>
    <row r="98">
      <c r="A98" t="inlineStr">
        <is>
          <t>四级</t>
        </is>
      </c>
      <c r="B98" t="inlineStr">
        <is>
          <t>支出</t>
        </is>
      </c>
      <c r="C98" t="inlineStr">
        <is>
          <t>E.90.03.09.02</t>
        </is>
      </c>
      <c r="D98" t="inlineStr">
        <is>
          <t>客户规模与数量</t>
        </is>
      </c>
      <c r="F98" t="inlineStr">
        <is>
          <t>E.90.03.09.02.101+E.90.03.09.02.102+E.90.03.09.02.103</t>
        </is>
      </c>
      <c r="K98" t="inlineStr">
        <is>
          <t>是</t>
        </is>
      </c>
      <c r="M98" t="inlineStr">
        <is>
          <t>05.02.09.02</t>
        </is>
      </c>
    </row>
    <row r="99">
      <c r="A99" t="inlineStr">
        <is>
          <t>五级</t>
        </is>
      </c>
      <c r="B99" t="inlineStr">
        <is>
          <t>支出</t>
        </is>
      </c>
      <c r="C99" t="inlineStr">
        <is>
          <t>E.90.03.09.02.001</t>
        </is>
      </c>
      <c r="D99" t="inlineStr">
        <is>
          <t>新客日均LUM</t>
        </is>
      </c>
      <c r="K99" t="inlineStr">
        <is>
          <t>是</t>
        </is>
      </c>
      <c r="M99" t="inlineStr">
        <is>
          <t>05.02.09.02.001</t>
        </is>
      </c>
      <c r="N99" t="inlineStr">
        <is>
          <t>SUM</t>
        </is>
      </c>
    </row>
    <row r="100">
      <c r="A100" t="inlineStr">
        <is>
          <t>五级</t>
        </is>
      </c>
      <c r="B100" t="inlineStr">
        <is>
          <t>支出</t>
        </is>
      </c>
      <c r="C100" t="inlineStr">
        <is>
          <t>E.90.03.09.02.002</t>
        </is>
      </c>
      <c r="D100" t="inlineStr">
        <is>
          <t>存客日均LUM</t>
        </is>
      </c>
      <c r="K100" t="inlineStr">
        <is>
          <t>是</t>
        </is>
      </c>
      <c r="M100" t="inlineStr">
        <is>
          <t>05.02.09.02.002</t>
        </is>
      </c>
      <c r="N100" t="inlineStr">
        <is>
          <t>SUM</t>
        </is>
      </c>
    </row>
    <row r="101">
      <c r="A101" t="inlineStr">
        <is>
          <t>五级</t>
        </is>
      </c>
      <c r="B101" t="inlineStr">
        <is>
          <t>支出</t>
        </is>
      </c>
      <c r="C101" t="inlineStr">
        <is>
          <t>E.90.03.09.02.003</t>
        </is>
      </c>
      <c r="D101" t="inlineStr">
        <is>
          <t>新开通客户数</t>
        </is>
      </c>
      <c r="K101" t="inlineStr">
        <is>
          <t>是</t>
        </is>
      </c>
      <c r="M101" t="inlineStr">
        <is>
          <t>05.02.09.02.003</t>
        </is>
      </c>
      <c r="N101" t="inlineStr">
        <is>
          <t>SUM</t>
        </is>
      </c>
    </row>
    <row r="102">
      <c r="A102" t="inlineStr">
        <is>
          <t>五级</t>
        </is>
      </c>
      <c r="B102" t="inlineStr">
        <is>
          <t>支出</t>
        </is>
      </c>
      <c r="C102" t="inlineStr">
        <is>
          <t>E.90.03.09.02.004</t>
        </is>
      </c>
      <c r="D102" t="inlineStr">
        <is>
          <t>平均有效客户数</t>
        </is>
      </c>
      <c r="K102" t="inlineStr">
        <is>
          <t>是</t>
        </is>
      </c>
      <c r="M102" t="inlineStr">
        <is>
          <t>05.02.09.02.004</t>
        </is>
      </c>
      <c r="N102" t="inlineStr">
        <is>
          <t>SUM</t>
        </is>
      </c>
    </row>
    <row r="103">
      <c r="A103" t="inlineStr">
        <is>
          <t>五级</t>
        </is>
      </c>
      <c r="B103" t="inlineStr">
        <is>
          <t>支出</t>
        </is>
      </c>
      <c r="C103" t="inlineStr">
        <is>
          <t>E.90.03.09.02.005</t>
        </is>
      </c>
      <c r="D103" t="inlineStr">
        <is>
          <t>新发放LUM</t>
        </is>
      </c>
      <c r="K103" t="inlineStr">
        <is>
          <t>是</t>
        </is>
      </c>
      <c r="M103" t="inlineStr">
        <is>
          <t>05.02.09.02.005</t>
        </is>
      </c>
      <c r="N103" t="inlineStr">
        <is>
          <t>SUM</t>
        </is>
      </c>
    </row>
    <row r="104">
      <c r="A104" t="inlineStr">
        <is>
          <t>五级</t>
        </is>
      </c>
      <c r="B104" t="inlineStr">
        <is>
          <t>支出</t>
        </is>
      </c>
      <c r="C104" t="inlineStr">
        <is>
          <t>E.90.03.09.02.006</t>
        </is>
      </c>
      <c r="D104" t="inlineStr">
        <is>
          <t>新发放LUM（标服）</t>
        </is>
      </c>
      <c r="K104" t="inlineStr">
        <is>
          <t>是</t>
        </is>
      </c>
      <c r="M104" t="inlineStr">
        <is>
          <t>05.02.09.02.006</t>
        </is>
      </c>
      <c r="N104" t="inlineStr">
        <is>
          <t>SUM</t>
        </is>
      </c>
    </row>
    <row r="105">
      <c r="A105" t="inlineStr">
        <is>
          <t>五级</t>
        </is>
      </c>
      <c r="B105" t="inlineStr">
        <is>
          <t>支出</t>
        </is>
      </c>
      <c r="C105" t="inlineStr">
        <is>
          <t>E.90.03.09.02.007</t>
        </is>
      </c>
      <c r="D105" t="inlineStr">
        <is>
          <t>存客日均AuM</t>
        </is>
      </c>
      <c r="K105" t="inlineStr">
        <is>
          <t>是</t>
        </is>
      </c>
      <c r="M105" t="inlineStr">
        <is>
          <t>05.02.09.02.007</t>
        </is>
      </c>
      <c r="N105" t="inlineStr">
        <is>
          <t>SUM</t>
        </is>
      </c>
    </row>
    <row r="106">
      <c r="A106" t="inlineStr">
        <is>
          <t>五级</t>
        </is>
      </c>
      <c r="B106" t="inlineStr">
        <is>
          <t>支出</t>
        </is>
      </c>
      <c r="C106" t="inlineStr">
        <is>
          <t>E.90.03.09.02.008</t>
        </is>
      </c>
      <c r="D106" t="inlineStr">
        <is>
          <t>新客AuM余额</t>
        </is>
      </c>
      <c r="K106" t="inlineStr">
        <is>
          <t>是</t>
        </is>
      </c>
      <c r="M106" t="inlineStr">
        <is>
          <t>05.02.09.02.008</t>
        </is>
      </c>
      <c r="N106" t="inlineStr">
        <is>
          <t>SUM</t>
        </is>
      </c>
    </row>
    <row r="107">
      <c r="A107" t="inlineStr">
        <is>
          <t>五级</t>
        </is>
      </c>
      <c r="B107" t="inlineStr">
        <is>
          <t>支出</t>
        </is>
      </c>
      <c r="C107" t="inlineStr">
        <is>
          <t>E.90.03.09.02.009</t>
        </is>
      </c>
      <c r="D107" t="inlineStr">
        <is>
          <t>MFAU客户数</t>
        </is>
      </c>
      <c r="K107" t="inlineStr">
        <is>
          <t>是</t>
        </is>
      </c>
      <c r="M107" t="inlineStr">
        <is>
          <t>05.02.09.02.009</t>
        </is>
      </c>
      <c r="N107" t="inlineStr">
        <is>
          <t>SUM</t>
        </is>
      </c>
    </row>
    <row r="108">
      <c r="A108" t="inlineStr">
        <is>
          <t>五级</t>
        </is>
      </c>
      <c r="B108" t="inlineStr">
        <is>
          <t>支出</t>
        </is>
      </c>
      <c r="C108" t="inlineStr">
        <is>
          <t>E.90.03.09.02.010</t>
        </is>
      </c>
      <c r="D108" t="inlineStr">
        <is>
          <t>日均LUM</t>
        </is>
      </c>
      <c r="K108" t="inlineStr">
        <is>
          <t>是</t>
        </is>
      </c>
      <c r="M108" t="inlineStr">
        <is>
          <t>05.02.09.02.010</t>
        </is>
      </c>
      <c r="N108" t="inlineStr">
        <is>
          <t>SUM</t>
        </is>
      </c>
    </row>
    <row r="109">
      <c r="A109" t="inlineStr">
        <is>
          <t>五级</t>
        </is>
      </c>
      <c r="B109" t="inlineStr">
        <is>
          <t>支出</t>
        </is>
      </c>
      <c r="C109" t="inlineStr">
        <is>
          <t>E.90.03.09.02.011</t>
        </is>
      </c>
      <c r="D109" t="inlineStr">
        <is>
          <t>日均AuM</t>
        </is>
      </c>
      <c r="K109" t="inlineStr">
        <is>
          <t>是</t>
        </is>
      </c>
      <c r="M109" t="inlineStr">
        <is>
          <t>05.02.09.02.011</t>
        </is>
      </c>
      <c r="N109" t="inlineStr">
        <is>
          <t>SUM</t>
        </is>
      </c>
    </row>
    <row r="110">
      <c r="A110" t="inlineStr">
        <is>
          <t>五级</t>
        </is>
      </c>
      <c r="B110" t="inlineStr">
        <is>
          <t>支出</t>
        </is>
      </c>
      <c r="C110" t="inlineStr">
        <is>
          <t>E.90.03.09.02.101</t>
        </is>
      </c>
      <c r="D110" t="inlineStr">
        <is>
          <t>LUM规模</t>
        </is>
      </c>
      <c r="F110" t="inlineStr">
        <is>
          <t>E.90.03.09.02.001+E.90.03.09.02.002+E.90.03.09.02.005+E.90.03.09.02.006+E.90.03.09.02.010</t>
        </is>
      </c>
      <c r="K110" t="inlineStr">
        <is>
          <t>是</t>
        </is>
      </c>
      <c r="M110" t="inlineStr">
        <is>
          <t>05.02.09.02.101</t>
        </is>
      </c>
    </row>
    <row r="111">
      <c r="A111" t="inlineStr">
        <is>
          <t>五级</t>
        </is>
      </c>
      <c r="B111" t="inlineStr">
        <is>
          <t>支出</t>
        </is>
      </c>
      <c r="C111" t="inlineStr">
        <is>
          <t>E.90.03.09.02.102</t>
        </is>
      </c>
      <c r="D111" t="inlineStr">
        <is>
          <t>AuM规模</t>
        </is>
      </c>
      <c r="F111" t="inlineStr">
        <is>
          <t>E.90.03.09.02.007+E.90.03.09.02.008+E.90.03.09.02.011</t>
        </is>
      </c>
      <c r="K111" t="inlineStr">
        <is>
          <t>是</t>
        </is>
      </c>
      <c r="M111" t="inlineStr">
        <is>
          <t>05.02.09.02.102</t>
        </is>
      </c>
    </row>
    <row r="112">
      <c r="A112" t="inlineStr">
        <is>
          <t>五级</t>
        </is>
      </c>
      <c r="B112" t="inlineStr">
        <is>
          <t>支出</t>
        </is>
      </c>
      <c r="C112" t="inlineStr">
        <is>
          <t>E.90.03.09.02.103</t>
        </is>
      </c>
      <c r="D112" t="inlineStr">
        <is>
          <t>客户数量</t>
        </is>
      </c>
      <c r="F112" t="inlineStr">
        <is>
          <t>E.90.03.09.02.003+E.90.03.09.02.004+E.90.03.09.02.009</t>
        </is>
      </c>
      <c r="K112" t="inlineStr">
        <is>
          <t>是</t>
        </is>
      </c>
      <c r="M112" t="inlineStr">
        <is>
          <t>05.02.09.02.103</t>
        </is>
      </c>
    </row>
    <row r="113">
      <c r="A113" t="inlineStr">
        <is>
          <t>四级</t>
        </is>
      </c>
      <c r="B113" t="inlineStr">
        <is>
          <t>支出</t>
        </is>
      </c>
      <c r="C113" t="inlineStr">
        <is>
          <t>E.90.03.09.03</t>
        </is>
      </c>
      <c r="D113" t="inlineStr">
        <is>
          <t>客户回收与催收</t>
        </is>
      </c>
      <c r="F113" t="inlineStr">
        <is>
          <t>E.90.03.09.03.001+E.90.03.09.03.002+E.90.03.09.03.003</t>
        </is>
      </c>
      <c r="K113" t="inlineStr">
        <is>
          <t>是</t>
        </is>
      </c>
      <c r="M113" t="inlineStr">
        <is>
          <t>05.02.09.03</t>
        </is>
      </c>
    </row>
    <row r="114">
      <c r="A114" t="inlineStr">
        <is>
          <t>五级</t>
        </is>
      </c>
      <c r="B114" t="inlineStr">
        <is>
          <t>支出</t>
        </is>
      </c>
      <c r="C114" t="inlineStr">
        <is>
          <t>E.90.03.09.03.001</t>
        </is>
      </c>
      <c r="D114" t="inlineStr">
        <is>
          <t>内催回收额</t>
        </is>
      </c>
      <c r="K114" t="inlineStr">
        <is>
          <t>是</t>
        </is>
      </c>
      <c r="M114" t="inlineStr">
        <is>
          <t>05.02.09.03.001</t>
        </is>
      </c>
      <c r="N114" t="inlineStr">
        <is>
          <t>SUM</t>
        </is>
      </c>
    </row>
    <row r="115">
      <c r="A115" t="inlineStr">
        <is>
          <t>五级</t>
        </is>
      </c>
      <c r="B115" t="inlineStr">
        <is>
          <t>支出</t>
        </is>
      </c>
      <c r="C115" t="inlineStr">
        <is>
          <t>E.90.03.09.03.002</t>
        </is>
      </c>
      <c r="D115" t="inlineStr">
        <is>
          <t>M6-压降金额</t>
        </is>
      </c>
      <c r="K115" t="inlineStr">
        <is>
          <t>是</t>
        </is>
      </c>
      <c r="M115" t="inlineStr">
        <is>
          <t>05.02.09.03.002</t>
        </is>
      </c>
      <c r="N115" t="inlineStr">
        <is>
          <t>SUM</t>
        </is>
      </c>
    </row>
    <row r="116">
      <c r="A116" t="inlineStr">
        <is>
          <t>五级</t>
        </is>
      </c>
      <c r="B116" t="inlineStr">
        <is>
          <t>支出</t>
        </is>
      </c>
      <c r="C116" t="inlineStr">
        <is>
          <t>E.90.03.09.03.003</t>
        </is>
      </c>
      <c r="D116" t="inlineStr">
        <is>
          <t>M7+现金回收额</t>
        </is>
      </c>
      <c r="K116" t="inlineStr">
        <is>
          <t>是</t>
        </is>
      </c>
      <c r="M116" t="inlineStr">
        <is>
          <t>05.02.09.03.003</t>
        </is>
      </c>
      <c r="N116" t="inlineStr">
        <is>
          <t>SUM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H118"/>
  <sheetViews>
    <sheetView workbookViewId="0">
      <selection activeCell="E13" sqref="E13"/>
    </sheetView>
  </sheetViews>
  <sheetFormatPr baseColWidth="8" defaultColWidth="9" defaultRowHeight="16.8"/>
  <cols>
    <col width="11.0803571428571" customWidth="1" min="3" max="3"/>
    <col width="15.5" customWidth="1" min="4" max="4"/>
    <col width="8.66071428571429" customWidth="1" min="14" max="15"/>
  </cols>
  <sheetData>
    <row r="1" ht="15" customFormat="1" customHeight="1" s="1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3" t="inlineStr">
        <is>
          <t>录入粒度</t>
        </is>
      </c>
      <c r="F1" s="3" t="inlineStr">
        <is>
          <t>年预算公式</t>
        </is>
      </c>
      <c r="G1" s="3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6" t="n"/>
      <c r="O1" s="6" t="n"/>
      <c r="P1" t="inlineStr">
        <is>
          <t>规则</t>
        </is>
      </c>
    </row>
    <row r="2">
      <c r="A2" s="7" t="inlineStr">
        <is>
          <t>一级</t>
        </is>
      </c>
      <c r="B2" s="1" t="inlineStr">
        <is>
          <t>收入</t>
        </is>
      </c>
      <c r="C2" s="8" t="inlineStr">
        <is>
          <t>E01.01</t>
        </is>
      </c>
      <c r="D2" s="7" t="inlineStr">
        <is>
          <t>营业收入</t>
        </is>
      </c>
      <c r="E2" s="5" t="n"/>
      <c r="F2" s="5" t="inlineStr">
        <is>
          <t>E01.01.01+E01.01.02+E01.01.03</t>
        </is>
      </c>
      <c r="G2" s="5" t="n"/>
      <c r="H2" s="5">
        <f>H3+H6+H7</f>
        <v/>
      </c>
      <c r="I2" s="5">
        <f>I3+I6+I7</f>
        <v/>
      </c>
      <c r="J2" s="5" t="n"/>
      <c r="M2" t="inlineStr">
        <is>
          <t>01</t>
        </is>
      </c>
    </row>
    <row r="3">
      <c r="A3" s="1" t="inlineStr">
        <is>
          <t>二级</t>
        </is>
      </c>
      <c r="B3" s="1" t="inlineStr">
        <is>
          <t>收入</t>
        </is>
      </c>
      <c r="C3" s="8" t="inlineStr">
        <is>
          <t>E01.01.01</t>
        </is>
      </c>
      <c r="D3" s="1" t="inlineStr">
        <is>
          <t xml:space="preserve">  利息净收入</t>
        </is>
      </c>
      <c r="E3" s="5" t="n"/>
      <c r="F3" s="5" t="inlineStr">
        <is>
          <t>E01.01.01.01+E01.01.01.02</t>
        </is>
      </c>
      <c r="G3" s="5" t="n"/>
      <c r="H3" s="5">
        <f>H4+H5</f>
        <v/>
      </c>
      <c r="I3" s="5">
        <f>I4+I5</f>
        <v/>
      </c>
      <c r="J3" s="5" t="n"/>
      <c r="M3" t="inlineStr">
        <is>
          <t>01.01</t>
        </is>
      </c>
    </row>
    <row r="4">
      <c r="A4" s="1" t="inlineStr">
        <is>
          <t>三级</t>
        </is>
      </c>
      <c r="B4" s="1" t="inlineStr">
        <is>
          <t>收入</t>
        </is>
      </c>
      <c r="C4" s="9" t="inlineStr">
        <is>
          <t>E01.01.01.01</t>
        </is>
      </c>
      <c r="D4" s="1" t="inlineStr">
        <is>
          <t xml:space="preserve">    资产业务</t>
        </is>
      </c>
      <c r="E4" s="5" t="n"/>
      <c r="F4" s="5" t="n"/>
      <c r="G4" s="5" t="n"/>
      <c r="H4" s="5" t="n"/>
      <c r="I4" s="5" t="n"/>
      <c r="J4" s="5" t="n"/>
      <c r="M4" t="inlineStr">
        <is>
          <t>01.01.01</t>
        </is>
      </c>
      <c r="P4" t="inlineStr">
        <is>
          <t>SUM</t>
        </is>
      </c>
    </row>
    <row r="5">
      <c r="A5" s="1" t="inlineStr">
        <is>
          <t>三级</t>
        </is>
      </c>
      <c r="B5" s="1" t="inlineStr">
        <is>
          <t>收入</t>
        </is>
      </c>
      <c r="C5" s="9" t="inlineStr">
        <is>
          <t>E01.01.01.02</t>
        </is>
      </c>
      <c r="D5" s="1" t="inlineStr">
        <is>
          <t xml:space="preserve">    负债业务</t>
        </is>
      </c>
      <c r="E5" s="5" t="n"/>
      <c r="F5" s="5" t="n"/>
      <c r="G5" s="5" t="n"/>
      <c r="H5" s="5" t="n"/>
      <c r="I5" s="5" t="n"/>
      <c r="J5" s="5" t="n"/>
      <c r="M5" t="inlineStr">
        <is>
          <t>01.01.02</t>
        </is>
      </c>
      <c r="P5" t="inlineStr">
        <is>
          <t>SUM</t>
        </is>
      </c>
    </row>
    <row r="6">
      <c r="A6" s="1" t="inlineStr">
        <is>
          <t>二级</t>
        </is>
      </c>
      <c r="B6" s="1" t="inlineStr">
        <is>
          <t>收入</t>
        </is>
      </c>
      <c r="C6" s="8" t="inlineStr">
        <is>
          <t>E01.01.02</t>
        </is>
      </c>
      <c r="D6" s="1" t="inlineStr">
        <is>
          <t xml:space="preserve">  净手续费收入</t>
        </is>
      </c>
      <c r="E6" s="5" t="n"/>
      <c r="F6" s="5" t="n"/>
      <c r="G6" s="5" t="n"/>
      <c r="H6" s="5">
        <f>H32-H35</f>
        <v/>
      </c>
      <c r="I6" s="5">
        <f>I32-I35</f>
        <v/>
      </c>
      <c r="J6" s="5" t="n"/>
      <c r="M6" t="inlineStr">
        <is>
          <t>01.02</t>
        </is>
      </c>
      <c r="P6" t="inlineStr">
        <is>
          <t>SUM</t>
        </is>
      </c>
    </row>
    <row r="7">
      <c r="A7" s="1" t="inlineStr">
        <is>
          <t>二级</t>
        </is>
      </c>
      <c r="B7" s="1" t="inlineStr">
        <is>
          <t>收入</t>
        </is>
      </c>
      <c r="C7" s="8" t="inlineStr">
        <is>
          <t>E01.01.03</t>
        </is>
      </c>
      <c r="D7" s="1" t="inlineStr">
        <is>
          <t xml:space="preserve">  其他营收</t>
        </is>
      </c>
      <c r="E7" s="5" t="n"/>
      <c r="F7" s="5" t="n"/>
      <c r="G7" s="5" t="n"/>
      <c r="H7" s="5">
        <f>H38+H40</f>
        <v/>
      </c>
      <c r="I7" s="5">
        <f>I38+I40</f>
        <v/>
      </c>
      <c r="J7" s="5" t="n"/>
      <c r="M7" t="inlineStr">
        <is>
          <t>01.03</t>
        </is>
      </c>
      <c r="P7" t="inlineStr">
        <is>
          <t>SUM</t>
        </is>
      </c>
    </row>
    <row r="8">
      <c r="A8" s="7" t="inlineStr">
        <is>
          <t>一级</t>
        </is>
      </c>
      <c r="B8" s="1" t="inlineStr">
        <is>
          <t>支出</t>
        </is>
      </c>
      <c r="C8" s="8" t="inlineStr">
        <is>
          <t>E01.02</t>
        </is>
      </c>
      <c r="D8" s="7" t="inlineStr">
        <is>
          <t>减：风险成本</t>
        </is>
      </c>
      <c r="E8" s="5" t="n"/>
      <c r="F8" s="5" t="n"/>
      <c r="G8" s="5" t="n"/>
      <c r="H8" s="5" t="n"/>
      <c r="I8" s="5" t="n"/>
      <c r="J8" s="5" t="n"/>
      <c r="M8" t="inlineStr">
        <is>
          <t>02</t>
        </is>
      </c>
      <c r="P8" t="inlineStr">
        <is>
          <t>SUM</t>
        </is>
      </c>
    </row>
    <row r="9">
      <c r="A9" s="7" t="inlineStr">
        <is>
          <t>一级</t>
        </is>
      </c>
      <c r="B9" s="1" t="inlineStr">
        <is>
          <t>收入</t>
        </is>
      </c>
      <c r="C9" s="8" t="inlineStr">
        <is>
          <t>E01.03</t>
        </is>
      </c>
      <c r="D9" s="7" t="inlineStr">
        <is>
          <t>净收入</t>
        </is>
      </c>
      <c r="E9" s="5" t="n"/>
      <c r="F9" s="5" t="inlineStr">
        <is>
          <t>E01.01-E01.02</t>
        </is>
      </c>
      <c r="G9" s="5" t="n"/>
      <c r="H9" s="5">
        <f>H2-H8</f>
        <v/>
      </c>
      <c r="I9" s="5">
        <f>I2-I8</f>
        <v/>
      </c>
      <c r="J9" s="5" t="n"/>
      <c r="M9" t="inlineStr">
        <is>
          <t>03</t>
        </is>
      </c>
    </row>
    <row r="10">
      <c r="A10" s="7" t="inlineStr">
        <is>
          <t>一级</t>
        </is>
      </c>
      <c r="B10" s="1" t="inlineStr">
        <is>
          <t>支出</t>
        </is>
      </c>
      <c r="C10" s="8" t="inlineStr">
        <is>
          <t>E01.04</t>
        </is>
      </c>
      <c r="D10" s="7" t="inlineStr">
        <is>
          <t>减：税金及附加</t>
        </is>
      </c>
      <c r="E10" s="5" t="n"/>
      <c r="F10" s="5" t="n"/>
      <c r="G10" s="5" t="n"/>
      <c r="H10" s="5" t="n"/>
      <c r="I10" s="5" t="n"/>
      <c r="J10" s="5" t="n"/>
      <c r="M10" t="inlineStr">
        <is>
          <t>04</t>
        </is>
      </c>
      <c r="P10" t="inlineStr">
        <is>
          <t>SUM</t>
        </is>
      </c>
    </row>
    <row r="11">
      <c r="A11" s="7" t="inlineStr">
        <is>
          <t>一级</t>
        </is>
      </c>
      <c r="B11" s="1" t="inlineStr">
        <is>
          <t>支出</t>
        </is>
      </c>
      <c r="C11" s="8" t="inlineStr">
        <is>
          <t>E01.05</t>
        </is>
      </c>
      <c r="D11" s="7" t="inlineStr">
        <is>
          <t>减：直接费用</t>
        </is>
      </c>
      <c r="E11" s="5" t="n"/>
      <c r="F11" s="5" t="inlineStr">
        <is>
          <t>E01.90.01+E01.90.02+E01.90.03+E01.90.04+E01.90.05</t>
        </is>
      </c>
      <c r="G11" s="5" t="n"/>
      <c r="H11" s="5">
        <f>H12+H15+H18+H25+H26</f>
        <v/>
      </c>
      <c r="I11" s="5">
        <f>I12+I15+I18+I25+I26</f>
        <v/>
      </c>
      <c r="J11" s="5" t="n"/>
      <c r="K11" t="inlineStr">
        <is>
          <t>是</t>
        </is>
      </c>
      <c r="M11" t="inlineStr">
        <is>
          <t>05</t>
        </is>
      </c>
    </row>
    <row r="12">
      <c r="A12" s="1" t="inlineStr">
        <is>
          <t>二级</t>
        </is>
      </c>
      <c r="B12" s="1" t="inlineStr">
        <is>
          <t>支出</t>
        </is>
      </c>
      <c r="C12" s="8" t="inlineStr">
        <is>
          <t>E01.05.01</t>
        </is>
      </c>
      <c r="D12" s="1" t="inlineStr">
        <is>
          <t xml:space="preserve">  人力费用（不含IT）</t>
        </is>
      </c>
      <c r="E12" s="5" t="n"/>
      <c r="F12" s="5" t="inlineStr">
        <is>
          <t>E01.90.01.01+E01.90.01.02</t>
        </is>
      </c>
      <c r="G12" s="5" t="n"/>
      <c r="H12" s="5">
        <f>H13+H14</f>
        <v/>
      </c>
      <c r="I12" s="5">
        <f>I13+I14</f>
        <v/>
      </c>
      <c r="J12" s="5" t="n"/>
      <c r="K12" t="inlineStr">
        <is>
          <t>是</t>
        </is>
      </c>
      <c r="M12" t="inlineStr">
        <is>
          <t>05.01</t>
        </is>
      </c>
    </row>
    <row r="13">
      <c r="A13" s="1" t="inlineStr">
        <is>
          <t>三级</t>
        </is>
      </c>
      <c r="B13" s="1" t="inlineStr">
        <is>
          <t>支出</t>
        </is>
      </c>
      <c r="C13" s="9" t="inlineStr">
        <is>
          <t>E01.05.01.01</t>
        </is>
      </c>
      <c r="D13" s="1" t="inlineStr">
        <is>
          <t xml:space="preserve">    常规人力</t>
        </is>
      </c>
      <c r="E13" s="5" t="n"/>
      <c r="F13" s="5" t="inlineStr">
        <is>
          <t>E01.90.01.01.01+E01.90.01.01.02+E01.90.01.01.03+E01.90.01.01.04.001+E01.90.01.01.05.001</t>
        </is>
      </c>
      <c r="G13" s="5" t="n"/>
      <c r="H13" s="5" t="n"/>
      <c r="I13" s="5" t="n"/>
      <c r="J13" s="5" t="n"/>
      <c r="K13" t="inlineStr">
        <is>
          <t>是</t>
        </is>
      </c>
      <c r="M13" t="inlineStr">
        <is>
          <t>05.01.01</t>
        </is>
      </c>
    </row>
    <row r="14">
      <c r="A14" s="1" t="inlineStr">
        <is>
          <t>三级</t>
        </is>
      </c>
      <c r="B14" s="1" t="inlineStr">
        <is>
          <t>支出</t>
        </is>
      </c>
      <c r="C14" s="9" t="inlineStr">
        <is>
          <t>E01.05.01.02</t>
        </is>
      </c>
      <c r="D14" s="1" t="inlineStr">
        <is>
          <t xml:space="preserve">    特别人力</t>
        </is>
      </c>
      <c r="E14" s="5" t="n"/>
      <c r="F14" s="5" t="inlineStr">
        <is>
          <t>E01.90.01.02.01+E01.90.01.02.02+E01.90.01.02.03+E01.90.01.02.04.001+E01.90.01.02.05.001</t>
        </is>
      </c>
      <c r="G14" s="5" t="n"/>
      <c r="H14" s="5" t="n"/>
      <c r="I14" s="5" t="n"/>
      <c r="J14" s="5" t="n"/>
      <c r="K14" t="inlineStr">
        <is>
          <t>是</t>
        </is>
      </c>
      <c r="M14" t="inlineStr">
        <is>
          <t>05.01.02</t>
        </is>
      </c>
    </row>
    <row r="15">
      <c r="A15" s="1" t="inlineStr">
        <is>
          <t>二级</t>
        </is>
      </c>
      <c r="B15" s="1" t="inlineStr">
        <is>
          <t>支出</t>
        </is>
      </c>
      <c r="C15" s="8" t="inlineStr">
        <is>
          <t>E01.05.02</t>
        </is>
      </c>
      <c r="D15" s="1" t="inlineStr">
        <is>
          <t xml:space="preserve">  业务费用</t>
        </is>
      </c>
      <c r="E15" s="5" t="n"/>
      <c r="F15" s="5" t="inlineStr">
        <is>
          <t>E01.90.02.01+E01.90.02.02+E01.90.02.09</t>
        </is>
      </c>
      <c r="G15" s="5" t="n"/>
      <c r="H15" s="5">
        <f>H16+H17</f>
        <v/>
      </c>
      <c r="I15" s="5">
        <f>I16+I17</f>
        <v/>
      </c>
      <c r="J15" s="5" t="n"/>
      <c r="K15" t="inlineStr">
        <is>
          <t>是</t>
        </is>
      </c>
      <c r="M15" t="inlineStr">
        <is>
          <t>05.02</t>
        </is>
      </c>
    </row>
    <row r="16">
      <c r="A16" s="1" t="inlineStr">
        <is>
          <t>三级</t>
        </is>
      </c>
      <c r="B16" s="1" t="inlineStr">
        <is>
          <t>支出</t>
        </is>
      </c>
      <c r="C16" s="9" t="inlineStr">
        <is>
          <t>E01.05.02.01</t>
        </is>
      </c>
      <c r="D16" s="1" t="inlineStr">
        <is>
          <t xml:space="preserve">    营销费用</t>
        </is>
      </c>
      <c r="E16" s="5" t="n"/>
      <c r="F16" s="5" t="n"/>
      <c r="G16" s="5" t="n"/>
      <c r="H16" s="5" t="n"/>
      <c r="I16" s="5" t="n"/>
      <c r="J16" s="5" t="n"/>
      <c r="K16" t="inlineStr">
        <is>
          <t>是</t>
        </is>
      </c>
      <c r="M16" t="inlineStr">
        <is>
          <t>05.02.01</t>
        </is>
      </c>
      <c r="P16" t="inlineStr">
        <is>
          <t>SUM</t>
        </is>
      </c>
    </row>
    <row r="17">
      <c r="A17" s="1" t="inlineStr">
        <is>
          <t>三级</t>
        </is>
      </c>
      <c r="B17" s="1" t="inlineStr">
        <is>
          <t>支出</t>
        </is>
      </c>
      <c r="C17" s="9" t="inlineStr">
        <is>
          <t>E01.05.02.02</t>
        </is>
      </c>
      <c r="D17" s="1" t="inlineStr">
        <is>
          <t xml:space="preserve">    运营费用</t>
        </is>
      </c>
      <c r="E17" s="5" t="n"/>
      <c r="F17" s="5" t="n"/>
      <c r="G17" s="5" t="n"/>
      <c r="H17" s="5" t="n"/>
      <c r="I17" s="5" t="n"/>
      <c r="J17" s="5" t="n"/>
      <c r="K17" t="inlineStr">
        <is>
          <t>是</t>
        </is>
      </c>
      <c r="M17" t="inlineStr">
        <is>
          <t>05.02.02</t>
        </is>
      </c>
      <c r="P17" t="inlineStr">
        <is>
          <t>SUM</t>
        </is>
      </c>
    </row>
    <row r="18">
      <c r="A18" s="1" t="inlineStr">
        <is>
          <t>二级</t>
        </is>
      </c>
      <c r="B18" s="1" t="inlineStr">
        <is>
          <t>支出</t>
        </is>
      </c>
      <c r="C18" s="8" t="inlineStr">
        <is>
          <t>E01.05.03</t>
        </is>
      </c>
      <c r="D18" s="1" t="inlineStr">
        <is>
          <t xml:space="preserve">  IT费用</t>
        </is>
      </c>
      <c r="E18" s="5" t="n"/>
      <c r="F18" s="5" t="inlineStr">
        <is>
          <t>E01.90.03.01+E01.90.03.02+E01.90.03.03+E01.90.03.04</t>
        </is>
      </c>
      <c r="G18" s="5" t="n"/>
      <c r="H18" s="5">
        <f>H19+H22+H23+H24</f>
        <v/>
      </c>
      <c r="I18" s="5">
        <f>I19+I22+I23+I24</f>
        <v/>
      </c>
      <c r="J18" s="5" t="n"/>
      <c r="K18" t="inlineStr">
        <is>
          <t>是</t>
        </is>
      </c>
      <c r="M18" t="inlineStr">
        <is>
          <t>05.03</t>
        </is>
      </c>
    </row>
    <row r="19">
      <c r="A19" s="1" t="inlineStr">
        <is>
          <t>三级</t>
        </is>
      </c>
      <c r="B19" s="1" t="inlineStr">
        <is>
          <t>支出</t>
        </is>
      </c>
      <c r="C19" s="9" t="inlineStr">
        <is>
          <t>E01.05.03.01</t>
        </is>
      </c>
      <c r="D19" s="1" t="inlineStr">
        <is>
          <t xml:space="preserve">    IT人力</t>
        </is>
      </c>
      <c r="E19" s="5" t="n"/>
      <c r="F19" s="5" t="inlineStr">
        <is>
          <t>E01.90.03.01.01+E01.90.03.01.02</t>
        </is>
      </c>
      <c r="G19" s="5" t="n"/>
      <c r="H19" s="5">
        <f>H20+H21</f>
        <v/>
      </c>
      <c r="I19" s="5">
        <f>I20+I21</f>
        <v/>
      </c>
      <c r="J19" s="5" t="n"/>
      <c r="K19" t="inlineStr">
        <is>
          <t>是</t>
        </is>
      </c>
      <c r="M19" t="inlineStr">
        <is>
          <t>05.03.01</t>
        </is>
      </c>
    </row>
    <row r="20">
      <c r="A20" s="1" t="inlineStr">
        <is>
          <t>四级</t>
        </is>
      </c>
      <c r="B20" s="1" t="inlineStr">
        <is>
          <t>支出</t>
        </is>
      </c>
      <c r="C20" s="9" t="inlineStr">
        <is>
          <t>E01.05.03.01.01</t>
        </is>
      </c>
      <c r="D20" s="1" t="inlineStr">
        <is>
          <t xml:space="preserve">      IT常规人力</t>
        </is>
      </c>
      <c r="E20" s="5" t="n"/>
      <c r="F20" s="5" t="n"/>
      <c r="G20" s="5" t="n"/>
      <c r="H20" s="5" t="n"/>
      <c r="I20" s="5" t="n"/>
      <c r="J20" s="5" t="n"/>
      <c r="K20" t="inlineStr">
        <is>
          <t>是</t>
        </is>
      </c>
      <c r="M20" t="inlineStr">
        <is>
          <t>05.03.01.01</t>
        </is>
      </c>
      <c r="P20" t="inlineStr">
        <is>
          <t>SUM</t>
        </is>
      </c>
    </row>
    <row r="21">
      <c r="A21" s="1" t="inlineStr">
        <is>
          <t>四级</t>
        </is>
      </c>
      <c r="B21" s="1" t="inlineStr">
        <is>
          <t>支出</t>
        </is>
      </c>
      <c r="C21" s="9" t="inlineStr">
        <is>
          <t>E01.05.03.01.02</t>
        </is>
      </c>
      <c r="D21" s="1" t="inlineStr">
        <is>
          <t xml:space="preserve">      IT特别人力</t>
        </is>
      </c>
      <c r="E21" s="5" t="n"/>
      <c r="F21" s="5" t="n"/>
      <c r="G21" s="5" t="n"/>
      <c r="H21" s="5" t="n"/>
      <c r="I21" s="5" t="n"/>
      <c r="J21" s="5" t="n"/>
      <c r="K21" t="inlineStr">
        <is>
          <t>是</t>
        </is>
      </c>
      <c r="M21" t="inlineStr">
        <is>
          <t>05.03.01.02</t>
        </is>
      </c>
      <c r="P21" t="inlineStr">
        <is>
          <t>SUM</t>
        </is>
      </c>
    </row>
    <row r="22">
      <c r="A22" s="1" t="inlineStr">
        <is>
          <t>三级</t>
        </is>
      </c>
      <c r="B22" s="1" t="inlineStr">
        <is>
          <t>支出</t>
        </is>
      </c>
      <c r="C22" s="9" t="inlineStr">
        <is>
          <t>E01.05.03.02</t>
        </is>
      </c>
      <c r="D22" s="1" t="inlineStr">
        <is>
          <t xml:space="preserve">    科技费用</t>
        </is>
      </c>
      <c r="E22" s="5" t="n"/>
      <c r="F22" s="5" t="n"/>
      <c r="G22" s="5" t="n"/>
      <c r="H22" s="5" t="n"/>
      <c r="I22" s="5" t="n"/>
      <c r="J22" s="5" t="n"/>
      <c r="K22" t="inlineStr">
        <is>
          <t>是</t>
        </is>
      </c>
      <c r="M22" t="inlineStr">
        <is>
          <t>05.03.02</t>
        </is>
      </c>
      <c r="P22" t="inlineStr">
        <is>
          <t>SUM</t>
        </is>
      </c>
    </row>
    <row r="23">
      <c r="A23" s="1" t="inlineStr">
        <is>
          <t>三级</t>
        </is>
      </c>
      <c r="B23" s="1" t="inlineStr">
        <is>
          <t>支出</t>
        </is>
      </c>
      <c r="C23" s="9" t="inlineStr">
        <is>
          <t>E01.05.03.03</t>
        </is>
      </c>
      <c r="D23" s="1" t="inlineStr">
        <is>
          <t xml:space="preserve">    IT职场</t>
        </is>
      </c>
      <c r="E23" s="5" t="n"/>
      <c r="F23" s="5" t="n"/>
      <c r="G23" s="5" t="n"/>
      <c r="H23" s="5" t="n"/>
      <c r="I23" s="5" t="n"/>
      <c r="J23" s="5" t="n"/>
      <c r="K23" t="inlineStr">
        <is>
          <t>是</t>
        </is>
      </c>
      <c r="M23" t="inlineStr">
        <is>
          <t>05.03.03</t>
        </is>
      </c>
      <c r="P23" t="inlineStr">
        <is>
          <t>SUM</t>
        </is>
      </c>
    </row>
    <row r="24">
      <c r="A24" s="1" t="inlineStr">
        <is>
          <t>三级</t>
        </is>
      </c>
      <c r="B24" s="1" t="inlineStr">
        <is>
          <t>支出</t>
        </is>
      </c>
      <c r="C24" s="9" t="inlineStr">
        <is>
          <t>E01.05.03.04</t>
        </is>
      </c>
      <c r="D24" s="1" t="inlineStr">
        <is>
          <t xml:space="preserve">    IT日常</t>
        </is>
      </c>
      <c r="E24" s="5" t="n"/>
      <c r="F24" s="5" t="n"/>
      <c r="G24" s="5" t="n"/>
      <c r="H24" s="5" t="n"/>
      <c r="I24" s="5" t="n"/>
      <c r="J24" s="5" t="n"/>
      <c r="K24" t="inlineStr">
        <is>
          <t>是</t>
        </is>
      </c>
      <c r="M24" t="inlineStr">
        <is>
          <t>05.03.04</t>
        </is>
      </c>
      <c r="P24" t="inlineStr">
        <is>
          <t>SUM</t>
        </is>
      </c>
    </row>
    <row r="25">
      <c r="A25" s="1" t="inlineStr">
        <is>
          <t>二级</t>
        </is>
      </c>
      <c r="B25" s="1" t="inlineStr">
        <is>
          <t>支出</t>
        </is>
      </c>
      <c r="C25" s="8" t="inlineStr">
        <is>
          <t>E01.05.04</t>
        </is>
      </c>
      <c r="D25" s="1" t="inlineStr">
        <is>
          <t xml:space="preserve">  职场费用</t>
        </is>
      </c>
      <c r="E25" s="5" t="n"/>
      <c r="F25" s="5" t="n"/>
      <c r="G25" s="5" t="n"/>
      <c r="H25" s="5" t="n"/>
      <c r="I25" s="5" t="n"/>
      <c r="J25" s="5" t="n"/>
      <c r="K25" t="inlineStr">
        <is>
          <t>是</t>
        </is>
      </c>
      <c r="M25" t="inlineStr">
        <is>
          <t>05.04</t>
        </is>
      </c>
      <c r="P25" t="inlineStr">
        <is>
          <t>SUM</t>
        </is>
      </c>
    </row>
    <row r="26">
      <c r="A26" s="1" t="inlineStr">
        <is>
          <t>二级</t>
        </is>
      </c>
      <c r="B26" s="1" t="inlineStr">
        <is>
          <t>支出</t>
        </is>
      </c>
      <c r="C26" s="8" t="inlineStr">
        <is>
          <t>E01.05.05</t>
        </is>
      </c>
      <c r="D26" s="1" t="inlineStr">
        <is>
          <t xml:space="preserve">  日常费用</t>
        </is>
      </c>
      <c r="E26" s="5" t="n"/>
      <c r="F26" s="5" t="n"/>
      <c r="G26" s="5" t="n"/>
      <c r="H26" s="5" t="n"/>
      <c r="I26" s="5" t="n"/>
      <c r="J26" s="5" t="n"/>
      <c r="K26" t="inlineStr">
        <is>
          <t>是</t>
        </is>
      </c>
      <c r="M26" t="inlineStr">
        <is>
          <t>05.05</t>
        </is>
      </c>
      <c r="P26" t="inlineStr">
        <is>
          <t>SUM</t>
        </is>
      </c>
    </row>
    <row r="27">
      <c r="A27" s="7" t="inlineStr">
        <is>
          <t>一级</t>
        </is>
      </c>
      <c r="B27" s="1" t="inlineStr">
        <is>
          <t>收入</t>
        </is>
      </c>
      <c r="C27" s="8" t="inlineStr">
        <is>
          <t>E01.06</t>
        </is>
      </c>
      <c r="D27" s="7" t="inlineStr">
        <is>
          <t>加：营业外净收入</t>
        </is>
      </c>
      <c r="E27" s="5" t="n"/>
      <c r="F27" s="5" t="n"/>
      <c r="G27" s="5" t="n"/>
      <c r="H27" s="5" t="n"/>
      <c r="I27" s="5" t="n"/>
      <c r="J27" s="5" t="n"/>
      <c r="M27" t="inlineStr">
        <is>
          <t>06</t>
        </is>
      </c>
      <c r="P27" t="inlineStr">
        <is>
          <t>SUM</t>
        </is>
      </c>
    </row>
    <row r="28">
      <c r="A28" s="7" t="inlineStr">
        <is>
          <t>一级</t>
        </is>
      </c>
      <c r="B28" s="1" t="inlineStr">
        <is>
          <t>利润</t>
        </is>
      </c>
      <c r="C28" s="8" t="inlineStr">
        <is>
          <t>E01.07</t>
        </is>
      </c>
      <c r="D28" s="7" t="inlineStr">
        <is>
          <t>分摊前利润</t>
        </is>
      </c>
      <c r="E28" s="5" t="n"/>
      <c r="F28" s="5" t="inlineStr">
        <is>
          <t>E01.03-E01.04-E01.90+E01.06</t>
        </is>
      </c>
      <c r="G28" s="5" t="n"/>
      <c r="H28" s="5">
        <f>H9-H10-H11+H27</f>
        <v/>
      </c>
      <c r="I28" s="5">
        <f>I9-I10-I11+I27</f>
        <v/>
      </c>
      <c r="J28" s="5" t="n"/>
      <c r="M28" t="inlineStr">
        <is>
          <t>07</t>
        </is>
      </c>
    </row>
    <row r="29">
      <c r="A29" s="7" t="inlineStr">
        <is>
          <t>一级</t>
        </is>
      </c>
      <c r="B29" s="1" t="inlineStr">
        <is>
          <t>支出</t>
        </is>
      </c>
      <c r="C29" s="8" t="inlineStr">
        <is>
          <t>E01.08</t>
        </is>
      </c>
      <c r="D29" s="7" t="inlineStr">
        <is>
          <t>减：固定管理费</t>
        </is>
      </c>
      <c r="E29" s="5" t="n"/>
      <c r="F29" s="5" t="n"/>
      <c r="G29" s="5" t="n"/>
      <c r="H29" s="5" t="n"/>
      <c r="I29" s="5" t="n"/>
      <c r="J29" s="5" t="n"/>
      <c r="M29" t="inlineStr">
        <is>
          <t>08</t>
        </is>
      </c>
      <c r="P29" t="inlineStr">
        <is>
          <t>SUM</t>
        </is>
      </c>
    </row>
    <row r="30">
      <c r="A30" s="7" t="inlineStr">
        <is>
          <t>一级</t>
        </is>
      </c>
      <c r="B30" s="1" t="inlineStr">
        <is>
          <t>利润</t>
        </is>
      </c>
      <c r="C30" s="8" t="inlineStr">
        <is>
          <t>E01.09</t>
        </is>
      </c>
      <c r="D30" s="7" t="inlineStr">
        <is>
          <t>税前利润</t>
        </is>
      </c>
      <c r="E30" s="5" t="n"/>
      <c r="F30" s="5" t="inlineStr">
        <is>
          <t>E01.07-E01.08</t>
        </is>
      </c>
      <c r="G30" s="5" t="n"/>
      <c r="H30" s="5">
        <f>H28-H29</f>
        <v/>
      </c>
      <c r="I30" s="5">
        <f>I28-I29</f>
        <v/>
      </c>
      <c r="J30" s="5" t="n"/>
      <c r="M30" t="inlineStr">
        <is>
          <t>09</t>
        </is>
      </c>
    </row>
    <row r="31">
      <c r="A31" s="10" t="n"/>
      <c r="B31" s="10" t="n"/>
      <c r="C31" s="10" t="n"/>
      <c r="D31" s="10" t="n"/>
      <c r="E31" s="5" t="n"/>
      <c r="F31" s="5" t="n"/>
      <c r="G31" s="5" t="n"/>
      <c r="H31" s="5" t="n"/>
      <c r="I31" s="5" t="n"/>
      <c r="J31" s="5" t="n"/>
    </row>
    <row r="32">
      <c r="A32" s="11" t="inlineStr">
        <is>
          <t>一级</t>
        </is>
      </c>
      <c r="B32" s="11" t="inlineStr">
        <is>
          <t>收入</t>
        </is>
      </c>
      <c r="C32" s="8" t="inlineStr">
        <is>
          <t>E01.18</t>
        </is>
      </c>
      <c r="D32" s="11" t="inlineStr">
        <is>
          <t>手续费收入</t>
        </is>
      </c>
      <c r="E32" s="5" t="n"/>
      <c r="F32" s="5" t="inlineStr">
        <is>
          <t>E01.18.99</t>
        </is>
      </c>
      <c r="G32" s="5" t="n"/>
      <c r="H32" s="5">
        <f>H33</f>
        <v/>
      </c>
      <c r="I32" s="5">
        <f>I33</f>
        <v/>
      </c>
      <c r="J32" s="5" t="n"/>
      <c r="M32" t="inlineStr">
        <is>
          <t>18</t>
        </is>
      </c>
    </row>
    <row r="33">
      <c r="A33" s="11" t="inlineStr">
        <is>
          <t>二级</t>
        </is>
      </c>
      <c r="B33" s="11" t="inlineStr">
        <is>
          <t>收入</t>
        </is>
      </c>
      <c r="C33" s="8" t="inlineStr">
        <is>
          <t>E01.18.99</t>
        </is>
      </c>
      <c r="D33" s="11" t="inlineStr">
        <is>
          <t xml:space="preserve">  手续费收入</t>
        </is>
      </c>
      <c r="E33" s="5" t="n"/>
      <c r="F33" s="5" t="n"/>
      <c r="G33" s="5" t="n"/>
      <c r="H33" s="5" t="n"/>
      <c r="I33" s="5" t="n"/>
      <c r="J33" s="5" t="n"/>
      <c r="M33" t="inlineStr">
        <is>
          <t>18.99</t>
        </is>
      </c>
      <c r="P33" t="inlineStr">
        <is>
          <t>SUM</t>
        </is>
      </c>
    </row>
    <row r="34">
      <c r="A34" s="1" t="n"/>
      <c r="B34" s="1" t="n"/>
      <c r="C34" s="9" t="n"/>
      <c r="D34" s="1" t="n"/>
      <c r="E34" s="5" t="n"/>
      <c r="F34" s="5" t="n"/>
      <c r="G34" s="5" t="n"/>
      <c r="H34" s="5" t="n"/>
      <c r="I34" s="5" t="n"/>
      <c r="J34" s="5" t="n"/>
    </row>
    <row r="35">
      <c r="A35" s="11" t="inlineStr">
        <is>
          <t>一级</t>
        </is>
      </c>
      <c r="B35" s="11" t="inlineStr">
        <is>
          <t>支出</t>
        </is>
      </c>
      <c r="C35" s="8" t="inlineStr">
        <is>
          <t>E01.19</t>
        </is>
      </c>
      <c r="D35" s="11" t="inlineStr">
        <is>
          <t>手续费支出</t>
        </is>
      </c>
      <c r="E35" s="5" t="n"/>
      <c r="F35" s="5" t="inlineStr">
        <is>
          <t>E01.19.99</t>
        </is>
      </c>
      <c r="G35" s="5" t="n"/>
      <c r="H35" s="5">
        <f>H36</f>
        <v/>
      </c>
      <c r="I35" s="5">
        <f>I36</f>
        <v/>
      </c>
      <c r="J35" s="5" t="n"/>
      <c r="M35" t="inlineStr">
        <is>
          <t>19</t>
        </is>
      </c>
    </row>
    <row r="36">
      <c r="A36" s="11" t="inlineStr">
        <is>
          <t>二级</t>
        </is>
      </c>
      <c r="B36" s="11" t="inlineStr">
        <is>
          <t>支出</t>
        </is>
      </c>
      <c r="C36" s="8" t="inlineStr">
        <is>
          <t>E01.19.99</t>
        </is>
      </c>
      <c r="D36" s="11" t="inlineStr">
        <is>
          <t xml:space="preserve">  手续费支出</t>
        </is>
      </c>
      <c r="E36" s="5" t="n"/>
      <c r="F36" s="5" t="n"/>
      <c r="G36" s="5" t="n"/>
      <c r="H36" s="5" t="n"/>
      <c r="I36" s="5" t="n"/>
      <c r="J36" s="5" t="n"/>
      <c r="M36" t="inlineStr">
        <is>
          <t>19.99</t>
        </is>
      </c>
      <c r="P36" t="inlineStr">
        <is>
          <t>SUM</t>
        </is>
      </c>
    </row>
    <row r="37">
      <c r="A37" s="10" t="n"/>
      <c r="B37" s="10" t="n"/>
      <c r="C37" s="10" t="n"/>
      <c r="D37" s="10" t="n"/>
      <c r="E37" s="5" t="n"/>
      <c r="F37" s="5" t="n"/>
      <c r="G37" s="5" t="n"/>
      <c r="H37" s="5" t="n"/>
      <c r="I37" s="5" t="n"/>
      <c r="J37" s="5" t="n"/>
    </row>
    <row r="38">
      <c r="A38" s="11" t="inlineStr">
        <is>
          <t>一级</t>
        </is>
      </c>
      <c r="B38" s="11" t="inlineStr">
        <is>
          <t>收入</t>
        </is>
      </c>
      <c r="C38" s="11" t="inlineStr">
        <is>
          <t>E01.20</t>
        </is>
      </c>
      <c r="D38" s="11" t="inlineStr">
        <is>
          <t>其他外部营收</t>
        </is>
      </c>
      <c r="E38" s="5" t="n"/>
      <c r="F38" s="5" t="n"/>
      <c r="G38" s="5" t="n"/>
      <c r="H38" s="5" t="n"/>
      <c r="I38" s="5" t="n"/>
      <c r="J38" s="5" t="n"/>
      <c r="M38" t="inlineStr">
        <is>
          <t>20</t>
        </is>
      </c>
      <c r="P38" t="inlineStr">
        <is>
          <t>SUM</t>
        </is>
      </c>
    </row>
    <row r="39">
      <c r="A39" s="10" t="n"/>
      <c r="B39" s="10" t="n"/>
      <c r="C39" s="10" t="n"/>
      <c r="D39" s="10" t="n"/>
      <c r="E39" s="5" t="n"/>
      <c r="F39" s="5" t="n"/>
      <c r="G39" s="5" t="n"/>
      <c r="H39" s="5" t="n"/>
      <c r="I39" s="5" t="n"/>
      <c r="J39" s="5" t="n"/>
    </row>
    <row r="40">
      <c r="A40" s="11" t="inlineStr">
        <is>
          <t>一级</t>
        </is>
      </c>
      <c r="B40" s="11" t="inlineStr">
        <is>
          <t>收入</t>
        </is>
      </c>
      <c r="C40" s="11" t="inlineStr">
        <is>
          <t>E01.21</t>
        </is>
      </c>
      <c r="D40" s="11" t="inlineStr">
        <is>
          <t>内部营业净收入</t>
        </is>
      </c>
      <c r="E40" s="5" t="n"/>
      <c r="F40" s="5" t="n"/>
      <c r="G40" s="5" t="n"/>
      <c r="H40" s="5" t="n"/>
      <c r="I40" s="5" t="n"/>
      <c r="J40" s="5" t="n"/>
      <c r="M40" t="inlineStr">
        <is>
          <t>21</t>
        </is>
      </c>
      <c r="P40" t="inlineStr">
        <is>
          <t>SUM</t>
        </is>
      </c>
    </row>
    <row r="41">
      <c r="A41" s="11" t="n"/>
      <c r="B41" s="11" t="n"/>
      <c r="C41" s="8" t="n"/>
      <c r="D41" s="11" t="n"/>
    </row>
    <row r="42">
      <c r="A42" s="10" t="n"/>
      <c r="B42" s="10" t="n"/>
      <c r="C42" s="9" t="n"/>
      <c r="D42" s="10" t="n"/>
    </row>
    <row r="43">
      <c r="A43" s="10" t="n"/>
      <c r="B43" s="10" t="n"/>
      <c r="C43" s="10" t="n"/>
      <c r="D43" s="10" t="n"/>
    </row>
    <row r="44">
      <c r="A44" s="11" t="n"/>
      <c r="B44" s="11" t="n"/>
      <c r="C44" s="8" t="n"/>
      <c r="D44" s="11" t="n"/>
    </row>
    <row r="45">
      <c r="A45" s="10" t="n"/>
      <c r="B45" s="10" t="n"/>
      <c r="C45" s="10" t="n"/>
      <c r="D45" s="10" t="n"/>
    </row>
    <row r="46">
      <c r="A46" s="11" t="n"/>
      <c r="B46" s="11" t="n"/>
      <c r="C46" s="11" t="n"/>
      <c r="D46" s="11" t="n"/>
    </row>
    <row r="47"/>
    <row r="48">
      <c r="A48" t="inlineStr">
        <is>
          <t>层级</t>
        </is>
      </c>
      <c r="B48" t="inlineStr">
        <is>
          <t>性质</t>
        </is>
      </c>
      <c r="C48" t="inlineStr">
        <is>
          <t>科目代码</t>
        </is>
      </c>
      <c r="D48" t="inlineStr">
        <is>
          <t>科目名称</t>
        </is>
      </c>
      <c r="E48" t="inlineStr">
        <is>
          <t>录入粒度</t>
        </is>
      </c>
      <c r="F48" t="inlineStr">
        <is>
          <t>年预算公式</t>
        </is>
      </c>
      <c r="J48" t="inlineStr">
        <is>
          <t>公式说明</t>
        </is>
      </c>
      <c r="K48" t="inlineStr">
        <is>
          <t>横向汇总</t>
        </is>
      </c>
    </row>
    <row r="49">
      <c r="A49" t="inlineStr">
        <is>
          <t>一级</t>
        </is>
      </c>
      <c r="B49" t="inlineStr">
        <is>
          <t>支出</t>
        </is>
      </c>
      <c r="C49" t="inlineStr">
        <is>
          <t>E01.90</t>
        </is>
      </c>
      <c r="D49" t="inlineStr">
        <is>
          <t>减:业务及管理费</t>
        </is>
      </c>
      <c r="F49" t="inlineStr">
        <is>
          <t>E01.90.01+E01.90.03</t>
        </is>
      </c>
      <c r="K49" t="inlineStr">
        <is>
          <t>是</t>
        </is>
      </c>
      <c r="M49" t="inlineStr">
        <is>
          <t>05</t>
        </is>
      </c>
    </row>
    <row r="50">
      <c r="A50" t="inlineStr">
        <is>
          <t>二级</t>
        </is>
      </c>
      <c r="B50" t="inlineStr">
        <is>
          <t>支出</t>
        </is>
      </c>
      <c r="C50" t="inlineStr">
        <is>
          <t>E01.90.01</t>
        </is>
      </c>
      <c r="D50" t="inlineStr">
        <is>
          <t>直接费用</t>
        </is>
      </c>
      <c r="F50" t="inlineStr">
        <is>
          <t>E01.90.01.01+E01.90.01.02</t>
        </is>
      </c>
      <c r="K50" t="inlineStr">
        <is>
          <t>是</t>
        </is>
      </c>
      <c r="M50" t="inlineStr">
        <is>
          <t>05.01</t>
        </is>
      </c>
    </row>
    <row r="51">
      <c r="A51" t="inlineStr">
        <is>
          <t>三级</t>
        </is>
      </c>
      <c r="B51" t="inlineStr">
        <is>
          <t>支出</t>
        </is>
      </c>
      <c r="C51" t="inlineStr">
        <is>
          <t>E01.90.01.01</t>
        </is>
      </c>
      <c r="D51" t="inlineStr">
        <is>
          <t>直接费用</t>
        </is>
      </c>
      <c r="F51" t="inlineStr">
        <is>
          <t>E01.90.01.01.01+E01.90.01.01.02+E01.90.01.01.03+E01.90.01.01.04.001+E01.90.01.01.05.001</t>
        </is>
      </c>
      <c r="K51" t="inlineStr">
        <is>
          <t>是</t>
        </is>
      </c>
      <c r="M51" t="inlineStr">
        <is>
          <t>05.01.01</t>
        </is>
      </c>
    </row>
    <row r="52">
      <c r="A52" t="inlineStr">
        <is>
          <t>四级</t>
        </is>
      </c>
      <c r="B52" t="inlineStr">
        <is>
          <t>支出</t>
        </is>
      </c>
      <c r="C52" t="inlineStr">
        <is>
          <t>E01.90.01.01.01</t>
        </is>
      </c>
      <c r="D52" t="inlineStr">
        <is>
          <t>人力（不含IT)</t>
        </is>
      </c>
      <c r="F52" t="inlineStr">
        <is>
          <t>E01.90.01.01.01.001+E01.90.01.01.01.002</t>
        </is>
      </c>
      <c r="K52" t="inlineStr">
        <is>
          <t>是</t>
        </is>
      </c>
      <c r="M52" t="inlineStr">
        <is>
          <t>05.01.01.01</t>
        </is>
      </c>
    </row>
    <row r="53">
      <c r="A53" t="inlineStr">
        <is>
          <t>五级</t>
        </is>
      </c>
      <c r="B53" t="inlineStr">
        <is>
          <t>支出</t>
        </is>
      </c>
      <c r="C53" t="inlineStr">
        <is>
          <t>E01.90.01.01.01.001</t>
        </is>
      </c>
      <c r="D53" t="inlineStr">
        <is>
          <t>业务人力</t>
        </is>
      </c>
      <c r="K53" t="inlineStr">
        <is>
          <t>是</t>
        </is>
      </c>
      <c r="M53" t="inlineStr">
        <is>
          <t>05.01.01.01.001</t>
        </is>
      </c>
      <c r="N53" t="inlineStr">
        <is>
          <t>SUM</t>
        </is>
      </c>
    </row>
    <row r="54">
      <c r="A54" t="inlineStr">
        <is>
          <t>五级</t>
        </is>
      </c>
      <c r="B54" t="inlineStr">
        <is>
          <t>支出</t>
        </is>
      </c>
      <c r="C54" t="inlineStr">
        <is>
          <t>E01.90.01.01.01.002</t>
        </is>
      </c>
      <c r="D54" t="inlineStr">
        <is>
          <t>特别人力</t>
        </is>
      </c>
      <c r="K54" t="inlineStr">
        <is>
          <t>是</t>
        </is>
      </c>
      <c r="M54" t="inlineStr">
        <is>
          <t>05.01.01.01.002</t>
        </is>
      </c>
      <c r="N54" t="inlineStr">
        <is>
          <t>SUM</t>
        </is>
      </c>
    </row>
    <row r="55">
      <c r="A55" t="inlineStr">
        <is>
          <t>四级</t>
        </is>
      </c>
      <c r="B55" t="inlineStr">
        <is>
          <t>支出</t>
        </is>
      </c>
      <c r="C55" t="inlineStr">
        <is>
          <t>E01.90.01.01.02</t>
        </is>
      </c>
      <c r="D55" t="inlineStr">
        <is>
          <t>业务费用</t>
        </is>
      </c>
      <c r="F55" t="inlineStr">
        <is>
          <t>E01.90.01.01.02.001+E01.90.01.01.02.002</t>
        </is>
      </c>
      <c r="K55" t="inlineStr">
        <is>
          <t>是</t>
        </is>
      </c>
      <c r="M55" t="inlineStr">
        <is>
          <t>05.01.01.02</t>
        </is>
      </c>
    </row>
    <row r="56">
      <c r="A56" t="inlineStr">
        <is>
          <t>五级</t>
        </is>
      </c>
      <c r="B56" t="inlineStr">
        <is>
          <t>支出</t>
        </is>
      </c>
      <c r="C56" t="inlineStr">
        <is>
          <t>E01.90.01.01.02.001</t>
        </is>
      </c>
      <c r="D56" t="inlineStr">
        <is>
          <t>营销</t>
        </is>
      </c>
      <c r="K56" t="inlineStr">
        <is>
          <t>是</t>
        </is>
      </c>
      <c r="M56" t="inlineStr">
        <is>
          <t>05.01.01.02.001</t>
        </is>
      </c>
      <c r="N56" t="inlineStr">
        <is>
          <t>SUM</t>
        </is>
      </c>
    </row>
    <row r="57">
      <c r="A57" t="inlineStr">
        <is>
          <t>五级</t>
        </is>
      </c>
      <c r="B57" t="inlineStr">
        <is>
          <t>支出</t>
        </is>
      </c>
      <c r="C57" t="inlineStr">
        <is>
          <t>E01.90.01.01.02.002</t>
        </is>
      </c>
      <c r="D57" t="inlineStr">
        <is>
          <t>运营</t>
        </is>
      </c>
      <c r="K57" t="inlineStr">
        <is>
          <t>是</t>
        </is>
      </c>
      <c r="M57" t="inlineStr">
        <is>
          <t>05.01.01.02.002</t>
        </is>
      </c>
      <c r="N57" t="inlineStr">
        <is>
          <t>SUM</t>
        </is>
      </c>
    </row>
    <row r="58">
      <c r="A58" t="inlineStr">
        <is>
          <t>四级</t>
        </is>
      </c>
      <c r="B58" t="inlineStr">
        <is>
          <t>支出</t>
        </is>
      </c>
      <c r="C58" t="inlineStr">
        <is>
          <t>E01.90.01.01.03</t>
        </is>
      </c>
      <c r="D58" t="inlineStr">
        <is>
          <t>IT</t>
        </is>
      </c>
      <c r="F58" t="inlineStr">
        <is>
          <t>E01.90.01.01.03.01+E01.90.01.01.03.02.001+E01.90.01.01.03.03.001+E01.90.01.01.03.04.001</t>
        </is>
      </c>
      <c r="K58" t="inlineStr">
        <is>
          <t>是</t>
        </is>
      </c>
      <c r="M58" t="inlineStr">
        <is>
          <t>05.01.01.03</t>
        </is>
      </c>
    </row>
    <row r="59">
      <c r="A59" t="inlineStr">
        <is>
          <t>五级</t>
        </is>
      </c>
      <c r="B59" t="inlineStr">
        <is>
          <t>支出</t>
        </is>
      </c>
      <c r="C59" t="inlineStr">
        <is>
          <t>E01.90.01.01.03.01</t>
        </is>
      </c>
      <c r="D59" t="inlineStr">
        <is>
          <t>IT人力</t>
        </is>
      </c>
      <c r="F59" t="inlineStr">
        <is>
          <t>E01.90.01.01.03.01.001+E01.90.01.01.03.01.002</t>
        </is>
      </c>
      <c r="K59" t="inlineStr">
        <is>
          <t>是</t>
        </is>
      </c>
      <c r="M59" t="inlineStr">
        <is>
          <t>05.01.01.03.01</t>
        </is>
      </c>
    </row>
    <row r="60">
      <c r="A60" t="inlineStr">
        <is>
          <t>六级</t>
        </is>
      </c>
      <c r="B60" t="inlineStr">
        <is>
          <t>支出</t>
        </is>
      </c>
      <c r="C60" t="inlineStr">
        <is>
          <t>E01.90.01.01.03.01.001</t>
        </is>
      </c>
      <c r="D60" t="inlineStr">
        <is>
          <t>IT常规人力</t>
        </is>
      </c>
      <c r="K60" t="inlineStr">
        <is>
          <t>是</t>
        </is>
      </c>
      <c r="M60" t="inlineStr">
        <is>
          <t>05.01.01.03.01.001</t>
        </is>
      </c>
      <c r="N60" t="inlineStr">
        <is>
          <t>SUM</t>
        </is>
      </c>
    </row>
    <row r="61">
      <c r="A61" t="inlineStr">
        <is>
          <t>六级</t>
        </is>
      </c>
      <c r="B61" t="inlineStr">
        <is>
          <t>支出</t>
        </is>
      </c>
      <c r="C61" t="inlineStr">
        <is>
          <t>E01.90.01.01.03.01.002</t>
        </is>
      </c>
      <c r="D61" t="inlineStr">
        <is>
          <t>IT特别人力</t>
        </is>
      </c>
      <c r="K61" t="inlineStr">
        <is>
          <t>是</t>
        </is>
      </c>
      <c r="M61" t="inlineStr">
        <is>
          <t>05.01.01.03.01.002</t>
        </is>
      </c>
      <c r="N61" t="inlineStr">
        <is>
          <t>SUM</t>
        </is>
      </c>
    </row>
    <row r="62">
      <c r="A62" t="inlineStr">
        <is>
          <t>五级</t>
        </is>
      </c>
      <c r="B62" t="inlineStr">
        <is>
          <t>支出</t>
        </is>
      </c>
      <c r="C62" t="inlineStr">
        <is>
          <t>E01.90.01.01.03.02</t>
        </is>
      </c>
      <c r="D62" t="inlineStr">
        <is>
          <t>科技</t>
        </is>
      </c>
      <c r="K62" t="inlineStr">
        <is>
          <t>是</t>
        </is>
      </c>
      <c r="M62" t="inlineStr">
        <is>
          <t>05.01.01.03.02</t>
        </is>
      </c>
      <c r="N62" t="inlineStr">
        <is>
          <t>SUM</t>
        </is>
      </c>
    </row>
    <row r="63">
      <c r="A63" t="inlineStr">
        <is>
          <t>五级</t>
        </is>
      </c>
      <c r="B63" t="inlineStr">
        <is>
          <t>支出</t>
        </is>
      </c>
      <c r="C63" t="inlineStr">
        <is>
          <t>E01.90.01.01.03.03</t>
        </is>
      </c>
      <c r="D63" t="inlineStr">
        <is>
          <t>IT职场</t>
        </is>
      </c>
      <c r="K63" t="inlineStr">
        <is>
          <t>是</t>
        </is>
      </c>
      <c r="M63" t="inlineStr">
        <is>
          <t>05.01.01.03.03</t>
        </is>
      </c>
      <c r="N63" t="inlineStr">
        <is>
          <t>SUM</t>
        </is>
      </c>
    </row>
    <row r="64">
      <c r="A64" t="inlineStr">
        <is>
          <t>五级</t>
        </is>
      </c>
      <c r="B64" t="inlineStr">
        <is>
          <t>支出</t>
        </is>
      </c>
      <c r="C64" t="inlineStr">
        <is>
          <t>E01.90.01.01.03.04</t>
        </is>
      </c>
      <c r="D64" t="inlineStr">
        <is>
          <t>IT日常</t>
        </is>
      </c>
      <c r="K64" t="inlineStr">
        <is>
          <t>是</t>
        </is>
      </c>
      <c r="M64" t="inlineStr">
        <is>
          <t>05.01.01.03.04</t>
        </is>
      </c>
      <c r="N64" t="inlineStr">
        <is>
          <t>SUM</t>
        </is>
      </c>
    </row>
    <row r="65">
      <c r="A65" t="inlineStr">
        <is>
          <t>四级</t>
        </is>
      </c>
      <c r="B65" t="inlineStr">
        <is>
          <t>支出</t>
        </is>
      </c>
      <c r="C65" t="inlineStr">
        <is>
          <t>E01.90.01.01.04</t>
        </is>
      </c>
      <c r="D65" t="inlineStr">
        <is>
          <t>AA.05.01.01.04</t>
        </is>
      </c>
      <c r="F65" t="inlineStr">
        <is>
          <t>E01.90.01.01.04.001</t>
        </is>
      </c>
      <c r="K65" t="inlineStr">
        <is>
          <t>是</t>
        </is>
      </c>
      <c r="M65" t="inlineStr">
        <is>
          <t>05.01.01.04</t>
        </is>
      </c>
      <c r="N65" t="inlineStr">
        <is>
          <t>SUM</t>
        </is>
      </c>
    </row>
    <row r="66">
      <c r="A66" t="inlineStr">
        <is>
          <t>五级</t>
        </is>
      </c>
      <c r="B66" t="inlineStr">
        <is>
          <t>支出</t>
        </is>
      </c>
      <c r="C66" t="inlineStr">
        <is>
          <t>E01.90.01.01.04.001</t>
        </is>
      </c>
      <c r="D66" t="inlineStr">
        <is>
          <t>职场</t>
        </is>
      </c>
      <c r="K66" t="inlineStr">
        <is>
          <t>是</t>
        </is>
      </c>
      <c r="M66" t="inlineStr">
        <is>
          <t>05.01.01.04.001</t>
        </is>
      </c>
      <c r="N66" t="inlineStr">
        <is>
          <t>SUM</t>
        </is>
      </c>
    </row>
    <row r="67">
      <c r="A67" t="inlineStr">
        <is>
          <t>四级</t>
        </is>
      </c>
      <c r="B67" t="inlineStr">
        <is>
          <t>支出</t>
        </is>
      </c>
      <c r="C67" t="inlineStr">
        <is>
          <t>E01.90.01.01.05</t>
        </is>
      </c>
      <c r="D67" t="inlineStr">
        <is>
          <t>AA.05.01.01.05</t>
        </is>
      </c>
      <c r="F67" t="inlineStr">
        <is>
          <t>E01.90.01.01.05.001</t>
        </is>
      </c>
      <c r="K67" t="inlineStr">
        <is>
          <t>是</t>
        </is>
      </c>
      <c r="M67" t="inlineStr">
        <is>
          <t>05.01.01.05</t>
        </is>
      </c>
      <c r="N67" t="inlineStr">
        <is>
          <t>SUM</t>
        </is>
      </c>
    </row>
    <row r="68">
      <c r="A68" t="inlineStr">
        <is>
          <t>五级</t>
        </is>
      </c>
      <c r="B68" t="inlineStr">
        <is>
          <t>支出</t>
        </is>
      </c>
      <c r="C68" t="inlineStr">
        <is>
          <t>E01.90.01.01.05.001</t>
        </is>
      </c>
      <c r="D68" t="inlineStr">
        <is>
          <t>日常</t>
        </is>
      </c>
      <c r="K68" t="inlineStr">
        <is>
          <t>是</t>
        </is>
      </c>
      <c r="M68" t="inlineStr">
        <is>
          <t>05.01.01.05.001</t>
        </is>
      </c>
      <c r="N68" t="inlineStr">
        <is>
          <t>SUM</t>
        </is>
      </c>
    </row>
    <row r="69">
      <c r="A69" t="inlineStr">
        <is>
          <t>三级</t>
        </is>
      </c>
      <c r="B69" t="inlineStr">
        <is>
          <t>支出</t>
        </is>
      </c>
      <c r="C69" t="inlineStr">
        <is>
          <t>E01.90.01.02</t>
        </is>
      </c>
      <c r="D69" t="inlineStr">
        <is>
          <t>间接费用</t>
        </is>
      </c>
      <c r="F69" t="inlineStr">
        <is>
          <t>E01.90.01.02.01+E01.90.01.02.02+E01.90.01.02.03+E01.90.01.02.04.001+E01.90.01.02.05.001</t>
        </is>
      </c>
      <c r="K69" t="inlineStr">
        <is>
          <t>是</t>
        </is>
      </c>
      <c r="M69" t="inlineStr">
        <is>
          <t>05.01.02</t>
        </is>
      </c>
    </row>
    <row r="70">
      <c r="A70" t="inlineStr">
        <is>
          <t>四级</t>
        </is>
      </c>
      <c r="B70" t="inlineStr">
        <is>
          <t>支出</t>
        </is>
      </c>
      <c r="C70" t="inlineStr">
        <is>
          <t>E01.90.01.02.01</t>
        </is>
      </c>
      <c r="D70" t="inlineStr">
        <is>
          <t>人力（不含IT)</t>
        </is>
      </c>
      <c r="F70" t="inlineStr">
        <is>
          <t>E01.90.01.02.01.001+E01.90.01.02.01.002</t>
        </is>
      </c>
      <c r="K70" t="inlineStr">
        <is>
          <t>是</t>
        </is>
      </c>
      <c r="M70" t="inlineStr">
        <is>
          <t>05.01.02.01</t>
        </is>
      </c>
    </row>
    <row r="71">
      <c r="A71" t="inlineStr">
        <is>
          <t>五级</t>
        </is>
      </c>
      <c r="B71" t="inlineStr">
        <is>
          <t>支出</t>
        </is>
      </c>
      <c r="C71" t="inlineStr">
        <is>
          <t>E01.90.01.02.01.001</t>
        </is>
      </c>
      <c r="D71" t="inlineStr">
        <is>
          <t>业务人力</t>
        </is>
      </c>
      <c r="K71" t="inlineStr">
        <is>
          <t>是</t>
        </is>
      </c>
      <c r="M71" t="inlineStr">
        <is>
          <t>05.01.02.01.001</t>
        </is>
      </c>
      <c r="N71" t="inlineStr">
        <is>
          <t>SUM</t>
        </is>
      </c>
    </row>
    <row r="72">
      <c r="A72" t="inlineStr">
        <is>
          <t>五级</t>
        </is>
      </c>
      <c r="B72" t="inlineStr">
        <is>
          <t>支出</t>
        </is>
      </c>
      <c r="C72" t="inlineStr">
        <is>
          <t>E01.90.01.02.01.002</t>
        </is>
      </c>
      <c r="D72" t="inlineStr">
        <is>
          <t>特别人力</t>
        </is>
      </c>
      <c r="K72" t="inlineStr">
        <is>
          <t>是</t>
        </is>
      </c>
      <c r="M72" t="inlineStr">
        <is>
          <t>05.01.02.01.002</t>
        </is>
      </c>
      <c r="N72" t="inlineStr">
        <is>
          <t>SUM</t>
        </is>
      </c>
    </row>
    <row r="73">
      <c r="A73" t="inlineStr">
        <is>
          <t>四级</t>
        </is>
      </c>
      <c r="B73" t="inlineStr">
        <is>
          <t>支出</t>
        </is>
      </c>
      <c r="C73" t="inlineStr">
        <is>
          <t>E01.90.01.02.02</t>
        </is>
      </c>
      <c r="D73" t="inlineStr">
        <is>
          <t>业务费用</t>
        </is>
      </c>
      <c r="F73" t="inlineStr">
        <is>
          <t>E01.90.01.02.02.001+E01.90.01.02.02.002</t>
        </is>
      </c>
      <c r="K73" t="inlineStr">
        <is>
          <t>是</t>
        </is>
      </c>
      <c r="M73" t="inlineStr">
        <is>
          <t>05.01.02.02</t>
        </is>
      </c>
    </row>
    <row r="74">
      <c r="A74" t="inlineStr">
        <is>
          <t>五级</t>
        </is>
      </c>
      <c r="B74" t="inlineStr">
        <is>
          <t>支出</t>
        </is>
      </c>
      <c r="C74" t="inlineStr">
        <is>
          <t>E01.90.01.02.02.001</t>
        </is>
      </c>
      <c r="D74" t="inlineStr">
        <is>
          <t>营销</t>
        </is>
      </c>
      <c r="K74" t="inlineStr">
        <is>
          <t>是</t>
        </is>
      </c>
      <c r="M74" t="inlineStr">
        <is>
          <t>05.01.02.02.001</t>
        </is>
      </c>
      <c r="N74" t="inlineStr">
        <is>
          <t>SUM</t>
        </is>
      </c>
    </row>
    <row r="75">
      <c r="A75" t="inlineStr">
        <is>
          <t>五级</t>
        </is>
      </c>
      <c r="B75" t="inlineStr">
        <is>
          <t>支出</t>
        </is>
      </c>
      <c r="C75" t="inlineStr">
        <is>
          <t>E01.90.01.02.02.002</t>
        </is>
      </c>
      <c r="D75" t="inlineStr">
        <is>
          <t>运营</t>
        </is>
      </c>
      <c r="K75" t="inlineStr">
        <is>
          <t>是</t>
        </is>
      </c>
      <c r="M75" t="inlineStr">
        <is>
          <t>05.01.02.02.002</t>
        </is>
      </c>
      <c r="N75" t="inlineStr">
        <is>
          <t>SUM</t>
        </is>
      </c>
    </row>
    <row r="76">
      <c r="A76" t="inlineStr">
        <is>
          <t>四级</t>
        </is>
      </c>
      <c r="B76" t="inlineStr">
        <is>
          <t>支出</t>
        </is>
      </c>
      <c r="C76" t="inlineStr">
        <is>
          <t>E01.90.01.02.03</t>
        </is>
      </c>
      <c r="D76" t="inlineStr">
        <is>
          <t>IT</t>
        </is>
      </c>
      <c r="F76" t="inlineStr">
        <is>
          <t>E01.90.01.02.03.01+E01.90.01.02.03.02.001+E01.90.01.02.03.03.001+E01.90.01.02.03.04.001</t>
        </is>
      </c>
      <c r="K76" t="inlineStr">
        <is>
          <t>是</t>
        </is>
      </c>
      <c r="M76" t="inlineStr">
        <is>
          <t>05.01.02.03</t>
        </is>
      </c>
    </row>
    <row r="77">
      <c r="A77" t="inlineStr">
        <is>
          <t>五级</t>
        </is>
      </c>
      <c r="B77" t="inlineStr">
        <is>
          <t>支出</t>
        </is>
      </c>
      <c r="C77" t="inlineStr">
        <is>
          <t>E01.90.01.02.03.01</t>
        </is>
      </c>
      <c r="D77" t="inlineStr">
        <is>
          <t>IT人力</t>
        </is>
      </c>
      <c r="F77" t="inlineStr">
        <is>
          <t>E01.90.01.02.03.01.001+E01.90.01.02.03.01.002</t>
        </is>
      </c>
      <c r="K77" t="inlineStr">
        <is>
          <t>是</t>
        </is>
      </c>
      <c r="M77" t="inlineStr">
        <is>
          <t>05.01.02.03.01</t>
        </is>
      </c>
    </row>
    <row r="78">
      <c r="A78" t="inlineStr">
        <is>
          <t>六级</t>
        </is>
      </c>
      <c r="B78" t="inlineStr">
        <is>
          <t>支出</t>
        </is>
      </c>
      <c r="C78" t="inlineStr">
        <is>
          <t>E01.90.01.02.03.01.001</t>
        </is>
      </c>
      <c r="D78" t="inlineStr">
        <is>
          <t>IT常规人力</t>
        </is>
      </c>
      <c r="K78" t="inlineStr">
        <is>
          <t>是</t>
        </is>
      </c>
      <c r="M78" t="inlineStr">
        <is>
          <t>05.01.02.03.01.001</t>
        </is>
      </c>
      <c r="N78" t="inlineStr">
        <is>
          <t>SUM</t>
        </is>
      </c>
    </row>
    <row r="79">
      <c r="A79" t="inlineStr">
        <is>
          <t>六级</t>
        </is>
      </c>
      <c r="B79" t="inlineStr">
        <is>
          <t>支出</t>
        </is>
      </c>
      <c r="C79" t="inlineStr">
        <is>
          <t>E01.90.01.02.03.01.002</t>
        </is>
      </c>
      <c r="D79" t="inlineStr">
        <is>
          <t>IT特别人力</t>
        </is>
      </c>
      <c r="K79" t="inlineStr">
        <is>
          <t>是</t>
        </is>
      </c>
      <c r="M79" t="inlineStr">
        <is>
          <t>05.01.02.03.01.002</t>
        </is>
      </c>
      <c r="N79" t="inlineStr">
        <is>
          <t>SUM</t>
        </is>
      </c>
    </row>
    <row r="80">
      <c r="A80" t="inlineStr">
        <is>
          <t>五级</t>
        </is>
      </c>
      <c r="B80" t="inlineStr">
        <is>
          <t>支出</t>
        </is>
      </c>
      <c r="C80" t="inlineStr">
        <is>
          <t>E01.90.01.02.03.02</t>
        </is>
      </c>
      <c r="D80" t="inlineStr">
        <is>
          <t>AA.05.01.02.03.02</t>
        </is>
      </c>
      <c r="F80" t="inlineStr">
        <is>
          <t>E01.90.01.02.03.02.001</t>
        </is>
      </c>
      <c r="K80" t="inlineStr">
        <is>
          <t>是</t>
        </is>
      </c>
      <c r="M80" t="inlineStr">
        <is>
          <t>05.01.02.03.02</t>
        </is>
      </c>
      <c r="N80" t="inlineStr">
        <is>
          <t>SUM</t>
        </is>
      </c>
    </row>
    <row r="81">
      <c r="A81" t="inlineStr">
        <is>
          <t>六级</t>
        </is>
      </c>
      <c r="B81" t="inlineStr">
        <is>
          <t>支出</t>
        </is>
      </c>
      <c r="C81" t="inlineStr">
        <is>
          <t>E01.90.01.02.03.02.001</t>
        </is>
      </c>
      <c r="D81" t="inlineStr">
        <is>
          <t>科技</t>
        </is>
      </c>
      <c r="K81" t="inlineStr">
        <is>
          <t>是</t>
        </is>
      </c>
      <c r="M81" t="inlineStr">
        <is>
          <t>05.01.02.03.02.001</t>
        </is>
      </c>
      <c r="N81" t="inlineStr">
        <is>
          <t>SUM</t>
        </is>
      </c>
    </row>
    <row r="82">
      <c r="A82" t="inlineStr">
        <is>
          <t>五级</t>
        </is>
      </c>
      <c r="B82" t="inlineStr">
        <is>
          <t>支出</t>
        </is>
      </c>
      <c r="C82" t="inlineStr">
        <is>
          <t>E01.90.01.02.03.03</t>
        </is>
      </c>
      <c r="D82" t="inlineStr">
        <is>
          <t>AA.05.01.02.03.03</t>
        </is>
      </c>
      <c r="F82" t="inlineStr">
        <is>
          <t>E01.90.01.02.03.03.001</t>
        </is>
      </c>
      <c r="K82" t="inlineStr">
        <is>
          <t>是</t>
        </is>
      </c>
      <c r="M82" t="inlineStr">
        <is>
          <t>05.01.02.03.03</t>
        </is>
      </c>
      <c r="N82" t="inlineStr">
        <is>
          <t>SUM</t>
        </is>
      </c>
    </row>
    <row r="83">
      <c r="A83" t="inlineStr">
        <is>
          <t>六级</t>
        </is>
      </c>
      <c r="B83" t="inlineStr">
        <is>
          <t>支出</t>
        </is>
      </c>
      <c r="C83" t="inlineStr">
        <is>
          <t>E01.90.01.02.03.03.001</t>
        </is>
      </c>
      <c r="D83" t="inlineStr">
        <is>
          <t>IT职场</t>
        </is>
      </c>
      <c r="K83" t="inlineStr">
        <is>
          <t>是</t>
        </is>
      </c>
      <c r="M83" t="inlineStr">
        <is>
          <t>05.01.02.03.03.001</t>
        </is>
      </c>
      <c r="N83" t="inlineStr">
        <is>
          <t>SUM</t>
        </is>
      </c>
    </row>
    <row r="84">
      <c r="A84" t="inlineStr">
        <is>
          <t>五级</t>
        </is>
      </c>
      <c r="B84" t="inlineStr">
        <is>
          <t>支出</t>
        </is>
      </c>
      <c r="C84" t="inlineStr">
        <is>
          <t>E01.90.01.02.03.04</t>
        </is>
      </c>
      <c r="D84" t="inlineStr">
        <is>
          <t>AA.05.01.02.03.04</t>
        </is>
      </c>
      <c r="F84" t="inlineStr">
        <is>
          <t>E01.90.01.02.03.04.001</t>
        </is>
      </c>
      <c r="K84" t="inlineStr">
        <is>
          <t>是</t>
        </is>
      </c>
      <c r="M84" t="inlineStr">
        <is>
          <t>05.01.02.03.04</t>
        </is>
      </c>
      <c r="N84" t="inlineStr">
        <is>
          <t>SUM</t>
        </is>
      </c>
    </row>
    <row r="85">
      <c r="A85" t="inlineStr">
        <is>
          <t>六级</t>
        </is>
      </c>
      <c r="B85" t="inlineStr">
        <is>
          <t>支出</t>
        </is>
      </c>
      <c r="C85" t="inlineStr">
        <is>
          <t>E01.90.01.02.03.04.001</t>
        </is>
      </c>
      <c r="D85" t="inlineStr">
        <is>
          <t>IT日常</t>
        </is>
      </c>
      <c r="K85" t="inlineStr">
        <is>
          <t>是</t>
        </is>
      </c>
      <c r="M85" t="inlineStr">
        <is>
          <t>05.01.02.03.04.001</t>
        </is>
      </c>
      <c r="N85" t="inlineStr">
        <is>
          <t>SUM</t>
        </is>
      </c>
    </row>
    <row r="86">
      <c r="A86" t="inlineStr">
        <is>
          <t>四级</t>
        </is>
      </c>
      <c r="B86" t="inlineStr">
        <is>
          <t>支出</t>
        </is>
      </c>
      <c r="C86" t="inlineStr">
        <is>
          <t>E01.90.01.02.04</t>
        </is>
      </c>
      <c r="D86" t="inlineStr">
        <is>
          <t>AA.05.01.02.04</t>
        </is>
      </c>
      <c r="F86" t="inlineStr">
        <is>
          <t>E01.90.01.02.04.001</t>
        </is>
      </c>
      <c r="K86" t="inlineStr">
        <is>
          <t>是</t>
        </is>
      </c>
      <c r="M86" t="inlineStr">
        <is>
          <t>05.01.02.04</t>
        </is>
      </c>
      <c r="N86" t="inlineStr">
        <is>
          <t>SUM</t>
        </is>
      </c>
    </row>
    <row r="87">
      <c r="A87" t="inlineStr">
        <is>
          <t>五级</t>
        </is>
      </c>
      <c r="B87" t="inlineStr">
        <is>
          <t>支出</t>
        </is>
      </c>
      <c r="C87" t="inlineStr">
        <is>
          <t>E01.90.01.02.04.001</t>
        </is>
      </c>
      <c r="D87" t="inlineStr">
        <is>
          <t>职场</t>
        </is>
      </c>
      <c r="K87" t="inlineStr">
        <is>
          <t>是</t>
        </is>
      </c>
      <c r="M87" t="inlineStr">
        <is>
          <t>05.01.02.04.001</t>
        </is>
      </c>
      <c r="N87" t="inlineStr">
        <is>
          <t>SUM</t>
        </is>
      </c>
    </row>
    <row r="88">
      <c r="A88" t="inlineStr">
        <is>
          <t>四级</t>
        </is>
      </c>
      <c r="B88" t="inlineStr">
        <is>
          <t>支出</t>
        </is>
      </c>
      <c r="C88" t="inlineStr">
        <is>
          <t>E01.90.01.02.05</t>
        </is>
      </c>
      <c r="D88" t="inlineStr">
        <is>
          <t>AA.05.01.02.05</t>
        </is>
      </c>
      <c r="F88" t="inlineStr">
        <is>
          <t>E01.90.01.02.05.001</t>
        </is>
      </c>
      <c r="K88" t="inlineStr">
        <is>
          <t>是</t>
        </is>
      </c>
      <c r="M88" t="inlineStr">
        <is>
          <t>05.01.02.05</t>
        </is>
      </c>
      <c r="N88" t="inlineStr">
        <is>
          <t>SUM</t>
        </is>
      </c>
    </row>
    <row r="89">
      <c r="A89" t="inlineStr">
        <is>
          <t>五级</t>
        </is>
      </c>
      <c r="B89" t="inlineStr">
        <is>
          <t>支出</t>
        </is>
      </c>
      <c r="C89" t="inlineStr">
        <is>
          <t>E01.90.01.02.05.001</t>
        </is>
      </c>
      <c r="D89" t="inlineStr">
        <is>
          <t>日常</t>
        </is>
      </c>
      <c r="K89" t="inlineStr">
        <is>
          <t>是</t>
        </is>
      </c>
      <c r="M89" t="inlineStr">
        <is>
          <t>05.01.02.05.001</t>
        </is>
      </c>
      <c r="N89" t="inlineStr">
        <is>
          <t>SUM</t>
        </is>
      </c>
    </row>
    <row r="90">
      <c r="A90" t="inlineStr">
        <is>
          <t>二级</t>
        </is>
      </c>
      <c r="B90" t="inlineStr">
        <is>
          <t>支出</t>
        </is>
      </c>
      <c r="C90" t="inlineStr">
        <is>
          <t>E01.90.02</t>
        </is>
      </c>
      <c r="D90" t="inlineStr">
        <is>
          <t>业务费用</t>
        </is>
      </c>
      <c r="F90" t="inlineStr">
        <is>
          <t>E01.90.02.01+E01.90.02.02</t>
        </is>
      </c>
      <c r="K90" t="inlineStr">
        <is>
          <t>是</t>
        </is>
      </c>
      <c r="N90" t="inlineStr">
        <is>
          <t>SUM</t>
        </is>
      </c>
    </row>
    <row r="91">
      <c r="A91" t="inlineStr">
        <is>
          <t>三级</t>
        </is>
      </c>
      <c r="B91" t="inlineStr">
        <is>
          <t>支出</t>
        </is>
      </c>
      <c r="C91" t="inlineStr">
        <is>
          <t>E01.90.02.01</t>
        </is>
      </c>
      <c r="D91" t="inlineStr">
        <is>
          <t>营销费用</t>
        </is>
      </c>
      <c r="K91" t="inlineStr">
        <is>
          <t>是</t>
        </is>
      </c>
      <c r="N91" t="inlineStr">
        <is>
          <t>SUM</t>
        </is>
      </c>
    </row>
    <row r="92">
      <c r="A92" t="inlineStr">
        <is>
          <t>三级</t>
        </is>
      </c>
      <c r="B92" t="inlineStr">
        <is>
          <t>支出</t>
        </is>
      </c>
      <c r="C92" t="inlineStr">
        <is>
          <t>E01.90.02.02</t>
        </is>
      </c>
      <c r="D92" t="inlineStr">
        <is>
          <t>运营费用</t>
        </is>
      </c>
      <c r="K92" t="inlineStr">
        <is>
          <t>是</t>
        </is>
      </c>
      <c r="N92" t="inlineStr">
        <is>
          <t>SUM</t>
        </is>
      </c>
    </row>
    <row r="93">
      <c r="A93" t="inlineStr">
        <is>
          <t>二级</t>
        </is>
      </c>
      <c r="B93" t="inlineStr">
        <is>
          <t>支出</t>
        </is>
      </c>
      <c r="C93" t="inlineStr">
        <is>
          <t>E01.90.03</t>
        </is>
      </c>
      <c r="D93" t="inlineStr">
        <is>
          <t>业务支出评估</t>
        </is>
      </c>
      <c r="F93" t="inlineStr">
        <is>
          <t>E01.90.03.09</t>
        </is>
      </c>
      <c r="K93" t="inlineStr">
        <is>
          <t>是</t>
        </is>
      </c>
      <c r="M93" t="inlineStr">
        <is>
          <t>05.02</t>
        </is>
      </c>
    </row>
    <row r="94">
      <c r="A94" t="inlineStr">
        <is>
          <t>三级</t>
        </is>
      </c>
      <c r="B94" t="inlineStr">
        <is>
          <t>支出</t>
        </is>
      </c>
      <c r="C94" t="inlineStr">
        <is>
          <t>E01.90.03.09</t>
        </is>
      </c>
      <c r="D94" t="inlineStr">
        <is>
          <t>客户经营指标</t>
        </is>
      </c>
      <c r="F94" t="inlineStr">
        <is>
          <t>E01.90.03.09.01+E01.90.03.09.02+E01.90.03.09.03</t>
        </is>
      </c>
      <c r="K94" t="inlineStr">
        <is>
          <t>是</t>
        </is>
      </c>
      <c r="M94" t="inlineStr">
        <is>
          <t>05.02.09</t>
        </is>
      </c>
    </row>
    <row r="95">
      <c r="A95" t="inlineStr">
        <is>
          <t>四级</t>
        </is>
      </c>
      <c r="B95" t="inlineStr">
        <is>
          <t>支出</t>
        </is>
      </c>
      <c r="C95" t="inlineStr">
        <is>
          <t>E01.90.03.09.01</t>
        </is>
      </c>
      <c r="D95" t="inlineStr">
        <is>
          <t>客户营销与投入</t>
        </is>
      </c>
      <c r="F95" t="inlineStr">
        <is>
          <t>E01.90.03.09.01.001+E01.90.03.09.01.002+E01.90.03.09.01.003+E01.90.03.09.01.004</t>
        </is>
      </c>
      <c r="K95" t="inlineStr">
        <is>
          <t>是</t>
        </is>
      </c>
      <c r="M95" t="inlineStr">
        <is>
          <t>05.02.09.01</t>
        </is>
      </c>
    </row>
    <row r="96">
      <c r="A96" t="inlineStr">
        <is>
          <t>五级</t>
        </is>
      </c>
      <c r="B96" t="inlineStr">
        <is>
          <t>支出</t>
        </is>
      </c>
      <c r="C96" t="inlineStr">
        <is>
          <t>E01.90.03.09.01.001</t>
        </is>
      </c>
      <c r="D96" t="inlineStr">
        <is>
          <t>新客营销支出</t>
        </is>
      </c>
      <c r="K96" t="inlineStr">
        <is>
          <t>是</t>
        </is>
      </c>
      <c r="M96" t="inlineStr">
        <is>
          <t>05.02.09.01.001</t>
        </is>
      </c>
      <c r="N96" t="inlineStr">
        <is>
          <t>SUM</t>
        </is>
      </c>
    </row>
    <row r="97">
      <c r="A97" t="inlineStr">
        <is>
          <t>五级</t>
        </is>
      </c>
      <c r="B97" t="inlineStr">
        <is>
          <t>支出</t>
        </is>
      </c>
      <c r="C97" t="inlineStr">
        <is>
          <t>E01.90.03.09.01.002</t>
        </is>
      </c>
      <c r="D97" t="inlineStr">
        <is>
          <t>存客营销支出</t>
        </is>
      </c>
      <c r="K97" t="inlineStr">
        <is>
          <t>是</t>
        </is>
      </c>
      <c r="M97" t="inlineStr">
        <is>
          <t>05.02.09.01.002</t>
        </is>
      </c>
      <c r="N97" t="inlineStr">
        <is>
          <t>SUM</t>
        </is>
      </c>
    </row>
    <row r="98">
      <c r="A98" t="inlineStr">
        <is>
          <t>五级</t>
        </is>
      </c>
      <c r="B98" t="inlineStr">
        <is>
          <t>支出</t>
        </is>
      </c>
      <c r="C98" t="inlineStr">
        <is>
          <t>E01.90.03.09.01.003</t>
        </is>
      </c>
      <c r="D98" t="inlineStr">
        <is>
          <t>新开通客户投入</t>
        </is>
      </c>
      <c r="K98" t="inlineStr">
        <is>
          <t>是</t>
        </is>
      </c>
      <c r="M98" t="inlineStr">
        <is>
          <t>05.02.09.01.003</t>
        </is>
      </c>
      <c r="N98" t="inlineStr">
        <is>
          <t>SUM</t>
        </is>
      </c>
    </row>
    <row r="99">
      <c r="A99" t="inlineStr">
        <is>
          <t>五级</t>
        </is>
      </c>
      <c r="B99" t="inlineStr">
        <is>
          <t>支出</t>
        </is>
      </c>
      <c r="C99" t="inlineStr">
        <is>
          <t>E01.90.03.09.01.004</t>
        </is>
      </c>
      <c r="D99" t="inlineStr">
        <is>
          <t>新发放投入</t>
        </is>
      </c>
      <c r="K99" t="inlineStr">
        <is>
          <t>是</t>
        </is>
      </c>
      <c r="M99" t="inlineStr">
        <is>
          <t>05.02.09.01.004</t>
        </is>
      </c>
      <c r="N99" t="inlineStr">
        <is>
          <t>SUM</t>
        </is>
      </c>
    </row>
    <row r="100">
      <c r="A100" t="inlineStr">
        <is>
          <t>四级</t>
        </is>
      </c>
      <c r="B100" t="inlineStr">
        <is>
          <t>支出</t>
        </is>
      </c>
      <c r="C100" t="inlineStr">
        <is>
          <t>E01.90.03.09.02</t>
        </is>
      </c>
      <c r="D100" t="inlineStr">
        <is>
          <t>客户规模与数量</t>
        </is>
      </c>
      <c r="F100" t="inlineStr">
        <is>
          <t>E01.90.03.09.02.101+E01.90.03.09.02.102+E01.90.03.09.02.103</t>
        </is>
      </c>
      <c r="K100" t="inlineStr">
        <is>
          <t>是</t>
        </is>
      </c>
      <c r="M100" t="inlineStr">
        <is>
          <t>05.02.09.02</t>
        </is>
      </c>
    </row>
    <row r="101">
      <c r="A101" t="inlineStr">
        <is>
          <t>五级</t>
        </is>
      </c>
      <c r="B101" t="inlineStr">
        <is>
          <t>支出</t>
        </is>
      </c>
      <c r="C101" t="inlineStr">
        <is>
          <t>E01.90.03.09.02.001</t>
        </is>
      </c>
      <c r="D101" t="inlineStr">
        <is>
          <t>新客日均LUM</t>
        </is>
      </c>
      <c r="K101" t="inlineStr">
        <is>
          <t>是</t>
        </is>
      </c>
      <c r="M101" t="inlineStr">
        <is>
          <t>05.02.09.02.001</t>
        </is>
      </c>
      <c r="N101" t="inlineStr">
        <is>
          <t>SUM</t>
        </is>
      </c>
    </row>
    <row r="102">
      <c r="A102" t="inlineStr">
        <is>
          <t>五级</t>
        </is>
      </c>
      <c r="B102" t="inlineStr">
        <is>
          <t>支出</t>
        </is>
      </c>
      <c r="C102" t="inlineStr">
        <is>
          <t>E01.90.03.09.02.002</t>
        </is>
      </c>
      <c r="D102" t="inlineStr">
        <is>
          <t>存客日均LUM</t>
        </is>
      </c>
      <c r="K102" t="inlineStr">
        <is>
          <t>是</t>
        </is>
      </c>
      <c r="M102" t="inlineStr">
        <is>
          <t>05.02.09.02.002</t>
        </is>
      </c>
      <c r="N102" t="inlineStr">
        <is>
          <t>SUM</t>
        </is>
      </c>
    </row>
    <row r="103">
      <c r="A103" t="inlineStr">
        <is>
          <t>五级</t>
        </is>
      </c>
      <c r="B103" t="inlineStr">
        <is>
          <t>支出</t>
        </is>
      </c>
      <c r="C103" t="inlineStr">
        <is>
          <t>E01.90.03.09.02.003</t>
        </is>
      </c>
      <c r="D103" t="inlineStr">
        <is>
          <t>新开通客户数</t>
        </is>
      </c>
      <c r="K103" t="inlineStr">
        <is>
          <t>是</t>
        </is>
      </c>
      <c r="M103" t="inlineStr">
        <is>
          <t>05.02.09.02.003</t>
        </is>
      </c>
      <c r="N103" t="inlineStr">
        <is>
          <t>SUM</t>
        </is>
      </c>
    </row>
    <row r="104">
      <c r="A104" t="inlineStr">
        <is>
          <t>五级</t>
        </is>
      </c>
      <c r="B104" t="inlineStr">
        <is>
          <t>支出</t>
        </is>
      </c>
      <c r="C104" t="inlineStr">
        <is>
          <t>E01.90.03.09.02.004</t>
        </is>
      </c>
      <c r="D104" t="inlineStr">
        <is>
          <t>平均有效客户数</t>
        </is>
      </c>
      <c r="K104" t="inlineStr">
        <is>
          <t>是</t>
        </is>
      </c>
      <c r="M104" t="inlineStr">
        <is>
          <t>05.02.09.02.004</t>
        </is>
      </c>
      <c r="N104" t="inlineStr">
        <is>
          <t>SUM</t>
        </is>
      </c>
    </row>
    <row r="105">
      <c r="A105" t="inlineStr">
        <is>
          <t>五级</t>
        </is>
      </c>
      <c r="B105" t="inlineStr">
        <is>
          <t>支出</t>
        </is>
      </c>
      <c r="C105" t="inlineStr">
        <is>
          <t>E01.90.03.09.02.005</t>
        </is>
      </c>
      <c r="D105" t="inlineStr">
        <is>
          <t>新发放LUM</t>
        </is>
      </c>
      <c r="K105" t="inlineStr">
        <is>
          <t>是</t>
        </is>
      </c>
      <c r="M105" t="inlineStr">
        <is>
          <t>05.02.09.02.005</t>
        </is>
      </c>
      <c r="N105" t="inlineStr">
        <is>
          <t>SUM</t>
        </is>
      </c>
    </row>
    <row r="106">
      <c r="A106" t="inlineStr">
        <is>
          <t>五级</t>
        </is>
      </c>
      <c r="B106" t="inlineStr">
        <is>
          <t>支出</t>
        </is>
      </c>
      <c r="C106" t="inlineStr">
        <is>
          <t>E01.90.03.09.02.006</t>
        </is>
      </c>
      <c r="D106" t="inlineStr">
        <is>
          <t>新发放LUM（标服）</t>
        </is>
      </c>
      <c r="K106" t="inlineStr">
        <is>
          <t>是</t>
        </is>
      </c>
      <c r="M106" t="inlineStr">
        <is>
          <t>05.02.09.02.006</t>
        </is>
      </c>
      <c r="N106" t="inlineStr">
        <is>
          <t>SUM</t>
        </is>
      </c>
    </row>
    <row r="107">
      <c r="A107" t="inlineStr">
        <is>
          <t>五级</t>
        </is>
      </c>
      <c r="B107" t="inlineStr">
        <is>
          <t>支出</t>
        </is>
      </c>
      <c r="C107" t="inlineStr">
        <is>
          <t>E01.90.03.09.02.007</t>
        </is>
      </c>
      <c r="D107" t="inlineStr">
        <is>
          <t>存客日均AuM</t>
        </is>
      </c>
      <c r="K107" t="inlineStr">
        <is>
          <t>是</t>
        </is>
      </c>
      <c r="M107" t="inlineStr">
        <is>
          <t>05.02.09.02.007</t>
        </is>
      </c>
      <c r="N107" t="inlineStr">
        <is>
          <t>SUM</t>
        </is>
      </c>
    </row>
    <row r="108">
      <c r="A108" t="inlineStr">
        <is>
          <t>五级</t>
        </is>
      </c>
      <c r="B108" t="inlineStr">
        <is>
          <t>支出</t>
        </is>
      </c>
      <c r="C108" t="inlineStr">
        <is>
          <t>E01.90.03.09.02.008</t>
        </is>
      </c>
      <c r="D108" t="inlineStr">
        <is>
          <t>新客AuM余额</t>
        </is>
      </c>
      <c r="K108" t="inlineStr">
        <is>
          <t>是</t>
        </is>
      </c>
      <c r="M108" t="inlineStr">
        <is>
          <t>05.02.09.02.008</t>
        </is>
      </c>
      <c r="N108" t="inlineStr">
        <is>
          <t>SUM</t>
        </is>
      </c>
    </row>
    <row r="109">
      <c r="A109" t="inlineStr">
        <is>
          <t>五级</t>
        </is>
      </c>
      <c r="B109" t="inlineStr">
        <is>
          <t>支出</t>
        </is>
      </c>
      <c r="C109" t="inlineStr">
        <is>
          <t>E01.90.03.09.02.009</t>
        </is>
      </c>
      <c r="D109" t="inlineStr">
        <is>
          <t>MFAU客户数</t>
        </is>
      </c>
      <c r="K109" t="inlineStr">
        <is>
          <t>是</t>
        </is>
      </c>
      <c r="M109" t="inlineStr">
        <is>
          <t>05.02.09.02.009</t>
        </is>
      </c>
      <c r="N109" t="inlineStr">
        <is>
          <t>SUM</t>
        </is>
      </c>
    </row>
    <row r="110">
      <c r="A110" t="inlineStr">
        <is>
          <t>五级</t>
        </is>
      </c>
      <c r="B110" t="inlineStr">
        <is>
          <t>支出</t>
        </is>
      </c>
      <c r="C110" t="inlineStr">
        <is>
          <t>E01.90.03.09.02.010</t>
        </is>
      </c>
      <c r="D110" t="inlineStr">
        <is>
          <t>日均LUM</t>
        </is>
      </c>
      <c r="K110" t="inlineStr">
        <is>
          <t>是</t>
        </is>
      </c>
      <c r="M110" t="inlineStr">
        <is>
          <t>05.02.09.02.010</t>
        </is>
      </c>
      <c r="N110" t="inlineStr">
        <is>
          <t>SUM</t>
        </is>
      </c>
    </row>
    <row r="111">
      <c r="A111" t="inlineStr">
        <is>
          <t>五级</t>
        </is>
      </c>
      <c r="B111" t="inlineStr">
        <is>
          <t>支出</t>
        </is>
      </c>
      <c r="C111" t="inlineStr">
        <is>
          <t>E01.90.03.09.02.011</t>
        </is>
      </c>
      <c r="D111" t="inlineStr">
        <is>
          <t>日均AuM</t>
        </is>
      </c>
      <c r="K111" t="inlineStr">
        <is>
          <t>是</t>
        </is>
      </c>
      <c r="M111" t="inlineStr">
        <is>
          <t>05.02.09.02.011</t>
        </is>
      </c>
      <c r="N111" t="inlineStr">
        <is>
          <t>SUM</t>
        </is>
      </c>
    </row>
    <row r="112">
      <c r="A112" t="inlineStr">
        <is>
          <t>五级</t>
        </is>
      </c>
      <c r="B112" t="inlineStr">
        <is>
          <t>支出</t>
        </is>
      </c>
      <c r="C112" t="inlineStr">
        <is>
          <t>E01.90.03.09.02.101</t>
        </is>
      </c>
      <c r="D112" t="inlineStr">
        <is>
          <t>LUM规模</t>
        </is>
      </c>
      <c r="F112" t="inlineStr">
        <is>
          <t>E01.90.03.09.02.001+E01.90.03.09.02.002+E01.90.03.09.02.005+E01.90.03.09.02.006+E01.90.03.09.02.010</t>
        </is>
      </c>
      <c r="K112" t="inlineStr">
        <is>
          <t>是</t>
        </is>
      </c>
      <c r="M112" t="inlineStr">
        <is>
          <t>05.02.09.02.101</t>
        </is>
      </c>
    </row>
    <row r="113">
      <c r="A113" t="inlineStr">
        <is>
          <t>五级</t>
        </is>
      </c>
      <c r="B113" t="inlineStr">
        <is>
          <t>支出</t>
        </is>
      </c>
      <c r="C113" t="inlineStr">
        <is>
          <t>E01.90.03.09.02.102</t>
        </is>
      </c>
      <c r="D113" t="inlineStr">
        <is>
          <t>AuM规模</t>
        </is>
      </c>
      <c r="F113" t="inlineStr">
        <is>
          <t>E01.90.03.09.02.007+E01.90.03.09.02.008+E01.90.03.09.02.011</t>
        </is>
      </c>
      <c r="K113" t="inlineStr">
        <is>
          <t>是</t>
        </is>
      </c>
      <c r="M113" t="inlineStr">
        <is>
          <t>05.02.09.02.102</t>
        </is>
      </c>
    </row>
    <row r="114">
      <c r="A114" t="inlineStr">
        <is>
          <t>五级</t>
        </is>
      </c>
      <c r="B114" t="inlineStr">
        <is>
          <t>支出</t>
        </is>
      </c>
      <c r="C114" t="inlineStr">
        <is>
          <t>E01.90.03.09.02.103</t>
        </is>
      </c>
      <c r="D114" t="inlineStr">
        <is>
          <t>客户数量</t>
        </is>
      </c>
      <c r="F114" t="inlineStr">
        <is>
          <t>E01.90.03.09.02.003+E01.90.03.09.02.004+E01.90.03.09.02.009</t>
        </is>
      </c>
      <c r="K114" t="inlineStr">
        <is>
          <t>是</t>
        </is>
      </c>
      <c r="M114" t="inlineStr">
        <is>
          <t>05.02.09.02.103</t>
        </is>
      </c>
    </row>
    <row r="115">
      <c r="A115" t="inlineStr">
        <is>
          <t>四级</t>
        </is>
      </c>
      <c r="B115" t="inlineStr">
        <is>
          <t>支出</t>
        </is>
      </c>
      <c r="C115" t="inlineStr">
        <is>
          <t>E01.90.03.09.03</t>
        </is>
      </c>
      <c r="D115" t="inlineStr">
        <is>
          <t>客户回收与催收</t>
        </is>
      </c>
      <c r="F115" t="inlineStr">
        <is>
          <t>E01.90.03.09.03.001+E01.90.03.09.03.002+E01.90.03.09.03.003</t>
        </is>
      </c>
      <c r="K115" t="inlineStr">
        <is>
          <t>是</t>
        </is>
      </c>
      <c r="M115" t="inlineStr">
        <is>
          <t>05.02.09.03</t>
        </is>
      </c>
    </row>
    <row r="116">
      <c r="A116" t="inlineStr">
        <is>
          <t>五级</t>
        </is>
      </c>
      <c r="B116" t="inlineStr">
        <is>
          <t>支出</t>
        </is>
      </c>
      <c r="C116" t="inlineStr">
        <is>
          <t>E01.90.03.09.03.001</t>
        </is>
      </c>
      <c r="D116" t="inlineStr">
        <is>
          <t>内催回收额</t>
        </is>
      </c>
      <c r="K116" t="inlineStr">
        <is>
          <t>是</t>
        </is>
      </c>
      <c r="M116" t="inlineStr">
        <is>
          <t>05.02.09.03.001</t>
        </is>
      </c>
      <c r="N116" t="inlineStr">
        <is>
          <t>SUM</t>
        </is>
      </c>
    </row>
    <row r="117">
      <c r="A117" t="inlineStr">
        <is>
          <t>五级</t>
        </is>
      </c>
      <c r="B117" t="inlineStr">
        <is>
          <t>支出</t>
        </is>
      </c>
      <c r="C117" t="inlineStr">
        <is>
          <t>E01.90.03.09.03.002</t>
        </is>
      </c>
      <c r="D117" t="inlineStr">
        <is>
          <t>M6-压降金额</t>
        </is>
      </c>
      <c r="K117" t="inlineStr">
        <is>
          <t>是</t>
        </is>
      </c>
      <c r="M117" t="inlineStr">
        <is>
          <t>05.02.09.03.002</t>
        </is>
      </c>
      <c r="N117" t="inlineStr">
        <is>
          <t>SUM</t>
        </is>
      </c>
    </row>
    <row r="118">
      <c r="A118" t="inlineStr">
        <is>
          <t>五级</t>
        </is>
      </c>
      <c r="B118" t="inlineStr">
        <is>
          <t>支出</t>
        </is>
      </c>
      <c r="C118" t="inlineStr">
        <is>
          <t>E01.90.03.09.03.003</t>
        </is>
      </c>
      <c r="D118" t="inlineStr">
        <is>
          <t>M7+现金回收额</t>
        </is>
      </c>
      <c r="K118" t="inlineStr">
        <is>
          <t>是</t>
        </is>
      </c>
      <c r="M118" t="inlineStr">
        <is>
          <t>05.02.09.03.003</t>
        </is>
      </c>
      <c r="N118" t="inlineStr">
        <is>
          <t>SUM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H116"/>
  <sheetViews>
    <sheetView workbookViewId="0">
      <selection activeCell="F9" sqref="F9"/>
    </sheetView>
  </sheetViews>
  <sheetFormatPr baseColWidth="8" defaultColWidth="9" defaultRowHeight="16.8"/>
  <cols>
    <col width="10.8303571428571" customWidth="1" min="3" max="3"/>
    <col width="17.5" customWidth="1" min="4" max="4"/>
  </cols>
  <sheetData>
    <row r="1" ht="15" customFormat="1" customHeight="1" s="1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" t="inlineStr">
        <is>
          <t>录入粒度</t>
        </is>
      </c>
      <c r="F1" t="inlineStr">
        <is>
          <t>年预算公式</t>
        </is>
      </c>
      <c r="G1" t="inlineStr">
        <is>
          <t>年预测公式</t>
        </is>
      </c>
      <c r="H1" t="inlineStr">
        <is>
          <t>实际月公式</t>
        </is>
      </c>
      <c r="I1" t="inlineStr">
        <is>
          <t>预测月公式</t>
        </is>
      </c>
      <c r="J1" t="inlineStr">
        <is>
          <t>公式说明</t>
        </is>
      </c>
      <c r="K1" t="inlineStr">
        <is>
          <t>横向汇总</t>
        </is>
      </c>
      <c r="L1" t="inlineStr">
        <is>
          <t>纵向汇总</t>
        </is>
      </c>
      <c r="M1" t="inlineStr">
        <is>
          <t>逻辑码</t>
        </is>
      </c>
      <c r="N1" t="inlineStr">
        <is>
          <t>规则</t>
        </is>
      </c>
    </row>
    <row r="2">
      <c r="A2" s="7" t="inlineStr">
        <is>
          <t>一级</t>
        </is>
      </c>
      <c r="B2" s="1" t="inlineStr">
        <is>
          <t>收入</t>
        </is>
      </c>
      <c r="C2" s="8" t="inlineStr">
        <is>
          <t>F.01</t>
        </is>
      </c>
      <c r="D2" s="7" t="inlineStr">
        <is>
          <t>营业收入</t>
        </is>
      </c>
      <c r="F2" t="inlineStr">
        <is>
          <t>F.01.01+F.01.02+F.01.03</t>
        </is>
      </c>
      <c r="K2" t="inlineStr">
        <is>
          <t>是</t>
        </is>
      </c>
      <c r="M2" t="inlineStr">
        <is>
          <t>01</t>
        </is>
      </c>
    </row>
    <row r="3">
      <c r="A3" s="1" t="inlineStr">
        <is>
          <t>二级</t>
        </is>
      </c>
      <c r="B3" s="1" t="inlineStr">
        <is>
          <t>收入</t>
        </is>
      </c>
      <c r="C3" s="8" t="inlineStr">
        <is>
          <t>F.01.01</t>
        </is>
      </c>
      <c r="D3" s="1" t="inlineStr">
        <is>
          <t xml:space="preserve">  利息净收入</t>
        </is>
      </c>
      <c r="F3" t="inlineStr">
        <is>
          <t>F.01.01.01+F.01.01.02</t>
        </is>
      </c>
      <c r="K3" t="inlineStr">
        <is>
          <t>是</t>
        </is>
      </c>
      <c r="M3" t="inlineStr">
        <is>
          <t>01.01</t>
        </is>
      </c>
    </row>
    <row r="4">
      <c r="A4" s="1" t="inlineStr">
        <is>
          <t>三级</t>
        </is>
      </c>
      <c r="B4" s="1" t="inlineStr">
        <is>
          <t>收入</t>
        </is>
      </c>
      <c r="C4" s="9" t="inlineStr">
        <is>
          <t>F.01.01.01</t>
        </is>
      </c>
      <c r="D4" s="1" t="inlineStr">
        <is>
          <t xml:space="preserve">    资产业务</t>
        </is>
      </c>
      <c r="M4" t="inlineStr">
        <is>
          <t>01.01.01</t>
        </is>
      </c>
      <c r="N4" t="inlineStr">
        <is>
          <t>SUM</t>
        </is>
      </c>
    </row>
    <row r="5">
      <c r="A5" s="10" t="inlineStr">
        <is>
          <t>一级</t>
        </is>
      </c>
      <c r="B5" s="10" t="inlineStr">
        <is>
          <t>收入</t>
        </is>
      </c>
      <c r="C5" s="10" t="inlineStr">
        <is>
          <t>F.14</t>
        </is>
      </c>
      <c r="D5" s="10" t="inlineStr">
        <is>
          <t xml:space="preserve">      利息收入</t>
        </is>
      </c>
      <c r="K5" t="inlineStr">
        <is>
          <t>是</t>
        </is>
      </c>
      <c r="M5" t="inlineStr">
        <is>
          <t>14</t>
        </is>
      </c>
      <c r="N5" t="inlineStr">
        <is>
          <t>SUM</t>
        </is>
      </c>
    </row>
    <row r="6">
      <c r="A6" s="1" t="inlineStr">
        <is>
          <t>一级</t>
        </is>
      </c>
      <c r="B6" s="1" t="inlineStr">
        <is>
          <t>支出</t>
        </is>
      </c>
      <c r="C6" s="9" t="inlineStr">
        <is>
          <t>F.15</t>
        </is>
      </c>
      <c r="D6" s="1" t="inlineStr">
        <is>
          <t xml:space="preserve">      FTP成本</t>
        </is>
      </c>
      <c r="M6" t="inlineStr">
        <is>
          <t>15</t>
        </is>
      </c>
      <c r="N6" t="inlineStr">
        <is>
          <t>SUM</t>
        </is>
      </c>
    </row>
    <row r="7">
      <c r="A7" s="1" t="inlineStr">
        <is>
          <t>三级</t>
        </is>
      </c>
      <c r="B7" s="1" t="inlineStr">
        <is>
          <t>收入</t>
        </is>
      </c>
      <c r="C7" s="9" t="inlineStr">
        <is>
          <t>F.01.01.02</t>
        </is>
      </c>
      <c r="D7" s="1" t="inlineStr">
        <is>
          <t xml:space="preserve">    负债业务</t>
        </is>
      </c>
      <c r="M7" t="inlineStr">
        <is>
          <t>01.01.02</t>
        </is>
      </c>
      <c r="N7" t="inlineStr">
        <is>
          <t>SUM</t>
        </is>
      </c>
    </row>
    <row r="8">
      <c r="A8" s="7" t="inlineStr">
        <is>
          <t>一级</t>
        </is>
      </c>
      <c r="B8" s="1" t="inlineStr">
        <is>
          <t>支出</t>
        </is>
      </c>
      <c r="C8" s="9" t="inlineStr">
        <is>
          <t>F.16</t>
        </is>
      </c>
      <c r="D8" s="1" t="inlineStr">
        <is>
          <t xml:space="preserve">      利息支出</t>
        </is>
      </c>
      <c r="K8" t="inlineStr">
        <is>
          <t>是</t>
        </is>
      </c>
      <c r="M8" t="inlineStr">
        <is>
          <t>16</t>
        </is>
      </c>
      <c r="N8" t="inlineStr">
        <is>
          <t>SUM</t>
        </is>
      </c>
    </row>
    <row r="9">
      <c r="A9" s="7" t="inlineStr">
        <is>
          <t>一级</t>
        </is>
      </c>
      <c r="B9" s="1" t="inlineStr">
        <is>
          <t>支出</t>
        </is>
      </c>
      <c r="C9" s="9" t="inlineStr">
        <is>
          <t>F.17</t>
        </is>
      </c>
      <c r="D9" s="1" t="inlineStr">
        <is>
          <t xml:space="preserve">      FTP收入</t>
        </is>
      </c>
      <c r="M9" t="inlineStr">
        <is>
          <t>17</t>
        </is>
      </c>
      <c r="N9" t="inlineStr">
        <is>
          <t>SUM</t>
        </is>
      </c>
    </row>
    <row r="10">
      <c r="A10" s="1" t="inlineStr">
        <is>
          <t>二级</t>
        </is>
      </c>
      <c r="B10" s="1" t="inlineStr">
        <is>
          <t>收入</t>
        </is>
      </c>
      <c r="C10" s="8" t="inlineStr">
        <is>
          <t>F.01.02</t>
        </is>
      </c>
      <c r="D10" s="1" t="inlineStr">
        <is>
          <t xml:space="preserve">  净手续费收入</t>
        </is>
      </c>
      <c r="K10" t="inlineStr">
        <is>
          <t>是</t>
        </is>
      </c>
      <c r="M10" t="inlineStr">
        <is>
          <t>01.02</t>
        </is>
      </c>
      <c r="N10" t="inlineStr">
        <is>
          <t>SUM</t>
        </is>
      </c>
    </row>
    <row r="11">
      <c r="A11" s="11" t="inlineStr">
        <is>
          <t>一级</t>
        </is>
      </c>
      <c r="B11" s="11" t="inlineStr">
        <is>
          <t>收入</t>
        </is>
      </c>
      <c r="C11" s="8" t="inlineStr">
        <is>
          <t>F.18</t>
        </is>
      </c>
      <c r="D11" s="1" t="inlineStr">
        <is>
          <t xml:space="preserve">    手续费收入</t>
        </is>
      </c>
      <c r="K11" t="inlineStr">
        <is>
          <t>是</t>
        </is>
      </c>
      <c r="M11" t="inlineStr">
        <is>
          <t>18</t>
        </is>
      </c>
      <c r="N11" t="inlineStr">
        <is>
          <t>SUM</t>
        </is>
      </c>
    </row>
    <row r="12">
      <c r="A12" s="11" t="inlineStr">
        <is>
          <t>一级</t>
        </is>
      </c>
      <c r="B12" s="11" t="inlineStr">
        <is>
          <t>支出</t>
        </is>
      </c>
      <c r="C12" s="8" t="inlineStr">
        <is>
          <t>F.19</t>
        </is>
      </c>
      <c r="D12" s="1" t="inlineStr">
        <is>
          <t xml:space="preserve">    手续费支出</t>
        </is>
      </c>
      <c r="K12" t="inlineStr">
        <is>
          <t>是</t>
        </is>
      </c>
      <c r="M12" t="inlineStr">
        <is>
          <t>19</t>
        </is>
      </c>
      <c r="N12" t="inlineStr">
        <is>
          <t>SUM</t>
        </is>
      </c>
    </row>
    <row r="13">
      <c r="A13" s="1" t="inlineStr">
        <is>
          <t>二级</t>
        </is>
      </c>
      <c r="B13" s="1" t="inlineStr">
        <is>
          <t>收入</t>
        </is>
      </c>
      <c r="C13" s="8" t="inlineStr">
        <is>
          <t>F.01.03</t>
        </is>
      </c>
      <c r="D13" s="1" t="inlineStr">
        <is>
          <t xml:space="preserve">  其他营收</t>
        </is>
      </c>
      <c r="K13" t="inlineStr">
        <is>
          <t>是</t>
        </is>
      </c>
      <c r="M13" t="inlineStr">
        <is>
          <t>01.03</t>
        </is>
      </c>
      <c r="N13" t="inlineStr">
        <is>
          <t>SUM</t>
        </is>
      </c>
    </row>
    <row r="14">
      <c r="A14" s="7" t="inlineStr">
        <is>
          <t>一级</t>
        </is>
      </c>
      <c r="B14" s="1" t="inlineStr">
        <is>
          <t>支出</t>
        </is>
      </c>
      <c r="C14" s="8" t="inlineStr">
        <is>
          <t>F.02</t>
        </is>
      </c>
      <c r="D14" s="7" t="inlineStr">
        <is>
          <t>减：风险成本</t>
        </is>
      </c>
      <c r="K14" t="inlineStr">
        <is>
          <t>是</t>
        </is>
      </c>
      <c r="M14" t="inlineStr">
        <is>
          <t>02</t>
        </is>
      </c>
      <c r="N14" t="inlineStr">
        <is>
          <t>SUM</t>
        </is>
      </c>
    </row>
    <row r="15">
      <c r="A15" s="7" t="inlineStr">
        <is>
          <t>一级</t>
        </is>
      </c>
      <c r="B15" s="1" t="inlineStr">
        <is>
          <t>收入</t>
        </is>
      </c>
      <c r="C15" s="8" t="inlineStr">
        <is>
          <t>F.03</t>
        </is>
      </c>
      <c r="D15" s="7" t="inlineStr">
        <is>
          <t>净收入</t>
        </is>
      </c>
      <c r="K15" t="inlineStr">
        <is>
          <t>是</t>
        </is>
      </c>
      <c r="M15" t="inlineStr">
        <is>
          <t>03</t>
        </is>
      </c>
      <c r="N15" t="inlineStr">
        <is>
          <t>SUM</t>
        </is>
      </c>
    </row>
    <row r="16">
      <c r="A16" s="7" t="inlineStr">
        <is>
          <t>一级</t>
        </is>
      </c>
      <c r="B16" s="1" t="inlineStr">
        <is>
          <t>支出</t>
        </is>
      </c>
      <c r="C16" s="8" t="inlineStr">
        <is>
          <t>F.04</t>
        </is>
      </c>
      <c r="D16" s="7" t="inlineStr">
        <is>
          <t>减：税金及附加</t>
        </is>
      </c>
      <c r="K16" t="inlineStr">
        <is>
          <t>是</t>
        </is>
      </c>
      <c r="M16" t="inlineStr">
        <is>
          <t>04</t>
        </is>
      </c>
      <c r="N16" t="inlineStr">
        <is>
          <t>SUM</t>
        </is>
      </c>
    </row>
    <row r="17">
      <c r="A17" s="7" t="inlineStr">
        <is>
          <t>一级</t>
        </is>
      </c>
      <c r="B17" s="1" t="inlineStr">
        <is>
          <t>支出</t>
        </is>
      </c>
      <c r="C17" s="8" t="inlineStr">
        <is>
          <t>F.05</t>
        </is>
      </c>
      <c r="D17" s="7" t="inlineStr">
        <is>
          <t>减：直接费用</t>
        </is>
      </c>
      <c r="F17" t="inlineStr">
        <is>
          <t>F.90.01+F.90.09+F.90.03+F.90.04+F.90.05</t>
        </is>
      </c>
      <c r="K17" t="inlineStr">
        <is>
          <t>是</t>
        </is>
      </c>
      <c r="M17" t="inlineStr">
        <is>
          <t>05</t>
        </is>
      </c>
    </row>
    <row r="18">
      <c r="A18" s="1" t="inlineStr">
        <is>
          <t>二级</t>
        </is>
      </c>
      <c r="B18" s="1" t="inlineStr">
        <is>
          <t>支出</t>
        </is>
      </c>
      <c r="C18" s="8" t="inlineStr">
        <is>
          <t>F.05.01</t>
        </is>
      </c>
      <c r="D18" s="1" t="inlineStr">
        <is>
          <t xml:space="preserve">  人力费用（不含IT）</t>
        </is>
      </c>
      <c r="F18" t="inlineStr">
        <is>
          <t>F.90.01.01+F.90.01.02</t>
        </is>
      </c>
      <c r="K18" t="inlineStr">
        <is>
          <t>是</t>
        </is>
      </c>
      <c r="M18" t="inlineStr">
        <is>
          <t>05.01</t>
        </is>
      </c>
    </row>
    <row r="19">
      <c r="A19" s="1" t="inlineStr">
        <is>
          <t>三级</t>
        </is>
      </c>
      <c r="B19" s="1" t="inlineStr">
        <is>
          <t>支出</t>
        </is>
      </c>
      <c r="C19" s="9" t="inlineStr">
        <is>
          <t>F.05.01.01</t>
        </is>
      </c>
      <c r="D19" s="1" t="inlineStr">
        <is>
          <t xml:space="preserve">    常规人力</t>
        </is>
      </c>
      <c r="F19" t="inlineStr">
        <is>
          <t>F.90.01.01.01+F.90.01.01.02+F.90.01.01.03+F.90.01.01.04.001+F.90.01.01.05.001</t>
        </is>
      </c>
      <c r="K19" t="inlineStr">
        <is>
          <t>是</t>
        </is>
      </c>
      <c r="M19" t="inlineStr">
        <is>
          <t>05.01.01</t>
        </is>
      </c>
    </row>
    <row r="20">
      <c r="A20" s="1" t="inlineStr">
        <is>
          <t>三级</t>
        </is>
      </c>
      <c r="B20" s="1" t="inlineStr">
        <is>
          <t>支出</t>
        </is>
      </c>
      <c r="C20" s="9" t="inlineStr">
        <is>
          <t>F.05.01.02</t>
        </is>
      </c>
      <c r="D20" s="1" t="inlineStr">
        <is>
          <t xml:space="preserve">    特别人力</t>
        </is>
      </c>
      <c r="F20" t="inlineStr">
        <is>
          <t>F.90.01.02.01+F.90.01.02.02+F.90.01.02.03+F.90.01.02.04.001+F.90.01.02.05.001</t>
        </is>
      </c>
      <c r="K20" t="inlineStr">
        <is>
          <t>是</t>
        </is>
      </c>
      <c r="M20" t="inlineStr">
        <is>
          <t>05.01.02</t>
        </is>
      </c>
    </row>
    <row r="21">
      <c r="A21" s="1" t="inlineStr">
        <is>
          <t>二级</t>
        </is>
      </c>
      <c r="B21" s="1" t="inlineStr">
        <is>
          <t>支出</t>
        </is>
      </c>
      <c r="C21" s="8" t="inlineStr">
        <is>
          <t>F.05.02</t>
        </is>
      </c>
      <c r="D21" s="1" t="inlineStr">
        <is>
          <t xml:space="preserve">  业务费用</t>
        </is>
      </c>
      <c r="K21" t="inlineStr">
        <is>
          <t>是</t>
        </is>
      </c>
      <c r="N21" t="inlineStr">
        <is>
          <t>SUM</t>
        </is>
      </c>
    </row>
    <row r="22">
      <c r="A22" s="1" t="inlineStr">
        <is>
          <t>三级</t>
        </is>
      </c>
      <c r="B22" s="1" t="inlineStr">
        <is>
          <t>支出</t>
        </is>
      </c>
      <c r="C22" s="9" t="inlineStr">
        <is>
          <t>F.05.02.01</t>
        </is>
      </c>
      <c r="D22" s="1" t="inlineStr">
        <is>
          <t xml:space="preserve">    营销费用</t>
        </is>
      </c>
      <c r="K22" t="inlineStr">
        <is>
          <t>是</t>
        </is>
      </c>
      <c r="N22" t="inlineStr">
        <is>
          <t>SUM</t>
        </is>
      </c>
    </row>
    <row r="23">
      <c r="A23" s="1" t="inlineStr">
        <is>
          <t>三级</t>
        </is>
      </c>
      <c r="B23" s="1" t="inlineStr">
        <is>
          <t>支出</t>
        </is>
      </c>
      <c r="C23" s="9" t="inlineStr">
        <is>
          <t>F.05.02.02</t>
        </is>
      </c>
      <c r="D23" s="1" t="inlineStr">
        <is>
          <t xml:space="preserve">    运营费用</t>
        </is>
      </c>
      <c r="K23" t="inlineStr">
        <is>
          <t>是</t>
        </is>
      </c>
      <c r="N23" t="inlineStr">
        <is>
          <t>SUM</t>
        </is>
      </c>
    </row>
    <row r="24">
      <c r="A24" s="1" t="inlineStr">
        <is>
          <t>二级</t>
        </is>
      </c>
      <c r="B24" s="1" t="inlineStr">
        <is>
          <t>支出</t>
        </is>
      </c>
      <c r="C24" s="8" t="inlineStr">
        <is>
          <t>F.05.03</t>
        </is>
      </c>
      <c r="D24" s="1" t="inlineStr">
        <is>
          <t xml:space="preserve">  IT费用</t>
        </is>
      </c>
      <c r="F24" t="inlineStr">
        <is>
          <t>F.90.03.01+F.90.03.02+F.90.03.03+F.90.03.04</t>
        </is>
      </c>
      <c r="K24" t="inlineStr">
        <is>
          <t>是</t>
        </is>
      </c>
      <c r="M24" t="inlineStr">
        <is>
          <t>05.03</t>
        </is>
      </c>
    </row>
    <row r="25">
      <c r="A25" s="1" t="inlineStr">
        <is>
          <t>三级</t>
        </is>
      </c>
      <c r="B25" s="1" t="inlineStr">
        <is>
          <t>支出</t>
        </is>
      </c>
      <c r="C25" s="9" t="inlineStr">
        <is>
          <t>F.05.03.01</t>
        </is>
      </c>
      <c r="D25" s="1" t="inlineStr">
        <is>
          <t xml:space="preserve">    IT人力</t>
        </is>
      </c>
      <c r="F25" t="inlineStr">
        <is>
          <t>F.90.03.01.01+F.90.03.01.02</t>
        </is>
      </c>
      <c r="K25" t="inlineStr">
        <is>
          <t>是</t>
        </is>
      </c>
      <c r="M25" t="inlineStr">
        <is>
          <t>05.03.01</t>
        </is>
      </c>
    </row>
    <row r="26">
      <c r="A26" s="1" t="inlineStr">
        <is>
          <t>四级</t>
        </is>
      </c>
      <c r="B26" s="1" t="inlineStr">
        <is>
          <t>支出</t>
        </is>
      </c>
      <c r="C26" s="9" t="inlineStr">
        <is>
          <t>F.05.03.01.01</t>
        </is>
      </c>
      <c r="D26" s="1" t="inlineStr">
        <is>
          <t xml:space="preserve">      IT常规人力</t>
        </is>
      </c>
      <c r="K26" t="inlineStr">
        <is>
          <t>是</t>
        </is>
      </c>
      <c r="M26" t="inlineStr">
        <is>
          <t>05.03.01.01</t>
        </is>
      </c>
      <c r="N26" t="inlineStr">
        <is>
          <t>SUM</t>
        </is>
      </c>
    </row>
    <row r="27">
      <c r="A27" s="1" t="inlineStr">
        <is>
          <t>四级</t>
        </is>
      </c>
      <c r="B27" s="1" t="inlineStr">
        <is>
          <t>支出</t>
        </is>
      </c>
      <c r="C27" s="9" t="inlineStr">
        <is>
          <t>F.05.03.01.02</t>
        </is>
      </c>
      <c r="D27" s="1" t="inlineStr">
        <is>
          <t xml:space="preserve">      IT特别人力</t>
        </is>
      </c>
      <c r="K27" t="inlineStr">
        <is>
          <t>是</t>
        </is>
      </c>
      <c r="M27" t="inlineStr">
        <is>
          <t>05.03.01.02</t>
        </is>
      </c>
      <c r="N27" t="inlineStr">
        <is>
          <t>SUM</t>
        </is>
      </c>
    </row>
    <row r="28">
      <c r="A28" s="1" t="inlineStr">
        <is>
          <t>三级</t>
        </is>
      </c>
      <c r="B28" s="1" t="inlineStr">
        <is>
          <t>支出</t>
        </is>
      </c>
      <c r="C28" s="9" t="inlineStr">
        <is>
          <t>F.05.03.02</t>
        </is>
      </c>
      <c r="D28" s="1" t="inlineStr">
        <is>
          <t xml:space="preserve">    科技费用</t>
        </is>
      </c>
      <c r="K28" t="inlineStr">
        <is>
          <t>是</t>
        </is>
      </c>
      <c r="M28" t="inlineStr">
        <is>
          <t>05.03.02</t>
        </is>
      </c>
      <c r="N28" t="inlineStr">
        <is>
          <t>SUM</t>
        </is>
      </c>
    </row>
    <row r="29">
      <c r="A29" s="1" t="inlineStr">
        <is>
          <t>三级</t>
        </is>
      </c>
      <c r="B29" s="1" t="inlineStr">
        <is>
          <t>支出</t>
        </is>
      </c>
      <c r="C29" s="9" t="inlineStr">
        <is>
          <t>F.05.03.03</t>
        </is>
      </c>
      <c r="D29" s="1" t="inlineStr">
        <is>
          <t xml:space="preserve">    IT职场</t>
        </is>
      </c>
      <c r="K29" t="inlineStr">
        <is>
          <t>是</t>
        </is>
      </c>
      <c r="M29" t="inlineStr">
        <is>
          <t>05.03.03</t>
        </is>
      </c>
      <c r="N29" t="inlineStr">
        <is>
          <t>SUM</t>
        </is>
      </c>
    </row>
    <row r="30">
      <c r="A30" s="1" t="inlineStr">
        <is>
          <t>三级</t>
        </is>
      </c>
      <c r="B30" s="1" t="inlineStr">
        <is>
          <t>支出</t>
        </is>
      </c>
      <c r="C30" s="9" t="inlineStr">
        <is>
          <t>F.05.03.04</t>
        </is>
      </c>
      <c r="D30" s="1" t="inlineStr">
        <is>
          <t xml:space="preserve">    IT日常</t>
        </is>
      </c>
      <c r="K30" t="inlineStr">
        <is>
          <t>是</t>
        </is>
      </c>
      <c r="M30" t="inlineStr">
        <is>
          <t>05.03.04</t>
        </is>
      </c>
      <c r="N30" t="inlineStr">
        <is>
          <t>SUM</t>
        </is>
      </c>
    </row>
    <row r="31">
      <c r="A31" s="1" t="inlineStr">
        <is>
          <t>二级</t>
        </is>
      </c>
      <c r="B31" s="1" t="inlineStr">
        <is>
          <t>支出</t>
        </is>
      </c>
      <c r="C31" s="8" t="inlineStr">
        <is>
          <t>F.05.04</t>
        </is>
      </c>
      <c r="D31" s="1" t="inlineStr">
        <is>
          <t xml:space="preserve">  职场费用</t>
        </is>
      </c>
      <c r="K31" t="inlineStr">
        <is>
          <t>是</t>
        </is>
      </c>
      <c r="M31" t="inlineStr">
        <is>
          <t>05.04</t>
        </is>
      </c>
      <c r="N31" t="inlineStr">
        <is>
          <t>SUM</t>
        </is>
      </c>
    </row>
    <row r="32">
      <c r="A32" s="1" t="inlineStr">
        <is>
          <t>二级</t>
        </is>
      </c>
      <c r="B32" s="1" t="inlineStr">
        <is>
          <t>支出</t>
        </is>
      </c>
      <c r="C32" s="8" t="inlineStr">
        <is>
          <t>F.05.05</t>
        </is>
      </c>
      <c r="D32" s="1" t="inlineStr">
        <is>
          <t xml:space="preserve">  日常费用</t>
        </is>
      </c>
      <c r="K32" t="inlineStr">
        <is>
          <t>是</t>
        </is>
      </c>
      <c r="M32" t="inlineStr">
        <is>
          <t>05.05</t>
        </is>
      </c>
      <c r="N32" t="inlineStr">
        <is>
          <t>SUM</t>
        </is>
      </c>
    </row>
    <row r="33">
      <c r="A33" s="7" t="inlineStr">
        <is>
          <t>一级</t>
        </is>
      </c>
      <c r="B33" s="1" t="inlineStr">
        <is>
          <t>收入</t>
        </is>
      </c>
      <c r="C33" s="8" t="inlineStr">
        <is>
          <t>F.06</t>
        </is>
      </c>
      <c r="D33" s="7" t="inlineStr">
        <is>
          <t>加：营业外净收入</t>
        </is>
      </c>
      <c r="K33" t="inlineStr">
        <is>
          <t>是</t>
        </is>
      </c>
      <c r="M33" t="inlineStr">
        <is>
          <t>06</t>
        </is>
      </c>
      <c r="N33" t="inlineStr">
        <is>
          <t>SUM</t>
        </is>
      </c>
    </row>
    <row r="34">
      <c r="A34" s="7" t="inlineStr">
        <is>
          <t>一级</t>
        </is>
      </c>
      <c r="B34" s="1" t="inlineStr">
        <is>
          <t>利润</t>
        </is>
      </c>
      <c r="C34" s="8" t="inlineStr">
        <is>
          <t>F.07</t>
        </is>
      </c>
      <c r="D34" s="7" t="inlineStr">
        <is>
          <t>分摊前利润</t>
        </is>
      </c>
      <c r="M34" t="inlineStr">
        <is>
          <t>07</t>
        </is>
      </c>
      <c r="N34" t="inlineStr">
        <is>
          <t>SUM</t>
        </is>
      </c>
    </row>
    <row r="35">
      <c r="A35" s="7" t="inlineStr">
        <is>
          <t>一级</t>
        </is>
      </c>
      <c r="B35" s="1" t="inlineStr">
        <is>
          <t>支出</t>
        </is>
      </c>
      <c r="C35" s="8" t="inlineStr">
        <is>
          <t>F.08</t>
        </is>
      </c>
      <c r="D35" s="7" t="inlineStr">
        <is>
          <t>减：固定管理费</t>
        </is>
      </c>
      <c r="M35" t="inlineStr">
        <is>
          <t>08</t>
        </is>
      </c>
      <c r="N35" t="inlineStr">
        <is>
          <t>SUM</t>
        </is>
      </c>
    </row>
    <row r="36">
      <c r="A36" s="7" t="inlineStr">
        <is>
          <t>一级</t>
        </is>
      </c>
      <c r="B36" s="1" t="inlineStr">
        <is>
          <t>利润</t>
        </is>
      </c>
      <c r="C36" s="8" t="inlineStr">
        <is>
          <t>F.09</t>
        </is>
      </c>
      <c r="D36" s="7" t="inlineStr">
        <is>
          <t>税前利润</t>
        </is>
      </c>
      <c r="K36" t="inlineStr">
        <is>
          <t>是</t>
        </is>
      </c>
      <c r="M36" t="inlineStr">
        <is>
          <t>09</t>
        </is>
      </c>
      <c r="N36" t="inlineStr">
        <is>
          <t>SUM</t>
        </is>
      </c>
    </row>
    <row r="37">
      <c r="A37" s="10" t="n"/>
      <c r="B37" s="10" t="n"/>
      <c r="C37" s="10" t="n"/>
      <c r="D37" s="10" t="n"/>
    </row>
    <row r="38">
      <c r="A38" s="11" t="inlineStr">
        <is>
          <t>一级</t>
        </is>
      </c>
      <c r="B38" s="11" t="inlineStr">
        <is>
          <t>资产余额</t>
        </is>
      </c>
      <c r="C38" s="11" t="inlineStr">
        <is>
          <t>F.10</t>
        </is>
      </c>
      <c r="D38" s="11" t="inlineStr">
        <is>
          <t>管理贷款</t>
        </is>
      </c>
      <c r="F38" t="inlineStr">
        <is>
          <t>F.10.01</t>
        </is>
      </c>
      <c r="M38" t="inlineStr">
        <is>
          <t>10</t>
        </is>
      </c>
    </row>
    <row r="39">
      <c r="A39" s="10" t="inlineStr">
        <is>
          <t>二级</t>
        </is>
      </c>
      <c r="B39" s="10" t="inlineStr">
        <is>
          <t>资产余额</t>
        </is>
      </c>
      <c r="C39" s="10" t="inlineStr">
        <is>
          <t>F.10.01</t>
        </is>
      </c>
      <c r="D39" s="10" t="inlineStr">
        <is>
          <t xml:space="preserve">  自持</t>
        </is>
      </c>
      <c r="F39" t="inlineStr">
        <is>
          <t>F.10.01.02</t>
        </is>
      </c>
      <c r="M39" t="inlineStr">
        <is>
          <t>10.01</t>
        </is>
      </c>
    </row>
    <row r="40">
      <c r="A40" s="10" t="inlineStr">
        <is>
          <t>三级</t>
        </is>
      </c>
      <c r="B40" s="10" t="inlineStr">
        <is>
          <t>资产余额</t>
        </is>
      </c>
      <c r="C40" s="10" t="inlineStr">
        <is>
          <t>F.10.01.02</t>
        </is>
      </c>
      <c r="D40" s="10" t="inlineStr">
        <is>
          <t xml:space="preserve">    票据融资</t>
        </is>
      </c>
      <c r="M40" t="inlineStr">
        <is>
          <t>10.01.02</t>
        </is>
      </c>
      <c r="N40" t="inlineStr">
        <is>
          <t>LAST</t>
        </is>
      </c>
    </row>
    <row r="41">
      <c r="A41" s="11" t="inlineStr">
        <is>
          <t>一级</t>
        </is>
      </c>
      <c r="B41" s="11" t="inlineStr">
        <is>
          <t>资产日均</t>
        </is>
      </c>
      <c r="C41" s="11" t="inlineStr">
        <is>
          <t>F.11</t>
        </is>
      </c>
      <c r="D41" s="11" t="inlineStr">
        <is>
          <t>管理贷款日均</t>
        </is>
      </c>
      <c r="F41" t="inlineStr">
        <is>
          <t>F.11.01</t>
        </is>
      </c>
      <c r="M41" t="inlineStr">
        <is>
          <t>11</t>
        </is>
      </c>
    </row>
    <row r="42">
      <c r="A42" s="10" t="inlineStr">
        <is>
          <t>二级</t>
        </is>
      </c>
      <c r="B42" s="10" t="inlineStr">
        <is>
          <t>资产日均</t>
        </is>
      </c>
      <c r="C42" s="10" t="inlineStr">
        <is>
          <t>F.11.01</t>
        </is>
      </c>
      <c r="D42" s="10" t="inlineStr">
        <is>
          <t xml:space="preserve">  自持</t>
        </is>
      </c>
      <c r="F42" t="inlineStr">
        <is>
          <t>F.11.01.02</t>
        </is>
      </c>
      <c r="M42" t="inlineStr">
        <is>
          <t>11.01</t>
        </is>
      </c>
    </row>
    <row r="43">
      <c r="A43" s="10" t="inlineStr">
        <is>
          <t>三级</t>
        </is>
      </c>
      <c r="B43" s="10" t="inlineStr">
        <is>
          <t>资产日均</t>
        </is>
      </c>
      <c r="C43" s="10" t="inlineStr">
        <is>
          <t>F.11.01.02</t>
        </is>
      </c>
      <c r="D43" s="10" t="inlineStr">
        <is>
          <t xml:space="preserve">    票据融资</t>
        </is>
      </c>
      <c r="M43" t="inlineStr">
        <is>
          <t>11.01.02</t>
        </is>
      </c>
      <c r="N43" t="inlineStr">
        <is>
          <t>AVG</t>
        </is>
      </c>
    </row>
    <row r="44">
      <c r="A44" s="10" t="n"/>
      <c r="B44" s="10" t="n"/>
      <c r="C44" s="10" t="n"/>
      <c r="D44" s="10" t="n"/>
    </row>
    <row r="45"/>
    <row r="46">
      <c r="A46" t="inlineStr">
        <is>
          <t>层级</t>
        </is>
      </c>
      <c r="B46" t="inlineStr">
        <is>
          <t>性质</t>
        </is>
      </c>
      <c r="C46" t="inlineStr">
        <is>
          <t>科目代码</t>
        </is>
      </c>
      <c r="D46" t="inlineStr">
        <is>
          <t>科目名称</t>
        </is>
      </c>
      <c r="F46" t="inlineStr">
        <is>
          <t>年预算公式</t>
        </is>
      </c>
      <c r="J46" t="inlineStr">
        <is>
          <t>公式说明</t>
        </is>
      </c>
      <c r="K46" t="inlineStr">
        <is>
          <t>横向汇总</t>
        </is>
      </c>
      <c r="M46" t="inlineStr">
        <is>
          <t>录入粒度</t>
        </is>
      </c>
    </row>
    <row r="47">
      <c r="A47" t="inlineStr">
        <is>
          <t>一级</t>
        </is>
      </c>
      <c r="B47" t="inlineStr">
        <is>
          <t>支出</t>
        </is>
      </c>
      <c r="C47" t="inlineStr">
        <is>
          <t>F.90</t>
        </is>
      </c>
      <c r="D47" t="inlineStr">
        <is>
          <t>减:业务及管理费</t>
        </is>
      </c>
      <c r="F47" t="inlineStr">
        <is>
          <t>F.90.01+F.90.03</t>
        </is>
      </c>
      <c r="K47" t="inlineStr">
        <is>
          <t>是</t>
        </is>
      </c>
      <c r="M47" t="inlineStr">
        <is>
          <t>05</t>
        </is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F.90.01</t>
        </is>
      </c>
      <c r="D48" t="inlineStr">
        <is>
          <t>直接费用</t>
        </is>
      </c>
      <c r="F48" t="inlineStr">
        <is>
          <t>F.90.01.01+F.90.01.02</t>
        </is>
      </c>
      <c r="K48" t="inlineStr">
        <is>
          <t>是</t>
        </is>
      </c>
      <c r="M48" t="inlineStr">
        <is>
          <t>05.01</t>
        </is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F.90.01.01</t>
        </is>
      </c>
      <c r="D49" t="inlineStr">
        <is>
          <t>直接费用</t>
        </is>
      </c>
      <c r="F49" t="inlineStr">
        <is>
          <t>F.90.01.01.01+F.90.01.01.02+F.90.01.01.03+F.90.01.01.04.001+F.90.01.01.05.001</t>
        </is>
      </c>
      <c r="K49" t="inlineStr">
        <is>
          <t>是</t>
        </is>
      </c>
      <c r="M49" t="inlineStr">
        <is>
          <t>05.01.01</t>
        </is>
      </c>
    </row>
    <row r="50">
      <c r="A50" t="inlineStr">
        <is>
          <t>四级</t>
        </is>
      </c>
      <c r="B50" t="inlineStr">
        <is>
          <t>支出</t>
        </is>
      </c>
      <c r="C50" t="inlineStr">
        <is>
          <t>F.90.01.01.01</t>
        </is>
      </c>
      <c r="D50" t="inlineStr">
        <is>
          <t>人力（不含IT)</t>
        </is>
      </c>
      <c r="F50" t="inlineStr">
        <is>
          <t>F.90.01.01.01.001+F.90.01.01.01.002</t>
        </is>
      </c>
      <c r="K50" t="inlineStr">
        <is>
          <t>是</t>
        </is>
      </c>
      <c r="M50" t="inlineStr">
        <is>
          <t>05.01.01.01</t>
        </is>
      </c>
    </row>
    <row r="51">
      <c r="A51" t="inlineStr">
        <is>
          <t>五级</t>
        </is>
      </c>
      <c r="B51" t="inlineStr">
        <is>
          <t>支出</t>
        </is>
      </c>
      <c r="C51" t="inlineStr">
        <is>
          <t>F.90.01.01.01.001</t>
        </is>
      </c>
      <c r="D51" t="inlineStr">
        <is>
          <t>业务人力</t>
        </is>
      </c>
      <c r="K51" t="inlineStr">
        <is>
          <t>是</t>
        </is>
      </c>
      <c r="M51" t="inlineStr">
        <is>
          <t>05.01.01.01.001</t>
        </is>
      </c>
      <c r="N51" t="inlineStr">
        <is>
          <t>SUM</t>
        </is>
      </c>
    </row>
    <row r="52">
      <c r="A52" t="inlineStr">
        <is>
          <t>五级</t>
        </is>
      </c>
      <c r="B52" t="inlineStr">
        <is>
          <t>支出</t>
        </is>
      </c>
      <c r="C52" t="inlineStr">
        <is>
          <t>F.90.01.01.01.002</t>
        </is>
      </c>
      <c r="D52" t="inlineStr">
        <is>
          <t>特别人力</t>
        </is>
      </c>
      <c r="K52" t="inlineStr">
        <is>
          <t>是</t>
        </is>
      </c>
      <c r="M52" t="inlineStr">
        <is>
          <t>05.01.01.01.002</t>
        </is>
      </c>
      <c r="N52" t="inlineStr">
        <is>
          <t>SUM</t>
        </is>
      </c>
    </row>
    <row r="53">
      <c r="A53" t="inlineStr">
        <is>
          <t>四级</t>
        </is>
      </c>
      <c r="B53" t="inlineStr">
        <is>
          <t>支出</t>
        </is>
      </c>
      <c r="C53" t="inlineStr">
        <is>
          <t>F.90.01.01.02</t>
        </is>
      </c>
      <c r="D53" t="inlineStr">
        <is>
          <t>业务费用</t>
        </is>
      </c>
      <c r="F53" t="inlineStr">
        <is>
          <t>F.90.01.01.02.001+F.90.01.01.02.002</t>
        </is>
      </c>
      <c r="K53" t="inlineStr">
        <is>
          <t>是</t>
        </is>
      </c>
      <c r="M53" t="inlineStr">
        <is>
          <t>05.01.01.02</t>
        </is>
      </c>
    </row>
    <row r="54">
      <c r="A54" t="inlineStr">
        <is>
          <t>五级</t>
        </is>
      </c>
      <c r="B54" t="inlineStr">
        <is>
          <t>支出</t>
        </is>
      </c>
      <c r="C54" t="inlineStr">
        <is>
          <t>F.90.01.01.02.001</t>
        </is>
      </c>
      <c r="D54" t="inlineStr">
        <is>
          <t>营销</t>
        </is>
      </c>
      <c r="K54" t="inlineStr">
        <is>
          <t>是</t>
        </is>
      </c>
      <c r="M54" t="inlineStr">
        <is>
          <t>05.01.01.02.001</t>
        </is>
      </c>
      <c r="N54" t="inlineStr">
        <is>
          <t>SUM</t>
        </is>
      </c>
    </row>
    <row r="55">
      <c r="A55" t="inlineStr">
        <is>
          <t>五级</t>
        </is>
      </c>
      <c r="B55" t="inlineStr">
        <is>
          <t>支出</t>
        </is>
      </c>
      <c r="C55" t="inlineStr">
        <is>
          <t>F.90.01.01.02.002</t>
        </is>
      </c>
      <c r="D55" t="inlineStr">
        <is>
          <t>运营</t>
        </is>
      </c>
      <c r="K55" t="inlineStr">
        <is>
          <t>是</t>
        </is>
      </c>
      <c r="M55" t="inlineStr">
        <is>
          <t>05.01.01.02.002</t>
        </is>
      </c>
      <c r="N55" t="inlineStr">
        <is>
          <t>SUM</t>
        </is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F.90.01.01.03</t>
        </is>
      </c>
      <c r="D56" t="inlineStr">
        <is>
          <t>IT</t>
        </is>
      </c>
      <c r="F56" t="inlineStr">
        <is>
          <t>F.90.01.01.03.01+F.90.01.01.03.02.001+F.90.01.01.03.03.001+F.90.01.01.03.04.001</t>
        </is>
      </c>
      <c r="K56" t="inlineStr">
        <is>
          <t>是</t>
        </is>
      </c>
      <c r="M56" t="inlineStr">
        <is>
          <t>05.01.01.03</t>
        </is>
      </c>
    </row>
    <row r="57">
      <c r="A57" t="inlineStr">
        <is>
          <t>五级</t>
        </is>
      </c>
      <c r="B57" t="inlineStr">
        <is>
          <t>支出</t>
        </is>
      </c>
      <c r="C57" t="inlineStr">
        <is>
          <t>F.90.01.01.03.01</t>
        </is>
      </c>
      <c r="D57" t="inlineStr">
        <is>
          <t>IT人力</t>
        </is>
      </c>
      <c r="F57" t="inlineStr">
        <is>
          <t>F.90.01.01.03.01.001+F.90.01.01.03.01.002</t>
        </is>
      </c>
      <c r="K57" t="inlineStr">
        <is>
          <t>是</t>
        </is>
      </c>
      <c r="M57" t="inlineStr">
        <is>
          <t>05.01.01.03.01</t>
        </is>
      </c>
    </row>
    <row r="58">
      <c r="A58" t="inlineStr">
        <is>
          <t>六级</t>
        </is>
      </c>
      <c r="B58" t="inlineStr">
        <is>
          <t>支出</t>
        </is>
      </c>
      <c r="C58" t="inlineStr">
        <is>
          <t>F.90.01.01.03.01.001</t>
        </is>
      </c>
      <c r="D58" t="inlineStr">
        <is>
          <t>IT常规人力</t>
        </is>
      </c>
      <c r="K58" t="inlineStr">
        <is>
          <t>是</t>
        </is>
      </c>
      <c r="M58" t="inlineStr">
        <is>
          <t>05.01.01.03.01.001</t>
        </is>
      </c>
      <c r="N58" t="inlineStr">
        <is>
          <t>SUM</t>
        </is>
      </c>
    </row>
    <row r="59">
      <c r="A59" t="inlineStr">
        <is>
          <t>六级</t>
        </is>
      </c>
      <c r="B59" t="inlineStr">
        <is>
          <t>支出</t>
        </is>
      </c>
      <c r="C59" t="inlineStr">
        <is>
          <t>F.90.01.01.03.01.002</t>
        </is>
      </c>
      <c r="D59" t="inlineStr">
        <is>
          <t>IT特别人力</t>
        </is>
      </c>
      <c r="K59" t="inlineStr">
        <is>
          <t>是</t>
        </is>
      </c>
      <c r="M59" t="inlineStr">
        <is>
          <t>05.01.01.03.01.002</t>
        </is>
      </c>
      <c r="N59" t="inlineStr">
        <is>
          <t>SUM</t>
        </is>
      </c>
    </row>
    <row r="60">
      <c r="A60" t="inlineStr">
        <is>
          <t>五级</t>
        </is>
      </c>
      <c r="B60" t="inlineStr">
        <is>
          <t>支出</t>
        </is>
      </c>
      <c r="C60" t="inlineStr">
        <is>
          <t>F.90.01.01.03.02</t>
        </is>
      </c>
      <c r="D60" t="inlineStr">
        <is>
          <t>科技</t>
        </is>
      </c>
      <c r="K60" t="inlineStr">
        <is>
          <t>是</t>
        </is>
      </c>
      <c r="M60" t="inlineStr">
        <is>
          <t>05.01.01.03.02</t>
        </is>
      </c>
      <c r="N60" t="inlineStr">
        <is>
          <t>SUM</t>
        </is>
      </c>
    </row>
    <row r="61">
      <c r="A61" t="inlineStr">
        <is>
          <t>五级</t>
        </is>
      </c>
      <c r="B61" t="inlineStr">
        <is>
          <t>支出</t>
        </is>
      </c>
      <c r="C61" t="inlineStr">
        <is>
          <t>F.90.01.01.03.03</t>
        </is>
      </c>
      <c r="D61" t="inlineStr">
        <is>
          <t>IT职场</t>
        </is>
      </c>
      <c r="K61" t="inlineStr">
        <is>
          <t>是</t>
        </is>
      </c>
      <c r="M61" t="inlineStr">
        <is>
          <t>05.01.01.03.03</t>
        </is>
      </c>
      <c r="N61" t="inlineStr">
        <is>
          <t>SUM</t>
        </is>
      </c>
    </row>
    <row r="62">
      <c r="A62" t="inlineStr">
        <is>
          <t>五级</t>
        </is>
      </c>
      <c r="B62" t="inlineStr">
        <is>
          <t>支出</t>
        </is>
      </c>
      <c r="C62" t="inlineStr">
        <is>
          <t>F.90.01.01.03.04</t>
        </is>
      </c>
      <c r="D62" t="inlineStr">
        <is>
          <t>IT日常</t>
        </is>
      </c>
      <c r="K62" t="inlineStr">
        <is>
          <t>是</t>
        </is>
      </c>
      <c r="M62" t="inlineStr">
        <is>
          <t>05.01.01.03.04</t>
        </is>
      </c>
      <c r="N62" t="inlineStr">
        <is>
          <t>SUM</t>
        </is>
      </c>
    </row>
    <row r="63">
      <c r="A63" t="inlineStr">
        <is>
          <t>四级</t>
        </is>
      </c>
      <c r="B63" t="inlineStr">
        <is>
          <t>支出</t>
        </is>
      </c>
      <c r="C63" t="inlineStr">
        <is>
          <t>F.90.01.01.04</t>
        </is>
      </c>
      <c r="D63" t="inlineStr">
        <is>
          <t>AA.05.01.01.04</t>
        </is>
      </c>
      <c r="F63" t="inlineStr">
        <is>
          <t>F.90.01.01.04.001</t>
        </is>
      </c>
      <c r="K63" t="inlineStr">
        <is>
          <t>是</t>
        </is>
      </c>
      <c r="M63" t="inlineStr">
        <is>
          <t>05.01.01.04</t>
        </is>
      </c>
      <c r="N63" t="inlineStr">
        <is>
          <t>SUM</t>
        </is>
      </c>
    </row>
    <row r="64">
      <c r="A64" t="inlineStr">
        <is>
          <t>五级</t>
        </is>
      </c>
      <c r="B64" t="inlineStr">
        <is>
          <t>支出</t>
        </is>
      </c>
      <c r="C64" t="inlineStr">
        <is>
          <t>F.90.01.01.04.001</t>
        </is>
      </c>
      <c r="D64" t="inlineStr">
        <is>
          <t>职场</t>
        </is>
      </c>
      <c r="K64" t="inlineStr">
        <is>
          <t>是</t>
        </is>
      </c>
      <c r="M64" t="inlineStr">
        <is>
          <t>05.01.01.04.001</t>
        </is>
      </c>
      <c r="N64" t="inlineStr">
        <is>
          <t>SUM</t>
        </is>
      </c>
    </row>
    <row r="65">
      <c r="A65" t="inlineStr">
        <is>
          <t>四级</t>
        </is>
      </c>
      <c r="B65" t="inlineStr">
        <is>
          <t>支出</t>
        </is>
      </c>
      <c r="C65" t="inlineStr">
        <is>
          <t>F.90.01.01.05</t>
        </is>
      </c>
      <c r="D65" t="inlineStr">
        <is>
          <t>AA.05.01.01.05</t>
        </is>
      </c>
      <c r="F65" t="inlineStr">
        <is>
          <t>F.90.01.01.05.001</t>
        </is>
      </c>
      <c r="K65" t="inlineStr">
        <is>
          <t>是</t>
        </is>
      </c>
      <c r="M65" t="inlineStr">
        <is>
          <t>05.01.01.05</t>
        </is>
      </c>
      <c r="N65" t="inlineStr">
        <is>
          <t>SUM</t>
        </is>
      </c>
    </row>
    <row r="66">
      <c r="A66" t="inlineStr">
        <is>
          <t>五级</t>
        </is>
      </c>
      <c r="B66" t="inlineStr">
        <is>
          <t>支出</t>
        </is>
      </c>
      <c r="C66" t="inlineStr">
        <is>
          <t>F.90.01.01.05.001</t>
        </is>
      </c>
      <c r="D66" t="inlineStr">
        <is>
          <t>日常</t>
        </is>
      </c>
      <c r="K66" t="inlineStr">
        <is>
          <t>是</t>
        </is>
      </c>
      <c r="M66" t="inlineStr">
        <is>
          <t>05.01.01.05.001</t>
        </is>
      </c>
      <c r="N66" t="inlineStr">
        <is>
          <t>SUM</t>
        </is>
      </c>
    </row>
    <row r="67">
      <c r="A67" t="inlineStr">
        <is>
          <t>三级</t>
        </is>
      </c>
      <c r="B67" t="inlineStr">
        <is>
          <t>支出</t>
        </is>
      </c>
      <c r="C67" t="inlineStr">
        <is>
          <t>F.90.01.02</t>
        </is>
      </c>
      <c r="D67" t="inlineStr">
        <is>
          <t>间接费用</t>
        </is>
      </c>
      <c r="F67" t="inlineStr">
        <is>
          <t>F.90.01.02.01+F.90.01.02.02+F.90.01.02.03+F.90.01.02.04.001+F.90.01.02.05.001</t>
        </is>
      </c>
      <c r="K67" t="inlineStr">
        <is>
          <t>是</t>
        </is>
      </c>
      <c r="M67" t="inlineStr">
        <is>
          <t>05.01.02</t>
        </is>
      </c>
    </row>
    <row r="68">
      <c r="A68" t="inlineStr">
        <is>
          <t>四级</t>
        </is>
      </c>
      <c r="B68" t="inlineStr">
        <is>
          <t>支出</t>
        </is>
      </c>
      <c r="C68" t="inlineStr">
        <is>
          <t>F.90.01.02.01</t>
        </is>
      </c>
      <c r="D68" t="inlineStr">
        <is>
          <t>人力（不含IT)</t>
        </is>
      </c>
      <c r="F68" t="inlineStr">
        <is>
          <t>F.90.01.02.01.001+F.90.01.02.01.002</t>
        </is>
      </c>
      <c r="K68" t="inlineStr">
        <is>
          <t>是</t>
        </is>
      </c>
      <c r="M68" t="inlineStr">
        <is>
          <t>05.01.02.01</t>
        </is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F.90.01.02.01.001</t>
        </is>
      </c>
      <c r="D69" t="inlineStr">
        <is>
          <t>业务人力</t>
        </is>
      </c>
      <c r="K69" t="inlineStr">
        <is>
          <t>是</t>
        </is>
      </c>
      <c r="M69" t="inlineStr">
        <is>
          <t>05.01.02.01.001</t>
        </is>
      </c>
      <c r="N69" t="inlineStr">
        <is>
          <t>SUM</t>
        </is>
      </c>
    </row>
    <row r="70">
      <c r="A70" t="inlineStr">
        <is>
          <t>五级</t>
        </is>
      </c>
      <c r="B70" t="inlineStr">
        <is>
          <t>支出</t>
        </is>
      </c>
      <c r="C70" t="inlineStr">
        <is>
          <t>F.90.01.02.01.002</t>
        </is>
      </c>
      <c r="D70" t="inlineStr">
        <is>
          <t>特别人力</t>
        </is>
      </c>
      <c r="K70" t="inlineStr">
        <is>
          <t>是</t>
        </is>
      </c>
      <c r="M70" t="inlineStr">
        <is>
          <t>05.01.02.01.002</t>
        </is>
      </c>
      <c r="N70" t="inlineStr">
        <is>
          <t>SUM</t>
        </is>
      </c>
    </row>
    <row r="71">
      <c r="A71" t="inlineStr">
        <is>
          <t>四级</t>
        </is>
      </c>
      <c r="B71" t="inlineStr">
        <is>
          <t>支出</t>
        </is>
      </c>
      <c r="C71" t="inlineStr">
        <is>
          <t>F.90.01.02.02</t>
        </is>
      </c>
      <c r="D71" t="inlineStr">
        <is>
          <t>业务费用</t>
        </is>
      </c>
      <c r="F71" t="inlineStr">
        <is>
          <t>F.90.01.02.02.001+F.90.01.02.02.002</t>
        </is>
      </c>
      <c r="K71" t="inlineStr">
        <is>
          <t>是</t>
        </is>
      </c>
      <c r="M71" t="inlineStr">
        <is>
          <t>05.01.02.02</t>
        </is>
      </c>
    </row>
    <row r="72">
      <c r="A72" t="inlineStr">
        <is>
          <t>五级</t>
        </is>
      </c>
      <c r="B72" t="inlineStr">
        <is>
          <t>支出</t>
        </is>
      </c>
      <c r="C72" t="inlineStr">
        <is>
          <t>F.90.01.02.02.001</t>
        </is>
      </c>
      <c r="D72" t="inlineStr">
        <is>
          <t>营销</t>
        </is>
      </c>
      <c r="K72" t="inlineStr">
        <is>
          <t>是</t>
        </is>
      </c>
      <c r="M72" t="inlineStr">
        <is>
          <t>05.01.02.02.001</t>
        </is>
      </c>
      <c r="N72" t="inlineStr">
        <is>
          <t>SUM</t>
        </is>
      </c>
    </row>
    <row r="73">
      <c r="A73" t="inlineStr">
        <is>
          <t>五级</t>
        </is>
      </c>
      <c r="B73" t="inlineStr">
        <is>
          <t>支出</t>
        </is>
      </c>
      <c r="C73" t="inlineStr">
        <is>
          <t>F.90.01.02.02.002</t>
        </is>
      </c>
      <c r="D73" t="inlineStr">
        <is>
          <t>运营</t>
        </is>
      </c>
      <c r="K73" t="inlineStr">
        <is>
          <t>是</t>
        </is>
      </c>
      <c r="M73" t="inlineStr">
        <is>
          <t>05.01.02.02.002</t>
        </is>
      </c>
      <c r="N73" t="inlineStr">
        <is>
          <t>SUM</t>
        </is>
      </c>
    </row>
    <row r="74">
      <c r="A74" t="inlineStr">
        <is>
          <t>四级</t>
        </is>
      </c>
      <c r="B74" t="inlineStr">
        <is>
          <t>支出</t>
        </is>
      </c>
      <c r="C74" t="inlineStr">
        <is>
          <t>F.90.01.02.03</t>
        </is>
      </c>
      <c r="D74" t="inlineStr">
        <is>
          <t>IT</t>
        </is>
      </c>
      <c r="F74" t="inlineStr">
        <is>
          <t>F.90.01.02.03.01+F.90.01.02.03.02.001+F.90.01.02.03.03.001+F.90.01.02.03.04.001</t>
        </is>
      </c>
      <c r="K74" t="inlineStr">
        <is>
          <t>是</t>
        </is>
      </c>
      <c r="M74" t="inlineStr">
        <is>
          <t>05.01.02.03</t>
        </is>
      </c>
    </row>
    <row r="75">
      <c r="A75" t="inlineStr">
        <is>
          <t>五级</t>
        </is>
      </c>
      <c r="B75" t="inlineStr">
        <is>
          <t>支出</t>
        </is>
      </c>
      <c r="C75" t="inlineStr">
        <is>
          <t>F.90.01.02.03.01</t>
        </is>
      </c>
      <c r="D75" t="inlineStr">
        <is>
          <t>IT人力</t>
        </is>
      </c>
      <c r="F75" t="inlineStr">
        <is>
          <t>F.90.01.02.03.01.001+F.90.01.02.03.01.002</t>
        </is>
      </c>
      <c r="K75" t="inlineStr">
        <is>
          <t>是</t>
        </is>
      </c>
      <c r="M75" t="inlineStr">
        <is>
          <t>05.01.02.03.01</t>
        </is>
      </c>
    </row>
    <row r="76">
      <c r="A76" t="inlineStr">
        <is>
          <t>六级</t>
        </is>
      </c>
      <c r="B76" t="inlineStr">
        <is>
          <t>支出</t>
        </is>
      </c>
      <c r="C76" t="inlineStr">
        <is>
          <t>F.90.01.02.03.01.001</t>
        </is>
      </c>
      <c r="D76" t="inlineStr">
        <is>
          <t>IT常规人力</t>
        </is>
      </c>
      <c r="K76" t="inlineStr">
        <is>
          <t>是</t>
        </is>
      </c>
      <c r="M76" t="inlineStr">
        <is>
          <t>05.01.02.03.01.001</t>
        </is>
      </c>
      <c r="N76" t="inlineStr">
        <is>
          <t>SUM</t>
        </is>
      </c>
    </row>
    <row r="77">
      <c r="A77" t="inlineStr">
        <is>
          <t>六级</t>
        </is>
      </c>
      <c r="B77" t="inlineStr">
        <is>
          <t>支出</t>
        </is>
      </c>
      <c r="C77" t="inlineStr">
        <is>
          <t>F.90.01.02.03.01.002</t>
        </is>
      </c>
      <c r="D77" t="inlineStr">
        <is>
          <t>IT特别人力</t>
        </is>
      </c>
      <c r="K77" t="inlineStr">
        <is>
          <t>是</t>
        </is>
      </c>
      <c r="M77" t="inlineStr">
        <is>
          <t>05.01.02.03.01.002</t>
        </is>
      </c>
      <c r="N77" t="inlineStr">
        <is>
          <t>SUM</t>
        </is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F.90.01.02.03.02</t>
        </is>
      </c>
      <c r="D78" t="inlineStr">
        <is>
          <t>AA.05.01.02.03.02</t>
        </is>
      </c>
      <c r="F78" t="inlineStr">
        <is>
          <t>F.90.01.02.03.02.001</t>
        </is>
      </c>
      <c r="K78" t="inlineStr">
        <is>
          <t>是</t>
        </is>
      </c>
      <c r="M78" t="inlineStr">
        <is>
          <t>05.01.02.03.02</t>
        </is>
      </c>
      <c r="N78" t="inlineStr">
        <is>
          <t>SUM</t>
        </is>
      </c>
    </row>
    <row r="79">
      <c r="A79" t="inlineStr">
        <is>
          <t>六级</t>
        </is>
      </c>
      <c r="B79" t="inlineStr">
        <is>
          <t>支出</t>
        </is>
      </c>
      <c r="C79" t="inlineStr">
        <is>
          <t>F.90.01.02.03.02.001</t>
        </is>
      </c>
      <c r="D79" t="inlineStr">
        <is>
          <t>科技</t>
        </is>
      </c>
      <c r="K79" t="inlineStr">
        <is>
          <t>是</t>
        </is>
      </c>
      <c r="M79" t="inlineStr">
        <is>
          <t>05.01.02.03.02.001</t>
        </is>
      </c>
      <c r="N79" t="inlineStr">
        <is>
          <t>SUM</t>
        </is>
      </c>
    </row>
    <row r="80">
      <c r="A80" t="inlineStr">
        <is>
          <t>五级</t>
        </is>
      </c>
      <c r="B80" t="inlineStr">
        <is>
          <t>支出</t>
        </is>
      </c>
      <c r="C80" t="inlineStr">
        <is>
          <t>F.90.01.02.03.03</t>
        </is>
      </c>
      <c r="D80" t="inlineStr">
        <is>
          <t>AA.05.01.02.03.03</t>
        </is>
      </c>
      <c r="F80" t="inlineStr">
        <is>
          <t>F.90.01.02.03.03.001</t>
        </is>
      </c>
      <c r="K80" t="inlineStr">
        <is>
          <t>是</t>
        </is>
      </c>
      <c r="M80" t="inlineStr">
        <is>
          <t>05.01.02.03.03</t>
        </is>
      </c>
      <c r="N80" t="inlineStr">
        <is>
          <t>SUM</t>
        </is>
      </c>
    </row>
    <row r="81">
      <c r="A81" t="inlineStr">
        <is>
          <t>六级</t>
        </is>
      </c>
      <c r="B81" t="inlineStr">
        <is>
          <t>支出</t>
        </is>
      </c>
      <c r="C81" t="inlineStr">
        <is>
          <t>F.90.01.02.03.03.001</t>
        </is>
      </c>
      <c r="D81" t="inlineStr">
        <is>
          <t>IT职场</t>
        </is>
      </c>
      <c r="K81" t="inlineStr">
        <is>
          <t>是</t>
        </is>
      </c>
      <c r="M81" t="inlineStr">
        <is>
          <t>05.01.02.03.03.001</t>
        </is>
      </c>
      <c r="N81" t="inlineStr">
        <is>
          <t>SUM</t>
        </is>
      </c>
    </row>
    <row r="82">
      <c r="A82" t="inlineStr">
        <is>
          <t>五级</t>
        </is>
      </c>
      <c r="B82" t="inlineStr">
        <is>
          <t>支出</t>
        </is>
      </c>
      <c r="C82" t="inlineStr">
        <is>
          <t>F.90.01.02.03.04</t>
        </is>
      </c>
      <c r="D82" t="inlineStr">
        <is>
          <t>AA.05.01.02.03.04</t>
        </is>
      </c>
      <c r="F82" t="inlineStr">
        <is>
          <t>F.90.01.02.03.04.001</t>
        </is>
      </c>
      <c r="K82" t="inlineStr">
        <is>
          <t>是</t>
        </is>
      </c>
      <c r="M82" t="inlineStr">
        <is>
          <t>05.01.02.03.04</t>
        </is>
      </c>
      <c r="N82" t="inlineStr">
        <is>
          <t>SUM</t>
        </is>
      </c>
    </row>
    <row r="83">
      <c r="A83" t="inlineStr">
        <is>
          <t>六级</t>
        </is>
      </c>
      <c r="B83" t="inlineStr">
        <is>
          <t>支出</t>
        </is>
      </c>
      <c r="C83" t="inlineStr">
        <is>
          <t>F.90.01.02.03.04.001</t>
        </is>
      </c>
      <c r="D83" t="inlineStr">
        <is>
          <t>IT日常</t>
        </is>
      </c>
      <c r="K83" t="inlineStr">
        <is>
          <t>是</t>
        </is>
      </c>
      <c r="M83" t="inlineStr">
        <is>
          <t>05.01.02.03.04.001</t>
        </is>
      </c>
      <c r="N83" t="inlineStr">
        <is>
          <t>SUM</t>
        </is>
      </c>
    </row>
    <row r="84">
      <c r="A84" t="inlineStr">
        <is>
          <t>四级</t>
        </is>
      </c>
      <c r="B84" t="inlineStr">
        <is>
          <t>支出</t>
        </is>
      </c>
      <c r="C84" t="inlineStr">
        <is>
          <t>F.90.01.02.04</t>
        </is>
      </c>
      <c r="D84" t="inlineStr">
        <is>
          <t>AA.05.01.02.04</t>
        </is>
      </c>
      <c r="F84" t="inlineStr">
        <is>
          <t>F.90.01.02.04.001</t>
        </is>
      </c>
      <c r="K84" t="inlineStr">
        <is>
          <t>是</t>
        </is>
      </c>
      <c r="M84" t="inlineStr">
        <is>
          <t>05.01.02.04</t>
        </is>
      </c>
      <c r="N84" t="inlineStr">
        <is>
          <t>SUM</t>
        </is>
      </c>
    </row>
    <row r="85">
      <c r="A85" t="inlineStr">
        <is>
          <t>五级</t>
        </is>
      </c>
      <c r="B85" t="inlineStr">
        <is>
          <t>支出</t>
        </is>
      </c>
      <c r="C85" t="inlineStr">
        <is>
          <t>F.90.01.02.04.001</t>
        </is>
      </c>
      <c r="D85" t="inlineStr">
        <is>
          <t>职场</t>
        </is>
      </c>
      <c r="K85" t="inlineStr">
        <is>
          <t>是</t>
        </is>
      </c>
      <c r="M85" t="inlineStr">
        <is>
          <t>05.01.02.04.001</t>
        </is>
      </c>
      <c r="N85" t="inlineStr">
        <is>
          <t>SUM</t>
        </is>
      </c>
    </row>
    <row r="86">
      <c r="A86" t="inlineStr">
        <is>
          <t>四级</t>
        </is>
      </c>
      <c r="B86" t="inlineStr">
        <is>
          <t>支出</t>
        </is>
      </c>
      <c r="C86" t="inlineStr">
        <is>
          <t>F.90.01.02.05</t>
        </is>
      </c>
      <c r="D86" t="inlineStr">
        <is>
          <t>AA.05.01.02.05</t>
        </is>
      </c>
      <c r="F86" t="inlineStr">
        <is>
          <t>F.90.01.02.05.001</t>
        </is>
      </c>
      <c r="K86" t="inlineStr">
        <is>
          <t>是</t>
        </is>
      </c>
      <c r="M86" t="inlineStr">
        <is>
          <t>05.01.02.05</t>
        </is>
      </c>
      <c r="N86" t="inlineStr">
        <is>
          <t>SUM</t>
        </is>
      </c>
    </row>
    <row r="87">
      <c r="A87" t="inlineStr">
        <is>
          <t>五级</t>
        </is>
      </c>
      <c r="B87" t="inlineStr">
        <is>
          <t>支出</t>
        </is>
      </c>
      <c r="C87" t="inlineStr">
        <is>
          <t>F.90.01.02.05.001</t>
        </is>
      </c>
      <c r="D87" t="inlineStr">
        <is>
          <t>日常</t>
        </is>
      </c>
      <c r="K87" t="inlineStr">
        <is>
          <t>是</t>
        </is>
      </c>
      <c r="M87" t="inlineStr">
        <is>
          <t>05.01.02.05.001</t>
        </is>
      </c>
      <c r="N87" t="inlineStr">
        <is>
          <t>SUM</t>
        </is>
      </c>
    </row>
    <row r="88">
      <c r="A88" t="inlineStr">
        <is>
          <t>二级</t>
        </is>
      </c>
      <c r="B88" t="inlineStr">
        <is>
          <t>支出</t>
        </is>
      </c>
      <c r="C88" t="inlineStr">
        <is>
          <t>F.90.02</t>
        </is>
      </c>
      <c r="D88" t="inlineStr">
        <is>
          <t>业务费用</t>
        </is>
      </c>
      <c r="F88" t="inlineStr">
        <is>
          <t>F.90.02.01+F.90.02.02</t>
        </is>
      </c>
      <c r="K88" t="inlineStr">
        <is>
          <t>是</t>
        </is>
      </c>
      <c r="N88" t="inlineStr">
        <is>
          <t>SUM</t>
        </is>
      </c>
    </row>
    <row r="89">
      <c r="A89" t="inlineStr">
        <is>
          <t>三级</t>
        </is>
      </c>
      <c r="B89" t="inlineStr">
        <is>
          <t>支出</t>
        </is>
      </c>
      <c r="C89" t="inlineStr">
        <is>
          <t>F.90.02.01</t>
        </is>
      </c>
      <c r="D89" t="inlineStr">
        <is>
          <t>营销费用</t>
        </is>
      </c>
      <c r="K89" t="inlineStr">
        <is>
          <t>是</t>
        </is>
      </c>
      <c r="N89" t="inlineStr">
        <is>
          <t>SUM</t>
        </is>
      </c>
    </row>
    <row r="90">
      <c r="A90" t="inlineStr">
        <is>
          <t>三级</t>
        </is>
      </c>
      <c r="B90" t="inlineStr">
        <is>
          <t>支出</t>
        </is>
      </c>
      <c r="C90" t="inlineStr">
        <is>
          <t>F.90.02.02</t>
        </is>
      </c>
      <c r="D90" t="inlineStr">
        <is>
          <t>运营费用</t>
        </is>
      </c>
      <c r="K90" t="inlineStr">
        <is>
          <t>是</t>
        </is>
      </c>
      <c r="N90" t="inlineStr">
        <is>
          <t>SUM</t>
        </is>
      </c>
    </row>
    <row r="91">
      <c r="A91" t="inlineStr">
        <is>
          <t>二级</t>
        </is>
      </c>
      <c r="B91" t="inlineStr">
        <is>
          <t>支出</t>
        </is>
      </c>
      <c r="C91" t="inlineStr">
        <is>
          <t>F.90.03</t>
        </is>
      </c>
      <c r="D91" t="inlineStr">
        <is>
          <t>业务支出评估</t>
        </is>
      </c>
      <c r="F91" t="inlineStr">
        <is>
          <t>F.90.03.09</t>
        </is>
      </c>
      <c r="K91" t="inlineStr">
        <is>
          <t>是</t>
        </is>
      </c>
      <c r="M91" t="inlineStr">
        <is>
          <t>05.02</t>
        </is>
      </c>
    </row>
    <row r="92">
      <c r="A92" t="inlineStr">
        <is>
          <t>三级</t>
        </is>
      </c>
      <c r="B92" t="inlineStr">
        <is>
          <t>支出</t>
        </is>
      </c>
      <c r="C92" t="inlineStr">
        <is>
          <t>F.90.03.09</t>
        </is>
      </c>
      <c r="D92" t="inlineStr">
        <is>
          <t>客户经营指标</t>
        </is>
      </c>
      <c r="F92" t="inlineStr">
        <is>
          <t>F.90.03.09.01+F.90.03.09.02+F.90.03.09.03</t>
        </is>
      </c>
      <c r="K92" t="inlineStr">
        <is>
          <t>是</t>
        </is>
      </c>
      <c r="M92" t="inlineStr">
        <is>
          <t>05.02.09</t>
        </is>
      </c>
    </row>
    <row r="93">
      <c r="A93" t="inlineStr">
        <is>
          <t>四级</t>
        </is>
      </c>
      <c r="B93" t="inlineStr">
        <is>
          <t>支出</t>
        </is>
      </c>
      <c r="C93" t="inlineStr">
        <is>
          <t>F.90.03.09.01</t>
        </is>
      </c>
      <c r="D93" t="inlineStr">
        <is>
          <t>客户营销与投入</t>
        </is>
      </c>
      <c r="F93" t="inlineStr">
        <is>
          <t>F.90.03.09.01.001+F.90.03.09.01.002+F.90.03.09.01.003+F.90.03.09.01.004</t>
        </is>
      </c>
      <c r="K93" t="inlineStr">
        <is>
          <t>是</t>
        </is>
      </c>
      <c r="M93" t="inlineStr">
        <is>
          <t>05.02.09.01</t>
        </is>
      </c>
    </row>
    <row r="94">
      <c r="A94" t="inlineStr">
        <is>
          <t>五级</t>
        </is>
      </c>
      <c r="B94" t="inlineStr">
        <is>
          <t>支出</t>
        </is>
      </c>
      <c r="C94" t="inlineStr">
        <is>
          <t>F.90.03.09.01.001</t>
        </is>
      </c>
      <c r="D94" t="inlineStr">
        <is>
          <t>新客营销支出</t>
        </is>
      </c>
      <c r="K94" t="inlineStr">
        <is>
          <t>是</t>
        </is>
      </c>
      <c r="M94" t="inlineStr">
        <is>
          <t>05.02.09.01.001</t>
        </is>
      </c>
      <c r="N94" t="inlineStr">
        <is>
          <t>SUM</t>
        </is>
      </c>
    </row>
    <row r="95">
      <c r="A95" t="inlineStr">
        <is>
          <t>五级</t>
        </is>
      </c>
      <c r="B95" t="inlineStr">
        <is>
          <t>支出</t>
        </is>
      </c>
      <c r="C95" t="inlineStr">
        <is>
          <t>F.90.03.09.01.002</t>
        </is>
      </c>
      <c r="D95" t="inlineStr">
        <is>
          <t>存客营销支出</t>
        </is>
      </c>
      <c r="K95" t="inlineStr">
        <is>
          <t>是</t>
        </is>
      </c>
      <c r="M95" t="inlineStr">
        <is>
          <t>05.02.09.01.002</t>
        </is>
      </c>
      <c r="N95" t="inlineStr">
        <is>
          <t>SUM</t>
        </is>
      </c>
    </row>
    <row r="96">
      <c r="A96" t="inlineStr">
        <is>
          <t>五级</t>
        </is>
      </c>
      <c r="B96" t="inlineStr">
        <is>
          <t>支出</t>
        </is>
      </c>
      <c r="C96" t="inlineStr">
        <is>
          <t>F.90.03.09.01.003</t>
        </is>
      </c>
      <c r="D96" t="inlineStr">
        <is>
          <t>新开通客户投入</t>
        </is>
      </c>
      <c r="K96" t="inlineStr">
        <is>
          <t>是</t>
        </is>
      </c>
      <c r="M96" t="inlineStr">
        <is>
          <t>05.02.09.01.003</t>
        </is>
      </c>
      <c r="N96" t="inlineStr">
        <is>
          <t>SUM</t>
        </is>
      </c>
    </row>
    <row r="97">
      <c r="A97" t="inlineStr">
        <is>
          <t>五级</t>
        </is>
      </c>
      <c r="B97" t="inlineStr">
        <is>
          <t>支出</t>
        </is>
      </c>
      <c r="C97" t="inlineStr">
        <is>
          <t>F.90.03.09.01.004</t>
        </is>
      </c>
      <c r="D97" t="inlineStr">
        <is>
          <t>新发放投入</t>
        </is>
      </c>
      <c r="K97" t="inlineStr">
        <is>
          <t>是</t>
        </is>
      </c>
      <c r="M97" t="inlineStr">
        <is>
          <t>05.02.09.01.004</t>
        </is>
      </c>
      <c r="N97" t="inlineStr">
        <is>
          <t>SUM</t>
        </is>
      </c>
    </row>
    <row r="98">
      <c r="A98" t="inlineStr">
        <is>
          <t>四级</t>
        </is>
      </c>
      <c r="B98" t="inlineStr">
        <is>
          <t>支出</t>
        </is>
      </c>
      <c r="C98" t="inlineStr">
        <is>
          <t>F.90.03.09.02</t>
        </is>
      </c>
      <c r="D98" t="inlineStr">
        <is>
          <t>客户规模与数量</t>
        </is>
      </c>
      <c r="F98" t="inlineStr">
        <is>
          <t>F.90.03.09.02.101+F.90.03.09.02.102+F.90.03.09.02.103</t>
        </is>
      </c>
      <c r="K98" t="inlineStr">
        <is>
          <t>是</t>
        </is>
      </c>
      <c r="M98" t="inlineStr">
        <is>
          <t>05.02.09.02</t>
        </is>
      </c>
    </row>
    <row r="99">
      <c r="A99" t="inlineStr">
        <is>
          <t>五级</t>
        </is>
      </c>
      <c r="B99" t="inlineStr">
        <is>
          <t>支出</t>
        </is>
      </c>
      <c r="C99" t="inlineStr">
        <is>
          <t>F.90.03.09.02.001</t>
        </is>
      </c>
      <c r="D99" t="inlineStr">
        <is>
          <t>新客日均LUM</t>
        </is>
      </c>
      <c r="K99" t="inlineStr">
        <is>
          <t>是</t>
        </is>
      </c>
      <c r="M99" t="inlineStr">
        <is>
          <t>05.02.09.02.001</t>
        </is>
      </c>
      <c r="N99" t="inlineStr">
        <is>
          <t>SUM</t>
        </is>
      </c>
    </row>
    <row r="100">
      <c r="A100" t="inlineStr">
        <is>
          <t>五级</t>
        </is>
      </c>
      <c r="B100" t="inlineStr">
        <is>
          <t>支出</t>
        </is>
      </c>
      <c r="C100" t="inlineStr">
        <is>
          <t>F.90.03.09.02.002</t>
        </is>
      </c>
      <c r="D100" t="inlineStr">
        <is>
          <t>存客日均LUM</t>
        </is>
      </c>
      <c r="K100" t="inlineStr">
        <is>
          <t>是</t>
        </is>
      </c>
      <c r="M100" t="inlineStr">
        <is>
          <t>05.02.09.02.002</t>
        </is>
      </c>
      <c r="N100" t="inlineStr">
        <is>
          <t>SUM</t>
        </is>
      </c>
    </row>
    <row r="101">
      <c r="A101" t="inlineStr">
        <is>
          <t>五级</t>
        </is>
      </c>
      <c r="B101" t="inlineStr">
        <is>
          <t>支出</t>
        </is>
      </c>
      <c r="C101" t="inlineStr">
        <is>
          <t>F.90.03.09.02.003</t>
        </is>
      </c>
      <c r="D101" t="inlineStr">
        <is>
          <t>新开通客户数</t>
        </is>
      </c>
      <c r="K101" t="inlineStr">
        <is>
          <t>是</t>
        </is>
      </c>
      <c r="M101" t="inlineStr">
        <is>
          <t>05.02.09.02.003</t>
        </is>
      </c>
      <c r="N101" t="inlineStr">
        <is>
          <t>SUM</t>
        </is>
      </c>
    </row>
    <row r="102">
      <c r="A102" t="inlineStr">
        <is>
          <t>五级</t>
        </is>
      </c>
      <c r="B102" t="inlineStr">
        <is>
          <t>支出</t>
        </is>
      </c>
      <c r="C102" t="inlineStr">
        <is>
          <t>F.90.03.09.02.004</t>
        </is>
      </c>
      <c r="D102" t="inlineStr">
        <is>
          <t>平均有效客户数</t>
        </is>
      </c>
      <c r="K102" t="inlineStr">
        <is>
          <t>是</t>
        </is>
      </c>
      <c r="M102" t="inlineStr">
        <is>
          <t>05.02.09.02.004</t>
        </is>
      </c>
      <c r="N102" t="inlineStr">
        <is>
          <t>SUM</t>
        </is>
      </c>
    </row>
    <row r="103">
      <c r="A103" t="inlineStr">
        <is>
          <t>五级</t>
        </is>
      </c>
      <c r="B103" t="inlineStr">
        <is>
          <t>支出</t>
        </is>
      </c>
      <c r="C103" t="inlineStr">
        <is>
          <t>F.90.03.09.02.005</t>
        </is>
      </c>
      <c r="D103" t="inlineStr">
        <is>
          <t>新发放LUM</t>
        </is>
      </c>
      <c r="K103" t="inlineStr">
        <is>
          <t>是</t>
        </is>
      </c>
      <c r="M103" t="inlineStr">
        <is>
          <t>05.02.09.02.005</t>
        </is>
      </c>
      <c r="N103" t="inlineStr">
        <is>
          <t>SUM</t>
        </is>
      </c>
    </row>
    <row r="104">
      <c r="A104" t="inlineStr">
        <is>
          <t>五级</t>
        </is>
      </c>
      <c r="B104" t="inlineStr">
        <is>
          <t>支出</t>
        </is>
      </c>
      <c r="C104" t="inlineStr">
        <is>
          <t>F.90.03.09.02.006</t>
        </is>
      </c>
      <c r="D104" t="inlineStr">
        <is>
          <t>新发放LUM（标服）</t>
        </is>
      </c>
      <c r="K104" t="inlineStr">
        <is>
          <t>是</t>
        </is>
      </c>
      <c r="M104" t="inlineStr">
        <is>
          <t>05.02.09.02.006</t>
        </is>
      </c>
      <c r="N104" t="inlineStr">
        <is>
          <t>SUM</t>
        </is>
      </c>
    </row>
    <row r="105">
      <c r="A105" t="inlineStr">
        <is>
          <t>五级</t>
        </is>
      </c>
      <c r="B105" t="inlineStr">
        <is>
          <t>支出</t>
        </is>
      </c>
      <c r="C105" t="inlineStr">
        <is>
          <t>F.90.03.09.02.007</t>
        </is>
      </c>
      <c r="D105" t="inlineStr">
        <is>
          <t>存客日均AuM</t>
        </is>
      </c>
      <c r="K105" t="inlineStr">
        <is>
          <t>是</t>
        </is>
      </c>
      <c r="M105" t="inlineStr">
        <is>
          <t>05.02.09.02.007</t>
        </is>
      </c>
      <c r="N105" t="inlineStr">
        <is>
          <t>SUM</t>
        </is>
      </c>
    </row>
    <row r="106">
      <c r="A106" t="inlineStr">
        <is>
          <t>五级</t>
        </is>
      </c>
      <c r="B106" t="inlineStr">
        <is>
          <t>支出</t>
        </is>
      </c>
      <c r="C106" t="inlineStr">
        <is>
          <t>F.90.03.09.02.008</t>
        </is>
      </c>
      <c r="D106" t="inlineStr">
        <is>
          <t>新客AuM余额</t>
        </is>
      </c>
      <c r="K106" t="inlineStr">
        <is>
          <t>是</t>
        </is>
      </c>
      <c r="M106" t="inlineStr">
        <is>
          <t>05.02.09.02.008</t>
        </is>
      </c>
      <c r="N106" t="inlineStr">
        <is>
          <t>SUM</t>
        </is>
      </c>
    </row>
    <row r="107">
      <c r="A107" t="inlineStr">
        <is>
          <t>五级</t>
        </is>
      </c>
      <c r="B107" t="inlineStr">
        <is>
          <t>支出</t>
        </is>
      </c>
      <c r="C107" t="inlineStr">
        <is>
          <t>F.90.03.09.02.009</t>
        </is>
      </c>
      <c r="D107" t="inlineStr">
        <is>
          <t>MFAU客户数</t>
        </is>
      </c>
      <c r="K107" t="inlineStr">
        <is>
          <t>是</t>
        </is>
      </c>
      <c r="M107" t="inlineStr">
        <is>
          <t>05.02.09.02.009</t>
        </is>
      </c>
      <c r="N107" t="inlineStr">
        <is>
          <t>SUM</t>
        </is>
      </c>
    </row>
    <row r="108">
      <c r="A108" t="inlineStr">
        <is>
          <t>五级</t>
        </is>
      </c>
      <c r="B108" t="inlineStr">
        <is>
          <t>支出</t>
        </is>
      </c>
      <c r="C108" t="inlineStr">
        <is>
          <t>F.90.03.09.02.010</t>
        </is>
      </c>
      <c r="D108" t="inlineStr">
        <is>
          <t>日均LUM</t>
        </is>
      </c>
      <c r="K108" t="inlineStr">
        <is>
          <t>是</t>
        </is>
      </c>
      <c r="M108" t="inlineStr">
        <is>
          <t>05.02.09.02.010</t>
        </is>
      </c>
      <c r="N108" t="inlineStr">
        <is>
          <t>SUM</t>
        </is>
      </c>
    </row>
    <row r="109">
      <c r="A109" t="inlineStr">
        <is>
          <t>五级</t>
        </is>
      </c>
      <c r="B109" t="inlineStr">
        <is>
          <t>支出</t>
        </is>
      </c>
      <c r="C109" t="inlineStr">
        <is>
          <t>F.90.03.09.02.011</t>
        </is>
      </c>
      <c r="D109" t="inlineStr">
        <is>
          <t>日均AuM</t>
        </is>
      </c>
      <c r="K109" t="inlineStr">
        <is>
          <t>是</t>
        </is>
      </c>
      <c r="M109" t="inlineStr">
        <is>
          <t>05.02.09.02.011</t>
        </is>
      </c>
      <c r="N109" t="inlineStr">
        <is>
          <t>SUM</t>
        </is>
      </c>
    </row>
    <row r="110">
      <c r="A110" t="inlineStr">
        <is>
          <t>五级</t>
        </is>
      </c>
      <c r="B110" t="inlineStr">
        <is>
          <t>支出</t>
        </is>
      </c>
      <c r="C110" t="inlineStr">
        <is>
          <t>F.90.03.09.02.101</t>
        </is>
      </c>
      <c r="D110" t="inlineStr">
        <is>
          <t>LUM规模</t>
        </is>
      </c>
      <c r="F110" t="inlineStr">
        <is>
          <t>F.90.03.09.02.001+F.90.03.09.02.002+F.90.03.09.02.005+F.90.03.09.02.006+F.90.03.09.02.010</t>
        </is>
      </c>
      <c r="K110" t="inlineStr">
        <is>
          <t>是</t>
        </is>
      </c>
      <c r="M110" t="inlineStr">
        <is>
          <t>05.02.09.02.101</t>
        </is>
      </c>
    </row>
    <row r="111">
      <c r="A111" t="inlineStr">
        <is>
          <t>五级</t>
        </is>
      </c>
      <c r="B111" t="inlineStr">
        <is>
          <t>支出</t>
        </is>
      </c>
      <c r="C111" t="inlineStr">
        <is>
          <t>F.90.03.09.02.102</t>
        </is>
      </c>
      <c r="D111" t="inlineStr">
        <is>
          <t>AuM规模</t>
        </is>
      </c>
      <c r="F111" t="inlineStr">
        <is>
          <t>F.90.03.09.02.007+F.90.03.09.02.008+F.90.03.09.02.011</t>
        </is>
      </c>
      <c r="K111" t="inlineStr">
        <is>
          <t>是</t>
        </is>
      </c>
      <c r="M111" t="inlineStr">
        <is>
          <t>05.02.09.02.102</t>
        </is>
      </c>
    </row>
    <row r="112">
      <c r="A112" t="inlineStr">
        <is>
          <t>五级</t>
        </is>
      </c>
      <c r="B112" t="inlineStr">
        <is>
          <t>支出</t>
        </is>
      </c>
      <c r="C112" t="inlineStr">
        <is>
          <t>F.90.03.09.02.103</t>
        </is>
      </c>
      <c r="D112" t="inlineStr">
        <is>
          <t>客户数量</t>
        </is>
      </c>
      <c r="F112" t="inlineStr">
        <is>
          <t>F.90.03.09.02.003+F.90.03.09.02.004+F.90.03.09.02.009</t>
        </is>
      </c>
      <c r="K112" t="inlineStr">
        <is>
          <t>是</t>
        </is>
      </c>
      <c r="M112" t="inlineStr">
        <is>
          <t>05.02.09.02.103</t>
        </is>
      </c>
    </row>
    <row r="113">
      <c r="A113" t="inlineStr">
        <is>
          <t>四级</t>
        </is>
      </c>
      <c r="B113" t="inlineStr">
        <is>
          <t>支出</t>
        </is>
      </c>
      <c r="C113" t="inlineStr">
        <is>
          <t>F.90.03.09.03</t>
        </is>
      </c>
      <c r="D113" t="inlineStr">
        <is>
          <t>客户回收与催收</t>
        </is>
      </c>
      <c r="F113" t="inlineStr">
        <is>
          <t>F.90.03.09.03.001+F.90.03.09.03.002+F.90.03.09.03.003</t>
        </is>
      </c>
      <c r="K113" t="inlineStr">
        <is>
          <t>是</t>
        </is>
      </c>
      <c r="M113" t="inlineStr">
        <is>
          <t>05.02.09.03</t>
        </is>
      </c>
    </row>
    <row r="114">
      <c r="A114" t="inlineStr">
        <is>
          <t>五级</t>
        </is>
      </c>
      <c r="B114" t="inlineStr">
        <is>
          <t>支出</t>
        </is>
      </c>
      <c r="C114" t="inlineStr">
        <is>
          <t>F.90.03.09.03.001</t>
        </is>
      </c>
      <c r="D114" t="inlineStr">
        <is>
          <t>内催回收额</t>
        </is>
      </c>
      <c r="K114" t="inlineStr">
        <is>
          <t>是</t>
        </is>
      </c>
      <c r="M114" t="inlineStr">
        <is>
          <t>05.02.09.03.001</t>
        </is>
      </c>
      <c r="N114" t="inlineStr">
        <is>
          <t>SUM</t>
        </is>
      </c>
    </row>
    <row r="115">
      <c r="A115" t="inlineStr">
        <is>
          <t>五级</t>
        </is>
      </c>
      <c r="B115" t="inlineStr">
        <is>
          <t>支出</t>
        </is>
      </c>
      <c r="C115" t="inlineStr">
        <is>
          <t>F.90.03.09.03.002</t>
        </is>
      </c>
      <c r="D115" t="inlineStr">
        <is>
          <t>M6-压降金额</t>
        </is>
      </c>
      <c r="K115" t="inlineStr">
        <is>
          <t>是</t>
        </is>
      </c>
      <c r="M115" t="inlineStr">
        <is>
          <t>05.02.09.03.002</t>
        </is>
      </c>
      <c r="N115" t="inlineStr">
        <is>
          <t>SUM</t>
        </is>
      </c>
    </row>
    <row r="116">
      <c r="A116" t="inlineStr">
        <is>
          <t>五级</t>
        </is>
      </c>
      <c r="B116" t="inlineStr">
        <is>
          <t>支出</t>
        </is>
      </c>
      <c r="C116" t="inlineStr">
        <is>
          <t>F.90.03.09.03.003</t>
        </is>
      </c>
      <c r="D116" t="inlineStr">
        <is>
          <t>M7+现金回收额</t>
        </is>
      </c>
      <c r="K116" t="inlineStr">
        <is>
          <t>是</t>
        </is>
      </c>
      <c r="M116" t="inlineStr">
        <is>
          <t>05.02.09.03.003</t>
        </is>
      </c>
      <c r="N116" t="inlineStr">
        <is>
          <t>SUM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H167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C18" sqref="C18"/>
    </sheetView>
  </sheetViews>
  <sheetFormatPr baseColWidth="8" defaultColWidth="9" defaultRowHeight="15" customHeight="1"/>
  <cols>
    <col width="8.66071428571429" customWidth="1" style="5" min="1" max="2"/>
    <col width="11" customWidth="1" style="5" min="3" max="3"/>
    <col width="17.5" customWidth="1" style="5" min="4" max="4"/>
    <col width="8.66071428571429" customWidth="1" style="5" min="5" max="9"/>
    <col width="10.1607142857143" customWidth="1" style="5" min="10" max="10"/>
    <col width="8.66071428571429" customWidth="1" style="5" min="11" max="16384"/>
  </cols>
  <sheetData>
    <row r="1" customFormat="1" s="1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3" t="inlineStr">
        <is>
          <t>录入粒度</t>
        </is>
      </c>
      <c r="F1" s="3" t="inlineStr">
        <is>
          <t>年预算公式</t>
        </is>
      </c>
      <c r="G1" s="3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6" t="n"/>
      <c r="O1" s="6" t="n"/>
      <c r="P1" t="inlineStr">
        <is>
          <t>规则</t>
        </is>
      </c>
    </row>
    <row r="2">
      <c r="A2" s="7" t="inlineStr">
        <is>
          <t>一级</t>
        </is>
      </c>
      <c r="B2" s="1" t="inlineStr">
        <is>
          <t>收入</t>
        </is>
      </c>
      <c r="C2" s="8" t="inlineStr">
        <is>
          <t>F01.01</t>
        </is>
      </c>
      <c r="D2" s="7" t="inlineStr">
        <is>
          <t>营业收入</t>
        </is>
      </c>
      <c r="F2" t="inlineStr">
        <is>
          <t>F01.01.01+F01.01.02+F01.01.03</t>
        </is>
      </c>
      <c r="H2" s="5">
        <f>H3+H6+H7</f>
        <v/>
      </c>
      <c r="I2" s="5">
        <f>I3+I6+I7</f>
        <v/>
      </c>
      <c r="M2" t="inlineStr">
        <is>
          <t>01</t>
        </is>
      </c>
    </row>
    <row r="3">
      <c r="A3" s="1" t="inlineStr">
        <is>
          <t>二级</t>
        </is>
      </c>
      <c r="B3" s="1" t="inlineStr">
        <is>
          <t>收入</t>
        </is>
      </c>
      <c r="C3" s="8" t="inlineStr">
        <is>
          <t>F01.01.01</t>
        </is>
      </c>
      <c r="D3" s="1" t="inlineStr">
        <is>
          <t xml:space="preserve">  利息净收入</t>
        </is>
      </c>
      <c r="F3" t="inlineStr">
        <is>
          <t>F01.01.01.01+F01.01.01.02</t>
        </is>
      </c>
      <c r="H3" s="5">
        <f>H4+H5</f>
        <v/>
      </c>
      <c r="I3" s="5">
        <f>I4+I5</f>
        <v/>
      </c>
      <c r="M3" t="inlineStr">
        <is>
          <t>01.01</t>
        </is>
      </c>
    </row>
    <row r="4">
      <c r="A4" s="1" t="inlineStr">
        <is>
          <t>三级</t>
        </is>
      </c>
      <c r="B4" s="1" t="inlineStr">
        <is>
          <t>收入</t>
        </is>
      </c>
      <c r="C4" s="9" t="inlineStr">
        <is>
          <t>F01.01.01.01</t>
        </is>
      </c>
      <c r="D4" s="1" t="inlineStr">
        <is>
          <t xml:space="preserve">    资产业务</t>
        </is>
      </c>
      <c r="H4" s="5">
        <f>H60-H72</f>
        <v/>
      </c>
      <c r="I4" s="5">
        <f>I60-I72</f>
        <v/>
      </c>
      <c r="M4" t="inlineStr">
        <is>
          <t>01.01.01</t>
        </is>
      </c>
      <c r="P4" t="inlineStr">
        <is>
          <t>SUM</t>
        </is>
      </c>
    </row>
    <row r="5">
      <c r="A5" s="1" t="inlineStr">
        <is>
          <t>三级</t>
        </is>
      </c>
      <c r="B5" s="1" t="inlineStr">
        <is>
          <t>收入</t>
        </is>
      </c>
      <c r="C5" s="9" t="inlineStr">
        <is>
          <t>F01.01.01.02</t>
        </is>
      </c>
      <c r="D5" s="1" t="inlineStr">
        <is>
          <t xml:space="preserve">    负债业务</t>
        </is>
      </c>
      <c r="H5" s="5">
        <f>H82-H75</f>
        <v/>
      </c>
      <c r="I5" s="5">
        <f>I82-I75</f>
        <v/>
      </c>
      <c r="M5" t="inlineStr">
        <is>
          <t>01.01.02</t>
        </is>
      </c>
      <c r="P5" t="inlineStr">
        <is>
          <t>SUM</t>
        </is>
      </c>
    </row>
    <row r="6">
      <c r="A6" s="1" t="inlineStr">
        <is>
          <t>二级</t>
        </is>
      </c>
      <c r="B6" s="1" t="inlineStr">
        <is>
          <t>收入</t>
        </is>
      </c>
      <c r="C6" s="8" t="inlineStr">
        <is>
          <t>F01.01.02</t>
        </is>
      </c>
      <c r="D6" s="1" t="inlineStr">
        <is>
          <t xml:space="preserve">  净手续费收入</t>
        </is>
      </c>
      <c r="H6" s="5">
        <f>H85-H88</f>
        <v/>
      </c>
      <c r="I6" s="5">
        <f>I85-I88</f>
        <v/>
      </c>
      <c r="M6" t="inlineStr">
        <is>
          <t>01.02</t>
        </is>
      </c>
      <c r="P6" t="inlineStr">
        <is>
          <t>SUM</t>
        </is>
      </c>
    </row>
    <row r="7">
      <c r="A7" s="1" t="inlineStr">
        <is>
          <t>二级</t>
        </is>
      </c>
      <c r="B7" s="1" t="inlineStr">
        <is>
          <t>收入</t>
        </is>
      </c>
      <c r="C7" s="8" t="inlineStr">
        <is>
          <t>F01.01.03</t>
        </is>
      </c>
      <c r="D7" s="1" t="inlineStr">
        <is>
          <t xml:space="preserve">  其他营收</t>
        </is>
      </c>
      <c r="H7" s="5">
        <f>H91+H95</f>
        <v/>
      </c>
      <c r="I7" s="5">
        <f>I91+I95</f>
        <v/>
      </c>
      <c r="M7" t="inlineStr">
        <is>
          <t>01.03</t>
        </is>
      </c>
      <c r="P7" t="inlineStr">
        <is>
          <t>SUM</t>
        </is>
      </c>
    </row>
    <row r="8">
      <c r="A8" s="7" t="inlineStr">
        <is>
          <t>一级</t>
        </is>
      </c>
      <c r="B8" s="1" t="inlineStr">
        <is>
          <t>支出</t>
        </is>
      </c>
      <c r="C8" s="8" t="inlineStr">
        <is>
          <t>F01.02</t>
        </is>
      </c>
      <c r="D8" s="7" t="inlineStr">
        <is>
          <t>减：风险成本</t>
        </is>
      </c>
      <c r="M8" t="inlineStr">
        <is>
          <t>02</t>
        </is>
      </c>
      <c r="P8" t="inlineStr">
        <is>
          <t>SUM</t>
        </is>
      </c>
    </row>
    <row r="9">
      <c r="A9" s="7" t="inlineStr">
        <is>
          <t>一级</t>
        </is>
      </c>
      <c r="B9" s="1" t="inlineStr">
        <is>
          <t>收入</t>
        </is>
      </c>
      <c r="C9" s="8" t="inlineStr">
        <is>
          <t>F01.03</t>
        </is>
      </c>
      <c r="D9" s="7" t="inlineStr">
        <is>
          <t>净收入</t>
        </is>
      </c>
      <c r="F9" t="inlineStr">
        <is>
          <t>F01.01-F01.02</t>
        </is>
      </c>
      <c r="H9" s="5">
        <f>H2-H8</f>
        <v/>
      </c>
      <c r="I9" s="5">
        <f>I2-I8</f>
        <v/>
      </c>
      <c r="M9" t="inlineStr">
        <is>
          <t>03</t>
        </is>
      </c>
    </row>
    <row r="10">
      <c r="A10" s="7" t="inlineStr">
        <is>
          <t>一级</t>
        </is>
      </c>
      <c r="B10" s="1" t="inlineStr">
        <is>
          <t>支出</t>
        </is>
      </c>
      <c r="C10" s="8" t="inlineStr">
        <is>
          <t>F01.04</t>
        </is>
      </c>
      <c r="D10" s="7" t="inlineStr">
        <is>
          <t>减：税金及附加</t>
        </is>
      </c>
      <c r="M10" t="inlineStr">
        <is>
          <t>04</t>
        </is>
      </c>
      <c r="P10" t="inlineStr">
        <is>
          <t>SUM</t>
        </is>
      </c>
    </row>
    <row r="11">
      <c r="A11" s="7" t="inlineStr">
        <is>
          <t>一级</t>
        </is>
      </c>
      <c r="B11" s="1" t="inlineStr">
        <is>
          <t>支出</t>
        </is>
      </c>
      <c r="C11" s="8" t="inlineStr">
        <is>
          <t>F01.05</t>
        </is>
      </c>
      <c r="D11" s="7" t="inlineStr">
        <is>
          <t>减：直接费用</t>
        </is>
      </c>
      <c r="F11" t="inlineStr">
        <is>
          <t>F01.90.01+F01.90.02+F01.90.03+F01.90.04+F01.90.05</t>
        </is>
      </c>
      <c r="H11" s="5">
        <f>H12+H15+H18+H25+H26</f>
        <v/>
      </c>
      <c r="I11" s="5">
        <f>I12+I15+I18+I25+I26</f>
        <v/>
      </c>
      <c r="K11" t="inlineStr">
        <is>
          <t>是</t>
        </is>
      </c>
      <c r="M11" t="inlineStr">
        <is>
          <t>05</t>
        </is>
      </c>
    </row>
    <row r="12">
      <c r="A12" s="1" t="inlineStr">
        <is>
          <t>二级</t>
        </is>
      </c>
      <c r="B12" s="1" t="inlineStr">
        <is>
          <t>支出</t>
        </is>
      </c>
      <c r="C12" s="8" t="inlineStr">
        <is>
          <t>F01.05.01</t>
        </is>
      </c>
      <c r="D12" s="1" t="inlineStr">
        <is>
          <t xml:space="preserve">  人力费用（不含IT）</t>
        </is>
      </c>
      <c r="F12" t="inlineStr">
        <is>
          <t>F01.90.01.01+F01.90.01.02</t>
        </is>
      </c>
      <c r="H12" s="5">
        <f>H13+H14</f>
        <v/>
      </c>
      <c r="I12" s="5">
        <f>I13+I14</f>
        <v/>
      </c>
      <c r="K12" t="inlineStr">
        <is>
          <t>是</t>
        </is>
      </c>
      <c r="M12" t="inlineStr">
        <is>
          <t>05.01</t>
        </is>
      </c>
    </row>
    <row r="13">
      <c r="A13" s="1" t="inlineStr">
        <is>
          <t>三级</t>
        </is>
      </c>
      <c r="B13" s="1" t="inlineStr">
        <is>
          <t>支出</t>
        </is>
      </c>
      <c r="C13" s="9" t="inlineStr">
        <is>
          <t>F01.05.01.01</t>
        </is>
      </c>
      <c r="D13" s="1" t="inlineStr">
        <is>
          <t xml:space="preserve">    常规人力</t>
        </is>
      </c>
      <c r="F13" t="inlineStr">
        <is>
          <t>F01.90.01.01.01+F01.90.01.01.02+F01.90.01.01.03+F01.90.01.01.04.001+F01.90.01.01.05.001</t>
        </is>
      </c>
      <c r="K13" t="inlineStr">
        <is>
          <t>是</t>
        </is>
      </c>
      <c r="M13" t="inlineStr">
        <is>
          <t>05.01.01</t>
        </is>
      </c>
    </row>
    <row r="14">
      <c r="A14" s="1" t="inlineStr">
        <is>
          <t>三级</t>
        </is>
      </c>
      <c r="B14" s="1" t="inlineStr">
        <is>
          <t>支出</t>
        </is>
      </c>
      <c r="C14" s="9" t="inlineStr">
        <is>
          <t>F01.05.01.02</t>
        </is>
      </c>
      <c r="D14" s="1" t="inlineStr">
        <is>
          <t xml:space="preserve">    特别人力</t>
        </is>
      </c>
      <c r="F14" t="inlineStr">
        <is>
          <t>F01.90.01.02.01+F01.90.01.02.02+F01.90.01.02.03+F01.90.01.02.04.001+F01.90.01.02.05.001</t>
        </is>
      </c>
      <c r="K14" t="inlineStr">
        <is>
          <t>是</t>
        </is>
      </c>
      <c r="M14" t="inlineStr">
        <is>
          <t>05.01.02</t>
        </is>
      </c>
    </row>
    <row r="15">
      <c r="A15" s="1" t="inlineStr">
        <is>
          <t>二级</t>
        </is>
      </c>
      <c r="B15" s="1" t="inlineStr">
        <is>
          <t>支出</t>
        </is>
      </c>
      <c r="C15" s="8" t="inlineStr">
        <is>
          <t>F01.05.02</t>
        </is>
      </c>
      <c r="D15" s="1" t="inlineStr">
        <is>
          <t xml:space="preserve">  业务费用</t>
        </is>
      </c>
      <c r="F15" t="inlineStr">
        <is>
          <t>F01.90.02.01+F01.90.02.02+F01.90.02.09</t>
        </is>
      </c>
      <c r="H15" s="5">
        <f>H16+H17</f>
        <v/>
      </c>
      <c r="I15" s="5">
        <f>I16+I17</f>
        <v/>
      </c>
      <c r="K15" t="inlineStr">
        <is>
          <t>是</t>
        </is>
      </c>
      <c r="M15" t="inlineStr">
        <is>
          <t>05.02</t>
        </is>
      </c>
    </row>
    <row r="16">
      <c r="A16" s="1" t="inlineStr">
        <is>
          <t>三级</t>
        </is>
      </c>
      <c r="B16" s="1" t="inlineStr">
        <is>
          <t>支出</t>
        </is>
      </c>
      <c r="C16" s="9" t="inlineStr">
        <is>
          <t>F01.05.02.01</t>
        </is>
      </c>
      <c r="D16" s="1" t="inlineStr">
        <is>
          <t xml:space="preserve">    营销费用</t>
        </is>
      </c>
      <c r="K16" t="inlineStr">
        <is>
          <t>是</t>
        </is>
      </c>
      <c r="M16" t="inlineStr">
        <is>
          <t>05.02.01</t>
        </is>
      </c>
      <c r="P16" t="inlineStr">
        <is>
          <t>SUM</t>
        </is>
      </c>
    </row>
    <row r="17">
      <c r="A17" s="1" t="inlineStr">
        <is>
          <t>三级</t>
        </is>
      </c>
      <c r="B17" s="1" t="inlineStr">
        <is>
          <t>支出</t>
        </is>
      </c>
      <c r="C17" s="9" t="inlineStr">
        <is>
          <t>F01.05.02.02</t>
        </is>
      </c>
      <c r="D17" s="1" t="inlineStr">
        <is>
          <t xml:space="preserve">    运营费用</t>
        </is>
      </c>
      <c r="K17" t="inlineStr">
        <is>
          <t>是</t>
        </is>
      </c>
      <c r="M17" t="inlineStr">
        <is>
          <t>05.02.02</t>
        </is>
      </c>
      <c r="P17" t="inlineStr">
        <is>
          <t>SUM</t>
        </is>
      </c>
    </row>
    <row r="18">
      <c r="A18" s="1" t="inlineStr">
        <is>
          <t>二级</t>
        </is>
      </c>
      <c r="B18" s="1" t="inlineStr">
        <is>
          <t>支出</t>
        </is>
      </c>
      <c r="C18" s="8" t="inlineStr">
        <is>
          <t>F01.05.03</t>
        </is>
      </c>
      <c r="D18" s="1" t="inlineStr">
        <is>
          <t xml:space="preserve">  IT费用</t>
        </is>
      </c>
      <c r="F18" t="inlineStr">
        <is>
          <t>F01.90.03.01+F01.90.03.02+F01.90.03.03+F01.90.03.04</t>
        </is>
      </c>
      <c r="H18" s="5">
        <f>H19+H22+H23+H24</f>
        <v/>
      </c>
      <c r="I18" s="5">
        <f>I19+I22+I23+I24</f>
        <v/>
      </c>
      <c r="K18" t="inlineStr">
        <is>
          <t>是</t>
        </is>
      </c>
      <c r="M18" t="inlineStr">
        <is>
          <t>05.03</t>
        </is>
      </c>
    </row>
    <row r="19">
      <c r="A19" s="1" t="inlineStr">
        <is>
          <t>三级</t>
        </is>
      </c>
      <c r="B19" s="1" t="inlineStr">
        <is>
          <t>支出</t>
        </is>
      </c>
      <c r="C19" s="9" t="inlineStr">
        <is>
          <t>F01.05.03.01</t>
        </is>
      </c>
      <c r="D19" s="1" t="inlineStr">
        <is>
          <t xml:space="preserve">    IT人力</t>
        </is>
      </c>
      <c r="F19" t="inlineStr">
        <is>
          <t>F01.90.03.01.01+F01.90.03.01.02</t>
        </is>
      </c>
      <c r="H19" s="5">
        <f>H20+H21</f>
        <v/>
      </c>
      <c r="I19" s="5">
        <f>I20+I21</f>
        <v/>
      </c>
      <c r="K19" t="inlineStr">
        <is>
          <t>是</t>
        </is>
      </c>
      <c r="M19" t="inlineStr">
        <is>
          <t>05.03.01</t>
        </is>
      </c>
    </row>
    <row r="20">
      <c r="A20" s="1" t="inlineStr">
        <is>
          <t>四级</t>
        </is>
      </c>
      <c r="B20" s="1" t="inlineStr">
        <is>
          <t>支出</t>
        </is>
      </c>
      <c r="C20" s="9" t="inlineStr">
        <is>
          <t>F01.05.03.01.01</t>
        </is>
      </c>
      <c r="D20" s="1" t="inlineStr">
        <is>
          <t xml:space="preserve">      IT常规人力</t>
        </is>
      </c>
      <c r="K20" t="inlineStr">
        <is>
          <t>是</t>
        </is>
      </c>
      <c r="M20" t="inlineStr">
        <is>
          <t>05.03.01.01</t>
        </is>
      </c>
      <c r="P20" t="inlineStr">
        <is>
          <t>SUM</t>
        </is>
      </c>
    </row>
    <row r="21">
      <c r="A21" s="1" t="inlineStr">
        <is>
          <t>四级</t>
        </is>
      </c>
      <c r="B21" s="1" t="inlineStr">
        <is>
          <t>支出</t>
        </is>
      </c>
      <c r="C21" s="9" t="inlineStr">
        <is>
          <t>F01.05.03.01.02</t>
        </is>
      </c>
      <c r="D21" s="1" t="inlineStr">
        <is>
          <t xml:space="preserve">      IT特别人力</t>
        </is>
      </c>
      <c r="K21" t="inlineStr">
        <is>
          <t>是</t>
        </is>
      </c>
      <c r="M21" t="inlineStr">
        <is>
          <t>05.03.01.02</t>
        </is>
      </c>
      <c r="P21" t="inlineStr">
        <is>
          <t>SUM</t>
        </is>
      </c>
    </row>
    <row r="22">
      <c r="A22" s="1" t="inlineStr">
        <is>
          <t>三级</t>
        </is>
      </c>
      <c r="B22" s="1" t="inlineStr">
        <is>
          <t>支出</t>
        </is>
      </c>
      <c r="C22" s="9" t="inlineStr">
        <is>
          <t>F01.05.03.02</t>
        </is>
      </c>
      <c r="D22" s="1" t="inlineStr">
        <is>
          <t xml:space="preserve">    科技费用</t>
        </is>
      </c>
      <c r="K22" t="inlineStr">
        <is>
          <t>是</t>
        </is>
      </c>
      <c r="M22" t="inlineStr">
        <is>
          <t>05.03.02</t>
        </is>
      </c>
      <c r="P22" t="inlineStr">
        <is>
          <t>SUM</t>
        </is>
      </c>
    </row>
    <row r="23">
      <c r="A23" s="1" t="inlineStr">
        <is>
          <t>三级</t>
        </is>
      </c>
      <c r="B23" s="1" t="inlineStr">
        <is>
          <t>支出</t>
        </is>
      </c>
      <c r="C23" s="9" t="inlineStr">
        <is>
          <t>F01.05.03.03</t>
        </is>
      </c>
      <c r="D23" s="1" t="inlineStr">
        <is>
          <t xml:space="preserve">    IT职场</t>
        </is>
      </c>
      <c r="K23" t="inlineStr">
        <is>
          <t>是</t>
        </is>
      </c>
      <c r="M23" t="inlineStr">
        <is>
          <t>05.03.03</t>
        </is>
      </c>
      <c r="P23" t="inlineStr">
        <is>
          <t>SUM</t>
        </is>
      </c>
    </row>
    <row r="24">
      <c r="A24" s="1" t="inlineStr">
        <is>
          <t>三级</t>
        </is>
      </c>
      <c r="B24" s="1" t="inlineStr">
        <is>
          <t>支出</t>
        </is>
      </c>
      <c r="C24" s="9" t="inlineStr">
        <is>
          <t>F01.05.03.04</t>
        </is>
      </c>
      <c r="D24" s="1" t="inlineStr">
        <is>
          <t xml:space="preserve">    IT日常</t>
        </is>
      </c>
      <c r="K24" t="inlineStr">
        <is>
          <t>是</t>
        </is>
      </c>
      <c r="M24" t="inlineStr">
        <is>
          <t>05.03.04</t>
        </is>
      </c>
      <c r="P24" t="inlineStr">
        <is>
          <t>SUM</t>
        </is>
      </c>
    </row>
    <row r="25">
      <c r="A25" s="1" t="inlineStr">
        <is>
          <t>二级</t>
        </is>
      </c>
      <c r="B25" s="1" t="inlineStr">
        <is>
          <t>支出</t>
        </is>
      </c>
      <c r="C25" s="8" t="inlineStr">
        <is>
          <t>F01.05.04</t>
        </is>
      </c>
      <c r="D25" s="1" t="inlineStr">
        <is>
          <t xml:space="preserve">  职场费用</t>
        </is>
      </c>
      <c r="K25" t="inlineStr">
        <is>
          <t>是</t>
        </is>
      </c>
      <c r="M25" t="inlineStr">
        <is>
          <t>05.04</t>
        </is>
      </c>
      <c r="P25" t="inlineStr">
        <is>
          <t>SUM</t>
        </is>
      </c>
    </row>
    <row r="26">
      <c r="A26" s="1" t="inlineStr">
        <is>
          <t>二级</t>
        </is>
      </c>
      <c r="B26" s="1" t="inlineStr">
        <is>
          <t>支出</t>
        </is>
      </c>
      <c r="C26" s="8" t="inlineStr">
        <is>
          <t>F01.05.05</t>
        </is>
      </c>
      <c r="D26" s="1" t="inlineStr">
        <is>
          <t xml:space="preserve">  日常费用</t>
        </is>
      </c>
      <c r="K26" t="inlineStr">
        <is>
          <t>是</t>
        </is>
      </c>
      <c r="M26" t="inlineStr">
        <is>
          <t>05.05</t>
        </is>
      </c>
      <c r="P26" t="inlineStr">
        <is>
          <t>SUM</t>
        </is>
      </c>
    </row>
    <row r="27">
      <c r="A27" s="7" t="inlineStr">
        <is>
          <t>一级</t>
        </is>
      </c>
      <c r="B27" s="1" t="inlineStr">
        <is>
          <t>收入</t>
        </is>
      </c>
      <c r="C27" s="8" t="inlineStr">
        <is>
          <t>F01.06</t>
        </is>
      </c>
      <c r="D27" s="7" t="inlineStr">
        <is>
          <t>加：营业外净收入</t>
        </is>
      </c>
      <c r="M27" t="inlineStr">
        <is>
          <t>06</t>
        </is>
      </c>
      <c r="P27" t="inlineStr">
        <is>
          <t>SUM</t>
        </is>
      </c>
    </row>
    <row r="28">
      <c r="A28" s="7" t="inlineStr">
        <is>
          <t>一级</t>
        </is>
      </c>
      <c r="B28" s="1" t="inlineStr">
        <is>
          <t>利润</t>
        </is>
      </c>
      <c r="C28" s="8" t="inlineStr">
        <is>
          <t>F01.07</t>
        </is>
      </c>
      <c r="D28" s="7" t="inlineStr">
        <is>
          <t>分摊前利润</t>
        </is>
      </c>
      <c r="F28" t="inlineStr">
        <is>
          <t>F01.03-F01.04-F01.90+F01.06</t>
        </is>
      </c>
      <c r="H28" s="5">
        <f>H9-H10-H11+H27</f>
        <v/>
      </c>
      <c r="I28" s="5">
        <f>I9-I10-I11+I27</f>
        <v/>
      </c>
      <c r="M28" t="inlineStr">
        <is>
          <t>07</t>
        </is>
      </c>
    </row>
    <row r="29">
      <c r="A29" s="7" t="inlineStr">
        <is>
          <t>一级</t>
        </is>
      </c>
      <c r="B29" s="1" t="inlineStr">
        <is>
          <t>支出</t>
        </is>
      </c>
      <c r="C29" s="8" t="inlineStr">
        <is>
          <t>F01.08</t>
        </is>
      </c>
      <c r="D29" s="7" t="inlineStr">
        <is>
          <t>减：固定管理费</t>
        </is>
      </c>
      <c r="M29" t="inlineStr">
        <is>
          <t>08</t>
        </is>
      </c>
      <c r="P29" t="inlineStr">
        <is>
          <t>SUM</t>
        </is>
      </c>
    </row>
    <row r="30">
      <c r="A30" s="7" t="inlineStr">
        <is>
          <t>一级</t>
        </is>
      </c>
      <c r="B30" s="1" t="inlineStr">
        <is>
          <t>利润</t>
        </is>
      </c>
      <c r="C30" s="8" t="inlineStr">
        <is>
          <t>F01.09</t>
        </is>
      </c>
      <c r="D30" s="7" t="inlineStr">
        <is>
          <t>税前利润</t>
        </is>
      </c>
      <c r="F30" t="inlineStr">
        <is>
          <t>F01.07-F01.08</t>
        </is>
      </c>
      <c r="H30" s="5">
        <f>H28-H29</f>
        <v/>
      </c>
      <c r="I30" s="5">
        <f>I28-I29</f>
        <v/>
      </c>
      <c r="M30" t="inlineStr">
        <is>
          <t>09</t>
        </is>
      </c>
    </row>
    <row r="31">
      <c r="A31" s="10" t="n"/>
      <c r="B31" s="10" t="n"/>
      <c r="C31" s="10" t="n"/>
      <c r="D31" s="10" t="n"/>
    </row>
    <row r="32">
      <c r="A32" s="11" t="inlineStr">
        <is>
          <t>一级</t>
        </is>
      </c>
      <c r="B32" s="11" t="inlineStr">
        <is>
          <t>资产余额</t>
        </is>
      </c>
      <c r="C32" s="11" t="inlineStr">
        <is>
          <t>F01.10</t>
        </is>
      </c>
      <c r="D32" s="11" t="inlineStr">
        <is>
          <t>管理贷款</t>
        </is>
      </c>
      <c r="F32" t="inlineStr">
        <is>
          <t>F01.10.01</t>
        </is>
      </c>
      <c r="H32" s="5">
        <f>H33</f>
        <v/>
      </c>
      <c r="I32" s="5">
        <f>I33</f>
        <v/>
      </c>
      <c r="M32" t="inlineStr">
        <is>
          <t>10</t>
        </is>
      </c>
    </row>
    <row r="33">
      <c r="A33" s="10" t="inlineStr">
        <is>
          <t>二级</t>
        </is>
      </c>
      <c r="B33" s="10" t="inlineStr">
        <is>
          <t>资产余额</t>
        </is>
      </c>
      <c r="C33" s="10" t="inlineStr">
        <is>
          <t>F01.10.01</t>
        </is>
      </c>
      <c r="D33" s="10" t="inlineStr">
        <is>
          <t xml:space="preserve">  自持</t>
        </is>
      </c>
      <c r="F33" t="inlineStr">
        <is>
          <t>F01.10.01.02</t>
        </is>
      </c>
      <c r="H33" s="5">
        <f>H34</f>
        <v/>
      </c>
      <c r="I33" s="5">
        <f>I34</f>
        <v/>
      </c>
      <c r="M33" t="inlineStr">
        <is>
          <t>10.01</t>
        </is>
      </c>
    </row>
    <row r="34">
      <c r="A34" s="10" t="inlineStr">
        <is>
          <t>三级</t>
        </is>
      </c>
      <c r="B34" s="10" t="inlineStr">
        <is>
          <t>资产余额</t>
        </is>
      </c>
      <c r="C34" s="10" t="inlineStr">
        <is>
          <t>F01.10.01.02</t>
        </is>
      </c>
      <c r="D34" s="10" t="inlineStr">
        <is>
          <t xml:space="preserve">    票据融资</t>
        </is>
      </c>
      <c r="M34" t="inlineStr">
        <is>
          <t>10.01.02</t>
        </is>
      </c>
      <c r="P34" t="inlineStr">
        <is>
          <t>LAST</t>
        </is>
      </c>
    </row>
    <row r="35">
      <c r="A35" s="11" t="inlineStr">
        <is>
          <t>一级</t>
        </is>
      </c>
      <c r="B35" s="11" t="inlineStr">
        <is>
          <t>资产日均</t>
        </is>
      </c>
      <c r="C35" s="11" t="inlineStr">
        <is>
          <t>F01.11</t>
        </is>
      </c>
      <c r="D35" s="11" t="inlineStr">
        <is>
          <t>管理贷款日均</t>
        </is>
      </c>
      <c r="F35" t="inlineStr">
        <is>
          <t>F01.11.01</t>
        </is>
      </c>
      <c r="H35" s="5">
        <f>H36</f>
        <v/>
      </c>
      <c r="I35" s="5">
        <f>I36</f>
        <v/>
      </c>
      <c r="M35" t="inlineStr">
        <is>
          <t>11</t>
        </is>
      </c>
    </row>
    <row r="36">
      <c r="A36" s="10" t="inlineStr">
        <is>
          <t>二级</t>
        </is>
      </c>
      <c r="B36" s="10" t="inlineStr">
        <is>
          <t>资产日均</t>
        </is>
      </c>
      <c r="C36" s="10" t="inlineStr">
        <is>
          <t>F01.11.01</t>
        </is>
      </c>
      <c r="D36" s="10" t="inlineStr">
        <is>
          <t xml:space="preserve">  自持</t>
        </is>
      </c>
      <c r="F36" t="inlineStr">
        <is>
          <t>F01.11.01.02</t>
        </is>
      </c>
      <c r="H36" s="5">
        <f>H37</f>
        <v/>
      </c>
      <c r="I36" s="5">
        <f>I37</f>
        <v/>
      </c>
      <c r="M36" t="inlineStr">
        <is>
          <t>11.01</t>
        </is>
      </c>
    </row>
    <row r="37">
      <c r="A37" s="10" t="inlineStr">
        <is>
          <t>三级</t>
        </is>
      </c>
      <c r="B37" s="10" t="inlineStr">
        <is>
          <t>资产日均</t>
        </is>
      </c>
      <c r="C37" s="10" t="inlineStr">
        <is>
          <t>F01.11.01.02</t>
        </is>
      </c>
      <c r="D37" s="10" t="inlineStr">
        <is>
          <t xml:space="preserve">    票据融资</t>
        </is>
      </c>
      <c r="M37" t="inlineStr">
        <is>
          <t>11.01.02</t>
        </is>
      </c>
      <c r="P37" t="inlineStr">
        <is>
          <t>AVG</t>
        </is>
      </c>
    </row>
    <row r="38">
      <c r="A38" s="10" t="n"/>
      <c r="B38" s="10" t="n"/>
      <c r="C38" s="10" t="n"/>
      <c r="D38" s="10" t="n"/>
    </row>
    <row r="39">
      <c r="A39" s="7" t="inlineStr">
        <is>
          <t>一级</t>
        </is>
      </c>
      <c r="B39" s="7" t="inlineStr">
        <is>
          <t>资产余额</t>
        </is>
      </c>
      <c r="C39" s="8" t="inlineStr">
        <is>
          <t>F01.22</t>
        </is>
      </c>
      <c r="D39" s="11" t="inlineStr">
        <is>
          <t>存放央行余额</t>
        </is>
      </c>
      <c r="E39" s="12" t="n"/>
      <c r="F39" s="12" t="inlineStr">
        <is>
          <t>F01.22.01+F01.22.02</t>
        </is>
      </c>
      <c r="G39" s="12" t="n"/>
      <c r="H39" s="12">
        <f>H40+H41</f>
        <v/>
      </c>
      <c r="I39" s="12">
        <f>I40+I41</f>
        <v/>
      </c>
      <c r="M39" t="inlineStr">
        <is>
          <t>22</t>
        </is>
      </c>
    </row>
    <row r="40">
      <c r="A40" s="10" t="inlineStr">
        <is>
          <t>二级</t>
        </is>
      </c>
      <c r="B40" s="10" t="inlineStr">
        <is>
          <t>资产余额</t>
        </is>
      </c>
      <c r="C40" s="10" t="inlineStr">
        <is>
          <t>F01.22.01</t>
        </is>
      </c>
      <c r="D40" s="10" t="inlineStr">
        <is>
          <t xml:space="preserve">  法准</t>
        </is>
      </c>
      <c r="M40" t="inlineStr">
        <is>
          <t>22.01</t>
        </is>
      </c>
      <c r="P40" t="inlineStr">
        <is>
          <t>LAST</t>
        </is>
      </c>
    </row>
    <row r="41">
      <c r="A41" s="10" t="inlineStr">
        <is>
          <t>二级</t>
        </is>
      </c>
      <c r="B41" s="10" t="inlineStr">
        <is>
          <t>资产余额</t>
        </is>
      </c>
      <c r="C41" s="10" t="inlineStr">
        <is>
          <t>F01.22.02</t>
        </is>
      </c>
      <c r="D41" s="10" t="inlineStr">
        <is>
          <t xml:space="preserve">  超备</t>
        </is>
      </c>
      <c r="M41" t="inlineStr">
        <is>
          <t>22.02</t>
        </is>
      </c>
      <c r="P41" t="inlineStr">
        <is>
          <t>LAST</t>
        </is>
      </c>
    </row>
    <row r="42">
      <c r="A42" s="11" t="inlineStr">
        <is>
          <t>一级</t>
        </is>
      </c>
      <c r="B42" s="11" t="inlineStr">
        <is>
          <t>资产日均</t>
        </is>
      </c>
      <c r="C42" s="11" t="inlineStr">
        <is>
          <t>F01.23</t>
        </is>
      </c>
      <c r="D42" s="11" t="inlineStr">
        <is>
          <t>存放央行日均</t>
        </is>
      </c>
      <c r="E42" s="12" t="n"/>
      <c r="F42" s="12" t="inlineStr">
        <is>
          <t>F01.23.01+F01.23.02</t>
        </is>
      </c>
      <c r="G42" s="12" t="n"/>
      <c r="H42" s="12">
        <f>H43+H44</f>
        <v/>
      </c>
      <c r="I42" s="12">
        <f>I43+I44</f>
        <v/>
      </c>
      <c r="M42" t="inlineStr">
        <is>
          <t>23</t>
        </is>
      </c>
    </row>
    <row r="43">
      <c r="A43" s="10" t="inlineStr">
        <is>
          <t>二级</t>
        </is>
      </c>
      <c r="B43" s="10" t="inlineStr">
        <is>
          <t>资产日均</t>
        </is>
      </c>
      <c r="C43" s="10" t="inlineStr">
        <is>
          <t>F01.23.01</t>
        </is>
      </c>
      <c r="D43" s="10" t="inlineStr">
        <is>
          <t xml:space="preserve">  法准</t>
        </is>
      </c>
      <c r="M43" t="inlineStr">
        <is>
          <t>23.01</t>
        </is>
      </c>
      <c r="P43" t="inlineStr">
        <is>
          <t>AVG</t>
        </is>
      </c>
    </row>
    <row r="44">
      <c r="A44" s="10" t="inlineStr">
        <is>
          <t>二级</t>
        </is>
      </c>
      <c r="B44" s="10" t="inlineStr">
        <is>
          <t>资产日均</t>
        </is>
      </c>
      <c r="C44" s="10" t="inlineStr">
        <is>
          <t>F01.23.02</t>
        </is>
      </c>
      <c r="D44" s="10" t="inlineStr">
        <is>
          <t xml:space="preserve">  超备</t>
        </is>
      </c>
      <c r="M44" t="inlineStr">
        <is>
          <t>23.02</t>
        </is>
      </c>
      <c r="P44" t="inlineStr">
        <is>
          <t>AVG</t>
        </is>
      </c>
    </row>
    <row r="45">
      <c r="A45" s="10" t="n"/>
      <c r="B45" s="10" t="n"/>
      <c r="C45" s="10" t="n"/>
      <c r="D45" s="10" t="n"/>
    </row>
    <row r="46">
      <c r="A46" s="7" t="inlineStr">
        <is>
          <t>一级</t>
        </is>
      </c>
      <c r="B46" s="7" t="inlineStr">
        <is>
          <t>资产余额</t>
        </is>
      </c>
      <c r="C46" s="11" t="inlineStr">
        <is>
          <t>F01.24</t>
        </is>
      </c>
      <c r="D46" s="11" t="inlineStr">
        <is>
          <t>同业资产余额</t>
        </is>
      </c>
      <c r="E46" s="12" t="n"/>
      <c r="F46" s="12" t="inlineStr">
        <is>
          <t>F01.24.01+F01.24.02</t>
        </is>
      </c>
      <c r="G46" s="12" t="n"/>
      <c r="H46" s="12">
        <f>H47+H48</f>
        <v/>
      </c>
      <c r="I46" s="12">
        <f>I47+I48</f>
        <v/>
      </c>
      <c r="M46" t="inlineStr">
        <is>
          <t>24</t>
        </is>
      </c>
    </row>
    <row r="47">
      <c r="A47" s="10" t="inlineStr">
        <is>
          <t>二级</t>
        </is>
      </c>
      <c r="B47" s="10" t="inlineStr">
        <is>
          <t>资产余额</t>
        </is>
      </c>
      <c r="C47" s="10" t="inlineStr">
        <is>
          <t>F01.24.01</t>
        </is>
      </c>
      <c r="D47" s="10" t="inlineStr">
        <is>
          <t xml:space="preserve">  存放同业</t>
        </is>
      </c>
      <c r="M47" t="inlineStr">
        <is>
          <t>24.01</t>
        </is>
      </c>
      <c r="P47" t="inlineStr">
        <is>
          <t>LAST</t>
        </is>
      </c>
    </row>
    <row r="48">
      <c r="A48" s="10" t="inlineStr">
        <is>
          <t>二级</t>
        </is>
      </c>
      <c r="B48" s="10" t="inlineStr">
        <is>
          <t>资产余额</t>
        </is>
      </c>
      <c r="C48" s="10" t="inlineStr">
        <is>
          <t>F01.24.02</t>
        </is>
      </c>
      <c r="D48" s="10" t="inlineStr">
        <is>
          <t xml:space="preserve">  拆放同业</t>
        </is>
      </c>
      <c r="M48" t="inlineStr">
        <is>
          <t>24.02</t>
        </is>
      </c>
      <c r="P48" t="inlineStr">
        <is>
          <t>LAST</t>
        </is>
      </c>
    </row>
    <row r="49">
      <c r="A49" s="7" t="inlineStr">
        <is>
          <t>一级</t>
        </is>
      </c>
      <c r="B49" s="7" t="inlineStr">
        <is>
          <t>资产日均</t>
        </is>
      </c>
      <c r="C49" s="11" t="inlineStr">
        <is>
          <t>F01.25</t>
        </is>
      </c>
      <c r="D49" s="11" t="inlineStr">
        <is>
          <t>同业资产日均</t>
        </is>
      </c>
      <c r="E49" s="12" t="n"/>
      <c r="F49" s="12" t="inlineStr">
        <is>
          <t>F01.25.01+F01.25.02</t>
        </is>
      </c>
      <c r="G49" s="12" t="n"/>
      <c r="H49" s="12">
        <f>H50+H51</f>
        <v/>
      </c>
      <c r="I49" s="12">
        <f>I50+I51</f>
        <v/>
      </c>
      <c r="M49" t="inlineStr">
        <is>
          <t>25</t>
        </is>
      </c>
    </row>
    <row r="50">
      <c r="A50" s="10" t="inlineStr">
        <is>
          <t>二级</t>
        </is>
      </c>
      <c r="B50" s="10" t="inlineStr">
        <is>
          <t>资产日均</t>
        </is>
      </c>
      <c r="C50" s="10" t="inlineStr">
        <is>
          <t>F01.25.01</t>
        </is>
      </c>
      <c r="D50" s="10" t="inlineStr">
        <is>
          <t xml:space="preserve">  存放同业</t>
        </is>
      </c>
      <c r="M50" t="inlineStr">
        <is>
          <t>25.01</t>
        </is>
      </c>
      <c r="P50" t="inlineStr">
        <is>
          <t>AVG</t>
        </is>
      </c>
    </row>
    <row r="51">
      <c r="A51" s="10" t="inlineStr">
        <is>
          <t>二级</t>
        </is>
      </c>
      <c r="B51" s="10" t="inlineStr">
        <is>
          <t>资产日均</t>
        </is>
      </c>
      <c r="C51" s="10" t="inlineStr">
        <is>
          <t>F01.25.02</t>
        </is>
      </c>
      <c r="D51" s="10" t="inlineStr">
        <is>
          <t xml:space="preserve">  拆放同业</t>
        </is>
      </c>
      <c r="M51" t="inlineStr">
        <is>
          <t>25.02</t>
        </is>
      </c>
      <c r="P51" t="inlineStr">
        <is>
          <t>AVG</t>
        </is>
      </c>
    </row>
    <row r="52">
      <c r="A52" s="10" t="n"/>
      <c r="B52" s="10" t="n"/>
      <c r="C52" s="10" t="n"/>
      <c r="D52" s="10" t="n"/>
    </row>
    <row r="53">
      <c r="A53" s="7" t="inlineStr">
        <is>
          <t>一级</t>
        </is>
      </c>
      <c r="B53" s="7" t="inlineStr">
        <is>
          <t>负债余额</t>
        </is>
      </c>
      <c r="C53" s="11" t="inlineStr">
        <is>
          <t>F01.26</t>
        </is>
      </c>
      <c r="D53" s="11" t="inlineStr">
        <is>
          <t>同业负债余额</t>
        </is>
      </c>
      <c r="E53" s="12" t="n"/>
      <c r="F53" s="12" t="inlineStr">
        <is>
          <t>F01.26.01+F01.26.02</t>
        </is>
      </c>
      <c r="G53" s="12" t="n"/>
      <c r="H53" s="12">
        <f>H54+H55</f>
        <v/>
      </c>
      <c r="I53" s="12">
        <f>I54+I55</f>
        <v/>
      </c>
    </row>
    <row r="54">
      <c r="A54" s="1" t="inlineStr">
        <is>
          <t>二级</t>
        </is>
      </c>
      <c r="B54" s="1" t="inlineStr">
        <is>
          <t>负债余额</t>
        </is>
      </c>
      <c r="C54" s="10" t="inlineStr">
        <is>
          <t>F01.26.01</t>
        </is>
      </c>
      <c r="D54" s="10" t="inlineStr">
        <is>
          <t xml:space="preserve">  向央行借款</t>
        </is>
      </c>
      <c r="P54" t="inlineStr">
        <is>
          <t>LAST</t>
        </is>
      </c>
    </row>
    <row r="55">
      <c r="A55" s="10" t="inlineStr">
        <is>
          <t>二级</t>
        </is>
      </c>
      <c r="B55" s="1" t="inlineStr">
        <is>
          <t>负债余额</t>
        </is>
      </c>
      <c r="C55" s="10" t="inlineStr">
        <is>
          <t>F01.26.02</t>
        </is>
      </c>
      <c r="D55" s="10" t="inlineStr">
        <is>
          <t xml:space="preserve">  同业存放</t>
        </is>
      </c>
      <c r="P55" t="inlineStr">
        <is>
          <t>LAST</t>
        </is>
      </c>
    </row>
    <row r="56">
      <c r="A56" s="7" t="inlineStr">
        <is>
          <t>一级</t>
        </is>
      </c>
      <c r="B56" s="7" t="inlineStr">
        <is>
          <t>负债日均</t>
        </is>
      </c>
      <c r="C56" s="11" t="inlineStr">
        <is>
          <t>F01.27</t>
        </is>
      </c>
      <c r="D56" s="11" t="inlineStr">
        <is>
          <t>同业负债日均</t>
        </is>
      </c>
      <c r="E56" s="12" t="n"/>
      <c r="F56" s="12" t="inlineStr">
        <is>
          <t>F01.27.01+F01.27.02</t>
        </is>
      </c>
      <c r="G56" s="12" t="n"/>
      <c r="H56" s="12">
        <f>H57+H58</f>
        <v/>
      </c>
      <c r="I56" s="12">
        <f>I57+I58</f>
        <v/>
      </c>
    </row>
    <row r="57">
      <c r="A57" s="1" t="inlineStr">
        <is>
          <t>二级</t>
        </is>
      </c>
      <c r="B57" s="1" t="inlineStr">
        <is>
          <t>负债日均</t>
        </is>
      </c>
      <c r="C57" s="10" t="inlineStr">
        <is>
          <t>F01.27.01</t>
        </is>
      </c>
      <c r="D57" s="10" t="inlineStr">
        <is>
          <t xml:space="preserve">  向央行借款</t>
        </is>
      </c>
      <c r="P57" t="inlineStr">
        <is>
          <t>AVG</t>
        </is>
      </c>
    </row>
    <row r="58">
      <c r="A58" s="10" t="inlineStr">
        <is>
          <t>二级</t>
        </is>
      </c>
      <c r="B58" s="1" t="inlineStr">
        <is>
          <t>负债日均</t>
        </is>
      </c>
      <c r="C58" s="10" t="inlineStr">
        <is>
          <t>F01.27.02</t>
        </is>
      </c>
      <c r="D58" s="10" t="inlineStr">
        <is>
          <t xml:space="preserve">  同业存放</t>
        </is>
      </c>
      <c r="P58" t="inlineStr">
        <is>
          <t>AVG</t>
        </is>
      </c>
    </row>
    <row r="59">
      <c r="A59" s="10" t="n"/>
      <c r="B59" s="10" t="n"/>
      <c r="C59" s="10" t="n"/>
      <c r="D59" s="10" t="n"/>
    </row>
    <row r="60">
      <c r="A60" s="11" t="inlineStr">
        <is>
          <t>一级</t>
        </is>
      </c>
      <c r="B60" s="11" t="inlineStr">
        <is>
          <t>收入</t>
        </is>
      </c>
      <c r="C60" s="11" t="inlineStr">
        <is>
          <t>F01.14</t>
        </is>
      </c>
      <c r="D60" s="11" t="inlineStr">
        <is>
          <t>利息收入</t>
        </is>
      </c>
      <c r="F60" t="inlineStr">
        <is>
          <t>F01.14.01+F01.14.02</t>
        </is>
      </c>
      <c r="H60" s="5">
        <f>H61+H64</f>
        <v/>
      </c>
      <c r="I60" s="5">
        <f>I61+I64</f>
        <v/>
      </c>
      <c r="M60" t="inlineStr">
        <is>
          <t>14</t>
        </is>
      </c>
    </row>
    <row r="61">
      <c r="A61" s="11" t="inlineStr">
        <is>
          <t>二级</t>
        </is>
      </c>
      <c r="B61" s="11" t="inlineStr">
        <is>
          <t>收入</t>
        </is>
      </c>
      <c r="C61" s="11" t="inlineStr">
        <is>
          <t>F01.14.01</t>
        </is>
      </c>
      <c r="D61" s="11" t="inlineStr">
        <is>
          <t xml:space="preserve">  贷款利息收入</t>
        </is>
      </c>
      <c r="F61" t="inlineStr">
        <is>
          <t>F01.14.01.01</t>
        </is>
      </c>
      <c r="I61" s="5">
        <f>I36*I62</f>
        <v/>
      </c>
      <c r="J61" s="5" t="inlineStr">
        <is>
          <t>收支月化指标</t>
        </is>
      </c>
      <c r="M61" t="inlineStr">
        <is>
          <t>14.01</t>
        </is>
      </c>
    </row>
    <row r="62">
      <c r="A62" s="10" t="inlineStr">
        <is>
          <t>三级</t>
        </is>
      </c>
      <c r="B62" s="10" t="inlineStr">
        <is>
          <t>其他</t>
        </is>
      </c>
      <c r="C62" s="10" t="inlineStr">
        <is>
          <t>F01.14.01.01</t>
        </is>
      </c>
      <c r="D62" s="10" t="inlineStr">
        <is>
          <t xml:space="preserve">    贷款收息率</t>
        </is>
      </c>
      <c r="H62" s="5">
        <f>H61/H36</f>
        <v/>
      </c>
      <c r="J62" s="5" t="inlineStr">
        <is>
          <t>率年化指标</t>
        </is>
      </c>
      <c r="M62" t="inlineStr">
        <is>
          <t>14.01.01</t>
        </is>
      </c>
      <c r="P62" t="inlineStr">
        <is>
          <t>WGT</t>
        </is>
      </c>
    </row>
    <row r="63">
      <c r="A63" s="10" t="n"/>
      <c r="B63" s="10" t="n"/>
      <c r="C63" s="10" t="n"/>
      <c r="D63" s="10" t="n"/>
    </row>
    <row r="64">
      <c r="A64" s="11" t="inlineStr">
        <is>
          <t>二级</t>
        </is>
      </c>
      <c r="B64" s="11" t="inlineStr">
        <is>
          <t>收入</t>
        </is>
      </c>
      <c r="C64" s="11" t="inlineStr">
        <is>
          <t>F01.14.02</t>
        </is>
      </c>
      <c r="D64" s="11" t="inlineStr">
        <is>
          <t xml:space="preserve">  金融机构往来利息收入</t>
        </is>
      </c>
      <c r="F64" t="inlineStr">
        <is>
          <t>F01.14.02.01+F01.14.02.02+F01.14.02.03</t>
        </is>
      </c>
      <c r="H64" s="5">
        <f>H65+H67+H69</f>
        <v/>
      </c>
      <c r="I64" s="5">
        <f>I65+I67+I69</f>
        <v/>
      </c>
      <c r="M64" t="inlineStr">
        <is>
          <t>14.02</t>
        </is>
      </c>
    </row>
    <row r="65">
      <c r="A65" s="7" t="inlineStr">
        <is>
          <t>三级</t>
        </is>
      </c>
      <c r="B65" s="11" t="inlineStr">
        <is>
          <t>收入</t>
        </is>
      </c>
      <c r="C65" s="11" t="inlineStr">
        <is>
          <t>F01.14.02.01</t>
        </is>
      </c>
      <c r="D65" s="11" t="inlineStr">
        <is>
          <t xml:space="preserve">    存放央行</t>
        </is>
      </c>
      <c r="F65" t="inlineStr">
        <is>
          <t>F01.14.02.01.01</t>
        </is>
      </c>
      <c r="I65" s="5">
        <f>I42*I66</f>
        <v/>
      </c>
      <c r="J65" s="5" t="inlineStr">
        <is>
          <t>收支月化指标</t>
        </is>
      </c>
      <c r="M65" t="inlineStr">
        <is>
          <t>14.02.01</t>
        </is>
      </c>
    </row>
    <row r="66">
      <c r="A66" s="1" t="inlineStr">
        <is>
          <t>四级</t>
        </is>
      </c>
      <c r="B66" s="1" t="inlineStr">
        <is>
          <t>其他</t>
        </is>
      </c>
      <c r="C66" s="10" t="inlineStr">
        <is>
          <t>F01.14.02.01.01</t>
        </is>
      </c>
      <c r="D66" s="10" t="inlineStr">
        <is>
          <t xml:space="preserve">      收息率</t>
        </is>
      </c>
      <c r="H66" s="5">
        <f>H65/H42</f>
        <v/>
      </c>
      <c r="J66" s="5" t="inlineStr">
        <is>
          <t>率年化指标</t>
        </is>
      </c>
      <c r="M66" t="inlineStr">
        <is>
          <t>14.02.01.01</t>
        </is>
      </c>
      <c r="P66" t="inlineStr">
        <is>
          <t>WGT</t>
        </is>
      </c>
    </row>
    <row r="67">
      <c r="A67" s="7" t="inlineStr">
        <is>
          <t>三级</t>
        </is>
      </c>
      <c r="B67" s="11" t="inlineStr">
        <is>
          <t>收入</t>
        </is>
      </c>
      <c r="C67" s="11" t="inlineStr">
        <is>
          <t>F01.14.02.02</t>
        </is>
      </c>
      <c r="D67" s="11" t="inlineStr">
        <is>
          <t xml:space="preserve">    存放同业</t>
        </is>
      </c>
      <c r="F67" t="inlineStr">
        <is>
          <t>F01.14.02.02.01</t>
        </is>
      </c>
      <c r="I67" s="5">
        <f>I50*I68</f>
        <v/>
      </c>
      <c r="J67" s="5" t="inlineStr">
        <is>
          <t>收支月化指标</t>
        </is>
      </c>
      <c r="M67" t="inlineStr">
        <is>
          <t>14.02.02</t>
        </is>
      </c>
    </row>
    <row r="68">
      <c r="A68" s="1" t="inlineStr">
        <is>
          <t>四级</t>
        </is>
      </c>
      <c r="B68" s="1" t="inlineStr">
        <is>
          <t>其他</t>
        </is>
      </c>
      <c r="C68" s="10" t="inlineStr">
        <is>
          <t>F01.14.02.02.01</t>
        </is>
      </c>
      <c r="D68" s="10" t="inlineStr">
        <is>
          <t xml:space="preserve">      收息率</t>
        </is>
      </c>
      <c r="H68" s="5">
        <f>H67/H50</f>
        <v/>
      </c>
      <c r="J68" s="5" t="inlineStr">
        <is>
          <t>率年化指标</t>
        </is>
      </c>
      <c r="M68" t="inlineStr">
        <is>
          <t>14.02.02.01</t>
        </is>
      </c>
      <c r="P68" t="inlineStr">
        <is>
          <t>WGT</t>
        </is>
      </c>
    </row>
    <row r="69">
      <c r="A69" s="7" t="inlineStr">
        <is>
          <t>三级</t>
        </is>
      </c>
      <c r="B69" s="11" t="inlineStr">
        <is>
          <t>收入</t>
        </is>
      </c>
      <c r="C69" s="11" t="inlineStr">
        <is>
          <t>F01.14.02.03</t>
        </is>
      </c>
      <c r="D69" s="11" t="inlineStr">
        <is>
          <t xml:space="preserve">    拆放同业</t>
        </is>
      </c>
      <c r="F69" t="inlineStr">
        <is>
          <t>F01.14.02.03.01</t>
        </is>
      </c>
      <c r="I69" s="5">
        <f>I51*I70</f>
        <v/>
      </c>
      <c r="J69" s="5" t="inlineStr">
        <is>
          <t>收支月化指标</t>
        </is>
      </c>
      <c r="M69" t="inlineStr">
        <is>
          <t>14.02.03</t>
        </is>
      </c>
    </row>
    <row r="70">
      <c r="A70" s="1" t="inlineStr">
        <is>
          <t>四级</t>
        </is>
      </c>
      <c r="B70" s="1" t="inlineStr">
        <is>
          <t>其他</t>
        </is>
      </c>
      <c r="C70" s="10" t="inlineStr">
        <is>
          <t>F01.14.02.03.01</t>
        </is>
      </c>
      <c r="D70" s="10" t="inlineStr">
        <is>
          <t xml:space="preserve">      收息率</t>
        </is>
      </c>
      <c r="H70" s="5">
        <f>H69/H51</f>
        <v/>
      </c>
      <c r="J70" s="5" t="inlineStr">
        <is>
          <t>率年化指标</t>
        </is>
      </c>
      <c r="M70" t="inlineStr">
        <is>
          <t>14.02.03.01</t>
        </is>
      </c>
      <c r="P70" t="inlineStr">
        <is>
          <t>WGT</t>
        </is>
      </c>
    </row>
    <row r="71">
      <c r="A71" s="1" t="n"/>
      <c r="B71" s="1" t="n"/>
      <c r="C71" s="10" t="n"/>
      <c r="D71" s="10" t="n"/>
    </row>
    <row r="72">
      <c r="A72" s="7" t="inlineStr">
        <is>
          <t>一级</t>
        </is>
      </c>
      <c r="B72" s="7" t="inlineStr">
        <is>
          <t>支出</t>
        </is>
      </c>
      <c r="C72" s="8" t="inlineStr">
        <is>
          <t>F01.15</t>
        </is>
      </c>
      <c r="D72" s="7" t="inlineStr">
        <is>
          <t>FTP成本</t>
        </is>
      </c>
      <c r="F72" t="inlineStr">
        <is>
          <t>F01.15.04</t>
        </is>
      </c>
      <c r="H72" s="5">
        <f>H73</f>
        <v/>
      </c>
      <c r="I72" s="5">
        <f>I73</f>
        <v/>
      </c>
      <c r="M72" t="inlineStr">
        <is>
          <t>15</t>
        </is>
      </c>
    </row>
    <row r="73">
      <c r="A73" s="11" t="inlineStr">
        <is>
          <t>二级</t>
        </is>
      </c>
      <c r="B73" s="11" t="inlineStr">
        <is>
          <t>支出</t>
        </is>
      </c>
      <c r="C73" s="11" t="inlineStr">
        <is>
          <t>F01.15.04</t>
        </is>
      </c>
      <c r="D73" s="11" t="inlineStr">
        <is>
          <t xml:space="preserve">  司库FTP成本</t>
        </is>
      </c>
      <c r="M73" t="inlineStr">
        <is>
          <t>15.04</t>
        </is>
      </c>
      <c r="P73" t="inlineStr">
        <is>
          <t>SUM</t>
        </is>
      </c>
    </row>
    <row r="74">
      <c r="A74" s="10" t="n"/>
      <c r="B74" s="10" t="n"/>
      <c r="C74" s="10" t="n"/>
      <c r="D74" s="10" t="n"/>
    </row>
    <row r="75">
      <c r="A75" s="7" t="inlineStr">
        <is>
          <t>一级</t>
        </is>
      </c>
      <c r="B75" s="7" t="inlineStr">
        <is>
          <t>支出</t>
        </is>
      </c>
      <c r="C75" s="8" t="inlineStr">
        <is>
          <t>F01.16</t>
        </is>
      </c>
      <c r="D75" s="11" t="inlineStr">
        <is>
          <t>利息支出</t>
        </is>
      </c>
      <c r="F75" t="inlineStr">
        <is>
          <t>F01.16.02</t>
        </is>
      </c>
      <c r="H75" s="5">
        <f>H76</f>
        <v/>
      </c>
      <c r="I75" s="5">
        <f>I76</f>
        <v/>
      </c>
      <c r="M75" t="inlineStr">
        <is>
          <t>16</t>
        </is>
      </c>
    </row>
    <row r="76">
      <c r="A76" s="7" t="inlineStr">
        <is>
          <t>一级</t>
        </is>
      </c>
      <c r="B76" s="7" t="inlineStr">
        <is>
          <t>支出</t>
        </is>
      </c>
      <c r="C76" s="11" t="inlineStr">
        <is>
          <t>F01.16.02</t>
        </is>
      </c>
      <c r="D76" s="11" t="inlineStr">
        <is>
          <t xml:space="preserve">  金融机构往来利息支出</t>
        </is>
      </c>
      <c r="F76" t="inlineStr">
        <is>
          <t>F01.16.02.01+F01.16.02.02</t>
        </is>
      </c>
      <c r="H76" s="5">
        <f>H77+H79</f>
        <v/>
      </c>
      <c r="I76" s="5">
        <f>I77+I79</f>
        <v/>
      </c>
      <c r="M76" t="inlineStr">
        <is>
          <t>16.02</t>
        </is>
      </c>
    </row>
    <row r="77">
      <c r="A77" s="7" t="inlineStr">
        <is>
          <t>二级</t>
        </is>
      </c>
      <c r="B77" s="7" t="inlineStr">
        <is>
          <t>支出</t>
        </is>
      </c>
      <c r="C77" s="11" t="inlineStr">
        <is>
          <t>F01.16.02.01</t>
        </is>
      </c>
      <c r="D77" s="11" t="inlineStr">
        <is>
          <t xml:space="preserve">  向央行借款</t>
        </is>
      </c>
      <c r="F77" t="inlineStr">
        <is>
          <t>F01.16.02.01.01</t>
        </is>
      </c>
      <c r="I77" s="5">
        <f>I57*I78</f>
        <v/>
      </c>
      <c r="J77" s="5" t="inlineStr">
        <is>
          <t>收支月化指标</t>
        </is>
      </c>
      <c r="M77" t="inlineStr">
        <is>
          <t>16.02.01</t>
        </is>
      </c>
    </row>
    <row r="78">
      <c r="A78" s="1" t="inlineStr">
        <is>
          <t>三级</t>
        </is>
      </c>
      <c r="B78" s="1" t="inlineStr">
        <is>
          <t>其他</t>
        </is>
      </c>
      <c r="C78" s="10" t="inlineStr">
        <is>
          <t>F01.16.02.01.01</t>
        </is>
      </c>
      <c r="D78" s="10" t="inlineStr">
        <is>
          <t xml:space="preserve">    付息率</t>
        </is>
      </c>
      <c r="H78" s="5">
        <f>H77/H57</f>
        <v/>
      </c>
      <c r="J78" s="5" t="inlineStr">
        <is>
          <t>率年化指标</t>
        </is>
      </c>
      <c r="M78" t="inlineStr">
        <is>
          <t>16.02.01.01</t>
        </is>
      </c>
      <c r="P78" t="inlineStr">
        <is>
          <t>WGT</t>
        </is>
      </c>
    </row>
    <row r="79">
      <c r="A79" s="7" t="inlineStr">
        <is>
          <t>二级</t>
        </is>
      </c>
      <c r="B79" s="7" t="inlineStr">
        <is>
          <t>支出</t>
        </is>
      </c>
      <c r="C79" s="11" t="inlineStr">
        <is>
          <t>F01.16.02.02</t>
        </is>
      </c>
      <c r="D79" s="11" t="inlineStr">
        <is>
          <t xml:space="preserve">  同业存放</t>
        </is>
      </c>
      <c r="F79" t="inlineStr">
        <is>
          <t>F01.16.02.02.01</t>
        </is>
      </c>
      <c r="I79" s="5">
        <f>I58*I80</f>
        <v/>
      </c>
      <c r="J79" s="5" t="inlineStr">
        <is>
          <t>收支月化指标</t>
        </is>
      </c>
      <c r="M79" t="inlineStr">
        <is>
          <t>16.02.02</t>
        </is>
      </c>
    </row>
    <row r="80">
      <c r="A80" s="1" t="inlineStr">
        <is>
          <t>三级</t>
        </is>
      </c>
      <c r="B80" s="1" t="inlineStr">
        <is>
          <t>其他</t>
        </is>
      </c>
      <c r="C80" s="10" t="inlineStr">
        <is>
          <t>F01.16.02.02.01</t>
        </is>
      </c>
      <c r="D80" s="10" t="inlineStr">
        <is>
          <t xml:space="preserve">    付息率</t>
        </is>
      </c>
      <c r="H80" s="5">
        <f>H79/H58</f>
        <v/>
      </c>
      <c r="J80" s="5" t="inlineStr">
        <is>
          <t>率年化指标</t>
        </is>
      </c>
      <c r="M80" t="inlineStr">
        <is>
          <t>16.02.02.01</t>
        </is>
      </c>
      <c r="P80" t="inlineStr">
        <is>
          <t>WGT</t>
        </is>
      </c>
    </row>
    <row r="81">
      <c r="A81" s="10" t="n"/>
      <c r="B81" s="10" t="n"/>
      <c r="C81" s="10" t="n"/>
      <c r="D81" s="10" t="n"/>
    </row>
    <row r="82">
      <c r="A82" s="7" t="inlineStr">
        <is>
          <t>一级</t>
        </is>
      </c>
      <c r="B82" s="7" t="inlineStr">
        <is>
          <t>支出</t>
        </is>
      </c>
      <c r="C82" s="8" t="inlineStr">
        <is>
          <t>F01.17</t>
        </is>
      </c>
      <c r="D82" s="7" t="inlineStr">
        <is>
          <t>FTP收入</t>
        </is>
      </c>
      <c r="F82" t="inlineStr">
        <is>
          <t>F01.17.04</t>
        </is>
      </c>
      <c r="H82" s="5">
        <f>H83</f>
        <v/>
      </c>
      <c r="I82" s="5">
        <f>I83</f>
        <v/>
      </c>
      <c r="M82" t="inlineStr">
        <is>
          <t>17</t>
        </is>
      </c>
    </row>
    <row r="83">
      <c r="A83" s="11" t="inlineStr">
        <is>
          <t>二级</t>
        </is>
      </c>
      <c r="B83" s="11" t="inlineStr">
        <is>
          <t>支出</t>
        </is>
      </c>
      <c r="C83" s="11" t="inlineStr">
        <is>
          <t>F01.17.04</t>
        </is>
      </c>
      <c r="D83" s="11" t="inlineStr">
        <is>
          <t xml:space="preserve">  司库FTP收入</t>
        </is>
      </c>
      <c r="M83" t="inlineStr">
        <is>
          <t>17.04</t>
        </is>
      </c>
      <c r="P83" t="inlineStr">
        <is>
          <t>SUM</t>
        </is>
      </c>
    </row>
    <row r="84">
      <c r="A84" s="10" t="n"/>
      <c r="B84" s="10" t="n"/>
      <c r="C84" s="10" t="n"/>
      <c r="D84" s="10" t="n"/>
    </row>
    <row r="85">
      <c r="A85" s="11" t="inlineStr">
        <is>
          <t>一级</t>
        </is>
      </c>
      <c r="B85" s="11" t="inlineStr">
        <is>
          <t>收入</t>
        </is>
      </c>
      <c r="C85" s="8" t="inlineStr">
        <is>
          <t>F01.18</t>
        </is>
      </c>
      <c r="D85" s="11" t="inlineStr">
        <is>
          <t>手续费收入</t>
        </is>
      </c>
      <c r="F85" t="inlineStr">
        <is>
          <t>F01.18.99</t>
        </is>
      </c>
      <c r="H85" s="5">
        <f>H86</f>
        <v/>
      </c>
      <c r="I85" s="5">
        <f>I86</f>
        <v/>
      </c>
      <c r="M85" t="inlineStr">
        <is>
          <t>18</t>
        </is>
      </c>
    </row>
    <row r="86">
      <c r="A86" s="11" t="inlineStr">
        <is>
          <t>二级</t>
        </is>
      </c>
      <c r="B86" s="11" t="inlineStr">
        <is>
          <t>收入</t>
        </is>
      </c>
      <c r="C86" s="8" t="inlineStr">
        <is>
          <t>F01.18.99</t>
        </is>
      </c>
      <c r="D86" s="11" t="inlineStr">
        <is>
          <t xml:space="preserve">  手续费收入</t>
        </is>
      </c>
      <c r="M86" t="inlineStr">
        <is>
          <t>18.99</t>
        </is>
      </c>
      <c r="P86" t="inlineStr">
        <is>
          <t>SUM</t>
        </is>
      </c>
    </row>
    <row r="87">
      <c r="A87" s="1" t="n"/>
      <c r="B87" s="1" t="n"/>
      <c r="C87" s="9" t="n"/>
      <c r="D87" s="1" t="n"/>
    </row>
    <row r="88">
      <c r="A88" s="11" t="inlineStr">
        <is>
          <t>一级</t>
        </is>
      </c>
      <c r="B88" s="11" t="inlineStr">
        <is>
          <t>支出</t>
        </is>
      </c>
      <c r="C88" s="8" t="inlineStr">
        <is>
          <t>F01.19</t>
        </is>
      </c>
      <c r="D88" s="11" t="inlineStr">
        <is>
          <t>手续费支出</t>
        </is>
      </c>
      <c r="F88" t="inlineStr">
        <is>
          <t>F01.19.99</t>
        </is>
      </c>
      <c r="H88" s="5">
        <f>H89</f>
        <v/>
      </c>
      <c r="I88" s="5">
        <f>I89</f>
        <v/>
      </c>
      <c r="M88" t="inlineStr">
        <is>
          <t>19</t>
        </is>
      </c>
    </row>
    <row r="89">
      <c r="A89" s="11" t="inlineStr">
        <is>
          <t>二级</t>
        </is>
      </c>
      <c r="B89" s="11" t="inlineStr">
        <is>
          <t>支出</t>
        </is>
      </c>
      <c r="C89" s="8" t="inlineStr">
        <is>
          <t>F01.19.99</t>
        </is>
      </c>
      <c r="D89" s="11" t="inlineStr">
        <is>
          <t xml:space="preserve">  手续费支出</t>
        </is>
      </c>
      <c r="M89" t="inlineStr">
        <is>
          <t>19.99</t>
        </is>
      </c>
      <c r="P89" t="inlineStr">
        <is>
          <t>SUM</t>
        </is>
      </c>
    </row>
    <row r="90">
      <c r="A90" s="10" t="n"/>
      <c r="B90" s="10" t="n"/>
      <c r="C90" s="10" t="n"/>
      <c r="D90" s="10" t="n"/>
    </row>
    <row r="91">
      <c r="A91" s="11" t="inlineStr">
        <is>
          <t>一级</t>
        </is>
      </c>
      <c r="B91" s="11" t="inlineStr">
        <is>
          <t>收入</t>
        </is>
      </c>
      <c r="C91" s="8" t="inlineStr">
        <is>
          <t>F01.20</t>
        </is>
      </c>
      <c r="D91" s="11" t="inlineStr">
        <is>
          <t>其他外部营收</t>
        </is>
      </c>
      <c r="F91" t="inlineStr">
        <is>
          <t>F01.20.01+F01.20.02</t>
        </is>
      </c>
      <c r="H91" s="5">
        <f>H92+H93</f>
        <v/>
      </c>
      <c r="I91" s="5">
        <f>I92+I93</f>
        <v/>
      </c>
      <c r="M91" t="inlineStr">
        <is>
          <t>20</t>
        </is>
      </c>
    </row>
    <row r="92">
      <c r="A92" s="10" t="inlineStr">
        <is>
          <t>二级</t>
        </is>
      </c>
      <c r="B92" s="10" t="inlineStr">
        <is>
          <t>收入</t>
        </is>
      </c>
      <c r="C92" s="10" t="inlineStr">
        <is>
          <t>F01.20.01</t>
        </is>
      </c>
      <c r="D92" s="10" t="inlineStr">
        <is>
          <t xml:space="preserve">  债券免税收入抵消</t>
        </is>
      </c>
      <c r="H92" s="5">
        <f>B02金融市场!H246*-1</f>
        <v/>
      </c>
      <c r="I92" s="5">
        <f>B02金融市场!I246*-1</f>
        <v/>
      </c>
      <c r="M92" t="inlineStr">
        <is>
          <t>20.01</t>
        </is>
      </c>
      <c r="P92" t="inlineStr">
        <is>
          <t>SUM</t>
        </is>
      </c>
    </row>
    <row r="93">
      <c r="A93" s="10" t="inlineStr">
        <is>
          <t>二级</t>
        </is>
      </c>
      <c r="B93" s="10" t="inlineStr">
        <is>
          <t>收入</t>
        </is>
      </c>
      <c r="C93" s="10" t="inlineStr">
        <is>
          <t>F01.20.02</t>
        </is>
      </c>
      <c r="D93" s="10" t="inlineStr">
        <is>
          <t xml:space="preserve">  基金免税收入抵消</t>
        </is>
      </c>
      <c r="H93" s="5">
        <f>B02金融市场!H251*-1</f>
        <v/>
      </c>
      <c r="I93" s="5">
        <f>B02金融市场!I251*-1</f>
        <v/>
      </c>
      <c r="M93" t="inlineStr">
        <is>
          <t>20.02</t>
        </is>
      </c>
      <c r="P93" t="inlineStr">
        <is>
          <t>SUM</t>
        </is>
      </c>
    </row>
    <row r="94">
      <c r="A94" s="10" t="n"/>
      <c r="B94" s="10" t="n"/>
      <c r="C94" s="10" t="n"/>
      <c r="D94" s="10" t="n"/>
    </row>
    <row r="95">
      <c r="A95" s="11" t="inlineStr">
        <is>
          <t>一级</t>
        </is>
      </c>
      <c r="B95" s="7" t="inlineStr">
        <is>
          <t>收入</t>
        </is>
      </c>
      <c r="C95" s="11" t="inlineStr">
        <is>
          <t>F01.21</t>
        </is>
      </c>
      <c r="D95" s="11" t="inlineStr">
        <is>
          <t>内部营业净收入</t>
        </is>
      </c>
      <c r="M95" t="inlineStr">
        <is>
          <t>21</t>
        </is>
      </c>
      <c r="P95" t="inlineStr">
        <is>
          <t>SUM</t>
        </is>
      </c>
    </row>
    <row r="96"/>
    <row r="97">
      <c r="A97" t="inlineStr">
        <is>
          <t>层级</t>
        </is>
      </c>
      <c r="B97" t="inlineStr">
        <is>
          <t>性质</t>
        </is>
      </c>
      <c r="C97" t="inlineStr">
        <is>
          <t>科目代码</t>
        </is>
      </c>
      <c r="D97" t="inlineStr">
        <is>
          <t>科目名称</t>
        </is>
      </c>
      <c r="E97" t="inlineStr">
        <is>
          <t>录入粒度</t>
        </is>
      </c>
      <c r="F97" t="inlineStr">
        <is>
          <t>年预算公式</t>
        </is>
      </c>
      <c r="J97" t="inlineStr">
        <is>
          <t>公式说明</t>
        </is>
      </c>
      <c r="K97" t="inlineStr">
        <is>
          <t>横向汇总</t>
        </is>
      </c>
    </row>
    <row r="98">
      <c r="A98" t="inlineStr">
        <is>
          <t>一级</t>
        </is>
      </c>
      <c r="B98" t="inlineStr">
        <is>
          <t>支出</t>
        </is>
      </c>
      <c r="C98" t="inlineStr">
        <is>
          <t>F01.90</t>
        </is>
      </c>
      <c r="D98" t="inlineStr">
        <is>
          <t>减:业务及管理费</t>
        </is>
      </c>
      <c r="F98" t="inlineStr">
        <is>
          <t>F01.90.01+F01.90.03</t>
        </is>
      </c>
      <c r="K98" t="inlineStr">
        <is>
          <t>是</t>
        </is>
      </c>
      <c r="M98" t="inlineStr">
        <is>
          <t>05</t>
        </is>
      </c>
    </row>
    <row r="99">
      <c r="A99" t="inlineStr">
        <is>
          <t>二级</t>
        </is>
      </c>
      <c r="B99" t="inlineStr">
        <is>
          <t>支出</t>
        </is>
      </c>
      <c r="C99" t="inlineStr">
        <is>
          <t>F01.90.01</t>
        </is>
      </c>
      <c r="D99" t="inlineStr">
        <is>
          <t>直接费用</t>
        </is>
      </c>
      <c r="F99" t="inlineStr">
        <is>
          <t>F01.90.01.01+F01.90.01.02</t>
        </is>
      </c>
      <c r="K99" t="inlineStr">
        <is>
          <t>是</t>
        </is>
      </c>
      <c r="M99" t="inlineStr">
        <is>
          <t>05.01</t>
        </is>
      </c>
    </row>
    <row r="100">
      <c r="A100" t="inlineStr">
        <is>
          <t>三级</t>
        </is>
      </c>
      <c r="B100" t="inlineStr">
        <is>
          <t>支出</t>
        </is>
      </c>
      <c r="C100" t="inlineStr">
        <is>
          <t>F01.90.01.01</t>
        </is>
      </c>
      <c r="D100" t="inlineStr">
        <is>
          <t>直接费用</t>
        </is>
      </c>
      <c r="F100" t="inlineStr">
        <is>
          <t>F01.90.01.01.01+F01.90.01.01.02+F01.90.01.01.03+F01.90.01.01.04.001+F01.90.01.01.05.001</t>
        </is>
      </c>
      <c r="K100" t="inlineStr">
        <is>
          <t>是</t>
        </is>
      </c>
      <c r="M100" t="inlineStr">
        <is>
          <t>05.01.01</t>
        </is>
      </c>
    </row>
    <row r="101">
      <c r="A101" t="inlineStr">
        <is>
          <t>四级</t>
        </is>
      </c>
      <c r="B101" t="inlineStr">
        <is>
          <t>支出</t>
        </is>
      </c>
      <c r="C101" t="inlineStr">
        <is>
          <t>F01.90.01.01.01</t>
        </is>
      </c>
      <c r="D101" t="inlineStr">
        <is>
          <t>人力（不含IT)</t>
        </is>
      </c>
      <c r="F101" t="inlineStr">
        <is>
          <t>F01.90.01.01.01.001+F01.90.01.01.01.002</t>
        </is>
      </c>
      <c r="K101" t="inlineStr">
        <is>
          <t>是</t>
        </is>
      </c>
      <c r="M101" t="inlineStr">
        <is>
          <t>05.01.01.01</t>
        </is>
      </c>
    </row>
    <row r="102">
      <c r="A102" t="inlineStr">
        <is>
          <t>五级</t>
        </is>
      </c>
      <c r="B102" t="inlineStr">
        <is>
          <t>支出</t>
        </is>
      </c>
      <c r="C102" t="inlineStr">
        <is>
          <t>F01.90.01.01.01.001</t>
        </is>
      </c>
      <c r="D102" t="inlineStr">
        <is>
          <t>业务人力</t>
        </is>
      </c>
      <c r="K102" t="inlineStr">
        <is>
          <t>是</t>
        </is>
      </c>
      <c r="M102" t="inlineStr">
        <is>
          <t>05.01.01.01.001</t>
        </is>
      </c>
      <c r="N102" t="inlineStr">
        <is>
          <t>SUM</t>
        </is>
      </c>
    </row>
    <row r="103">
      <c r="A103" t="inlineStr">
        <is>
          <t>五级</t>
        </is>
      </c>
      <c r="B103" t="inlineStr">
        <is>
          <t>支出</t>
        </is>
      </c>
      <c r="C103" t="inlineStr">
        <is>
          <t>F01.90.01.01.01.002</t>
        </is>
      </c>
      <c r="D103" t="inlineStr">
        <is>
          <t>特别人力</t>
        </is>
      </c>
      <c r="K103" t="inlineStr">
        <is>
          <t>是</t>
        </is>
      </c>
      <c r="M103" t="inlineStr">
        <is>
          <t>05.01.01.01.002</t>
        </is>
      </c>
      <c r="N103" t="inlineStr">
        <is>
          <t>SUM</t>
        </is>
      </c>
    </row>
    <row r="104">
      <c r="A104" t="inlineStr">
        <is>
          <t>四级</t>
        </is>
      </c>
      <c r="B104" t="inlineStr">
        <is>
          <t>支出</t>
        </is>
      </c>
      <c r="C104" t="inlineStr">
        <is>
          <t>F01.90.01.01.02</t>
        </is>
      </c>
      <c r="D104" t="inlineStr">
        <is>
          <t>业务费用</t>
        </is>
      </c>
      <c r="F104" t="inlineStr">
        <is>
          <t>F01.90.01.01.02.001+F01.90.01.01.02.002</t>
        </is>
      </c>
      <c r="K104" t="inlineStr">
        <is>
          <t>是</t>
        </is>
      </c>
      <c r="M104" t="inlineStr">
        <is>
          <t>05.01.01.02</t>
        </is>
      </c>
    </row>
    <row r="105">
      <c r="A105" t="inlineStr">
        <is>
          <t>五级</t>
        </is>
      </c>
      <c r="B105" t="inlineStr">
        <is>
          <t>支出</t>
        </is>
      </c>
      <c r="C105" t="inlineStr">
        <is>
          <t>F01.90.01.01.02.001</t>
        </is>
      </c>
      <c r="D105" t="inlineStr">
        <is>
          <t>营销</t>
        </is>
      </c>
      <c r="K105" t="inlineStr">
        <is>
          <t>是</t>
        </is>
      </c>
      <c r="M105" t="inlineStr">
        <is>
          <t>05.01.01.02.001</t>
        </is>
      </c>
      <c r="N105" t="inlineStr">
        <is>
          <t>SUM</t>
        </is>
      </c>
    </row>
    <row r="106">
      <c r="A106" t="inlineStr">
        <is>
          <t>五级</t>
        </is>
      </c>
      <c r="B106" t="inlineStr">
        <is>
          <t>支出</t>
        </is>
      </c>
      <c r="C106" t="inlineStr">
        <is>
          <t>F01.90.01.01.02.002</t>
        </is>
      </c>
      <c r="D106" t="inlineStr">
        <is>
          <t>运营</t>
        </is>
      </c>
      <c r="K106" t="inlineStr">
        <is>
          <t>是</t>
        </is>
      </c>
      <c r="M106" t="inlineStr">
        <is>
          <t>05.01.01.02.002</t>
        </is>
      </c>
      <c r="N106" t="inlineStr">
        <is>
          <t>SUM</t>
        </is>
      </c>
    </row>
    <row r="107">
      <c r="A107" t="inlineStr">
        <is>
          <t>四级</t>
        </is>
      </c>
      <c r="B107" t="inlineStr">
        <is>
          <t>支出</t>
        </is>
      </c>
      <c r="C107" t="inlineStr">
        <is>
          <t>F01.90.01.01.03</t>
        </is>
      </c>
      <c r="D107" t="inlineStr">
        <is>
          <t>IT</t>
        </is>
      </c>
      <c r="F107" t="inlineStr">
        <is>
          <t>F01.90.01.01.03.01+F01.90.01.01.03.02.001+F01.90.01.01.03.03.001+F01.90.01.01.03.04.001</t>
        </is>
      </c>
      <c r="K107" t="inlineStr">
        <is>
          <t>是</t>
        </is>
      </c>
      <c r="M107" t="inlineStr">
        <is>
          <t>05.01.01.03</t>
        </is>
      </c>
    </row>
    <row r="108">
      <c r="A108" t="inlineStr">
        <is>
          <t>五级</t>
        </is>
      </c>
      <c r="B108" t="inlineStr">
        <is>
          <t>支出</t>
        </is>
      </c>
      <c r="C108" t="inlineStr">
        <is>
          <t>F01.90.01.01.03.01</t>
        </is>
      </c>
      <c r="D108" t="inlineStr">
        <is>
          <t>IT人力</t>
        </is>
      </c>
      <c r="F108" t="inlineStr">
        <is>
          <t>F01.90.01.01.03.01.001+F01.90.01.01.03.01.002</t>
        </is>
      </c>
      <c r="K108" t="inlineStr">
        <is>
          <t>是</t>
        </is>
      </c>
      <c r="M108" t="inlineStr">
        <is>
          <t>05.01.01.03.01</t>
        </is>
      </c>
    </row>
    <row r="109">
      <c r="A109" t="inlineStr">
        <is>
          <t>六级</t>
        </is>
      </c>
      <c r="B109" t="inlineStr">
        <is>
          <t>支出</t>
        </is>
      </c>
      <c r="C109" t="inlineStr">
        <is>
          <t>F01.90.01.01.03.01.001</t>
        </is>
      </c>
      <c r="D109" t="inlineStr">
        <is>
          <t>IT常规人力</t>
        </is>
      </c>
      <c r="K109" t="inlineStr">
        <is>
          <t>是</t>
        </is>
      </c>
      <c r="M109" t="inlineStr">
        <is>
          <t>05.01.01.03.01.001</t>
        </is>
      </c>
      <c r="N109" t="inlineStr">
        <is>
          <t>SUM</t>
        </is>
      </c>
    </row>
    <row r="110">
      <c r="A110" t="inlineStr">
        <is>
          <t>六级</t>
        </is>
      </c>
      <c r="B110" t="inlineStr">
        <is>
          <t>支出</t>
        </is>
      </c>
      <c r="C110" t="inlineStr">
        <is>
          <t>F01.90.01.01.03.01.002</t>
        </is>
      </c>
      <c r="D110" t="inlineStr">
        <is>
          <t>IT特别人力</t>
        </is>
      </c>
      <c r="K110" t="inlineStr">
        <is>
          <t>是</t>
        </is>
      </c>
      <c r="M110" t="inlineStr">
        <is>
          <t>05.01.01.03.01.002</t>
        </is>
      </c>
      <c r="N110" t="inlineStr">
        <is>
          <t>SUM</t>
        </is>
      </c>
    </row>
    <row r="111">
      <c r="A111" t="inlineStr">
        <is>
          <t>五级</t>
        </is>
      </c>
      <c r="B111" t="inlineStr">
        <is>
          <t>支出</t>
        </is>
      </c>
      <c r="C111" t="inlineStr">
        <is>
          <t>F01.90.01.01.03.02</t>
        </is>
      </c>
      <c r="D111" t="inlineStr">
        <is>
          <t>科技</t>
        </is>
      </c>
      <c r="K111" t="inlineStr">
        <is>
          <t>是</t>
        </is>
      </c>
      <c r="M111" t="inlineStr">
        <is>
          <t>05.01.01.03.02</t>
        </is>
      </c>
      <c r="N111" t="inlineStr">
        <is>
          <t>SUM</t>
        </is>
      </c>
    </row>
    <row r="112">
      <c r="A112" t="inlineStr">
        <is>
          <t>五级</t>
        </is>
      </c>
      <c r="B112" t="inlineStr">
        <is>
          <t>支出</t>
        </is>
      </c>
      <c r="C112" t="inlineStr">
        <is>
          <t>F01.90.01.01.03.03</t>
        </is>
      </c>
      <c r="D112" t="inlineStr">
        <is>
          <t>IT职场</t>
        </is>
      </c>
      <c r="K112" t="inlineStr">
        <is>
          <t>是</t>
        </is>
      </c>
      <c r="M112" t="inlineStr">
        <is>
          <t>05.01.01.03.03</t>
        </is>
      </c>
      <c r="N112" t="inlineStr">
        <is>
          <t>SUM</t>
        </is>
      </c>
    </row>
    <row r="113">
      <c r="A113" t="inlineStr">
        <is>
          <t>五级</t>
        </is>
      </c>
      <c r="B113" t="inlineStr">
        <is>
          <t>支出</t>
        </is>
      </c>
      <c r="C113" t="inlineStr">
        <is>
          <t>F01.90.01.01.03.04</t>
        </is>
      </c>
      <c r="D113" t="inlineStr">
        <is>
          <t>IT日常</t>
        </is>
      </c>
      <c r="K113" t="inlineStr">
        <is>
          <t>是</t>
        </is>
      </c>
      <c r="M113" t="inlineStr">
        <is>
          <t>05.01.01.03.04</t>
        </is>
      </c>
      <c r="N113" t="inlineStr">
        <is>
          <t>SUM</t>
        </is>
      </c>
    </row>
    <row r="114">
      <c r="A114" t="inlineStr">
        <is>
          <t>四级</t>
        </is>
      </c>
      <c r="B114" t="inlineStr">
        <is>
          <t>支出</t>
        </is>
      </c>
      <c r="C114" t="inlineStr">
        <is>
          <t>F01.90.01.01.04</t>
        </is>
      </c>
      <c r="D114" t="inlineStr">
        <is>
          <t>AA.05.01.01.04</t>
        </is>
      </c>
      <c r="F114" t="inlineStr">
        <is>
          <t>F01.90.01.01.04.001</t>
        </is>
      </c>
      <c r="K114" t="inlineStr">
        <is>
          <t>是</t>
        </is>
      </c>
      <c r="M114" t="inlineStr">
        <is>
          <t>05.01.01.04</t>
        </is>
      </c>
      <c r="N114" t="inlineStr">
        <is>
          <t>SUM</t>
        </is>
      </c>
    </row>
    <row r="115">
      <c r="A115" t="inlineStr">
        <is>
          <t>五级</t>
        </is>
      </c>
      <c r="B115" t="inlineStr">
        <is>
          <t>支出</t>
        </is>
      </c>
      <c r="C115" t="inlineStr">
        <is>
          <t>F01.90.01.01.04.001</t>
        </is>
      </c>
      <c r="D115" t="inlineStr">
        <is>
          <t>职场</t>
        </is>
      </c>
      <c r="K115" t="inlineStr">
        <is>
          <t>是</t>
        </is>
      </c>
      <c r="M115" t="inlineStr">
        <is>
          <t>05.01.01.04.001</t>
        </is>
      </c>
      <c r="N115" t="inlineStr">
        <is>
          <t>SUM</t>
        </is>
      </c>
    </row>
    <row r="116">
      <c r="A116" t="inlineStr">
        <is>
          <t>四级</t>
        </is>
      </c>
      <c r="B116" t="inlineStr">
        <is>
          <t>支出</t>
        </is>
      </c>
      <c r="C116" t="inlineStr">
        <is>
          <t>F01.90.01.01.05</t>
        </is>
      </c>
      <c r="D116" t="inlineStr">
        <is>
          <t>AA.05.01.01.05</t>
        </is>
      </c>
      <c r="F116" t="inlineStr">
        <is>
          <t>F01.90.01.01.05.001</t>
        </is>
      </c>
      <c r="K116" t="inlineStr">
        <is>
          <t>是</t>
        </is>
      </c>
      <c r="M116" t="inlineStr">
        <is>
          <t>05.01.01.05</t>
        </is>
      </c>
      <c r="N116" t="inlineStr">
        <is>
          <t>SUM</t>
        </is>
      </c>
    </row>
    <row r="117">
      <c r="A117" t="inlineStr">
        <is>
          <t>五级</t>
        </is>
      </c>
      <c r="B117" t="inlineStr">
        <is>
          <t>支出</t>
        </is>
      </c>
      <c r="C117" t="inlineStr">
        <is>
          <t>F01.90.01.01.05.001</t>
        </is>
      </c>
      <c r="D117" t="inlineStr">
        <is>
          <t>日常</t>
        </is>
      </c>
      <c r="K117" t="inlineStr">
        <is>
          <t>是</t>
        </is>
      </c>
      <c r="M117" t="inlineStr">
        <is>
          <t>05.01.01.05.001</t>
        </is>
      </c>
      <c r="N117" t="inlineStr">
        <is>
          <t>SUM</t>
        </is>
      </c>
    </row>
    <row r="118">
      <c r="A118" t="inlineStr">
        <is>
          <t>三级</t>
        </is>
      </c>
      <c r="B118" t="inlineStr">
        <is>
          <t>支出</t>
        </is>
      </c>
      <c r="C118" t="inlineStr">
        <is>
          <t>F01.90.01.02</t>
        </is>
      </c>
      <c r="D118" t="inlineStr">
        <is>
          <t>间接费用</t>
        </is>
      </c>
      <c r="F118" t="inlineStr">
        <is>
          <t>F01.90.01.02.01+F01.90.01.02.02+F01.90.01.02.03+F01.90.01.02.04.001+F01.90.01.02.05.001</t>
        </is>
      </c>
      <c r="K118" t="inlineStr">
        <is>
          <t>是</t>
        </is>
      </c>
      <c r="M118" t="inlineStr">
        <is>
          <t>05.01.02</t>
        </is>
      </c>
    </row>
    <row r="119">
      <c r="A119" t="inlineStr">
        <is>
          <t>四级</t>
        </is>
      </c>
      <c r="B119" t="inlineStr">
        <is>
          <t>支出</t>
        </is>
      </c>
      <c r="C119" t="inlineStr">
        <is>
          <t>F01.90.01.02.01</t>
        </is>
      </c>
      <c r="D119" t="inlineStr">
        <is>
          <t>人力（不含IT)</t>
        </is>
      </c>
      <c r="F119" t="inlineStr">
        <is>
          <t>F01.90.01.02.01.001+F01.90.01.02.01.002</t>
        </is>
      </c>
      <c r="K119" t="inlineStr">
        <is>
          <t>是</t>
        </is>
      </c>
      <c r="M119" t="inlineStr">
        <is>
          <t>05.01.02.01</t>
        </is>
      </c>
    </row>
    <row r="120">
      <c r="A120" t="inlineStr">
        <is>
          <t>五级</t>
        </is>
      </c>
      <c r="B120" t="inlineStr">
        <is>
          <t>支出</t>
        </is>
      </c>
      <c r="C120" t="inlineStr">
        <is>
          <t>F01.90.01.02.01.001</t>
        </is>
      </c>
      <c r="D120" t="inlineStr">
        <is>
          <t>业务人力</t>
        </is>
      </c>
      <c r="K120" t="inlineStr">
        <is>
          <t>是</t>
        </is>
      </c>
      <c r="M120" t="inlineStr">
        <is>
          <t>05.01.02.01.001</t>
        </is>
      </c>
      <c r="N120" t="inlineStr">
        <is>
          <t>SUM</t>
        </is>
      </c>
    </row>
    <row r="121">
      <c r="A121" t="inlineStr">
        <is>
          <t>五级</t>
        </is>
      </c>
      <c r="B121" t="inlineStr">
        <is>
          <t>支出</t>
        </is>
      </c>
      <c r="C121" t="inlineStr">
        <is>
          <t>F01.90.01.02.01.002</t>
        </is>
      </c>
      <c r="D121" t="inlineStr">
        <is>
          <t>特别人力</t>
        </is>
      </c>
      <c r="K121" t="inlineStr">
        <is>
          <t>是</t>
        </is>
      </c>
      <c r="M121" t="inlineStr">
        <is>
          <t>05.01.02.01.002</t>
        </is>
      </c>
      <c r="N121" t="inlineStr">
        <is>
          <t>SUM</t>
        </is>
      </c>
    </row>
    <row r="122">
      <c r="A122" t="inlineStr">
        <is>
          <t>四级</t>
        </is>
      </c>
      <c r="B122" t="inlineStr">
        <is>
          <t>支出</t>
        </is>
      </c>
      <c r="C122" t="inlineStr">
        <is>
          <t>F01.90.01.02.02</t>
        </is>
      </c>
      <c r="D122" t="inlineStr">
        <is>
          <t>业务费用</t>
        </is>
      </c>
      <c r="F122" t="inlineStr">
        <is>
          <t>F01.90.01.02.02.001+F01.90.01.02.02.002</t>
        </is>
      </c>
      <c r="K122" t="inlineStr">
        <is>
          <t>是</t>
        </is>
      </c>
      <c r="M122" t="inlineStr">
        <is>
          <t>05.01.02.02</t>
        </is>
      </c>
    </row>
    <row r="123">
      <c r="A123" t="inlineStr">
        <is>
          <t>五级</t>
        </is>
      </c>
      <c r="B123" t="inlineStr">
        <is>
          <t>支出</t>
        </is>
      </c>
      <c r="C123" t="inlineStr">
        <is>
          <t>F01.90.01.02.02.001</t>
        </is>
      </c>
      <c r="D123" t="inlineStr">
        <is>
          <t>营销</t>
        </is>
      </c>
      <c r="K123" t="inlineStr">
        <is>
          <t>是</t>
        </is>
      </c>
      <c r="M123" t="inlineStr">
        <is>
          <t>05.01.02.02.001</t>
        </is>
      </c>
      <c r="N123" t="inlineStr">
        <is>
          <t>SUM</t>
        </is>
      </c>
    </row>
    <row r="124">
      <c r="A124" t="inlineStr">
        <is>
          <t>五级</t>
        </is>
      </c>
      <c r="B124" t="inlineStr">
        <is>
          <t>支出</t>
        </is>
      </c>
      <c r="C124" t="inlineStr">
        <is>
          <t>F01.90.01.02.02.002</t>
        </is>
      </c>
      <c r="D124" t="inlineStr">
        <is>
          <t>运营</t>
        </is>
      </c>
      <c r="K124" t="inlineStr">
        <is>
          <t>是</t>
        </is>
      </c>
      <c r="M124" t="inlineStr">
        <is>
          <t>05.01.02.02.002</t>
        </is>
      </c>
      <c r="N124" t="inlineStr">
        <is>
          <t>SUM</t>
        </is>
      </c>
    </row>
    <row r="125">
      <c r="A125" t="inlineStr">
        <is>
          <t>四级</t>
        </is>
      </c>
      <c r="B125" t="inlineStr">
        <is>
          <t>支出</t>
        </is>
      </c>
      <c r="C125" t="inlineStr">
        <is>
          <t>F01.90.01.02.03</t>
        </is>
      </c>
      <c r="D125" t="inlineStr">
        <is>
          <t>IT</t>
        </is>
      </c>
      <c r="F125" t="inlineStr">
        <is>
          <t>F01.90.01.02.03.01+F01.90.01.02.03.02.001+F01.90.01.02.03.03.001+F01.90.01.02.03.04.001</t>
        </is>
      </c>
      <c r="K125" t="inlineStr">
        <is>
          <t>是</t>
        </is>
      </c>
      <c r="M125" t="inlineStr">
        <is>
          <t>05.01.02.03</t>
        </is>
      </c>
    </row>
    <row r="126">
      <c r="A126" t="inlineStr">
        <is>
          <t>五级</t>
        </is>
      </c>
      <c r="B126" t="inlineStr">
        <is>
          <t>支出</t>
        </is>
      </c>
      <c r="C126" t="inlineStr">
        <is>
          <t>F01.90.01.02.03.01</t>
        </is>
      </c>
      <c r="D126" t="inlineStr">
        <is>
          <t>IT人力</t>
        </is>
      </c>
      <c r="F126" t="inlineStr">
        <is>
          <t>F01.90.01.02.03.01.001+F01.90.01.02.03.01.002</t>
        </is>
      </c>
      <c r="K126" t="inlineStr">
        <is>
          <t>是</t>
        </is>
      </c>
      <c r="M126" t="inlineStr">
        <is>
          <t>05.01.02.03.01</t>
        </is>
      </c>
    </row>
    <row r="127">
      <c r="A127" t="inlineStr">
        <is>
          <t>六级</t>
        </is>
      </c>
      <c r="B127" t="inlineStr">
        <is>
          <t>支出</t>
        </is>
      </c>
      <c r="C127" t="inlineStr">
        <is>
          <t>F01.90.01.02.03.01.001</t>
        </is>
      </c>
      <c r="D127" t="inlineStr">
        <is>
          <t>IT常规人力</t>
        </is>
      </c>
      <c r="K127" t="inlineStr">
        <is>
          <t>是</t>
        </is>
      </c>
      <c r="M127" t="inlineStr">
        <is>
          <t>05.01.02.03.01.001</t>
        </is>
      </c>
      <c r="N127" t="inlineStr">
        <is>
          <t>SUM</t>
        </is>
      </c>
    </row>
    <row r="128">
      <c r="A128" t="inlineStr">
        <is>
          <t>六级</t>
        </is>
      </c>
      <c r="B128" t="inlineStr">
        <is>
          <t>支出</t>
        </is>
      </c>
      <c r="C128" t="inlineStr">
        <is>
          <t>F01.90.01.02.03.01.002</t>
        </is>
      </c>
      <c r="D128" t="inlineStr">
        <is>
          <t>IT特别人力</t>
        </is>
      </c>
      <c r="K128" t="inlineStr">
        <is>
          <t>是</t>
        </is>
      </c>
      <c r="M128" t="inlineStr">
        <is>
          <t>05.01.02.03.01.002</t>
        </is>
      </c>
      <c r="N128" t="inlineStr">
        <is>
          <t>SUM</t>
        </is>
      </c>
    </row>
    <row r="129">
      <c r="A129" t="inlineStr">
        <is>
          <t>五级</t>
        </is>
      </c>
      <c r="B129" t="inlineStr">
        <is>
          <t>支出</t>
        </is>
      </c>
      <c r="C129" t="inlineStr">
        <is>
          <t>F01.90.01.02.03.02</t>
        </is>
      </c>
      <c r="D129" t="inlineStr">
        <is>
          <t>AA.05.01.02.03.02</t>
        </is>
      </c>
      <c r="F129" t="inlineStr">
        <is>
          <t>F01.90.01.02.03.02.001</t>
        </is>
      </c>
      <c r="K129" t="inlineStr">
        <is>
          <t>是</t>
        </is>
      </c>
      <c r="M129" t="inlineStr">
        <is>
          <t>05.01.02.03.02</t>
        </is>
      </c>
      <c r="N129" t="inlineStr">
        <is>
          <t>SUM</t>
        </is>
      </c>
    </row>
    <row r="130">
      <c r="A130" t="inlineStr">
        <is>
          <t>六级</t>
        </is>
      </c>
      <c r="B130" t="inlineStr">
        <is>
          <t>支出</t>
        </is>
      </c>
      <c r="C130" t="inlineStr">
        <is>
          <t>F01.90.01.02.03.02.001</t>
        </is>
      </c>
      <c r="D130" t="inlineStr">
        <is>
          <t>科技</t>
        </is>
      </c>
      <c r="K130" t="inlineStr">
        <is>
          <t>是</t>
        </is>
      </c>
      <c r="M130" t="inlineStr">
        <is>
          <t>05.01.02.03.02.001</t>
        </is>
      </c>
      <c r="N130" t="inlineStr">
        <is>
          <t>SUM</t>
        </is>
      </c>
    </row>
    <row r="131">
      <c r="A131" t="inlineStr">
        <is>
          <t>五级</t>
        </is>
      </c>
      <c r="B131" t="inlineStr">
        <is>
          <t>支出</t>
        </is>
      </c>
      <c r="C131" t="inlineStr">
        <is>
          <t>F01.90.01.02.03.03</t>
        </is>
      </c>
      <c r="D131" t="inlineStr">
        <is>
          <t>AA.05.01.02.03.03</t>
        </is>
      </c>
      <c r="F131" t="inlineStr">
        <is>
          <t>F01.90.01.02.03.03.001</t>
        </is>
      </c>
      <c r="K131" t="inlineStr">
        <is>
          <t>是</t>
        </is>
      </c>
      <c r="M131" t="inlineStr">
        <is>
          <t>05.01.02.03.03</t>
        </is>
      </c>
      <c r="N131" t="inlineStr">
        <is>
          <t>SUM</t>
        </is>
      </c>
    </row>
    <row r="132">
      <c r="A132" t="inlineStr">
        <is>
          <t>六级</t>
        </is>
      </c>
      <c r="B132" t="inlineStr">
        <is>
          <t>支出</t>
        </is>
      </c>
      <c r="C132" t="inlineStr">
        <is>
          <t>F01.90.01.02.03.03.001</t>
        </is>
      </c>
      <c r="D132" t="inlineStr">
        <is>
          <t>IT职场</t>
        </is>
      </c>
      <c r="K132" t="inlineStr">
        <is>
          <t>是</t>
        </is>
      </c>
      <c r="M132" t="inlineStr">
        <is>
          <t>05.01.02.03.03.001</t>
        </is>
      </c>
      <c r="N132" t="inlineStr">
        <is>
          <t>SUM</t>
        </is>
      </c>
    </row>
    <row r="133">
      <c r="A133" t="inlineStr">
        <is>
          <t>五级</t>
        </is>
      </c>
      <c r="B133" t="inlineStr">
        <is>
          <t>支出</t>
        </is>
      </c>
      <c r="C133" t="inlineStr">
        <is>
          <t>F01.90.01.02.03.04</t>
        </is>
      </c>
      <c r="D133" t="inlineStr">
        <is>
          <t>AA.05.01.02.03.04</t>
        </is>
      </c>
      <c r="F133" t="inlineStr">
        <is>
          <t>F01.90.01.02.03.04.001</t>
        </is>
      </c>
      <c r="K133" t="inlineStr">
        <is>
          <t>是</t>
        </is>
      </c>
      <c r="M133" t="inlineStr">
        <is>
          <t>05.01.02.03.04</t>
        </is>
      </c>
      <c r="N133" t="inlineStr">
        <is>
          <t>SUM</t>
        </is>
      </c>
    </row>
    <row r="134">
      <c r="A134" t="inlineStr">
        <is>
          <t>六级</t>
        </is>
      </c>
      <c r="B134" t="inlineStr">
        <is>
          <t>支出</t>
        </is>
      </c>
      <c r="C134" t="inlineStr">
        <is>
          <t>F01.90.01.02.03.04.001</t>
        </is>
      </c>
      <c r="D134" t="inlineStr">
        <is>
          <t>IT日常</t>
        </is>
      </c>
      <c r="K134" t="inlineStr">
        <is>
          <t>是</t>
        </is>
      </c>
      <c r="M134" t="inlineStr">
        <is>
          <t>05.01.02.03.04.001</t>
        </is>
      </c>
      <c r="N134" t="inlineStr">
        <is>
          <t>SUM</t>
        </is>
      </c>
    </row>
    <row r="135">
      <c r="A135" t="inlineStr">
        <is>
          <t>四级</t>
        </is>
      </c>
      <c r="B135" t="inlineStr">
        <is>
          <t>支出</t>
        </is>
      </c>
      <c r="C135" t="inlineStr">
        <is>
          <t>F01.90.01.02.04</t>
        </is>
      </c>
      <c r="D135" t="inlineStr">
        <is>
          <t>AA.05.01.02.04</t>
        </is>
      </c>
      <c r="F135" t="inlineStr">
        <is>
          <t>F01.90.01.02.04.001</t>
        </is>
      </c>
      <c r="K135" t="inlineStr">
        <is>
          <t>是</t>
        </is>
      </c>
      <c r="M135" t="inlineStr">
        <is>
          <t>05.01.02.04</t>
        </is>
      </c>
      <c r="N135" t="inlineStr">
        <is>
          <t>SUM</t>
        </is>
      </c>
    </row>
    <row r="136">
      <c r="A136" t="inlineStr">
        <is>
          <t>五级</t>
        </is>
      </c>
      <c r="B136" t="inlineStr">
        <is>
          <t>支出</t>
        </is>
      </c>
      <c r="C136" t="inlineStr">
        <is>
          <t>F01.90.01.02.04.001</t>
        </is>
      </c>
      <c r="D136" t="inlineStr">
        <is>
          <t>职场</t>
        </is>
      </c>
      <c r="K136" t="inlineStr">
        <is>
          <t>是</t>
        </is>
      </c>
      <c r="M136" t="inlineStr">
        <is>
          <t>05.01.02.04.001</t>
        </is>
      </c>
      <c r="N136" t="inlineStr">
        <is>
          <t>SUM</t>
        </is>
      </c>
    </row>
    <row r="137">
      <c r="A137" t="inlineStr">
        <is>
          <t>四级</t>
        </is>
      </c>
      <c r="B137" t="inlineStr">
        <is>
          <t>支出</t>
        </is>
      </c>
      <c r="C137" t="inlineStr">
        <is>
          <t>F01.90.01.02.05</t>
        </is>
      </c>
      <c r="D137" t="inlineStr">
        <is>
          <t>AA.05.01.02.05</t>
        </is>
      </c>
      <c r="F137" t="inlineStr">
        <is>
          <t>F01.90.01.02.05.001</t>
        </is>
      </c>
      <c r="K137" t="inlineStr">
        <is>
          <t>是</t>
        </is>
      </c>
      <c r="M137" t="inlineStr">
        <is>
          <t>05.01.02.05</t>
        </is>
      </c>
      <c r="N137" t="inlineStr">
        <is>
          <t>SUM</t>
        </is>
      </c>
    </row>
    <row r="138">
      <c r="A138" t="inlineStr">
        <is>
          <t>五级</t>
        </is>
      </c>
      <c r="B138" t="inlineStr">
        <is>
          <t>支出</t>
        </is>
      </c>
      <c r="C138" t="inlineStr">
        <is>
          <t>F01.90.01.02.05.001</t>
        </is>
      </c>
      <c r="D138" t="inlineStr">
        <is>
          <t>日常</t>
        </is>
      </c>
      <c r="K138" t="inlineStr">
        <is>
          <t>是</t>
        </is>
      </c>
      <c r="M138" t="inlineStr">
        <is>
          <t>05.01.02.05.001</t>
        </is>
      </c>
      <c r="N138" t="inlineStr">
        <is>
          <t>SUM</t>
        </is>
      </c>
    </row>
    <row r="139">
      <c r="A139" t="inlineStr">
        <is>
          <t>二级</t>
        </is>
      </c>
      <c r="B139" t="inlineStr">
        <is>
          <t>支出</t>
        </is>
      </c>
      <c r="C139" t="inlineStr">
        <is>
          <t>F01.90.02</t>
        </is>
      </c>
      <c r="D139" t="inlineStr">
        <is>
          <t>业务费用</t>
        </is>
      </c>
      <c r="F139" t="inlineStr">
        <is>
          <t>F01.90.02.01+F01.90.02.02</t>
        </is>
      </c>
      <c r="K139" t="inlineStr">
        <is>
          <t>是</t>
        </is>
      </c>
      <c r="N139" t="inlineStr">
        <is>
          <t>SUM</t>
        </is>
      </c>
    </row>
    <row r="140">
      <c r="A140" t="inlineStr">
        <is>
          <t>三级</t>
        </is>
      </c>
      <c r="B140" t="inlineStr">
        <is>
          <t>支出</t>
        </is>
      </c>
      <c r="C140" t="inlineStr">
        <is>
          <t>F01.90.02.01</t>
        </is>
      </c>
      <c r="D140" t="inlineStr">
        <is>
          <t>营销费用</t>
        </is>
      </c>
      <c r="K140" t="inlineStr">
        <is>
          <t>是</t>
        </is>
      </c>
      <c r="N140" t="inlineStr">
        <is>
          <t>SUM</t>
        </is>
      </c>
    </row>
    <row r="141">
      <c r="A141" t="inlineStr">
        <is>
          <t>三级</t>
        </is>
      </c>
      <c r="B141" t="inlineStr">
        <is>
          <t>支出</t>
        </is>
      </c>
      <c r="C141" t="inlineStr">
        <is>
          <t>F01.90.02.02</t>
        </is>
      </c>
      <c r="D141" t="inlineStr">
        <is>
          <t>运营费用</t>
        </is>
      </c>
      <c r="K141" t="inlineStr">
        <is>
          <t>是</t>
        </is>
      </c>
      <c r="N141" t="inlineStr">
        <is>
          <t>SUM</t>
        </is>
      </c>
    </row>
    <row r="142">
      <c r="A142" t="inlineStr">
        <is>
          <t>二级</t>
        </is>
      </c>
      <c r="B142" t="inlineStr">
        <is>
          <t>支出</t>
        </is>
      </c>
      <c r="C142" t="inlineStr">
        <is>
          <t>F01.90.03</t>
        </is>
      </c>
      <c r="D142" t="inlineStr">
        <is>
          <t>业务支出评估</t>
        </is>
      </c>
      <c r="F142" t="inlineStr">
        <is>
          <t>F01.90.03.09</t>
        </is>
      </c>
      <c r="K142" t="inlineStr">
        <is>
          <t>是</t>
        </is>
      </c>
      <c r="M142" t="inlineStr">
        <is>
          <t>05.02</t>
        </is>
      </c>
    </row>
    <row r="143">
      <c r="A143" t="inlineStr">
        <is>
          <t>三级</t>
        </is>
      </c>
      <c r="B143" t="inlineStr">
        <is>
          <t>支出</t>
        </is>
      </c>
      <c r="C143" t="inlineStr">
        <is>
          <t>F01.90.03.09</t>
        </is>
      </c>
      <c r="D143" t="inlineStr">
        <is>
          <t>客户经营指标</t>
        </is>
      </c>
      <c r="F143" t="inlineStr">
        <is>
          <t>F01.90.03.09.01+F01.90.03.09.02+F01.90.03.09.03</t>
        </is>
      </c>
      <c r="K143" t="inlineStr">
        <is>
          <t>是</t>
        </is>
      </c>
      <c r="M143" t="inlineStr">
        <is>
          <t>05.02.09</t>
        </is>
      </c>
    </row>
    <row r="144">
      <c r="A144" t="inlineStr">
        <is>
          <t>四级</t>
        </is>
      </c>
      <c r="B144" t="inlineStr">
        <is>
          <t>支出</t>
        </is>
      </c>
      <c r="C144" t="inlineStr">
        <is>
          <t>F01.90.03.09.01</t>
        </is>
      </c>
      <c r="D144" t="inlineStr">
        <is>
          <t>客户营销与投入</t>
        </is>
      </c>
      <c r="F144" t="inlineStr">
        <is>
          <t>F01.90.03.09.01.001+F01.90.03.09.01.002+F01.90.03.09.01.003+F01.90.03.09.01.004</t>
        </is>
      </c>
      <c r="K144" t="inlineStr">
        <is>
          <t>是</t>
        </is>
      </c>
      <c r="M144" t="inlineStr">
        <is>
          <t>05.02.09.01</t>
        </is>
      </c>
    </row>
    <row r="145">
      <c r="A145" t="inlineStr">
        <is>
          <t>五级</t>
        </is>
      </c>
      <c r="B145" t="inlineStr">
        <is>
          <t>支出</t>
        </is>
      </c>
      <c r="C145" t="inlineStr">
        <is>
          <t>F01.90.03.09.01.001</t>
        </is>
      </c>
      <c r="D145" t="inlineStr">
        <is>
          <t>新客营销支出</t>
        </is>
      </c>
      <c r="K145" t="inlineStr">
        <is>
          <t>是</t>
        </is>
      </c>
      <c r="M145" t="inlineStr">
        <is>
          <t>05.02.09.01.001</t>
        </is>
      </c>
      <c r="N145" t="inlineStr">
        <is>
          <t>SUM</t>
        </is>
      </c>
    </row>
    <row r="146">
      <c r="A146" t="inlineStr">
        <is>
          <t>五级</t>
        </is>
      </c>
      <c r="B146" t="inlineStr">
        <is>
          <t>支出</t>
        </is>
      </c>
      <c r="C146" t="inlineStr">
        <is>
          <t>F01.90.03.09.01.002</t>
        </is>
      </c>
      <c r="D146" t="inlineStr">
        <is>
          <t>存客营销支出</t>
        </is>
      </c>
      <c r="K146" t="inlineStr">
        <is>
          <t>是</t>
        </is>
      </c>
      <c r="M146" t="inlineStr">
        <is>
          <t>05.02.09.01.002</t>
        </is>
      </c>
      <c r="N146" t="inlineStr">
        <is>
          <t>SUM</t>
        </is>
      </c>
    </row>
    <row r="147">
      <c r="A147" t="inlineStr">
        <is>
          <t>五级</t>
        </is>
      </c>
      <c r="B147" t="inlineStr">
        <is>
          <t>支出</t>
        </is>
      </c>
      <c r="C147" t="inlineStr">
        <is>
          <t>F01.90.03.09.01.003</t>
        </is>
      </c>
      <c r="D147" t="inlineStr">
        <is>
          <t>新开通客户投入</t>
        </is>
      </c>
      <c r="K147" t="inlineStr">
        <is>
          <t>是</t>
        </is>
      </c>
      <c r="M147" t="inlineStr">
        <is>
          <t>05.02.09.01.003</t>
        </is>
      </c>
      <c r="N147" t="inlineStr">
        <is>
          <t>SUM</t>
        </is>
      </c>
    </row>
    <row r="148">
      <c r="A148" t="inlineStr">
        <is>
          <t>五级</t>
        </is>
      </c>
      <c r="B148" t="inlineStr">
        <is>
          <t>支出</t>
        </is>
      </c>
      <c r="C148" t="inlineStr">
        <is>
          <t>F01.90.03.09.01.004</t>
        </is>
      </c>
      <c r="D148" t="inlineStr">
        <is>
          <t>新发放投入</t>
        </is>
      </c>
      <c r="K148" t="inlineStr">
        <is>
          <t>是</t>
        </is>
      </c>
      <c r="M148" t="inlineStr">
        <is>
          <t>05.02.09.01.004</t>
        </is>
      </c>
      <c r="N148" t="inlineStr">
        <is>
          <t>SUM</t>
        </is>
      </c>
    </row>
    <row r="149">
      <c r="A149" t="inlineStr">
        <is>
          <t>四级</t>
        </is>
      </c>
      <c r="B149" t="inlineStr">
        <is>
          <t>支出</t>
        </is>
      </c>
      <c r="C149" t="inlineStr">
        <is>
          <t>F01.90.03.09.02</t>
        </is>
      </c>
      <c r="D149" t="inlineStr">
        <is>
          <t>客户规模与数量</t>
        </is>
      </c>
      <c r="F149" t="inlineStr">
        <is>
          <t>F01.90.03.09.02.101+F01.90.03.09.02.102+F01.90.03.09.02.103</t>
        </is>
      </c>
      <c r="K149" t="inlineStr">
        <is>
          <t>是</t>
        </is>
      </c>
      <c r="M149" t="inlineStr">
        <is>
          <t>05.02.09.02</t>
        </is>
      </c>
    </row>
    <row r="150">
      <c r="A150" t="inlineStr">
        <is>
          <t>五级</t>
        </is>
      </c>
      <c r="B150" t="inlineStr">
        <is>
          <t>支出</t>
        </is>
      </c>
      <c r="C150" t="inlineStr">
        <is>
          <t>F01.90.03.09.02.001</t>
        </is>
      </c>
      <c r="D150" t="inlineStr">
        <is>
          <t>新客日均LUM</t>
        </is>
      </c>
      <c r="K150" t="inlineStr">
        <is>
          <t>是</t>
        </is>
      </c>
      <c r="M150" t="inlineStr">
        <is>
          <t>05.02.09.02.001</t>
        </is>
      </c>
      <c r="N150" t="inlineStr">
        <is>
          <t>SUM</t>
        </is>
      </c>
    </row>
    <row r="151">
      <c r="A151" t="inlineStr">
        <is>
          <t>五级</t>
        </is>
      </c>
      <c r="B151" t="inlineStr">
        <is>
          <t>支出</t>
        </is>
      </c>
      <c r="C151" t="inlineStr">
        <is>
          <t>F01.90.03.09.02.002</t>
        </is>
      </c>
      <c r="D151" t="inlineStr">
        <is>
          <t>存客日均LUM</t>
        </is>
      </c>
      <c r="K151" t="inlineStr">
        <is>
          <t>是</t>
        </is>
      </c>
      <c r="M151" t="inlineStr">
        <is>
          <t>05.02.09.02.002</t>
        </is>
      </c>
      <c r="N151" t="inlineStr">
        <is>
          <t>SUM</t>
        </is>
      </c>
    </row>
    <row r="152">
      <c r="A152" t="inlineStr">
        <is>
          <t>五级</t>
        </is>
      </c>
      <c r="B152" t="inlineStr">
        <is>
          <t>支出</t>
        </is>
      </c>
      <c r="C152" t="inlineStr">
        <is>
          <t>F01.90.03.09.02.003</t>
        </is>
      </c>
      <c r="D152" t="inlineStr">
        <is>
          <t>新开通客户数</t>
        </is>
      </c>
      <c r="K152" t="inlineStr">
        <is>
          <t>是</t>
        </is>
      </c>
      <c r="M152" t="inlineStr">
        <is>
          <t>05.02.09.02.003</t>
        </is>
      </c>
      <c r="N152" t="inlineStr">
        <is>
          <t>SUM</t>
        </is>
      </c>
    </row>
    <row r="153">
      <c r="A153" t="inlineStr">
        <is>
          <t>五级</t>
        </is>
      </c>
      <c r="B153" t="inlineStr">
        <is>
          <t>支出</t>
        </is>
      </c>
      <c r="C153" t="inlineStr">
        <is>
          <t>F01.90.03.09.02.004</t>
        </is>
      </c>
      <c r="D153" t="inlineStr">
        <is>
          <t>平均有效客户数</t>
        </is>
      </c>
      <c r="K153" t="inlineStr">
        <is>
          <t>是</t>
        </is>
      </c>
      <c r="M153" t="inlineStr">
        <is>
          <t>05.02.09.02.004</t>
        </is>
      </c>
      <c r="N153" t="inlineStr">
        <is>
          <t>SUM</t>
        </is>
      </c>
    </row>
    <row r="154">
      <c r="A154" t="inlineStr">
        <is>
          <t>五级</t>
        </is>
      </c>
      <c r="B154" t="inlineStr">
        <is>
          <t>支出</t>
        </is>
      </c>
      <c r="C154" t="inlineStr">
        <is>
          <t>F01.90.03.09.02.005</t>
        </is>
      </c>
      <c r="D154" t="inlineStr">
        <is>
          <t>新发放LUM</t>
        </is>
      </c>
      <c r="K154" t="inlineStr">
        <is>
          <t>是</t>
        </is>
      </c>
      <c r="M154" t="inlineStr">
        <is>
          <t>05.02.09.02.005</t>
        </is>
      </c>
      <c r="N154" t="inlineStr">
        <is>
          <t>SUM</t>
        </is>
      </c>
    </row>
    <row r="155">
      <c r="A155" t="inlineStr">
        <is>
          <t>五级</t>
        </is>
      </c>
      <c r="B155" t="inlineStr">
        <is>
          <t>支出</t>
        </is>
      </c>
      <c r="C155" t="inlineStr">
        <is>
          <t>F01.90.03.09.02.006</t>
        </is>
      </c>
      <c r="D155" t="inlineStr">
        <is>
          <t>新发放LUM（标服）</t>
        </is>
      </c>
      <c r="K155" t="inlineStr">
        <is>
          <t>是</t>
        </is>
      </c>
      <c r="M155" t="inlineStr">
        <is>
          <t>05.02.09.02.006</t>
        </is>
      </c>
      <c r="N155" t="inlineStr">
        <is>
          <t>SUM</t>
        </is>
      </c>
    </row>
    <row r="156">
      <c r="A156" t="inlineStr">
        <is>
          <t>五级</t>
        </is>
      </c>
      <c r="B156" t="inlineStr">
        <is>
          <t>支出</t>
        </is>
      </c>
      <c r="C156" t="inlineStr">
        <is>
          <t>F01.90.03.09.02.007</t>
        </is>
      </c>
      <c r="D156" t="inlineStr">
        <is>
          <t>存客日均AuM</t>
        </is>
      </c>
      <c r="K156" t="inlineStr">
        <is>
          <t>是</t>
        </is>
      </c>
      <c r="M156" t="inlineStr">
        <is>
          <t>05.02.09.02.007</t>
        </is>
      </c>
      <c r="N156" t="inlineStr">
        <is>
          <t>SUM</t>
        </is>
      </c>
    </row>
    <row r="157">
      <c r="A157" t="inlineStr">
        <is>
          <t>五级</t>
        </is>
      </c>
      <c r="B157" t="inlineStr">
        <is>
          <t>支出</t>
        </is>
      </c>
      <c r="C157" t="inlineStr">
        <is>
          <t>F01.90.03.09.02.008</t>
        </is>
      </c>
      <c r="D157" t="inlineStr">
        <is>
          <t>新客AuM余额</t>
        </is>
      </c>
      <c r="K157" t="inlineStr">
        <is>
          <t>是</t>
        </is>
      </c>
      <c r="M157" t="inlineStr">
        <is>
          <t>05.02.09.02.008</t>
        </is>
      </c>
      <c r="N157" t="inlineStr">
        <is>
          <t>SUM</t>
        </is>
      </c>
    </row>
    <row r="158">
      <c r="A158" t="inlineStr">
        <is>
          <t>五级</t>
        </is>
      </c>
      <c r="B158" t="inlineStr">
        <is>
          <t>支出</t>
        </is>
      </c>
      <c r="C158" t="inlineStr">
        <is>
          <t>F01.90.03.09.02.009</t>
        </is>
      </c>
      <c r="D158" t="inlineStr">
        <is>
          <t>MFAU客户数</t>
        </is>
      </c>
      <c r="K158" t="inlineStr">
        <is>
          <t>是</t>
        </is>
      </c>
      <c r="M158" t="inlineStr">
        <is>
          <t>05.02.09.02.009</t>
        </is>
      </c>
      <c r="N158" t="inlineStr">
        <is>
          <t>SUM</t>
        </is>
      </c>
    </row>
    <row r="159">
      <c r="A159" t="inlineStr">
        <is>
          <t>五级</t>
        </is>
      </c>
      <c r="B159" t="inlineStr">
        <is>
          <t>支出</t>
        </is>
      </c>
      <c r="C159" t="inlineStr">
        <is>
          <t>F01.90.03.09.02.010</t>
        </is>
      </c>
      <c r="D159" t="inlineStr">
        <is>
          <t>日均LUM</t>
        </is>
      </c>
      <c r="K159" t="inlineStr">
        <is>
          <t>是</t>
        </is>
      </c>
      <c r="M159" t="inlineStr">
        <is>
          <t>05.02.09.02.010</t>
        </is>
      </c>
      <c r="N159" t="inlineStr">
        <is>
          <t>SUM</t>
        </is>
      </c>
    </row>
    <row r="160">
      <c r="A160" t="inlineStr">
        <is>
          <t>五级</t>
        </is>
      </c>
      <c r="B160" t="inlineStr">
        <is>
          <t>支出</t>
        </is>
      </c>
      <c r="C160" t="inlineStr">
        <is>
          <t>F01.90.03.09.02.011</t>
        </is>
      </c>
      <c r="D160" t="inlineStr">
        <is>
          <t>日均AuM</t>
        </is>
      </c>
      <c r="K160" t="inlineStr">
        <is>
          <t>是</t>
        </is>
      </c>
      <c r="M160" t="inlineStr">
        <is>
          <t>05.02.09.02.011</t>
        </is>
      </c>
      <c r="N160" t="inlineStr">
        <is>
          <t>SUM</t>
        </is>
      </c>
    </row>
    <row r="161">
      <c r="A161" t="inlineStr">
        <is>
          <t>五级</t>
        </is>
      </c>
      <c r="B161" t="inlineStr">
        <is>
          <t>支出</t>
        </is>
      </c>
      <c r="C161" t="inlineStr">
        <is>
          <t>F01.90.03.09.02.101</t>
        </is>
      </c>
      <c r="D161" t="inlineStr">
        <is>
          <t>LUM规模</t>
        </is>
      </c>
      <c r="F161" t="inlineStr">
        <is>
          <t>F01.90.03.09.02.001+F01.90.03.09.02.002+F01.90.03.09.02.005+F01.90.03.09.02.006+F01.90.03.09.02.010</t>
        </is>
      </c>
      <c r="K161" t="inlineStr">
        <is>
          <t>是</t>
        </is>
      </c>
      <c r="M161" t="inlineStr">
        <is>
          <t>05.02.09.02.101</t>
        </is>
      </c>
    </row>
    <row r="162">
      <c r="A162" t="inlineStr">
        <is>
          <t>五级</t>
        </is>
      </c>
      <c r="B162" t="inlineStr">
        <is>
          <t>支出</t>
        </is>
      </c>
      <c r="C162" t="inlineStr">
        <is>
          <t>F01.90.03.09.02.102</t>
        </is>
      </c>
      <c r="D162" t="inlineStr">
        <is>
          <t>AuM规模</t>
        </is>
      </c>
      <c r="F162" t="inlineStr">
        <is>
          <t>F01.90.03.09.02.007+F01.90.03.09.02.008+F01.90.03.09.02.011</t>
        </is>
      </c>
      <c r="K162" t="inlineStr">
        <is>
          <t>是</t>
        </is>
      </c>
      <c r="M162" t="inlineStr">
        <is>
          <t>05.02.09.02.102</t>
        </is>
      </c>
    </row>
    <row r="163">
      <c r="A163" t="inlineStr">
        <is>
          <t>五级</t>
        </is>
      </c>
      <c r="B163" t="inlineStr">
        <is>
          <t>支出</t>
        </is>
      </c>
      <c r="C163" t="inlineStr">
        <is>
          <t>F01.90.03.09.02.103</t>
        </is>
      </c>
      <c r="D163" t="inlineStr">
        <is>
          <t>客户数量</t>
        </is>
      </c>
      <c r="F163" t="inlineStr">
        <is>
          <t>F01.90.03.09.02.003+F01.90.03.09.02.004+F01.90.03.09.02.009</t>
        </is>
      </c>
      <c r="K163" t="inlineStr">
        <is>
          <t>是</t>
        </is>
      </c>
      <c r="M163" t="inlineStr">
        <is>
          <t>05.02.09.02.103</t>
        </is>
      </c>
    </row>
    <row r="164">
      <c r="A164" t="inlineStr">
        <is>
          <t>四级</t>
        </is>
      </c>
      <c r="B164" t="inlineStr">
        <is>
          <t>支出</t>
        </is>
      </c>
      <c r="C164" t="inlineStr">
        <is>
          <t>F01.90.03.09.03</t>
        </is>
      </c>
      <c r="D164" t="inlineStr">
        <is>
          <t>客户回收与催收</t>
        </is>
      </c>
      <c r="F164" t="inlineStr">
        <is>
          <t>F01.90.03.09.03.001+F01.90.03.09.03.002+F01.90.03.09.03.003</t>
        </is>
      </c>
      <c r="K164" t="inlineStr">
        <is>
          <t>是</t>
        </is>
      </c>
      <c r="M164" t="inlineStr">
        <is>
          <t>05.02.09.03</t>
        </is>
      </c>
    </row>
    <row r="165">
      <c r="A165" t="inlineStr">
        <is>
          <t>五级</t>
        </is>
      </c>
      <c r="B165" t="inlineStr">
        <is>
          <t>支出</t>
        </is>
      </c>
      <c r="C165" t="inlineStr">
        <is>
          <t>F01.90.03.09.03.001</t>
        </is>
      </c>
      <c r="D165" t="inlineStr">
        <is>
          <t>内催回收额</t>
        </is>
      </c>
      <c r="K165" t="inlineStr">
        <is>
          <t>是</t>
        </is>
      </c>
      <c r="M165" t="inlineStr">
        <is>
          <t>05.02.09.03.001</t>
        </is>
      </c>
      <c r="N165" t="inlineStr">
        <is>
          <t>SUM</t>
        </is>
      </c>
    </row>
    <row r="166">
      <c r="A166" t="inlineStr">
        <is>
          <t>五级</t>
        </is>
      </c>
      <c r="B166" t="inlineStr">
        <is>
          <t>支出</t>
        </is>
      </c>
      <c r="C166" t="inlineStr">
        <is>
          <t>F01.90.03.09.03.002</t>
        </is>
      </c>
      <c r="D166" t="inlineStr">
        <is>
          <t>M6-压降金额</t>
        </is>
      </c>
      <c r="K166" t="inlineStr">
        <is>
          <t>是</t>
        </is>
      </c>
      <c r="M166" t="inlineStr">
        <is>
          <t>05.02.09.03.002</t>
        </is>
      </c>
      <c r="N166" t="inlineStr">
        <is>
          <t>SUM</t>
        </is>
      </c>
    </row>
    <row r="167">
      <c r="A167" t="inlineStr">
        <is>
          <t>五级</t>
        </is>
      </c>
      <c r="B167" t="inlineStr">
        <is>
          <t>支出</t>
        </is>
      </c>
      <c r="C167" t="inlineStr">
        <is>
          <t>F01.90.03.09.03.003</t>
        </is>
      </c>
      <c r="D167" t="inlineStr">
        <is>
          <t>M7+现金回收额</t>
        </is>
      </c>
      <c r="K167" t="inlineStr">
        <is>
          <t>是</t>
        </is>
      </c>
      <c r="M167" t="inlineStr">
        <is>
          <t>05.02.09.03.003</t>
        </is>
      </c>
      <c r="N167" t="inlineStr">
        <is>
          <t>SUM</t>
        </is>
      </c>
    </row>
    <row r="168"/>
    <row r="169"/>
    <row r="170"/>
    <row r="171"/>
    <row r="172"/>
    <row r="173"/>
    <row r="174"/>
    <row r="175"/>
    <row r="176"/>
    <row r="177"/>
    <row r="178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E13" sqref="E13"/>
    </sheetView>
  </sheetViews>
  <sheetFormatPr baseColWidth="8" defaultColWidth="9" defaultRowHeight="16.8"/>
  <sheetData>
    <row r="1" ht="15" customFormat="1" customHeight="1" s="1">
      <c r="A1" s="2" t="n"/>
      <c r="B1" s="2" t="n"/>
      <c r="C1" s="2" t="n"/>
      <c r="D1" s="2" t="n"/>
      <c r="E1" s="3" t="n"/>
      <c r="F1" s="4" t="n"/>
      <c r="G1" s="4" t="n"/>
      <c r="H1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binzhao(赵斌)</dc:creator>
  <dcterms:created xmlns:dcterms="http://purl.org/dc/terms/" xmlns:xsi="http://www.w3.org/2001/XMLSchema-instance" xsi:type="dcterms:W3CDTF">2015-06-07T02:19:00Z</dcterms:created>
  <dcterms:modified xmlns:dcterms="http://purl.org/dc/terms/" xmlns:xsi="http://www.w3.org/2001/XMLSchema-instance" xsi:type="dcterms:W3CDTF">2026-06-18T15:42:27Z</dcterms:modified>
  <cp:lastModifiedBy>HHH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9CC7CE9A76388BC9CAEB2F6A552944DC_42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