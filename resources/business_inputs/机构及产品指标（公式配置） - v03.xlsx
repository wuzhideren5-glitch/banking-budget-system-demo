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2000" activeTab="1"/>
  </bookViews>
  <sheets>
    <sheet name="AA业务状况表" sheetId="1" r:id="rId1"/>
    <sheet name="AA资产负债表（余额）" sheetId="2" r:id="rId2"/>
    <sheet name="AA资产负债表（日均）" sheetId="3" r:id="rId3"/>
    <sheet name="AA资产质量表" sheetId="4" r:id="rId4"/>
    <sheet name="AA利息净收入表" sheetId="5" r:id="rId5"/>
    <sheet name="A个金群" sheetId="6" r:id="rId6"/>
    <sheet name="A01泛微粒贷" sheetId="7" r:id="rId7"/>
    <sheet name="A02微账户" sheetId="8" r:id="rId8"/>
    <sheet name="A03汽车金融" sheetId="9" r:id="rId9"/>
    <sheet name="A04财富" sheetId="10" r:id="rId10"/>
    <sheet name="A05小鹅" sheetId="11" r:id="rId11"/>
    <sheet name="B企金群" sheetId="12" r:id="rId12"/>
    <sheet name="B01企业金融" sheetId="13" r:id="rId13"/>
    <sheet name="B02金融市场" sheetId="14" r:id="rId14"/>
    <sheet name="C数字金融" sheetId="15" r:id="rId15"/>
    <sheet name="C01国内业务" sheetId="16" r:id="rId16"/>
    <sheet name="C02国内研发" sheetId="17" r:id="rId17"/>
    <sheet name="D国际业务" sheetId="18" r:id="rId18"/>
    <sheet name="D01国际业务" sheetId="19" r:id="rId19"/>
    <sheet name="E小鹅导流" sheetId="20" r:id="rId20"/>
    <sheet name="E01小鹅导流" sheetId="21" r:id="rId21"/>
    <sheet name="F司库及其他" sheetId="22" r:id="rId22"/>
    <sheet name="F01司库及其他" sheetId="23" r:id="rId23"/>
    <sheet name="AB微众科技" sheetId="24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<sst xmlns="http://schemas.openxmlformats.org/spreadsheetml/2006/main" count="22269" uniqueCount="5295">
  <si>
    <t>科目层级</t>
  </si>
  <si>
    <t>科目性质</t>
  </si>
  <si>
    <t>科目代码</t>
  </si>
  <si>
    <t>科目名称</t>
  </si>
  <si>
    <t>录入粒度</t>
  </si>
  <si>
    <t>年预算公式</t>
  </si>
  <si>
    <t>年预测公式</t>
  </si>
  <si>
    <t>实际月公式</t>
  </si>
  <si>
    <t>预测月公式</t>
  </si>
  <si>
    <t>公式说明</t>
  </si>
  <si>
    <t>横向汇总</t>
  </si>
  <si>
    <t>纵向汇总</t>
  </si>
  <si>
    <t>逻辑码</t>
  </si>
  <si>
    <t>规则</t>
  </si>
  <si>
    <t>一级</t>
  </si>
  <si>
    <t>收入</t>
  </si>
  <si>
    <t>AA.01</t>
  </si>
  <si>
    <t>营业收入</t>
  </si>
  <si>
    <t>AA.01.01+AA.01.02+AA.01.03</t>
  </si>
  <si>
    <t>是</t>
  </si>
  <si>
    <t>01</t>
  </si>
  <si>
    <t>二级</t>
  </si>
  <si>
    <t>AA.01.01</t>
  </si>
  <si>
    <t xml:space="preserve">  利息净收入</t>
  </si>
  <si>
    <t>AA.14-AA.16</t>
  </si>
  <si>
    <t>01.01</t>
  </si>
  <si>
    <t>三级</t>
  </si>
  <si>
    <t>AA.14</t>
  </si>
  <si>
    <t xml:space="preserve">      利息收入</t>
  </si>
  <si>
    <t>AA.14.01+AA.14.02+AA.14.03</t>
  </si>
  <si>
    <t>14</t>
  </si>
  <si>
    <t>支出</t>
  </si>
  <si>
    <t>AA.16</t>
  </si>
  <si>
    <t xml:space="preserve">      利息支出</t>
  </si>
  <si>
    <t>AA.16.01+AA.16.02</t>
  </si>
  <si>
    <t>16</t>
  </si>
  <si>
    <t>AA.01.02</t>
  </si>
  <si>
    <t xml:space="preserve">  净手续费收入</t>
  </si>
  <si>
    <t>AA.18-AA.19</t>
  </si>
  <si>
    <t>01.02</t>
  </si>
  <si>
    <t>AA.18</t>
  </si>
  <si>
    <t xml:space="preserve">    手续费收入</t>
  </si>
  <si>
    <t>18</t>
  </si>
  <si>
    <t>SUM</t>
  </si>
  <si>
    <t>AA.19</t>
  </si>
  <si>
    <t xml:space="preserve">    手续费支出</t>
  </si>
  <si>
    <t>19</t>
  </si>
  <si>
    <t>AA.01.03</t>
  </si>
  <si>
    <t xml:space="preserve">  其他营收</t>
  </si>
  <si>
    <t>01.03</t>
  </si>
  <si>
    <t>AA.02</t>
  </si>
  <si>
    <t>减：资产减值损失</t>
  </si>
  <si>
    <t>AA.28.01+AA.28.02</t>
  </si>
  <si>
    <t>02</t>
  </si>
  <si>
    <t>AA.28.01</t>
  </si>
  <si>
    <t xml:space="preserve">  贷款减值损失</t>
  </si>
  <si>
    <t>AA.28.01.01+AA.28.01.02</t>
  </si>
  <si>
    <t>28.01</t>
  </si>
  <si>
    <t>AA.28.01.01</t>
  </si>
  <si>
    <t xml:space="preserve">    实际风险成本</t>
  </si>
  <si>
    <t>28.01.01</t>
  </si>
  <si>
    <t>AA.28.01.02</t>
  </si>
  <si>
    <t xml:space="preserve">    超额拨备</t>
  </si>
  <si>
    <t>28.01.02</t>
  </si>
  <si>
    <t>AA.28.02</t>
  </si>
  <si>
    <t xml:space="preserve">  非贷减值损失</t>
  </si>
  <si>
    <t>28.02</t>
  </si>
  <si>
    <t>AA.03</t>
  </si>
  <si>
    <t>净收入</t>
  </si>
  <si>
    <t>AA.01-AA.02</t>
  </si>
  <si>
    <t>03</t>
  </si>
  <si>
    <t>AA.04</t>
  </si>
  <si>
    <t>减：税金及附加</t>
  </si>
  <si>
    <t>04</t>
  </si>
  <si>
    <t>AA.29</t>
  </si>
  <si>
    <t>减：业务及管理费</t>
  </si>
  <si>
    <t>AA.29.01+AA.29.02+AA.29.03</t>
  </si>
  <si>
    <t>29</t>
  </si>
  <si>
    <t>AA.29.01</t>
  </si>
  <si>
    <t xml:space="preserve">  人力费用</t>
  </si>
  <si>
    <t>AA.29.01.01+AA.29.01.02+AA.29.01.03</t>
  </si>
  <si>
    <t>29.01</t>
  </si>
  <si>
    <t>AA.29.01.01</t>
  </si>
  <si>
    <t xml:space="preserve">    常规人力</t>
  </si>
  <si>
    <t>29.01.01</t>
  </si>
  <si>
    <t>AA.29.01.02</t>
  </si>
  <si>
    <t xml:space="preserve">    利润分享</t>
  </si>
  <si>
    <t>29.01.02</t>
  </si>
  <si>
    <t>AA.29.01.03</t>
  </si>
  <si>
    <t xml:space="preserve">    专项费用</t>
  </si>
  <si>
    <t>29.01.03</t>
  </si>
  <si>
    <t>AA.05.02</t>
  </si>
  <si>
    <t xml:space="preserve">  业务费用</t>
  </si>
  <si>
    <t>AA.05.02.01</t>
  </si>
  <si>
    <t xml:space="preserve">    营销费用</t>
  </si>
  <si>
    <t>AA.05.02.02</t>
  </si>
  <si>
    <t xml:space="preserve">    运营费用</t>
  </si>
  <si>
    <t>AA.29.02</t>
  </si>
  <si>
    <t xml:space="preserve">  IT费用</t>
  </si>
  <si>
    <t>29.02</t>
  </si>
  <si>
    <t>AA.29.03</t>
  </si>
  <si>
    <t xml:space="preserve">  日常费用</t>
  </si>
  <si>
    <t>29.03</t>
  </si>
  <si>
    <t>AA.06</t>
  </si>
  <si>
    <t>加：营业外净收入</t>
  </si>
  <si>
    <t>06</t>
  </si>
  <si>
    <t>利润</t>
  </si>
  <si>
    <t>AA.09</t>
  </si>
  <si>
    <t>税前利润</t>
  </si>
  <si>
    <t>AA.03-AA.04-AA.29+AA.06</t>
  </si>
  <si>
    <t>09</t>
  </si>
  <si>
    <t>AA.30</t>
  </si>
  <si>
    <t>减：所得税</t>
  </si>
  <si>
    <t>30</t>
  </si>
  <si>
    <t>AA.31</t>
  </si>
  <si>
    <t>净利润</t>
  </si>
  <si>
    <t>AA.09-AA.30</t>
  </si>
  <si>
    <t>31</t>
  </si>
  <si>
    <t>资产余额</t>
  </si>
  <si>
    <t>AA.10</t>
  </si>
  <si>
    <t>管理贷款余额</t>
  </si>
  <si>
    <t>AA.10.01+AA.10.02+AA.10.03+AA.10.04</t>
  </si>
  <si>
    <t>10</t>
  </si>
  <si>
    <t>AA.10.01</t>
  </si>
  <si>
    <t xml:space="preserve">  自持余额</t>
  </si>
  <si>
    <t>AA.10.01.01+AA.10.01.02</t>
  </si>
  <si>
    <t>10.01</t>
  </si>
  <si>
    <t>AA.10.01.01</t>
  </si>
  <si>
    <t xml:space="preserve">    一般贷款</t>
  </si>
  <si>
    <t>10.01.01</t>
  </si>
  <si>
    <t>LAST</t>
  </si>
  <si>
    <t>AA.10.01.02</t>
  </si>
  <si>
    <t xml:space="preserve">    票据融资</t>
  </si>
  <si>
    <t>10.01.02</t>
  </si>
  <si>
    <t>AA.10.02</t>
  </si>
  <si>
    <t xml:space="preserve">  联贷</t>
  </si>
  <si>
    <t>10.02</t>
  </si>
  <si>
    <t>AA.10.03</t>
  </si>
  <si>
    <t xml:space="preserve">  流转</t>
  </si>
  <si>
    <t>10.03</t>
  </si>
  <si>
    <t>AA.10.04</t>
  </si>
  <si>
    <t xml:space="preserve">  银承保函</t>
  </si>
  <si>
    <t>10.04</t>
  </si>
  <si>
    <t>负债余额</t>
  </si>
  <si>
    <t>AA.12</t>
  </si>
  <si>
    <t>管理资产余额</t>
  </si>
  <si>
    <t>AA.12.01+AA.12.02+AA.12.03+AA.12.04</t>
  </si>
  <si>
    <t>12</t>
  </si>
  <si>
    <t>AA.12.01</t>
  </si>
  <si>
    <t xml:space="preserve">  各项存款</t>
  </si>
  <si>
    <t>12.01</t>
  </si>
  <si>
    <t>AA.12.02</t>
  </si>
  <si>
    <t xml:space="preserve">  代销理财</t>
  </si>
  <si>
    <t>12.02</t>
  </si>
  <si>
    <t>AA.12.03</t>
  </si>
  <si>
    <t xml:space="preserve">  商户结算便利应付款</t>
  </si>
  <si>
    <t>12.03</t>
  </si>
  <si>
    <t>AA.12.04</t>
  </si>
  <si>
    <t xml:space="preserve">  存款服务</t>
  </si>
  <si>
    <t>12.04</t>
  </si>
  <si>
    <t>其他</t>
  </si>
  <si>
    <t>AA.45</t>
  </si>
  <si>
    <t>拨备覆盖率</t>
  </si>
  <si>
    <t>45</t>
  </si>
  <si>
    <t>WGT</t>
  </si>
  <si>
    <t>AA.46</t>
  </si>
  <si>
    <t>贷款拨备率</t>
  </si>
  <si>
    <t>AA.46.01+AA.46.02+AA.46.03</t>
  </si>
  <si>
    <t>46</t>
  </si>
  <si>
    <t>AA.47</t>
  </si>
  <si>
    <t>资产减值准备</t>
  </si>
  <si>
    <t>AA.47.01+AA.47.02</t>
  </si>
  <si>
    <t>47</t>
  </si>
  <si>
    <t>AA.47.01</t>
  </si>
  <si>
    <t xml:space="preserve">  贷款减值准备</t>
  </si>
  <si>
    <t>AA.47.01.01+AA.47.01.02</t>
  </si>
  <si>
    <t>47.01</t>
  </si>
  <si>
    <t>AA.47.01.01</t>
  </si>
  <si>
    <t>47.01.01</t>
  </si>
  <si>
    <t>AA.47.02</t>
  </si>
  <si>
    <t xml:space="preserve">  非贷减值准备</t>
  </si>
  <si>
    <t>47.02</t>
  </si>
  <si>
    <t>AA.54</t>
  </si>
  <si>
    <t>年初资产减值准备</t>
  </si>
  <si>
    <t>AA.54.01+AA.54.02</t>
  </si>
  <si>
    <t>54</t>
  </si>
  <si>
    <t>AA.54.01</t>
  </si>
  <si>
    <t xml:space="preserve">  年初贷款减值准备</t>
  </si>
  <si>
    <t>54.01</t>
  </si>
  <si>
    <t>AA.54.02</t>
  </si>
  <si>
    <t xml:space="preserve">  年初非贷减值准备</t>
  </si>
  <si>
    <t>54.02</t>
  </si>
  <si>
    <t>AA.48</t>
  </si>
  <si>
    <t>贷款风险成本率</t>
  </si>
  <si>
    <t>AA.46-AA.47</t>
  </si>
  <si>
    <t>48</t>
  </si>
  <si>
    <t>AA.38</t>
  </si>
  <si>
    <t xml:space="preserve">  实际风险成本率</t>
  </si>
  <si>
    <t>AA.38.01+AA.38.02+AA.38.03+AA.38.04+AA.38.05</t>
  </si>
  <si>
    <t>38</t>
  </si>
  <si>
    <t>AA.48.01</t>
  </si>
  <si>
    <t xml:space="preserve">  超额风险成本率</t>
  </si>
  <si>
    <t>48.01</t>
  </si>
  <si>
    <t>AA.49</t>
  </si>
  <si>
    <t>财务指标</t>
  </si>
  <si>
    <t>AA.49.01+AA.49.02+AA.49.03+AA.49.04+AA.49.05</t>
  </si>
  <si>
    <t>49</t>
  </si>
  <si>
    <t>AA.49.01</t>
  </si>
  <si>
    <t>手续费净收入占比</t>
  </si>
  <si>
    <t>49.01</t>
  </si>
  <si>
    <t>AA.49.02</t>
  </si>
  <si>
    <t>非息收入占比</t>
  </si>
  <si>
    <t>49.02</t>
  </si>
  <si>
    <t>AA.49.03</t>
  </si>
  <si>
    <t>ROA</t>
  </si>
  <si>
    <t>49.03</t>
  </si>
  <si>
    <t>AA.49.04</t>
  </si>
  <si>
    <t>ROAE</t>
  </si>
  <si>
    <t>49.04</t>
  </si>
  <si>
    <t>AA.49.05</t>
  </si>
  <si>
    <t>成本收入比</t>
  </si>
  <si>
    <t>49.05</t>
  </si>
  <si>
    <t>层级</t>
  </si>
  <si>
    <t>性质</t>
  </si>
  <si>
    <t>AA.90</t>
  </si>
  <si>
    <t>减:业务及管理费</t>
  </si>
  <si>
    <t>AA.90.01+AA.90.03</t>
  </si>
  <si>
    <t>05</t>
  </si>
  <si>
    <t>AA.90.01</t>
  </si>
  <si>
    <t>人力费用</t>
  </si>
  <si>
    <t>AA.90.01.01+AA.90.01.02</t>
  </si>
  <si>
    <t>05.01</t>
  </si>
  <si>
    <t>AA.90.01.01</t>
  </si>
  <si>
    <t>直接费用</t>
  </si>
  <si>
    <t>AA.90.01.01.01+AA.90.01.01.02+AA.90.01.01.03+AA.90.01.01.04.001+AA.90.01.01.05.001</t>
  </si>
  <si>
    <t>05.01.01</t>
  </si>
  <si>
    <t>四级</t>
  </si>
  <si>
    <t>AA.90.01.01.01</t>
  </si>
  <si>
    <t>人力（不含IT)</t>
  </si>
  <si>
    <t>AA.90.01.01.01.001+AA.90.01.01.01.002</t>
  </si>
  <si>
    <t>05.01.01.01</t>
  </si>
  <si>
    <t>五级</t>
  </si>
  <si>
    <t>AA.90.01.01.01.001</t>
  </si>
  <si>
    <t>业务人力</t>
  </si>
  <si>
    <t>05.01.01.01.001</t>
  </si>
  <si>
    <t>AA.90.01.01.01.002</t>
  </si>
  <si>
    <t>特别人力</t>
  </si>
  <si>
    <t>05.01.01.01.002</t>
  </si>
  <si>
    <t>AA.90.01.01.02</t>
  </si>
  <si>
    <t>业务费用</t>
  </si>
  <si>
    <t>AA.90.01.01.02.001+AA.90.01.01.02.002</t>
  </si>
  <si>
    <t>05.01.01.02</t>
  </si>
  <si>
    <t>AA.90.01.01.02.001</t>
  </si>
  <si>
    <t>营销</t>
  </si>
  <si>
    <t>05.01.01.02.001</t>
  </si>
  <si>
    <t>AA.90.01.01.02.002</t>
  </si>
  <si>
    <t>运营</t>
  </si>
  <si>
    <t>05.01.01.02.002</t>
  </si>
  <si>
    <t>AA.90.01.01.03</t>
  </si>
  <si>
    <t>IT</t>
  </si>
  <si>
    <t>AA.90.01.01.03.01+AA.90.01.01.03.02.001+AA.90.01.01.03.03.001+AA.90.01.01.03.04.001</t>
  </si>
  <si>
    <t>05.01.01.03</t>
  </si>
  <si>
    <t>AA.90.01.01.03.01</t>
  </si>
  <si>
    <t>IT人力</t>
  </si>
  <si>
    <t>AA.90.01.01.03.01.001+AA.90.01.01.03.01.002</t>
  </si>
  <si>
    <t>05.01.01.03.01</t>
  </si>
  <si>
    <t>六级</t>
  </si>
  <si>
    <t>AA.90.01.01.03.01.001</t>
  </si>
  <si>
    <t>IT常规人力</t>
  </si>
  <si>
    <t>05.01.01.03.01.001</t>
  </si>
  <si>
    <t>AA.90.01.01.03.01.002</t>
  </si>
  <si>
    <t>IT特别人力</t>
  </si>
  <si>
    <t>05.01.01.03.01.002</t>
  </si>
  <si>
    <t>AA.90.01.01.03.02</t>
  </si>
  <si>
    <t>AA.05.01.01.03.02</t>
  </si>
  <si>
    <t>05.01.01.03.02</t>
  </si>
  <si>
    <t>AA.90.01.01.03.02.001</t>
  </si>
  <si>
    <t>科技</t>
  </si>
  <si>
    <t>05.01.01.03.02.001</t>
  </si>
  <si>
    <t>AA.90.01.01.03.03</t>
  </si>
  <si>
    <t>AA.05.01.01.03.03</t>
  </si>
  <si>
    <t>05.01.01.03.03</t>
  </si>
  <si>
    <t>AA.90.01.01.03.03.001</t>
  </si>
  <si>
    <t>IT职场</t>
  </si>
  <si>
    <t>05.01.01.03.03.001</t>
  </si>
  <si>
    <t>AA.90.01.01.03.04</t>
  </si>
  <si>
    <t>AA.05.01.01.03.04</t>
  </si>
  <si>
    <t>05.01.01.03.04</t>
  </si>
  <si>
    <t>AA.90.01.01.03.04.001</t>
  </si>
  <si>
    <t>IT日常</t>
  </si>
  <si>
    <t>05.01.01.03.04.001</t>
  </si>
  <si>
    <t>AA.90.01.01.04</t>
  </si>
  <si>
    <t>AA.05.01.01.04</t>
  </si>
  <si>
    <t>05.01.01.04</t>
  </si>
  <si>
    <t>AA.90.01.01.04.001</t>
  </si>
  <si>
    <t>职场</t>
  </si>
  <si>
    <t>05.01.01.04.001</t>
  </si>
  <si>
    <t>AA.90.01.01.05</t>
  </si>
  <si>
    <t>AA.05.01.01.05</t>
  </si>
  <si>
    <t>05.01.01.05</t>
  </si>
  <si>
    <t>AA.90.01.01.05.001</t>
  </si>
  <si>
    <t>日常</t>
  </si>
  <si>
    <t>05.01.01.05.001</t>
  </si>
  <si>
    <t>AA.90.01.02</t>
  </si>
  <si>
    <t>间接费用</t>
  </si>
  <si>
    <t>AA.90.01.02.01+AA.90.01.02.02+AA.90.01.02.03+AA.90.01.02.04.001+AA.90.01.02.05.001</t>
  </si>
  <si>
    <t>05.01.02</t>
  </si>
  <si>
    <t>AA.90.01.02.01</t>
  </si>
  <si>
    <t>AA.90.01.02.01.001+AA.90.01.02.01.002</t>
  </si>
  <si>
    <t>05.01.02.01</t>
  </si>
  <si>
    <t>AA.90.01.02.01.001</t>
  </si>
  <si>
    <t>05.01.02.01.001</t>
  </si>
  <si>
    <t>AA.90.01.02.01.002</t>
  </si>
  <si>
    <t>05.01.02.01.002</t>
  </si>
  <si>
    <t>AA.90.01.02.02</t>
  </si>
  <si>
    <t>AA.90.01.02.02.001+AA.90.01.02.02.002</t>
  </si>
  <si>
    <t>05.01.02.02</t>
  </si>
  <si>
    <t>AA.90.01.02.02.001</t>
  </si>
  <si>
    <t>05.01.02.02.001</t>
  </si>
  <si>
    <t>AA.90.01.02.02.002</t>
  </si>
  <si>
    <t>05.01.02.02.002</t>
  </si>
  <si>
    <t>AA.90.01.02.03</t>
  </si>
  <si>
    <t>AA.90.01.02.03.01+AA.90.01.02.03.02.001+AA.90.01.02.03.03.001+AA.90.01.02.03.04.001</t>
  </si>
  <si>
    <t>05.01.02.03</t>
  </si>
  <si>
    <t>AA.90.01.02.03.01</t>
  </si>
  <si>
    <t>AA.90.01.02.03.01.001+AA.90.01.02.03.01.002</t>
  </si>
  <si>
    <t>05.01.02.03.01</t>
  </si>
  <si>
    <t>AA.90.01.02.03.01.001</t>
  </si>
  <si>
    <t>05.01.02.03.01.001</t>
  </si>
  <si>
    <t>AA.90.01.02.03.01.002</t>
  </si>
  <si>
    <t>05.01.02.03.01.002</t>
  </si>
  <si>
    <t>AA.90.01.02.03.02</t>
  </si>
  <si>
    <t>AA.05.01.02.03.02</t>
  </si>
  <si>
    <t>05.01.02.03.02</t>
  </si>
  <si>
    <t>AA.90.01.02.03.02.001</t>
  </si>
  <si>
    <t>05.01.02.03.02.001</t>
  </si>
  <si>
    <t>AA.90.01.02.03.03</t>
  </si>
  <si>
    <t>AA.05.01.02.03.03</t>
  </si>
  <si>
    <t>05.01.02.03.03</t>
  </si>
  <si>
    <t>AA.90.01.02.03.03.001</t>
  </si>
  <si>
    <t>05.01.02.03.03.001</t>
  </si>
  <si>
    <t>AA.90.01.02.03.04</t>
  </si>
  <si>
    <t>AA.05.01.02.03.04</t>
  </si>
  <si>
    <t>05.01.02.03.04</t>
  </si>
  <si>
    <t>AA.90.01.02.03.04.001</t>
  </si>
  <si>
    <t>05.01.02.03.04.001</t>
  </si>
  <si>
    <t>AA.90.01.02.04</t>
  </si>
  <si>
    <t>AA.05.01.02.04</t>
  </si>
  <si>
    <t>05.01.02.04</t>
  </si>
  <si>
    <t>AA.90.01.02.04.001</t>
  </si>
  <si>
    <t>05.01.02.04.001</t>
  </si>
  <si>
    <t>AA.90.01.02.05</t>
  </si>
  <si>
    <t>AA.05.01.02.05</t>
  </si>
  <si>
    <t>05.01.02.05</t>
  </si>
  <si>
    <t>AA.90.01.02.05.001</t>
  </si>
  <si>
    <t>05.01.02.05.001</t>
  </si>
  <si>
    <t>AA.90.02</t>
  </si>
  <si>
    <t>AA.90.02.01</t>
  </si>
  <si>
    <t>营销费用</t>
  </si>
  <si>
    <t>AA.90.02.02</t>
  </si>
  <si>
    <t>运营费用</t>
  </si>
  <si>
    <t>AA.90.03</t>
  </si>
  <si>
    <t>业务支出评估</t>
  </si>
  <si>
    <t>AA.90.03.09</t>
  </si>
  <si>
    <t>05.02</t>
  </si>
  <si>
    <t>客户经营指标</t>
  </si>
  <si>
    <t>AA.90.03.09.01+AA.90.03.09.02+AA.90.03.09.03</t>
  </si>
  <si>
    <t>05.02.09</t>
  </si>
  <si>
    <t>AA.90.03.09.01</t>
  </si>
  <si>
    <t>客户营销与投入</t>
  </si>
  <si>
    <t>AA.90.03.09.01.001+AA.90.03.09.01.002+AA.90.03.09.01.003+AA.90.03.09.01.004</t>
  </si>
  <si>
    <t>05.02.09.01</t>
  </si>
  <si>
    <t>AA.90.03.09.01.001</t>
  </si>
  <si>
    <t>新客营销支出</t>
  </si>
  <si>
    <t>05.02.09.01.001</t>
  </si>
  <si>
    <t>AA.90.03.09.01.002</t>
  </si>
  <si>
    <t>存客营销支出</t>
  </si>
  <si>
    <t>05.02.09.01.002</t>
  </si>
  <si>
    <t>AA.90.03.09.01.003</t>
  </si>
  <si>
    <t>新开通客户投入</t>
  </si>
  <si>
    <t>05.02.09.01.003</t>
  </si>
  <si>
    <t>AA.90.03.09.01.004</t>
  </si>
  <si>
    <t>新发放投入</t>
  </si>
  <si>
    <t>05.02.09.01.004</t>
  </si>
  <si>
    <t>AA.90.03.09.02</t>
  </si>
  <si>
    <t>客户规模与数量</t>
  </si>
  <si>
    <t>AA.90.03.09.02.101+AA.90.03.09.02.102+AA.90.03.09.02.103</t>
  </si>
  <si>
    <t>05.02.09.02</t>
  </si>
  <si>
    <t>AA.90.03.09.02.001</t>
  </si>
  <si>
    <t>新客日均LUM</t>
  </si>
  <si>
    <t>05.02.09.02.001</t>
  </si>
  <si>
    <t>AA.90.03.09.02.002</t>
  </si>
  <si>
    <t>存客日均LUM</t>
  </si>
  <si>
    <t>05.02.09.02.002</t>
  </si>
  <si>
    <t>AA.90.03.09.02.003</t>
  </si>
  <si>
    <t>新开通客户数</t>
  </si>
  <si>
    <t>05.02.09.02.003</t>
  </si>
  <si>
    <t>AA.90.03.09.02.004</t>
  </si>
  <si>
    <t>平均有效客户数</t>
  </si>
  <si>
    <t>05.02.09.02.004</t>
  </si>
  <si>
    <t>AA.90.03.09.02.005</t>
  </si>
  <si>
    <t>新发放LUM</t>
  </si>
  <si>
    <t>05.02.09.02.005</t>
  </si>
  <si>
    <t>AA.90.03.09.02.006</t>
  </si>
  <si>
    <t>新发放LUM（标服）</t>
  </si>
  <si>
    <t>05.02.09.02.006</t>
  </si>
  <si>
    <t>AA.90.03.09.02.007</t>
  </si>
  <si>
    <t>存客日均AuM</t>
  </si>
  <si>
    <t>05.02.09.02.007</t>
  </si>
  <si>
    <t>AA.90.03.09.02.008</t>
  </si>
  <si>
    <t>新客AuM余额</t>
  </si>
  <si>
    <t>05.02.09.02.008</t>
  </si>
  <si>
    <t>AA.90.03.09.02.009</t>
  </si>
  <si>
    <t>MFAU客户数</t>
  </si>
  <si>
    <t>05.02.09.02.009</t>
  </si>
  <si>
    <t>AA.90.03.09.02.010</t>
  </si>
  <si>
    <t>日均LUM</t>
  </si>
  <si>
    <t>05.02.09.02.010</t>
  </si>
  <si>
    <t>AA.90.03.09.02.011</t>
  </si>
  <si>
    <t>日均AuM</t>
  </si>
  <si>
    <t>05.02.09.02.011</t>
  </si>
  <si>
    <t>AA.90.03.09.02.101</t>
  </si>
  <si>
    <t>LUM规模</t>
  </si>
  <si>
    <t>AA.90.03.09.02.001+AA.90.03.09.02.002+AA.90.03.09.02.005+AA.90.03.09.02.006+AA.90.03.09.02.010</t>
  </si>
  <si>
    <t>05.02.09.02.101</t>
  </si>
  <si>
    <t>AA.90.03.09.02.102</t>
  </si>
  <si>
    <t>AuM规模</t>
  </si>
  <si>
    <t>AA.90.03.09.02.007+AA.90.03.09.02.008+AA.90.03.09.02.011</t>
  </si>
  <si>
    <t>05.02.09.02.102</t>
  </si>
  <si>
    <t>AA.90.03.09.02.103</t>
  </si>
  <si>
    <t>客户数量</t>
  </si>
  <si>
    <t>AA.90.03.09.02.003+AA.90.03.09.02.004+AA.90.03.09.02.009</t>
  </si>
  <si>
    <t>05.02.09.02.103</t>
  </si>
  <si>
    <t>AA.90.03.09.03</t>
  </si>
  <si>
    <t>客户回收与催收</t>
  </si>
  <si>
    <t>AA.90.03.09.03.001+AA.90.03.09.03.002+AA.90.03.09.03.003</t>
  </si>
  <si>
    <t>05.02.09.03</t>
  </si>
  <si>
    <t>AA.90.03.09.03.001</t>
  </si>
  <si>
    <t>内催回收额</t>
  </si>
  <si>
    <t>05.02.09.03.001</t>
  </si>
  <si>
    <t>AA.90.03.09.03.002</t>
  </si>
  <si>
    <t>M6-压降金额</t>
  </si>
  <si>
    <t>05.02.09.03.002</t>
  </si>
  <si>
    <t>AA.90.03.09.03.003</t>
  </si>
  <si>
    <t>M7+现金回收额</t>
  </si>
  <si>
    <t>05.02.09.03.003</t>
  </si>
  <si>
    <t>AA.32</t>
  </si>
  <si>
    <t>总资产</t>
  </si>
  <si>
    <t>AA.32.01+AA.32.02+AA.32.03</t>
  </si>
  <si>
    <t>32</t>
  </si>
  <si>
    <t xml:space="preserve">  各项贷款</t>
  </si>
  <si>
    <t>AA.22</t>
  </si>
  <si>
    <t xml:space="preserve">  存放央行</t>
  </si>
  <si>
    <t>22</t>
  </si>
  <si>
    <t>AA.32.01</t>
  </si>
  <si>
    <t xml:space="preserve">  同业资产</t>
  </si>
  <si>
    <t>AA.24.01+AA.24.02+AA.24.03+AA.24.04+AA.24.05+AA.24.06</t>
  </si>
  <si>
    <t>32.01</t>
  </si>
  <si>
    <t>AA.24.01</t>
  </si>
  <si>
    <t xml:space="preserve">    存放同业</t>
  </si>
  <si>
    <t>24.01</t>
  </si>
  <si>
    <t>AA.24.02</t>
  </si>
  <si>
    <t xml:space="preserve">    拆放同业</t>
  </si>
  <si>
    <t>24.02</t>
  </si>
  <si>
    <t>AA.24.03</t>
  </si>
  <si>
    <t xml:space="preserve">    买入返售</t>
  </si>
  <si>
    <t>24.03</t>
  </si>
  <si>
    <t>AA.24.04</t>
  </si>
  <si>
    <t xml:space="preserve">    债券投资</t>
  </si>
  <si>
    <t>24.04</t>
  </si>
  <si>
    <t>AA.24.05</t>
  </si>
  <si>
    <t xml:space="preserve">    同业存单投资</t>
  </si>
  <si>
    <t>24.05</t>
  </si>
  <si>
    <t>AA.24.06</t>
  </si>
  <si>
    <t xml:space="preserve">    基金</t>
  </si>
  <si>
    <t>24.06</t>
  </si>
  <si>
    <t>AA.32.02</t>
  </si>
  <si>
    <t xml:space="preserve">  减值准备</t>
  </si>
  <si>
    <t>32.02</t>
  </si>
  <si>
    <t>AA.32.03</t>
  </si>
  <si>
    <t xml:space="preserve">  其他资产</t>
  </si>
  <si>
    <t>32.03</t>
  </si>
  <si>
    <t>AA.33</t>
  </si>
  <si>
    <t>总负债</t>
  </si>
  <si>
    <t>AA.33.01+AA.33.02</t>
  </si>
  <si>
    <t>33</t>
  </si>
  <si>
    <t>AA.33.01</t>
  </si>
  <si>
    <t xml:space="preserve">  同业负债</t>
  </si>
  <si>
    <t>AA.26.01+AA.26.02+AA.26.03+AA.26.04+AA.26.05+AA.26.06</t>
  </si>
  <si>
    <t>33.01</t>
  </si>
  <si>
    <t>AA.26.01</t>
  </si>
  <si>
    <t xml:space="preserve">    向央行借款</t>
  </si>
  <si>
    <t>26.01</t>
  </si>
  <si>
    <t>AA.26.02</t>
  </si>
  <si>
    <t xml:space="preserve">    同业存放</t>
  </si>
  <si>
    <t>26.02</t>
  </si>
  <si>
    <t>AA.26.03</t>
  </si>
  <si>
    <t xml:space="preserve">    同业拆入</t>
  </si>
  <si>
    <t>26.03</t>
  </si>
  <si>
    <t>AA.26.04</t>
  </si>
  <si>
    <t xml:space="preserve">    转贷款</t>
  </si>
  <si>
    <t>26.04</t>
  </si>
  <si>
    <t>AA.26.05</t>
  </si>
  <si>
    <t xml:space="preserve">    卖出回购</t>
  </si>
  <si>
    <t>26.05</t>
  </si>
  <si>
    <t>AA.26.06</t>
  </si>
  <si>
    <t xml:space="preserve">    发行同业存单</t>
  </si>
  <si>
    <t>26.06</t>
  </si>
  <si>
    <t>AA.33.02</t>
  </si>
  <si>
    <t xml:space="preserve">  其他负债</t>
  </si>
  <si>
    <t>33.02</t>
  </si>
  <si>
    <t>AA.34</t>
  </si>
  <si>
    <t>所有者权益</t>
  </si>
  <si>
    <t>AA.32-AA.33</t>
  </si>
  <si>
    <t>34</t>
  </si>
  <si>
    <t>资产日均</t>
  </si>
  <si>
    <t>AA.35</t>
  </si>
  <si>
    <t>AA.35.01+AA.35.02+AA.35.03</t>
  </si>
  <si>
    <t>35</t>
  </si>
  <si>
    <t>AA.11.01</t>
  </si>
  <si>
    <t>AA.11.01.01+AA.11.01.02</t>
  </si>
  <si>
    <t>11.01</t>
  </si>
  <si>
    <t>AA.11.01.01</t>
  </si>
  <si>
    <t>11.01.01</t>
  </si>
  <si>
    <t>AVG</t>
  </si>
  <si>
    <t>AA.11.01.02</t>
  </si>
  <si>
    <t>11.01.02</t>
  </si>
  <si>
    <t>AA.23</t>
  </si>
  <si>
    <t>23</t>
  </si>
  <si>
    <t>AA.35.01</t>
  </si>
  <si>
    <t>35.01</t>
  </si>
  <si>
    <t>AA.25.01</t>
  </si>
  <si>
    <t>25.01</t>
  </si>
  <si>
    <t>AA.25.02</t>
  </si>
  <si>
    <t>25.02</t>
  </si>
  <si>
    <t>AA.25.03</t>
  </si>
  <si>
    <t>25.03</t>
  </si>
  <si>
    <t>AA.25.04</t>
  </si>
  <si>
    <t xml:space="preserve">    债券投资（AC和OCI）</t>
  </si>
  <si>
    <t>25.04</t>
  </si>
  <si>
    <t>AA.25.05</t>
  </si>
  <si>
    <t xml:space="preserve">    同业存单投资（AC和OCI）</t>
  </si>
  <si>
    <t>25.05</t>
  </si>
  <si>
    <t>AA.25.07</t>
  </si>
  <si>
    <t xml:space="preserve">    PL债券和同业存单</t>
  </si>
  <si>
    <t>25.07</t>
  </si>
  <si>
    <t>AA.25.06</t>
  </si>
  <si>
    <t>25.06</t>
  </si>
  <si>
    <t>AA.35.02</t>
  </si>
  <si>
    <t>35.02</t>
  </si>
  <si>
    <t>AA.35.03</t>
  </si>
  <si>
    <t>35.03</t>
  </si>
  <si>
    <t>负债日均</t>
  </si>
  <si>
    <t>AA.36</t>
  </si>
  <si>
    <t>AA.36.01+AA.36.02</t>
  </si>
  <si>
    <t>36</t>
  </si>
  <si>
    <t>AA.13.01</t>
  </si>
  <si>
    <t>13.01</t>
  </si>
  <si>
    <t>AA.36.01</t>
  </si>
  <si>
    <t>36.01</t>
  </si>
  <si>
    <t>AA.27.01</t>
  </si>
  <si>
    <t>27.01</t>
  </si>
  <si>
    <t>AA.27.02</t>
  </si>
  <si>
    <t>27.02</t>
  </si>
  <si>
    <t>AA.27.03</t>
  </si>
  <si>
    <t>27.03</t>
  </si>
  <si>
    <t>AA.27.04</t>
  </si>
  <si>
    <t>27.04</t>
  </si>
  <si>
    <t>AA.27.05</t>
  </si>
  <si>
    <t>27.05</t>
  </si>
  <si>
    <t>AA.27.06</t>
  </si>
  <si>
    <t>27.06</t>
  </si>
  <si>
    <t>AA.36.02</t>
  </si>
  <si>
    <t>36.02</t>
  </si>
  <si>
    <t>AA.37</t>
  </si>
  <si>
    <t>37</t>
  </si>
  <si>
    <t>风险成本率</t>
  </si>
  <si>
    <t>AA.38.01</t>
  </si>
  <si>
    <t xml:space="preserve">  泛微粒贷</t>
  </si>
  <si>
    <t>AA.38.01.01+AA.38.01.02</t>
  </si>
  <si>
    <t>38.01</t>
  </si>
  <si>
    <t>AA.38.01.01</t>
  </si>
  <si>
    <t xml:space="preserve">    微粒贷</t>
  </si>
  <si>
    <t>38.01.01</t>
  </si>
  <si>
    <t>AA.38.01.02</t>
  </si>
  <si>
    <t xml:space="preserve">    分付</t>
  </si>
  <si>
    <t>38.01.02</t>
  </si>
  <si>
    <t>AA.38.02</t>
  </si>
  <si>
    <t xml:space="preserve">  汽车金融</t>
  </si>
  <si>
    <t>38.02</t>
  </si>
  <si>
    <t>AA.38.03</t>
  </si>
  <si>
    <t xml:space="preserve">  财富</t>
  </si>
  <si>
    <t>38.03</t>
  </si>
  <si>
    <t>AA.38.04</t>
  </si>
  <si>
    <t xml:space="preserve">  小鹅</t>
  </si>
  <si>
    <t>38.04</t>
  </si>
  <si>
    <t>AA.38.05</t>
  </si>
  <si>
    <t xml:space="preserve">  企业金融</t>
  </si>
  <si>
    <t>AA.38.05.01</t>
  </si>
  <si>
    <t>38.05</t>
  </si>
  <si>
    <t>38.05.01</t>
  </si>
  <si>
    <t>风险成本</t>
  </si>
  <si>
    <t>AA.39</t>
  </si>
  <si>
    <t>不良贷款率</t>
  </si>
  <si>
    <t>AA.39.01+AA.39.02+AA.39.03+AA.39.04+AA.39.05</t>
  </si>
  <si>
    <t>39</t>
  </si>
  <si>
    <t>AA.39.01</t>
  </si>
  <si>
    <t>AA.39.01.01+AA.39.01.02</t>
  </si>
  <si>
    <t>39.01</t>
  </si>
  <si>
    <t>AA.39.01.01</t>
  </si>
  <si>
    <t>39.01.01</t>
  </si>
  <si>
    <t>AA.39.01.02</t>
  </si>
  <si>
    <t>39.01.02</t>
  </si>
  <si>
    <t>AA.39.02</t>
  </si>
  <si>
    <t>39.02</t>
  </si>
  <si>
    <t>AA.39.03</t>
  </si>
  <si>
    <t>39.03</t>
  </si>
  <si>
    <t>AA.39.04</t>
  </si>
  <si>
    <t>39.04</t>
  </si>
  <si>
    <t>AA.39.05</t>
  </si>
  <si>
    <t>AA.39.05.01</t>
  </si>
  <si>
    <t>39.05</t>
  </si>
  <si>
    <t>39.05.01</t>
  </si>
  <si>
    <t>AA.40</t>
  </si>
  <si>
    <t>不良贷款余额</t>
  </si>
  <si>
    <t>AA.40.01+AA.40.02+AA.40.03+AA.40.04+AA.40.05</t>
  </si>
  <si>
    <t>40</t>
  </si>
  <si>
    <t>AA.40.01</t>
  </si>
  <si>
    <t>AA.40.01.01+AA.40.01.02</t>
  </si>
  <si>
    <t>40.01</t>
  </si>
  <si>
    <t>AA.40.01.01</t>
  </si>
  <si>
    <t>40.01.01</t>
  </si>
  <si>
    <t>AA.40.01.02</t>
  </si>
  <si>
    <t>40.01.02</t>
  </si>
  <si>
    <t>AA.40.02</t>
  </si>
  <si>
    <t>40.02</t>
  </si>
  <si>
    <t>AA.40.03</t>
  </si>
  <si>
    <t>40.03</t>
  </si>
  <si>
    <t>AA.40.04</t>
  </si>
  <si>
    <t>40.04</t>
  </si>
  <si>
    <t>AA.40.05</t>
  </si>
  <si>
    <t>AA.40.05.01</t>
  </si>
  <si>
    <t>40.05</t>
  </si>
  <si>
    <t>40.05.01</t>
  </si>
  <si>
    <t>AA.41</t>
  </si>
  <si>
    <t>不良贷款原值余额</t>
  </si>
  <si>
    <t>AA.41.01+AA.41.02+AA.41.03+AA.41.04+AA.41.05</t>
  </si>
  <si>
    <t>41</t>
  </si>
  <si>
    <t>AA.41.01</t>
  </si>
  <si>
    <t>AA.41.01.01+AA.41.01.02</t>
  </si>
  <si>
    <t>41.01</t>
  </si>
  <si>
    <t>AA.41.01.01</t>
  </si>
  <si>
    <t>41.01.01</t>
  </si>
  <si>
    <t>AA.41.01.02</t>
  </si>
  <si>
    <t>41.01.02</t>
  </si>
  <si>
    <t>AA.41.02</t>
  </si>
  <si>
    <t>41.02</t>
  </si>
  <si>
    <t>AA.41.03</t>
  </si>
  <si>
    <t>41.03</t>
  </si>
  <si>
    <t>AA.41.04</t>
  </si>
  <si>
    <t>41.04</t>
  </si>
  <si>
    <t>AA.41.05</t>
  </si>
  <si>
    <t>AA.41.05.01</t>
  </si>
  <si>
    <t>41.05</t>
  </si>
  <si>
    <t>41.05.01</t>
  </si>
  <si>
    <t>AA.42</t>
  </si>
  <si>
    <t>年初不良贷款原值余额</t>
  </si>
  <si>
    <t>AA.42.01+AA.42.02+AA.42.03+AA.42.04+AA.42.05</t>
  </si>
  <si>
    <t>42</t>
  </si>
  <si>
    <t>AA.42.01</t>
  </si>
  <si>
    <t>AA.42.01.01+AA.42.01.02</t>
  </si>
  <si>
    <t>42.01</t>
  </si>
  <si>
    <t>AA.42.01.01</t>
  </si>
  <si>
    <t>42.01.01</t>
  </si>
  <si>
    <t>AA.42.01.02</t>
  </si>
  <si>
    <t>42.01.02</t>
  </si>
  <si>
    <t>AA.42.02</t>
  </si>
  <si>
    <t>42.02</t>
  </si>
  <si>
    <t>AA.42.03</t>
  </si>
  <si>
    <t>42.03</t>
  </si>
  <si>
    <t>AA.42.04</t>
  </si>
  <si>
    <t>42.04</t>
  </si>
  <si>
    <t>AA.42.05</t>
  </si>
  <si>
    <t>AA.42.05.01</t>
  </si>
  <si>
    <t>42.05</t>
  </si>
  <si>
    <t>42.05.01</t>
  </si>
  <si>
    <t>AA.43</t>
  </si>
  <si>
    <t>核销净额</t>
  </si>
  <si>
    <t>AA.43.01+AA.43.02+AA.43.03+AA.43.04+AA.43.05</t>
  </si>
  <si>
    <t>43</t>
  </si>
  <si>
    <t>AA.43.01</t>
  </si>
  <si>
    <t>AA.43.01.01+AA.43.01.02</t>
  </si>
  <si>
    <t>43.01</t>
  </si>
  <si>
    <t>AA.43.01.01</t>
  </si>
  <si>
    <t>43.01.01</t>
  </si>
  <si>
    <t>AA.43.01.02</t>
  </si>
  <si>
    <t>43.01.02</t>
  </si>
  <si>
    <t>AA.43.02</t>
  </si>
  <si>
    <t>43.02</t>
  </si>
  <si>
    <t>AA.43.03</t>
  </si>
  <si>
    <t>43.03</t>
  </si>
  <si>
    <t>AA.43.04</t>
  </si>
  <si>
    <t>43.04</t>
  </si>
  <si>
    <t>AA.43.05</t>
  </si>
  <si>
    <t>AA.43.05.01</t>
  </si>
  <si>
    <t>43.05</t>
  </si>
  <si>
    <t>43.05.01</t>
  </si>
  <si>
    <t>AA.44</t>
  </si>
  <si>
    <t>代偿和转让</t>
  </si>
  <si>
    <t>AA.44.01+AA.44.02+AA.44.03+AA.44.04+AA.44.05</t>
  </si>
  <si>
    <t>44</t>
  </si>
  <si>
    <t>AA.44.01</t>
  </si>
  <si>
    <t>微粒贷保险代偿金额</t>
  </si>
  <si>
    <t>AA.44.01.01</t>
  </si>
  <si>
    <t>44.01</t>
  </si>
  <si>
    <t xml:space="preserve">  微粒贷保险代偿净额</t>
  </si>
  <si>
    <t>44.01.01</t>
  </si>
  <si>
    <t>AA.44.02</t>
  </si>
  <si>
    <t>汽金代偿金代偿金额</t>
  </si>
  <si>
    <t>44.02</t>
  </si>
  <si>
    <t>AA.44.03</t>
  </si>
  <si>
    <t>企金担保代偿金额</t>
  </si>
  <si>
    <t>44.03</t>
  </si>
  <si>
    <t>AA.44.04</t>
  </si>
  <si>
    <t>企金保险代偿金额</t>
  </si>
  <si>
    <t>44.04</t>
  </si>
  <si>
    <t>AA.44.05</t>
  </si>
  <si>
    <t>企金不良转让金额</t>
  </si>
  <si>
    <t>AA.44.05.01</t>
  </si>
  <si>
    <t>44.05</t>
  </si>
  <si>
    <t>企金不良转让净额</t>
  </si>
  <si>
    <t>44.05.01</t>
  </si>
  <si>
    <t>AA.50</t>
  </si>
  <si>
    <t>生息资产日均规模</t>
  </si>
  <si>
    <t>AA.50.01+AA.50.02+AA.50.03+AA.50.04</t>
  </si>
  <si>
    <t>50</t>
  </si>
  <si>
    <t xml:space="preserve">  存放同业</t>
  </si>
  <si>
    <t xml:space="preserve">  拆放同业</t>
  </si>
  <si>
    <t xml:space="preserve">  买入返售</t>
  </si>
  <si>
    <t xml:space="preserve">  债券投资</t>
  </si>
  <si>
    <t xml:space="preserve">  同业存单投资</t>
  </si>
  <si>
    <t>AA.51</t>
  </si>
  <si>
    <t>付息负债日均规模</t>
  </si>
  <si>
    <t>51</t>
  </si>
  <si>
    <t xml:space="preserve">  向央行借款</t>
  </si>
  <si>
    <t xml:space="preserve">  同业存放</t>
  </si>
  <si>
    <t xml:space="preserve">  同业拆入</t>
  </si>
  <si>
    <t xml:space="preserve">  转贷款</t>
  </si>
  <si>
    <t xml:space="preserve">  卖出回购</t>
  </si>
  <si>
    <t xml:space="preserve">  发行同业存单</t>
  </si>
  <si>
    <t>生息资产利息收入</t>
  </si>
  <si>
    <t>AA.14.01</t>
  </si>
  <si>
    <t>14.01</t>
  </si>
  <si>
    <t>AA.14.02.01</t>
  </si>
  <si>
    <t>14.02.01</t>
  </si>
  <si>
    <t>AA.14.02.02</t>
  </si>
  <si>
    <t>14.02.02</t>
  </si>
  <si>
    <t>AA.14.02.03</t>
  </si>
  <si>
    <t>14.02.03</t>
  </si>
  <si>
    <t>AA.14.02.04</t>
  </si>
  <si>
    <t>14.02.04</t>
  </si>
  <si>
    <t>AA.14.03</t>
  </si>
  <si>
    <t>14.03</t>
  </si>
  <si>
    <t>AA.14.02.05</t>
  </si>
  <si>
    <t>14.02.05</t>
  </si>
  <si>
    <t>付息负债利息支出</t>
  </si>
  <si>
    <t>AA.16.01</t>
  </si>
  <si>
    <t>16.01</t>
  </si>
  <si>
    <t>AA.16.02.01</t>
  </si>
  <si>
    <t>16.02.01</t>
  </si>
  <si>
    <t>AA.16.02.02</t>
  </si>
  <si>
    <t>16.02.02</t>
  </si>
  <si>
    <t>AA.16.02.03</t>
  </si>
  <si>
    <t>16.02.03</t>
  </si>
  <si>
    <t>AA.16.02.04</t>
  </si>
  <si>
    <t>16.02.04</t>
  </si>
  <si>
    <t>AA.16.02.05</t>
  </si>
  <si>
    <t>16.02.05</t>
  </si>
  <si>
    <t>AA.16.02.06</t>
  </si>
  <si>
    <t>16.02.06</t>
  </si>
  <si>
    <t>AA.52</t>
  </si>
  <si>
    <t>生息资产收息率</t>
  </si>
  <si>
    <t>AA.52.01+AA.52.02+AA.52.03+AA.52.04+AA.52.05+AA.52.06+AA.52.07</t>
  </si>
  <si>
    <t>率年化指标</t>
  </si>
  <si>
    <t>52</t>
  </si>
  <si>
    <t>AA.52.01</t>
  </si>
  <si>
    <t>52.01</t>
  </si>
  <si>
    <t>AA.52.02</t>
  </si>
  <si>
    <t>52.02</t>
  </si>
  <si>
    <t>AA.52.03</t>
  </si>
  <si>
    <t>52.03</t>
  </si>
  <si>
    <t>AA.52.04</t>
  </si>
  <si>
    <t>52.04</t>
  </si>
  <si>
    <t>AA.52.05</t>
  </si>
  <si>
    <t>52.05</t>
  </si>
  <si>
    <t>AA.52.06</t>
  </si>
  <si>
    <t>52.06</t>
  </si>
  <si>
    <t>AA.52.07</t>
  </si>
  <si>
    <t>52.07</t>
  </si>
  <si>
    <t>AA.53</t>
  </si>
  <si>
    <t>付息负债付息率</t>
  </si>
  <si>
    <t>AA.53.01+AA.53.02+AA.53.03+AA.53.04+AA.53.05+AA.53.06+AA.53.07</t>
  </si>
  <si>
    <t>53</t>
  </si>
  <si>
    <t>AA.53.01</t>
  </si>
  <si>
    <t>53.01</t>
  </si>
  <si>
    <t>AA.53.02</t>
  </si>
  <si>
    <t>53.02</t>
  </si>
  <si>
    <t>AA.53.03</t>
  </si>
  <si>
    <t>53.03</t>
  </si>
  <si>
    <t>AA.53.04</t>
  </si>
  <si>
    <t>53.04</t>
  </si>
  <si>
    <t>AA.53.05</t>
  </si>
  <si>
    <t>53.05</t>
  </si>
  <si>
    <t>AA.53.06</t>
  </si>
  <si>
    <t>53.06</t>
  </si>
  <si>
    <t>AA.53.07</t>
  </si>
  <si>
    <t>53.07</t>
  </si>
  <si>
    <t>A.01</t>
  </si>
  <si>
    <t>A.01.01+A.01.02+A.01.03</t>
  </si>
  <si>
    <t>A.01.01</t>
  </si>
  <si>
    <t>A.01.01.01+A.01.01.02</t>
  </si>
  <si>
    <t>A.01.01.01</t>
  </si>
  <si>
    <t xml:space="preserve">    资产业务</t>
  </si>
  <si>
    <t>01.01.01</t>
  </si>
  <si>
    <t>A.14</t>
  </si>
  <si>
    <t>A.15</t>
  </si>
  <si>
    <t xml:space="preserve">      FTP成本</t>
  </si>
  <si>
    <t>15</t>
  </si>
  <si>
    <t>A.01.01.02</t>
  </si>
  <si>
    <t xml:space="preserve">    负债业务</t>
  </si>
  <si>
    <t>01.01.02</t>
  </si>
  <si>
    <t>A.16</t>
  </si>
  <si>
    <t>A.17</t>
  </si>
  <si>
    <t xml:space="preserve">      FTP收入</t>
  </si>
  <si>
    <t>17</t>
  </si>
  <si>
    <t>A.01.02</t>
  </si>
  <si>
    <t>A.18</t>
  </si>
  <si>
    <t>A.19</t>
  </si>
  <si>
    <t>A.01.03</t>
  </si>
  <si>
    <t>A.02</t>
  </si>
  <si>
    <t>减：风险成本</t>
  </si>
  <si>
    <t>A.03</t>
  </si>
  <si>
    <t>A.04</t>
  </si>
  <si>
    <t>A.05</t>
  </si>
  <si>
    <t>减：直接费用</t>
  </si>
  <si>
    <t>A.90.01+A.90.09+A.90.03+A.90.04+A.90.05</t>
  </si>
  <si>
    <t>A.05.01</t>
  </si>
  <si>
    <t xml:space="preserve">  人力费用（不含IT）</t>
  </si>
  <si>
    <t>A.90.01.01+A.90.01.02</t>
  </si>
  <si>
    <t>A.05.01.01</t>
  </si>
  <si>
    <t>A.90.01.01.01+A.90.01.01.02+A.90.01.01.03+A.90.01.01.04.001+A.90.01.01.05.001</t>
  </si>
  <si>
    <t>A.05.01.02</t>
  </si>
  <si>
    <t xml:space="preserve">    特别人力</t>
  </si>
  <si>
    <t>A.90.01.02.01+A.90.01.02.02+A.90.01.02.03+A.90.01.02.04.001+A.90.01.02.05.001</t>
  </si>
  <si>
    <t>A.05.02</t>
  </si>
  <si>
    <t>A.05.02.01</t>
  </si>
  <si>
    <t>A.05.02.02</t>
  </si>
  <si>
    <t>A.05.03</t>
  </si>
  <si>
    <t>A.90.03.01+A.90.03.02+A.90.03.03+A.90.03.04</t>
  </si>
  <si>
    <t>05.03</t>
  </si>
  <si>
    <t>A.05.03.01</t>
  </si>
  <si>
    <t xml:space="preserve">    IT人力</t>
  </si>
  <si>
    <t>A.90.03.01.01+A.90.03.01.02</t>
  </si>
  <si>
    <t>05.03.01</t>
  </si>
  <si>
    <t>A.05.03.01.01</t>
  </si>
  <si>
    <t xml:space="preserve">      IT常规人力</t>
  </si>
  <si>
    <t>05.03.01.01</t>
  </si>
  <si>
    <t>A.05.03.01.02</t>
  </si>
  <si>
    <t xml:space="preserve">      IT特别人力</t>
  </si>
  <si>
    <t>05.03.01.02</t>
  </si>
  <si>
    <t>A.05.03.02</t>
  </si>
  <si>
    <t xml:space="preserve">    科技费用</t>
  </si>
  <si>
    <t>05.03.02</t>
  </si>
  <si>
    <t>A.05.03.03</t>
  </si>
  <si>
    <t xml:space="preserve">    IT职场</t>
  </si>
  <si>
    <t>05.03.03</t>
  </si>
  <si>
    <t>A.05.03.04</t>
  </si>
  <si>
    <t xml:space="preserve">    IT日常</t>
  </si>
  <si>
    <t>05.03.04</t>
  </si>
  <si>
    <t>A.05.04</t>
  </si>
  <si>
    <t xml:space="preserve">  职场费用</t>
  </si>
  <si>
    <t>05.04</t>
  </si>
  <si>
    <t>A.05.05</t>
  </si>
  <si>
    <t>05.05</t>
  </si>
  <si>
    <t>A.06</t>
  </si>
  <si>
    <t>A.07</t>
  </si>
  <si>
    <t>分摊前利润</t>
  </si>
  <si>
    <t>07</t>
  </si>
  <si>
    <t>A.08</t>
  </si>
  <si>
    <t>减：固定管理费</t>
  </si>
  <si>
    <t>08</t>
  </si>
  <si>
    <t>A.09</t>
  </si>
  <si>
    <t>A.10</t>
  </si>
  <si>
    <t>A.10.01+A.10.02+A.10.03</t>
  </si>
  <si>
    <t>A.10.01</t>
  </si>
  <si>
    <t>A.10.01.01</t>
  </si>
  <si>
    <t>A.10.02</t>
  </si>
  <si>
    <t>A.10.03</t>
  </si>
  <si>
    <t>A.11</t>
  </si>
  <si>
    <t>管理贷款日均</t>
  </si>
  <si>
    <t>A.11.01+A.11.02+A.11.03</t>
  </si>
  <si>
    <t>11</t>
  </si>
  <si>
    <t>A.11.01</t>
  </si>
  <si>
    <t xml:space="preserve">  自持</t>
  </si>
  <si>
    <t>A.11.01.01</t>
  </si>
  <si>
    <t>A.11.02</t>
  </si>
  <si>
    <t>11.02</t>
  </si>
  <si>
    <t>A.11.03</t>
  </si>
  <si>
    <t>11.03</t>
  </si>
  <si>
    <t>A.12</t>
  </si>
  <si>
    <t>A.12.01+A.12.02+A.12.03+A.12.04</t>
  </si>
  <si>
    <t>A.12.01</t>
  </si>
  <si>
    <t>A.12.02</t>
  </si>
  <si>
    <t>A.12.03</t>
  </si>
  <si>
    <t>A.12.04</t>
  </si>
  <si>
    <t>A.13</t>
  </si>
  <si>
    <t>管理资产日均</t>
  </si>
  <si>
    <t>A.13.01+A.13.02+A.13.03+A.13.04</t>
  </si>
  <si>
    <t>13</t>
  </si>
  <si>
    <t>A.13.01</t>
  </si>
  <si>
    <t>A.13.02</t>
  </si>
  <si>
    <t>13.02</t>
  </si>
  <si>
    <t>A.13.03</t>
  </si>
  <si>
    <t>13.03</t>
  </si>
  <si>
    <t>A.13.04</t>
  </si>
  <si>
    <t>13.04</t>
  </si>
  <si>
    <t>A.90</t>
  </si>
  <si>
    <t>减:直接费用</t>
  </si>
  <si>
    <t>A.90.01</t>
  </si>
  <si>
    <t>人力费用(不含IT)</t>
  </si>
  <si>
    <t>A.90.01.01</t>
  </si>
  <si>
    <t>A.90.01.01.01</t>
  </si>
  <si>
    <t>A.90.01.01.01.001+A.90.01.01.01.002</t>
  </si>
  <si>
    <t>A.90.01.01.01.001</t>
  </si>
  <si>
    <t>A.90.01.01.01.002</t>
  </si>
  <si>
    <t>A.90.01.01.02</t>
  </si>
  <si>
    <t>A.90.01.01.02.001+A.90.01.01.02.002</t>
  </si>
  <si>
    <t>A.90.01.01.02.001</t>
  </si>
  <si>
    <t>A.90.01.01.02.002</t>
  </si>
  <si>
    <t>A.90.01.01.03</t>
  </si>
  <si>
    <t>A.90.01.01.03.01+A.90.01.01.03.02.001+A.90.01.01.03.03.001+A.90.01.01.03.04.001</t>
  </si>
  <si>
    <t>A.90.01.01.03.01</t>
  </si>
  <si>
    <t>A.90.01.01.03.01.001+A.90.01.01.03.01.002</t>
  </si>
  <si>
    <t>A.90.01.01.03.01.001</t>
  </si>
  <si>
    <t>A.90.01.01.03.01.002</t>
  </si>
  <si>
    <t>A.90.01.01.03.02</t>
  </si>
  <si>
    <t>A.05.01.01.03.02</t>
  </si>
  <si>
    <t>A.90.01.01.03.02.001</t>
  </si>
  <si>
    <t>A.90.01.01.03.03</t>
  </si>
  <si>
    <t>A.05.01.01.03.03</t>
  </si>
  <si>
    <t>A.90.01.01.03.03.001</t>
  </si>
  <si>
    <t>A.90.01.01.03.04</t>
  </si>
  <si>
    <t>A.05.01.01.03.04</t>
  </si>
  <si>
    <t>A.90.01.01.03.04.001</t>
  </si>
  <si>
    <t>A.90.01.01.04</t>
  </si>
  <si>
    <t>A.05.01.01.04</t>
  </si>
  <si>
    <t>A.90.01.01.04.001</t>
  </si>
  <si>
    <t>A.90.01.01.05</t>
  </si>
  <si>
    <t>A.05.01.01.05</t>
  </si>
  <si>
    <t>A.90.01.01.05.001</t>
  </si>
  <si>
    <t>A.90.01.02</t>
  </si>
  <si>
    <t>A.90.01.02.01</t>
  </si>
  <si>
    <t>A.90.01.02.01.001+A.90.01.02.01.002</t>
  </si>
  <si>
    <t>A.90.01.02.01.001</t>
  </si>
  <si>
    <t>A.90.01.02.01.002</t>
  </si>
  <si>
    <t>A.90.01.02.02</t>
  </si>
  <si>
    <t>A.90.01.02.02.001+A.90.01.02.02.002</t>
  </si>
  <si>
    <t>A.90.01.02.02.001</t>
  </si>
  <si>
    <t>A.90.01.02.02.002</t>
  </si>
  <si>
    <t>A.90.01.02.03</t>
  </si>
  <si>
    <t>A.90.01.02.03.01+A.90.01.02.03.02.001+A.90.01.02.03.03.001+A.90.01.02.03.04.001</t>
  </si>
  <si>
    <t>A.90.01.02.03.01</t>
  </si>
  <si>
    <t>A.90.01.02.03.01.001+A.90.01.02.03.01.002</t>
  </si>
  <si>
    <t>A.90.01.02.03.01.001</t>
  </si>
  <si>
    <t>A.90.01.02.03.01.002</t>
  </si>
  <si>
    <t>A.90.01.02.03.02</t>
  </si>
  <si>
    <t>A.05.01.02.03.02</t>
  </si>
  <si>
    <t>A.90.01.02.03.02.001</t>
  </si>
  <si>
    <t>A.90.01.02.03.03</t>
  </si>
  <si>
    <t>A.05.01.02.03.03</t>
  </si>
  <si>
    <t>A.90.01.02.03.03.001</t>
  </si>
  <si>
    <t>A.90.01.02.03.04</t>
  </si>
  <si>
    <t>A.05.01.02.03.04</t>
  </si>
  <si>
    <t>A.90.01.02.03.04.001</t>
  </si>
  <si>
    <t>A.90.01.02.04</t>
  </si>
  <si>
    <t>A.05.01.02.04</t>
  </si>
  <si>
    <t>A.90.01.02.04.001</t>
  </si>
  <si>
    <t>A.90.01.02.05</t>
  </si>
  <si>
    <t>A.05.01.02.05</t>
  </si>
  <si>
    <t>A.90.01.02.05.001</t>
  </si>
  <si>
    <t>A.90.02</t>
  </si>
  <si>
    <t>A.90.02.01</t>
  </si>
  <si>
    <t>A.90.02.02</t>
  </si>
  <si>
    <t>A.90.03</t>
  </si>
  <si>
    <t>IT费用</t>
  </si>
  <si>
    <t>A.90.03.01</t>
  </si>
  <si>
    <t>A.90.03.01.01</t>
  </si>
  <si>
    <t>A.90.03.01.02</t>
  </si>
  <si>
    <t>A.90.03.02</t>
  </si>
  <si>
    <t>科技费用</t>
  </si>
  <si>
    <t>A.90.03.03</t>
  </si>
  <si>
    <t>A.90.03.04</t>
  </si>
  <si>
    <t>A.90.04</t>
  </si>
  <si>
    <t>职场费用</t>
  </si>
  <si>
    <t>A.90.05</t>
  </si>
  <si>
    <t>日常费用</t>
  </si>
  <si>
    <t>A.90.09</t>
  </si>
  <si>
    <t>A.90.09.09</t>
  </si>
  <si>
    <t>A.90.09.09.01+A.90.09.09.02+A.90.09.09.03</t>
  </si>
  <si>
    <t>A.90.09.09.01</t>
  </si>
  <si>
    <t>A.90.09.09.01.001+A.90.09.09.01.002+A.90.09.09.01.003+A.90.09.09.01.004</t>
  </si>
  <si>
    <t>A.90.09.09.01.001</t>
  </si>
  <si>
    <t>A.90.09.09.01.002</t>
  </si>
  <si>
    <t>A.90.09.09.01.003</t>
  </si>
  <si>
    <t>A.90.09.09.01.004</t>
  </si>
  <si>
    <t>A.90.09.09.02</t>
  </si>
  <si>
    <t>A.90.09.09.02.101+A.90.09.09.02.102+A.90.09.09.02.103</t>
  </si>
  <si>
    <t>A.90.09.09.02.001</t>
  </si>
  <si>
    <t>A.90.09.09.02.002</t>
  </si>
  <si>
    <t>A.90.09.09.02.003</t>
  </si>
  <si>
    <t>A.90.09.09.02.004</t>
  </si>
  <si>
    <t>A.90.09.09.02.005</t>
  </si>
  <si>
    <t>A.90.09.09.02.006</t>
  </si>
  <si>
    <t>A.90.09.09.02.007</t>
  </si>
  <si>
    <t>A.90.09.09.02.008</t>
  </si>
  <si>
    <t>A.90.09.09.02.009</t>
  </si>
  <si>
    <t>A.90.09.09.02.010</t>
  </si>
  <si>
    <t>A.90.09.09.02.011</t>
  </si>
  <si>
    <t>A.90.09.09.02.101</t>
  </si>
  <si>
    <t>A.90.09.09.02.001+A.90.09.09.02.002+A.90.09.09.02.005+A.90.09.09.02.006+A.90.09.09.02.010</t>
  </si>
  <si>
    <t>A.90.09.09.02.102</t>
  </si>
  <si>
    <t>A.90.09.09.02.007+A.90.09.09.02.008+A.90.09.09.02.011</t>
  </si>
  <si>
    <t>A.90.09.09.02.103</t>
  </si>
  <si>
    <t>A.90.09.09.02.003+A.90.09.09.02.004+A.90.09.09.02.009</t>
  </si>
  <si>
    <t>A.90.09.09.03</t>
  </si>
  <si>
    <t>A.90.09.09.03.001+A.90.09.09.03.002+A.90.09.09.03.003</t>
  </si>
  <si>
    <t>A.90.09.09.03.001</t>
  </si>
  <si>
    <t>A.90.09.09.03.002</t>
  </si>
  <si>
    <t>A.90.09.09.03.003</t>
  </si>
  <si>
    <t>A01.01</t>
  </si>
  <si>
    <t>A01.01.01+A01.01.02+A01.01.03</t>
  </si>
  <si>
    <t>A01.01.01</t>
  </si>
  <si>
    <t>A01.01.01.01+A01.01.01.02</t>
  </si>
  <si>
    <t>A01.01.01.01</t>
  </si>
  <si>
    <t>A01.01.01.02</t>
  </si>
  <si>
    <t>A01.01.02</t>
  </si>
  <si>
    <t xml:space="preserve">  手续费净收入</t>
  </si>
  <si>
    <t>A01.01.03</t>
  </si>
  <si>
    <t>A01.02</t>
  </si>
  <si>
    <t>A01.03</t>
  </si>
  <si>
    <t>A01.01-A01.02</t>
  </si>
  <si>
    <t>A01.04</t>
  </si>
  <si>
    <t>A01.05</t>
  </si>
  <si>
    <t>A01.90.01+A01.90.02+A01.90.03+A01.90.04+A01.90.05</t>
  </si>
  <si>
    <t>A01.05.01</t>
  </si>
  <si>
    <t>A01.90.01.01+A01.90.01.02</t>
  </si>
  <si>
    <t>A01.05.01.01</t>
  </si>
  <si>
    <t>A01.90.01.01.01+A01.90.01.01.02+A01.90.01.01.03+A01.90.01.01.04.001+A01.90.01.01.05.001</t>
  </si>
  <si>
    <t>A01.05.01.02</t>
  </si>
  <si>
    <t>A01.90.01.02.01+A01.90.01.02.02+A01.90.01.02.03+A01.90.01.02.04.001+A01.90.01.02.05.001</t>
  </si>
  <si>
    <t>A01.05.02</t>
  </si>
  <si>
    <t>A01.90.02.01+A01.90.02.02+A01.90.02.09</t>
  </si>
  <si>
    <t>A01.05.02.01</t>
  </si>
  <si>
    <t>05.02.01</t>
  </si>
  <si>
    <t>A01.05.02.02</t>
  </si>
  <si>
    <t>05.02.02</t>
  </si>
  <si>
    <t>A01.05.03</t>
  </si>
  <si>
    <t>A01.90.03.01+A01.90.03.02+A01.90.03.03+A01.90.03.04</t>
  </si>
  <si>
    <t>A01.05.03.01</t>
  </si>
  <si>
    <t>A01.90.03.01.01+A01.90.03.01.02</t>
  </si>
  <si>
    <t>A01.05.03.01.01</t>
  </si>
  <si>
    <t>A01.05.03.01.02</t>
  </si>
  <si>
    <t>A01.05.03.02</t>
  </si>
  <si>
    <t>A01.05.03.03</t>
  </si>
  <si>
    <t>A01.05.03.04</t>
  </si>
  <si>
    <t>A01.05.04</t>
  </si>
  <si>
    <t>A01.05.05</t>
  </si>
  <si>
    <t>A01.06</t>
  </si>
  <si>
    <t>A01.07</t>
  </si>
  <si>
    <t>A01.03-A01.04-A01.90+A01.06</t>
  </si>
  <si>
    <t>A01.08</t>
  </si>
  <si>
    <t>A01.09</t>
  </si>
  <si>
    <t>A01.07-A01.08</t>
  </si>
  <si>
    <t>A01.10</t>
  </si>
  <si>
    <t>A01.10.01+A01.10.02+A01.10.03</t>
  </si>
  <si>
    <t>A01.10.01</t>
  </si>
  <si>
    <t>A01.10.01.01</t>
  </si>
  <si>
    <t>A01.10.01.01.01+A01.10.01.01.02</t>
  </si>
  <si>
    <t>A01.10.01.01.01</t>
  </si>
  <si>
    <t xml:space="preserve">      微粒贷</t>
  </si>
  <si>
    <t>A01.10.01.01.01.01</t>
  </si>
  <si>
    <t>10.01.01.01</t>
  </si>
  <si>
    <t xml:space="preserve">        其中：分期</t>
  </si>
  <si>
    <t>10.01.01.01.01</t>
  </si>
  <si>
    <t>A01.10.01.01.02</t>
  </si>
  <si>
    <t xml:space="preserve">      分付</t>
  </si>
  <si>
    <t>10.01.01.02</t>
  </si>
  <si>
    <t>A01.10.02</t>
  </si>
  <si>
    <t>A01.10.03</t>
  </si>
  <si>
    <t>A01.11</t>
  </si>
  <si>
    <t>A01.11.01+A01.11.02+A01.11.03</t>
  </si>
  <si>
    <t>A01.11.01</t>
  </si>
  <si>
    <t>A01.11.01.01</t>
  </si>
  <si>
    <t>A01.11.01.01.01+A01.11.01.01.02</t>
  </si>
  <si>
    <t>A01.11.01.01.01</t>
  </si>
  <si>
    <t>A01.11.01.01.01.01</t>
  </si>
  <si>
    <t>11.01.01.01</t>
  </si>
  <si>
    <t>11.01.01.01.01</t>
  </si>
  <si>
    <t>A01.11.01.01.02</t>
  </si>
  <si>
    <t>11.01.01.02</t>
  </si>
  <si>
    <t>A01.11.02</t>
  </si>
  <si>
    <t>A01.11.03</t>
  </si>
  <si>
    <t>A01.12</t>
  </si>
  <si>
    <t>A01.12.01</t>
  </si>
  <si>
    <t xml:space="preserve">  存款</t>
  </si>
  <si>
    <t>A01.13</t>
  </si>
  <si>
    <t>A01.13.01</t>
  </si>
  <si>
    <t>A01.24</t>
  </si>
  <si>
    <t>同业资产余额</t>
  </si>
  <si>
    <t>A01.24.01</t>
  </si>
  <si>
    <t>24</t>
  </si>
  <si>
    <t xml:space="preserve">  存放同业余额</t>
  </si>
  <si>
    <t>A01.25</t>
  </si>
  <si>
    <t>同业资产日均</t>
  </si>
  <si>
    <t>A01.25.01</t>
  </si>
  <si>
    <t>25</t>
  </si>
  <si>
    <t xml:space="preserve">  存放同业日均</t>
  </si>
  <si>
    <t>A01.26</t>
  </si>
  <si>
    <t>同业负债余额</t>
  </si>
  <si>
    <t>A01.26.02</t>
  </si>
  <si>
    <t>26</t>
  </si>
  <si>
    <t xml:space="preserve">  同业存放余额</t>
  </si>
  <si>
    <t>A01.27</t>
  </si>
  <si>
    <t>同业负债日均</t>
  </si>
  <si>
    <t>A01.27.02</t>
  </si>
  <si>
    <t>27</t>
  </si>
  <si>
    <t xml:space="preserve">  同业存放日均</t>
  </si>
  <si>
    <t>A01.14</t>
  </si>
  <si>
    <t>利息收入</t>
  </si>
  <si>
    <t>A01.14.01+A01.14.02</t>
  </si>
  <si>
    <t>A01.14.01</t>
  </si>
  <si>
    <t xml:space="preserve">  贷款利息收入</t>
  </si>
  <si>
    <t>A01.14.01.01+A01.14.01.02</t>
  </si>
  <si>
    <t>A01.14.01.01</t>
  </si>
  <si>
    <t xml:space="preserve">    微粒贷利息收入</t>
  </si>
  <si>
    <t>A01.14.01.01.01+A01.14.01.01.02+A01.14.01.01.03+A01.14.01.01.04+A01.14.01.01.05+A01.14.01.01.06</t>
  </si>
  <si>
    <t>14.01.01</t>
  </si>
  <si>
    <t>A01.14.01.01.01</t>
  </si>
  <si>
    <t xml:space="preserve">      微粒贷收息率</t>
  </si>
  <si>
    <t>14.01.01.01</t>
  </si>
  <si>
    <t>A01.14.01.01.02</t>
  </si>
  <si>
    <t xml:space="preserve">      微粒贷利息收入（渠道费、清仓回购前）</t>
  </si>
  <si>
    <t>A01.14.01.01.02.01+A01.14.01.01.02.02+A01.14.01.01.02.03+A01.14.01.01.02.04+A01.14.01.01.02.05</t>
  </si>
  <si>
    <t>收支月化指标（仅预测月）</t>
  </si>
  <si>
    <t>14.01.01.02</t>
  </si>
  <si>
    <t>A01.14.01.01.02.01</t>
  </si>
  <si>
    <t xml:space="preserve">        微粒贷平均利率（渠道费、清仓回购前）</t>
  </si>
  <si>
    <t>14.01.01.02.01</t>
  </si>
  <si>
    <t>A01.14.01.01.02.02</t>
  </si>
  <si>
    <t xml:space="preserve">        微粒贷平均财务利率</t>
  </si>
  <si>
    <t>14.01.01.02.02</t>
  </si>
  <si>
    <t>A01.14.01.01.02.03</t>
  </si>
  <si>
    <t xml:space="preserve">        微粒贷逾期90+占比</t>
  </si>
  <si>
    <t>14.01.01.02.03</t>
  </si>
  <si>
    <t>A01.14.01.01.02.04</t>
  </si>
  <si>
    <t xml:space="preserve">        微粒贷财务利率调整幅度</t>
  </si>
  <si>
    <t>14.01.01.02.04</t>
  </si>
  <si>
    <t>A01.14.01.01.02.05</t>
  </si>
  <si>
    <t xml:space="preserve">        微粒贷自营联贷差异</t>
  </si>
  <si>
    <t>14.01.01.02.05</t>
  </si>
  <si>
    <t>A01.14.01.01.03</t>
  </si>
  <si>
    <t xml:space="preserve">      微粒贷自营腾讯渠道费</t>
  </si>
  <si>
    <t>A01.14.01.01.03.01+A01.14.01.01.03.02+A01.14.01.01.03.03+A01.14.01.01.03.04</t>
  </si>
  <si>
    <t>收支月化指标</t>
  </si>
  <si>
    <t>14.01.01.03</t>
  </si>
  <si>
    <t>A01.14.01.01.03.01</t>
  </si>
  <si>
    <t xml:space="preserve">        微粒贷自营腾讯渠道费率</t>
  </si>
  <si>
    <t>14.01.01.03.01</t>
  </si>
  <si>
    <t>A01.14.01.01.03.02</t>
  </si>
  <si>
    <t xml:space="preserve">        微粒贷合同渠道费率</t>
  </si>
  <si>
    <t>14.01.01.03.02</t>
  </si>
  <si>
    <t>A01.14.01.01.03.03</t>
  </si>
  <si>
    <t xml:space="preserve">        微粒贷免收渠道费占比</t>
  </si>
  <si>
    <t>14.01.01.03.03</t>
  </si>
  <si>
    <t>A01.14.01.01.03.04</t>
  </si>
  <si>
    <t xml:space="preserve">        AA+同业存单收益率</t>
  </si>
  <si>
    <t>14.01.01.03.04</t>
  </si>
  <si>
    <t>A01.14.01.01.04</t>
  </si>
  <si>
    <t xml:space="preserve">      微粒贷电信分期渠道费</t>
  </si>
  <si>
    <t>A01.14.01.01.04.01</t>
  </si>
  <si>
    <t>14.01.01.04</t>
  </si>
  <si>
    <t xml:space="preserve">        微粒贷电信分期渠道费率</t>
  </si>
  <si>
    <t>14.01.01.04.01</t>
  </si>
  <si>
    <t>A01.14.01.01.05</t>
  </si>
  <si>
    <t xml:space="preserve">      微粒贷清仓回购利息收入</t>
  </si>
  <si>
    <t>14.01.01.05</t>
  </si>
  <si>
    <t>A01.14.01.01.06</t>
  </si>
  <si>
    <t xml:space="preserve">      微粒贷清仓回购腾讯渠道费</t>
  </si>
  <si>
    <t>14.01.01.06</t>
  </si>
  <si>
    <t>A01.14.01.02</t>
  </si>
  <si>
    <t xml:space="preserve">    分付利息收入</t>
  </si>
  <si>
    <t>A01.14.01.02.01+A01.14.01.02.02+A01.14.01.02.03</t>
  </si>
  <si>
    <t>14.01.02</t>
  </si>
  <si>
    <t>A01.14.01.02.01</t>
  </si>
  <si>
    <t xml:space="preserve">      分付收息率</t>
  </si>
  <si>
    <t>14.01.02.01</t>
  </si>
  <si>
    <t>A01.14.01.02.02</t>
  </si>
  <si>
    <t xml:space="preserve">      分付利息收入（渠道费前）</t>
  </si>
  <si>
    <t>A01.14.01.02.02.01+A01.14.01.02.02.02</t>
  </si>
  <si>
    <t>14.01.02.02</t>
  </si>
  <si>
    <t>A01.14.01.02.02.01</t>
  </si>
  <si>
    <t xml:space="preserve">        分付对客利率</t>
  </si>
  <si>
    <t>14.01.02.02.01</t>
  </si>
  <si>
    <t>A01.14.01.02.02.02</t>
  </si>
  <si>
    <t xml:space="preserve">        分付平均利率（渠道费前）</t>
  </si>
  <si>
    <t>率年化指标（仅实际月）</t>
  </si>
  <si>
    <t>14.01.02.02.02</t>
  </si>
  <si>
    <t>A01.14.01.02.03</t>
  </si>
  <si>
    <t xml:space="preserve">      分付腾讯渠道费</t>
  </si>
  <si>
    <t>A01.14.01.02.03.01+A01.14.01.02.03.02+A01.14.01.02.03.03</t>
  </si>
  <si>
    <t>14.01.02.03</t>
  </si>
  <si>
    <t>A01.14.01.02.03.01</t>
  </si>
  <si>
    <t xml:space="preserve">        分付腾讯渠道费率</t>
  </si>
  <si>
    <t>14.01.02.03.01</t>
  </si>
  <si>
    <t>A01.14.01.02.03.02</t>
  </si>
  <si>
    <t xml:space="preserve">        分付腾讯合同渠道费率</t>
  </si>
  <si>
    <t>14.01.02.03.02</t>
  </si>
  <si>
    <t>A01.14.01.02.03.03</t>
  </si>
  <si>
    <t xml:space="preserve">        分付实收利息比例</t>
  </si>
  <si>
    <t>14.01.02.03.03</t>
  </si>
  <si>
    <t>A01.14.02</t>
  </si>
  <si>
    <t xml:space="preserve">  金融机构往来利息收入</t>
  </si>
  <si>
    <t>A01.14.02.02</t>
  </si>
  <si>
    <t>14.02</t>
  </si>
  <si>
    <t xml:space="preserve">    存放同业利息收入</t>
  </si>
  <si>
    <t>A01.14.02.02.01</t>
  </si>
  <si>
    <t xml:space="preserve">      存放同业收息率</t>
  </si>
  <si>
    <t>14.02.02.01</t>
  </si>
  <si>
    <t>A01.15</t>
  </si>
  <si>
    <t>FTP成本</t>
  </si>
  <si>
    <t>A01.15.01+A01.15.02+A01.15.99</t>
  </si>
  <si>
    <t>A01.15.01</t>
  </si>
  <si>
    <t xml:space="preserve">  贷款FTP成本</t>
  </si>
  <si>
    <t>A01.15.01.01+A01.15.01.02</t>
  </si>
  <si>
    <t>15.01</t>
  </si>
  <si>
    <t>A01.15.01.01</t>
  </si>
  <si>
    <t xml:space="preserve">    微粒贷FTP成本</t>
  </si>
  <si>
    <t>A01.15.01.01.01</t>
  </si>
  <si>
    <t>15.01.01</t>
  </si>
  <si>
    <t xml:space="preserve">      微粒贷FTP</t>
  </si>
  <si>
    <t>15.01.01.01</t>
  </si>
  <si>
    <t>A01.15.01.02</t>
  </si>
  <si>
    <t xml:space="preserve">    分付FTP成本</t>
  </si>
  <si>
    <t>A01.15.01.02.01</t>
  </si>
  <si>
    <t>15.01.02</t>
  </si>
  <si>
    <t xml:space="preserve">      分付FTP</t>
  </si>
  <si>
    <t>15.01.02.01</t>
  </si>
  <si>
    <t>A01.15.02</t>
  </si>
  <si>
    <t xml:space="preserve">  金融机构往来FTP成本</t>
  </si>
  <si>
    <t>A01.15.02.02</t>
  </si>
  <si>
    <t>15.02</t>
  </si>
  <si>
    <t xml:space="preserve">    存放同业FTP成本</t>
  </si>
  <si>
    <t>A01.15.02.02.01</t>
  </si>
  <si>
    <t>15.02.02</t>
  </si>
  <si>
    <t xml:space="preserve">      存放同业FTP</t>
  </si>
  <si>
    <t>15.02.02.01</t>
  </si>
  <si>
    <t>A01.15.99</t>
  </si>
  <si>
    <t xml:space="preserve">  其他FTP成本</t>
  </si>
  <si>
    <t>A01.15.99.01</t>
  </si>
  <si>
    <t>15.99</t>
  </si>
  <si>
    <t xml:space="preserve">    流动性备付</t>
  </si>
  <si>
    <t>15.99.01</t>
  </si>
  <si>
    <t>A01.16</t>
  </si>
  <si>
    <t>利息支出</t>
  </si>
  <si>
    <t>A01.16.01+A01.16.02</t>
  </si>
  <si>
    <t>A01.16.01</t>
  </si>
  <si>
    <t xml:space="preserve">  存款利息支出</t>
  </si>
  <si>
    <t>A01.16.01.01</t>
  </si>
  <si>
    <t xml:space="preserve">    存款付息率</t>
  </si>
  <si>
    <t>16.01.01</t>
  </si>
  <si>
    <t>A01.16.02</t>
  </si>
  <si>
    <t>金融机构往来利息支出</t>
  </si>
  <si>
    <t>A01.16.02.02</t>
  </si>
  <si>
    <t>16.02</t>
  </si>
  <si>
    <t xml:space="preserve">  同业存放利息支出</t>
  </si>
  <si>
    <t>A01.16.02.02.01</t>
  </si>
  <si>
    <t xml:space="preserve">    同业存放付息率</t>
  </si>
  <si>
    <t>16.02.02.01</t>
  </si>
  <si>
    <t>A01.17</t>
  </si>
  <si>
    <t>FTP收入</t>
  </si>
  <si>
    <t>A01.17.01+A01.17.02</t>
  </si>
  <si>
    <t>A01.17.01</t>
  </si>
  <si>
    <t xml:space="preserve">  存款FTP收入</t>
  </si>
  <si>
    <t>A01.17.01.01</t>
  </si>
  <si>
    <t>17.01</t>
  </si>
  <si>
    <t xml:space="preserve">    存款FTP</t>
  </si>
  <si>
    <t>17.01.01</t>
  </si>
  <si>
    <t>A01.17.02</t>
  </si>
  <si>
    <t xml:space="preserve">  金融机构往来FTP收入</t>
  </si>
  <si>
    <t>A01.17.02.02</t>
  </si>
  <si>
    <t>17.02</t>
  </si>
  <si>
    <t xml:space="preserve">    同业存放FTP收入</t>
  </si>
  <si>
    <t>A01.17.02.02.01</t>
  </si>
  <si>
    <t>17.02.02</t>
  </si>
  <si>
    <t xml:space="preserve">      同业存放FTP</t>
  </si>
  <si>
    <t>17.02.02.01</t>
  </si>
  <si>
    <t>A01.18</t>
  </si>
  <si>
    <t>手续费收入</t>
  </si>
  <si>
    <t>A01.18.01+A01.18.02+A01.18.04+A01.18.06+A01.18.99</t>
  </si>
  <si>
    <t>A01.18.01</t>
  </si>
  <si>
    <t xml:space="preserve">  微粒贷联贷分成收入</t>
  </si>
  <si>
    <t>A01.18.01.01+A01.18.01.02+A01.18.01.03</t>
  </si>
  <si>
    <t>18.01</t>
  </si>
  <si>
    <t>A01.18.01.01</t>
  </si>
  <si>
    <t xml:space="preserve">    微粒贷联贷总收益率</t>
  </si>
  <si>
    <t>18.01.01</t>
  </si>
  <si>
    <t>A01.18.01.02</t>
  </si>
  <si>
    <t xml:space="preserve">    微粒贷联贷平台费收入</t>
  </si>
  <si>
    <t>A01.18.01.02.01+A01.18.01.02.02+A01.18.01.02.03+A01.18.01.02.04</t>
  </si>
  <si>
    <t>18.01.02</t>
  </si>
  <si>
    <t>A01.18.01.02.01</t>
  </si>
  <si>
    <t xml:space="preserve">      微粒贷联贷收益率</t>
  </si>
  <si>
    <t>18.01.02.01</t>
  </si>
  <si>
    <t>A01.18.01.02.02</t>
  </si>
  <si>
    <t xml:space="preserve">      微粒贷联贷平均财务利率</t>
  </si>
  <si>
    <t>18.01.02.02</t>
  </si>
  <si>
    <t>A01.18.01.02.03</t>
  </si>
  <si>
    <t xml:space="preserve">      平台费率</t>
  </si>
  <si>
    <t>18.01.02.03</t>
  </si>
  <si>
    <t>A01.18.01.02.04</t>
  </si>
  <si>
    <t xml:space="preserve">      折扣率</t>
  </si>
  <si>
    <t>18.01.02.04</t>
  </si>
  <si>
    <t>A01.18.01.03</t>
  </si>
  <si>
    <t xml:space="preserve">    微粒贷信托收益</t>
  </si>
  <si>
    <t>18.01.03</t>
  </si>
  <si>
    <t>A01.18.06</t>
  </si>
  <si>
    <t xml:space="preserve">  微粒贷同业催收费收入</t>
  </si>
  <si>
    <t>A01.18.06.01+A01.18.06.02</t>
  </si>
  <si>
    <t>18.06</t>
  </si>
  <si>
    <t>A01.18.06.01</t>
  </si>
  <si>
    <t xml:space="preserve">    收益率</t>
  </si>
  <si>
    <t>18.06.01</t>
  </si>
  <si>
    <t>A01.18.06.02.01</t>
  </si>
  <si>
    <t xml:space="preserve">      规模占比</t>
  </si>
  <si>
    <t>18.06.02.01</t>
  </si>
  <si>
    <t>A01.18.06.02.02</t>
  </si>
  <si>
    <t xml:space="preserve">      系数</t>
  </si>
  <si>
    <t>18.06.02.02</t>
  </si>
  <si>
    <t>A01.18.02</t>
  </si>
  <si>
    <t xml:space="preserve">  微粒贷资产流转收入</t>
  </si>
  <si>
    <t>18.02</t>
  </si>
  <si>
    <t>A01.18.04</t>
  </si>
  <si>
    <t xml:space="preserve">  微粒贷导流收入</t>
  </si>
  <si>
    <t>18.04</t>
  </si>
  <si>
    <t>A01.18.99</t>
  </si>
  <si>
    <t xml:space="preserve">  结算便利等其他</t>
  </si>
  <si>
    <t>18.99</t>
  </si>
  <si>
    <t>A01.19</t>
  </si>
  <si>
    <t>手续费支出</t>
  </si>
  <si>
    <t>A01.19.01+A01.19.02+A01.19.03+A01.19.04+A01.19.06+A01.19.07+A01.19.08+A01.19.09+A01.19.99</t>
  </si>
  <si>
    <t>A01.19.01</t>
  </si>
  <si>
    <t xml:space="preserve">  催收费</t>
  </si>
  <si>
    <t>A01.19.01.01</t>
  </si>
  <si>
    <t>19.01</t>
  </si>
  <si>
    <t xml:space="preserve">    费率</t>
  </si>
  <si>
    <t>19.01.01</t>
  </si>
  <si>
    <t>A01.19.02</t>
  </si>
  <si>
    <t xml:space="preserve">  征信费</t>
  </si>
  <si>
    <t>A01.19.02.01</t>
  </si>
  <si>
    <t>19.02</t>
  </si>
  <si>
    <t>19.02.01</t>
  </si>
  <si>
    <t>A01.19.03</t>
  </si>
  <si>
    <t xml:space="preserve">  清算费</t>
  </si>
  <si>
    <t>A01.19.03.01</t>
  </si>
  <si>
    <t>19.03</t>
  </si>
  <si>
    <t>19.03.01</t>
  </si>
  <si>
    <t>A01.19.04</t>
  </si>
  <si>
    <t xml:space="preserve">  代偿保费</t>
  </si>
  <si>
    <t>19.04</t>
  </si>
  <si>
    <t>A01.19.06</t>
  </si>
  <si>
    <t xml:space="preserve">  微粒贷联贷腾讯渠道费</t>
  </si>
  <si>
    <t>A01.19.06.01+A01.19.06.02+A01.19.06.03</t>
  </si>
  <si>
    <t>19.06</t>
  </si>
  <si>
    <t>A01.19.06.01</t>
  </si>
  <si>
    <t xml:space="preserve">    微粒贷联贷总渠道费率</t>
  </si>
  <si>
    <t>19.06.01</t>
  </si>
  <si>
    <t>A01.19.06.02</t>
  </si>
  <si>
    <t xml:space="preserve">    微粒贷联贷平台费收入渠道费</t>
  </si>
  <si>
    <t>A01.19.06.02.01+A01.19.06.02.02+A01.19.06.02.03</t>
  </si>
  <si>
    <t>19.06.02</t>
  </si>
  <si>
    <t>A01.19.06.02.01</t>
  </si>
  <si>
    <t xml:space="preserve">      微粒贷联贷渠道费率</t>
  </si>
  <si>
    <t>19.06.02.01</t>
  </si>
  <si>
    <t>A01.19.06.02.02</t>
  </si>
  <si>
    <t xml:space="preserve">      微粒贷联贷逾期90+占比</t>
  </si>
  <si>
    <t>19.06.02.02</t>
  </si>
  <si>
    <t>A01.19.06.02.03</t>
  </si>
  <si>
    <t xml:space="preserve">      微粒贷联贷免收渠道费占比</t>
  </si>
  <si>
    <t>19.06.02.03</t>
  </si>
  <si>
    <t>A01.19.06.03</t>
  </si>
  <si>
    <t xml:space="preserve">    微粒贷信托收益渠道费</t>
  </si>
  <si>
    <t>19.06.03</t>
  </si>
  <si>
    <t>A01.19.07</t>
  </si>
  <si>
    <t xml:space="preserve">  微粒贷流转腾讯渠道费</t>
  </si>
  <si>
    <t>19.07</t>
  </si>
  <si>
    <t>A01.19.08</t>
  </si>
  <si>
    <t xml:space="preserve">  微粒贷导流腾讯渠道费</t>
  </si>
  <si>
    <t>A01.19.08.01+A01.19.08.02</t>
  </si>
  <si>
    <t>19.08</t>
  </si>
  <si>
    <t>A01.19.08.01</t>
  </si>
  <si>
    <t xml:space="preserve">    微粒贷导流合同渠道费率</t>
  </si>
  <si>
    <t>19.08.01</t>
  </si>
  <si>
    <t>A01.19.08.02</t>
  </si>
  <si>
    <t xml:space="preserve">    系数</t>
  </si>
  <si>
    <t>19.08.02</t>
  </si>
  <si>
    <t>A01.19.09</t>
  </si>
  <si>
    <t xml:space="preserve">  微粒贷电信分期渠道费</t>
  </si>
  <si>
    <t>19.09</t>
  </si>
  <si>
    <t>A01.19.99</t>
  </si>
  <si>
    <t xml:space="preserve">  其他</t>
  </si>
  <si>
    <t>19.99</t>
  </si>
  <si>
    <t>A01.20</t>
  </si>
  <si>
    <t>其他外部营收</t>
  </si>
  <si>
    <t>20</t>
  </si>
  <si>
    <t>A01.21</t>
  </si>
  <si>
    <t>内部营业净收入</t>
  </si>
  <si>
    <t>21</t>
  </si>
  <si>
    <t>A01.90</t>
  </si>
  <si>
    <t>A01.90.01</t>
  </si>
  <si>
    <t>A01.90.01.01</t>
  </si>
  <si>
    <t>A01.90.01.01.01</t>
  </si>
  <si>
    <t>A01.90.01.01.01.001+A01.90.01.01.01.002</t>
  </si>
  <si>
    <t>A01.90.01.01.01.001</t>
  </si>
  <si>
    <t>A01.90.01.01.01.002</t>
  </si>
  <si>
    <t>A01.90.01.01.02</t>
  </si>
  <si>
    <t>A01.90.01.01.02.001+A01.90.01.01.02.002</t>
  </si>
  <si>
    <t>A01.90.01.01.02.001</t>
  </si>
  <si>
    <t>A01.90.01.01.02.002</t>
  </si>
  <si>
    <t>A01.90.01.01.03</t>
  </si>
  <si>
    <t>A01.90.01.01.03.01+A01.90.01.01.03.02.001+A01.90.01.01.03.03.001+A01.90.01.01.03.04.001</t>
  </si>
  <si>
    <t>A01.90.01.01.03.01</t>
  </si>
  <si>
    <t>A01.90.01.01.03.01.001+A01.90.01.01.03.01.002</t>
  </si>
  <si>
    <t>A01.90.01.01.03.01.001</t>
  </si>
  <si>
    <t>A01.90.01.01.03.01.002</t>
  </si>
  <si>
    <t>A01.90.01.01.03.02</t>
  </si>
  <si>
    <t>A01.05.01.01.03.02</t>
  </si>
  <si>
    <t>A01.90.01.01.03.02.001</t>
  </si>
  <si>
    <t>A01.90.01.01.03.03</t>
  </si>
  <si>
    <t>A01.05.01.01.03.03</t>
  </si>
  <si>
    <t>A01.90.01.01.03.03.001</t>
  </si>
  <si>
    <t>A01.90.01.01.03.04</t>
  </si>
  <si>
    <t>A01.05.01.01.03.04</t>
  </si>
  <si>
    <t>A01.90.01.01.03.04.001</t>
  </si>
  <si>
    <t>A01.90.01.01.04</t>
  </si>
  <si>
    <t>A01.05.01.01.04</t>
  </si>
  <si>
    <t>A01.90.01.01.04.001</t>
  </si>
  <si>
    <t>A01.90.01.01.05</t>
  </si>
  <si>
    <t>A01.05.01.01.05</t>
  </si>
  <si>
    <t>A01.90.01.01.05.001</t>
  </si>
  <si>
    <t>A01.90.01.02</t>
  </si>
  <si>
    <t>A01.90.01.02.01</t>
  </si>
  <si>
    <t>A01.90.01.02.01.001+A01.90.01.02.01.002</t>
  </si>
  <si>
    <t>A01.90.01.02.01.001</t>
  </si>
  <si>
    <t>A01.90.01.02.01.002</t>
  </si>
  <si>
    <t>A01.90.01.02.02</t>
  </si>
  <si>
    <t>A01.90.01.02.02.001+A01.90.01.02.02.002</t>
  </si>
  <si>
    <t>A01.90.01.02.02.001</t>
  </si>
  <si>
    <t>A01.90.01.02.02.002</t>
  </si>
  <si>
    <t>A01.90.01.02.03</t>
  </si>
  <si>
    <t>A01.90.01.02.03.01+A01.90.01.02.03.02.001+A01.90.01.02.03.03.001+A01.90.01.02.03.04.001</t>
  </si>
  <si>
    <t>A01.90.01.02.03.01</t>
  </si>
  <si>
    <t>A01.90.01.02.03.01.001+A01.90.01.02.03.01.002</t>
  </si>
  <si>
    <t>A01.90.01.02.03.01.001</t>
  </si>
  <si>
    <t>A01.90.01.02.03.01.002</t>
  </si>
  <si>
    <t>A01.90.01.02.03.02</t>
  </si>
  <si>
    <t>A01.05.01.02.03.02</t>
  </si>
  <si>
    <t>A01.90.01.02.03.02.001</t>
  </si>
  <si>
    <t>A01.90.01.02.03.03</t>
  </si>
  <si>
    <t>A01.05.01.02.03.03</t>
  </si>
  <si>
    <t>A01.90.01.02.03.03.001</t>
  </si>
  <si>
    <t>A01.90.01.02.03.04</t>
  </si>
  <si>
    <t>A01.05.01.02.03.04</t>
  </si>
  <si>
    <t>A01.90.01.02.03.04.001</t>
  </si>
  <si>
    <t>A01.90.01.02.04</t>
  </si>
  <si>
    <t>A01.05.01.02.04</t>
  </si>
  <si>
    <t>A01.90.01.02.04.001</t>
  </si>
  <si>
    <t>A01.90.01.02.05</t>
  </si>
  <si>
    <t>A01.05.01.02.05</t>
  </si>
  <si>
    <t>A01.90.01.02.05.001</t>
  </si>
  <si>
    <t>A01.90.02</t>
  </si>
  <si>
    <t>A01.90.02.01</t>
  </si>
  <si>
    <t>A01.90.02.02</t>
  </si>
  <si>
    <t>A01.90.02.09</t>
  </si>
  <si>
    <t>A01.90.02.09.01+A01.90.02.09.02+A01.90.02.09.03</t>
  </si>
  <si>
    <t>A01.90.02.09.01</t>
  </si>
  <si>
    <t>A01.90.02.09.01.001+A01.90.02.09.01.002+A01.90.02.09.01.003+A01.90.02.09.01.004</t>
  </si>
  <si>
    <t>A01.90.02.09.01.001</t>
  </si>
  <si>
    <t>A01.90.02.09.01.002</t>
  </si>
  <si>
    <t>A01.90.02.09.01.003</t>
  </si>
  <si>
    <t>A01.90.02.09.01.004</t>
  </si>
  <si>
    <t>A01.90.02.09.02</t>
  </si>
  <si>
    <t>A01.90.02.09.02.101+A01.90.02.09.02.102+A01.90.02.09.02.103</t>
  </si>
  <si>
    <t>A01.90.02.09.02.001</t>
  </si>
  <si>
    <t>A01.90.02.09.02.002</t>
  </si>
  <si>
    <t>A01.90.02.09.02.003</t>
  </si>
  <si>
    <t>A01.90.02.09.02.004</t>
  </si>
  <si>
    <t>A01.90.02.09.02.005</t>
  </si>
  <si>
    <t>A01.90.02.09.02.006</t>
  </si>
  <si>
    <t>A01.90.02.09.02.007</t>
  </si>
  <si>
    <t>A01.90.02.09.02.008</t>
  </si>
  <si>
    <t>A01.90.02.09.02.009</t>
  </si>
  <si>
    <t>A01.90.02.09.02.010</t>
  </si>
  <si>
    <t>A01.90.02.09.02.011</t>
  </si>
  <si>
    <t>A01.90.02.09.02.101</t>
  </si>
  <si>
    <t>A01.90.02.09.02.001+A01.90.02.09.02.002+A01.90.02.09.02.005+A01.90.02.09.02.006+A01.90.02.09.02.010</t>
  </si>
  <si>
    <t>A01.90.02.09.02.102</t>
  </si>
  <si>
    <t>A01.90.02.09.02.007+A01.90.02.09.02.008+A01.90.02.09.02.011</t>
  </si>
  <si>
    <t>A01.90.02.09.02.103</t>
  </si>
  <si>
    <t>A01.90.02.09.02.003+A01.90.02.09.02.004+A01.90.02.09.02.009</t>
  </si>
  <si>
    <t>A01.90.02.09.03</t>
  </si>
  <si>
    <t>A01.90.02.09.03.001+A01.90.02.09.03.002+A01.90.02.09.03.003</t>
  </si>
  <si>
    <t>A01.90.02.09.03.001</t>
  </si>
  <si>
    <t>A01.90.02.09.03.002</t>
  </si>
  <si>
    <t>A01.90.02.09.03.003</t>
  </si>
  <si>
    <t>A01.90.03</t>
  </si>
  <si>
    <t>A01.90.03.01</t>
  </si>
  <si>
    <t>A01.90.03.01.01</t>
  </si>
  <si>
    <t>A01.90.03.01.02</t>
  </si>
  <si>
    <t>A01.90.03.02</t>
  </si>
  <si>
    <t>A01.90.03.03</t>
  </si>
  <si>
    <t>A01.90.03.04</t>
  </si>
  <si>
    <t>A01.90.04</t>
  </si>
  <si>
    <t>A01.90.05</t>
  </si>
  <si>
    <t>A02.01</t>
  </si>
  <si>
    <t>A02.01.01+A02.01.02+A02.01.03</t>
  </si>
  <si>
    <t>A02.01.01</t>
  </si>
  <si>
    <t>A02.01.01.01+A02.01.01.02</t>
  </si>
  <si>
    <t>A02.01.01.01</t>
  </si>
  <si>
    <t>A02.01.01.02</t>
  </si>
  <si>
    <t>A02.01.02</t>
  </si>
  <si>
    <t>A02.01.03</t>
  </si>
  <si>
    <t>A02.02</t>
  </si>
  <si>
    <t>A02.03</t>
  </si>
  <si>
    <t>A02.01-A02.02</t>
  </si>
  <si>
    <t>A02.04</t>
  </si>
  <si>
    <t>A02.05</t>
  </si>
  <si>
    <t>A02.90.01+A02.90.02+A02.90.03+A02.90.04+A02.90.05</t>
  </si>
  <si>
    <t>A02.05.01</t>
  </si>
  <si>
    <t>A02.90.01.01+A02.90.01.02</t>
  </si>
  <si>
    <t>A02.05.01.01</t>
  </si>
  <si>
    <t>A02.90.01.01.01+A02.90.01.01.02+A02.90.01.01.03+A02.90.01.01.04.001+A02.90.01.01.05.001</t>
  </si>
  <si>
    <t>A02.05.01.02</t>
  </si>
  <si>
    <t>A02.90.01.02.01+A02.90.01.02.02+A02.90.01.02.03+A02.90.01.02.04.001+A02.90.01.02.05.001</t>
  </si>
  <si>
    <t>A02.05.02</t>
  </si>
  <si>
    <t>A02.90.02.01+A02.90.02.02+A02.90.02.09</t>
  </si>
  <si>
    <t>A02.05.02.01</t>
  </si>
  <si>
    <t>A02.05.02.02</t>
  </si>
  <si>
    <t>A02.05.03</t>
  </si>
  <si>
    <t>A02.90.03.01+A02.90.03.02+A02.90.03.03+A02.90.03.04</t>
  </si>
  <si>
    <t>A02.05.03.01</t>
  </si>
  <si>
    <t>A02.90.03.01.01+A02.90.03.01.02</t>
  </si>
  <si>
    <t>A02.05.03.01.01</t>
  </si>
  <si>
    <t>A02.05.03.01.02</t>
  </si>
  <si>
    <t>A02.05.03.02</t>
  </si>
  <si>
    <t>A02.05.03.03</t>
  </si>
  <si>
    <t>A02.05.03.04</t>
  </si>
  <si>
    <t>A02.05.04</t>
  </si>
  <si>
    <t>A02.05.05</t>
  </si>
  <si>
    <t>A02.06</t>
  </si>
  <si>
    <t>A02.07</t>
  </si>
  <si>
    <t>A02.03-A02.04-A02.90+A02.06</t>
  </si>
  <si>
    <t>A02.08</t>
  </si>
  <si>
    <t>A02.09</t>
  </si>
  <si>
    <t>A02.07-A02.08</t>
  </si>
  <si>
    <t>A02.12</t>
  </si>
  <si>
    <t>A02.12.01+A02.12.02+A02.12.03+A02.12.04</t>
  </si>
  <si>
    <t>A02.12.01</t>
  </si>
  <si>
    <t xml:space="preserve">  零钱+</t>
  </si>
  <si>
    <t>A02.12.01.01</t>
  </si>
  <si>
    <t xml:space="preserve">    经营部分</t>
  </si>
  <si>
    <t>12.01.01</t>
  </si>
  <si>
    <t>A02.17.01.01.04</t>
  </si>
  <si>
    <t xml:space="preserve">    流动性专项备付</t>
  </si>
  <si>
    <t>A02.17.01.01.04.01+A02.17.01.01.04.02</t>
  </si>
  <si>
    <t>A02.12.02</t>
  </si>
  <si>
    <t xml:space="preserve">  零钱通</t>
  </si>
  <si>
    <t>A02.12.03</t>
  </si>
  <si>
    <t>A02.12.04</t>
  </si>
  <si>
    <t>A02.13</t>
  </si>
  <si>
    <t>A02.13.01+A02.13.02+A02.13.03+A02.13.04</t>
  </si>
  <si>
    <t>A02.13.01</t>
  </si>
  <si>
    <t>A02.13.01.01+A02.13.01.02</t>
  </si>
  <si>
    <t>A02.13.01.01</t>
  </si>
  <si>
    <t>13.01.01</t>
  </si>
  <si>
    <t>A02.13.01.02</t>
  </si>
  <si>
    <t>13.01.02</t>
  </si>
  <si>
    <t>A02.13.02</t>
  </si>
  <si>
    <t>A02.13.03</t>
  </si>
  <si>
    <t>A02.13.04</t>
  </si>
  <si>
    <t>A02.24</t>
  </si>
  <si>
    <t>A02.24.01</t>
  </si>
  <si>
    <t>A02.25</t>
  </si>
  <si>
    <t>A02.25.01</t>
  </si>
  <si>
    <t>A02.26</t>
  </si>
  <si>
    <t>A02.26.02</t>
  </si>
  <si>
    <t>A02.27</t>
  </si>
  <si>
    <t>A02.27.02</t>
  </si>
  <si>
    <t>A02.14</t>
  </si>
  <si>
    <t>A02.14.02</t>
  </si>
  <si>
    <t>A02.14.02.02</t>
  </si>
  <si>
    <t>A02.14.02.02.01</t>
  </si>
  <si>
    <t>A02.15</t>
  </si>
  <si>
    <t>A02.15.02+A02.15.99</t>
  </si>
  <si>
    <t>A02.15.02</t>
  </si>
  <si>
    <t>A02.15.02.02</t>
  </si>
  <si>
    <t>A02.15.02.02.01</t>
  </si>
  <si>
    <t>A02.15.99</t>
  </si>
  <si>
    <t>A02.15.99.01+A02.15.99.02</t>
  </si>
  <si>
    <t>A02.15.99.01</t>
  </si>
  <si>
    <t xml:space="preserve">    商户结算便利服务FTP成本</t>
  </si>
  <si>
    <t>A02.15.99.02</t>
  </si>
  <si>
    <t xml:space="preserve">    数字人民FTP成本</t>
  </si>
  <si>
    <t>15.99.02</t>
  </si>
  <si>
    <t>A02.16</t>
  </si>
  <si>
    <t>A02.16.01+A02.16.02</t>
  </si>
  <si>
    <t>A02.16.01</t>
  </si>
  <si>
    <t>A02.16.01.01+A02.16.01.02+A02.16.01.03</t>
  </si>
  <si>
    <t>A02.16.01.01</t>
  </si>
  <si>
    <t xml:space="preserve">    零钱+利息支出</t>
  </si>
  <si>
    <t>A02.16.01.01.01+A02.16.01.01.02+A02.16.01.01.03+A02.16.01.01.04+A02.16.01.01.05</t>
  </si>
  <si>
    <t>A02.16.01.01.01</t>
  </si>
  <si>
    <t xml:space="preserve">      零钱+付息率</t>
  </si>
  <si>
    <t>16.01.01.01</t>
  </si>
  <si>
    <t>A02.16.01.01.02</t>
  </si>
  <si>
    <t xml:space="preserve">      零钱+腾讯渠道费</t>
  </si>
  <si>
    <t>A02.16.01.01.02.01</t>
  </si>
  <si>
    <t>16.01.01.02</t>
  </si>
  <si>
    <t xml:space="preserve">        零钱+腾讯渠道费率</t>
  </si>
  <si>
    <t>16.01.01.02.01</t>
  </si>
  <si>
    <t>A02.16.01.01.03</t>
  </si>
  <si>
    <t xml:space="preserve">      零钱+对客利息支出</t>
  </si>
  <si>
    <t>A02.16.01.01.03.01</t>
  </si>
  <si>
    <t>16.01.01.03</t>
  </si>
  <si>
    <t xml:space="preserve">        零钱+对客付息率</t>
  </si>
  <si>
    <t>16.01.01.03.01</t>
  </si>
  <si>
    <t>A02.16.01.01.04</t>
  </si>
  <si>
    <t xml:space="preserve">      经营部分利息支出</t>
  </si>
  <si>
    <t>A02.16.01.01.04.01+A02.16.01.01.04.02+A02.16.01.01.04.03+A02.16.01.01.04.04+A02.16.01.01.04.05</t>
  </si>
  <si>
    <t>16.01.01.04</t>
  </si>
  <si>
    <t>A02.16.01.01.04.01</t>
  </si>
  <si>
    <t xml:space="preserve">        经营部分付息率</t>
  </si>
  <si>
    <t>16.01.01.04.01</t>
  </si>
  <si>
    <t>A02.16.01.01.04.02</t>
  </si>
  <si>
    <t xml:space="preserve">        经营部分对客利息支出</t>
  </si>
  <si>
    <t>16.01.01.04.02</t>
  </si>
  <si>
    <t>A02.16.01.01.04.03</t>
  </si>
  <si>
    <t xml:space="preserve">        经营部分对客付息率</t>
  </si>
  <si>
    <t>16.01.01.04.03</t>
  </si>
  <si>
    <t>A02.16.01.01.04.04</t>
  </si>
  <si>
    <t xml:space="preserve">        经营部分腾讯渠道费</t>
  </si>
  <si>
    <t>16.01.01.04.04</t>
  </si>
  <si>
    <t>A02.16.01.01.04.05</t>
  </si>
  <si>
    <t xml:space="preserve">        经营部分腾讯渠道费率</t>
  </si>
  <si>
    <t>16.01.01.04.05</t>
  </si>
  <si>
    <t>A02.16.01.01.05</t>
  </si>
  <si>
    <t xml:space="preserve">      流动性专项备付利息支出</t>
  </si>
  <si>
    <t>A02.16.01.01.05.01+A02.16.01.01.05.02+A02.16.01.01.05.03+A02.16.01.01.05.04+A02.16.01.01.05.05</t>
  </si>
  <si>
    <t>16.01.01.05</t>
  </si>
  <si>
    <t>A02.16.01.01.05.01</t>
  </si>
  <si>
    <t xml:space="preserve">        专项备付付息率</t>
  </si>
  <si>
    <t>16.01.01.05.01</t>
  </si>
  <si>
    <t>A02.16.01.01.05.02</t>
  </si>
  <si>
    <t xml:space="preserve">        专项备付对客利息支出</t>
  </si>
  <si>
    <t>16.01.01.05.02</t>
  </si>
  <si>
    <t>A02.16.01.01.05.03</t>
  </si>
  <si>
    <t xml:space="preserve">        专项备付对客付息率</t>
  </si>
  <si>
    <t>16.01.01.05.03</t>
  </si>
  <si>
    <t>A02.16.01.01.05.04</t>
  </si>
  <si>
    <t xml:space="preserve">        专项备付腾讯渠道费</t>
  </si>
  <si>
    <t>16.01.01.05.04</t>
  </si>
  <si>
    <t>A02.16.01.01.05.05</t>
  </si>
  <si>
    <t xml:space="preserve">        专项备付腾讯渠道费率</t>
  </si>
  <si>
    <t>16.01.01.05.05</t>
  </si>
  <si>
    <t>A02.16.01.02</t>
  </si>
  <si>
    <t xml:space="preserve">    WE卡存款利息支出</t>
  </si>
  <si>
    <t>A02.16.01.02.01+A02.16.01.02.02+A02.16.01.02.03</t>
  </si>
  <si>
    <t>16.01.02</t>
  </si>
  <si>
    <t>A02.16.01.02.01</t>
  </si>
  <si>
    <t xml:space="preserve">      WE卡存款余额</t>
  </si>
  <si>
    <t>16.01.02.01</t>
  </si>
  <si>
    <t>A02.16.01.02.02</t>
  </si>
  <si>
    <t xml:space="preserve">      WE卡存款日均</t>
  </si>
  <si>
    <t>16.01.02.02</t>
  </si>
  <si>
    <t>A02.16.01.02.03</t>
  </si>
  <si>
    <t xml:space="preserve">      WE卡存款付息率</t>
  </si>
  <si>
    <t>16.01.02.03</t>
  </si>
  <si>
    <t>A02.16.01.03</t>
  </si>
  <si>
    <t xml:space="preserve">    数字人民币存款利息支出</t>
  </si>
  <si>
    <t>A02.16.01.03.01+A02.16.01.03.02+A02.16.01.03.03</t>
  </si>
  <si>
    <t>16.01.03</t>
  </si>
  <si>
    <t>A02.16.01.03.01</t>
  </si>
  <si>
    <t xml:space="preserve">      数字人民存款币余额</t>
  </si>
  <si>
    <t>16.01.03.01</t>
  </si>
  <si>
    <t>A02.16.01.03.02</t>
  </si>
  <si>
    <t xml:space="preserve">      数字人民币存款日均</t>
  </si>
  <si>
    <t>16.01.03.02</t>
  </si>
  <si>
    <t>A02.16.01.03.03</t>
  </si>
  <si>
    <t xml:space="preserve">      数字人民币存款付息率</t>
  </si>
  <si>
    <t>16.01.03.03</t>
  </si>
  <si>
    <t>A02.16.02</t>
  </si>
  <si>
    <t>A02.16.02.02</t>
  </si>
  <si>
    <t>A02.16.02.02.01</t>
  </si>
  <si>
    <t>A02.17</t>
  </si>
  <si>
    <t>A02.17.01+A02.17.02+A02.17.99</t>
  </si>
  <si>
    <t>A02.17.01</t>
  </si>
  <si>
    <t>A02.17.01.01+A02.17.01.02+A02.17.01.03</t>
  </si>
  <si>
    <t>A02.17.01.01</t>
  </si>
  <si>
    <t xml:space="preserve">    零钱+FTP收入</t>
  </si>
  <si>
    <t>A02.17.01.01.01+A02.17.01.01.02+A02.17.01.01.03+A02.17.01.01.04</t>
  </si>
  <si>
    <t>A02.17.01.01.01</t>
  </si>
  <si>
    <t xml:space="preserve">      零钱+FTP</t>
  </si>
  <si>
    <t>A02.17.01.01.02</t>
  </si>
  <si>
    <t xml:space="preserve">      零钱+FTP点差</t>
  </si>
  <si>
    <t>A02.17.01.01.03</t>
  </si>
  <si>
    <t xml:space="preserve">      经营部分FTP收入</t>
  </si>
  <si>
    <t>A02.17.01.01.03.01+A02.17.01.01.03.02</t>
  </si>
  <si>
    <t>A02.17.01.01.03.01</t>
  </si>
  <si>
    <t xml:space="preserve">        经营部分FTP</t>
  </si>
  <si>
    <t>A02.17.01.01.03.02</t>
  </si>
  <si>
    <t xml:space="preserve">        经营部分FTP点差</t>
  </si>
  <si>
    <t>A02.17.01.01.04.01</t>
  </si>
  <si>
    <t xml:space="preserve">        专项备付FTP</t>
  </si>
  <si>
    <t>A02.17.01.01.04.02</t>
  </si>
  <si>
    <t xml:space="preserve">        专项备付FTP点差</t>
  </si>
  <si>
    <t>A02.17.01.02</t>
  </si>
  <si>
    <t xml:space="preserve">    WE卡存款FTP收入</t>
  </si>
  <si>
    <t>A02.17.01.02.01</t>
  </si>
  <si>
    <t xml:space="preserve">      WE卡存款FTP</t>
  </si>
  <si>
    <t>A02.17.01.03</t>
  </si>
  <si>
    <t xml:space="preserve">    数字人民币存款FTP收入</t>
  </si>
  <si>
    <t>A02.17.01.03.01</t>
  </si>
  <si>
    <t xml:space="preserve">      数字人民币存款FTP</t>
  </si>
  <si>
    <t>A02.17.02</t>
  </si>
  <si>
    <t>A02.17.02.02</t>
  </si>
  <si>
    <t>A02.17.02.02.01</t>
  </si>
  <si>
    <t>A02.17.99</t>
  </si>
  <si>
    <t xml:space="preserve">  其他FTP收入</t>
  </si>
  <si>
    <t>A02.17.99.01+A02.17.99.02</t>
  </si>
  <si>
    <t>A02.17.99.01</t>
  </si>
  <si>
    <t xml:space="preserve">    商户结算便利应付款FTP收入</t>
  </si>
  <si>
    <t>A02.17.99.01.01</t>
  </si>
  <si>
    <t xml:space="preserve">      商户结算便利应付款FTP</t>
  </si>
  <si>
    <t>A02.17.99.02</t>
  </si>
  <si>
    <t xml:space="preserve">    零钱通净申购款FTP收入</t>
  </si>
  <si>
    <t>A02.18</t>
  </si>
  <si>
    <t>A02.18.05+A02.18.99</t>
  </si>
  <si>
    <t>A02.18.05</t>
  </si>
  <si>
    <t xml:space="preserve">  零钱通收入</t>
  </si>
  <si>
    <t>A02.18.05.01</t>
  </si>
  <si>
    <t>18.05</t>
  </si>
  <si>
    <t xml:space="preserve">    零钱通收益率</t>
  </si>
  <si>
    <t>18.05.01</t>
  </si>
  <si>
    <t>A02.18.99</t>
  </si>
  <si>
    <t>A02.19</t>
  </si>
  <si>
    <t>A02.19.10+A02.19.11+A02.19.99</t>
  </si>
  <si>
    <t>A02.19.10</t>
  </si>
  <si>
    <t xml:space="preserve">  零钱通腾讯渠道费</t>
  </si>
  <si>
    <t>A02.19.10.01</t>
  </si>
  <si>
    <t>19.10</t>
  </si>
  <si>
    <t xml:space="preserve">    零钱通腾讯渠道费率</t>
  </si>
  <si>
    <t>19.10.01</t>
  </si>
  <si>
    <t>A02.19.11</t>
  </si>
  <si>
    <t xml:space="preserve">  商户结算便利应付款腾讯渠道费</t>
  </si>
  <si>
    <t>19.11</t>
  </si>
  <si>
    <t>A02.19.99</t>
  </si>
  <si>
    <t>A02.20</t>
  </si>
  <si>
    <t>A02.21</t>
  </si>
  <si>
    <t>A02.99</t>
  </si>
  <si>
    <t>微账户参数</t>
  </si>
  <si>
    <t>A02.99.01+A02.99.02+A02.99.03+A02.99.04+A02.99.05+A02.99.06+A02.99.07+A02.99.08+A02.99.09</t>
  </si>
  <si>
    <t>99</t>
  </si>
  <si>
    <t>A02.99.01</t>
  </si>
  <si>
    <t xml:space="preserve">  AA+同业存单收益率</t>
  </si>
  <si>
    <t>99.01</t>
  </si>
  <si>
    <t>A02.99.02</t>
  </si>
  <si>
    <t xml:space="preserve">  各项贷款（不含票据）/微账户</t>
  </si>
  <si>
    <t>99.02</t>
  </si>
  <si>
    <t>A02.99.03</t>
  </si>
  <si>
    <t xml:space="preserve">  法定存款准备金率</t>
  </si>
  <si>
    <t>99.03</t>
  </si>
  <si>
    <t>A02.99.04</t>
  </si>
  <si>
    <t xml:space="preserve">  同业资产收益率（不含存放央行）</t>
  </si>
  <si>
    <t>A02.99.04.01+A02.99.04.02</t>
  </si>
  <si>
    <t>99.04</t>
  </si>
  <si>
    <t>A02.99.04.01</t>
  </si>
  <si>
    <t xml:space="preserve">    同业利息收入</t>
  </si>
  <si>
    <t>99.04.01</t>
  </si>
  <si>
    <t>A02.99.04.02</t>
  </si>
  <si>
    <t xml:space="preserve">    同业日均规模</t>
  </si>
  <si>
    <t>99.04.02</t>
  </si>
  <si>
    <t>A02.99.05</t>
  </si>
  <si>
    <t xml:space="preserve">  存放同业比例</t>
  </si>
  <si>
    <t>99.05</t>
  </si>
  <si>
    <t>A02.99.06</t>
  </si>
  <si>
    <t xml:space="preserve">  存放同业利率</t>
  </si>
  <si>
    <t>99.06</t>
  </si>
  <si>
    <t>A02.99.07</t>
  </si>
  <si>
    <t xml:space="preserve">  微账户存款对客挂牌利率</t>
  </si>
  <si>
    <t>99.07</t>
  </si>
  <si>
    <t>A02.99.08</t>
  </si>
  <si>
    <t xml:space="preserve">  法定存款准备金利率</t>
  </si>
  <si>
    <t>99.08</t>
  </si>
  <si>
    <t>A02.99.09</t>
  </si>
  <si>
    <t xml:space="preserve">  超额存款准备金利率</t>
  </si>
  <si>
    <t>99.09</t>
  </si>
  <si>
    <t>A02.90</t>
  </si>
  <si>
    <t>A02.90.01</t>
  </si>
  <si>
    <t>A02.90.01.01</t>
  </si>
  <si>
    <t>A02.90.01.01.01</t>
  </si>
  <si>
    <t>A02.90.01.01.01.001+A02.90.01.01.01.002</t>
  </si>
  <si>
    <t>A02.90.01.01.01.001</t>
  </si>
  <si>
    <t>A02.90.01.01.01.002</t>
  </si>
  <si>
    <t>A02.90.01.01.02</t>
  </si>
  <si>
    <t>A02.90.01.01.02.001+A02.90.01.01.02.002</t>
  </si>
  <si>
    <t>A02.90.01.01.02.001</t>
  </si>
  <si>
    <t>A02.90.01.01.02.002</t>
  </si>
  <si>
    <t>A02.90.01.01.03</t>
  </si>
  <si>
    <t>A02.90.01.01.03.01+A02.90.01.01.03.02.001+A02.90.01.01.03.03.001+A02.90.01.01.03.04.001</t>
  </si>
  <si>
    <t>A02.90.01.01.03.01</t>
  </si>
  <si>
    <t>A02.90.01.01.03.01.001+A02.90.01.01.03.01.002</t>
  </si>
  <si>
    <t>A02.90.01.01.03.01.001</t>
  </si>
  <si>
    <t>A02.90.01.01.03.01.002</t>
  </si>
  <si>
    <t>A02.90.01.01.03.02</t>
  </si>
  <si>
    <t>A02.05.01.01.03.02</t>
  </si>
  <si>
    <t>A02.90.01.01.03.02.001</t>
  </si>
  <si>
    <t>A02.90.01.01.03.03</t>
  </si>
  <si>
    <t>A02.05.01.01.03.03</t>
  </si>
  <si>
    <t>A02.90.01.01.03.03.001</t>
  </si>
  <si>
    <t>A02.90.01.01.03.04</t>
  </si>
  <si>
    <t>A02.05.01.01.03.04</t>
  </si>
  <si>
    <t>A02.90.01.01.03.04.001</t>
  </si>
  <si>
    <t>A02.90.01.01.04</t>
  </si>
  <si>
    <t>A02.05.01.01.04</t>
  </si>
  <si>
    <t>A02.90.01.01.04.001</t>
  </si>
  <si>
    <t>A02.90.01.01.05</t>
  </si>
  <si>
    <t>A02.05.01.01.05</t>
  </si>
  <si>
    <t>A02.90.01.01.05.001</t>
  </si>
  <si>
    <t>A02.90.01.02</t>
  </si>
  <si>
    <t>A02.90.01.02.01</t>
  </si>
  <si>
    <t>A02.90.01.02.01.001+A02.90.01.02.01.002</t>
  </si>
  <si>
    <t>A02.90.01.02.01.001</t>
  </si>
  <si>
    <t>A02.90.01.02.01.002</t>
  </si>
  <si>
    <t>A02.90.01.02.02</t>
  </si>
  <si>
    <t>A02.90.01.02.02.001+A02.90.01.02.02.002</t>
  </si>
  <si>
    <t>A02.90.01.02.02.001</t>
  </si>
  <si>
    <t>A02.90.01.02.02.002</t>
  </si>
  <si>
    <t>A02.90.01.02.03</t>
  </si>
  <si>
    <t>A02.90.01.02.03.01+A02.90.01.02.03.02.001+A02.90.01.02.03.03.001+A02.90.01.02.03.04.001</t>
  </si>
  <si>
    <t>A02.90.01.02.03.01</t>
  </si>
  <si>
    <t>A02.90.01.02.03.01.001+A02.90.01.02.03.01.002</t>
  </si>
  <si>
    <t>A02.90.01.02.03.01.001</t>
  </si>
  <si>
    <t>A02.90.01.02.03.01.002</t>
  </si>
  <si>
    <t>A02.90.01.02.03.02</t>
  </si>
  <si>
    <t>A02.05.01.02.03.02</t>
  </si>
  <si>
    <t>A02.90.01.02.03.02.001</t>
  </si>
  <si>
    <t>A02.90.01.02.03.03</t>
  </si>
  <si>
    <t>A02.05.01.02.03.03</t>
  </si>
  <si>
    <t>A02.90.01.02.03.03.001</t>
  </si>
  <si>
    <t>A02.90.01.02.03.04</t>
  </si>
  <si>
    <t>A02.05.01.02.03.04</t>
  </si>
  <si>
    <t>A02.90.01.02.03.04.001</t>
  </si>
  <si>
    <t>A02.90.01.02.04</t>
  </si>
  <si>
    <t>A02.05.01.02.04</t>
  </si>
  <si>
    <t>A02.90.01.02.04.001</t>
  </si>
  <si>
    <t>A02.90.01.02.05</t>
  </si>
  <si>
    <t>A02.05.01.02.05</t>
  </si>
  <si>
    <t>A02.90.01.02.05.001</t>
  </si>
  <si>
    <t>A02.90.02</t>
  </si>
  <si>
    <t>A02.90.02.01</t>
  </si>
  <si>
    <t>A02.90.02.02</t>
  </si>
  <si>
    <t>A02.90.02.09</t>
  </si>
  <si>
    <t>A02.90.02.09.01+A02.90.02.09.02+A02.90.02.09.03</t>
  </si>
  <si>
    <t>A02.90.02.09.01</t>
  </si>
  <si>
    <t>A02.90.02.09.01.001+A02.90.02.09.01.002+A02.90.02.09.01.003+A02.90.02.09.01.004</t>
  </si>
  <si>
    <t>A02.90.02.09.01.001</t>
  </si>
  <si>
    <t>A02.90.02.09.01.002</t>
  </si>
  <si>
    <t>A02.90.02.09.01.003</t>
  </si>
  <si>
    <t>A02.90.02.09.01.004</t>
  </si>
  <si>
    <t>A02.90.02.09.02</t>
  </si>
  <si>
    <t>A02.90.02.09.02.101+A02.90.02.09.02.102+A02.90.02.09.02.103</t>
  </si>
  <si>
    <t>A02.90.02.09.02.001</t>
  </si>
  <si>
    <t>A02.90.02.09.02.002</t>
  </si>
  <si>
    <t>A02.90.02.09.02.003</t>
  </si>
  <si>
    <t>A02.90.02.09.02.004</t>
  </si>
  <si>
    <t>A02.90.02.09.02.005</t>
  </si>
  <si>
    <t>A02.90.02.09.02.006</t>
  </si>
  <si>
    <t>A02.90.02.09.02.007</t>
  </si>
  <si>
    <t>A02.90.02.09.02.008</t>
  </si>
  <si>
    <t>A02.90.02.09.02.009</t>
  </si>
  <si>
    <t>A02.90.02.09.02.010</t>
  </si>
  <si>
    <t>A02.90.02.09.02.011</t>
  </si>
  <si>
    <t>A02.90.02.09.02.101</t>
  </si>
  <si>
    <t>A02.90.02.09.02.001+A02.90.02.09.02.002+A02.90.02.09.02.005+A02.90.02.09.02.006+A02.90.02.09.02.010</t>
  </si>
  <si>
    <t>A02.90.02.09.02.102</t>
  </si>
  <si>
    <t>A02.90.02.09.02.007+A02.90.02.09.02.008+A02.90.02.09.02.011</t>
  </si>
  <si>
    <t>A02.90.02.09.02.103</t>
  </si>
  <si>
    <t>A02.90.02.09.02.003+A02.90.02.09.02.004+A02.90.02.09.02.009</t>
  </si>
  <si>
    <t>A02.90.02.09.03</t>
  </si>
  <si>
    <t>A02.90.02.09.03.001+A02.90.02.09.03.002+A02.90.02.09.03.003</t>
  </si>
  <si>
    <t>A02.90.02.09.03.001</t>
  </si>
  <si>
    <t>A02.90.02.09.03.002</t>
  </si>
  <si>
    <t>A02.90.02.09.03.003</t>
  </si>
  <si>
    <t>A02.90.03</t>
  </si>
  <si>
    <t>A02.90.03.01</t>
  </si>
  <si>
    <t>A02.90.03.01.01</t>
  </si>
  <si>
    <t>A02.90.03.01.02</t>
  </si>
  <si>
    <t>A02.90.03.02</t>
  </si>
  <si>
    <t>A02.90.03.03</t>
  </si>
  <si>
    <t>A02.90.03.04</t>
  </si>
  <si>
    <t>A02.90.04</t>
  </si>
  <si>
    <t>A02.90.05</t>
  </si>
  <si>
    <t>A03.01</t>
  </si>
  <si>
    <t>A03.01.01+A03.01.02+A03.01.03</t>
  </si>
  <si>
    <t>A03.01.01</t>
  </si>
  <si>
    <t>A03.01.01.01+A03.01.01.02</t>
  </si>
  <si>
    <t>A03.01.01.01</t>
  </si>
  <si>
    <t>A03.01.01.02</t>
  </si>
  <si>
    <t>A03.01.02</t>
  </si>
  <si>
    <t>A03.01.03</t>
  </si>
  <si>
    <t>A03.02</t>
  </si>
  <si>
    <t>A03.03</t>
  </si>
  <si>
    <t>A03.01-A03.02</t>
  </si>
  <si>
    <t>A03.04</t>
  </si>
  <si>
    <t>A03.05</t>
  </si>
  <si>
    <t>A03.90.01+A03.90.02+A03.90.03+A03.90.04+A03.90.05</t>
  </si>
  <si>
    <t>A03.05.01</t>
  </si>
  <si>
    <t>A03.90.01.01+A03.90.01.02</t>
  </si>
  <si>
    <t>A03.05.01.01</t>
  </si>
  <si>
    <t>A03.90.01.01.01+A03.90.01.01.02+A03.90.01.01.03+A03.90.01.01.04.001+A03.90.01.01.05.001</t>
  </si>
  <si>
    <t>A03.05.01.02</t>
  </si>
  <si>
    <t>A03.90.01.02.01+A03.90.01.02.02+A03.90.01.02.03+A03.90.01.02.04.001+A03.90.01.02.05.001</t>
  </si>
  <si>
    <t>A03.05.02</t>
  </si>
  <si>
    <t>A03.90.02.01+A03.90.02.02+A03.90.02.09</t>
  </si>
  <si>
    <t>A03.05.02.01</t>
  </si>
  <si>
    <t>A03.05.02.02</t>
  </si>
  <si>
    <t>A03.05.03</t>
  </si>
  <si>
    <t>A03.90.03.01+A03.90.03.02+A03.90.03.03+A03.90.03.04</t>
  </si>
  <si>
    <t>A03.05.03.01</t>
  </si>
  <si>
    <t>A03.90.03.01.01+A03.90.03.01.02</t>
  </si>
  <si>
    <t>A03.05.03.01.01</t>
  </si>
  <si>
    <t>A03.05.03.01.02</t>
  </si>
  <si>
    <t>A03.05.03.02</t>
  </si>
  <si>
    <t>A03.05.03.03</t>
  </si>
  <si>
    <t>A03.05.03.04</t>
  </si>
  <si>
    <t>A03.05.04</t>
  </si>
  <si>
    <t>A03.05.05</t>
  </si>
  <si>
    <t>A03.06</t>
  </si>
  <si>
    <t>A03.07</t>
  </si>
  <si>
    <t>A03.03-A03.04-A03.90+A03.06</t>
  </si>
  <si>
    <t>A03.08</t>
  </si>
  <si>
    <t>A03.09</t>
  </si>
  <si>
    <t>A03.07-A03.08</t>
  </si>
  <si>
    <t>A03.10</t>
  </si>
  <si>
    <t>管理贷款</t>
  </si>
  <si>
    <t>A03.10.01+A03.10.02+A03.10.03</t>
  </si>
  <si>
    <t>A03.10.01</t>
  </si>
  <si>
    <t>A03.10.01.01</t>
  </si>
  <si>
    <t>A03.10.02</t>
  </si>
  <si>
    <t>A03.10.03</t>
  </si>
  <si>
    <t>A03.11</t>
  </si>
  <si>
    <t>A03.11.01+A03.11.02+A03.11.03</t>
  </si>
  <si>
    <t>A03.11.01</t>
  </si>
  <si>
    <t>A03.11.01.01</t>
  </si>
  <si>
    <t>A03.11.02</t>
  </si>
  <si>
    <t>A03.11.03</t>
  </si>
  <si>
    <t>A03.12</t>
  </si>
  <si>
    <t>A03.12.01</t>
  </si>
  <si>
    <t>A03.13</t>
  </si>
  <si>
    <t>A03.13.01</t>
  </si>
  <si>
    <t>A03.26</t>
  </si>
  <si>
    <t>A03.26.02</t>
  </si>
  <si>
    <t xml:space="preserve">      同业存放余额</t>
  </si>
  <si>
    <t>A03.27</t>
  </si>
  <si>
    <t>A03.27.02</t>
  </si>
  <si>
    <t xml:space="preserve">      同业存放日均</t>
  </si>
  <si>
    <t>A03.14</t>
  </si>
  <si>
    <t>A03.14.01</t>
  </si>
  <si>
    <t>A03.14.01.01</t>
  </si>
  <si>
    <t xml:space="preserve">    贷款收息率</t>
  </si>
  <si>
    <t>A03.15</t>
  </si>
  <si>
    <t>A03.15.01+A03.15.99</t>
  </si>
  <si>
    <t>A03.15.01</t>
  </si>
  <si>
    <t>A03.15.01.01</t>
  </si>
  <si>
    <t xml:space="preserve">    贷款FTP</t>
  </si>
  <si>
    <t>A03.15.99</t>
  </si>
  <si>
    <t>A03.15.99.01</t>
  </si>
  <si>
    <t xml:space="preserve">    流动性备付FTP成本</t>
  </si>
  <si>
    <t>A03.16</t>
  </si>
  <si>
    <t>A03.16.01+A03.16.02</t>
  </si>
  <si>
    <t>A03.16.01</t>
  </si>
  <si>
    <t>A03.16.01.01</t>
  </si>
  <si>
    <t>A03.16.02</t>
  </si>
  <si>
    <t xml:space="preserve">  金融机构往来利息支出</t>
  </si>
  <si>
    <t>A03.16.02.02</t>
  </si>
  <si>
    <t xml:space="preserve">    同业存放利息支出</t>
  </si>
  <si>
    <t>A03.16.02.02.01</t>
  </si>
  <si>
    <t xml:space="preserve">      同业存放付息率</t>
  </si>
  <si>
    <t>A03.17</t>
  </si>
  <si>
    <t>A03.17.01+A03.17.02+A03.17.99</t>
  </si>
  <si>
    <t>A03.17.01</t>
  </si>
  <si>
    <t>A03.17.01.01</t>
  </si>
  <si>
    <t>A03.17.02</t>
  </si>
  <si>
    <t>A03.17.02.02</t>
  </si>
  <si>
    <t>A03.17.02.02.01</t>
  </si>
  <si>
    <t>A03.17.99</t>
  </si>
  <si>
    <t>A03.17.99.01</t>
  </si>
  <si>
    <t>17.99</t>
  </si>
  <si>
    <t xml:space="preserve">    应付款FTP收入</t>
  </si>
  <si>
    <t>A03.17.99.01.01+A03.17.99.01.02+A03.17.99.01.03</t>
  </si>
  <si>
    <t>17.99.01</t>
  </si>
  <si>
    <t>A03.17.99.01.01</t>
  </si>
  <si>
    <t xml:space="preserve">      应付款余额</t>
  </si>
  <si>
    <t>17.99.01.01</t>
  </si>
  <si>
    <t>A03.17.99.01.02</t>
  </si>
  <si>
    <t xml:space="preserve">      应付款日均</t>
  </si>
  <si>
    <t>17.99.01.02</t>
  </si>
  <si>
    <t>A03.17.99.01.03</t>
  </si>
  <si>
    <t xml:space="preserve">      应付款FTP</t>
  </si>
  <si>
    <t>17.99.01.03</t>
  </si>
  <si>
    <t>A03.18</t>
  </si>
  <si>
    <t>A03.18.01+A03.18.07+A03.18.99</t>
  </si>
  <si>
    <t>A03.18.01</t>
  </si>
  <si>
    <t xml:space="preserve">  联贷分成收入</t>
  </si>
  <si>
    <t>A03.18.01.01</t>
  </si>
  <si>
    <t xml:space="preserve">    联贷收益率</t>
  </si>
  <si>
    <t>A03.18.07</t>
  </si>
  <si>
    <t xml:space="preserve">  对公平台服务费收入</t>
  </si>
  <si>
    <t>18.07</t>
  </si>
  <si>
    <t>A03.18.99</t>
  </si>
  <si>
    <t>A03.19</t>
  </si>
  <si>
    <t>A03.19.01+A03.19.02+A03.19.03+A03.19.12+A03.19.99</t>
  </si>
  <si>
    <t>A03.19.01</t>
  </si>
  <si>
    <t>A03.19.01.01</t>
  </si>
  <si>
    <t>A03.19.02</t>
  </si>
  <si>
    <t>A03.19.02.01</t>
  </si>
  <si>
    <t>A03.19.03</t>
  </si>
  <si>
    <t>A03.19.03.01</t>
  </si>
  <si>
    <t>A03.19.12</t>
  </si>
  <si>
    <t xml:space="preserve">  渠道费</t>
  </si>
  <si>
    <t>A03.19.12.01</t>
  </si>
  <si>
    <t>19.12</t>
  </si>
  <si>
    <t xml:space="preserve">    自持渠道费</t>
  </si>
  <si>
    <t>A03.19.12.01.01</t>
  </si>
  <si>
    <t>19.12.01</t>
  </si>
  <si>
    <t xml:space="preserve">      自持渠道费率</t>
  </si>
  <si>
    <t>19.12.01.01</t>
  </si>
  <si>
    <t>A03.19.99</t>
  </si>
  <si>
    <t>A03.20</t>
  </si>
  <si>
    <t>A03.21</t>
  </si>
  <si>
    <t>A03.90</t>
  </si>
  <si>
    <t>A03.90.01</t>
  </si>
  <si>
    <t>A03.90.01.01</t>
  </si>
  <si>
    <t>A03.90.01.01.01</t>
  </si>
  <si>
    <t>A03.90.01.01.01.001+A03.90.01.01.01.002</t>
  </si>
  <si>
    <t>A03.90.01.01.01.001</t>
  </si>
  <si>
    <t>A03.90.01.01.01.002</t>
  </si>
  <si>
    <t>A03.90.01.01.02</t>
  </si>
  <si>
    <t>A03.90.01.01.02.001+A03.90.01.01.02.002</t>
  </si>
  <si>
    <t>A03.90.01.01.02.001</t>
  </si>
  <si>
    <t>A03.90.01.01.02.002</t>
  </si>
  <si>
    <t>A03.90.01.01.03</t>
  </si>
  <si>
    <t>A03.90.01.01.03.01+A03.90.01.01.03.02.001+A03.90.01.01.03.03.001+A03.90.01.01.03.04.001</t>
  </si>
  <si>
    <t>A03.90.01.01.03.01</t>
  </si>
  <si>
    <t>A03.90.01.01.03.01.001+A03.90.01.01.03.01.002</t>
  </si>
  <si>
    <t>A03.90.01.01.03.01.001</t>
  </si>
  <si>
    <t>A03.90.01.01.03.01.002</t>
  </si>
  <si>
    <t>A03.90.01.01.03.02</t>
  </si>
  <si>
    <t>A03.05.01.01.03.02</t>
  </si>
  <si>
    <t>A03.90.01.01.03.02.001</t>
  </si>
  <si>
    <t>A03.90.01.01.03.03</t>
  </si>
  <si>
    <t>A03.05.01.01.03.03</t>
  </si>
  <si>
    <t>A03.90.01.01.03.03.001</t>
  </si>
  <si>
    <t>A03.90.01.01.03.04</t>
  </si>
  <si>
    <t>A03.05.01.01.03.04</t>
  </si>
  <si>
    <t>A03.90.01.01.03.04.001</t>
  </si>
  <si>
    <t>A03.90.01.01.04</t>
  </si>
  <si>
    <t>A03.05.01.01.04</t>
  </si>
  <si>
    <t>A03.90.01.01.04.001</t>
  </si>
  <si>
    <t>A03.90.01.01.05</t>
  </si>
  <si>
    <t>A03.05.01.01.05</t>
  </si>
  <si>
    <t>A03.90.01.01.05.001</t>
  </si>
  <si>
    <t>A03.90.01.02</t>
  </si>
  <si>
    <t>A03.90.01.02.01</t>
  </si>
  <si>
    <t>A03.90.01.02.01.001+A03.90.01.02.01.002</t>
  </si>
  <si>
    <t>A03.90.01.02.01.001</t>
  </si>
  <si>
    <t>A03.90.01.02.01.002</t>
  </si>
  <si>
    <t>A03.90.01.02.02</t>
  </si>
  <si>
    <t>A03.90.01.02.02.001+A03.90.01.02.02.002</t>
  </si>
  <si>
    <t>A03.90.01.02.02.001</t>
  </si>
  <si>
    <t>A03.90.01.02.02.002</t>
  </si>
  <si>
    <t>A03.90.01.02.03</t>
  </si>
  <si>
    <t>A03.90.01.02.03.01+A03.90.01.02.03.02.001+A03.90.01.02.03.03.001+A03.90.01.02.03.04.001</t>
  </si>
  <si>
    <t>A03.90.01.02.03.01</t>
  </si>
  <si>
    <t>A03.90.01.02.03.01.001+A03.90.01.02.03.01.002</t>
  </si>
  <si>
    <t>A03.90.01.02.03.01.001</t>
  </si>
  <si>
    <t>A03.90.01.02.03.01.002</t>
  </si>
  <si>
    <t>A03.90.01.02.03.02</t>
  </si>
  <si>
    <t>A03.05.01.02.03.02</t>
  </si>
  <si>
    <t>A03.90.01.02.03.02.001</t>
  </si>
  <si>
    <t>A03.90.01.02.03.03</t>
  </si>
  <si>
    <t>A03.05.01.02.03.03</t>
  </si>
  <si>
    <t>A03.90.01.02.03.03.001</t>
  </si>
  <si>
    <t>A03.90.01.02.03.04</t>
  </si>
  <si>
    <t>A03.05.01.02.03.04</t>
  </si>
  <si>
    <t>A03.90.01.02.03.04.001</t>
  </si>
  <si>
    <t>A03.90.01.02.04</t>
  </si>
  <si>
    <t>A03.05.01.02.04</t>
  </si>
  <si>
    <t>A03.90.01.02.04.001</t>
  </si>
  <si>
    <t>A03.90.01.02.05</t>
  </si>
  <si>
    <t>A03.05.01.02.05</t>
  </si>
  <si>
    <t>A03.90.01.02.05.001</t>
  </si>
  <si>
    <t>A03.90.02</t>
  </si>
  <si>
    <t>A03.90.02.01</t>
  </si>
  <si>
    <t>A03.90.02.02</t>
  </si>
  <si>
    <t>A03.90.02.09</t>
  </si>
  <si>
    <t>A03.90.02.09.01+A03.90.02.09.02+A03.90.02.09.03</t>
  </si>
  <si>
    <t>A03.90.02.09.01</t>
  </si>
  <si>
    <t>A03.90.02.09.01.001+A03.90.02.09.01.002+A03.90.02.09.01.003+A03.90.02.09.01.004</t>
  </si>
  <si>
    <t>A03.90.02.09.01.001</t>
  </si>
  <si>
    <t>A03.90.02.09.01.002</t>
  </si>
  <si>
    <t>A03.90.02.09.01.003</t>
  </si>
  <si>
    <t>A03.90.02.09.01.004</t>
  </si>
  <si>
    <t>A03.90.02.09.02</t>
  </si>
  <si>
    <t>A03.90.02.09.02.101+A03.90.02.09.02.102+A03.90.02.09.02.103</t>
  </si>
  <si>
    <t>A03.90.02.09.02.001</t>
  </si>
  <si>
    <t>A03.90.02.09.02.002</t>
  </si>
  <si>
    <t>A03.90.02.09.02.003</t>
  </si>
  <si>
    <t>A03.90.02.09.02.004</t>
  </si>
  <si>
    <t>A03.90.02.09.02.005</t>
  </si>
  <si>
    <t>A03.90.02.09.02.006</t>
  </si>
  <si>
    <t>A03.90.02.09.02.007</t>
  </si>
  <si>
    <t>A03.90.02.09.02.008</t>
  </si>
  <si>
    <t>A03.90.02.09.02.009</t>
  </si>
  <si>
    <t>A03.90.02.09.02.010</t>
  </si>
  <si>
    <t>A03.90.02.09.02.011</t>
  </si>
  <si>
    <t>A03.90.02.09.02.101</t>
  </si>
  <si>
    <t>A03.90.02.09.02.001+A03.90.02.09.02.002+A03.90.02.09.02.005+A03.90.02.09.02.006+A03.90.02.09.02.010</t>
  </si>
  <si>
    <t>A03.90.02.09.02.102</t>
  </si>
  <si>
    <t>A03.90.02.09.02.007+A03.90.02.09.02.008+A03.90.02.09.02.011</t>
  </si>
  <si>
    <t>A03.90.02.09.02.103</t>
  </si>
  <si>
    <t>A03.90.02.09.02.003+A03.90.02.09.02.004+A03.90.02.09.02.009</t>
  </si>
  <si>
    <t>A03.90.02.09.03</t>
  </si>
  <si>
    <t>A03.90.02.09.03.001+A03.90.02.09.03.002+A03.90.02.09.03.003</t>
  </si>
  <si>
    <t>A03.90.02.09.03.001</t>
  </si>
  <si>
    <t>A03.90.02.09.03.002</t>
  </si>
  <si>
    <t>A03.90.02.09.03.003</t>
  </si>
  <si>
    <t>A03.90.03</t>
  </si>
  <si>
    <t>A03.90.03.01</t>
  </si>
  <si>
    <t>A03.90.03.01.01</t>
  </si>
  <si>
    <t>A03.90.03.01.02</t>
  </si>
  <si>
    <t>A03.90.03.02</t>
  </si>
  <si>
    <t>A03.90.03.03</t>
  </si>
  <si>
    <t>A03.90.03.04</t>
  </si>
  <si>
    <t>A03.90.04</t>
  </si>
  <si>
    <t>A03.90.05</t>
  </si>
  <si>
    <t>A04.01</t>
  </si>
  <si>
    <t>A04.01.01+A04.01.02+A04.01.03</t>
  </si>
  <si>
    <t>A04.01.01</t>
  </si>
  <si>
    <t>A04.01.01.01+A04.01.01.02</t>
  </si>
  <si>
    <t>A04.01.01.01</t>
  </si>
  <si>
    <t>A04.01.01.02</t>
  </si>
  <si>
    <t>A04.01.02</t>
  </si>
  <si>
    <t>A04.01.03</t>
  </si>
  <si>
    <t>A04.02</t>
  </si>
  <si>
    <t>A04.03</t>
  </si>
  <si>
    <t>A04.01-A04.02</t>
  </si>
  <si>
    <t>A04.04</t>
  </si>
  <si>
    <t>A04.05</t>
  </si>
  <si>
    <t>A04.90.01+A04.90.02+A04.90.03+A04.90.04+A04.90.05</t>
  </si>
  <si>
    <t>A04.05.01</t>
  </si>
  <si>
    <t>A04.90.01.01+A04.90.01.02</t>
  </si>
  <si>
    <t>A04.05.01.01</t>
  </si>
  <si>
    <t>A04.90.01.01.01+A04.90.01.01.02+A04.90.01.01.03+A04.90.01.01.04.001+A04.90.01.01.05.001</t>
  </si>
  <si>
    <t>A04.05.01.02</t>
  </si>
  <si>
    <t>A04.90.01.02.01+A04.90.01.02.02+A04.90.01.02.03+A04.90.01.02.04.001+A04.90.01.02.05.001</t>
  </si>
  <si>
    <t>A04.05.02</t>
  </si>
  <si>
    <t>A04.90.02.01+A04.90.02.02+A04.90.02.09</t>
  </si>
  <si>
    <t>A04.05.02.01</t>
  </si>
  <si>
    <t>A04.05.02.02</t>
  </si>
  <si>
    <t>A04.05.03</t>
  </si>
  <si>
    <t>A04.90.03.01+A04.90.03.02+A04.90.03.03+A04.90.03.04</t>
  </si>
  <si>
    <t>A04.05.03.01</t>
  </si>
  <si>
    <t>A04.90.03.01.01+A04.90.03.01.02</t>
  </si>
  <si>
    <t>A04.05.03.01.01</t>
  </si>
  <si>
    <t>A04.05.03.01.02</t>
  </si>
  <si>
    <t>A04.05.03.02</t>
  </si>
  <si>
    <t>A04.05.03.03</t>
  </si>
  <si>
    <t>A04.05.03.04</t>
  </si>
  <si>
    <t>A04.05.04</t>
  </si>
  <si>
    <t>A04.05.05</t>
  </si>
  <si>
    <t>A04.06</t>
  </si>
  <si>
    <t>A04.07</t>
  </si>
  <si>
    <t>A04.03-A04.04-A04.90+A04.06</t>
  </si>
  <si>
    <t>A04.08</t>
  </si>
  <si>
    <t>A04.09</t>
  </si>
  <si>
    <t>A04.07-A04.08</t>
  </si>
  <si>
    <t>A04.10</t>
  </si>
  <si>
    <t>A04.10.01+A04.10.02+A04.10.03</t>
  </si>
  <si>
    <t>A04.10.01</t>
  </si>
  <si>
    <t>A04.10.01.01</t>
  </si>
  <si>
    <t>A04.10.02</t>
  </si>
  <si>
    <t>A04.10.03</t>
  </si>
  <si>
    <t>A04.11</t>
  </si>
  <si>
    <t>A04.11.01+A04.11.02+A04.11.03</t>
  </si>
  <si>
    <t>A04.11.01</t>
  </si>
  <si>
    <t>A04.11.01.01</t>
  </si>
  <si>
    <t>A04.11.02</t>
  </si>
  <si>
    <t>A04.11.03</t>
  </si>
  <si>
    <t>A04.12</t>
  </si>
  <si>
    <t>A04.12.01+A04.12.02</t>
  </si>
  <si>
    <t>A04.12.01</t>
  </si>
  <si>
    <t xml:space="preserve">  财富存款</t>
  </si>
  <si>
    <t>A04.12.01.01+A04.12.01.02</t>
  </si>
  <si>
    <t>A04.12.01.01</t>
  </si>
  <si>
    <t xml:space="preserve">    活期</t>
  </si>
  <si>
    <t>A04.12.01.02</t>
  </si>
  <si>
    <t xml:space="preserve">    定期</t>
  </si>
  <si>
    <t>12.01.02</t>
  </si>
  <si>
    <t>A04.12.02</t>
  </si>
  <si>
    <t xml:space="preserve">  财富代销</t>
  </si>
  <si>
    <t>A04.13</t>
  </si>
  <si>
    <t>A04.13.01+A04.13.02</t>
  </si>
  <si>
    <t>A04.13.01</t>
  </si>
  <si>
    <t>A04.13.01.01+A04.13.01.02</t>
  </si>
  <si>
    <t>A04.13.01.01</t>
  </si>
  <si>
    <t>A04.13.01.02</t>
  </si>
  <si>
    <t>A04.13.02</t>
  </si>
  <si>
    <t>A04.24</t>
  </si>
  <si>
    <t>A04.24.01</t>
  </si>
  <si>
    <t>A04.25</t>
  </si>
  <si>
    <t>A04.25.01</t>
  </si>
  <si>
    <t>A04.26</t>
  </si>
  <si>
    <t>A04.26.02</t>
  </si>
  <si>
    <t>A04.27</t>
  </si>
  <si>
    <t>A04.27.02</t>
  </si>
  <si>
    <t>A04.14</t>
  </si>
  <si>
    <t>A04.14.02</t>
  </si>
  <si>
    <t>A04.14.01</t>
  </si>
  <si>
    <t>A04.14.01.01</t>
  </si>
  <si>
    <t>A04.14.02.02</t>
  </si>
  <si>
    <t>A04.14.02.02.01</t>
  </si>
  <si>
    <t>A04.15</t>
  </si>
  <si>
    <t>A04.15.01+A04.15.02+A04.15.99</t>
  </si>
  <si>
    <t>A04.15.01</t>
  </si>
  <si>
    <t>A04.15.01.01</t>
  </si>
  <si>
    <t>A04.15.02</t>
  </si>
  <si>
    <t>A04.15.02.02</t>
  </si>
  <si>
    <t>A04.15.02.02.01</t>
  </si>
  <si>
    <t>A04.15.99</t>
  </si>
  <si>
    <t>A04.15.99.01</t>
  </si>
  <si>
    <t>A04.16</t>
  </si>
  <si>
    <t>A04.16.01+A04.16.02</t>
  </si>
  <si>
    <t>A04.16.01</t>
  </si>
  <si>
    <t>A04.16.01.01+A04.16.01.02+A04.16.01.03</t>
  </si>
  <si>
    <t>A04.16.01.01</t>
  </si>
  <si>
    <t>A04.16.01.02</t>
  </si>
  <si>
    <t xml:space="preserve">    个人活存利息支出</t>
  </si>
  <si>
    <t>A04.16.01.02.01</t>
  </si>
  <si>
    <t xml:space="preserve">      个人活存付息率</t>
  </si>
  <si>
    <t>A04.16.01.03</t>
  </si>
  <si>
    <t xml:space="preserve">    个人定存利息支出</t>
  </si>
  <si>
    <t>A04.16.01.03.01</t>
  </si>
  <si>
    <t xml:space="preserve">      个人定存付息率</t>
  </si>
  <si>
    <t>A04.16.02</t>
  </si>
  <si>
    <t>A04.16.02.02</t>
  </si>
  <si>
    <t>A04.16.02.02.01</t>
  </si>
  <si>
    <t>A04.17</t>
  </si>
  <si>
    <t>A04.17.01+A04.17.02+A04.17.99</t>
  </si>
  <si>
    <t>A04.17.01</t>
  </si>
  <si>
    <t>A04.17.01.01+A04.17.01.02+A04.17.01.03</t>
  </si>
  <si>
    <t>A04.17.01.01</t>
  </si>
  <si>
    <t>A04.17.01.02</t>
  </si>
  <si>
    <t xml:space="preserve">    个人活存FTP收入</t>
  </si>
  <si>
    <t>A04.17.01.02.01</t>
  </si>
  <si>
    <t>17.01.02</t>
  </si>
  <si>
    <t xml:space="preserve">      个人活存FTP</t>
  </si>
  <si>
    <t>17.01.02.01</t>
  </si>
  <si>
    <t>A04.17.01.03</t>
  </si>
  <si>
    <t xml:space="preserve">    个人定存FTP收入</t>
  </si>
  <si>
    <t>A04.17.01.03.01</t>
  </si>
  <si>
    <t>17.01.03</t>
  </si>
  <si>
    <t xml:space="preserve">      个人定存FTP</t>
  </si>
  <si>
    <t>17.01.03.01</t>
  </si>
  <si>
    <t>A04.17.02</t>
  </si>
  <si>
    <t>A04.17.02.02</t>
  </si>
  <si>
    <t>A04.17.02.02.01</t>
  </si>
  <si>
    <t>A04.17.99</t>
  </si>
  <si>
    <t>A04.17.99.01</t>
  </si>
  <si>
    <t>A04.18</t>
  </si>
  <si>
    <t>A04.18.05+A04.18.99</t>
  </si>
  <si>
    <t>A04.18.05</t>
  </si>
  <si>
    <t xml:space="preserve">  代销手续费收入</t>
  </si>
  <si>
    <t>A04.18.05.01</t>
  </si>
  <si>
    <t>A04.18.99</t>
  </si>
  <si>
    <t>A04.19</t>
  </si>
  <si>
    <t>A04.19.03+A04.19.15+A04.19.99</t>
  </si>
  <si>
    <t>A04.19.03</t>
  </si>
  <si>
    <t>A04.19.03.01</t>
  </si>
  <si>
    <t>A04.19.15</t>
  </si>
  <si>
    <t xml:space="preserve">  积分</t>
  </si>
  <si>
    <t>A04.19.15.01</t>
  </si>
  <si>
    <t>19.15</t>
  </si>
  <si>
    <t>19.15.01</t>
  </si>
  <si>
    <t>A04.19.99</t>
  </si>
  <si>
    <t>A04.20</t>
  </si>
  <si>
    <t>A04.21</t>
  </si>
  <si>
    <t>A04.90</t>
  </si>
  <si>
    <t>A04.90.01</t>
  </si>
  <si>
    <t>A04.90.01.01</t>
  </si>
  <si>
    <t>A04.90.01.01.01</t>
  </si>
  <si>
    <t>A04.90.01.01.01.001+A04.90.01.01.01.002</t>
  </si>
  <si>
    <t>A04.90.01.01.01.001</t>
  </si>
  <si>
    <t>A04.90.01.01.01.002</t>
  </si>
  <si>
    <t>A04.90.01.01.02</t>
  </si>
  <si>
    <t>A04.90.01.01.02.001+A04.90.01.01.02.002</t>
  </si>
  <si>
    <t>A04.90.01.01.02.001</t>
  </si>
  <si>
    <t>A04.90.01.01.02.002</t>
  </si>
  <si>
    <t>A04.90.01.01.03</t>
  </si>
  <si>
    <t>A04.90.01.01.03.01+A04.90.01.01.03.02.001+A04.90.01.01.03.03.001+A04.90.01.01.03.04.001</t>
  </si>
  <si>
    <t>A04.90.01.01.03.01</t>
  </si>
  <si>
    <t>A04.90.01.01.03.01.001+A04.90.01.01.03.01.002</t>
  </si>
  <si>
    <t>A04.90.01.01.03.01.001</t>
  </si>
  <si>
    <t>A04.90.01.01.03.01.002</t>
  </si>
  <si>
    <t>A04.90.01.01.03.02</t>
  </si>
  <si>
    <t>A04.05.01.01.03.02</t>
  </si>
  <si>
    <t>A04.90.01.01.03.02.001</t>
  </si>
  <si>
    <t>A04.90.01.01.03.03</t>
  </si>
  <si>
    <t>A04.05.01.01.03.03</t>
  </si>
  <si>
    <t>A04.90.01.01.03.03.001</t>
  </si>
  <si>
    <t>A04.90.01.01.03.04</t>
  </si>
  <si>
    <t>A04.05.01.01.03.04</t>
  </si>
  <si>
    <t>A04.90.01.01.03.04.001</t>
  </si>
  <si>
    <t>A04.90.01.01.04</t>
  </si>
  <si>
    <t>A04.05.01.01.04</t>
  </si>
  <si>
    <t>A04.90.01.01.04.001</t>
  </si>
  <si>
    <t>A04.90.01.01.05</t>
  </si>
  <si>
    <t>A04.05.01.01.05</t>
  </si>
  <si>
    <t>A04.90.01.01.05.001</t>
  </si>
  <si>
    <t>A04.90.01.02</t>
  </si>
  <si>
    <t>A04.90.01.02.01</t>
  </si>
  <si>
    <t>A04.90.01.02.01.001+A04.90.01.02.01.002</t>
  </si>
  <si>
    <t>A04.90.01.02.01.001</t>
  </si>
  <si>
    <t>A04.90.01.02.01.002</t>
  </si>
  <si>
    <t>A04.90.01.02.02</t>
  </si>
  <si>
    <t>A04.90.01.02.02.001+A04.90.01.02.02.002</t>
  </si>
  <si>
    <t>A04.90.01.02.02.001</t>
  </si>
  <si>
    <t>A04.90.01.02.02.002</t>
  </si>
  <si>
    <t>A04.90.01.02.03</t>
  </si>
  <si>
    <t>A04.90.01.02.03.01+A04.90.01.02.03.02.001+A04.90.01.02.03.03.001+A04.90.01.02.03.04.001</t>
  </si>
  <si>
    <t>A04.90.01.02.03.01</t>
  </si>
  <si>
    <t>A04.90.01.02.03.01.001+A04.90.01.02.03.01.002</t>
  </si>
  <si>
    <t>A04.90.01.02.03.01.001</t>
  </si>
  <si>
    <t>A04.90.01.02.03.01.002</t>
  </si>
  <si>
    <t>A04.90.01.02.03.02</t>
  </si>
  <si>
    <t>A04.05.01.02.03.02</t>
  </si>
  <si>
    <t>A04.90.01.02.03.02.001</t>
  </si>
  <si>
    <t>A04.90.01.02.03.03</t>
  </si>
  <si>
    <t>A04.05.01.02.03.03</t>
  </si>
  <si>
    <t>A04.90.01.02.03.03.001</t>
  </si>
  <si>
    <t>A04.90.01.02.03.04</t>
  </si>
  <si>
    <t>A04.05.01.02.03.04</t>
  </si>
  <si>
    <t>A04.90.01.02.03.04.001</t>
  </si>
  <si>
    <t>A04.90.01.02.04</t>
  </si>
  <si>
    <t>A04.05.01.02.04</t>
  </si>
  <si>
    <t>A04.90.01.02.04.001</t>
  </si>
  <si>
    <t>A04.90.01.02.05</t>
  </si>
  <si>
    <t>A04.05.01.02.05</t>
  </si>
  <si>
    <t>A04.90.01.02.05.001</t>
  </si>
  <si>
    <t>A04.90.02</t>
  </si>
  <si>
    <t>A04.90.02.01</t>
  </si>
  <si>
    <t>A04.90.02.02</t>
  </si>
  <si>
    <t>A04.90.02.09</t>
  </si>
  <si>
    <t>A04.90.02.09.01+A04.90.02.09.02+A04.90.02.09.03</t>
  </si>
  <si>
    <t>A04.90.02.09.01</t>
  </si>
  <si>
    <t>A04.90.02.09.01.001+A04.90.02.09.01.002+A04.90.02.09.01.003+A04.90.02.09.01.004</t>
  </si>
  <si>
    <t>A04.90.02.09.01.001</t>
  </si>
  <si>
    <t>A04.90.02.09.01.002</t>
  </si>
  <si>
    <t>A04.90.02.09.01.003</t>
  </si>
  <si>
    <t>A04.90.02.09.01.004</t>
  </si>
  <si>
    <t>A04.90.02.09.02</t>
  </si>
  <si>
    <t>A04.90.02.09.02.101+A04.90.02.09.02.102+A04.90.02.09.02.103</t>
  </si>
  <si>
    <t>A04.90.02.09.02.001</t>
  </si>
  <si>
    <t>A04.90.02.09.02.002</t>
  </si>
  <si>
    <t>A04.90.02.09.02.003</t>
  </si>
  <si>
    <t>A04.90.02.09.02.004</t>
  </si>
  <si>
    <t>A04.90.02.09.02.005</t>
  </si>
  <si>
    <t>A04.90.02.09.02.006</t>
  </si>
  <si>
    <t>A04.90.02.09.02.007</t>
  </si>
  <si>
    <t>A04.90.02.09.02.008</t>
  </si>
  <si>
    <t>A04.90.02.09.02.009</t>
  </si>
  <si>
    <t>A04.90.02.09.02.010</t>
  </si>
  <si>
    <t>A04.90.02.09.02.011</t>
  </si>
  <si>
    <t>A04.90.02.09.02.101</t>
  </si>
  <si>
    <t>A04.90.02.09.02.001+A04.90.02.09.02.002+A04.90.02.09.02.005+A04.90.02.09.02.006+A04.90.02.09.02.010</t>
  </si>
  <si>
    <t>A04.90.02.09.02.102</t>
  </si>
  <si>
    <t>A04.90.02.09.02.007+A04.90.02.09.02.008+A04.90.02.09.02.011</t>
  </si>
  <si>
    <t>A04.90.02.09.02.103</t>
  </si>
  <si>
    <t>A04.90.02.09.02.003+A04.90.02.09.02.004+A04.90.02.09.02.009</t>
  </si>
  <si>
    <t>A04.90.02.09.03</t>
  </si>
  <si>
    <t>A04.90.02.09.03.001+A04.90.02.09.03.002+A04.90.02.09.03.003</t>
  </si>
  <si>
    <t>A04.90.02.09.03.001</t>
  </si>
  <si>
    <t>A04.90.02.09.03.002</t>
  </si>
  <si>
    <t>A04.90.02.09.03.003</t>
  </si>
  <si>
    <t>A04.90.03</t>
  </si>
  <si>
    <t>A04.90.03.01</t>
  </si>
  <si>
    <t>A04.90.03.01.01</t>
  </si>
  <si>
    <t>A04.90.03.01.02</t>
  </si>
  <si>
    <t>A04.90.03.02</t>
  </si>
  <si>
    <t>A04.90.03.03</t>
  </si>
  <si>
    <t>A04.90.03.04</t>
  </si>
  <si>
    <t>A04.90.04</t>
  </si>
  <si>
    <t>A04.90.05</t>
  </si>
  <si>
    <t>A05.01</t>
  </si>
  <si>
    <t>A05.01.01+A05.01.02+A05.01.03</t>
  </si>
  <si>
    <t>A05.01.01</t>
  </si>
  <si>
    <t>A05.01.01.01+A05.01.01.02</t>
  </si>
  <si>
    <t>A05.01.01.01</t>
  </si>
  <si>
    <t>A05.01.01.02</t>
  </si>
  <si>
    <t>A05.01.02</t>
  </si>
  <si>
    <t>A05.01.03</t>
  </si>
  <si>
    <t>A05.02</t>
  </si>
  <si>
    <t>A05.03</t>
  </si>
  <si>
    <t>A05.01-A05.02</t>
  </si>
  <si>
    <t>A05.04</t>
  </si>
  <si>
    <t>A05.05</t>
  </si>
  <si>
    <t>A05.90.01+A05.90.02+A05.90.03+A05.90.04+A05.90.05</t>
  </si>
  <si>
    <t>A05.05.01</t>
  </si>
  <si>
    <t>A05.90.01.01+A05.90.01.02</t>
  </si>
  <si>
    <t>A05.05.01.01</t>
  </si>
  <si>
    <t>A05.90.01.01.01+A05.90.01.01.02+A05.90.01.01.03+A05.90.01.01.04.001+A05.90.01.01.05.001</t>
  </si>
  <si>
    <t>A05.05.01.02</t>
  </si>
  <si>
    <t>A05.90.01.02.01+A05.90.01.02.02+A05.90.01.02.03+A05.90.01.02.04.001+A05.90.01.02.05.001</t>
  </si>
  <si>
    <t>A05.05.02</t>
  </si>
  <si>
    <t>A05.90.02.01+A05.90.02.02+A05.90.02.09</t>
  </si>
  <si>
    <t>A05.05.02.01</t>
  </si>
  <si>
    <t>A05.05.02.02</t>
  </si>
  <si>
    <t>A05.05.03</t>
  </si>
  <si>
    <t>A05.90.03.01+A05.90.03.02+A05.90.03.03+A05.90.03.04</t>
  </si>
  <si>
    <t>A05.05.03.01</t>
  </si>
  <si>
    <t>A05.90.03.01.01+A05.90.03.01.02</t>
  </si>
  <si>
    <t>A05.05.03.01.01</t>
  </si>
  <si>
    <t>A05.05.03.01.02</t>
  </si>
  <si>
    <t>A05.05.03.02</t>
  </si>
  <si>
    <t>A05.05.03.03</t>
  </si>
  <si>
    <t>A05.05.03.04</t>
  </si>
  <si>
    <t>A05.05.04</t>
  </si>
  <si>
    <t>A05.05.05</t>
  </si>
  <si>
    <t>A05.06</t>
  </si>
  <si>
    <t>A05.07</t>
  </si>
  <si>
    <t>A05.03-A05.04-A05.90+A05.06</t>
  </si>
  <si>
    <t>A05.08</t>
  </si>
  <si>
    <t>A05.09</t>
  </si>
  <si>
    <t>A05.07-A05.08</t>
  </si>
  <si>
    <t>A05.10</t>
  </si>
  <si>
    <t>A05.10.01+A05.10.02+A05.10.03</t>
  </si>
  <si>
    <t>A05.10.01</t>
  </si>
  <si>
    <t>A05.10.01.01</t>
  </si>
  <si>
    <t>A05.10.02</t>
  </si>
  <si>
    <t>A05.10.03</t>
  </si>
  <si>
    <t>A05.11</t>
  </si>
  <si>
    <t>A05.11.01+A05.11.02+A05.11.03</t>
  </si>
  <si>
    <t>A05.11.01</t>
  </si>
  <si>
    <t>A05.11.01.01</t>
  </si>
  <si>
    <t>A05.11.02</t>
  </si>
  <si>
    <t>A05.11.03</t>
  </si>
  <si>
    <t>A05.12</t>
  </si>
  <si>
    <t>A05.12.01</t>
  </si>
  <si>
    <t xml:space="preserve">  存款余额</t>
  </si>
  <si>
    <t>A05.13</t>
  </si>
  <si>
    <t>A05.13.01</t>
  </si>
  <si>
    <t xml:space="preserve">  存款日均</t>
  </si>
  <si>
    <t>A05.14</t>
  </si>
  <si>
    <t>A05.14.01</t>
  </si>
  <si>
    <t>A05.14.01.01</t>
  </si>
  <si>
    <t>A05.15</t>
  </si>
  <si>
    <t>A05.15.01+A05.15.99</t>
  </si>
  <si>
    <t>A05.15.01</t>
  </si>
  <si>
    <t>A05.15.01.01</t>
  </si>
  <si>
    <t>A05.15.99</t>
  </si>
  <si>
    <t>A05.15.99.01</t>
  </si>
  <si>
    <t>A05.16</t>
  </si>
  <si>
    <t>A05.16.01</t>
  </si>
  <si>
    <t>A05.16.01.01</t>
  </si>
  <si>
    <t>A05.17</t>
  </si>
  <si>
    <t>A05.17.01</t>
  </si>
  <si>
    <t>A05.17.01.01</t>
  </si>
  <si>
    <t>A05.18</t>
  </si>
  <si>
    <t>A05.18.99</t>
  </si>
  <si>
    <t xml:space="preserve">  手续费收入</t>
  </si>
  <si>
    <t>A05.19</t>
  </si>
  <si>
    <t>A05.19.01+A05.19.02+A05.19.03+A05.19.13+A05.19.99</t>
  </si>
  <si>
    <t>A05.19.01</t>
  </si>
  <si>
    <t>A05.19.01.01</t>
  </si>
  <si>
    <t>A05.19.02</t>
  </si>
  <si>
    <t>A05.19.02.01</t>
  </si>
  <si>
    <t>A05.19.03</t>
  </si>
  <si>
    <t>A05.19.03.01</t>
  </si>
  <si>
    <t>A05.19.13</t>
  </si>
  <si>
    <t>A05.19.13.01</t>
  </si>
  <si>
    <t>19.13</t>
  </si>
  <si>
    <t xml:space="preserve">    渠道费率</t>
  </si>
  <si>
    <t>19.13.01</t>
  </si>
  <si>
    <t>A05.19.99</t>
  </si>
  <si>
    <t>A05.20</t>
  </si>
  <si>
    <t>A05.21</t>
  </si>
  <si>
    <t>A05.90</t>
  </si>
  <si>
    <t>A05.90.01</t>
  </si>
  <si>
    <t>A05.90.01.01</t>
  </si>
  <si>
    <t>A05.90.01.01.01</t>
  </si>
  <si>
    <t>A05.90.01.01.01.001+A05.90.01.01.01.002</t>
  </si>
  <si>
    <t>A05.90.01.01.01.001</t>
  </si>
  <si>
    <t>A05.90.01.01.01.002</t>
  </si>
  <si>
    <t>A05.90.01.01.02</t>
  </si>
  <si>
    <t>A05.90.01.01.02.001+A05.90.01.01.02.002</t>
  </si>
  <si>
    <t>A05.90.01.01.02.001</t>
  </si>
  <si>
    <t>A05.90.01.01.02.002</t>
  </si>
  <si>
    <t>A05.90.01.01.03</t>
  </si>
  <si>
    <t>A05.90.01.01.03.01+A05.90.01.01.03.02.001+A05.90.01.01.03.03.001+A05.90.01.01.03.04.001</t>
  </si>
  <si>
    <t>A05.90.01.01.03.01</t>
  </si>
  <si>
    <t>A05.90.01.01.03.01.001+A05.90.01.01.03.01.002</t>
  </si>
  <si>
    <t>A05.90.01.01.03.01.001</t>
  </si>
  <si>
    <t>A05.90.01.01.03.01.002</t>
  </si>
  <si>
    <t>A05.90.01.01.03.02</t>
  </si>
  <si>
    <t>A05.05.01.01.03.02</t>
  </si>
  <si>
    <t>A05.90.01.01.03.02.001</t>
  </si>
  <si>
    <t>A05.90.01.01.03.03</t>
  </si>
  <si>
    <t>A05.05.01.01.03.03</t>
  </si>
  <si>
    <t>A05.90.01.01.03.03.001</t>
  </si>
  <si>
    <t>A05.90.01.01.03.04</t>
  </si>
  <si>
    <t>A05.05.01.01.03.04</t>
  </si>
  <si>
    <t>A05.90.01.01.03.04.001</t>
  </si>
  <si>
    <t>A05.90.01.01.04</t>
  </si>
  <si>
    <t>A05.05.01.01.04</t>
  </si>
  <si>
    <t>A05.90.01.01.04.001</t>
  </si>
  <si>
    <t>A05.90.01.01.05</t>
  </si>
  <si>
    <t>A05.05.01.01.05</t>
  </si>
  <si>
    <t>A05.90.01.01.05.001</t>
  </si>
  <si>
    <t>A05.90.01.02</t>
  </si>
  <si>
    <t>A05.90.01.02.01</t>
  </si>
  <si>
    <t>A05.90.01.02.01.001+A05.90.01.02.01.002</t>
  </si>
  <si>
    <t>A05.90.01.02.01.001</t>
  </si>
  <si>
    <t>A05.90.01.02.01.002</t>
  </si>
  <si>
    <t>A05.90.01.02.02</t>
  </si>
  <si>
    <t>A05.90.01.02.02.001+A05.90.01.02.02.002</t>
  </si>
  <si>
    <t>A05.90.01.02.02.001</t>
  </si>
  <si>
    <t>A05.90.01.02.02.002</t>
  </si>
  <si>
    <t>A05.90.01.02.03</t>
  </si>
  <si>
    <t>A05.90.01.02.03.01+A05.90.01.02.03.02.001+A05.90.01.02.03.03.001+A05.90.01.02.03.04.001</t>
  </si>
  <si>
    <t>A05.90.01.02.03.01</t>
  </si>
  <si>
    <t>A05.90.01.02.03.01.001+A05.90.01.02.03.01.002</t>
  </si>
  <si>
    <t>A05.90.01.02.03.01.001</t>
  </si>
  <si>
    <t>A05.90.01.02.03.01.002</t>
  </si>
  <si>
    <t>A05.90.01.02.03.02</t>
  </si>
  <si>
    <t>A05.05.01.02.03.02</t>
  </si>
  <si>
    <t>A05.90.01.02.03.02.001</t>
  </si>
  <si>
    <t>A05.90.01.02.03.03</t>
  </si>
  <si>
    <t>A05.05.01.02.03.03</t>
  </si>
  <si>
    <t>A05.90.01.02.03.03.001</t>
  </si>
  <si>
    <t>A05.90.01.02.03.04</t>
  </si>
  <si>
    <t>A05.05.01.02.03.04</t>
  </si>
  <si>
    <t>A05.90.01.02.03.04.001</t>
  </si>
  <si>
    <t>A05.90.01.02.04</t>
  </si>
  <si>
    <t>A05.05.01.02.04</t>
  </si>
  <si>
    <t>A05.90.01.02.04.001</t>
  </si>
  <si>
    <t>A05.90.01.02.05</t>
  </si>
  <si>
    <t>A05.05.01.02.05</t>
  </si>
  <si>
    <t>A05.90.01.02.05.001</t>
  </si>
  <si>
    <t>A05.90.02</t>
  </si>
  <si>
    <t>A05.90.02.01</t>
  </si>
  <si>
    <t>A05.90.02.02</t>
  </si>
  <si>
    <t>A05.90.02.09</t>
  </si>
  <si>
    <t>A05.90.02.09.01+A05.90.02.09.02+A05.90.02.09.03</t>
  </si>
  <si>
    <t>A05.90.02.09.01</t>
  </si>
  <si>
    <t>A05.90.02.09.01.001+A05.90.02.09.01.002+A05.90.02.09.01.003+A05.90.02.09.01.004</t>
  </si>
  <si>
    <t>A05.90.02.09.01.001</t>
  </si>
  <si>
    <t>A05.90.02.09.01.002</t>
  </si>
  <si>
    <t>A05.90.02.09.01.003</t>
  </si>
  <si>
    <t>A05.90.02.09.01.004</t>
  </si>
  <si>
    <t>A05.90.02.09.02</t>
  </si>
  <si>
    <t>A05.90.02.09.02.101+A05.90.02.09.02.102+A05.90.02.09.02.103</t>
  </si>
  <si>
    <t>A05.90.02.09.02.001</t>
  </si>
  <si>
    <t>A05.90.02.09.02.002</t>
  </si>
  <si>
    <t>A05.90.02.09.02.003</t>
  </si>
  <si>
    <t>A05.90.02.09.02.004</t>
  </si>
  <si>
    <t>A05.90.02.09.02.005</t>
  </si>
  <si>
    <t>A05.90.02.09.02.006</t>
  </si>
  <si>
    <t>A05.90.02.09.02.007</t>
  </si>
  <si>
    <t>A05.90.02.09.02.008</t>
  </si>
  <si>
    <t>A05.90.02.09.02.009</t>
  </si>
  <si>
    <t>A05.90.02.09.02.010</t>
  </si>
  <si>
    <t>A05.90.02.09.02.011</t>
  </si>
  <si>
    <t>A05.90.02.09.02.101</t>
  </si>
  <si>
    <t>A05.90.02.09.02.001+A05.90.02.09.02.002+A05.90.02.09.02.005+A05.90.02.09.02.006+A05.90.02.09.02.010</t>
  </si>
  <si>
    <t>A05.90.02.09.02.102</t>
  </si>
  <si>
    <t>A05.90.02.09.02.007+A05.90.02.09.02.008+A05.90.02.09.02.011</t>
  </si>
  <si>
    <t>A05.90.02.09.02.103</t>
  </si>
  <si>
    <t>A05.90.02.09.02.003+A05.90.02.09.02.004+A05.90.02.09.02.009</t>
  </si>
  <si>
    <t>A05.90.02.09.03</t>
  </si>
  <si>
    <t>A05.90.02.09.03.001+A05.90.02.09.03.002+A05.90.02.09.03.003</t>
  </si>
  <si>
    <t>A05.90.02.09.03.001</t>
  </si>
  <si>
    <t>A05.90.02.09.03.002</t>
  </si>
  <si>
    <t>A05.90.02.09.03.003</t>
  </si>
  <si>
    <t>A05.90.03</t>
  </si>
  <si>
    <t>A05.90.03.01</t>
  </si>
  <si>
    <t>A05.90.03.01.01</t>
  </si>
  <si>
    <t>A05.90.03.01.02</t>
  </si>
  <si>
    <t>A05.90.03.02</t>
  </si>
  <si>
    <t>A05.90.03.03</t>
  </si>
  <si>
    <t>A05.90.03.04</t>
  </si>
  <si>
    <t>A05.90.04</t>
  </si>
  <si>
    <t>A05.90.05</t>
  </si>
  <si>
    <t>B.01</t>
  </si>
  <si>
    <t>B.01.01+B.01.02+B.01.03</t>
  </si>
  <si>
    <t>B.01.01</t>
  </si>
  <si>
    <t>B.01.01.01+B.01.01.02</t>
  </si>
  <si>
    <t>B.01.01.01</t>
  </si>
  <si>
    <t>B.14</t>
  </si>
  <si>
    <t>B.15</t>
  </si>
  <si>
    <t>B.01.01.02</t>
  </si>
  <si>
    <t>B.16</t>
  </si>
  <si>
    <t>B.17</t>
  </si>
  <si>
    <t>B.01.02</t>
  </si>
  <si>
    <t>B.18</t>
  </si>
  <si>
    <t>B.19</t>
  </si>
  <si>
    <t>B.01.03</t>
  </si>
  <si>
    <t>B.02</t>
  </si>
  <si>
    <t>B.03</t>
  </si>
  <si>
    <t>B.04</t>
  </si>
  <si>
    <t>B.05</t>
  </si>
  <si>
    <t>B.90.01+B.90.09+B.90.03+B.90.04+B.90.05</t>
  </si>
  <si>
    <t>B.05.01</t>
  </si>
  <si>
    <t>B.90.01.01+B.90.01.02</t>
  </si>
  <si>
    <t>B.05.01.01</t>
  </si>
  <si>
    <t>B.90.01.01.01+B.90.01.01.02+B.90.01.01.03+B.90.01.01.04.001+B.90.01.01.05.001</t>
  </si>
  <si>
    <t>B.05.01.02</t>
  </si>
  <si>
    <t>B.90.01.02.01+B.90.01.02.02+B.90.01.02.03+B.90.01.02.04.001+B.90.01.02.05.001</t>
  </si>
  <si>
    <t>B.05.02</t>
  </si>
  <si>
    <t>B.05.02.01</t>
  </si>
  <si>
    <t>B.05.02.02</t>
  </si>
  <si>
    <t>B.05.03</t>
  </si>
  <si>
    <t>B.90.03.01+B.90.03.02+B.90.03.03+B.90.03.04</t>
  </si>
  <si>
    <t>B.05.03.01</t>
  </si>
  <si>
    <t>B.90.03.01.01+B.90.03.01.02</t>
  </si>
  <si>
    <t>B.05.03.01.01</t>
  </si>
  <si>
    <t>B.05.03.01.02</t>
  </si>
  <si>
    <t>B.05.03.02</t>
  </si>
  <si>
    <t>B.05.03.03</t>
  </si>
  <si>
    <t>B.05.03.04</t>
  </si>
  <si>
    <t>B.05.04</t>
  </si>
  <si>
    <t>B.05.05</t>
  </si>
  <si>
    <t>B.06</t>
  </si>
  <si>
    <t>B.07</t>
  </si>
  <si>
    <t>B.08</t>
  </si>
  <si>
    <t>B.09</t>
  </si>
  <si>
    <t>B.10</t>
  </si>
  <si>
    <t>B.10.01+B.10.02+B.10.03+B.10.04</t>
  </si>
  <si>
    <t>B.10.01</t>
  </si>
  <si>
    <t>B.10.01.01+B.10.01.02</t>
  </si>
  <si>
    <t>B.10.01.01</t>
  </si>
  <si>
    <t>B.10.01.02</t>
  </si>
  <si>
    <t>B.10.02</t>
  </si>
  <si>
    <t>B.10.03</t>
  </si>
  <si>
    <t>B.10.04</t>
  </si>
  <si>
    <t>B.11</t>
  </si>
  <si>
    <t>B.11.01+B.11.02+B.11.03+B.11.04</t>
  </si>
  <si>
    <t>B.11.01</t>
  </si>
  <si>
    <t>B.11.01.01+B.11.01.02</t>
  </si>
  <si>
    <t>B.11.01.01</t>
  </si>
  <si>
    <t>B.11.01.02</t>
  </si>
  <si>
    <t>B.11.02</t>
  </si>
  <si>
    <t>B.11.03</t>
  </si>
  <si>
    <t>B.11.04</t>
  </si>
  <si>
    <t>11.04</t>
  </si>
  <si>
    <t>B.12</t>
  </si>
  <si>
    <t>B.12.01+B.12.02</t>
  </si>
  <si>
    <t>B.12.01</t>
  </si>
  <si>
    <t>B.12.02</t>
  </si>
  <si>
    <t>B.13</t>
  </si>
  <si>
    <t>B.13.01+B.13.02</t>
  </si>
  <si>
    <t>B.13.01</t>
  </si>
  <si>
    <t>B.13.02</t>
  </si>
  <si>
    <t xml:space="preserve">  代销理财日均</t>
  </si>
  <si>
    <t>B.90</t>
  </si>
  <si>
    <t>B.90.01</t>
  </si>
  <si>
    <t>B.90.01.01</t>
  </si>
  <si>
    <t>B.90.01.01.01</t>
  </si>
  <si>
    <t>B.90.01.01.01.001+B.90.01.01.01.002</t>
  </si>
  <si>
    <t>B.90.01.01.01.001</t>
  </si>
  <si>
    <t>B.90.01.01.01.002</t>
  </si>
  <si>
    <t>B.90.01.01.02</t>
  </si>
  <si>
    <t>B.90.01.01.02.001+B.90.01.01.02.002</t>
  </si>
  <si>
    <t>B.90.01.01.02.001</t>
  </si>
  <si>
    <t>B.90.01.01.02.002</t>
  </si>
  <si>
    <t>B.90.01.01.03</t>
  </si>
  <si>
    <t>B.90.01.01.03.01+B.90.01.01.03.02.001+B.90.01.01.03.03.001+B.90.01.01.03.04.001</t>
  </si>
  <si>
    <t>B.90.01.01.03.01</t>
  </si>
  <si>
    <t>B.90.01.01.03.01.001+B.90.01.01.03.01.002</t>
  </si>
  <si>
    <t>B.90.01.01.03.01.001</t>
  </si>
  <si>
    <t>B.90.01.01.03.01.002</t>
  </si>
  <si>
    <t>B.90.01.01.03.02</t>
  </si>
  <si>
    <t>B.05.01.01.03.02</t>
  </si>
  <si>
    <t>B.90.01.01.03.02.001</t>
  </si>
  <si>
    <t>B.90.01.01.03.03</t>
  </si>
  <si>
    <t>B.05.01.01.03.03</t>
  </si>
  <si>
    <t>B.90.01.01.03.03.001</t>
  </si>
  <si>
    <t>B.90.01.01.03.04</t>
  </si>
  <si>
    <t>B.05.01.01.03.04</t>
  </si>
  <si>
    <t>B.90.01.01.03.04.001</t>
  </si>
  <si>
    <t>B.90.01.01.04</t>
  </si>
  <si>
    <t>B.05.01.01.04</t>
  </si>
  <si>
    <t>B.90.01.01.04.001</t>
  </si>
  <si>
    <t>B.90.01.01.05</t>
  </si>
  <si>
    <t>B.05.01.01.05</t>
  </si>
  <si>
    <t>B.90.01.01.05.001</t>
  </si>
  <si>
    <t>B.90.01.02</t>
  </si>
  <si>
    <t>B.90.01.02.01</t>
  </si>
  <si>
    <t>B.90.01.02.01.001+B.90.01.02.01.002</t>
  </si>
  <si>
    <t>B.90.01.02.01.001</t>
  </si>
  <si>
    <t>B.90.01.02.01.002</t>
  </si>
  <si>
    <t>B.90.01.02.02</t>
  </si>
  <si>
    <t>B.90.01.02.02.001+B.90.01.02.02.002</t>
  </si>
  <si>
    <t>B.90.01.02.02.001</t>
  </si>
  <si>
    <t>B.90.01.02.02.002</t>
  </si>
  <si>
    <t>B.90.01.02.03</t>
  </si>
  <si>
    <t>B.90.01.02.03.01+B.90.01.02.03.02.001+B.90.01.02.03.03.001+B.90.01.02.03.04.001</t>
  </si>
  <si>
    <t>B.90.01.02.03.01</t>
  </si>
  <si>
    <t>B.90.01.02.03.01.001+B.90.01.02.03.01.002</t>
  </si>
  <si>
    <t>B.90.01.02.03.01.001</t>
  </si>
  <si>
    <t>B.90.01.02.03.01.002</t>
  </si>
  <si>
    <t>B.90.01.02.03.02</t>
  </si>
  <si>
    <t>B.05.01.02.03.02</t>
  </si>
  <si>
    <t>B.90.01.02.03.02.001</t>
  </si>
  <si>
    <t>B.90.01.02.03.03</t>
  </si>
  <si>
    <t>B.05.01.02.03.03</t>
  </si>
  <si>
    <t>B.90.01.02.03.03.001</t>
  </si>
  <si>
    <t>B.90.01.02.03.04</t>
  </si>
  <si>
    <t>B.05.01.02.03.04</t>
  </si>
  <si>
    <t>B.90.01.02.03.04.001</t>
  </si>
  <si>
    <t>B.90.01.02.04</t>
  </si>
  <si>
    <t>B.05.01.02.04</t>
  </si>
  <si>
    <t>B.90.01.02.04.001</t>
  </si>
  <si>
    <t>B.90.01.02.05</t>
  </si>
  <si>
    <t>B.05.01.02.05</t>
  </si>
  <si>
    <t>B.90.01.02.05.001</t>
  </si>
  <si>
    <t>B.90.02</t>
  </si>
  <si>
    <t>B.90.02.01</t>
  </si>
  <si>
    <t>B.90.02.02</t>
  </si>
  <si>
    <t>B.90.03</t>
  </si>
  <si>
    <t>B.90.03.01</t>
  </si>
  <si>
    <t>B.90.03.01.01</t>
  </si>
  <si>
    <t>B.90.03.01.02</t>
  </si>
  <si>
    <t>B.90.03.02</t>
  </si>
  <si>
    <t>B.90.03.03</t>
  </si>
  <si>
    <t>B.90.03.04</t>
  </si>
  <si>
    <t>B.90.04</t>
  </si>
  <si>
    <t>B.90.05</t>
  </si>
  <si>
    <t>B.90.09</t>
  </si>
  <si>
    <t>B.90.09.09</t>
  </si>
  <si>
    <t>B.90.09.09.01+B.90.09.09.02+B.90.09.09.03</t>
  </si>
  <si>
    <t>B.90.09.09.01</t>
  </si>
  <si>
    <t>B.90.09.09.01.001+B.90.09.09.01.002+B.90.09.09.01.003+B.90.09.09.01.004</t>
  </si>
  <si>
    <t>B.90.09.09.01.001</t>
  </si>
  <si>
    <t>B.90.09.09.01.002</t>
  </si>
  <si>
    <t>B.90.09.09.01.003</t>
  </si>
  <si>
    <t>B.90.09.09.01.004</t>
  </si>
  <si>
    <t>B.90.09.09.02</t>
  </si>
  <si>
    <t>B.90.09.09.02.101+B.90.09.09.02.102+B.90.09.09.02.103</t>
  </si>
  <si>
    <t>B.90.09.09.02.001</t>
  </si>
  <si>
    <t>B.90.09.09.02.002</t>
  </si>
  <si>
    <t>B.90.09.09.02.003</t>
  </si>
  <si>
    <t>B.90.09.09.02.004</t>
  </si>
  <si>
    <t>B.90.09.09.02.005</t>
  </si>
  <si>
    <t>B.90.09.09.02.006</t>
  </si>
  <si>
    <t>B.90.09.09.02.007</t>
  </si>
  <si>
    <t>B.90.09.09.02.008</t>
  </si>
  <si>
    <t>B.90.09.09.02.009</t>
  </si>
  <si>
    <t>B.90.09.09.02.010</t>
  </si>
  <si>
    <t>B.90.09.09.02.011</t>
  </si>
  <si>
    <t>B.90.09.09.02.101</t>
  </si>
  <si>
    <t>B.90.09.09.02.001+B.90.09.09.02.002+B.90.09.09.02.005+B.90.09.09.02.006+B.90.09.09.02.010</t>
  </si>
  <si>
    <t>B.90.09.09.02.102</t>
  </si>
  <si>
    <t>B.90.09.09.02.007+B.90.09.09.02.008+B.90.09.09.02.011</t>
  </si>
  <si>
    <t>B.90.09.09.02.103</t>
  </si>
  <si>
    <t>B.90.09.09.02.003+B.90.09.09.02.004+B.90.09.09.02.009</t>
  </si>
  <si>
    <t>B.90.09.09.03</t>
  </si>
  <si>
    <t>B.90.09.09.03.001+B.90.09.09.03.002+B.90.09.09.03.003</t>
  </si>
  <si>
    <t>B.90.09.09.03.001</t>
  </si>
  <si>
    <t>B.90.09.09.03.002</t>
  </si>
  <si>
    <t>B.90.09.09.03.003</t>
  </si>
  <si>
    <t>B01.01</t>
  </si>
  <si>
    <t>B01.01.01+B01.01.02+B01.01.03</t>
  </si>
  <si>
    <t>B01.01.01</t>
  </si>
  <si>
    <t>B01.01.01.01+B01.01.01.02</t>
  </si>
  <si>
    <t>B01.01.01.01</t>
  </si>
  <si>
    <t>B01.01.01.02</t>
  </si>
  <si>
    <t>B01.01.02</t>
  </si>
  <si>
    <t>B01.01.03</t>
  </si>
  <si>
    <t>B01.02</t>
  </si>
  <si>
    <t>B01.03</t>
  </si>
  <si>
    <t>B01.01-B01.02</t>
  </si>
  <si>
    <t>B01.04</t>
  </si>
  <si>
    <t>B01.05</t>
  </si>
  <si>
    <t>B01.90.01+B01.90.02+B01.90.03+B01.90.04+B01.90.05</t>
  </si>
  <si>
    <t>B01.05.01</t>
  </si>
  <si>
    <t>B01.90.01.01+B01.90.01.02</t>
  </si>
  <si>
    <t>B01.05.01.01</t>
  </si>
  <si>
    <t>B01.90.01.01.01+B01.90.01.01.02+B01.90.01.01.03+B01.90.01.01.04.001+B01.90.01.01.05.001</t>
  </si>
  <si>
    <t>B01.05.01.02</t>
  </si>
  <si>
    <t>B01.90.01.02.01+B01.90.01.02.02+B01.90.01.02.03+B01.90.01.02.04.001+B01.90.01.02.05.001</t>
  </si>
  <si>
    <t>B01.05.02</t>
  </si>
  <si>
    <t>B01.90.02.01+B01.90.02.02+B01.90.02.09</t>
  </si>
  <si>
    <t>B01.05.02.01</t>
  </si>
  <si>
    <t>B01.05.02.02</t>
  </si>
  <si>
    <t>B01.05.03</t>
  </si>
  <si>
    <t>B01.90.03.01+B01.90.03.02+B01.90.03.03+B01.90.03.04</t>
  </si>
  <si>
    <t>B01.05.03.01</t>
  </si>
  <si>
    <t>B01.90.03.01.01+B01.90.03.01.02</t>
  </si>
  <si>
    <t>B01.05.03.01.01</t>
  </si>
  <si>
    <t>B01.05.03.01.02</t>
  </si>
  <si>
    <t>B01.05.03.02</t>
  </si>
  <si>
    <t>B01.05.03.03</t>
  </si>
  <si>
    <t>B01.05.03.04</t>
  </si>
  <si>
    <t>B01.05.04</t>
  </si>
  <si>
    <t>B01.05.05</t>
  </si>
  <si>
    <t>B01.06</t>
  </si>
  <si>
    <t>B01.07</t>
  </si>
  <si>
    <t>B01.03-B01.04-B01.90+B01.06</t>
  </si>
  <si>
    <t>B01.08</t>
  </si>
  <si>
    <t>B01.09</t>
  </si>
  <si>
    <t>B01.07-B01.08</t>
  </si>
  <si>
    <t>B01.10</t>
  </si>
  <si>
    <t>B01.10.01+B01.10.02+B01.10.03+B01.10.04</t>
  </si>
  <si>
    <t>B01.10.01</t>
  </si>
  <si>
    <t>B01.10.01.01+B01.10.01.02</t>
  </si>
  <si>
    <t>B01.10.01.01</t>
  </si>
  <si>
    <t>B01.10.01.01.01+B01.10.01.01.02</t>
  </si>
  <si>
    <t>B01.10.01.01.01</t>
  </si>
  <si>
    <t xml:space="preserve">      常规部分</t>
  </si>
  <si>
    <t>B01.10.01.01.02</t>
  </si>
  <si>
    <t xml:space="preserve">      战略部分</t>
  </si>
  <si>
    <t>B01.10.01.02</t>
  </si>
  <si>
    <t>B01.10.01.02.01+B01.10.01.02.02</t>
  </si>
  <si>
    <t>B01.10.01.02.01</t>
  </si>
  <si>
    <t xml:space="preserve">      票据贴现</t>
  </si>
  <si>
    <t>10.01.02.01</t>
  </si>
  <si>
    <t>B01.10.01.02.02</t>
  </si>
  <si>
    <t xml:space="preserve">      贸易融资</t>
  </si>
  <si>
    <t>10.01.02.02</t>
  </si>
  <si>
    <t>B01.10.02</t>
  </si>
  <si>
    <t>B01.10.03</t>
  </si>
  <si>
    <t>B01.10.03.01+B01.10.03.02+B01.10.03.03</t>
  </si>
  <si>
    <t>B01.10.03.01</t>
  </si>
  <si>
    <t xml:space="preserve">    ABS</t>
  </si>
  <si>
    <t>10.03.01</t>
  </si>
  <si>
    <t>B01.10.03.02</t>
  </si>
  <si>
    <t xml:space="preserve">    ABN</t>
  </si>
  <si>
    <t>10.03.02</t>
  </si>
  <si>
    <t>B01.10.03.03</t>
  </si>
  <si>
    <t xml:space="preserve">    债转</t>
  </si>
  <si>
    <t>10.03.03</t>
  </si>
  <si>
    <t>B01.10.04</t>
  </si>
  <si>
    <t>B01.11</t>
  </si>
  <si>
    <t>B01.11.01+B01.11.02+B01.11.03+B01.11.04</t>
  </si>
  <si>
    <t>B01.11.01</t>
  </si>
  <si>
    <t>B01.11.01.01+B01.11.01.02</t>
  </si>
  <si>
    <t>B01.11.01.01</t>
  </si>
  <si>
    <t>B01.11.01.01.01+B01.11.01.01.02</t>
  </si>
  <si>
    <t>B01.11.01.01.01</t>
  </si>
  <si>
    <t>B01.11.01.01.02</t>
  </si>
  <si>
    <t>B01.11.01.02</t>
  </si>
  <si>
    <t>B01.11.01.02.01+B01.11.01.02.02</t>
  </si>
  <si>
    <t>B01.11.01.02.01</t>
  </si>
  <si>
    <t>11.01.02.01</t>
  </si>
  <si>
    <t>B01.11.01.02.02</t>
  </si>
  <si>
    <t>11.01.02.02</t>
  </si>
  <si>
    <t>B01.11.02</t>
  </si>
  <si>
    <t>B01.11.03</t>
  </si>
  <si>
    <t>B01.11.03.01+B01.11.03.02+B01.11.03.03</t>
  </si>
  <si>
    <t>B01.11.03.01</t>
  </si>
  <si>
    <t>11.03.01</t>
  </si>
  <si>
    <t>B01.11.03.02</t>
  </si>
  <si>
    <t>11.03.02</t>
  </si>
  <si>
    <t>B01.11.03.03</t>
  </si>
  <si>
    <t>11.03.03</t>
  </si>
  <si>
    <t>B01.11.04</t>
  </si>
  <si>
    <t>B01.12</t>
  </si>
  <si>
    <t>B01.12.01+B01.12.02</t>
  </si>
  <si>
    <t>B01.12.01</t>
  </si>
  <si>
    <t>B01.12.01.01+B01.12.01.02</t>
  </si>
  <si>
    <t>B01.12.01.01</t>
  </si>
  <si>
    <t xml:space="preserve">    常规存款</t>
  </si>
  <si>
    <t>B01.12.01.02</t>
  </si>
  <si>
    <t xml:space="preserve">    银承保函保证金</t>
  </si>
  <si>
    <t>B01.12.02</t>
  </si>
  <si>
    <t>B01.13</t>
  </si>
  <si>
    <t>B01.13.01+B01.13.02</t>
  </si>
  <si>
    <t>B01.13.01</t>
  </si>
  <si>
    <t>B01.13.01.01+B01.13.01.02</t>
  </si>
  <si>
    <t>B01.13.01.01</t>
  </si>
  <si>
    <t>B01.13.01.02</t>
  </si>
  <si>
    <t>B01.13.02</t>
  </si>
  <si>
    <t>B01.24</t>
  </si>
  <si>
    <t>B01.24.01+B01.24.03+B01.24.04</t>
  </si>
  <si>
    <t>B01.24.01</t>
  </si>
  <si>
    <t>B01.24.03</t>
  </si>
  <si>
    <t>B01.24.04</t>
  </si>
  <si>
    <t>B01.24.04.09</t>
  </si>
  <si>
    <t>24.04.09</t>
  </si>
  <si>
    <t>B01.25</t>
  </si>
  <si>
    <t>B01.25.01+B01.25.03+B01.25.04</t>
  </si>
  <si>
    <t>B01.25.01</t>
  </si>
  <si>
    <t>B01.25.03</t>
  </si>
  <si>
    <t>B01.25.04</t>
  </si>
  <si>
    <t>B01.25.04.09</t>
  </si>
  <si>
    <t>25.04.09</t>
  </si>
  <si>
    <t>B01.26</t>
  </si>
  <si>
    <t>B01.26.02+B01.26.05</t>
  </si>
  <si>
    <t>B01.26.02</t>
  </si>
  <si>
    <t>B01.26.05</t>
  </si>
  <si>
    <t>B01.27</t>
  </si>
  <si>
    <t>B01.27.02+B01.27.05</t>
  </si>
  <si>
    <t>B01.27.02</t>
  </si>
  <si>
    <t>B01.27.05</t>
  </si>
  <si>
    <t>B01.14</t>
  </si>
  <si>
    <t>B01.14.01+B01.14.02+B01.14.03</t>
  </si>
  <si>
    <t>B01.14.01</t>
  </si>
  <si>
    <t>B01.14.01.01+B01.14.01.02+B01.14.01.03+B01.14.01.04+B01.14.01.05</t>
  </si>
  <si>
    <t>B01.14.01.01</t>
  </si>
  <si>
    <t xml:space="preserve">    贷款账面收息率</t>
  </si>
  <si>
    <t>B01.14.01.02</t>
  </si>
  <si>
    <t xml:space="preserve">    贷款还原收息率</t>
  </si>
  <si>
    <t>B01.14.01.03</t>
  </si>
  <si>
    <t xml:space="preserve">    一般贷款利息收入</t>
  </si>
  <si>
    <t>B01.14.01.03.01+B01.14.01.03.02+B01.14.01.03.03+B01.14.01.03.04</t>
  </si>
  <si>
    <t>14.01.03</t>
  </si>
  <si>
    <t>B01.14.01.03.01</t>
  </si>
  <si>
    <t xml:space="preserve">      一般贷款账面收息率</t>
  </si>
  <si>
    <t>14.01.03.01</t>
  </si>
  <si>
    <t>B01.14.01.03.02</t>
  </si>
  <si>
    <t xml:space="preserve">      一般贷款还原收息率</t>
  </si>
  <si>
    <t>14.01.03.02</t>
  </si>
  <si>
    <t>B01.14.01.03.03</t>
  </si>
  <si>
    <t xml:space="preserve">      常规部分利息收入</t>
  </si>
  <si>
    <t>B01.14.01.03.03.01+B01.14.01.03.03.02+B01.14.01.03.03.03+B01.14.01.03.03.04+B01.14.01.03.03.05+B01.14.01.03.03.06</t>
  </si>
  <si>
    <t>14.01.03.03</t>
  </si>
  <si>
    <t>B01.14.01.03.03.01</t>
  </si>
  <si>
    <t xml:space="preserve">        常规账面收息率</t>
  </si>
  <si>
    <t>14.01.03.03.01</t>
  </si>
  <si>
    <t>B01.14.01.03.03.02</t>
  </si>
  <si>
    <t xml:space="preserve">        常规还原利息收入</t>
  </si>
  <si>
    <t>14.01.03.03.02</t>
  </si>
  <si>
    <t>B01.14.01.03.03.03</t>
  </si>
  <si>
    <t xml:space="preserve">        常规还原收息率</t>
  </si>
  <si>
    <t>14.01.03.03.03</t>
  </si>
  <si>
    <t>B01.14.01.03.03.04</t>
  </si>
  <si>
    <t xml:space="preserve">        清仓回购利息收入</t>
  </si>
  <si>
    <t>14.01.03.03.04</t>
  </si>
  <si>
    <t>B01.14.01.03.03.05</t>
  </si>
  <si>
    <t xml:space="preserve">        渠道费抵减利息收入</t>
  </si>
  <si>
    <t>14.01.03.03.05</t>
  </si>
  <si>
    <t>B01.14.01.03.03.06</t>
  </si>
  <si>
    <t xml:space="preserve">        增值税回冲</t>
  </si>
  <si>
    <t>14.01.03.03.06</t>
  </si>
  <si>
    <t>B01.14.01.03.04</t>
  </si>
  <si>
    <t xml:space="preserve">      战略部分利息收入</t>
  </si>
  <si>
    <t>B01.14.01.03.04.01+B01.14.01.03.04.02+B01.14.01.03.04.03+B01.14.01.03.04.04+B01.14.01.03.04.05+B01.14.01.03.04.06</t>
  </si>
  <si>
    <t>14.01.03.04</t>
  </si>
  <si>
    <t>B01.14.01.03.04.01</t>
  </si>
  <si>
    <t xml:space="preserve">        战略账面收息率</t>
  </si>
  <si>
    <t>14.01.03.04.01</t>
  </si>
  <si>
    <t>B01.14.01.03.04.02</t>
  </si>
  <si>
    <t xml:space="preserve">        战略还原利息收入</t>
  </si>
  <si>
    <t>14.01.03.04.02</t>
  </si>
  <si>
    <t>B01.14.01.03.04.03</t>
  </si>
  <si>
    <t xml:space="preserve">        战略还原收息率</t>
  </si>
  <si>
    <t>14.01.03.04.03</t>
  </si>
  <si>
    <t>B01.14.01.03.04.04</t>
  </si>
  <si>
    <t>14.01.03.04.04</t>
  </si>
  <si>
    <t>B01.14.01.03.04.05</t>
  </si>
  <si>
    <t>14.01.03.04.05</t>
  </si>
  <si>
    <t>B01.14.01.03.04.06</t>
  </si>
  <si>
    <t>14.01.03.04.06</t>
  </si>
  <si>
    <t>B01.14.01.04</t>
  </si>
  <si>
    <t xml:space="preserve">    票据贴现利息收入</t>
  </si>
  <si>
    <t>B01.14.01.04.01</t>
  </si>
  <si>
    <t>14.01.04</t>
  </si>
  <si>
    <t xml:space="preserve">      票据贴现收息率</t>
  </si>
  <si>
    <t>14.01.04.01</t>
  </si>
  <si>
    <t>B01.14.01.05</t>
  </si>
  <si>
    <t xml:space="preserve">    贸易融资利息收入</t>
  </si>
  <si>
    <t>B01.14.01.05.01</t>
  </si>
  <si>
    <t>14.01.05</t>
  </si>
  <si>
    <t xml:space="preserve">      贸易融资收息率</t>
  </si>
  <si>
    <t>14.01.05.01</t>
  </si>
  <si>
    <t>B01.14.02</t>
  </si>
  <si>
    <t>B01.14.02.02+B01.14.02.04</t>
  </si>
  <si>
    <t>B01.14.02.02</t>
  </si>
  <si>
    <t>B01.14.02.02.01</t>
  </si>
  <si>
    <t>B01.14.02.04</t>
  </si>
  <si>
    <t xml:space="preserve">    买入返售利息收入</t>
  </si>
  <si>
    <t>B01.14.02.04.01</t>
  </si>
  <si>
    <t xml:space="preserve">      买入返售收息率</t>
  </si>
  <si>
    <t>14.02.04.01</t>
  </si>
  <si>
    <t>B01.14.03</t>
  </si>
  <si>
    <t>投资利息收入</t>
  </si>
  <si>
    <t>B01.14.03.09</t>
  </si>
  <si>
    <t xml:space="preserve">  ABS投资利息收入</t>
  </si>
  <si>
    <t>B01.14.03.09.01</t>
  </si>
  <si>
    <t>14.03.09</t>
  </si>
  <si>
    <t xml:space="preserve">    ABS收息率</t>
  </si>
  <si>
    <t>14.03.09.01</t>
  </si>
  <si>
    <t>B01.15</t>
  </si>
  <si>
    <t>B01.15.01+B01.15.02+B01.15.03+B01.15.99</t>
  </si>
  <si>
    <t>B01.15.01</t>
  </si>
  <si>
    <t>B01.15.01.01+B01.15.01.02+B01.15.01.03</t>
  </si>
  <si>
    <t>B01.15.01.01</t>
  </si>
  <si>
    <t xml:space="preserve">    一般贷款FTP成本</t>
  </si>
  <si>
    <t>B01.15.01.01.01+B01.15.01.01.02+B01.15.01.01.03</t>
  </si>
  <si>
    <t>B01.15.01.01.01</t>
  </si>
  <si>
    <t xml:space="preserve">      一般贷款FTP</t>
  </si>
  <si>
    <t>B01.15.01.01.02</t>
  </si>
  <si>
    <t xml:space="preserve">      常规部分FTP成本</t>
  </si>
  <si>
    <t>B01.15.01.01.02.01</t>
  </si>
  <si>
    <t>15.01.01.02</t>
  </si>
  <si>
    <t xml:space="preserve">        常规部分FTP</t>
  </si>
  <si>
    <t>15.01.01.02.01</t>
  </si>
  <si>
    <t>B01.15.01.01.03</t>
  </si>
  <si>
    <t xml:space="preserve">      战略部分FTP成本</t>
  </si>
  <si>
    <t>B01.15.01.01.03.01</t>
  </si>
  <si>
    <t>15.01.01.03</t>
  </si>
  <si>
    <t xml:space="preserve">        战略部分FTP</t>
  </si>
  <si>
    <t>15.01.01.03.01</t>
  </si>
  <si>
    <t>B01.15.01.02</t>
  </si>
  <si>
    <t xml:space="preserve">    票据贴现FTP成本</t>
  </si>
  <si>
    <t>B01.15.01.02.01</t>
  </si>
  <si>
    <t xml:space="preserve">      票据贴现FTP</t>
  </si>
  <si>
    <t>B01.15.01.03</t>
  </si>
  <si>
    <t xml:space="preserve">    贸易融资FTP成本</t>
  </si>
  <si>
    <t>B01.15.01.03.01</t>
  </si>
  <si>
    <t>15.01.03</t>
  </si>
  <si>
    <t xml:space="preserve">      贸易融资FTP</t>
  </si>
  <si>
    <t>15.01.03.01</t>
  </si>
  <si>
    <t>B01.15.02</t>
  </si>
  <si>
    <t>B01.15.02.02+B01.15.02.04</t>
  </si>
  <si>
    <t>B01.15.02.02</t>
  </si>
  <si>
    <t>B01.15.02.02.01</t>
  </si>
  <si>
    <t>B01.15.02.04</t>
  </si>
  <si>
    <t xml:space="preserve">    买入返售FTP成本</t>
  </si>
  <si>
    <t>B01.15.02.04.01</t>
  </si>
  <si>
    <t>15.02.04</t>
  </si>
  <si>
    <t xml:space="preserve">      买入返售FTP</t>
  </si>
  <si>
    <t>15.02.04.01</t>
  </si>
  <si>
    <t>B01.15.03</t>
  </si>
  <si>
    <t xml:space="preserve">  投资FTP成本</t>
  </si>
  <si>
    <t>B01.15.03.09</t>
  </si>
  <si>
    <t>15.03</t>
  </si>
  <si>
    <t xml:space="preserve">    ABS投资FTP成本</t>
  </si>
  <si>
    <t>B01.15.03.09.01</t>
  </si>
  <si>
    <t>15.03.09</t>
  </si>
  <si>
    <t xml:space="preserve">      ABS投资FTP</t>
  </si>
  <si>
    <t>15.03.09.01</t>
  </si>
  <si>
    <t>B01.15.99</t>
  </si>
  <si>
    <t>B01.15.99.01</t>
  </si>
  <si>
    <t>B01.16</t>
  </si>
  <si>
    <t>B01.16.01+B01.16.02</t>
  </si>
  <si>
    <t>B01.16.01</t>
  </si>
  <si>
    <t>B01.16.01.01+B01.16.01.02+B01.16.01.03</t>
  </si>
  <si>
    <t>B01.16.01.01</t>
  </si>
  <si>
    <t>B01.16.01.02</t>
  </si>
  <si>
    <t xml:space="preserve">    常规存款利息支出</t>
  </si>
  <si>
    <t>B01.16.01.02.01</t>
  </si>
  <si>
    <t xml:space="preserve">      常规存款付息率</t>
  </si>
  <si>
    <t>B01.16.01.03</t>
  </si>
  <si>
    <t xml:space="preserve">    保证金存款利息支出</t>
  </si>
  <si>
    <t>B01.16.01.03.01</t>
  </si>
  <si>
    <t xml:space="preserve">      保证金存款付息率</t>
  </si>
  <si>
    <t>B01.16.02</t>
  </si>
  <si>
    <t>B01.16.02.02+B01.16.02.05</t>
  </si>
  <si>
    <t>B01.16.02.02</t>
  </si>
  <si>
    <t>B01.16.02.02.01</t>
  </si>
  <si>
    <t>B01.16.02.05</t>
  </si>
  <si>
    <t xml:space="preserve">    卖出回购利息支出</t>
  </si>
  <si>
    <t>B01.16.02.05.01</t>
  </si>
  <si>
    <t xml:space="preserve">      卖出回购付息率</t>
  </si>
  <si>
    <t>16.02.05.01</t>
  </si>
  <si>
    <t>B01.17</t>
  </si>
  <si>
    <t>B01.17.01+B01.17.02+B01.17.99</t>
  </si>
  <si>
    <t>B01.17.01</t>
  </si>
  <si>
    <t>B01.17.01.01+B01.17.01.02+B01.17.01.03</t>
  </si>
  <si>
    <t>B01.17.01.01</t>
  </si>
  <si>
    <t>B01.17.01.02</t>
  </si>
  <si>
    <t xml:space="preserve">    常规存款FTP收入</t>
  </si>
  <si>
    <t>B01.17.01.02.01</t>
  </si>
  <si>
    <t xml:space="preserve">      常规存款FTP</t>
  </si>
  <si>
    <t>B01.17.01.03</t>
  </si>
  <si>
    <t xml:space="preserve">    保证金存款FTP收入</t>
  </si>
  <si>
    <t>B01.17.01.03.01</t>
  </si>
  <si>
    <t xml:space="preserve">      保证金存款FTP</t>
  </si>
  <si>
    <t>B01.17.02</t>
  </si>
  <si>
    <t>B01.17.02.02+B01.17.02.05</t>
  </si>
  <si>
    <t>B01.17.02.02</t>
  </si>
  <si>
    <t>B01.17.02.02.01</t>
  </si>
  <si>
    <t>B01.17.02.05</t>
  </si>
  <si>
    <t xml:space="preserve">    卖出回购FTP收入</t>
  </si>
  <si>
    <t>B01.17.02.05.01</t>
  </si>
  <si>
    <t>17.02.05</t>
  </si>
  <si>
    <t xml:space="preserve">      卖出回购FTP</t>
  </si>
  <si>
    <t>17.02.05.01</t>
  </si>
  <si>
    <t>B01.17.99</t>
  </si>
  <si>
    <t>B01.17.99.01</t>
  </si>
  <si>
    <t>B01.18</t>
  </si>
  <si>
    <t>B01.18.01+B01.18.02+B01.18.03+B01.18.04+B01.18.05+B01.18.06+B01.18.08+B01.18.99</t>
  </si>
  <si>
    <t>B01.18.01</t>
  </si>
  <si>
    <t>B01.18.01.01+B01.18.01.02+B01.18.01.03</t>
  </si>
  <si>
    <t>B01.18.01.01</t>
  </si>
  <si>
    <t>B01.18.01.02</t>
  </si>
  <si>
    <t xml:space="preserve">    小微银银收入</t>
  </si>
  <si>
    <t>B01.18.01.02.01</t>
  </si>
  <si>
    <t xml:space="preserve">      小微银银收益率</t>
  </si>
  <si>
    <t>B01.18.01.03</t>
  </si>
  <si>
    <t xml:space="preserve">    冲销金额</t>
  </si>
  <si>
    <t>B01.18.02</t>
  </si>
  <si>
    <t xml:space="preserve">  ABS收入</t>
  </si>
  <si>
    <t>B01.18.03</t>
  </si>
  <si>
    <t xml:space="preserve">  ABN收入</t>
  </si>
  <si>
    <t>18.03</t>
  </si>
  <si>
    <t>B01.18.04</t>
  </si>
  <si>
    <t xml:space="preserve">  流量经营收入</t>
  </si>
  <si>
    <t>B01.18.05</t>
  </si>
  <si>
    <t xml:space="preserve">  企金代销收入</t>
  </si>
  <si>
    <t>B01.18.05.01+B01.18.05.02</t>
  </si>
  <si>
    <t>B01.18.05.01</t>
  </si>
  <si>
    <t xml:space="preserve">    代销保险</t>
  </si>
  <si>
    <t>B01.18.05.02</t>
  </si>
  <si>
    <t xml:space="preserve">    代销理财</t>
  </si>
  <si>
    <t>18.05.02</t>
  </si>
  <si>
    <t>B01.18.08</t>
  </si>
  <si>
    <t xml:space="preserve">  银承保函收入</t>
  </si>
  <si>
    <t>18.08</t>
  </si>
  <si>
    <t>B01.18.06</t>
  </si>
  <si>
    <t xml:space="preserve">  催收费收入</t>
  </si>
  <si>
    <t>B01.18.99</t>
  </si>
  <si>
    <t>B01.19</t>
  </si>
  <si>
    <t>B01.19.01+B01.19.02+B01.19.03+B01.19.04+B01.19.05+B01.19.14+B01.19.99</t>
  </si>
  <si>
    <t>B01.19.01</t>
  </si>
  <si>
    <t>B01.19.01.01</t>
  </si>
  <si>
    <t>B01.19.02</t>
  </si>
  <si>
    <t>B01.19.02.01</t>
  </si>
  <si>
    <t>B01.19.03</t>
  </si>
  <si>
    <t>B01.19.03.01</t>
  </si>
  <si>
    <t>B01.19.04</t>
  </si>
  <si>
    <t>B01.19.05</t>
  </si>
  <si>
    <t xml:space="preserve">  担保费用</t>
  </si>
  <si>
    <t>19.05</t>
  </si>
  <si>
    <t>B01.19.14</t>
  </si>
  <si>
    <t>B01.19.14.01</t>
  </si>
  <si>
    <t>19.14</t>
  </si>
  <si>
    <t>19.14.01</t>
  </si>
  <si>
    <t>B01.19.99</t>
  </si>
  <si>
    <t>B01.20</t>
  </si>
  <si>
    <t>B01.20.01+B01.20.02</t>
  </si>
  <si>
    <t>B01.20.01</t>
  </si>
  <si>
    <t xml:space="preserve">  票据转贴现</t>
  </si>
  <si>
    <t>20.01</t>
  </si>
  <si>
    <t>B01.20.02</t>
  </si>
  <si>
    <t xml:space="preserve">  小微激励金</t>
  </si>
  <si>
    <t>20.02</t>
  </si>
  <si>
    <t>B01.21</t>
  </si>
  <si>
    <t>B01.90</t>
  </si>
  <si>
    <t>B01.90.01</t>
  </si>
  <si>
    <t>B01.90.01.01</t>
  </si>
  <si>
    <t>B01.90.01.01.01</t>
  </si>
  <si>
    <t>B01.90.01.01.01.001+B01.90.01.01.01.002</t>
  </si>
  <si>
    <t>B01.90.01.01.01.001</t>
  </si>
  <si>
    <t>B01.90.01.01.01.002</t>
  </si>
  <si>
    <t>B01.90.01.01.02</t>
  </si>
  <si>
    <t>B01.90.01.01.02.001+B01.90.01.01.02.002</t>
  </si>
  <si>
    <t>B01.90.01.01.02.001</t>
  </si>
  <si>
    <t>B01.90.01.01.02.002</t>
  </si>
  <si>
    <t>B01.90.01.01.03</t>
  </si>
  <si>
    <t>B01.90.01.01.03.01+B01.90.01.01.03.02.001+B01.90.01.01.03.03.001+B01.90.01.01.03.04.001</t>
  </si>
  <si>
    <t>B01.90.01.01.03.01</t>
  </si>
  <si>
    <t>B01.90.01.01.03.01.001+B01.90.01.01.03.01.002</t>
  </si>
  <si>
    <t>B01.90.01.01.03.01.001</t>
  </si>
  <si>
    <t>B01.90.01.01.03.01.002</t>
  </si>
  <si>
    <t>B01.90.01.01.03.02</t>
  </si>
  <si>
    <t>B01.05.01.01.03.02</t>
  </si>
  <si>
    <t>B01.90.01.01.03.02.001</t>
  </si>
  <si>
    <t>B01.90.01.01.03.03</t>
  </si>
  <si>
    <t>B01.05.01.01.03.03</t>
  </si>
  <si>
    <t>B01.90.01.01.03.03.001</t>
  </si>
  <si>
    <t>B01.90.01.01.03.04</t>
  </si>
  <si>
    <t>B01.05.01.01.03.04</t>
  </si>
  <si>
    <t>B01.90.01.01.03.04.001</t>
  </si>
  <si>
    <t>B01.90.01.01.04</t>
  </si>
  <si>
    <t>B01.05.01.01.04</t>
  </si>
  <si>
    <t>B01.90.01.01.04.001</t>
  </si>
  <si>
    <t>B01.90.01.01.05</t>
  </si>
  <si>
    <t>B01.05.01.01.05</t>
  </si>
  <si>
    <t>B01.90.01.01.05.001</t>
  </si>
  <si>
    <t>B01.90.01.02</t>
  </si>
  <si>
    <t>B01.90.01.02.01</t>
  </si>
  <si>
    <t>B01.90.01.02.01.001+B01.90.01.02.01.002</t>
  </si>
  <si>
    <t>B01.90.01.02.01.001</t>
  </si>
  <si>
    <t>B01.90.01.02.01.002</t>
  </si>
  <si>
    <t>B01.90.01.02.02</t>
  </si>
  <si>
    <t>B01.90.01.02.02.001+B01.90.01.02.02.002</t>
  </si>
  <si>
    <t>B01.90.01.02.02.001</t>
  </si>
  <si>
    <t>B01.90.01.02.02.002</t>
  </si>
  <si>
    <t>B01.90.01.02.03</t>
  </si>
  <si>
    <t>B01.90.01.02.03.01+B01.90.01.02.03.02.001+B01.90.01.02.03.03.001+B01.90.01.02.03.04.001</t>
  </si>
  <si>
    <t>B01.90.01.02.03.01</t>
  </si>
  <si>
    <t>B01.90.01.02.03.01.001+B01.90.01.02.03.01.002</t>
  </si>
  <si>
    <t>B01.90.01.02.03.01.001</t>
  </si>
  <si>
    <t>B01.90.01.02.03.01.002</t>
  </si>
  <si>
    <t>B01.90.01.02.03.02</t>
  </si>
  <si>
    <t>B01.05.01.02.03.02</t>
  </si>
  <si>
    <t>B01.90.01.02.03.02.001</t>
  </si>
  <si>
    <t>B01.90.01.02.03.03</t>
  </si>
  <si>
    <t>B01.05.01.02.03.03</t>
  </si>
  <si>
    <t>B01.90.01.02.03.03.001</t>
  </si>
  <si>
    <t>B01.90.01.02.03.04</t>
  </si>
  <si>
    <t>B01.05.01.02.03.04</t>
  </si>
  <si>
    <t>B01.90.01.02.03.04.001</t>
  </si>
  <si>
    <t>B01.90.01.02.04</t>
  </si>
  <si>
    <t>B01.05.01.02.04</t>
  </si>
  <si>
    <t>B01.90.01.02.04.001</t>
  </si>
  <si>
    <t>B01.90.01.02.05</t>
  </si>
  <si>
    <t>B01.05.01.02.05</t>
  </si>
  <si>
    <t>B01.90.01.02.05.001</t>
  </si>
  <si>
    <t>B01.90.02</t>
  </si>
  <si>
    <t>B01.90.02.01</t>
  </si>
  <si>
    <t>B01.90.02.02</t>
  </si>
  <si>
    <t>B01.90.02.09</t>
  </si>
  <si>
    <t>B01.90.02.09.01+B01.90.02.09.02+B01.90.02.09.03</t>
  </si>
  <si>
    <t>B01.90.02.09.01</t>
  </si>
  <si>
    <t>B01.90.02.09.01.001+B01.90.02.09.01.002+B01.90.02.09.01.003+B01.90.02.09.01.004</t>
  </si>
  <si>
    <t>B01.90.02.09.01.001</t>
  </si>
  <si>
    <t>B01.90.02.09.01.002</t>
  </si>
  <si>
    <t>B01.90.02.09.01.003</t>
  </si>
  <si>
    <t>B01.90.02.09.01.004</t>
  </si>
  <si>
    <t>B01.90.02.09.02</t>
  </si>
  <si>
    <t>B01.90.02.09.02.101+B01.90.02.09.02.102+B01.90.02.09.02.103</t>
  </si>
  <si>
    <t>B01.90.02.09.02.001</t>
  </si>
  <si>
    <t>B01.90.02.09.02.002</t>
  </si>
  <si>
    <t>B01.90.02.09.02.003</t>
  </si>
  <si>
    <t>B01.90.02.09.02.004</t>
  </si>
  <si>
    <t>B01.90.02.09.02.005</t>
  </si>
  <si>
    <t>B01.90.02.09.02.006</t>
  </si>
  <si>
    <t>B01.90.02.09.02.007</t>
  </si>
  <si>
    <t>B01.90.02.09.02.008</t>
  </si>
  <si>
    <t>B01.90.02.09.02.009</t>
  </si>
  <si>
    <t>B01.90.02.09.02.010</t>
  </si>
  <si>
    <t>B01.90.02.09.02.011</t>
  </si>
  <si>
    <t>B01.90.02.09.02.101</t>
  </si>
  <si>
    <t>B01.90.02.09.02.001+B01.90.02.09.02.002+B01.90.02.09.02.005+B01.90.02.09.02.006+B01.90.02.09.02.010</t>
  </si>
  <si>
    <t>B01.90.02.09.02.102</t>
  </si>
  <si>
    <t>B01.90.02.09.02.007+B01.90.02.09.02.008+B01.90.02.09.02.011</t>
  </si>
  <si>
    <t>B01.90.02.09.02.103</t>
  </si>
  <si>
    <t>B01.90.02.09.02.003+B01.90.02.09.02.004+B01.90.02.09.02.009</t>
  </si>
  <si>
    <t>B01.90.02.09.03</t>
  </si>
  <si>
    <t>B01.90.02.09.03.001+B01.90.02.09.03.002+B01.90.02.09.03.003</t>
  </si>
  <si>
    <t>B01.90.02.09.03.001</t>
  </si>
  <si>
    <t>B01.90.02.09.03.002</t>
  </si>
  <si>
    <t>B01.90.02.09.03.003</t>
  </si>
  <si>
    <t>B01.90.03</t>
  </si>
  <si>
    <t>B01.90.03.01</t>
  </si>
  <si>
    <t>B01.90.03.01.01</t>
  </si>
  <si>
    <t>B01.90.03.01.02</t>
  </si>
  <si>
    <t>B01.90.03.02</t>
  </si>
  <si>
    <t>B01.90.03.03</t>
  </si>
  <si>
    <t>B01.90.03.04</t>
  </si>
  <si>
    <t>B01.90.04</t>
  </si>
  <si>
    <t>B01.90.05</t>
  </si>
  <si>
    <t>B02.01</t>
  </si>
  <si>
    <t>B02.01.01+B02.01.02+B02.01.03</t>
  </si>
  <si>
    <t>B02.01.01</t>
  </si>
  <si>
    <t>B02.01.01.01+B02.01.01.02</t>
  </si>
  <si>
    <t>B02.01.01.01</t>
  </si>
  <si>
    <t>B02.01.01.02</t>
  </si>
  <si>
    <t>B02.01.02</t>
  </si>
  <si>
    <t>B02.01.03</t>
  </si>
  <si>
    <t>B02.02</t>
  </si>
  <si>
    <t>B02.03</t>
  </si>
  <si>
    <t>B02.01-B02.02</t>
  </si>
  <si>
    <t>B02.04</t>
  </si>
  <si>
    <t>B02.05</t>
  </si>
  <si>
    <t>B02.90.01+B02.90.02+B02.90.03+B02.90.04+B02.90.05</t>
  </si>
  <si>
    <t>B02.05.01</t>
  </si>
  <si>
    <t>B02.90.01.01+B02.90.01.02</t>
  </si>
  <si>
    <t>B02.05.01.01</t>
  </si>
  <si>
    <t>B02.90.01.01.01+B02.90.01.01.02+B02.90.01.01.03+B02.90.01.01.04.001+B02.90.01.01.05.001</t>
  </si>
  <si>
    <t>B02.05.01.02</t>
  </si>
  <si>
    <t>B02.90.01.02.01+B02.90.01.02.02+B02.90.01.02.03+B02.90.01.02.04.001+B02.90.01.02.05.001</t>
  </si>
  <si>
    <t>B02.05.02</t>
  </si>
  <si>
    <t>B02.90.02.01+B02.90.02.02+B02.90.02.09</t>
  </si>
  <si>
    <t>B02.05.02.01</t>
  </si>
  <si>
    <t>B02.05.02.02</t>
  </si>
  <si>
    <t>B02.05.03</t>
  </si>
  <si>
    <t>B02.90.03.01+B02.90.03.02+B02.90.03.03+B02.90.03.04</t>
  </si>
  <si>
    <t>B02.05.03.01</t>
  </si>
  <si>
    <t>B02.90.03.01.01+B02.90.03.01.02</t>
  </si>
  <si>
    <t>B02.05.03.01.01</t>
  </si>
  <si>
    <t>B02.05.03.01.02</t>
  </si>
  <si>
    <t>B02.05.03.02</t>
  </si>
  <si>
    <t>B02.05.03.03</t>
  </si>
  <si>
    <t>B02.05.03.04</t>
  </si>
  <si>
    <t>B02.05.04</t>
  </si>
  <si>
    <t>B02.05.05</t>
  </si>
  <si>
    <t>B02.06</t>
  </si>
  <si>
    <t>B02.07</t>
  </si>
  <si>
    <t>B02.03-B02.04-B02.90+B02.06</t>
  </si>
  <si>
    <t>B02.08</t>
  </si>
  <si>
    <t>B02.09</t>
  </si>
  <si>
    <t>B02.07-B02.08</t>
  </si>
  <si>
    <t>B02.10</t>
  </si>
  <si>
    <t>B02.10.01</t>
  </si>
  <si>
    <t>B02.10.01.02</t>
  </si>
  <si>
    <t>B02.11</t>
  </si>
  <si>
    <t>B02.11.01</t>
  </si>
  <si>
    <t>B02.11.01.02</t>
  </si>
  <si>
    <t>B02.22</t>
  </si>
  <si>
    <t>存放央行余额</t>
  </si>
  <si>
    <t>B02.22.01+B02.22.02</t>
  </si>
  <si>
    <t>B02.22.01</t>
  </si>
  <si>
    <t xml:space="preserve">  法准</t>
  </si>
  <si>
    <t>22.01</t>
  </si>
  <si>
    <t>B02.22.02</t>
  </si>
  <si>
    <t xml:space="preserve">  超备</t>
  </si>
  <si>
    <t>22.02</t>
  </si>
  <si>
    <t>B02.23</t>
  </si>
  <si>
    <t>存放央行日均</t>
  </si>
  <si>
    <t>B02.23.01+B02.23.02</t>
  </si>
  <si>
    <t>B02.23.01</t>
  </si>
  <si>
    <t>23.01</t>
  </si>
  <si>
    <t>B02.23.02</t>
  </si>
  <si>
    <t>23.02</t>
  </si>
  <si>
    <t>B02.24</t>
  </si>
  <si>
    <t>B02.24.01+B02.24.02+B02.24.03+B02.24.04+B02.24.05+B02.24.06</t>
  </si>
  <si>
    <t>B02.24.01</t>
  </si>
  <si>
    <t>B02.24.02</t>
  </si>
  <si>
    <t>B02.24.03</t>
  </si>
  <si>
    <t>B02.24.04</t>
  </si>
  <si>
    <t>B02.24.04.01+B02.24.04.02+B02.24.04.03+B02.24.04.04+B02.24.04.05+B02.24.04.06+B02.24.04.07+B02.24.04.08+B02.24.04.09+B02.24.04.10</t>
  </si>
  <si>
    <t>B02.24.04.01</t>
  </si>
  <si>
    <t xml:space="preserve">    利率债</t>
  </si>
  <si>
    <t>B02.24.04.01.01+B02.24.04.01.02</t>
  </si>
  <si>
    <t>24.04.01</t>
  </si>
  <si>
    <t>B02.24.04.01.01</t>
  </si>
  <si>
    <t xml:space="preserve">      AC和OCI</t>
  </si>
  <si>
    <t>24.04.01.01</t>
  </si>
  <si>
    <t>B02.24.04.01.02</t>
  </si>
  <si>
    <t xml:space="preserve">      PL</t>
  </si>
  <si>
    <t>24.04.01.02</t>
  </si>
  <si>
    <t>B02.24.04.02</t>
  </si>
  <si>
    <t xml:space="preserve">    国债</t>
  </si>
  <si>
    <t>24.04.02</t>
  </si>
  <si>
    <t>B02.24.04.03</t>
  </si>
  <si>
    <t xml:space="preserve">    政金债</t>
  </si>
  <si>
    <t>24.04.03</t>
  </si>
  <si>
    <t>B02.24.04.04</t>
  </si>
  <si>
    <t xml:space="preserve">    地方债</t>
  </si>
  <si>
    <t>24.04.04</t>
  </si>
  <si>
    <t>B02.24.04.05</t>
  </si>
  <si>
    <t xml:space="preserve">    铁道债</t>
  </si>
  <si>
    <t>24.04.05</t>
  </si>
  <si>
    <t>B02.24.04.06</t>
  </si>
  <si>
    <t xml:space="preserve">    银行债</t>
  </si>
  <si>
    <t>24.04.06</t>
  </si>
  <si>
    <t>B02.24.04.07</t>
  </si>
  <si>
    <t xml:space="preserve">    非银债</t>
  </si>
  <si>
    <t>24.04.07</t>
  </si>
  <si>
    <t>B02.24.04.08</t>
  </si>
  <si>
    <t xml:space="preserve">    信用债</t>
  </si>
  <si>
    <t>B02.24.04.08.01+B02.24.04.08.02</t>
  </si>
  <si>
    <t>24.04.08</t>
  </si>
  <si>
    <t>B02.24.04.08.01</t>
  </si>
  <si>
    <t>24.04.08.01</t>
  </si>
  <si>
    <t>B02.24.04.08.02</t>
  </si>
  <si>
    <t>24.04.08.02</t>
  </si>
  <si>
    <t>B02.24.04.09</t>
  </si>
  <si>
    <t>B02.24.04.10</t>
  </si>
  <si>
    <t xml:space="preserve">    二级资本债</t>
  </si>
  <si>
    <t>24.04.10</t>
  </si>
  <si>
    <t>B02.24.05</t>
  </si>
  <si>
    <t>B02.24.05.01+B02.24.05.02</t>
  </si>
  <si>
    <t>B02.24.05.01</t>
  </si>
  <si>
    <t xml:space="preserve">    AC和OCI</t>
  </si>
  <si>
    <t>24.05.01</t>
  </si>
  <si>
    <t>B02.24.05.02</t>
  </si>
  <si>
    <t xml:space="preserve">    PL</t>
  </si>
  <si>
    <t>24.05.02</t>
  </si>
  <si>
    <t>B02.24.06</t>
  </si>
  <si>
    <t xml:space="preserve">  基金投资</t>
  </si>
  <si>
    <t>B02.24.06.01+B02.24.06.02</t>
  </si>
  <si>
    <t>B02.24.06.01</t>
  </si>
  <si>
    <t xml:space="preserve">    货基</t>
  </si>
  <si>
    <t>24.06.01</t>
  </si>
  <si>
    <t>B02.24.06.02</t>
  </si>
  <si>
    <t xml:space="preserve">    债基</t>
  </si>
  <si>
    <t>24.06.02</t>
  </si>
  <si>
    <t>B02.25</t>
  </si>
  <si>
    <t>B02.25.01+B02.25.02+B02.25.03+B02.25.04+B02.25.05+B02.25.06+B02.25.07</t>
  </si>
  <si>
    <t>B02.25.01</t>
  </si>
  <si>
    <t>B02.25.02</t>
  </si>
  <si>
    <t>B02.25.03</t>
  </si>
  <si>
    <t>B02.25.04</t>
  </si>
  <si>
    <t>B02.25.04.01+B02.25.04.02+B02.25.04.03+B02.25.04.04+B02.25.04.05+B02.25.04.06+B02.25.04.07+B02.25.04.08+B02.25.04.09+B02.25.04.10</t>
  </si>
  <si>
    <t>B02.25.04.01</t>
  </si>
  <si>
    <t>25.04.01</t>
  </si>
  <si>
    <t>B02.25.04.02</t>
  </si>
  <si>
    <t>25.04.02</t>
  </si>
  <si>
    <t>B02.25.04.03</t>
  </si>
  <si>
    <t>25.04.03</t>
  </si>
  <si>
    <t>B02.25.04.04</t>
  </si>
  <si>
    <t>25.04.04</t>
  </si>
  <si>
    <t>B02.25.04.05</t>
  </si>
  <si>
    <t>25.04.05</t>
  </si>
  <si>
    <t>B02.25.04.06</t>
  </si>
  <si>
    <t>25.04.06</t>
  </si>
  <si>
    <t>B02.25.04.07</t>
  </si>
  <si>
    <t>25.04.07</t>
  </si>
  <si>
    <t>B02.25.04.08</t>
  </si>
  <si>
    <t xml:space="preserve">     信用债</t>
  </si>
  <si>
    <t>25.04.08</t>
  </si>
  <si>
    <t>B02.25.04.09</t>
  </si>
  <si>
    <t>B02.25.04.10</t>
  </si>
  <si>
    <t>25.04.10</t>
  </si>
  <si>
    <t>B02.25.05</t>
  </si>
  <si>
    <t>B02.25.06</t>
  </si>
  <si>
    <t>B02.25.06.01+B02.25.06.02</t>
  </si>
  <si>
    <t>B02.25.06.01</t>
  </si>
  <si>
    <t>25.06.01</t>
  </si>
  <si>
    <t>B02.25.06.02</t>
  </si>
  <si>
    <t>25.06.02</t>
  </si>
  <si>
    <t>B02.25.07</t>
  </si>
  <si>
    <t xml:space="preserve">  其他PL资产</t>
  </si>
  <si>
    <t>B02.25.07.01+B02.25.07.02+B02.25.07.03</t>
  </si>
  <si>
    <t>B02.25.07.01</t>
  </si>
  <si>
    <t xml:space="preserve">    PL利率债</t>
  </si>
  <si>
    <t>25.07.01</t>
  </si>
  <si>
    <t>B02.25.07.02</t>
  </si>
  <si>
    <t xml:space="preserve">    PL信用债</t>
  </si>
  <si>
    <t>25.07.02</t>
  </si>
  <si>
    <t>B02.25.07.03</t>
  </si>
  <si>
    <t xml:space="preserve">    PL同业存单投资</t>
  </si>
  <si>
    <t>25.07.03</t>
  </si>
  <si>
    <t>B02.26</t>
  </si>
  <si>
    <t>B02.26.02+B02.26.03+B02.26.04+B02.26.05+B02.26.06+B02.26.07</t>
  </si>
  <si>
    <t>B02.26.02</t>
  </si>
  <si>
    <t>B02.26.03</t>
  </si>
  <si>
    <t>B02.26.04</t>
  </si>
  <si>
    <t>B02.26.05</t>
  </si>
  <si>
    <t>B02.26.06</t>
  </si>
  <si>
    <t xml:space="preserve">负债余额 </t>
  </si>
  <si>
    <t>B02.26.07</t>
  </si>
  <si>
    <t xml:space="preserve">  交易性金融负债</t>
  </si>
  <si>
    <t>26.07</t>
  </si>
  <si>
    <t>B02.27</t>
  </si>
  <si>
    <t>B02.27.02+B02.27.03+B02.27.04+B02.27.05+B02.27.06+B02.27.07</t>
  </si>
  <si>
    <t>B02.27.02</t>
  </si>
  <si>
    <t>B02.27.03</t>
  </si>
  <si>
    <t>B02.27.04</t>
  </si>
  <si>
    <t>B02.27.05</t>
  </si>
  <si>
    <t>B02.27.06</t>
  </si>
  <si>
    <t>B02.27.07</t>
  </si>
  <si>
    <t>27.07</t>
  </si>
  <si>
    <t>B02.14</t>
  </si>
  <si>
    <t>B02.14.01+B02.14.02+B02.14.03</t>
  </si>
  <si>
    <t>B02.14.01</t>
  </si>
  <si>
    <t>B02.14.01.01</t>
  </si>
  <si>
    <t>B02.14.02</t>
  </si>
  <si>
    <t>B02.14.02.01+B02.14.02.02+B02.14.02.03+B02.14.02.04+B02.14.02.05</t>
  </si>
  <si>
    <t>B02.14.02.01</t>
  </si>
  <si>
    <t xml:space="preserve">    存放央行</t>
  </si>
  <si>
    <t>B02.14.02.01.01</t>
  </si>
  <si>
    <t xml:space="preserve">      收息率</t>
  </si>
  <si>
    <t>14.02.01.01</t>
  </si>
  <si>
    <t>B02.14.02.02</t>
  </si>
  <si>
    <t>B02.14.02.02.01</t>
  </si>
  <si>
    <t>B02.14.02.03</t>
  </si>
  <si>
    <t>B02.14.02.03.01</t>
  </si>
  <si>
    <t>14.02.03.01</t>
  </si>
  <si>
    <t>B02.14.02.04</t>
  </si>
  <si>
    <t>B02.14.02.04.01</t>
  </si>
  <si>
    <t>B02.14.02.05</t>
  </si>
  <si>
    <t>B02.14.02.05.01</t>
  </si>
  <si>
    <t>14.02.05.01</t>
  </si>
  <si>
    <t>B02.14.03</t>
  </si>
  <si>
    <t xml:space="preserve">  投资利息收入</t>
  </si>
  <si>
    <t>B02.14.03.01+B02.14.03.02+B02.14.03.03+B02.14.03.04+B02.14.03.05+B02.14.03.06+B02.14.03.07+B02.14.03.08+B02.14.03.09+B02.14.03.10</t>
  </si>
  <si>
    <t>B02.14.03.01</t>
  </si>
  <si>
    <t>B02.14.03.01.01</t>
  </si>
  <si>
    <t>14.03.01</t>
  </si>
  <si>
    <t>14.03.01.01</t>
  </si>
  <si>
    <t>B02.14.03.02</t>
  </si>
  <si>
    <t>B02.14.03.02.01</t>
  </si>
  <si>
    <t>14.03.02</t>
  </si>
  <si>
    <t>14.03.02.01</t>
  </si>
  <si>
    <t>B02.14.03.03</t>
  </si>
  <si>
    <t>B02.14.03.03.01</t>
  </si>
  <si>
    <t>14.03.03</t>
  </si>
  <si>
    <t>14.03.03.01</t>
  </si>
  <si>
    <t>B02.14.03.04</t>
  </si>
  <si>
    <t>B02.14.03.04.01</t>
  </si>
  <si>
    <t>14.03.04</t>
  </si>
  <si>
    <t>14.03.04.01</t>
  </si>
  <si>
    <t>B02.14.03.05</t>
  </si>
  <si>
    <t>B02.14.03.05.01</t>
  </si>
  <si>
    <t>14.03.05</t>
  </si>
  <si>
    <t>14.03.05.01</t>
  </si>
  <si>
    <t>B02.14.03.06</t>
  </si>
  <si>
    <t>B02.14.03.06.01</t>
  </si>
  <si>
    <t>14.03.06</t>
  </si>
  <si>
    <t>14.03.06.01</t>
  </si>
  <si>
    <t>B02.14.03.07</t>
  </si>
  <si>
    <t>B02.14.03.07.01</t>
  </si>
  <si>
    <t>14.03.07</t>
  </si>
  <si>
    <t>14.03.07.01</t>
  </si>
  <si>
    <t>B02.14.03.08</t>
  </si>
  <si>
    <t>B02.14.03.08.01</t>
  </si>
  <si>
    <t>14.03.08</t>
  </si>
  <si>
    <t>14.03.08.01</t>
  </si>
  <si>
    <t>B02.14.03.09</t>
  </si>
  <si>
    <t xml:space="preserve">    ABS投资</t>
  </si>
  <si>
    <t>B02.14.03.09.01</t>
  </si>
  <si>
    <t>B02.14.03.10</t>
  </si>
  <si>
    <t>B02.14.03.10.01</t>
  </si>
  <si>
    <t>14.03.10</t>
  </si>
  <si>
    <t>14.03.10.01</t>
  </si>
  <si>
    <t>B02.15</t>
  </si>
  <si>
    <t>B02.15.01+B02.15.02+B02.15.03</t>
  </si>
  <si>
    <t>B02.15.01</t>
  </si>
  <si>
    <t>B02.15.01.01</t>
  </si>
  <si>
    <t>B02.15.02</t>
  </si>
  <si>
    <t>B02.15.02.01+B02.15.02.02+B02.15.02.03+B02.15.02.04+B02.15.02.05</t>
  </si>
  <si>
    <t>B02.15.02.01</t>
  </si>
  <si>
    <t>B02.15.02.01.01</t>
  </si>
  <si>
    <t>15.02.01</t>
  </si>
  <si>
    <t xml:space="preserve">      FTP</t>
  </si>
  <si>
    <t>15.02.01.01</t>
  </si>
  <si>
    <t>B02.15.02.02</t>
  </si>
  <si>
    <t>B02.15.02.02.01</t>
  </si>
  <si>
    <t>B02.15.02.03</t>
  </si>
  <si>
    <t>B02.15.02.03.01</t>
  </si>
  <si>
    <t>15.02.03</t>
  </si>
  <si>
    <t>15.02.03.01</t>
  </si>
  <si>
    <t>B02.15.02.04</t>
  </si>
  <si>
    <t>B02.15.02.04.01</t>
  </si>
  <si>
    <t>B02.15.02.05</t>
  </si>
  <si>
    <t>B02.15.02.05.01</t>
  </si>
  <si>
    <t>15.02.05</t>
  </si>
  <si>
    <t>15.02.05.01</t>
  </si>
  <si>
    <t>B02.15.03</t>
  </si>
  <si>
    <t>B02.15.03.01+B02.15.03.02+B02.15.03.03+B02.15.03.04+B02.15.03.05+B02.15.03.06+B02.15.03.07+B02.15.03.08+B02.15.03.09+B02.15.03.10+B02.15.03.11+B02.15.03.12</t>
  </si>
  <si>
    <t>B02.15.03.01</t>
  </si>
  <si>
    <t>B02.15.03.01.01</t>
  </si>
  <si>
    <t>15.03.01</t>
  </si>
  <si>
    <t>15.03.01.01</t>
  </si>
  <si>
    <t>B02.15.03.02</t>
  </si>
  <si>
    <t>B02.15.03.02.01</t>
  </si>
  <si>
    <t>15.03.02</t>
  </si>
  <si>
    <t>15.03.02.01</t>
  </si>
  <si>
    <t>B02.15.03.03</t>
  </si>
  <si>
    <t>B02.15.03.03.01</t>
  </si>
  <si>
    <t>15.03.03</t>
  </si>
  <si>
    <t>15.03.03.01</t>
  </si>
  <si>
    <t>B02.15.03.04</t>
  </si>
  <si>
    <t>B02.15.03.04.01</t>
  </si>
  <si>
    <t>15.03.04</t>
  </si>
  <si>
    <t>15.03.04.01</t>
  </si>
  <si>
    <t>B02.15.03.05</t>
  </si>
  <si>
    <t>B02.15.03.05.01</t>
  </si>
  <si>
    <t>15.03.05</t>
  </si>
  <si>
    <t>15.03.05.01</t>
  </si>
  <si>
    <t>B02.15.03.06</t>
  </si>
  <si>
    <t>B02.15.03.06.01</t>
  </si>
  <si>
    <t>15.03.06</t>
  </si>
  <si>
    <t>15.03.06.01</t>
  </si>
  <si>
    <t>B02.15.03.07</t>
  </si>
  <si>
    <t>B02.15.03.07.01</t>
  </si>
  <si>
    <t>15.03.07</t>
  </si>
  <si>
    <t>15.03.07.01</t>
  </si>
  <si>
    <t>B02.15.03.08</t>
  </si>
  <si>
    <t>B02.15.03.08.01</t>
  </si>
  <si>
    <t>15.03.08</t>
  </si>
  <si>
    <t>15.03.08.01</t>
  </si>
  <si>
    <t>B02.15.03.09</t>
  </si>
  <si>
    <t>B02.15.03.09.01</t>
  </si>
  <si>
    <t>B02.15.03.10</t>
  </si>
  <si>
    <t>B02.15.03.10.01</t>
  </si>
  <si>
    <t>15.03.10</t>
  </si>
  <si>
    <t>15.03.10.01</t>
  </si>
  <si>
    <t>B02.15.03.11</t>
  </si>
  <si>
    <t>B02.15.03.11.01</t>
  </si>
  <si>
    <t>15.03.11</t>
  </si>
  <si>
    <t>15.03.11.01</t>
  </si>
  <si>
    <t>B02.15.03.12</t>
  </si>
  <si>
    <t>B02.15.03.12.01</t>
  </si>
  <si>
    <t>15.03.12</t>
  </si>
  <si>
    <t>15.03.12.01</t>
  </si>
  <si>
    <t>B02.16</t>
  </si>
  <si>
    <t>B02.16.02</t>
  </si>
  <si>
    <t>B02.16.02.02+B02.16.02.03+B02.16.02.04+B02.16.02.05+B02.16.02.06</t>
  </si>
  <si>
    <t>B02.16.02.02</t>
  </si>
  <si>
    <t>B02.16.02.02.01</t>
  </si>
  <si>
    <t xml:space="preserve">      付息率</t>
  </si>
  <si>
    <t>B02.16.02.03</t>
  </si>
  <si>
    <t>B02.16.02.03.01</t>
  </si>
  <si>
    <t>16.02.03.01</t>
  </si>
  <si>
    <t>B02.16.02.04</t>
  </si>
  <si>
    <t>B02.16.02.04.01</t>
  </si>
  <si>
    <t>16.02.04.01</t>
  </si>
  <si>
    <t>B02.16.02.05</t>
  </si>
  <si>
    <t>B02.16.02.05.01</t>
  </si>
  <si>
    <t>B02.16.02.06</t>
  </si>
  <si>
    <t>B02.16.02.06.01</t>
  </si>
  <si>
    <t>16.02.06.01</t>
  </si>
  <si>
    <t>B02.17</t>
  </si>
  <si>
    <t>B02.17.02+B02.17.03</t>
  </si>
  <si>
    <t>B02.17.02</t>
  </si>
  <si>
    <t>B02.17.02.01+B02.17.02.02+B02.17.02.03+B02.17.02.04+B02.17.02.05</t>
  </si>
  <si>
    <t>B02.17.02.01</t>
  </si>
  <si>
    <t>B02.17.02.01.01</t>
  </si>
  <si>
    <t>17.02.01</t>
  </si>
  <si>
    <t>17.02.01.01</t>
  </si>
  <si>
    <t>B02.17.02.02</t>
  </si>
  <si>
    <t>B02.17.02.02.01</t>
  </si>
  <si>
    <t>B02.17.02.03</t>
  </si>
  <si>
    <t>B02.17.02.03.01</t>
  </si>
  <si>
    <t>17.02.03</t>
  </si>
  <si>
    <t>17.02.03.01</t>
  </si>
  <si>
    <t>B02.17.02.04</t>
  </si>
  <si>
    <t>B02.17.02.04.01</t>
  </si>
  <si>
    <t>17.02.04</t>
  </si>
  <si>
    <t>17.02.04.01</t>
  </si>
  <si>
    <t>B02.17.02.05</t>
  </si>
  <si>
    <t>B02.17.02.05.01</t>
  </si>
  <si>
    <t>B02.17.03</t>
  </si>
  <si>
    <t xml:space="preserve">    交易性金融负债</t>
  </si>
  <si>
    <t>B02.17.03.01</t>
  </si>
  <si>
    <t>17.03</t>
  </si>
  <si>
    <t>17.03.01</t>
  </si>
  <si>
    <t>B02.18</t>
  </si>
  <si>
    <t>B02.18.99</t>
  </si>
  <si>
    <t>B02.19</t>
  </si>
  <si>
    <t>B02.19.99</t>
  </si>
  <si>
    <t xml:space="preserve">  手续费支出</t>
  </si>
  <si>
    <t>B02.20</t>
  </si>
  <si>
    <t>B02.20.01+B02.20.02+B02.20.03+B02.20.04+B02.20.05+B02.20.06+B02.20.99</t>
  </si>
  <si>
    <t>B02.20.01</t>
  </si>
  <si>
    <t xml:space="preserve">  价差+公允价值变动损益</t>
  </si>
  <si>
    <t>B02.20.01.01+B02.20.01.02+B02.20.01.03+B02.20.01.04+B02.20.01.05+B02.20.01.06+B02.20.01.99</t>
  </si>
  <si>
    <t>B02.20.01.01</t>
  </si>
  <si>
    <t xml:space="preserve">    债券价差</t>
  </si>
  <si>
    <t>20.01.01</t>
  </si>
  <si>
    <t>B02.20.01.02</t>
  </si>
  <si>
    <t xml:space="preserve">    债券公允价值变动</t>
  </si>
  <si>
    <t>20.01.02</t>
  </si>
  <si>
    <t>B02.20.01.03</t>
  </si>
  <si>
    <t xml:space="preserve">    同业存单价差</t>
  </si>
  <si>
    <t>20.01.03</t>
  </si>
  <si>
    <t>B02.20.01.04</t>
  </si>
  <si>
    <t xml:space="preserve">    同业存单公允价值变动</t>
  </si>
  <si>
    <t>20.01.04</t>
  </si>
  <si>
    <t>B02.20.01.05</t>
  </si>
  <si>
    <t xml:space="preserve">    交易性金融负债价差</t>
  </si>
  <si>
    <t>20.01.05</t>
  </si>
  <si>
    <t>B02.20.01.06</t>
  </si>
  <si>
    <t xml:space="preserve">    交易性金融负债公允价值变动</t>
  </si>
  <si>
    <t>20.01.06</t>
  </si>
  <si>
    <t>B02.20.01.99</t>
  </si>
  <si>
    <t xml:space="preserve">    其他</t>
  </si>
  <si>
    <t>20.01.99</t>
  </si>
  <si>
    <t>B02.20.02</t>
  </si>
  <si>
    <t xml:space="preserve">  PL债券投资利息收入</t>
  </si>
  <si>
    <t>B02.20.02.01</t>
  </si>
  <si>
    <t xml:space="preserve">    收息率</t>
  </si>
  <si>
    <t>20.02.01</t>
  </si>
  <si>
    <t>B02.20.03</t>
  </si>
  <si>
    <t xml:space="preserve">  PL同业存单投资利息收入</t>
  </si>
  <si>
    <t>B02.20.03.01</t>
  </si>
  <si>
    <t>20.03</t>
  </si>
  <si>
    <t>20.03.01</t>
  </si>
  <si>
    <t>B02.20.04</t>
  </si>
  <si>
    <t xml:space="preserve">  货基投资</t>
  </si>
  <si>
    <t>B02.20.04.01</t>
  </si>
  <si>
    <t>20.04</t>
  </si>
  <si>
    <t>20.04.01</t>
  </si>
  <si>
    <t>B02.20.05</t>
  </si>
  <si>
    <t xml:space="preserve">  债基投资</t>
  </si>
  <si>
    <t>B02.20.05.01</t>
  </si>
  <si>
    <t>20.05</t>
  </si>
  <si>
    <t>20.05.01</t>
  </si>
  <si>
    <t>B02.20.06</t>
  </si>
  <si>
    <t>B02.20.06.01</t>
  </si>
  <si>
    <t>20.06</t>
  </si>
  <si>
    <t xml:space="preserve">    付息率</t>
  </si>
  <si>
    <t>20.06.01</t>
  </si>
  <si>
    <t>B02.20.99</t>
  </si>
  <si>
    <t xml:space="preserve">  返税收入</t>
  </si>
  <si>
    <t>B02.20.99.01+B02.20.99.02</t>
  </si>
  <si>
    <t>20.99</t>
  </si>
  <si>
    <t>B02.20.99.01</t>
  </si>
  <si>
    <t>B02.20.99.01.01+B02.20.99.01.02+B02.20.99.01.03+B02.20.99.01.04</t>
  </si>
  <si>
    <t>20.99.01</t>
  </si>
  <si>
    <t>B02.20.99.01.01</t>
  </si>
  <si>
    <t xml:space="preserve">      国债</t>
  </si>
  <si>
    <t>20.99.01.01</t>
  </si>
  <si>
    <t>B02.20.99.01.02</t>
  </si>
  <si>
    <t xml:space="preserve">      返税后收益率</t>
  </si>
  <si>
    <t>20.99.01.02</t>
  </si>
  <si>
    <t>B02.20.99.01.03</t>
  </si>
  <si>
    <t xml:space="preserve">      地方债</t>
  </si>
  <si>
    <t>20.99.01.03</t>
  </si>
  <si>
    <t>B02.20.99.01.04</t>
  </si>
  <si>
    <t>20.99.01.04</t>
  </si>
  <si>
    <t>B02.20.99.02</t>
  </si>
  <si>
    <t>B02.20.99.02.01+B02.20.99.02.02+B02.20.99.02.03+B02.20.99.02.04</t>
  </si>
  <si>
    <t>20.99.02</t>
  </si>
  <si>
    <t>B02.20.99.02.01</t>
  </si>
  <si>
    <t xml:space="preserve">      货基</t>
  </si>
  <si>
    <t>20.99.02.01</t>
  </si>
  <si>
    <t>B02.20.99.02.02</t>
  </si>
  <si>
    <t>20.99.02.02</t>
  </si>
  <si>
    <t>B02.20.99.02.03</t>
  </si>
  <si>
    <t xml:space="preserve">      债基</t>
  </si>
  <si>
    <t>20.99.02.03</t>
  </si>
  <si>
    <t>B02.20.99.02.04</t>
  </si>
  <si>
    <t>20.99.02.04</t>
  </si>
  <si>
    <t>B02.21</t>
  </si>
  <si>
    <t>B02.90</t>
  </si>
  <si>
    <t>B02.90.01</t>
  </si>
  <si>
    <t>B02.90.01.01</t>
  </si>
  <si>
    <t>B02.90.01.01.01</t>
  </si>
  <si>
    <t>B02.90.01.01.01.001+B02.90.01.01.01.002</t>
  </si>
  <si>
    <t>B02.90.01.01.01.001</t>
  </si>
  <si>
    <t>B02.90.01.01.01.002</t>
  </si>
  <si>
    <t>B02.90.01.01.02</t>
  </si>
  <si>
    <t>B02.90.01.01.02.001+B02.90.01.01.02.002</t>
  </si>
  <si>
    <t>B02.90.01.01.02.001</t>
  </si>
  <si>
    <t>B02.90.01.01.02.002</t>
  </si>
  <si>
    <t>B02.90.01.01.03</t>
  </si>
  <si>
    <t>B02.90.01.01.03.01+B02.90.01.01.03.02.001+B02.90.01.01.03.03.001+B02.90.01.01.03.04.001</t>
  </si>
  <si>
    <t>B02.90.01.01.03.01</t>
  </si>
  <si>
    <t>B02.90.01.01.03.01.001+B02.90.01.01.03.01.002</t>
  </si>
  <si>
    <t>B02.90.01.01.03.01.001</t>
  </si>
  <si>
    <t>B02.90.01.01.03.01.002</t>
  </si>
  <si>
    <t>B02.90.01.01.03.02</t>
  </si>
  <si>
    <t>B02.05.01.01.03.02</t>
  </si>
  <si>
    <t>B02.90.01.01.03.02.001</t>
  </si>
  <si>
    <t>B02.90.01.01.03.03</t>
  </si>
  <si>
    <t>B02.05.01.01.03.03</t>
  </si>
  <si>
    <t>B02.90.01.01.03.03.001</t>
  </si>
  <si>
    <t>B02.90.01.01.03.04</t>
  </si>
  <si>
    <t>B02.05.01.01.03.04</t>
  </si>
  <si>
    <t>B02.90.01.01.03.04.001</t>
  </si>
  <si>
    <t>B02.90.01.01.04</t>
  </si>
  <si>
    <t>B02.05.01.01.04</t>
  </si>
  <si>
    <t>B02.90.01.01.04.001</t>
  </si>
  <si>
    <t>B02.90.01.01.05</t>
  </si>
  <si>
    <t>B02.05.01.01.05</t>
  </si>
  <si>
    <t>B02.90.01.01.05.001</t>
  </si>
  <si>
    <t>B02.90.01.02</t>
  </si>
  <si>
    <t>B02.90.01.02.01</t>
  </si>
  <si>
    <t>B02.90.01.02.01.001+B02.90.01.02.01.002</t>
  </si>
  <si>
    <t>B02.90.01.02.01.001</t>
  </si>
  <si>
    <t>B02.90.01.02.01.002</t>
  </si>
  <si>
    <t>B02.90.01.02.02</t>
  </si>
  <si>
    <t>B02.90.01.02.02.001+B02.90.01.02.02.002</t>
  </si>
  <si>
    <t>B02.90.01.02.02.001</t>
  </si>
  <si>
    <t>B02.90.01.02.02.002</t>
  </si>
  <si>
    <t>B02.90.01.02.03</t>
  </si>
  <si>
    <t>B02.90.01.02.03.01+B02.90.01.02.03.02.001+B02.90.01.02.03.03.001+B02.90.01.02.03.04.001</t>
  </si>
  <si>
    <t>B02.90.01.02.03.01</t>
  </si>
  <si>
    <t>B02.90.01.02.03.01.001+B02.90.01.02.03.01.002</t>
  </si>
  <si>
    <t>B02.90.01.02.03.01.001</t>
  </si>
  <si>
    <t>B02.90.01.02.03.01.002</t>
  </si>
  <si>
    <t>B02.90.01.02.03.02</t>
  </si>
  <si>
    <t>B02.05.01.02.03.02</t>
  </si>
  <si>
    <t>B02.90.01.02.03.02.001</t>
  </si>
  <si>
    <t>B02.90.01.02.03.03</t>
  </si>
  <si>
    <t>B02.05.01.02.03.03</t>
  </si>
  <si>
    <t>B02.90.01.02.03.03.001</t>
  </si>
  <si>
    <t>B02.90.01.02.03.04</t>
  </si>
  <si>
    <t>B02.05.01.02.03.04</t>
  </si>
  <si>
    <t>B02.90.01.02.03.04.001</t>
  </si>
  <si>
    <t>B02.90.01.02.04</t>
  </si>
  <si>
    <t>B02.05.01.02.04</t>
  </si>
  <si>
    <t>B02.90.01.02.04.001</t>
  </si>
  <si>
    <t>B02.90.01.02.05</t>
  </si>
  <si>
    <t>B02.05.01.02.05</t>
  </si>
  <si>
    <t>B02.90.01.02.05.001</t>
  </si>
  <si>
    <t>B02.90.02</t>
  </si>
  <si>
    <t>B02.90.02.01</t>
  </si>
  <si>
    <t>B02.90.02.02</t>
  </si>
  <si>
    <t>B02.90.02.09</t>
  </si>
  <si>
    <t>B02.90.02.09.01+B02.90.02.09.02+B02.90.02.09.03</t>
  </si>
  <si>
    <t>B02.90.02.09.01</t>
  </si>
  <si>
    <t>B02.90.02.09.01.001+B02.90.02.09.01.002+B02.90.02.09.01.003+B02.90.02.09.01.004</t>
  </si>
  <si>
    <t>B02.90.02.09.01.001</t>
  </si>
  <si>
    <t>B02.90.02.09.01.002</t>
  </si>
  <si>
    <t>B02.90.02.09.01.003</t>
  </si>
  <si>
    <t>B02.90.02.09.01.004</t>
  </si>
  <si>
    <t>B02.90.02.09.02</t>
  </si>
  <si>
    <t>B02.90.02.09.02.101+B02.90.02.09.02.102+B02.90.02.09.02.103</t>
  </si>
  <si>
    <t>B02.90.02.09.02.001</t>
  </si>
  <si>
    <t>B02.90.02.09.02.002</t>
  </si>
  <si>
    <t>B02.90.02.09.02.003</t>
  </si>
  <si>
    <t>B02.90.02.09.02.004</t>
  </si>
  <si>
    <t>B02.90.02.09.02.005</t>
  </si>
  <si>
    <t>B02.90.02.09.02.006</t>
  </si>
  <si>
    <t>B02.90.02.09.02.007</t>
  </si>
  <si>
    <t>B02.90.02.09.02.008</t>
  </si>
  <si>
    <t>B02.90.02.09.02.009</t>
  </si>
  <si>
    <t>B02.90.02.09.02.010</t>
  </si>
  <si>
    <t>B02.90.02.09.02.011</t>
  </si>
  <si>
    <t>B02.90.02.09.02.101</t>
  </si>
  <si>
    <t>B02.90.02.09.02.001+B02.90.02.09.02.002+B02.90.02.09.02.005+B02.90.02.09.02.006+B02.90.02.09.02.010</t>
  </si>
  <si>
    <t>B02.90.02.09.02.102</t>
  </si>
  <si>
    <t>B02.90.02.09.02.007+B02.90.02.09.02.008+B02.90.02.09.02.011</t>
  </si>
  <si>
    <t>B02.90.02.09.02.103</t>
  </si>
  <si>
    <t>B02.90.02.09.02.003+B02.90.02.09.02.004+B02.90.02.09.02.009</t>
  </si>
  <si>
    <t>B02.90.02.09.03</t>
  </si>
  <si>
    <t>B02.90.02.09.03.001+B02.90.02.09.03.002+B02.90.02.09.03.003</t>
  </si>
  <si>
    <t>B02.90.02.09.03.001</t>
  </si>
  <si>
    <t>B02.90.02.09.03.002</t>
  </si>
  <si>
    <t>B02.90.02.09.03.003</t>
  </si>
  <si>
    <t>B02.90.03</t>
  </si>
  <si>
    <t>B02.90.03.01</t>
  </si>
  <si>
    <t>B02.90.03.01.01</t>
  </si>
  <si>
    <t>B02.90.03.01.02</t>
  </si>
  <si>
    <t>B02.90.03.02</t>
  </si>
  <si>
    <t>B02.90.03.03</t>
  </si>
  <si>
    <t>B02.90.03.04</t>
  </si>
  <si>
    <t>B02.90.04</t>
  </si>
  <si>
    <t>B02.90.05</t>
  </si>
  <si>
    <t>C.01</t>
  </si>
  <si>
    <t>C.01.01+C.01.02+C.01.03</t>
  </si>
  <si>
    <t>C.01.01</t>
  </si>
  <si>
    <t>C.01.01.01+C.01.01.02</t>
  </si>
  <si>
    <t>C.01.01.01</t>
  </si>
  <si>
    <t>C.14</t>
  </si>
  <si>
    <t>C.15</t>
  </si>
  <si>
    <t>C.01.01.02</t>
  </si>
  <si>
    <t>C.16</t>
  </si>
  <si>
    <t>C.17</t>
  </si>
  <si>
    <t>C.01.02</t>
  </si>
  <si>
    <t>C.18</t>
  </si>
  <si>
    <t>C.19</t>
  </si>
  <si>
    <t>C.01.03</t>
  </si>
  <si>
    <t>C.02</t>
  </si>
  <si>
    <t>C.03</t>
  </si>
  <si>
    <t>C.04</t>
  </si>
  <si>
    <t>C.05</t>
  </si>
  <si>
    <t>C.90.01+C.90.09+C.90.03+C.90.04+C.90.05</t>
  </si>
  <si>
    <t>C.05.01</t>
  </si>
  <si>
    <t>C.90.01.01+C.90.01.02</t>
  </si>
  <si>
    <t>C.05.01.01</t>
  </si>
  <si>
    <t>C.90.01.01.01+C.90.01.01.02+C.90.01.01.03+C.90.01.01.04.001+C.90.01.01.05.001</t>
  </si>
  <si>
    <t>C.05.01.02</t>
  </si>
  <si>
    <t>C.90.01.02.01+C.90.01.02.02+C.90.01.02.03+C.90.01.02.04.001+C.90.01.02.05.001</t>
  </si>
  <si>
    <t>C.05.02</t>
  </si>
  <si>
    <t>C.05.02.01</t>
  </si>
  <si>
    <t>C.05.02.02</t>
  </si>
  <si>
    <t>C.05.03</t>
  </si>
  <si>
    <t>C.90.03.01+C.90.03.02+C.90.03.03+C.90.03.04</t>
  </si>
  <si>
    <t>C.05.03.01</t>
  </si>
  <si>
    <t>C.90.03.01.01+C.90.03.01.02</t>
  </si>
  <si>
    <t>C.05.03.01.01</t>
  </si>
  <si>
    <t>C.05.03.01.02</t>
  </si>
  <si>
    <t>C.05.03.02</t>
  </si>
  <si>
    <t>C.05.03.03</t>
  </si>
  <si>
    <t>C.05.03.04</t>
  </si>
  <si>
    <t>C.05.04</t>
  </si>
  <si>
    <t>C.05.05</t>
  </si>
  <si>
    <t>C.06</t>
  </si>
  <si>
    <t>C.07</t>
  </si>
  <si>
    <t>C.08</t>
  </si>
  <si>
    <t>C.09</t>
  </si>
  <si>
    <t>C.12</t>
  </si>
  <si>
    <t>C.12.01</t>
  </si>
  <si>
    <t>C.13</t>
  </si>
  <si>
    <t>C.13.01</t>
  </si>
  <si>
    <t>C.90</t>
  </si>
  <si>
    <t>C.90.01</t>
  </si>
  <si>
    <t>C.90.01.01</t>
  </si>
  <si>
    <t>C.90.01.01.01</t>
  </si>
  <si>
    <t>C.90.01.01.01.001+C.90.01.01.01.002</t>
  </si>
  <si>
    <t>C.90.01.01.01.001</t>
  </si>
  <si>
    <t>C.90.01.01.01.002</t>
  </si>
  <si>
    <t>C.90.01.01.02</t>
  </si>
  <si>
    <t>C.90.01.01.02.001+C.90.01.01.02.002</t>
  </si>
  <si>
    <t>C.90.01.01.02.001</t>
  </si>
  <si>
    <t>C.90.01.01.02.002</t>
  </si>
  <si>
    <t>C.90.01.01.03</t>
  </si>
  <si>
    <t>C.90.01.01.03.01+C.90.01.01.03.02.001+C.90.01.01.03.03.001+C.90.01.01.03.04.001</t>
  </si>
  <si>
    <t>C.90.01.01.03.01</t>
  </si>
  <si>
    <t>C.90.01.01.03.01.001+C.90.01.01.03.01.002</t>
  </si>
  <si>
    <t>C.90.01.01.03.01.001</t>
  </si>
  <si>
    <t>C.90.01.01.03.01.002</t>
  </si>
  <si>
    <t>C.90.01.01.03.02</t>
  </si>
  <si>
    <t>C.05.01.01.03.02</t>
  </si>
  <si>
    <t>C.90.01.01.03.02.001</t>
  </si>
  <si>
    <t>C.90.01.01.03.03</t>
  </si>
  <si>
    <t>C.05.01.01.03.03</t>
  </si>
  <si>
    <t>C.90.01.01.03.03.001</t>
  </si>
  <si>
    <t>C.90.01.01.03.04</t>
  </si>
  <si>
    <t>C.05.01.01.03.04</t>
  </si>
  <si>
    <t>C.90.01.01.03.04.001</t>
  </si>
  <si>
    <t>C.90.01.01.04</t>
  </si>
  <si>
    <t>C.05.01.01.04</t>
  </si>
  <si>
    <t>C.90.01.01.04.001</t>
  </si>
  <si>
    <t>C.90.01.01.05</t>
  </si>
  <si>
    <t>C.05.01.01.05</t>
  </si>
  <si>
    <t>C.90.01.01.05.001</t>
  </si>
  <si>
    <t>C.90.01.02</t>
  </si>
  <si>
    <t>C.90.01.02.01</t>
  </si>
  <si>
    <t>C.90.01.02.01.001+C.90.01.02.01.002</t>
  </si>
  <si>
    <t>C.90.01.02.01.001</t>
  </si>
  <si>
    <t>C.90.01.02.01.002</t>
  </si>
  <si>
    <t>C.90.01.02.02</t>
  </si>
  <si>
    <t>C.90.01.02.02.001+C.90.01.02.02.002</t>
  </si>
  <si>
    <t>C.90.01.02.02.001</t>
  </si>
  <si>
    <t>C.90.01.02.02.002</t>
  </si>
  <si>
    <t>C.90.01.02.03</t>
  </si>
  <si>
    <t>C.90.01.02.03.01+C.90.01.02.03.02.001+C.90.01.02.03.03.001+C.90.01.02.03.04.001</t>
  </si>
  <si>
    <t>C.90.01.02.03.01</t>
  </si>
  <si>
    <t>C.90.01.02.03.01.001+C.90.01.02.03.01.002</t>
  </si>
  <si>
    <t>C.90.01.02.03.01.001</t>
  </si>
  <si>
    <t>C.90.01.02.03.01.002</t>
  </si>
  <si>
    <t>C.90.01.02.03.02</t>
  </si>
  <si>
    <t>C.05.01.02.03.02</t>
  </si>
  <si>
    <t>C.90.01.02.03.02.001</t>
  </si>
  <si>
    <t>C.90.01.02.03.03</t>
  </si>
  <si>
    <t>C.05.01.02.03.03</t>
  </si>
  <si>
    <t>C.90.01.02.03.03.001</t>
  </si>
  <si>
    <t>C.90.01.02.03.04</t>
  </si>
  <si>
    <t>C.05.01.02.03.04</t>
  </si>
  <si>
    <t>C.90.01.02.03.04.001</t>
  </si>
  <si>
    <t>C.90.01.02.04</t>
  </si>
  <si>
    <t>C.05.01.02.04</t>
  </si>
  <si>
    <t>C.90.01.02.04.001</t>
  </si>
  <si>
    <t>C.90.01.02.05</t>
  </si>
  <si>
    <t>C.05.01.02.05</t>
  </si>
  <si>
    <t>C.90.01.02.05.001</t>
  </si>
  <si>
    <t>C.90.02</t>
  </si>
  <si>
    <t>C.90.02.01</t>
  </si>
  <si>
    <t>C.90.02.02</t>
  </si>
  <si>
    <t>C.90.03</t>
  </si>
  <si>
    <t>C.90.03.01</t>
  </si>
  <si>
    <t>C.90.03.01.01</t>
  </si>
  <si>
    <t>C.90.03.01.02</t>
  </si>
  <si>
    <t>C.90.03.02</t>
  </si>
  <si>
    <t>C.90.03.03</t>
  </si>
  <si>
    <t>C.90.03.04</t>
  </si>
  <si>
    <t>C.90.04</t>
  </si>
  <si>
    <t>C.90.05</t>
  </si>
  <si>
    <t>C.90.09</t>
  </si>
  <si>
    <t>C.90.09.09</t>
  </si>
  <si>
    <t>C.90.09.09.01+C.90.09.09.02+C.90.09.09.03</t>
  </si>
  <si>
    <t>C.90.09.09.01</t>
  </si>
  <si>
    <t>C.90.09.09.01.001+C.90.09.09.01.002+C.90.09.09.01.003+C.90.09.09.01.004</t>
  </si>
  <si>
    <t>C.90.09.09.01.001</t>
  </si>
  <si>
    <t>C.90.09.09.01.002</t>
  </si>
  <si>
    <t>C.90.09.09.01.003</t>
  </si>
  <si>
    <t>C.90.09.09.01.004</t>
  </si>
  <si>
    <t>C.90.09.09.02</t>
  </si>
  <si>
    <t>C.90.09.09.02.101+C.90.09.09.02.102+C.90.09.09.02.103</t>
  </si>
  <si>
    <t>C.90.09.09.02.001</t>
  </si>
  <si>
    <t>C.90.09.09.02.002</t>
  </si>
  <si>
    <t>C.90.09.09.02.003</t>
  </si>
  <si>
    <t>C.90.09.09.02.004</t>
  </si>
  <si>
    <t>C.90.09.09.02.005</t>
  </si>
  <si>
    <t>C.90.09.09.02.006</t>
  </si>
  <si>
    <t>C.90.09.09.02.007</t>
  </si>
  <si>
    <t>C.90.09.09.02.008</t>
  </si>
  <si>
    <t>C.90.09.09.02.009</t>
  </si>
  <si>
    <t>C.90.09.09.02.010</t>
  </si>
  <si>
    <t>C.90.09.09.02.011</t>
  </si>
  <si>
    <t>C.90.09.09.02.101</t>
  </si>
  <si>
    <t>C.90.09.09.02.001+C.90.09.09.02.002+C.90.09.09.02.005+C.90.09.09.02.006+C.90.09.09.02.010</t>
  </si>
  <si>
    <t>C.90.09.09.02.102</t>
  </si>
  <si>
    <t>C.90.09.09.02.007+C.90.09.09.02.008+C.90.09.09.02.011</t>
  </si>
  <si>
    <t>C.90.09.09.02.103</t>
  </si>
  <si>
    <t>C.90.09.09.02.003+C.90.09.09.02.004+C.90.09.09.02.009</t>
  </si>
  <si>
    <t>C.90.09.09.03</t>
  </si>
  <si>
    <t>C.90.09.09.03.001+C.90.09.09.03.002+C.90.09.09.03.003</t>
  </si>
  <si>
    <t>C.90.09.09.03.001</t>
  </si>
  <si>
    <t>C.90.09.09.03.002</t>
  </si>
  <si>
    <t>C.90.09.09.03.003</t>
  </si>
  <si>
    <t>C01.01</t>
  </si>
  <si>
    <t>C01.01.01+C01.01.02+C01.01.03</t>
  </si>
  <si>
    <t>C01.01.01</t>
  </si>
  <si>
    <t>C01.01.01.01+C01.01.01.02</t>
  </si>
  <si>
    <t>C01.01.01.01</t>
  </si>
  <si>
    <t>C01.01.01.02</t>
  </si>
  <si>
    <t>C01.01.02</t>
  </si>
  <si>
    <t>C01.01.03</t>
  </si>
  <si>
    <t>C01.02</t>
  </si>
  <si>
    <t>C01.03</t>
  </si>
  <si>
    <t>C01.01-C01.02</t>
  </si>
  <si>
    <t>C01.04</t>
  </si>
  <si>
    <t>C01.05</t>
  </si>
  <si>
    <t>C01.90.01+C01.90.02+C01.90.03+C01.90.04+C01.90.05</t>
  </si>
  <si>
    <t>C01.05.01</t>
  </si>
  <si>
    <t>C01.90.01.01+C01.90.01.02</t>
  </si>
  <si>
    <t>C01.05.01.01</t>
  </si>
  <si>
    <t>C01.90.01.01.01+C01.90.01.01.02+C01.90.01.01.03+C01.90.01.01.04.001+C01.90.01.01.05.001</t>
  </si>
  <si>
    <t>C01.05.01.02</t>
  </si>
  <si>
    <t>C01.90.01.02.01+C01.90.01.02.02+C01.90.01.02.03+C01.90.01.02.04.001+C01.90.01.02.05.001</t>
  </si>
  <si>
    <t>C01.05.02</t>
  </si>
  <si>
    <t>C01.90.02.01+C01.90.02.02+C01.90.02.09</t>
  </si>
  <si>
    <t>C01.05.02.01</t>
  </si>
  <si>
    <t>C01.05.02.02</t>
  </si>
  <si>
    <t>C01.05.03</t>
  </si>
  <si>
    <t>C01.90.03.01+C01.90.03.02+C01.90.03.03+C01.90.03.04</t>
  </si>
  <si>
    <t>C01.05.03.01</t>
  </si>
  <si>
    <t>C01.90.03.01.01+C01.90.03.01.02</t>
  </si>
  <si>
    <t>C01.05.03.01.01</t>
  </si>
  <si>
    <t>C01.05.03.01.02</t>
  </si>
  <si>
    <t>C01.05.03.02</t>
  </si>
  <si>
    <t>C01.05.03.03</t>
  </si>
  <si>
    <t>C01.05.03.04</t>
  </si>
  <si>
    <t>C01.05.04</t>
  </si>
  <si>
    <t>C01.05.05</t>
  </si>
  <si>
    <t>C01.06</t>
  </si>
  <si>
    <t>C01.07</t>
  </si>
  <si>
    <t>C01.03-C01.04-C01.90+C01.06</t>
  </si>
  <si>
    <t>C01.08</t>
  </si>
  <si>
    <t>C01.09</t>
  </si>
  <si>
    <t>C01.07-C01.08</t>
  </si>
  <si>
    <t>C01.12</t>
  </si>
  <si>
    <t>C01.12.01</t>
  </si>
  <si>
    <t>C01.13</t>
  </si>
  <si>
    <t>C01.13.01</t>
  </si>
  <si>
    <t>C01.16</t>
  </si>
  <si>
    <t>C01.16.01</t>
  </si>
  <si>
    <t>C01.16.01.01</t>
  </si>
  <si>
    <t>C01.17</t>
  </si>
  <si>
    <t>C01.17.01</t>
  </si>
  <si>
    <t>C01.17.01.01</t>
  </si>
  <si>
    <t>C01.18</t>
  </si>
  <si>
    <t>C01.18.99</t>
  </si>
  <si>
    <t>C01.19</t>
  </si>
  <si>
    <t>C01.19.99</t>
  </si>
  <si>
    <t>C01.20</t>
  </si>
  <si>
    <t>C01.21</t>
  </si>
  <si>
    <t>C01.90</t>
  </si>
  <si>
    <t>C01.90.01</t>
  </si>
  <si>
    <t>C01.90.01.01</t>
  </si>
  <si>
    <t>C01.90.01.01.01</t>
  </si>
  <si>
    <t>C01.90.01.01.01.001+C01.90.01.01.01.002</t>
  </si>
  <si>
    <t>C01.90.01.01.01.001</t>
  </si>
  <si>
    <t>C01.90.01.01.01.002</t>
  </si>
  <si>
    <t>C01.90.01.01.02</t>
  </si>
  <si>
    <t>C01.90.01.01.02.001+C01.90.01.01.02.002</t>
  </si>
  <si>
    <t>C01.90.01.01.02.001</t>
  </si>
  <si>
    <t>C01.90.01.01.02.002</t>
  </si>
  <si>
    <t>C01.90.01.01.03</t>
  </si>
  <si>
    <t>C01.90.01.01.03.01+C01.90.01.01.03.02.001+C01.90.01.01.03.03.001+C01.90.01.01.03.04.001</t>
  </si>
  <si>
    <t>C01.90.01.01.03.01</t>
  </si>
  <si>
    <t>C01.90.01.01.03.01.001+C01.90.01.01.03.01.002</t>
  </si>
  <si>
    <t>C01.90.01.01.03.01.001</t>
  </si>
  <si>
    <t>C01.90.01.01.03.01.002</t>
  </si>
  <si>
    <t>C01.90.01.01.03.02</t>
  </si>
  <si>
    <t>C01.05.01.01.03.02</t>
  </si>
  <si>
    <t>C01.90.01.01.03.02.001</t>
  </si>
  <si>
    <t>C01.90.01.01.03.03</t>
  </si>
  <si>
    <t>C01.05.01.01.03.03</t>
  </si>
  <si>
    <t>C01.90.01.01.03.03.001</t>
  </si>
  <si>
    <t>C01.90.01.01.03.04</t>
  </si>
  <si>
    <t>C01.05.01.01.03.04</t>
  </si>
  <si>
    <t>C01.90.01.01.03.04.001</t>
  </si>
  <si>
    <t>C01.90.01.01.04</t>
  </si>
  <si>
    <t>C01.05.01.01.04</t>
  </si>
  <si>
    <t>C01.90.01.01.04.001</t>
  </si>
  <si>
    <t>C01.90.01.01.05</t>
  </si>
  <si>
    <t>C01.05.01.01.05</t>
  </si>
  <si>
    <t>C01.90.01.01.05.001</t>
  </si>
  <si>
    <t>C01.90.01.02</t>
  </si>
  <si>
    <t>C01.90.01.02.01</t>
  </si>
  <si>
    <t>C01.90.01.02.01.001+C01.90.01.02.01.002</t>
  </si>
  <si>
    <t>C01.90.01.02.01.001</t>
  </si>
  <si>
    <t>C01.90.01.02.01.002</t>
  </si>
  <si>
    <t>C01.90.01.02.02</t>
  </si>
  <si>
    <t>C01.90.01.02.02.001+C01.90.01.02.02.002</t>
  </si>
  <si>
    <t>C01.90.01.02.02.001</t>
  </si>
  <si>
    <t>C01.90.01.02.02.002</t>
  </si>
  <si>
    <t>C01.90.01.02.03</t>
  </si>
  <si>
    <t>C01.90.01.02.03.01+C01.90.01.02.03.02.001+C01.90.01.02.03.03.001+C01.90.01.02.03.04.001</t>
  </si>
  <si>
    <t>C01.90.01.02.03.01</t>
  </si>
  <si>
    <t>C01.90.01.02.03.01.001+C01.90.01.02.03.01.002</t>
  </si>
  <si>
    <t>C01.90.01.02.03.01.001</t>
  </si>
  <si>
    <t>C01.90.01.02.03.01.002</t>
  </si>
  <si>
    <t>C01.90.01.02.03.02</t>
  </si>
  <si>
    <t>C01.05.01.02.03.02</t>
  </si>
  <si>
    <t>C01.90.01.02.03.02.001</t>
  </si>
  <si>
    <t>C01.90.01.02.03.03</t>
  </si>
  <si>
    <t>C01.05.01.02.03.03</t>
  </si>
  <si>
    <t>C01.90.01.02.03.03.001</t>
  </si>
  <si>
    <t>C01.90.01.02.03.04</t>
  </si>
  <si>
    <t>C01.05.01.02.03.04</t>
  </si>
  <si>
    <t>C01.90.01.02.03.04.001</t>
  </si>
  <si>
    <t>C01.90.01.02.04</t>
  </si>
  <si>
    <t>C01.05.01.02.04</t>
  </si>
  <si>
    <t>C01.90.01.02.04.001</t>
  </si>
  <si>
    <t>C01.90.01.02.05</t>
  </si>
  <si>
    <t>C01.05.01.02.05</t>
  </si>
  <si>
    <t>C01.90.01.02.05.001</t>
  </si>
  <si>
    <t>C01.90.02</t>
  </si>
  <si>
    <t>C01.90.02.01</t>
  </si>
  <si>
    <t>C01.90.02.02</t>
  </si>
  <si>
    <t>C01.90.02.09</t>
  </si>
  <si>
    <t>C01.90.02.09.01+C01.90.02.09.02+C01.90.02.09.03</t>
  </si>
  <si>
    <t>C01.90.02.09.01</t>
  </si>
  <si>
    <t>C01.90.02.09.01.001+C01.90.02.09.01.002+C01.90.02.09.01.003+C01.90.02.09.01.004</t>
  </si>
  <si>
    <t>C01.90.02.09.01.001</t>
  </si>
  <si>
    <t>C01.90.02.09.01.002</t>
  </si>
  <si>
    <t>C01.90.02.09.01.003</t>
  </si>
  <si>
    <t>C01.90.02.09.01.004</t>
  </si>
  <si>
    <t>C01.90.02.09.02</t>
  </si>
  <si>
    <t>C01.90.02.09.02.101+C01.90.02.09.02.102+C01.90.02.09.02.103</t>
  </si>
  <si>
    <t>C01.90.02.09.02.001</t>
  </si>
  <si>
    <t>C01.90.02.09.02.002</t>
  </si>
  <si>
    <t>C01.90.02.09.02.003</t>
  </si>
  <si>
    <t>C01.90.02.09.02.004</t>
  </si>
  <si>
    <t>C01.90.02.09.02.005</t>
  </si>
  <si>
    <t>C01.90.02.09.02.006</t>
  </si>
  <si>
    <t>C01.90.02.09.02.007</t>
  </si>
  <si>
    <t>C01.90.02.09.02.008</t>
  </si>
  <si>
    <t>C01.90.02.09.02.009</t>
  </si>
  <si>
    <t>C01.90.02.09.02.010</t>
  </si>
  <si>
    <t>C01.90.02.09.02.011</t>
  </si>
  <si>
    <t>C01.90.02.09.02.101</t>
  </si>
  <si>
    <t>C01.90.02.09.02.001+C01.90.02.09.02.002+C01.90.02.09.02.005+C01.90.02.09.02.006+C01.90.02.09.02.010</t>
  </si>
  <si>
    <t>C01.90.02.09.02.102</t>
  </si>
  <si>
    <t>C01.90.02.09.02.007+C01.90.02.09.02.008+C01.90.02.09.02.011</t>
  </si>
  <si>
    <t>C01.90.02.09.02.103</t>
  </si>
  <si>
    <t>C01.90.02.09.02.003+C01.90.02.09.02.004+C01.90.02.09.02.009</t>
  </si>
  <si>
    <t>C01.90.02.09.03</t>
  </si>
  <si>
    <t>C01.90.02.09.03.001+C01.90.02.09.03.002+C01.90.02.09.03.003</t>
  </si>
  <si>
    <t>C01.90.02.09.03.001</t>
  </si>
  <si>
    <t>C01.90.02.09.03.002</t>
  </si>
  <si>
    <t>C01.90.02.09.03.003</t>
  </si>
  <si>
    <t>C01.90.03</t>
  </si>
  <si>
    <t>C01.90.03.01</t>
  </si>
  <si>
    <t>C01.90.03.01.01</t>
  </si>
  <si>
    <t>C01.90.03.01.02</t>
  </si>
  <si>
    <t>C01.90.03.02</t>
  </si>
  <si>
    <t>C01.90.03.03</t>
  </si>
  <si>
    <t>C01.90.03.04</t>
  </si>
  <si>
    <t>C01.90.04</t>
  </si>
  <si>
    <t>C01.90.05</t>
  </si>
  <si>
    <t>C02.01</t>
  </si>
  <si>
    <t>C02.01.01+C02.01.02+C02.01.03</t>
  </si>
  <si>
    <t>C02.01.01</t>
  </si>
  <si>
    <t>C02.01.01.01+C02.01.01.02</t>
  </si>
  <si>
    <t>C02.01.01.01</t>
  </si>
  <si>
    <t>C02.01.01.02</t>
  </si>
  <si>
    <t>C02.01.02</t>
  </si>
  <si>
    <t>C02.01.03</t>
  </si>
  <si>
    <t>C02.02</t>
  </si>
  <si>
    <t>C02.03</t>
  </si>
  <si>
    <t>C02.01-C02.02</t>
  </si>
  <si>
    <t>C02.04</t>
  </si>
  <si>
    <t>C02.05</t>
  </si>
  <si>
    <t>C02.90.01+C02.90.02+C02.90.03+C02.90.04+C02.90.05</t>
  </si>
  <si>
    <t>C02.05.01</t>
  </si>
  <si>
    <t>C02.90.01.01+C02.90.01.02</t>
  </si>
  <si>
    <t>C02.05.01.01</t>
  </si>
  <si>
    <t>C02.90.01.01.01+C02.90.01.01.02+C02.90.01.01.03+C02.90.01.01.04.001+C02.90.01.01.05.001</t>
  </si>
  <si>
    <t>C02.05.01.02</t>
  </si>
  <si>
    <t>C02.90.01.02.01+C02.90.01.02.02+C02.90.01.02.03+C02.90.01.02.04.001+C02.90.01.02.05.001</t>
  </si>
  <si>
    <t>C02.05.02</t>
  </si>
  <si>
    <t>C02.90.02.01+C02.90.02.02+C02.90.02.09</t>
  </si>
  <si>
    <t>C02.05.02.01</t>
  </si>
  <si>
    <t>C02.05.02.02</t>
  </si>
  <si>
    <t>C02.05.03</t>
  </si>
  <si>
    <t>C02.90.03.01+C02.90.03.02+C02.90.03.03+C02.90.03.04</t>
  </si>
  <si>
    <t>C02.05.03.01</t>
  </si>
  <si>
    <t>C02.90.03.01.01+C02.90.03.01.02</t>
  </si>
  <si>
    <t>C02.05.03.01.01</t>
  </si>
  <si>
    <t>C02.05.03.01.02</t>
  </si>
  <si>
    <t>C02.05.03.02</t>
  </si>
  <si>
    <t>C02.05.03.03</t>
  </si>
  <si>
    <t>C02.05.03.04</t>
  </si>
  <si>
    <t>C02.05.04</t>
  </si>
  <si>
    <t>C02.05.05</t>
  </si>
  <si>
    <t>C02.06</t>
  </si>
  <si>
    <t>C02.07</t>
  </si>
  <si>
    <t>C02.03-C02.04-C02.90+C02.06</t>
  </si>
  <si>
    <t>C02.08</t>
  </si>
  <si>
    <t>C02.09</t>
  </si>
  <si>
    <t>C02.07-C02.08</t>
  </si>
  <si>
    <t>C02.18</t>
  </si>
  <si>
    <t>C02.18.99</t>
  </si>
  <si>
    <t>C02.19</t>
  </si>
  <si>
    <t>C02.19.99</t>
  </si>
  <si>
    <t>C02.20</t>
  </si>
  <si>
    <t>C02.21</t>
  </si>
  <si>
    <t>C02.90</t>
  </si>
  <si>
    <t>C02.90.01</t>
  </si>
  <si>
    <t>C02.90.01.01</t>
  </si>
  <si>
    <t>C02.90.01.01.01</t>
  </si>
  <si>
    <t>C02.90.01.01.01.001+C02.90.01.01.01.002</t>
  </si>
  <si>
    <t>C02.90.01.01.01.001</t>
  </si>
  <si>
    <t>C02.90.01.01.01.002</t>
  </si>
  <si>
    <t>C02.90.01.01.02</t>
  </si>
  <si>
    <t>C02.90.01.01.02.001+C02.90.01.01.02.002</t>
  </si>
  <si>
    <t>C02.90.01.01.02.001</t>
  </si>
  <si>
    <t>C02.90.01.01.02.002</t>
  </si>
  <si>
    <t>C02.90.01.01.03</t>
  </si>
  <si>
    <t>C02.90.01.01.03.01+C02.90.01.01.03.02.001+C02.90.01.01.03.03.001+C02.90.01.01.03.04.001</t>
  </si>
  <si>
    <t>C02.90.01.01.03.01</t>
  </si>
  <si>
    <t>C02.90.01.01.03.01.001+C02.90.01.01.03.01.002</t>
  </si>
  <si>
    <t>C02.90.01.01.03.01.001</t>
  </si>
  <si>
    <t>C02.90.01.01.03.01.002</t>
  </si>
  <si>
    <t>C02.90.01.01.03.02</t>
  </si>
  <si>
    <t>C02.05.01.01.03.02</t>
  </si>
  <si>
    <t>C02.90.01.01.03.02.001</t>
  </si>
  <si>
    <t>C02.90.01.01.03.03</t>
  </si>
  <si>
    <t>C02.05.01.01.03.03</t>
  </si>
  <si>
    <t>C02.90.01.01.03.03.001</t>
  </si>
  <si>
    <t>C02.90.01.01.03.04</t>
  </si>
  <si>
    <t>C02.05.01.01.03.04</t>
  </si>
  <si>
    <t>C02.90.01.01.03.04.001</t>
  </si>
  <si>
    <t>C02.90.01.01.04</t>
  </si>
  <si>
    <t>C02.05.01.01.04</t>
  </si>
  <si>
    <t>C02.90.01.01.04.001</t>
  </si>
  <si>
    <t>C02.90.01.01.05</t>
  </si>
  <si>
    <t>C02.05.01.01.05</t>
  </si>
  <si>
    <t>C02.90.01.01.05.001</t>
  </si>
  <si>
    <t>C02.90.01.02</t>
  </si>
  <si>
    <t>C02.90.01.02.01</t>
  </si>
  <si>
    <t>C02.90.01.02.01.001+C02.90.01.02.01.002</t>
  </si>
  <si>
    <t>C02.90.01.02.01.001</t>
  </si>
  <si>
    <t>C02.90.01.02.01.002</t>
  </si>
  <si>
    <t>C02.90.01.02.02</t>
  </si>
  <si>
    <t>C02.90.01.02.02.001+C02.90.01.02.02.002</t>
  </si>
  <si>
    <t>C02.90.01.02.02.001</t>
  </si>
  <si>
    <t>C02.90.01.02.02.002</t>
  </si>
  <si>
    <t>C02.90.01.02.03</t>
  </si>
  <si>
    <t>C02.90.01.02.03.01+C02.90.01.02.03.02.001+C02.90.01.02.03.03.001+C02.90.01.02.03.04.001</t>
  </si>
  <si>
    <t>C02.90.01.02.03.01</t>
  </si>
  <si>
    <t>C02.90.01.02.03.01.001+C02.90.01.02.03.01.002</t>
  </si>
  <si>
    <t>C02.90.01.02.03.01.001</t>
  </si>
  <si>
    <t>C02.90.01.02.03.01.002</t>
  </si>
  <si>
    <t>C02.90.01.02.03.02</t>
  </si>
  <si>
    <t>C02.05.01.02.03.02</t>
  </si>
  <si>
    <t>C02.90.01.02.03.02.001</t>
  </si>
  <si>
    <t>C02.90.01.02.03.03</t>
  </si>
  <si>
    <t>C02.05.01.02.03.03</t>
  </si>
  <si>
    <t>C02.90.01.02.03.03.001</t>
  </si>
  <si>
    <t>C02.90.01.02.03.04</t>
  </si>
  <si>
    <t>C02.05.01.02.03.04</t>
  </si>
  <si>
    <t>C02.90.01.02.03.04.001</t>
  </si>
  <si>
    <t>C02.90.01.02.04</t>
  </si>
  <si>
    <t>C02.05.01.02.04</t>
  </si>
  <si>
    <t>C02.90.01.02.04.001</t>
  </si>
  <si>
    <t>C02.90.01.02.05</t>
  </si>
  <si>
    <t>C02.05.01.02.05</t>
  </si>
  <si>
    <t>C02.90.01.02.05.001</t>
  </si>
  <si>
    <t>C02.90.02</t>
  </si>
  <si>
    <t>C02.90.02.01</t>
  </si>
  <si>
    <t>C02.90.02.02</t>
  </si>
  <si>
    <t>C02.90.02.09</t>
  </si>
  <si>
    <t>C02.90.02.09.01+C02.90.02.09.02+C02.90.02.09.03</t>
  </si>
  <si>
    <t>C02.90.02.09.01</t>
  </si>
  <si>
    <t>C02.90.02.09.01.001+C02.90.02.09.01.002+C02.90.02.09.01.003+C02.90.02.09.01.004</t>
  </si>
  <si>
    <t>C02.90.02.09.01.001</t>
  </si>
  <si>
    <t>C02.90.02.09.01.002</t>
  </si>
  <si>
    <t>C02.90.02.09.01.003</t>
  </si>
  <si>
    <t>C02.90.02.09.01.004</t>
  </si>
  <si>
    <t>C02.90.02.09.02</t>
  </si>
  <si>
    <t>C02.90.02.09.02.101+C02.90.02.09.02.102+C02.90.02.09.02.103</t>
  </si>
  <si>
    <t>C02.90.02.09.02.001</t>
  </si>
  <si>
    <t>C02.90.02.09.02.002</t>
  </si>
  <si>
    <t>C02.90.02.09.02.003</t>
  </si>
  <si>
    <t>C02.90.02.09.02.004</t>
  </si>
  <si>
    <t>C02.90.02.09.02.005</t>
  </si>
  <si>
    <t>C02.90.02.09.02.006</t>
  </si>
  <si>
    <t>C02.90.02.09.02.007</t>
  </si>
  <si>
    <t>C02.90.02.09.02.008</t>
  </si>
  <si>
    <t>C02.90.02.09.02.009</t>
  </si>
  <si>
    <t>C02.90.02.09.02.010</t>
  </si>
  <si>
    <t>C02.90.02.09.02.011</t>
  </si>
  <si>
    <t>C02.90.02.09.02.101</t>
  </si>
  <si>
    <t>C02.90.02.09.02.001+C02.90.02.09.02.002+C02.90.02.09.02.005+C02.90.02.09.02.006+C02.90.02.09.02.010</t>
  </si>
  <si>
    <t>C02.90.02.09.02.102</t>
  </si>
  <si>
    <t>C02.90.02.09.02.007+C02.90.02.09.02.008+C02.90.02.09.02.011</t>
  </si>
  <si>
    <t>C02.90.02.09.02.103</t>
  </si>
  <si>
    <t>C02.90.02.09.02.003+C02.90.02.09.02.004+C02.90.02.09.02.009</t>
  </si>
  <si>
    <t>C02.90.02.09.03</t>
  </si>
  <si>
    <t>C02.90.02.09.03.001+C02.90.02.09.03.002+C02.90.02.09.03.003</t>
  </si>
  <si>
    <t>C02.90.02.09.03.001</t>
  </si>
  <si>
    <t>C02.90.02.09.03.002</t>
  </si>
  <si>
    <t>C02.90.02.09.03.003</t>
  </si>
  <si>
    <t>C02.90.03</t>
  </si>
  <si>
    <t>C02.90.03.01</t>
  </si>
  <si>
    <t>C02.90.03.01.01</t>
  </si>
  <si>
    <t>C02.90.03.01.02</t>
  </si>
  <si>
    <t>C02.90.03.02</t>
  </si>
  <si>
    <t>C02.90.03.03</t>
  </si>
  <si>
    <t>C02.90.03.04</t>
  </si>
  <si>
    <t>C02.90.04</t>
  </si>
  <si>
    <t>C02.90.05</t>
  </si>
  <si>
    <t>D.01</t>
  </si>
  <si>
    <t>D.01.01+D.01.02+D.01.03</t>
  </si>
  <si>
    <t>D.01.01</t>
  </si>
  <si>
    <t>D.01.01.01+D.01.01.02</t>
  </si>
  <si>
    <t>D.01.01.01</t>
  </si>
  <si>
    <t>D.14</t>
  </si>
  <si>
    <t>D.15</t>
  </si>
  <si>
    <t>D.01.01.02</t>
  </si>
  <si>
    <t>D.16</t>
  </si>
  <si>
    <t>D.17</t>
  </si>
  <si>
    <t>D.01.02</t>
  </si>
  <si>
    <t>D.18</t>
  </si>
  <si>
    <t>D.19</t>
  </si>
  <si>
    <t>D.01.03</t>
  </si>
  <si>
    <t>D.02</t>
  </si>
  <si>
    <t>D.03</t>
  </si>
  <si>
    <t>D.04</t>
  </si>
  <si>
    <t>D.05</t>
  </si>
  <si>
    <t>D.90.01+D.90.09+D.90.03+D.90.04+D.90.05</t>
  </si>
  <si>
    <t>D.05.01</t>
  </si>
  <si>
    <t>D.90.01.01+D.90.01.02</t>
  </si>
  <si>
    <t>D.05.01.01</t>
  </si>
  <si>
    <t>D.90.01.01.01+D.90.01.01.02+D.90.01.01.03+D.90.01.01.04.001+D.90.01.01.05.001</t>
  </si>
  <si>
    <t>D.05.01.02</t>
  </si>
  <si>
    <t>D.90.01.02.01+D.90.01.02.02+D.90.01.02.03+D.90.01.02.04.001+D.90.01.02.05.001</t>
  </si>
  <si>
    <t>D.05.02</t>
  </si>
  <si>
    <t>D.05.02.01</t>
  </si>
  <si>
    <t>D.05.02.02</t>
  </si>
  <si>
    <t>D.05.03</t>
  </si>
  <si>
    <t>D.90.03.01+D.90.03.02+D.90.03.03+D.90.03.04</t>
  </si>
  <si>
    <t>D.05.03.01</t>
  </si>
  <si>
    <t>D.90.03.01.01+D.90.03.01.02</t>
  </si>
  <si>
    <t>D.05.03.01.01</t>
  </si>
  <si>
    <t>D.05.03.01.02</t>
  </si>
  <si>
    <t>D.05.03.02</t>
  </si>
  <si>
    <t>D.05.03.03</t>
  </si>
  <si>
    <t>D.05.03.04</t>
  </si>
  <si>
    <t>D.05.04</t>
  </si>
  <si>
    <t>D.05.05</t>
  </si>
  <si>
    <t>D.06</t>
  </si>
  <si>
    <t>D.07</t>
  </si>
  <si>
    <t>D.08</t>
  </si>
  <si>
    <t>D.09</t>
  </si>
  <si>
    <t>D.90</t>
  </si>
  <si>
    <t>D.90.01</t>
  </si>
  <si>
    <t>D.90.01.01</t>
  </si>
  <si>
    <t>D.90.01.01.01</t>
  </si>
  <si>
    <t>D.90.01.01.01.001+D.90.01.01.01.002</t>
  </si>
  <si>
    <t>D.90.01.01.01.001</t>
  </si>
  <si>
    <t>D.90.01.01.01.002</t>
  </si>
  <si>
    <t>D.90.01.01.02</t>
  </si>
  <si>
    <t>D.90.01.01.02.001+D.90.01.01.02.002</t>
  </si>
  <si>
    <t>D.90.01.01.02.001</t>
  </si>
  <si>
    <t>D.90.01.01.02.002</t>
  </si>
  <si>
    <t>D.90.01.01.03</t>
  </si>
  <si>
    <t>D.90.01.01.03.01+D.90.01.01.03.02.001+D.90.01.01.03.03.001+D.90.01.01.03.04.001</t>
  </si>
  <si>
    <t>D.90.01.01.03.01</t>
  </si>
  <si>
    <t>D.90.01.01.03.01.001+D.90.01.01.03.01.002</t>
  </si>
  <si>
    <t>D.90.01.01.03.01.001</t>
  </si>
  <si>
    <t>D.90.01.01.03.01.002</t>
  </si>
  <si>
    <t>D.90.01.01.03.02</t>
  </si>
  <si>
    <t>D.05.01.01.03.02</t>
  </si>
  <si>
    <t>D.90.01.01.03.02.001</t>
  </si>
  <si>
    <t>D.90.01.01.03.03</t>
  </si>
  <si>
    <t>D.05.01.01.03.03</t>
  </si>
  <si>
    <t>D.90.01.01.03.03.001</t>
  </si>
  <si>
    <t>D.90.01.01.03.04</t>
  </si>
  <si>
    <t>D.05.01.01.03.04</t>
  </si>
  <si>
    <t>D.90.01.01.03.04.001</t>
  </si>
  <si>
    <t>D.90.01.01.04</t>
  </si>
  <si>
    <t>D.05.01.01.04</t>
  </si>
  <si>
    <t>D.90.01.01.04.001</t>
  </si>
  <si>
    <t>D.90.01.01.05</t>
  </si>
  <si>
    <t>D.05.01.01.05</t>
  </si>
  <si>
    <t>D.90.01.01.05.001</t>
  </si>
  <si>
    <t>D.90.01.02</t>
  </si>
  <si>
    <t>D.90.01.02.01</t>
  </si>
  <si>
    <t>D.90.01.02.01.001+D.90.01.02.01.002</t>
  </si>
  <si>
    <t>D.90.01.02.01.001</t>
  </si>
  <si>
    <t>D.90.01.02.01.002</t>
  </si>
  <si>
    <t>D.90.01.02.02</t>
  </si>
  <si>
    <t>D.90.01.02.02.001+D.90.01.02.02.002</t>
  </si>
  <si>
    <t>D.90.01.02.02.001</t>
  </si>
  <si>
    <t>D.90.01.02.02.002</t>
  </si>
  <si>
    <t>D.90.01.02.03</t>
  </si>
  <si>
    <t>D.90.01.02.03.01+D.90.01.02.03.02.001+D.90.01.02.03.03.001+D.90.01.02.03.04.001</t>
  </si>
  <si>
    <t>D.90.01.02.03.01</t>
  </si>
  <si>
    <t>D.90.01.02.03.01.001+D.90.01.02.03.01.002</t>
  </si>
  <si>
    <t>D.90.01.02.03.01.001</t>
  </si>
  <si>
    <t>D.90.01.02.03.01.002</t>
  </si>
  <si>
    <t>D.90.01.02.03.02</t>
  </si>
  <si>
    <t>D.05.01.02.03.02</t>
  </si>
  <si>
    <t>D.90.01.02.03.02.001</t>
  </si>
  <si>
    <t>D.90.01.02.03.03</t>
  </si>
  <si>
    <t>D.05.01.02.03.03</t>
  </si>
  <si>
    <t>D.90.01.02.03.03.001</t>
  </si>
  <si>
    <t>D.90.01.02.03.04</t>
  </si>
  <si>
    <t>D.05.01.02.03.04</t>
  </si>
  <si>
    <t>D.90.01.02.03.04.001</t>
  </si>
  <si>
    <t>D.90.01.02.04</t>
  </si>
  <si>
    <t>D.05.01.02.04</t>
  </si>
  <si>
    <t>D.90.01.02.04.001</t>
  </si>
  <si>
    <t>D.90.01.02.05</t>
  </si>
  <si>
    <t>D.05.01.02.05</t>
  </si>
  <si>
    <t>D.90.01.02.05.001</t>
  </si>
  <si>
    <t>D.90.02</t>
  </si>
  <si>
    <t>D.90.02.01</t>
  </si>
  <si>
    <t>D.90.02.02</t>
  </si>
  <si>
    <t>D.90.03</t>
  </si>
  <si>
    <t>D.90.03.01</t>
  </si>
  <si>
    <t>D.90.03.01.01</t>
  </si>
  <si>
    <t>D.90.03.01.02</t>
  </si>
  <si>
    <t>D.90.03.02</t>
  </si>
  <si>
    <t>D.90.03.03</t>
  </si>
  <si>
    <t>D.90.03.04</t>
  </si>
  <si>
    <t>D.90.04</t>
  </si>
  <si>
    <t>D.90.05</t>
  </si>
  <si>
    <t>D.90.09</t>
  </si>
  <si>
    <t>D.90.09.09</t>
  </si>
  <si>
    <t>D.90.09.09.01+D.90.09.09.02+D.90.09.09.03</t>
  </si>
  <si>
    <t>D.90.09.09.01</t>
  </si>
  <si>
    <t>D.90.09.09.01.001+D.90.09.09.01.002+D.90.09.09.01.003+D.90.09.09.01.004</t>
  </si>
  <si>
    <t>D.90.09.09.01.001</t>
  </si>
  <si>
    <t>D.90.09.09.01.002</t>
  </si>
  <si>
    <t>D.90.09.09.01.003</t>
  </si>
  <si>
    <t>D.90.09.09.01.004</t>
  </si>
  <si>
    <t>D.90.09.09.02</t>
  </si>
  <si>
    <t>D.90.09.09.02.101+D.90.09.09.02.102+D.90.09.09.02.103</t>
  </si>
  <si>
    <t>D.90.09.09.02.001</t>
  </si>
  <si>
    <t>D.90.09.09.02.002</t>
  </si>
  <si>
    <t>D.90.09.09.02.003</t>
  </si>
  <si>
    <t>D.90.09.09.02.004</t>
  </si>
  <si>
    <t>D.90.09.09.02.005</t>
  </si>
  <si>
    <t>D.90.09.09.02.006</t>
  </si>
  <si>
    <t>D.90.09.09.02.007</t>
  </si>
  <si>
    <t>D.90.09.09.02.008</t>
  </si>
  <si>
    <t>D.90.09.09.02.009</t>
  </si>
  <si>
    <t>D.90.09.09.02.010</t>
  </si>
  <si>
    <t>D.90.09.09.02.011</t>
  </si>
  <si>
    <t>D.90.09.09.02.101</t>
  </si>
  <si>
    <t>D.90.09.09.02.001+D.90.09.09.02.002+D.90.09.09.02.005+D.90.09.09.02.006+D.90.09.09.02.010</t>
  </si>
  <si>
    <t>D.90.09.09.02.102</t>
  </si>
  <si>
    <t>D.90.09.09.02.007+D.90.09.09.02.008+D.90.09.09.02.011</t>
  </si>
  <si>
    <t>D.90.09.09.02.103</t>
  </si>
  <si>
    <t>D.90.09.09.02.003+D.90.09.09.02.004+D.90.09.09.02.009</t>
  </si>
  <si>
    <t>D.90.09.09.03</t>
  </si>
  <si>
    <t>D.90.09.09.03.001+D.90.09.09.03.002+D.90.09.09.03.003</t>
  </si>
  <si>
    <t>D.90.09.09.03.001</t>
  </si>
  <si>
    <t>D.90.09.09.03.002</t>
  </si>
  <si>
    <t>D.90.09.09.03.003</t>
  </si>
  <si>
    <t>D01.01</t>
  </si>
  <si>
    <t>D01.01.01+D01.01.02+D01.01.03</t>
  </si>
  <si>
    <t>D01.01.01</t>
  </si>
  <si>
    <t>D01.01.01.01+D01.01.01.02</t>
  </si>
  <si>
    <t>D01.01.01.01</t>
  </si>
  <si>
    <t>D01.01.01.02</t>
  </si>
  <si>
    <t>D01.01.02</t>
  </si>
  <si>
    <t>D01.01.03</t>
  </si>
  <si>
    <t>D01.02</t>
  </si>
  <si>
    <t>D01.03</t>
  </si>
  <si>
    <t>D01.01-D01.02</t>
  </si>
  <si>
    <t>D01.04</t>
  </si>
  <si>
    <t>D01.05</t>
  </si>
  <si>
    <t>D01.90.01+D01.90.02+D01.90.03+D01.90.04+D01.90.05</t>
  </si>
  <si>
    <t>D01.05.01</t>
  </si>
  <si>
    <t>D01.90.01.01+D01.90.01.02</t>
  </si>
  <si>
    <t>D01.05.01.01</t>
  </si>
  <si>
    <t>D01.90.01.01.01+D01.90.01.01.02+D01.90.01.01.03+D01.90.01.01.04.001+D01.90.01.01.05.001</t>
  </si>
  <si>
    <t>D01.05.01.02</t>
  </si>
  <si>
    <t>D01.90.01.02.01+D01.90.01.02.02+D01.90.01.02.03+D01.90.01.02.04.001+D01.90.01.02.05.001</t>
  </si>
  <si>
    <t>D01.05.02</t>
  </si>
  <si>
    <t>D01.90.02.01+D01.90.02.02+D01.90.02.09</t>
  </si>
  <si>
    <t>D01.05.02.01</t>
  </si>
  <si>
    <t>D01.05.02.02</t>
  </si>
  <si>
    <t>D01.05.03</t>
  </si>
  <si>
    <t>D01.90.03.01+D01.90.03.02+D01.90.03.03+D01.90.03.04</t>
  </si>
  <si>
    <t>D01.05.03.01</t>
  </si>
  <si>
    <t>D01.90.03.01.01+D01.90.03.01.02</t>
  </si>
  <si>
    <t>D01.05.03.01.01</t>
  </si>
  <si>
    <t>D01.05.03.01.02</t>
  </si>
  <si>
    <t>D01.05.03.02</t>
  </si>
  <si>
    <t>D01.05.03.03</t>
  </si>
  <si>
    <t>D01.05.03.04</t>
  </si>
  <si>
    <t>D01.05.04</t>
  </si>
  <si>
    <t>D01.05.05</t>
  </si>
  <si>
    <t>D01.06</t>
  </si>
  <si>
    <t>D01.07</t>
  </si>
  <si>
    <t>D01.03-D01.04-D01.90+D01.06</t>
  </si>
  <si>
    <t>D01.08</t>
  </si>
  <si>
    <t>D01.09</t>
  </si>
  <si>
    <t>D01.07-D01.08</t>
  </si>
  <si>
    <t>D01.18</t>
  </si>
  <si>
    <t>D01.18.99</t>
  </si>
  <si>
    <t>D01.19</t>
  </si>
  <si>
    <t>D01.19.99</t>
  </si>
  <si>
    <t>D01.20</t>
  </si>
  <si>
    <t>D01.21</t>
  </si>
  <si>
    <t>D01.90</t>
  </si>
  <si>
    <t>D01.90.01</t>
  </si>
  <si>
    <t>D01.90.01.01</t>
  </si>
  <si>
    <t>D01.90.01.01.01</t>
  </si>
  <si>
    <t>D01.90.01.01.01.001+D01.90.01.01.01.002</t>
  </si>
  <si>
    <t>D01.90.01.01.01.001</t>
  </si>
  <si>
    <t>D01.90.01.01.01.002</t>
  </si>
  <si>
    <t>D01.90.01.01.02</t>
  </si>
  <si>
    <t>D01.90.01.01.02.001+D01.90.01.01.02.002</t>
  </si>
  <si>
    <t>D01.90.01.01.02.001</t>
  </si>
  <si>
    <t>D01.90.01.01.02.002</t>
  </si>
  <si>
    <t>D01.90.01.01.03</t>
  </si>
  <si>
    <t>D01.90.01.01.03.01+D01.90.01.01.03.02.001+D01.90.01.01.03.03.001+D01.90.01.01.03.04.001</t>
  </si>
  <si>
    <t>D01.90.01.01.03.01</t>
  </si>
  <si>
    <t>D01.90.01.01.03.01.001+D01.90.01.01.03.01.002</t>
  </si>
  <si>
    <t>D01.90.01.01.03.01.001</t>
  </si>
  <si>
    <t>D01.90.01.01.03.01.002</t>
  </si>
  <si>
    <t>D01.90.01.01.03.02</t>
  </si>
  <si>
    <t>D01.05.01.01.03.02</t>
  </si>
  <si>
    <t>D01.90.01.01.03.02.001</t>
  </si>
  <si>
    <t>D01.90.01.01.03.03</t>
  </si>
  <si>
    <t>D01.05.01.01.03.03</t>
  </si>
  <si>
    <t>D01.90.01.01.03.03.001</t>
  </si>
  <si>
    <t>D01.90.01.01.03.04</t>
  </si>
  <si>
    <t>D01.05.01.01.03.04</t>
  </si>
  <si>
    <t>D01.90.01.01.03.04.001</t>
  </si>
  <si>
    <t>D01.90.01.01.04</t>
  </si>
  <si>
    <t>D01.05.01.01.04</t>
  </si>
  <si>
    <t>D01.90.01.01.04.001</t>
  </si>
  <si>
    <t>D01.90.01.01.05</t>
  </si>
  <si>
    <t>D01.05.01.01.05</t>
  </si>
  <si>
    <t>D01.90.01.01.05.001</t>
  </si>
  <si>
    <t>D01.90.01.02</t>
  </si>
  <si>
    <t>D01.90.01.02.01</t>
  </si>
  <si>
    <t>D01.90.01.02.01.001+D01.90.01.02.01.002</t>
  </si>
  <si>
    <t>D01.90.01.02.01.001</t>
  </si>
  <si>
    <t>D01.90.01.02.01.002</t>
  </si>
  <si>
    <t>D01.90.01.02.02</t>
  </si>
  <si>
    <t>D01.90.01.02.02.001+D01.90.01.02.02.002</t>
  </si>
  <si>
    <t>D01.90.01.02.02.001</t>
  </si>
  <si>
    <t>D01.90.01.02.02.002</t>
  </si>
  <si>
    <t>D01.90.01.02.03</t>
  </si>
  <si>
    <t>D01.90.01.02.03.01+D01.90.01.02.03.02.001+D01.90.01.02.03.03.001+D01.90.01.02.03.04.001</t>
  </si>
  <si>
    <t>D01.90.01.02.03.01</t>
  </si>
  <si>
    <t>D01.90.01.02.03.01.001+D01.90.01.02.03.01.002</t>
  </si>
  <si>
    <t>D01.90.01.02.03.01.001</t>
  </si>
  <si>
    <t>D01.90.01.02.03.01.002</t>
  </si>
  <si>
    <t>D01.90.01.02.03.02</t>
  </si>
  <si>
    <t>D01.05.01.02.03.02</t>
  </si>
  <si>
    <t>D01.90.01.02.03.02.001</t>
  </si>
  <si>
    <t>D01.90.01.02.03.03</t>
  </si>
  <si>
    <t>D01.05.01.02.03.03</t>
  </si>
  <si>
    <t>D01.90.01.02.03.03.001</t>
  </si>
  <si>
    <t>D01.90.01.02.03.04</t>
  </si>
  <si>
    <t>D01.05.01.02.03.04</t>
  </si>
  <si>
    <t>D01.90.01.02.03.04.001</t>
  </si>
  <si>
    <t>D01.90.01.02.04</t>
  </si>
  <si>
    <t>D01.05.01.02.04</t>
  </si>
  <si>
    <t>D01.90.01.02.04.001</t>
  </si>
  <si>
    <t>D01.90.01.02.05</t>
  </si>
  <si>
    <t>D01.05.01.02.05</t>
  </si>
  <si>
    <t>D01.90.01.02.05.001</t>
  </si>
  <si>
    <t>D01.90.02</t>
  </si>
  <si>
    <t>D01.90.02.01</t>
  </si>
  <si>
    <t>D01.90.02.02</t>
  </si>
  <si>
    <t>D01.90.02.09</t>
  </si>
  <si>
    <t>D01.90.02.09.01+D01.90.02.09.02+D01.90.02.09.03</t>
  </si>
  <si>
    <t>D01.90.02.09.01</t>
  </si>
  <si>
    <t>D01.90.02.09.01.001+D01.90.02.09.01.002+D01.90.02.09.01.003+D01.90.02.09.01.004</t>
  </si>
  <si>
    <t>D01.90.02.09.01.001</t>
  </si>
  <si>
    <t>D01.90.02.09.01.002</t>
  </si>
  <si>
    <t>D01.90.02.09.01.003</t>
  </si>
  <si>
    <t>D01.90.02.09.01.004</t>
  </si>
  <si>
    <t>D01.90.02.09.02</t>
  </si>
  <si>
    <t>D01.90.02.09.02.101+D01.90.02.09.02.102+D01.90.02.09.02.103</t>
  </si>
  <si>
    <t>D01.90.02.09.02.001</t>
  </si>
  <si>
    <t>D01.90.02.09.02.002</t>
  </si>
  <si>
    <t>D01.90.02.09.02.003</t>
  </si>
  <si>
    <t>D01.90.02.09.02.004</t>
  </si>
  <si>
    <t>D01.90.02.09.02.005</t>
  </si>
  <si>
    <t>D01.90.02.09.02.006</t>
  </si>
  <si>
    <t>D01.90.02.09.02.007</t>
  </si>
  <si>
    <t>D01.90.02.09.02.008</t>
  </si>
  <si>
    <t>D01.90.02.09.02.009</t>
  </si>
  <si>
    <t>D01.90.02.09.02.010</t>
  </si>
  <si>
    <t>D01.90.02.09.02.011</t>
  </si>
  <si>
    <t>D01.90.02.09.02.101</t>
  </si>
  <si>
    <t>D01.90.02.09.02.001+D01.90.02.09.02.002+D01.90.02.09.02.005+D01.90.02.09.02.006+D01.90.02.09.02.010</t>
  </si>
  <si>
    <t>D01.90.02.09.02.102</t>
  </si>
  <si>
    <t>D01.90.02.09.02.007+D01.90.02.09.02.008+D01.90.02.09.02.011</t>
  </si>
  <si>
    <t>D01.90.02.09.02.103</t>
  </si>
  <si>
    <t>D01.90.02.09.02.003+D01.90.02.09.02.004+D01.90.02.09.02.009</t>
  </si>
  <si>
    <t>D01.90.02.09.03</t>
  </si>
  <si>
    <t>D01.90.02.09.03.001+D01.90.02.09.03.002+D01.90.02.09.03.003</t>
  </si>
  <si>
    <t>D01.90.02.09.03.001</t>
  </si>
  <si>
    <t>D01.90.02.09.03.002</t>
  </si>
  <si>
    <t>D01.90.02.09.03.003</t>
  </si>
  <si>
    <t>D01.90.03</t>
  </si>
  <si>
    <t>D01.90.03.01</t>
  </si>
  <si>
    <t>D01.90.03.01.01</t>
  </si>
  <si>
    <t>D01.90.03.01.02</t>
  </si>
  <si>
    <t>D01.90.03.02</t>
  </si>
  <si>
    <t>D01.90.03.03</t>
  </si>
  <si>
    <t>D01.90.03.04</t>
  </si>
  <si>
    <t>D01.90.04</t>
  </si>
  <si>
    <t>D01.90.05</t>
  </si>
  <si>
    <t>E.01</t>
  </si>
  <si>
    <t>E.01.01+E.01.02+E.01.03</t>
  </si>
  <si>
    <t>E.01.01</t>
  </si>
  <si>
    <t>E.01.01.01+E.01.01.02</t>
  </si>
  <si>
    <t>E.01.01.01</t>
  </si>
  <si>
    <t>E.14</t>
  </si>
  <si>
    <t>E.15</t>
  </si>
  <si>
    <t>E.01.01.02</t>
  </si>
  <si>
    <t>E.16</t>
  </si>
  <si>
    <t>E.17</t>
  </si>
  <si>
    <t>E.01.02</t>
  </si>
  <si>
    <t>E.18</t>
  </si>
  <si>
    <t>E.19</t>
  </si>
  <si>
    <t>E.01.03</t>
  </si>
  <si>
    <t>E.02</t>
  </si>
  <si>
    <t>E.03</t>
  </si>
  <si>
    <t>E.04</t>
  </si>
  <si>
    <t>E.05</t>
  </si>
  <si>
    <t>E.90.01+E.90.09+E.90.03+E.90.04+E.90.05</t>
  </si>
  <si>
    <t>E.05.01</t>
  </si>
  <si>
    <t>E.90.01.01+E.90.01.02</t>
  </si>
  <si>
    <t>E.05.01.01</t>
  </si>
  <si>
    <t>E.90.01.01.01+E.90.01.01.02+E.90.01.01.03+E.90.01.01.04.001+E.90.01.01.05.001</t>
  </si>
  <si>
    <t>E.05.01.02</t>
  </si>
  <si>
    <t>E.90.01.02.01+E.90.01.02.02+E.90.01.02.03+E.90.01.02.04.001+E.90.01.02.05.001</t>
  </si>
  <si>
    <t>E.05.02</t>
  </si>
  <si>
    <t>E.05.02.01</t>
  </si>
  <si>
    <t>E.05.02.02</t>
  </si>
  <si>
    <t>E.05.03</t>
  </si>
  <si>
    <t>E.90.03.01+E.90.03.02+E.90.03.03+E.90.03.04</t>
  </si>
  <si>
    <t>E.05.03.01</t>
  </si>
  <si>
    <t>E.90.03.01.01+E.90.03.01.02</t>
  </si>
  <si>
    <t>E.05.03.01.01</t>
  </si>
  <si>
    <t>E.05.03.01.02</t>
  </si>
  <si>
    <t>E.05.03.02</t>
  </si>
  <si>
    <t>E.05.03.03</t>
  </si>
  <si>
    <t>E.05.03.04</t>
  </si>
  <si>
    <t>E.05.04</t>
  </si>
  <si>
    <t>E.05.05</t>
  </si>
  <si>
    <t>E.06</t>
  </si>
  <si>
    <t>E.07</t>
  </si>
  <si>
    <t>E.08</t>
  </si>
  <si>
    <t>E.09</t>
  </si>
  <si>
    <t>E.90</t>
  </si>
  <si>
    <t>E.90.01</t>
  </si>
  <si>
    <t>E.90.01.01</t>
  </si>
  <si>
    <t>E.90.01.01.01</t>
  </si>
  <si>
    <t>E.90.01.01.01.001+E.90.01.01.01.002</t>
  </si>
  <si>
    <t>E.90.01.01.01.001</t>
  </si>
  <si>
    <t>E.90.01.01.01.002</t>
  </si>
  <si>
    <t>E.90.01.01.02</t>
  </si>
  <si>
    <t>E.90.01.01.02.001+E.90.01.01.02.002</t>
  </si>
  <si>
    <t>E.90.01.01.02.001</t>
  </si>
  <si>
    <t>E.90.01.01.02.002</t>
  </si>
  <si>
    <t>E.90.01.01.03</t>
  </si>
  <si>
    <t>E.90.01.01.03.01+E.90.01.01.03.02.001+E.90.01.01.03.03.001+E.90.01.01.03.04.001</t>
  </si>
  <si>
    <t>E.90.01.01.03.01</t>
  </si>
  <si>
    <t>E.90.01.01.03.01.001+E.90.01.01.03.01.002</t>
  </si>
  <si>
    <t>E.90.01.01.03.01.001</t>
  </si>
  <si>
    <t>E.90.01.01.03.01.002</t>
  </si>
  <si>
    <t>E.90.01.01.03.02</t>
  </si>
  <si>
    <t>E.05.01.01.03.02</t>
  </si>
  <si>
    <t>E.90.01.01.03.02.001</t>
  </si>
  <si>
    <t>E.90.01.01.03.03</t>
  </si>
  <si>
    <t>E.05.01.01.03.03</t>
  </si>
  <si>
    <t>E.90.01.01.03.03.001</t>
  </si>
  <si>
    <t>E.90.01.01.03.04</t>
  </si>
  <si>
    <t>E.05.01.01.03.04</t>
  </si>
  <si>
    <t>E.90.01.01.03.04.001</t>
  </si>
  <si>
    <t>E.90.01.01.04</t>
  </si>
  <si>
    <t>E.05.01.01.04</t>
  </si>
  <si>
    <t>E.90.01.01.04.001</t>
  </si>
  <si>
    <t>E.90.01.01.05</t>
  </si>
  <si>
    <t>E.05.01.01.05</t>
  </si>
  <si>
    <t>E.90.01.01.05.001</t>
  </si>
  <si>
    <t>E.90.01.02</t>
  </si>
  <si>
    <t>E.90.01.02.01</t>
  </si>
  <si>
    <t>E.90.01.02.01.001+E.90.01.02.01.002</t>
  </si>
  <si>
    <t>E.90.01.02.01.001</t>
  </si>
  <si>
    <t>E.90.01.02.01.002</t>
  </si>
  <si>
    <t>E.90.01.02.02</t>
  </si>
  <si>
    <t>E.90.01.02.02.001+E.90.01.02.02.002</t>
  </si>
  <si>
    <t>E.90.01.02.02.001</t>
  </si>
  <si>
    <t>E.90.01.02.02.002</t>
  </si>
  <si>
    <t>E.90.01.02.03</t>
  </si>
  <si>
    <t>E.90.01.02.03.01+E.90.01.02.03.02.001+E.90.01.02.03.03.001+E.90.01.02.03.04.001</t>
  </si>
  <si>
    <t>E.90.01.02.03.01</t>
  </si>
  <si>
    <t>E.90.01.02.03.01.001+E.90.01.02.03.01.002</t>
  </si>
  <si>
    <t>E.90.01.02.03.01.001</t>
  </si>
  <si>
    <t>E.90.01.02.03.01.002</t>
  </si>
  <si>
    <t>E.90.01.02.03.02</t>
  </si>
  <si>
    <t>E.05.01.02.03.02</t>
  </si>
  <si>
    <t>E.90.01.02.03.02.001</t>
  </si>
  <si>
    <t>E.90.01.02.03.03</t>
  </si>
  <si>
    <t>E.05.01.02.03.03</t>
  </si>
  <si>
    <t>E.90.01.02.03.03.001</t>
  </si>
  <si>
    <t>E.90.01.02.03.04</t>
  </si>
  <si>
    <t>E.05.01.02.03.04</t>
  </si>
  <si>
    <t>E.90.01.02.03.04.001</t>
  </si>
  <si>
    <t>E.90.01.02.04</t>
  </si>
  <si>
    <t>E.05.01.02.04</t>
  </si>
  <si>
    <t>E.90.01.02.04.001</t>
  </si>
  <si>
    <t>E.90.01.02.05</t>
  </si>
  <si>
    <t>E.05.01.02.05</t>
  </si>
  <si>
    <t>E.90.01.02.05.001</t>
  </si>
  <si>
    <t>E.90.02</t>
  </si>
  <si>
    <t>E.90.02.01</t>
  </si>
  <si>
    <t>E.90.02.02</t>
  </si>
  <si>
    <t>E.90.03</t>
  </si>
  <si>
    <t>E.90.03.01</t>
  </si>
  <si>
    <t>E.90.03.01.01</t>
  </si>
  <si>
    <t>E.90.03.01.02</t>
  </si>
  <si>
    <t>E.90.03.02</t>
  </si>
  <si>
    <t>E.90.03.03</t>
  </si>
  <si>
    <t>E.90.03.04</t>
  </si>
  <si>
    <t>E.90.04</t>
  </si>
  <si>
    <t>E.90.05</t>
  </si>
  <si>
    <t>E.90.09</t>
  </si>
  <si>
    <t>E.90.09.09</t>
  </si>
  <si>
    <t>E.90.09.09.01+E.90.09.09.02+E.90.09.09.03</t>
  </si>
  <si>
    <t>E.90.09.09.01</t>
  </si>
  <si>
    <t>E.90.09.09.01.001+E.90.09.09.01.002+E.90.09.09.01.003+E.90.09.09.01.004</t>
  </si>
  <si>
    <t>E.90.09.09.01.001</t>
  </si>
  <si>
    <t>E.90.09.09.01.002</t>
  </si>
  <si>
    <t>E.90.09.09.01.003</t>
  </si>
  <si>
    <t>E.90.09.09.01.004</t>
  </si>
  <si>
    <t>E.90.09.09.02</t>
  </si>
  <si>
    <t>E.90.09.09.02.101+E.90.09.09.02.102+E.90.09.09.02.103</t>
  </si>
  <si>
    <t>E.90.09.09.02.001</t>
  </si>
  <si>
    <t>E.90.09.09.02.002</t>
  </si>
  <si>
    <t>E.90.09.09.02.003</t>
  </si>
  <si>
    <t>E.90.09.09.02.004</t>
  </si>
  <si>
    <t>E.90.09.09.02.005</t>
  </si>
  <si>
    <t>E.90.09.09.02.006</t>
  </si>
  <si>
    <t>E.90.09.09.02.007</t>
  </si>
  <si>
    <t>E.90.09.09.02.008</t>
  </si>
  <si>
    <t>E.90.09.09.02.009</t>
  </si>
  <si>
    <t>E.90.09.09.02.010</t>
  </si>
  <si>
    <t>E.90.09.09.02.011</t>
  </si>
  <si>
    <t>E.90.09.09.02.101</t>
  </si>
  <si>
    <t>E.90.09.09.02.001+E.90.09.09.02.002+E.90.09.09.02.005+E.90.09.09.02.006+E.90.09.09.02.010</t>
  </si>
  <si>
    <t>E.90.09.09.02.102</t>
  </si>
  <si>
    <t>E.90.09.09.02.007+E.90.09.09.02.008+E.90.09.09.02.011</t>
  </si>
  <si>
    <t>E.90.09.09.02.103</t>
  </si>
  <si>
    <t>E.90.09.09.02.003+E.90.09.09.02.004+E.90.09.09.02.009</t>
  </si>
  <si>
    <t>E.90.09.09.03</t>
  </si>
  <si>
    <t>E.90.09.09.03.001+E.90.09.09.03.002+E.90.09.09.03.003</t>
  </si>
  <si>
    <t>E.90.09.09.03.001</t>
  </si>
  <si>
    <t>E.90.09.09.03.002</t>
  </si>
  <si>
    <t>E.90.09.09.03.003</t>
  </si>
  <si>
    <t>E01.01</t>
  </si>
  <si>
    <t>E01.01.01+E01.01.02+E01.01.03</t>
  </si>
  <si>
    <t>E01.01.01</t>
  </si>
  <si>
    <t>E01.01.01.01+E01.01.01.02</t>
  </si>
  <si>
    <t>E01.01.01.01</t>
  </si>
  <si>
    <t>E01.01.01.02</t>
  </si>
  <si>
    <t>E01.01.02</t>
  </si>
  <si>
    <t>E01.01.03</t>
  </si>
  <si>
    <t>E01.02</t>
  </si>
  <si>
    <t>E01.03</t>
  </si>
  <si>
    <t>E01.01-E01.02</t>
  </si>
  <si>
    <t>E01.04</t>
  </si>
  <si>
    <t>E01.05</t>
  </si>
  <si>
    <t>E01.90.01+E01.90.02+E01.90.03+E01.90.04+E01.90.05</t>
  </si>
  <si>
    <t>E01.05.01</t>
  </si>
  <si>
    <t>E01.90.01.01+E01.90.01.02</t>
  </si>
  <si>
    <t>E01.05.01.01</t>
  </si>
  <si>
    <t>E01.90.01.01.01+E01.90.01.01.02+E01.90.01.01.03+E01.90.01.01.04.001+E01.90.01.01.05.001</t>
  </si>
  <si>
    <t>E01.05.01.02</t>
  </si>
  <si>
    <t>E01.90.01.02.01+E01.90.01.02.02+E01.90.01.02.03+E01.90.01.02.04.001+E01.90.01.02.05.001</t>
  </si>
  <si>
    <t>E01.05.02</t>
  </si>
  <si>
    <t>E01.90.02.01+E01.90.02.02+E01.90.02.09</t>
  </si>
  <si>
    <t>E01.05.02.01</t>
  </si>
  <si>
    <t>E01.05.02.02</t>
  </si>
  <si>
    <t>E01.05.03</t>
  </si>
  <si>
    <t>E01.90.03.01+E01.90.03.02+E01.90.03.03+E01.90.03.04</t>
  </si>
  <si>
    <t>E01.05.03.01</t>
  </si>
  <si>
    <t>E01.90.03.01.01+E01.90.03.01.02</t>
  </si>
  <si>
    <t>E01.05.03.01.01</t>
  </si>
  <si>
    <t>E01.05.03.01.02</t>
  </si>
  <si>
    <t>E01.05.03.02</t>
  </si>
  <si>
    <t>E01.05.03.03</t>
  </si>
  <si>
    <t>E01.05.03.04</t>
  </si>
  <si>
    <t>E01.05.04</t>
  </si>
  <si>
    <t>E01.05.05</t>
  </si>
  <si>
    <t>E01.06</t>
  </si>
  <si>
    <t>E01.07</t>
  </si>
  <si>
    <t>E01.03-E01.04-E01.90+E01.06</t>
  </si>
  <si>
    <t>E01.08</t>
  </si>
  <si>
    <t>E01.09</t>
  </si>
  <si>
    <t>E01.07-E01.08</t>
  </si>
  <si>
    <t>E01.18</t>
  </si>
  <si>
    <t>E01.18.99</t>
  </si>
  <si>
    <t>E01.19</t>
  </si>
  <si>
    <t>E01.19.99</t>
  </si>
  <si>
    <t>E01.20</t>
  </si>
  <si>
    <t>E01.21</t>
  </si>
  <si>
    <t>E01.90</t>
  </si>
  <si>
    <t>E01.90.01</t>
  </si>
  <si>
    <t>E01.90.01.01</t>
  </si>
  <si>
    <t>E01.90.01.01.01</t>
  </si>
  <si>
    <t>E01.90.01.01.01.001+E01.90.01.01.01.002</t>
  </si>
  <si>
    <t>E01.90.01.01.01.001</t>
  </si>
  <si>
    <t>E01.90.01.01.01.002</t>
  </si>
  <si>
    <t>E01.90.01.01.02</t>
  </si>
  <si>
    <t>E01.90.01.01.02.001+E01.90.01.01.02.002</t>
  </si>
  <si>
    <t>E01.90.01.01.02.001</t>
  </si>
  <si>
    <t>E01.90.01.01.02.002</t>
  </si>
  <si>
    <t>E01.90.01.01.03</t>
  </si>
  <si>
    <t>E01.90.01.01.03.01+E01.90.01.01.03.02.001+E01.90.01.01.03.03.001+E01.90.01.01.03.04.001</t>
  </si>
  <si>
    <t>E01.90.01.01.03.01</t>
  </si>
  <si>
    <t>E01.90.01.01.03.01.001+E01.90.01.01.03.01.002</t>
  </si>
  <si>
    <t>E01.90.01.01.03.01.001</t>
  </si>
  <si>
    <t>E01.90.01.01.03.01.002</t>
  </si>
  <si>
    <t>E01.90.01.01.03.02</t>
  </si>
  <si>
    <t>E01.05.01.01.03.02</t>
  </si>
  <si>
    <t>E01.90.01.01.03.02.001</t>
  </si>
  <si>
    <t>E01.90.01.01.03.03</t>
  </si>
  <si>
    <t>E01.05.01.01.03.03</t>
  </si>
  <si>
    <t>E01.90.01.01.03.03.001</t>
  </si>
  <si>
    <t>E01.90.01.01.03.04</t>
  </si>
  <si>
    <t>E01.05.01.01.03.04</t>
  </si>
  <si>
    <t>E01.90.01.01.03.04.001</t>
  </si>
  <si>
    <t>E01.90.01.01.04</t>
  </si>
  <si>
    <t>E01.05.01.01.04</t>
  </si>
  <si>
    <t>E01.90.01.01.04.001</t>
  </si>
  <si>
    <t>E01.90.01.01.05</t>
  </si>
  <si>
    <t>E01.05.01.01.05</t>
  </si>
  <si>
    <t>E01.90.01.01.05.001</t>
  </si>
  <si>
    <t>E01.90.01.02</t>
  </si>
  <si>
    <t>E01.90.01.02.01</t>
  </si>
  <si>
    <t>E01.90.01.02.01.001+E01.90.01.02.01.002</t>
  </si>
  <si>
    <t>E01.90.01.02.01.001</t>
  </si>
  <si>
    <t>E01.90.01.02.01.002</t>
  </si>
  <si>
    <t>E01.90.01.02.02</t>
  </si>
  <si>
    <t>E01.90.01.02.02.001+E01.90.01.02.02.002</t>
  </si>
  <si>
    <t>E01.90.01.02.02.001</t>
  </si>
  <si>
    <t>E01.90.01.02.02.002</t>
  </si>
  <si>
    <t>E01.90.01.02.03</t>
  </si>
  <si>
    <t>E01.90.01.02.03.01+E01.90.01.02.03.02.001+E01.90.01.02.03.03.001+E01.90.01.02.03.04.001</t>
  </si>
  <si>
    <t>E01.90.01.02.03.01</t>
  </si>
  <si>
    <t>E01.90.01.02.03.01.001+E01.90.01.02.03.01.002</t>
  </si>
  <si>
    <t>E01.90.01.02.03.01.001</t>
  </si>
  <si>
    <t>E01.90.01.02.03.01.002</t>
  </si>
  <si>
    <t>E01.90.01.02.03.02</t>
  </si>
  <si>
    <t>E01.05.01.02.03.02</t>
  </si>
  <si>
    <t>E01.90.01.02.03.02.001</t>
  </si>
  <si>
    <t>E01.90.01.02.03.03</t>
  </si>
  <si>
    <t>E01.05.01.02.03.03</t>
  </si>
  <si>
    <t>E01.90.01.02.03.03.001</t>
  </si>
  <si>
    <t>E01.90.01.02.03.04</t>
  </si>
  <si>
    <t>E01.05.01.02.03.04</t>
  </si>
  <si>
    <t>E01.90.01.02.03.04.001</t>
  </si>
  <si>
    <t>E01.90.01.02.04</t>
  </si>
  <si>
    <t>E01.05.01.02.04</t>
  </si>
  <si>
    <t>E01.90.01.02.04.001</t>
  </si>
  <si>
    <t>E01.90.01.02.05</t>
  </si>
  <si>
    <t>E01.05.01.02.05</t>
  </si>
  <si>
    <t>E01.90.01.02.05.001</t>
  </si>
  <si>
    <t>E01.90.02</t>
  </si>
  <si>
    <t>E01.90.02.01</t>
  </si>
  <si>
    <t>E01.90.02.02</t>
  </si>
  <si>
    <t>E01.90.02.09</t>
  </si>
  <si>
    <t>E01.90.02.09.01+E01.90.02.09.02+E01.90.02.09.03</t>
  </si>
  <si>
    <t>E01.90.02.09.01</t>
  </si>
  <si>
    <t>E01.90.02.09.01.001+E01.90.02.09.01.002+E01.90.02.09.01.003+E01.90.02.09.01.004</t>
  </si>
  <si>
    <t>E01.90.02.09.01.001</t>
  </si>
  <si>
    <t>E01.90.02.09.01.002</t>
  </si>
  <si>
    <t>E01.90.02.09.01.003</t>
  </si>
  <si>
    <t>E01.90.02.09.01.004</t>
  </si>
  <si>
    <t>E01.90.02.09.02</t>
  </si>
  <si>
    <t>E01.90.02.09.02.101+E01.90.02.09.02.102+E01.90.02.09.02.103</t>
  </si>
  <si>
    <t>E01.90.02.09.02.001</t>
  </si>
  <si>
    <t>E01.90.02.09.02.002</t>
  </si>
  <si>
    <t>E01.90.02.09.02.003</t>
  </si>
  <si>
    <t>E01.90.02.09.02.004</t>
  </si>
  <si>
    <t>E01.90.02.09.02.005</t>
  </si>
  <si>
    <t>E01.90.02.09.02.006</t>
  </si>
  <si>
    <t>E01.90.02.09.02.007</t>
  </si>
  <si>
    <t>E01.90.02.09.02.008</t>
  </si>
  <si>
    <t>E01.90.02.09.02.009</t>
  </si>
  <si>
    <t>E01.90.02.09.02.010</t>
  </si>
  <si>
    <t>E01.90.02.09.02.011</t>
  </si>
  <si>
    <t>E01.90.02.09.02.101</t>
  </si>
  <si>
    <t>E01.90.02.09.02.001+E01.90.02.09.02.002+E01.90.02.09.02.005+E01.90.02.09.02.006+E01.90.02.09.02.010</t>
  </si>
  <si>
    <t>E01.90.02.09.02.102</t>
  </si>
  <si>
    <t>E01.90.02.09.02.007+E01.90.02.09.02.008+E01.90.02.09.02.011</t>
  </si>
  <si>
    <t>E01.90.02.09.02.103</t>
  </si>
  <si>
    <t>E01.90.02.09.02.003+E01.90.02.09.02.004+E01.90.02.09.02.009</t>
  </si>
  <si>
    <t>E01.90.02.09.03</t>
  </si>
  <si>
    <t>E01.90.02.09.03.001+E01.90.02.09.03.002+E01.90.02.09.03.003</t>
  </si>
  <si>
    <t>E01.90.02.09.03.001</t>
  </si>
  <si>
    <t>E01.90.02.09.03.002</t>
  </si>
  <si>
    <t>E01.90.02.09.03.003</t>
  </si>
  <si>
    <t>E01.90.03</t>
  </si>
  <si>
    <t>E01.90.03.01</t>
  </si>
  <si>
    <t>E01.90.03.01.01</t>
  </si>
  <si>
    <t>E01.90.03.01.02</t>
  </si>
  <si>
    <t>E01.90.03.02</t>
  </si>
  <si>
    <t>E01.90.03.03</t>
  </si>
  <si>
    <t>E01.90.03.04</t>
  </si>
  <si>
    <t>E01.90.04</t>
  </si>
  <si>
    <t>E01.90.05</t>
  </si>
  <si>
    <t>F.01</t>
  </si>
  <si>
    <t>F.01.01+F.01.02+F.01.03</t>
  </si>
  <si>
    <t>F.01.01</t>
  </si>
  <si>
    <t>F.01.01.01+F.01.01.02</t>
  </si>
  <si>
    <t>F.01.01.01</t>
  </si>
  <si>
    <t>F.14</t>
  </si>
  <si>
    <t>F.15</t>
  </si>
  <si>
    <t>F.01.01.02</t>
  </si>
  <si>
    <t>F.16</t>
  </si>
  <si>
    <t>F.17</t>
  </si>
  <si>
    <t>F.01.02</t>
  </si>
  <si>
    <t>F.18</t>
  </si>
  <si>
    <t>F.19</t>
  </si>
  <si>
    <t>F.01.03</t>
  </si>
  <si>
    <t>F.02</t>
  </si>
  <si>
    <t>F.03</t>
  </si>
  <si>
    <t>F.04</t>
  </si>
  <si>
    <t>F.05</t>
  </si>
  <si>
    <t>F.90.01+F.90.09+F.90.03+F.90.04+F.90.05</t>
  </si>
  <si>
    <t>F.05.01</t>
  </si>
  <si>
    <t>F.90.01.01+F.90.01.02</t>
  </si>
  <si>
    <t>F.05.01.01</t>
  </si>
  <si>
    <t>F.90.01.01.01+F.90.01.01.02+F.90.01.01.03+F.90.01.01.04.001+F.90.01.01.05.001</t>
  </si>
  <si>
    <t>F.05.01.02</t>
  </si>
  <si>
    <t>F.90.01.02.01+F.90.01.02.02+F.90.01.02.03+F.90.01.02.04.001+F.90.01.02.05.001</t>
  </si>
  <si>
    <t>F.05.02</t>
  </si>
  <si>
    <t>F.05.02.01</t>
  </si>
  <si>
    <t>F.05.02.02</t>
  </si>
  <si>
    <t>F.05.03</t>
  </si>
  <si>
    <t>F.90.03.01+F.90.03.02+F.90.03.03+F.90.03.04</t>
  </si>
  <si>
    <t>F.05.03.01</t>
  </si>
  <si>
    <t>F.90.03.01.01+F.90.03.01.02</t>
  </si>
  <si>
    <t>F.05.03.01.01</t>
  </si>
  <si>
    <t>F.05.03.01.02</t>
  </si>
  <si>
    <t>F.05.03.02</t>
  </si>
  <si>
    <t>F.05.03.03</t>
  </si>
  <si>
    <t>F.05.03.04</t>
  </si>
  <si>
    <t>F.05.04</t>
  </si>
  <si>
    <t>F.05.05</t>
  </si>
  <si>
    <t>F.06</t>
  </si>
  <si>
    <t>F.07</t>
  </si>
  <si>
    <t>F.08</t>
  </si>
  <si>
    <t>F.09</t>
  </si>
  <si>
    <t>F.10</t>
  </si>
  <si>
    <t>F.10.01</t>
  </si>
  <si>
    <t>F.10.01.02</t>
  </si>
  <si>
    <t>F.11</t>
  </si>
  <si>
    <t>F.11.01</t>
  </si>
  <si>
    <t>F.11.01.02</t>
  </si>
  <si>
    <t>F.90</t>
  </si>
  <si>
    <t>F.90.01</t>
  </si>
  <si>
    <t>F.90.01.01</t>
  </si>
  <si>
    <t>F.90.01.01.01</t>
  </si>
  <si>
    <t>F.90.01.01.01.001+F.90.01.01.01.002</t>
  </si>
  <si>
    <t>F.90.01.01.01.001</t>
  </si>
  <si>
    <t>F.90.01.01.01.002</t>
  </si>
  <si>
    <t>F.90.01.01.02</t>
  </si>
  <si>
    <t>F.90.01.01.02.001+F.90.01.01.02.002</t>
  </si>
  <si>
    <t>F.90.01.01.02.001</t>
  </si>
  <si>
    <t>F.90.01.01.02.002</t>
  </si>
  <si>
    <t>F.90.01.01.03</t>
  </si>
  <si>
    <t>F.90.01.01.03.01+F.90.01.01.03.02.001+F.90.01.01.03.03.001+F.90.01.01.03.04.001</t>
  </si>
  <si>
    <t>F.90.01.01.03.01</t>
  </si>
  <si>
    <t>F.90.01.01.03.01.001+F.90.01.01.03.01.002</t>
  </si>
  <si>
    <t>F.90.01.01.03.01.001</t>
  </si>
  <si>
    <t>F.90.01.01.03.01.002</t>
  </si>
  <si>
    <t>F.90.01.01.03.02</t>
  </si>
  <si>
    <t>F.05.01.01.03.02</t>
  </si>
  <si>
    <t>F.90.01.01.03.02.001</t>
  </si>
  <si>
    <t>F.90.01.01.03.03</t>
  </si>
  <si>
    <t>F.05.01.01.03.03</t>
  </si>
  <si>
    <t>F.90.01.01.03.03.001</t>
  </si>
  <si>
    <t>F.90.01.01.03.04</t>
  </si>
  <si>
    <t>F.05.01.01.03.04</t>
  </si>
  <si>
    <t>F.90.01.01.03.04.001</t>
  </si>
  <si>
    <t>F.90.01.01.04</t>
  </si>
  <si>
    <t>F.05.01.01.04</t>
  </si>
  <si>
    <t>F.90.01.01.04.001</t>
  </si>
  <si>
    <t>F.90.01.01.05</t>
  </si>
  <si>
    <t>F.05.01.01.05</t>
  </si>
  <si>
    <t>F.90.01.01.05.001</t>
  </si>
  <si>
    <t>F.90.01.02</t>
  </si>
  <si>
    <t>F.90.01.02.01</t>
  </si>
  <si>
    <t>F.90.01.02.01.001+F.90.01.02.01.002</t>
  </si>
  <si>
    <t>F.90.01.02.01.001</t>
  </si>
  <si>
    <t>F.90.01.02.01.002</t>
  </si>
  <si>
    <t>F.90.01.02.02</t>
  </si>
  <si>
    <t>F.90.01.02.02.001+F.90.01.02.02.002</t>
  </si>
  <si>
    <t>F.90.01.02.02.001</t>
  </si>
  <si>
    <t>F.90.01.02.02.002</t>
  </si>
  <si>
    <t>F.90.01.02.03</t>
  </si>
  <si>
    <t>F.90.01.02.03.01+F.90.01.02.03.02.001+F.90.01.02.03.03.001+F.90.01.02.03.04.001</t>
  </si>
  <si>
    <t>F.90.01.02.03.01</t>
  </si>
  <si>
    <t>F.90.01.02.03.01.001+F.90.01.02.03.01.002</t>
  </si>
  <si>
    <t>F.90.01.02.03.01.001</t>
  </si>
  <si>
    <t>F.90.01.02.03.01.002</t>
  </si>
  <si>
    <t>F.90.01.02.03.02</t>
  </si>
  <si>
    <t>F.05.01.02.03.02</t>
  </si>
  <si>
    <t>F.90.01.02.03.02.001</t>
  </si>
  <si>
    <t>F.90.01.02.03.03</t>
  </si>
  <si>
    <t>F.05.01.02.03.03</t>
  </si>
  <si>
    <t>F.90.01.02.03.03.001</t>
  </si>
  <si>
    <t>F.90.01.02.03.04</t>
  </si>
  <si>
    <t>F.05.01.02.03.04</t>
  </si>
  <si>
    <t>F.90.01.02.03.04.001</t>
  </si>
  <si>
    <t>F.90.01.02.04</t>
  </si>
  <si>
    <t>F.05.01.02.04</t>
  </si>
  <si>
    <t>F.90.01.02.04.001</t>
  </si>
  <si>
    <t>F.90.01.02.05</t>
  </si>
  <si>
    <t>F.05.01.02.05</t>
  </si>
  <si>
    <t>F.90.01.02.05.001</t>
  </si>
  <si>
    <t>F.90.02</t>
  </si>
  <si>
    <t>F.90.02.01</t>
  </si>
  <si>
    <t>F.90.02.02</t>
  </si>
  <si>
    <t>F.90.03</t>
  </si>
  <si>
    <t>F.90.03.01</t>
  </si>
  <si>
    <t>F.90.03.01.01</t>
  </si>
  <si>
    <t>F.90.03.01.02</t>
  </si>
  <si>
    <t>F.90.03.02</t>
  </si>
  <si>
    <t>F.90.03.03</t>
  </si>
  <si>
    <t>F.90.03.04</t>
  </si>
  <si>
    <t>F.90.04</t>
  </si>
  <si>
    <t>F.90.05</t>
  </si>
  <si>
    <t>F.90.09</t>
  </si>
  <si>
    <t>F.90.09.09</t>
  </si>
  <si>
    <t>F.90.09.09.01+F.90.09.09.02+F.90.09.09.03</t>
  </si>
  <si>
    <t>F.90.09.09.01</t>
  </si>
  <si>
    <t>F.90.09.09.01.001+F.90.09.09.01.002+F.90.09.09.01.003+F.90.09.09.01.004</t>
  </si>
  <si>
    <t>F.90.09.09.01.001</t>
  </si>
  <si>
    <t>F.90.09.09.01.002</t>
  </si>
  <si>
    <t>F.90.09.09.01.003</t>
  </si>
  <si>
    <t>F.90.09.09.01.004</t>
  </si>
  <si>
    <t>F.90.09.09.02</t>
  </si>
  <si>
    <t>F.90.09.09.02.101+F.90.09.09.02.102+F.90.09.09.02.103</t>
  </si>
  <si>
    <t>F.90.09.09.02.001</t>
  </si>
  <si>
    <t>F.90.09.09.02.002</t>
  </si>
  <si>
    <t>F.90.09.09.02.003</t>
  </si>
  <si>
    <t>F.90.09.09.02.004</t>
  </si>
  <si>
    <t>F.90.09.09.02.005</t>
  </si>
  <si>
    <t>F.90.09.09.02.006</t>
  </si>
  <si>
    <t>F.90.09.09.02.007</t>
  </si>
  <si>
    <t>F.90.09.09.02.008</t>
  </si>
  <si>
    <t>F.90.09.09.02.009</t>
  </si>
  <si>
    <t>F.90.09.09.02.010</t>
  </si>
  <si>
    <t>F.90.09.09.02.011</t>
  </si>
  <si>
    <t>F.90.09.09.02.101</t>
  </si>
  <si>
    <t>F.90.09.09.02.001+F.90.09.09.02.002+F.90.09.09.02.005+F.90.09.09.02.006+F.90.09.09.02.010</t>
  </si>
  <si>
    <t>F.90.09.09.02.102</t>
  </si>
  <si>
    <t>F.90.09.09.02.007+F.90.09.09.02.008+F.90.09.09.02.011</t>
  </si>
  <si>
    <t>F.90.09.09.02.103</t>
  </si>
  <si>
    <t>F.90.09.09.02.003+F.90.09.09.02.004+F.90.09.09.02.009</t>
  </si>
  <si>
    <t>F.90.09.09.03</t>
  </si>
  <si>
    <t>F.90.09.09.03.001+F.90.09.09.03.002+F.90.09.09.03.003</t>
  </si>
  <si>
    <t>F.90.09.09.03.001</t>
  </si>
  <si>
    <t>F.90.09.09.03.002</t>
  </si>
  <si>
    <t>F.90.09.09.03.003</t>
  </si>
  <si>
    <t>F01.01</t>
  </si>
  <si>
    <t>F01.01.01+F01.01.02+F01.01.03</t>
  </si>
  <si>
    <t>F01.01.01</t>
  </si>
  <si>
    <t>F01.01.01.01+F01.01.01.02</t>
  </si>
  <si>
    <t>F01.01.01.01</t>
  </si>
  <si>
    <t>F01.01.01.02</t>
  </si>
  <si>
    <t>F01.01.02</t>
  </si>
  <si>
    <t>F01.01.03</t>
  </si>
  <si>
    <t>F01.02</t>
  </si>
  <si>
    <t>F01.03</t>
  </si>
  <si>
    <t>F01.01-F01.02</t>
  </si>
  <si>
    <t>F01.04</t>
  </si>
  <si>
    <t>F01.05</t>
  </si>
  <si>
    <t>F01.90.01+F01.90.02+F01.90.03+F01.90.04+F01.90.05</t>
  </si>
  <si>
    <t>F01.05.01</t>
  </si>
  <si>
    <t>F01.90.01.01+F01.90.01.02</t>
  </si>
  <si>
    <t>F01.05.01.01</t>
  </si>
  <si>
    <t>F01.90.01.01.01+F01.90.01.01.02+F01.90.01.01.03+F01.90.01.01.04.001+F01.90.01.01.05.001</t>
  </si>
  <si>
    <t>F01.05.01.02</t>
  </si>
  <si>
    <t>F01.90.01.02.01+F01.90.01.02.02+F01.90.01.02.03+F01.90.01.02.04.001+F01.90.01.02.05.001</t>
  </si>
  <si>
    <t>F01.05.02</t>
  </si>
  <si>
    <t>F01.90.02.01+F01.90.02.02+F01.90.02.09</t>
  </si>
  <si>
    <t>F01.05.02.01</t>
  </si>
  <si>
    <t>F01.05.02.02</t>
  </si>
  <si>
    <t>F01.05.03</t>
  </si>
  <si>
    <t>F01.90.03.01+F01.90.03.02+F01.90.03.03+F01.90.03.04</t>
  </si>
  <si>
    <t>F01.05.03.01</t>
  </si>
  <si>
    <t>F01.90.03.01.01+F01.90.03.01.02</t>
  </si>
  <si>
    <t>F01.05.03.01.01</t>
  </si>
  <si>
    <t>F01.05.03.01.02</t>
  </si>
  <si>
    <t>F01.05.03.02</t>
  </si>
  <si>
    <t>F01.05.03.03</t>
  </si>
  <si>
    <t>F01.05.03.04</t>
  </si>
  <si>
    <t>F01.05.04</t>
  </si>
  <si>
    <t>F01.05.05</t>
  </si>
  <si>
    <t>F01.06</t>
  </si>
  <si>
    <t>F01.07</t>
  </si>
  <si>
    <t>F01.03-F01.04-F01.90+F01.06</t>
  </si>
  <si>
    <t>F01.08</t>
  </si>
  <si>
    <t>F01.09</t>
  </si>
  <si>
    <t>F01.07-F01.08</t>
  </si>
  <si>
    <t>F01.10</t>
  </si>
  <si>
    <t>F01.10.01</t>
  </si>
  <si>
    <t>F01.10.01.02</t>
  </si>
  <si>
    <t>F01.11</t>
  </si>
  <si>
    <t>F01.11.01</t>
  </si>
  <si>
    <t>F01.11.01.02</t>
  </si>
  <si>
    <t>F01.22</t>
  </si>
  <si>
    <t>F01.22.01+F01.22.02</t>
  </si>
  <si>
    <t>F01.22.01</t>
  </si>
  <si>
    <t>F01.22.02</t>
  </si>
  <si>
    <t>F01.23</t>
  </si>
  <si>
    <t>F01.23.01+F01.23.02</t>
  </si>
  <si>
    <t>F01.23.01</t>
  </si>
  <si>
    <t>F01.23.02</t>
  </si>
  <si>
    <t>F01.24</t>
  </si>
  <si>
    <t>F01.24.01+F01.24.02</t>
  </si>
  <si>
    <t>F01.24.01</t>
  </si>
  <si>
    <t>F01.24.02</t>
  </si>
  <si>
    <t>F01.25</t>
  </si>
  <si>
    <t>F01.25.01+F01.25.02</t>
  </si>
  <si>
    <t>F01.25.01</t>
  </si>
  <si>
    <t>F01.25.02</t>
  </si>
  <si>
    <t>F01.26</t>
  </si>
  <si>
    <t>F01.26.01+F01.26.02</t>
  </si>
  <si>
    <t>F01.26.01</t>
  </si>
  <si>
    <t>F01.26.02</t>
  </si>
  <si>
    <t>F01.27</t>
  </si>
  <si>
    <t>F01.27.01+F01.27.02</t>
  </si>
  <si>
    <t>F01.27.01</t>
  </si>
  <si>
    <t>F01.27.02</t>
  </si>
  <si>
    <t>F01.14</t>
  </si>
  <si>
    <t>F01.14.01+F01.14.02</t>
  </si>
  <si>
    <t>F01.14.01</t>
  </si>
  <si>
    <t>F01.14.01.01</t>
  </si>
  <si>
    <t>F01.14.02</t>
  </si>
  <si>
    <t>F01.14.02.01+F01.14.02.02+F01.14.02.03</t>
  </si>
  <si>
    <t>F01.14.02.01</t>
  </si>
  <si>
    <t>F01.14.02.01.01</t>
  </si>
  <si>
    <t>F01.14.02.02</t>
  </si>
  <si>
    <t>F01.14.02.02.01</t>
  </si>
  <si>
    <t>F01.14.02.03</t>
  </si>
  <si>
    <t>F01.14.02.03.01</t>
  </si>
  <si>
    <t>F01.15</t>
  </si>
  <si>
    <t>F01.15.04</t>
  </si>
  <si>
    <t xml:space="preserve">  司库FTP成本</t>
  </si>
  <si>
    <t>15.04</t>
  </si>
  <si>
    <t>F01.16</t>
  </si>
  <si>
    <t>F01.16.02</t>
  </si>
  <si>
    <t>F01.16.02.01+F01.16.02.02</t>
  </si>
  <si>
    <t>F01.16.02.01</t>
  </si>
  <si>
    <t>F01.16.02.01.01</t>
  </si>
  <si>
    <t>16.02.01.01</t>
  </si>
  <si>
    <t>F01.16.02.02</t>
  </si>
  <si>
    <t>F01.16.02.02.01</t>
  </si>
  <si>
    <t>F01.17</t>
  </si>
  <si>
    <t>F01.17.04</t>
  </si>
  <si>
    <t xml:space="preserve">  司库FTP收入</t>
  </si>
  <si>
    <t>17.04</t>
  </si>
  <si>
    <t>F01.18</t>
  </si>
  <si>
    <t>F01.18.99</t>
  </si>
  <si>
    <t>F01.19</t>
  </si>
  <si>
    <t>F01.19.99</t>
  </si>
  <si>
    <t>F01.20</t>
  </si>
  <si>
    <t>F01.20.01+F01.20.02</t>
  </si>
  <si>
    <t>F01.20.01</t>
  </si>
  <si>
    <t xml:space="preserve">  债券免税收入抵消</t>
  </si>
  <si>
    <t>F01.20.02</t>
  </si>
  <si>
    <t xml:space="preserve">  基金免税收入抵消</t>
  </si>
  <si>
    <t>F01.21</t>
  </si>
  <si>
    <t>F01.90</t>
  </si>
  <si>
    <t>F01.90.01</t>
  </si>
  <si>
    <t>F01.90.01.01</t>
  </si>
  <si>
    <t>F01.90.01.01.01</t>
  </si>
  <si>
    <t>F01.90.01.01.01.001+F01.90.01.01.01.002</t>
  </si>
  <si>
    <t>F01.90.01.01.01.001</t>
  </si>
  <si>
    <t>F01.90.01.01.01.002</t>
  </si>
  <si>
    <t>F01.90.01.01.02</t>
  </si>
  <si>
    <t>F01.90.01.01.02.001+F01.90.01.01.02.002</t>
  </si>
  <si>
    <t>F01.90.01.01.02.001</t>
  </si>
  <si>
    <t>F01.90.01.01.02.002</t>
  </si>
  <si>
    <t>F01.90.01.01.03</t>
  </si>
  <si>
    <t>F01.90.01.01.03.01+F01.90.01.01.03.02.001+F01.90.01.01.03.03.001+F01.90.01.01.03.04.001</t>
  </si>
  <si>
    <t>F01.90.01.01.03.01</t>
  </si>
  <si>
    <t>F01.90.01.01.03.01.001+F01.90.01.01.03.01.002</t>
  </si>
  <si>
    <t>F01.90.01.01.03.01.001</t>
  </si>
  <si>
    <t>F01.90.01.01.03.01.002</t>
  </si>
  <si>
    <t>F01.90.01.01.03.02</t>
  </si>
  <si>
    <t>F01.05.01.01.03.02</t>
  </si>
  <si>
    <t>F01.90.01.01.03.02.001</t>
  </si>
  <si>
    <t>F01.90.01.01.03.03</t>
  </si>
  <si>
    <t>F01.05.01.01.03.03</t>
  </si>
  <si>
    <t>F01.90.01.01.03.03.001</t>
  </si>
  <si>
    <t>F01.90.01.01.03.04</t>
  </si>
  <si>
    <t>F01.05.01.01.03.04</t>
  </si>
  <si>
    <t>F01.90.01.01.03.04.001</t>
  </si>
  <si>
    <t>F01.90.01.01.04</t>
  </si>
  <si>
    <t>F01.05.01.01.04</t>
  </si>
  <si>
    <t>F01.90.01.01.04.001</t>
  </si>
  <si>
    <t>F01.90.01.01.05</t>
  </si>
  <si>
    <t>F01.05.01.01.05</t>
  </si>
  <si>
    <t>F01.90.01.01.05.001</t>
  </si>
  <si>
    <t>F01.90.01.02</t>
  </si>
  <si>
    <t>F01.90.01.02.01</t>
  </si>
  <si>
    <t>F01.90.01.02.01.001+F01.90.01.02.01.002</t>
  </si>
  <si>
    <t>F01.90.01.02.01.001</t>
  </si>
  <si>
    <t>F01.90.01.02.01.002</t>
  </si>
  <si>
    <t>F01.90.01.02.02</t>
  </si>
  <si>
    <t>F01.90.01.02.02.001+F01.90.01.02.02.002</t>
  </si>
  <si>
    <t>F01.90.01.02.02.001</t>
  </si>
  <si>
    <t>F01.90.01.02.02.002</t>
  </si>
  <si>
    <t>F01.90.01.02.03</t>
  </si>
  <si>
    <t>F01.90.01.02.03.01+F01.90.01.02.03.02.001+F01.90.01.02.03.03.001+F01.90.01.02.03.04.001</t>
  </si>
  <si>
    <t>F01.90.01.02.03.01</t>
  </si>
  <si>
    <t>F01.90.01.02.03.01.001+F01.90.01.02.03.01.002</t>
  </si>
  <si>
    <t>F01.90.01.02.03.01.001</t>
  </si>
  <si>
    <t>F01.90.01.02.03.01.002</t>
  </si>
  <si>
    <t>F01.90.01.02.03.02</t>
  </si>
  <si>
    <t>F01.05.01.02.03.02</t>
  </si>
  <si>
    <t>F01.90.01.02.03.02.001</t>
  </si>
  <si>
    <t>F01.90.01.02.03.03</t>
  </si>
  <si>
    <t>F01.05.01.02.03.03</t>
  </si>
  <si>
    <t>F01.90.01.02.03.03.001</t>
  </si>
  <si>
    <t>F01.90.01.02.03.04</t>
  </si>
  <si>
    <t>F01.05.01.02.03.04</t>
  </si>
  <si>
    <t>F01.90.01.02.03.04.001</t>
  </si>
  <si>
    <t>F01.90.01.02.04</t>
  </si>
  <si>
    <t>F01.05.01.02.04</t>
  </si>
  <si>
    <t>F01.90.01.02.04.001</t>
  </si>
  <si>
    <t>F01.90.01.02.05</t>
  </si>
  <si>
    <t>F01.05.01.02.05</t>
  </si>
  <si>
    <t>F01.90.01.02.05.001</t>
  </si>
  <si>
    <t>F01.90.02</t>
  </si>
  <si>
    <t>F01.90.02.01</t>
  </si>
  <si>
    <t>F01.90.02.02</t>
  </si>
  <si>
    <t>F01.90.02.09</t>
  </si>
  <si>
    <t>F01.90.02.09.01+F01.90.02.09.02+F01.90.02.09.03</t>
  </si>
  <si>
    <t>F01.90.02.09.01</t>
  </si>
  <si>
    <t>F01.90.02.09.01.001+F01.90.02.09.01.002+F01.90.02.09.01.003+F01.90.02.09.01.004</t>
  </si>
  <si>
    <t>F01.90.02.09.01.001</t>
  </si>
  <si>
    <t>F01.90.02.09.01.002</t>
  </si>
  <si>
    <t>F01.90.02.09.01.003</t>
  </si>
  <si>
    <t>F01.90.02.09.01.004</t>
  </si>
  <si>
    <t>F01.90.02.09.02</t>
  </si>
  <si>
    <t>F01.90.02.09.02.101+F01.90.02.09.02.102+F01.90.02.09.02.103</t>
  </si>
  <si>
    <t>F01.90.02.09.02.001</t>
  </si>
  <si>
    <t>F01.90.02.09.02.002</t>
  </si>
  <si>
    <t>F01.90.02.09.02.003</t>
  </si>
  <si>
    <t>F01.90.02.09.02.004</t>
  </si>
  <si>
    <t>F01.90.02.09.02.005</t>
  </si>
  <si>
    <t>F01.90.02.09.02.006</t>
  </si>
  <si>
    <t>F01.90.02.09.02.007</t>
  </si>
  <si>
    <t>F01.90.02.09.02.008</t>
  </si>
  <si>
    <t>F01.90.02.09.02.009</t>
  </si>
  <si>
    <t>F01.90.02.09.02.010</t>
  </si>
  <si>
    <t>F01.90.02.09.02.011</t>
  </si>
  <si>
    <t>F01.90.02.09.02.101</t>
  </si>
  <si>
    <t>F01.90.02.09.02.001+F01.90.02.09.02.002+F01.90.02.09.02.005+F01.90.02.09.02.006+F01.90.02.09.02.010</t>
  </si>
  <si>
    <t>F01.90.02.09.02.102</t>
  </si>
  <si>
    <t>F01.90.02.09.02.007+F01.90.02.09.02.008+F01.90.02.09.02.011</t>
  </si>
  <si>
    <t>F01.90.02.09.02.103</t>
  </si>
  <si>
    <t>F01.90.02.09.02.003+F01.90.02.09.02.004+F01.90.02.09.02.009</t>
  </si>
  <si>
    <t>F01.90.02.09.03</t>
  </si>
  <si>
    <t>F01.90.02.09.03.001+F01.90.02.09.03.002+F01.90.02.09.03.003</t>
  </si>
  <si>
    <t>F01.90.02.09.03.001</t>
  </si>
  <si>
    <t>F01.90.02.09.03.002</t>
  </si>
  <si>
    <t>F01.90.02.09.03.003</t>
  </si>
  <si>
    <t>F01.90.03</t>
  </si>
  <si>
    <t>F01.90.03.01</t>
  </si>
  <si>
    <t>F01.90.03.01.01</t>
  </si>
  <si>
    <t>F01.90.03.01.02</t>
  </si>
  <si>
    <t>F01.90.03.02</t>
  </si>
  <si>
    <t>F01.90.03.03</t>
  </si>
  <si>
    <t>F01.90.03.04</t>
  </si>
  <si>
    <t>F01.90.04</t>
  </si>
  <si>
    <t>F01.90.05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</si>
</sst>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b/>
      <sz val="9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5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6" borderId="4">
      <alignment vertical="center"/>
    </xf>
    <xf numFmtId="0" fontId="12" fillId="7" borderId="5">
      <alignment vertical="center"/>
    </xf>
    <xf numFmtId="0" fontId="13" fillId="7" borderId="4">
      <alignment vertical="center"/>
    </xf>
    <xf numFmtId="0" fontId="14" fillId="8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1" fillId="3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4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19">
    <xf numFmtId="0" fontId="0" fillId="0" borderId="0" xfId="0"/>
    <xf numFmtId="0" fontId="1" fillId="0" borderId="0" xfId="0" applyFont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1" fillId="3" borderId="0" xfId="0" applyFont="1" applyFill="1" applyAlignment="1">
      <alignment horizontal="left" vertical="center"/>
    </xf>
    <xf numFmtId="49" fontId="1" fillId="3" borderId="0" xfId="0" applyNumberFormat="1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horizontal="left" vertical="center"/>
    </xf>
    <xf numFmtId="49" fontId="1" fillId="4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schemas.openxmlformats.org/officeDocument/2006/relationships/sharedStrings" Target="sharedStrings.xml"/><Relationship Id="rId25" Type="http://schemas.openxmlformats.org/officeDocument/2006/relationships/theme" Target="theme/theme1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0"/>
  <sheetViews>
    <sheetView workbookViewId="0">
      <pane xSplit="4" ySplit="1" topLeftCell="E4" activePane="bottomRight" state="frozen"/>
      <selection/>
      <selection pane="topRight"/>
      <selection pane="bottomLeft"/>
      <selection pane="bottomRight" activeCell="L9" sqref="L9"/>
    </sheetView>
  </sheetViews>
  <sheetFormatPr defaultColWidth="9" defaultRowHeight="15" customHeight="1"/>
  <cols>
    <col min="1" max="2" width="8.66071428571429" style="1" customWidth="1"/>
    <col min="3" max="3" width="10.1607142857143" style="1" customWidth="1"/>
    <col min="4" max="4" width="16.8303571428571" style="1" customWidth="1"/>
    <col min="5" max="7" width="8.66071428571429" style="1" customWidth="1"/>
    <col min="8" max="10" width="8.66071428571429" style="6" customWidth="1"/>
    <col min="11" max="16384" width="8.66071428571429" style="1" customWidth="1"/>
  </cols>
  <sheetData>
    <row r="1" customHeight="1" spans="1:14">
      <c r="A1" s="2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</row>
    <row r="2" customHeight="1" spans="1:14">
      <c r="A2" s="7" t="s">
        <v>14</v>
      </c>
      <c r="B2" s="7" t="s">
        <v>15</v>
      </c>
      <c r="C2" s="8" t="s">
        <v>16</v>
      </c>
      <c r="D2" s="7" t="s">
        <v>17</v>
      </c>
      <c r="F2" t="s">
        <v>18</v>
      </c>
      <c r="K2" t="s">
        <v>19</v>
      </c>
      <c r="M2" t="s">
        <v>20</v>
      </c>
    </row>
    <row r="3" customHeight="1" spans="1:14">
      <c r="A3" s="7" t="s">
        <v>21</v>
      </c>
      <c r="B3" s="7" t="s">
        <v>15</v>
      </c>
      <c r="C3" s="8" t="s">
        <v>22</v>
      </c>
      <c r="D3" s="7" t="s">
        <v>23</v>
      </c>
      <c r="F3" t="s">
        <v>24</v>
      </c>
      <c r="K3" t="s">
        <v>19</v>
      </c>
      <c r="M3" t="s">
        <v>25</v>
      </c>
    </row>
    <row r="4" customHeight="1" spans="1:14">
      <c r="A4" s="1" t="s">
        <v>26</v>
      </c>
      <c r="B4" s="1" t="s">
        <v>15</v>
      </c>
      <c r="C4" s="10" t="s">
        <v>27</v>
      </c>
      <c r="D4" s="1" t="s">
        <v>28</v>
      </c>
      <c r="F4" t="s">
        <v>29</v>
      </c>
      <c r="K4" t="s">
        <v>19</v>
      </c>
      <c r="M4" t="s">
        <v>30</v>
      </c>
    </row>
    <row r="5" customHeight="1" spans="1:14">
      <c r="A5" s="1" t="s">
        <v>26</v>
      </c>
      <c r="B5" s="1" t="s">
        <v>31</v>
      </c>
      <c r="C5" s="9" t="s">
        <v>32</v>
      </c>
      <c r="D5" s="1" t="s">
        <v>33</v>
      </c>
      <c r="F5" t="s">
        <v>34</v>
      </c>
      <c r="K5" t="s">
        <v>19</v>
      </c>
      <c r="M5" t="s">
        <v>35</v>
      </c>
    </row>
    <row r="6" customHeight="1" spans="1:14">
      <c r="A6" s="7" t="s">
        <v>21</v>
      </c>
      <c r="B6" s="7" t="s">
        <v>15</v>
      </c>
      <c r="C6" s="8" t="s">
        <v>36</v>
      </c>
      <c r="D6" s="7" t="s">
        <v>37</v>
      </c>
      <c r="F6" t="s">
        <v>38</v>
      </c>
      <c r="K6" t="s">
        <v>19</v>
      </c>
      <c r="M6" t="s">
        <v>39</v>
      </c>
    </row>
    <row r="7" customHeight="1" spans="1:14">
      <c r="A7" s="1" t="s">
        <v>26</v>
      </c>
      <c r="B7" s="1" t="s">
        <v>15</v>
      </c>
      <c r="C7" s="8" t="s">
        <v>40</v>
      </c>
      <c r="D7" s="1" t="s">
        <v>41</v>
      </c>
      <c r="K7" t="s">
        <v>19</v>
      </c>
      <c r="M7" t="s">
        <v>42</v>
      </c>
      <c r="N7" t="s">
        <v>43</v>
      </c>
    </row>
    <row r="8" customHeight="1" spans="1:14">
      <c r="A8" s="1" t="s">
        <v>26</v>
      </c>
      <c r="B8" s="1" t="s">
        <v>31</v>
      </c>
      <c r="C8" s="8" t="s">
        <v>44</v>
      </c>
      <c r="D8" s="1" t="s">
        <v>45</v>
      </c>
      <c r="K8" t="s">
        <v>19</v>
      </c>
      <c r="M8" t="s">
        <v>46</v>
      </c>
      <c r="N8" t="s">
        <v>43</v>
      </c>
    </row>
    <row r="9" customHeight="1" spans="1:14">
      <c r="A9" s="7" t="s">
        <v>21</v>
      </c>
      <c r="B9" s="7" t="s">
        <v>15</v>
      </c>
      <c r="C9" s="8" t="s">
        <v>47</v>
      </c>
      <c r="D9" s="7" t="s">
        <v>48</v>
      </c>
      <c r="K9" t="s">
        <v>19</v>
      </c>
      <c r="M9" t="s">
        <v>49</v>
      </c>
      <c r="N9" t="s">
        <v>43</v>
      </c>
    </row>
    <row r="10" customHeight="1" spans="1:14">
      <c r="A10" s="7" t="s">
        <v>14</v>
      </c>
      <c r="B10" s="7" t="s">
        <v>31</v>
      </c>
      <c r="C10" s="8" t="s">
        <v>50</v>
      </c>
      <c r="D10" s="7" t="s">
        <v>51</v>
      </c>
      <c r="F10" t="s">
        <v>52</v>
      </c>
      <c r="K10" t="s">
        <v>19</v>
      </c>
      <c r="M10" t="s">
        <v>53</v>
      </c>
    </row>
    <row r="11" customHeight="1" spans="1:14">
      <c r="A11" s="7" t="s">
        <v>21</v>
      </c>
      <c r="B11" s="7" t="s">
        <v>31</v>
      </c>
      <c r="C11" s="8" t="s">
        <v>54</v>
      </c>
      <c r="D11" s="7" t="s">
        <v>55</v>
      </c>
      <c r="F11" t="s">
        <v>56</v>
      </c>
      <c r="K11" t="s">
        <v>19</v>
      </c>
      <c r="M11" t="s">
        <v>57</v>
      </c>
    </row>
    <row r="12" customHeight="1" spans="1:14">
      <c r="A12" s="1" t="s">
        <v>26</v>
      </c>
      <c r="B12" s="1" t="s">
        <v>31</v>
      </c>
      <c r="C12" s="8" t="s">
        <v>58</v>
      </c>
      <c r="D12" s="1" t="s">
        <v>59</v>
      </c>
      <c r="K12" t="s">
        <v>19</v>
      </c>
      <c r="M12" t="s">
        <v>60</v>
      </c>
      <c r="N12" t="s">
        <v>43</v>
      </c>
    </row>
    <row r="13" customHeight="1" spans="1:14">
      <c r="A13" s="1" t="s">
        <v>26</v>
      </c>
      <c r="B13" s="1" t="s">
        <v>31</v>
      </c>
      <c r="C13" s="8" t="s">
        <v>61</v>
      </c>
      <c r="D13" s="1" t="s">
        <v>62</v>
      </c>
      <c r="K13" t="s">
        <v>19</v>
      </c>
      <c r="M13" t="s">
        <v>63</v>
      </c>
      <c r="N13" t="s">
        <v>43</v>
      </c>
    </row>
    <row r="14" customHeight="1" spans="1:14">
      <c r="A14" s="7" t="s">
        <v>21</v>
      </c>
      <c r="B14" s="7" t="s">
        <v>31</v>
      </c>
      <c r="C14" s="8" t="s">
        <v>64</v>
      </c>
      <c r="D14" s="7" t="s">
        <v>65</v>
      </c>
      <c r="K14" t="s">
        <v>19</v>
      </c>
      <c r="M14" t="s">
        <v>66</v>
      </c>
      <c r="N14" t="s">
        <v>43</v>
      </c>
    </row>
    <row r="15" customHeight="1" spans="1:14">
      <c r="A15" s="7" t="s">
        <v>14</v>
      </c>
      <c r="B15" s="7" t="s">
        <v>15</v>
      </c>
      <c r="C15" s="8" t="s">
        <v>67</v>
      </c>
      <c r="D15" s="7" t="s">
        <v>68</v>
      </c>
      <c r="F15" t="s">
        <v>69</v>
      </c>
      <c r="K15" t="s">
        <v>19</v>
      </c>
      <c r="M15" t="s">
        <v>70</v>
      </c>
    </row>
    <row r="16" customHeight="1" spans="1:14">
      <c r="A16" s="7" t="s">
        <v>14</v>
      </c>
      <c r="B16" s="7" t="s">
        <v>31</v>
      </c>
      <c r="C16" s="8" t="s">
        <v>71</v>
      </c>
      <c r="D16" s="7" t="s">
        <v>72</v>
      </c>
      <c r="K16" t="s">
        <v>19</v>
      </c>
      <c r="M16" t="s">
        <v>73</v>
      </c>
      <c r="N16" t="s">
        <v>43</v>
      </c>
    </row>
    <row r="17" customHeight="1" spans="1:14">
      <c r="A17" s="7" t="s">
        <v>14</v>
      </c>
      <c r="B17" s="7" t="s">
        <v>31</v>
      </c>
      <c r="C17" s="8" t="s">
        <v>74</v>
      </c>
      <c r="D17" s="7" t="s">
        <v>75</v>
      </c>
      <c r="F17" t="s">
        <v>76</v>
      </c>
      <c r="K17" t="s">
        <v>19</v>
      </c>
      <c r="M17" t="s">
        <v>77</v>
      </c>
    </row>
    <row r="18" customHeight="1" spans="1:14">
      <c r="A18" s="7" t="s">
        <v>21</v>
      </c>
      <c r="B18" s="7" t="s">
        <v>31</v>
      </c>
      <c r="C18" s="7" t="s">
        <v>78</v>
      </c>
      <c r="D18" s="7" t="s">
        <v>79</v>
      </c>
      <c r="F18" t="s">
        <v>80</v>
      </c>
      <c r="K18" t="s">
        <v>19</v>
      </c>
      <c r="M18" t="s">
        <v>81</v>
      </c>
    </row>
    <row r="19" customHeight="1" spans="1:14">
      <c r="A19" s="1" t="s">
        <v>26</v>
      </c>
      <c r="B19" s="1" t="s">
        <v>31</v>
      </c>
      <c r="C19" s="1" t="s">
        <v>82</v>
      </c>
      <c r="D19" s="1" t="s">
        <v>83</v>
      </c>
      <c r="K19" t="s">
        <v>19</v>
      </c>
      <c r="M19" t="s">
        <v>84</v>
      </c>
      <c r="N19" t="s">
        <v>43</v>
      </c>
    </row>
    <row r="20" customHeight="1" spans="1:14">
      <c r="A20" s="1" t="s">
        <v>26</v>
      </c>
      <c r="B20" s="1" t="s">
        <v>31</v>
      </c>
      <c r="C20" s="1" t="s">
        <v>85</v>
      </c>
      <c r="D20" s="1" t="s">
        <v>86</v>
      </c>
      <c r="K20" t="s">
        <v>19</v>
      </c>
      <c r="M20" t="s">
        <v>87</v>
      </c>
      <c r="N20" t="s">
        <v>43</v>
      </c>
    </row>
    <row r="21" customHeight="1" spans="1:14">
      <c r="A21" s="1" t="s">
        <v>26</v>
      </c>
      <c r="B21" s="1" t="s">
        <v>31</v>
      </c>
      <c r="C21" s="1" t="s">
        <v>88</v>
      </c>
      <c r="D21" s="1" t="s">
        <v>89</v>
      </c>
      <c r="K21" t="s">
        <v>19</v>
      </c>
      <c r="M21" t="s">
        <v>90</v>
      </c>
      <c r="N21" t="s">
        <v>43</v>
      </c>
    </row>
    <row r="22" customHeight="1" spans="1:14">
      <c r="A22" s="7" t="s">
        <v>21</v>
      </c>
      <c r="B22" s="7" t="s">
        <v>31</v>
      </c>
      <c r="C22" s="7" t="s">
        <v>91</v>
      </c>
      <c r="D22" s="7" t="s">
        <v>92</v>
      </c>
      <c r="K22" t="s">
        <v>19</v>
      </c>
      <c r="N22" t="s">
        <v>43</v>
      </c>
    </row>
    <row r="23" customHeight="1" spans="1:14">
      <c r="A23" s="1" t="s">
        <v>26</v>
      </c>
      <c r="B23" s="1" t="s">
        <v>31</v>
      </c>
      <c r="C23" s="1" t="s">
        <v>93</v>
      </c>
      <c r="D23" s="1" t="s">
        <v>94</v>
      </c>
      <c r="K23" t="s">
        <v>19</v>
      </c>
      <c r="N23" t="s">
        <v>43</v>
      </c>
    </row>
    <row r="24" customHeight="1" spans="1:14">
      <c r="A24" s="1" t="s">
        <v>26</v>
      </c>
      <c r="B24" s="1" t="s">
        <v>31</v>
      </c>
      <c r="C24" s="1" t="s">
        <v>95</v>
      </c>
      <c r="D24" s="1" t="s">
        <v>96</v>
      </c>
      <c r="K24" t="s">
        <v>19</v>
      </c>
      <c r="N24" t="s">
        <v>43</v>
      </c>
    </row>
    <row r="25" customHeight="1" spans="1:14">
      <c r="A25" s="7" t="s">
        <v>21</v>
      </c>
      <c r="B25" s="7" t="s">
        <v>31</v>
      </c>
      <c r="C25" s="7" t="s">
        <v>97</v>
      </c>
      <c r="D25" s="7" t="s">
        <v>98</v>
      </c>
      <c r="K25" t="s">
        <v>19</v>
      </c>
      <c r="M25" t="s">
        <v>99</v>
      </c>
      <c r="N25" t="s">
        <v>43</v>
      </c>
    </row>
    <row r="26" customHeight="1" spans="1:14">
      <c r="A26" s="7" t="s">
        <v>21</v>
      </c>
      <c r="B26" s="7" t="s">
        <v>31</v>
      </c>
      <c r="C26" s="7" t="s">
        <v>100</v>
      </c>
      <c r="D26" s="7" t="s">
        <v>101</v>
      </c>
      <c r="K26" t="s">
        <v>19</v>
      </c>
      <c r="M26" t="s">
        <v>102</v>
      </c>
      <c r="N26" t="s">
        <v>43</v>
      </c>
    </row>
    <row r="27" customHeight="1" spans="1:14">
      <c r="A27" s="7" t="s">
        <v>14</v>
      </c>
      <c r="B27" s="7" t="s">
        <v>15</v>
      </c>
      <c r="C27" s="7" t="s">
        <v>103</v>
      </c>
      <c r="D27" s="7" t="s">
        <v>104</v>
      </c>
      <c r="K27" t="s">
        <v>19</v>
      </c>
      <c r="M27" t="s">
        <v>105</v>
      </c>
      <c r="N27" t="s">
        <v>43</v>
      </c>
    </row>
    <row r="28" customHeight="1" spans="1:14">
      <c r="A28" s="7" t="s">
        <v>14</v>
      </c>
      <c r="B28" s="7" t="s">
        <v>106</v>
      </c>
      <c r="C28" s="7" t="s">
        <v>107</v>
      </c>
      <c r="D28" s="7" t="s">
        <v>108</v>
      </c>
      <c r="F28" t="s">
        <v>109</v>
      </c>
      <c r="K28" t="s">
        <v>19</v>
      </c>
      <c r="M28" t="s">
        <v>110</v>
      </c>
    </row>
    <row r="29" customHeight="1" spans="1:14">
      <c r="A29" s="7" t="s">
        <v>14</v>
      </c>
      <c r="B29" s="7" t="s">
        <v>31</v>
      </c>
      <c r="C29" s="7" t="s">
        <v>111</v>
      </c>
      <c r="D29" s="7" t="s">
        <v>112</v>
      </c>
      <c r="K29" t="s">
        <v>19</v>
      </c>
      <c r="M29" t="s">
        <v>113</v>
      </c>
      <c r="N29" t="s">
        <v>43</v>
      </c>
    </row>
    <row r="30" customHeight="1" spans="1:14">
      <c r="A30" s="7" t="s">
        <v>14</v>
      </c>
      <c r="B30" s="7" t="s">
        <v>106</v>
      </c>
      <c r="C30" s="7" t="s">
        <v>114</v>
      </c>
      <c r="D30" s="7" t="s">
        <v>115</v>
      </c>
      <c r="F30" t="s">
        <v>116</v>
      </c>
      <c r="K30" t="s">
        <v>19</v>
      </c>
      <c r="M30" t="s">
        <v>117</v>
      </c>
    </row>
    <row r="31" customHeight="1" spans="1:14">
      <c r="A31" s="7"/>
      <c r="B31" s="7"/>
      <c r="C31" s="7"/>
      <c r="D31" s="7"/>
    </row>
    <row r="32" customHeight="1" spans="1:14">
      <c r="A32" s="7" t="s">
        <v>14</v>
      </c>
      <c r="B32" s="7" t="s">
        <v>118</v>
      </c>
      <c r="C32" s="11" t="s">
        <v>119</v>
      </c>
      <c r="D32" s="11" t="s">
        <v>120</v>
      </c>
      <c r="F32" t="s">
        <v>121</v>
      </c>
      <c r="K32" t="s">
        <v>19</v>
      </c>
      <c r="M32" t="s">
        <v>122</v>
      </c>
    </row>
    <row r="33" customHeight="1" spans="1:14">
      <c r="A33" s="1" t="s">
        <v>21</v>
      </c>
      <c r="B33" s="7" t="s">
        <v>118</v>
      </c>
      <c r="C33" s="10" t="s">
        <v>123</v>
      </c>
      <c r="D33" s="10" t="s">
        <v>124</v>
      </c>
      <c r="F33" t="s">
        <v>125</v>
      </c>
      <c r="K33" t="s">
        <v>19</v>
      </c>
      <c r="M33" t="s">
        <v>126</v>
      </c>
    </row>
    <row r="34" customHeight="1" spans="1:14">
      <c r="A34" s="1" t="s">
        <v>26</v>
      </c>
      <c r="B34" s="7" t="s">
        <v>118</v>
      </c>
      <c r="C34" s="10" t="s">
        <v>127</v>
      </c>
      <c r="D34" s="10" t="s">
        <v>128</v>
      </c>
      <c r="K34" t="s">
        <v>19</v>
      </c>
      <c r="M34" t="s">
        <v>129</v>
      </c>
      <c r="N34" t="s">
        <v>130</v>
      </c>
    </row>
    <row r="35" customHeight="1" spans="1:14">
      <c r="A35" s="1" t="s">
        <v>26</v>
      </c>
      <c r="B35" s="7" t="s">
        <v>118</v>
      </c>
      <c r="C35" s="10" t="s">
        <v>131</v>
      </c>
      <c r="D35" s="10" t="s">
        <v>132</v>
      </c>
      <c r="K35" t="s">
        <v>19</v>
      </c>
      <c r="M35" t="s">
        <v>133</v>
      </c>
      <c r="N35" t="s">
        <v>130</v>
      </c>
    </row>
    <row r="36" customHeight="1" spans="1:14">
      <c r="A36" s="1" t="s">
        <v>21</v>
      </c>
      <c r="B36" s="7" t="s">
        <v>118</v>
      </c>
      <c r="C36" s="10" t="s">
        <v>134</v>
      </c>
      <c r="D36" s="10" t="s">
        <v>135</v>
      </c>
      <c r="K36" t="s">
        <v>19</v>
      </c>
      <c r="M36" t="s">
        <v>136</v>
      </c>
      <c r="N36" t="s">
        <v>130</v>
      </c>
    </row>
    <row r="37" customHeight="1" spans="1:14">
      <c r="A37" s="1" t="s">
        <v>21</v>
      </c>
      <c r="B37" s="7" t="s">
        <v>118</v>
      </c>
      <c r="C37" s="10" t="s">
        <v>137</v>
      </c>
      <c r="D37" s="10" t="s">
        <v>138</v>
      </c>
      <c r="K37" t="s">
        <v>19</v>
      </c>
      <c r="M37" t="s">
        <v>139</v>
      </c>
      <c r="N37" t="s">
        <v>130</v>
      </c>
    </row>
    <row r="38" customHeight="1" spans="1:14">
      <c r="A38" s="10" t="s">
        <v>21</v>
      </c>
      <c r="B38" s="7" t="s">
        <v>118</v>
      </c>
      <c r="C38" s="10" t="s">
        <v>140</v>
      </c>
      <c r="D38" s="10" t="s">
        <v>141</v>
      </c>
      <c r="K38" t="s">
        <v>19</v>
      </c>
      <c r="M38" t="s">
        <v>142</v>
      </c>
      <c r="N38" t="s">
        <v>130</v>
      </c>
    </row>
    <row r="39" customHeight="1" spans="1:14">
      <c r="A39" s="10"/>
      <c r="B39" s="7"/>
      <c r="C39" s="10"/>
      <c r="D39" s="10"/>
    </row>
    <row r="40" customHeight="1" spans="1:14">
      <c r="D40" s="7"/>
    </row>
    <row r="41" customHeight="1" spans="1:14">
      <c r="A41" s="10" t="s">
        <v>14</v>
      </c>
      <c r="B41" s="10" t="s">
        <v>143</v>
      </c>
      <c r="C41" s="10" t="s">
        <v>144</v>
      </c>
      <c r="D41" s="10" t="s">
        <v>145</v>
      </c>
      <c r="F41" t="s">
        <v>146</v>
      </c>
      <c r="K41" t="s">
        <v>19</v>
      </c>
      <c r="M41" t="s">
        <v>147</v>
      </c>
    </row>
    <row r="42" customHeight="1" spans="1:14">
      <c r="A42" s="10" t="s">
        <v>21</v>
      </c>
      <c r="B42" s="10" t="s">
        <v>143</v>
      </c>
      <c r="C42" s="10" t="s">
        <v>148</v>
      </c>
      <c r="D42" s="10" t="s">
        <v>149</v>
      </c>
      <c r="K42" t="s">
        <v>19</v>
      </c>
      <c r="M42" t="s">
        <v>150</v>
      </c>
      <c r="N42" t="s">
        <v>130</v>
      </c>
    </row>
    <row r="43" customHeight="1" spans="1:14">
      <c r="A43" s="10" t="s">
        <v>21</v>
      </c>
      <c r="B43" s="10" t="s">
        <v>143</v>
      </c>
      <c r="C43" s="10" t="s">
        <v>151</v>
      </c>
      <c r="D43" s="10" t="s">
        <v>152</v>
      </c>
      <c r="K43" t="s">
        <v>19</v>
      </c>
      <c r="M43" t="s">
        <v>153</v>
      </c>
      <c r="N43" t="s">
        <v>130</v>
      </c>
    </row>
    <row r="44" customHeight="1" spans="1:14">
      <c r="A44" s="10" t="s">
        <v>21</v>
      </c>
      <c r="B44" s="10" t="s">
        <v>143</v>
      </c>
      <c r="C44" s="10" t="s">
        <v>154</v>
      </c>
      <c r="D44" s="10" t="s">
        <v>155</v>
      </c>
      <c r="K44" t="s">
        <v>19</v>
      </c>
      <c r="M44" t="s">
        <v>156</v>
      </c>
      <c r="N44" t="s">
        <v>130</v>
      </c>
    </row>
    <row r="45" customHeight="1" spans="1:14">
      <c r="A45" s="10" t="s">
        <v>21</v>
      </c>
      <c r="B45" s="10" t="s">
        <v>143</v>
      </c>
      <c r="C45" s="10" t="s">
        <v>157</v>
      </c>
      <c r="D45" s="10" t="s">
        <v>158</v>
      </c>
      <c r="K45" t="s">
        <v>19</v>
      </c>
      <c r="M45" t="s">
        <v>159</v>
      </c>
      <c r="N45" t="s">
        <v>130</v>
      </c>
    </row>
    <row r="46" customHeight="1" spans="1:14">
      <c r="A46" s="7"/>
      <c r="B46" s="7"/>
      <c r="D46" s="7"/>
    </row>
    <row r="47" customHeight="1" spans="1:14">
      <c r="A47" s="7" t="s">
        <v>14</v>
      </c>
      <c r="B47" s="7" t="s">
        <v>160</v>
      </c>
      <c r="C47" s="1" t="s">
        <v>161</v>
      </c>
      <c r="D47" s="7" t="s">
        <v>162</v>
      </c>
      <c r="K47" t="s">
        <v>19</v>
      </c>
      <c r="M47" t="s">
        <v>163</v>
      </c>
      <c r="N47" t="s">
        <v>164</v>
      </c>
    </row>
    <row r="48" customHeight="1" spans="1:14">
      <c r="A48" s="7" t="s">
        <v>14</v>
      </c>
      <c r="B48" s="7" t="s">
        <v>160</v>
      </c>
      <c r="C48" s="1" t="s">
        <v>165</v>
      </c>
      <c r="D48" s="7" t="s">
        <v>166</v>
      </c>
      <c r="F48" t="s">
        <v>167</v>
      </c>
      <c r="K48" t="s">
        <v>19</v>
      </c>
      <c r="M48" t="s">
        <v>168</v>
      </c>
    </row>
    <row r="49" customHeight="1" spans="1:14">
      <c r="A49" s="7" t="s">
        <v>14</v>
      </c>
      <c r="B49" s="7" t="s">
        <v>118</v>
      </c>
      <c r="C49" s="1" t="s">
        <v>169</v>
      </c>
      <c r="D49" s="7" t="s">
        <v>170</v>
      </c>
      <c r="F49" t="s">
        <v>171</v>
      </c>
      <c r="K49" t="s">
        <v>19</v>
      </c>
      <c r="M49" t="s">
        <v>172</v>
      </c>
    </row>
    <row r="50" customHeight="1" spans="1:14">
      <c r="A50" s="1" t="s">
        <v>21</v>
      </c>
      <c r="B50" s="1" t="s">
        <v>118</v>
      </c>
      <c r="C50" s="1" t="s">
        <v>173</v>
      </c>
      <c r="D50" s="1" t="s">
        <v>174</v>
      </c>
      <c r="F50" t="s">
        <v>175</v>
      </c>
      <c r="K50" t="s">
        <v>19</v>
      </c>
      <c r="M50" t="s">
        <v>176</v>
      </c>
    </row>
    <row r="51" customHeight="1" spans="1:14">
      <c r="A51" s="1" t="s">
        <v>26</v>
      </c>
      <c r="B51" s="1" t="s">
        <v>118</v>
      </c>
      <c r="C51" s="1" t="s">
        <v>177</v>
      </c>
      <c r="D51" s="1" t="s">
        <v>62</v>
      </c>
      <c r="K51" t="s">
        <v>19</v>
      </c>
      <c r="M51" t="s">
        <v>178</v>
      </c>
      <c r="N51" t="s">
        <v>130</v>
      </c>
    </row>
    <row r="52" customHeight="1" spans="1:14">
      <c r="A52" s="1" t="s">
        <v>21</v>
      </c>
      <c r="B52" s="1" t="s">
        <v>118</v>
      </c>
      <c r="C52" s="1" t="s">
        <v>179</v>
      </c>
      <c r="D52" s="1" t="s">
        <v>180</v>
      </c>
      <c r="K52" t="s">
        <v>19</v>
      </c>
      <c r="M52" t="s">
        <v>181</v>
      </c>
      <c r="N52" t="s">
        <v>130</v>
      </c>
    </row>
    <row r="53" customHeight="1" spans="1:14">
      <c r="A53" s="7" t="s">
        <v>14</v>
      </c>
      <c r="B53" s="7" t="s">
        <v>118</v>
      </c>
      <c r="C53" s="1" t="s">
        <v>182</v>
      </c>
      <c r="D53" s="7" t="s">
        <v>183</v>
      </c>
      <c r="F53" t="s">
        <v>184</v>
      </c>
      <c r="K53" t="s">
        <v>19</v>
      </c>
      <c r="M53" t="s">
        <v>185</v>
      </c>
    </row>
    <row r="54" customHeight="1" spans="1:14">
      <c r="A54" s="1" t="s">
        <v>21</v>
      </c>
      <c r="B54" s="1" t="s">
        <v>118</v>
      </c>
      <c r="C54" s="1" t="s">
        <v>186</v>
      </c>
      <c r="D54" s="1" t="s">
        <v>187</v>
      </c>
      <c r="K54" t="s">
        <v>19</v>
      </c>
      <c r="M54" t="s">
        <v>188</v>
      </c>
      <c r="N54" t="s">
        <v>130</v>
      </c>
    </row>
    <row r="55" customHeight="1" spans="1:14">
      <c r="A55" s="1" t="s">
        <v>21</v>
      </c>
      <c r="B55" s="1" t="s">
        <v>118</v>
      </c>
      <c r="C55" s="1" t="s">
        <v>189</v>
      </c>
      <c r="D55" s="1" t="s">
        <v>190</v>
      </c>
      <c r="K55" t="s">
        <v>19</v>
      </c>
      <c r="M55" t="s">
        <v>191</v>
      </c>
      <c r="N55" t="s">
        <v>130</v>
      </c>
    </row>
    <row r="56" customHeight="1" spans="1:14">
      <c r="A56" s="7" t="s">
        <v>14</v>
      </c>
      <c r="B56" s="7" t="s">
        <v>160</v>
      </c>
      <c r="C56" s="1" t="s">
        <v>192</v>
      </c>
      <c r="D56" s="7" t="s">
        <v>193</v>
      </c>
      <c r="F56" t="s">
        <v>194</v>
      </c>
      <c r="K56" t="s">
        <v>19</v>
      </c>
      <c r="M56" t="s">
        <v>195</v>
      </c>
    </row>
    <row r="57" customHeight="1" spans="1:14">
      <c r="A57" s="1" t="s">
        <v>21</v>
      </c>
      <c r="B57" s="1" t="s">
        <v>160</v>
      </c>
      <c r="C57" s="1" t="s">
        <v>196</v>
      </c>
      <c r="D57" s="1" t="s">
        <v>197</v>
      </c>
      <c r="F57" t="s">
        <v>198</v>
      </c>
      <c r="K57" t="s">
        <v>19</v>
      </c>
      <c r="M57" t="s">
        <v>199</v>
      </c>
    </row>
    <row r="58" customHeight="1" spans="1:14">
      <c r="A58" s="1" t="s">
        <v>21</v>
      </c>
      <c r="B58" s="1" t="s">
        <v>160</v>
      </c>
      <c r="C58" s="1" t="s">
        <v>200</v>
      </c>
      <c r="D58" s="1" t="s">
        <v>201</v>
      </c>
      <c r="K58" t="s">
        <v>19</v>
      </c>
      <c r="M58" t="s">
        <v>202</v>
      </c>
      <c r="N58" t="s">
        <v>164</v>
      </c>
    </row>
    <row r="60" customHeight="1" spans="1:14">
      <c r="A60" s="1" t="s">
        <v>14</v>
      </c>
      <c r="C60" s="1" t="s">
        <v>203</v>
      </c>
      <c r="D60" s="1" t="s">
        <v>204</v>
      </c>
      <c r="F60" t="s">
        <v>205</v>
      </c>
      <c r="K60" t="s">
        <v>19</v>
      </c>
      <c r="M60" t="s">
        <v>206</v>
      </c>
    </row>
    <row r="61" customHeight="1" spans="1:14">
      <c r="A61" s="1" t="s">
        <v>21</v>
      </c>
      <c r="B61" s="1" t="s">
        <v>160</v>
      </c>
      <c r="C61" s="1" t="s">
        <v>207</v>
      </c>
      <c r="D61" s="1" t="s">
        <v>208</v>
      </c>
      <c r="K61" t="s">
        <v>19</v>
      </c>
      <c r="M61" t="s">
        <v>209</v>
      </c>
      <c r="N61" t="s">
        <v>164</v>
      </c>
    </row>
    <row r="62" customHeight="1" spans="1:14">
      <c r="A62" s="1" t="s">
        <v>21</v>
      </c>
      <c r="B62" s="1" t="s">
        <v>160</v>
      </c>
      <c r="C62" s="1" t="s">
        <v>210</v>
      </c>
      <c r="D62" s="1" t="s">
        <v>211</v>
      </c>
      <c r="K62" t="s">
        <v>19</v>
      </c>
      <c r="M62" t="s">
        <v>212</v>
      </c>
      <c r="N62" t="s">
        <v>164</v>
      </c>
    </row>
    <row r="63" customHeight="1" spans="1:14">
      <c r="A63" s="1" t="s">
        <v>21</v>
      </c>
      <c r="B63" s="1" t="s">
        <v>160</v>
      </c>
      <c r="C63" s="1" t="s">
        <v>213</v>
      </c>
      <c r="D63" s="1" t="s">
        <v>214</v>
      </c>
      <c r="K63" t="s">
        <v>19</v>
      </c>
      <c r="M63" t="s">
        <v>215</v>
      </c>
      <c r="N63" t="s">
        <v>164</v>
      </c>
    </row>
    <row r="64" customHeight="1" spans="1:14">
      <c r="A64" s="1" t="s">
        <v>21</v>
      </c>
      <c r="B64" s="1" t="s">
        <v>160</v>
      </c>
      <c r="C64" s="1" t="s">
        <v>216</v>
      </c>
      <c r="D64" s="1" t="s">
        <v>217</v>
      </c>
      <c r="K64" t="s">
        <v>19</v>
      </c>
      <c r="M64" t="s">
        <v>218</v>
      </c>
      <c r="N64" t="s">
        <v>164</v>
      </c>
    </row>
    <row r="65" customHeight="1" spans="1:14">
      <c r="A65" s="1" t="s">
        <v>21</v>
      </c>
      <c r="B65" s="1" t="s">
        <v>160</v>
      </c>
      <c r="C65" s="1" t="s">
        <v>219</v>
      </c>
      <c r="D65" s="1" t="s">
        <v>220</v>
      </c>
      <c r="K65" t="s">
        <v>19</v>
      </c>
      <c r="M65" t="s">
        <v>221</v>
      </c>
      <c r="N65" t="s">
        <v>164</v>
      </c>
    </row>
    <row r="67" customHeight="1" spans="1:14">
      <c r="A67" t="s">
        <v>222</v>
      </c>
      <c r="B67" t="s">
        <v>223</v>
      </c>
      <c r="C67" t="s">
        <v>2</v>
      </c>
      <c r="D67" t="s">
        <v>3</v>
      </c>
      <c r="E67" t="s">
        <v>4</v>
      </c>
      <c r="F67" t="s">
        <v>5</v>
      </c>
      <c r="J67" t="s">
        <v>9</v>
      </c>
      <c r="K67" t="s">
        <v>10</v>
      </c>
    </row>
    <row r="68" customHeight="1" spans="1:14">
      <c r="A68" t="s">
        <v>14</v>
      </c>
      <c r="B68" t="s">
        <v>31</v>
      </c>
      <c r="C68" t="s">
        <v>224</v>
      </c>
      <c r="D68" t="s">
        <v>225</v>
      </c>
      <c r="F68" t="s">
        <v>226</v>
      </c>
      <c r="K68" t="s">
        <v>19</v>
      </c>
      <c r="M68" t="s">
        <v>227</v>
      </c>
    </row>
    <row r="69" customHeight="1" spans="1:14">
      <c r="A69" t="s">
        <v>21</v>
      </c>
      <c r="B69" t="s">
        <v>31</v>
      </c>
      <c r="C69" t="s">
        <v>228</v>
      </c>
      <c r="D69" t="s">
        <v>229</v>
      </c>
      <c r="F69" t="s">
        <v>230</v>
      </c>
      <c r="K69" t="s">
        <v>19</v>
      </c>
      <c r="M69" t="s">
        <v>231</v>
      </c>
    </row>
    <row r="70" customHeight="1" spans="1:14">
      <c r="A70" t="s">
        <v>26</v>
      </c>
      <c r="B70" t="s">
        <v>31</v>
      </c>
      <c r="C70" t="s">
        <v>232</v>
      </c>
      <c r="D70" t="s">
        <v>233</v>
      </c>
      <c r="F70" t="s">
        <v>234</v>
      </c>
      <c r="K70" t="s">
        <v>19</v>
      </c>
      <c r="M70" t="s">
        <v>235</v>
      </c>
    </row>
    <row r="71" customHeight="1" spans="1:14">
      <c r="A71" t="s">
        <v>236</v>
      </c>
      <c r="B71" t="s">
        <v>31</v>
      </c>
      <c r="C71" t="s">
        <v>237</v>
      </c>
      <c r="D71" t="s">
        <v>238</v>
      </c>
      <c r="F71" t="s">
        <v>239</v>
      </c>
      <c r="K71" t="s">
        <v>19</v>
      </c>
      <c r="M71" t="s">
        <v>240</v>
      </c>
    </row>
    <row r="72" customHeight="1" spans="1:14">
      <c r="A72" t="s">
        <v>241</v>
      </c>
      <c r="B72" t="s">
        <v>31</v>
      </c>
      <c r="C72" t="s">
        <v>242</v>
      </c>
      <c r="D72" t="s">
        <v>243</v>
      </c>
      <c r="K72" t="s">
        <v>19</v>
      </c>
      <c r="M72" t="s">
        <v>244</v>
      </c>
      <c r="N72" t="s">
        <v>43</v>
      </c>
    </row>
    <row r="73" customHeight="1" spans="1:14">
      <c r="A73" t="s">
        <v>241</v>
      </c>
      <c r="B73" t="s">
        <v>31</v>
      </c>
      <c r="C73" t="s">
        <v>245</v>
      </c>
      <c r="D73" t="s">
        <v>246</v>
      </c>
      <c r="K73" t="s">
        <v>19</v>
      </c>
      <c r="M73" t="s">
        <v>247</v>
      </c>
      <c r="N73" t="s">
        <v>43</v>
      </c>
    </row>
    <row r="74" customHeight="1" spans="1:14">
      <c r="A74" t="s">
        <v>236</v>
      </c>
      <c r="B74" t="s">
        <v>31</v>
      </c>
      <c r="C74" t="s">
        <v>248</v>
      </c>
      <c r="D74" t="s">
        <v>249</v>
      </c>
      <c r="F74" t="s">
        <v>250</v>
      </c>
      <c r="K74" t="s">
        <v>19</v>
      </c>
      <c r="M74" t="s">
        <v>251</v>
      </c>
    </row>
    <row r="75" customHeight="1" spans="1:14">
      <c r="A75" t="s">
        <v>241</v>
      </c>
      <c r="B75" t="s">
        <v>31</v>
      </c>
      <c r="C75" t="s">
        <v>252</v>
      </c>
      <c r="D75" t="s">
        <v>253</v>
      </c>
      <c r="K75" t="s">
        <v>19</v>
      </c>
      <c r="M75" t="s">
        <v>254</v>
      </c>
      <c r="N75" t="s">
        <v>43</v>
      </c>
    </row>
    <row r="76" customHeight="1" spans="1:14">
      <c r="A76" t="s">
        <v>241</v>
      </c>
      <c r="B76" t="s">
        <v>31</v>
      </c>
      <c r="C76" t="s">
        <v>255</v>
      </c>
      <c r="D76" t="s">
        <v>256</v>
      </c>
      <c r="K76" t="s">
        <v>19</v>
      </c>
      <c r="M76" t="s">
        <v>257</v>
      </c>
      <c r="N76" t="s">
        <v>43</v>
      </c>
    </row>
    <row r="77" customHeight="1" spans="1:14">
      <c r="A77" t="s">
        <v>236</v>
      </c>
      <c r="B77" t="s">
        <v>31</v>
      </c>
      <c r="C77" t="s">
        <v>258</v>
      </c>
      <c r="D77" t="s">
        <v>259</v>
      </c>
      <c r="F77" t="s">
        <v>260</v>
      </c>
      <c r="K77" t="s">
        <v>19</v>
      </c>
      <c r="M77" t="s">
        <v>261</v>
      </c>
    </row>
    <row r="78" customHeight="1" spans="1:14">
      <c r="A78" t="s">
        <v>241</v>
      </c>
      <c r="B78" t="s">
        <v>31</v>
      </c>
      <c r="C78" t="s">
        <v>262</v>
      </c>
      <c r="D78" t="s">
        <v>263</v>
      </c>
      <c r="F78" t="s">
        <v>264</v>
      </c>
      <c r="K78" t="s">
        <v>19</v>
      </c>
      <c r="M78" t="s">
        <v>265</v>
      </c>
    </row>
    <row r="79" customHeight="1" spans="1:14">
      <c r="A79" t="s">
        <v>266</v>
      </c>
      <c r="B79" t="s">
        <v>31</v>
      </c>
      <c r="C79" t="s">
        <v>267</v>
      </c>
      <c r="D79" t="s">
        <v>268</v>
      </c>
      <c r="K79" t="s">
        <v>19</v>
      </c>
      <c r="M79" t="s">
        <v>269</v>
      </c>
      <c r="N79" t="s">
        <v>43</v>
      </c>
    </row>
    <row r="80" customHeight="1" spans="1:14">
      <c r="A80" t="s">
        <v>266</v>
      </c>
      <c r="B80" t="s">
        <v>31</v>
      </c>
      <c r="C80" t="s">
        <v>270</v>
      </c>
      <c r="D80" t="s">
        <v>271</v>
      </c>
      <c r="K80" t="s">
        <v>19</v>
      </c>
      <c r="M80" t="s">
        <v>272</v>
      </c>
      <c r="N80" t="s">
        <v>43</v>
      </c>
    </row>
    <row r="81" customHeight="1" spans="1:14">
      <c r="A81" t="s">
        <v>241</v>
      </c>
      <c r="B81" t="s">
        <v>31</v>
      </c>
      <c r="C81" t="s">
        <v>273</v>
      </c>
      <c r="D81" t="s">
        <v>274</v>
      </c>
      <c r="K81" t="s">
        <v>19</v>
      </c>
      <c r="M81" t="s">
        <v>275</v>
      </c>
      <c r="N81" t="s">
        <v>43</v>
      </c>
    </row>
    <row r="82" customHeight="1" spans="1:14">
      <c r="A82" t="s">
        <v>266</v>
      </c>
      <c r="B82" t="s">
        <v>31</v>
      </c>
      <c r="C82" t="s">
        <v>276</v>
      </c>
      <c r="D82" t="s">
        <v>277</v>
      </c>
      <c r="K82" t="s">
        <v>19</v>
      </c>
      <c r="M82" t="s">
        <v>278</v>
      </c>
      <c r="N82" t="s">
        <v>43</v>
      </c>
    </row>
    <row r="83" customHeight="1" spans="1:14">
      <c r="A83" t="s">
        <v>241</v>
      </c>
      <c r="B83" t="s">
        <v>31</v>
      </c>
      <c r="C83" t="s">
        <v>279</v>
      </c>
      <c r="D83" t="s">
        <v>280</v>
      </c>
      <c r="K83" t="s">
        <v>19</v>
      </c>
      <c r="M83" t="s">
        <v>281</v>
      </c>
      <c r="N83" t="s">
        <v>43</v>
      </c>
    </row>
    <row r="84" customHeight="1" spans="1:14">
      <c r="A84" t="s">
        <v>266</v>
      </c>
      <c r="B84" t="s">
        <v>31</v>
      </c>
      <c r="C84" t="s">
        <v>282</v>
      </c>
      <c r="D84" t="s">
        <v>283</v>
      </c>
      <c r="K84" t="s">
        <v>19</v>
      </c>
      <c r="M84" t="s">
        <v>284</v>
      </c>
      <c r="N84" t="s">
        <v>43</v>
      </c>
    </row>
    <row r="85" customHeight="1" spans="1:14">
      <c r="A85" t="s">
        <v>241</v>
      </c>
      <c r="B85" t="s">
        <v>31</v>
      </c>
      <c r="C85" t="s">
        <v>285</v>
      </c>
      <c r="D85" t="s">
        <v>286</v>
      </c>
      <c r="K85" t="s">
        <v>19</v>
      </c>
      <c r="M85" t="s">
        <v>287</v>
      </c>
      <c r="N85" t="s">
        <v>43</v>
      </c>
    </row>
    <row r="86" customHeight="1" spans="1:14">
      <c r="A86" t="s">
        <v>266</v>
      </c>
      <c r="B86" t="s">
        <v>31</v>
      </c>
      <c r="C86" t="s">
        <v>288</v>
      </c>
      <c r="D86" t="s">
        <v>289</v>
      </c>
      <c r="K86" t="s">
        <v>19</v>
      </c>
      <c r="M86" t="s">
        <v>290</v>
      </c>
      <c r="N86" t="s">
        <v>43</v>
      </c>
    </row>
    <row r="87" customHeight="1" spans="1:14">
      <c r="A87" t="s">
        <v>236</v>
      </c>
      <c r="B87" t="s">
        <v>31</v>
      </c>
      <c r="C87" t="s">
        <v>291</v>
      </c>
      <c r="D87" t="s">
        <v>292</v>
      </c>
      <c r="K87" t="s">
        <v>19</v>
      </c>
      <c r="M87" t="s">
        <v>293</v>
      </c>
      <c r="N87" t="s">
        <v>43</v>
      </c>
    </row>
    <row r="88" customHeight="1" spans="1:14">
      <c r="A88" t="s">
        <v>241</v>
      </c>
      <c r="B88" t="s">
        <v>31</v>
      </c>
      <c r="C88" t="s">
        <v>294</v>
      </c>
      <c r="D88" t="s">
        <v>295</v>
      </c>
      <c r="K88" t="s">
        <v>19</v>
      </c>
      <c r="M88" t="s">
        <v>296</v>
      </c>
      <c r="N88" t="s">
        <v>43</v>
      </c>
    </row>
    <row r="89" customHeight="1" spans="1:14">
      <c r="A89" t="s">
        <v>236</v>
      </c>
      <c r="B89" t="s">
        <v>31</v>
      </c>
      <c r="C89" t="s">
        <v>297</v>
      </c>
      <c r="D89" t="s">
        <v>298</v>
      </c>
      <c r="K89" t="s">
        <v>19</v>
      </c>
      <c r="M89" t="s">
        <v>299</v>
      </c>
      <c r="N89" t="s">
        <v>43</v>
      </c>
    </row>
    <row r="90" customHeight="1" spans="1:14">
      <c r="A90" t="s">
        <v>241</v>
      </c>
      <c r="B90" t="s">
        <v>31</v>
      </c>
      <c r="C90" t="s">
        <v>300</v>
      </c>
      <c r="D90" t="s">
        <v>301</v>
      </c>
      <c r="K90" t="s">
        <v>19</v>
      </c>
      <c r="M90" t="s">
        <v>302</v>
      </c>
      <c r="N90" t="s">
        <v>43</v>
      </c>
    </row>
    <row r="91" customHeight="1" spans="1:14">
      <c r="A91" t="s">
        <v>26</v>
      </c>
      <c r="B91" t="s">
        <v>31</v>
      </c>
      <c r="C91" t="s">
        <v>303</v>
      </c>
      <c r="D91" t="s">
        <v>304</v>
      </c>
      <c r="F91" t="s">
        <v>305</v>
      </c>
      <c r="K91" t="s">
        <v>19</v>
      </c>
      <c r="M91" t="s">
        <v>306</v>
      </c>
    </row>
    <row r="92" customHeight="1" spans="1:14">
      <c r="A92" t="s">
        <v>236</v>
      </c>
      <c r="B92" t="s">
        <v>31</v>
      </c>
      <c r="C92" t="s">
        <v>307</v>
      </c>
      <c r="D92" t="s">
        <v>238</v>
      </c>
      <c r="F92" t="s">
        <v>308</v>
      </c>
      <c r="K92" t="s">
        <v>19</v>
      </c>
      <c r="M92" t="s">
        <v>309</v>
      </c>
    </row>
    <row r="93" customHeight="1" spans="1:14">
      <c r="A93" t="s">
        <v>241</v>
      </c>
      <c r="B93" t="s">
        <v>31</v>
      </c>
      <c r="C93" t="s">
        <v>310</v>
      </c>
      <c r="D93" t="s">
        <v>243</v>
      </c>
      <c r="K93" t="s">
        <v>19</v>
      </c>
      <c r="M93" t="s">
        <v>311</v>
      </c>
      <c r="N93" t="s">
        <v>43</v>
      </c>
    </row>
    <row r="94" customHeight="1" spans="1:14">
      <c r="A94" t="s">
        <v>241</v>
      </c>
      <c r="B94" t="s">
        <v>31</v>
      </c>
      <c r="C94" t="s">
        <v>312</v>
      </c>
      <c r="D94" t="s">
        <v>246</v>
      </c>
      <c r="K94" t="s">
        <v>19</v>
      </c>
      <c r="M94" t="s">
        <v>313</v>
      </c>
      <c r="N94" t="s">
        <v>43</v>
      </c>
    </row>
    <row r="95" customHeight="1" spans="1:14">
      <c r="A95" t="s">
        <v>236</v>
      </c>
      <c r="B95" t="s">
        <v>31</v>
      </c>
      <c r="C95" t="s">
        <v>314</v>
      </c>
      <c r="D95" t="s">
        <v>249</v>
      </c>
      <c r="F95" t="s">
        <v>315</v>
      </c>
      <c r="K95" t="s">
        <v>19</v>
      </c>
      <c r="M95" t="s">
        <v>316</v>
      </c>
    </row>
    <row r="96" customHeight="1" spans="1:14">
      <c r="A96" t="s">
        <v>241</v>
      </c>
      <c r="B96" t="s">
        <v>31</v>
      </c>
      <c r="C96" t="s">
        <v>317</v>
      </c>
      <c r="D96" t="s">
        <v>253</v>
      </c>
      <c r="K96" t="s">
        <v>19</v>
      </c>
      <c r="M96" t="s">
        <v>318</v>
      </c>
      <c r="N96" t="s">
        <v>43</v>
      </c>
    </row>
    <row r="97" customHeight="1" spans="1:14">
      <c r="A97" t="s">
        <v>241</v>
      </c>
      <c r="B97" t="s">
        <v>31</v>
      </c>
      <c r="C97" t="s">
        <v>319</v>
      </c>
      <c r="D97" t="s">
        <v>256</v>
      </c>
      <c r="K97" t="s">
        <v>19</v>
      </c>
      <c r="M97" t="s">
        <v>320</v>
      </c>
      <c r="N97" t="s">
        <v>43</v>
      </c>
    </row>
    <row r="98" customHeight="1" spans="1:14">
      <c r="A98" t="s">
        <v>236</v>
      </c>
      <c r="B98" t="s">
        <v>31</v>
      </c>
      <c r="C98" t="s">
        <v>321</v>
      </c>
      <c r="D98" t="s">
        <v>259</v>
      </c>
      <c r="F98" t="s">
        <v>322</v>
      </c>
      <c r="K98" t="s">
        <v>19</v>
      </c>
      <c r="M98" t="s">
        <v>323</v>
      </c>
    </row>
    <row r="99" customHeight="1" spans="1:14">
      <c r="A99" t="s">
        <v>241</v>
      </c>
      <c r="B99" t="s">
        <v>31</v>
      </c>
      <c r="C99" t="s">
        <v>324</v>
      </c>
      <c r="D99" t="s">
        <v>263</v>
      </c>
      <c r="F99" t="s">
        <v>325</v>
      </c>
      <c r="K99" t="s">
        <v>19</v>
      </c>
      <c r="M99" t="s">
        <v>326</v>
      </c>
    </row>
    <row r="100" customHeight="1" spans="1:14">
      <c r="A100" t="s">
        <v>266</v>
      </c>
      <c r="B100" t="s">
        <v>31</v>
      </c>
      <c r="C100" t="s">
        <v>327</v>
      </c>
      <c r="D100" t="s">
        <v>268</v>
      </c>
      <c r="K100" t="s">
        <v>19</v>
      </c>
      <c r="M100" t="s">
        <v>328</v>
      </c>
      <c r="N100" t="s">
        <v>43</v>
      </c>
    </row>
    <row r="101" customHeight="1" spans="1:14">
      <c r="A101" t="s">
        <v>266</v>
      </c>
      <c r="B101" t="s">
        <v>31</v>
      </c>
      <c r="C101" t="s">
        <v>329</v>
      </c>
      <c r="D101" t="s">
        <v>271</v>
      </c>
      <c r="K101" t="s">
        <v>19</v>
      </c>
      <c r="M101" t="s">
        <v>330</v>
      </c>
      <c r="N101" t="s">
        <v>43</v>
      </c>
    </row>
    <row r="102" customHeight="1" spans="1:14">
      <c r="A102" t="s">
        <v>241</v>
      </c>
      <c r="B102" t="s">
        <v>31</v>
      </c>
      <c r="C102" t="s">
        <v>331</v>
      </c>
      <c r="D102" t="s">
        <v>332</v>
      </c>
      <c r="K102" t="s">
        <v>19</v>
      </c>
      <c r="M102" t="s">
        <v>333</v>
      </c>
      <c r="N102" t="s">
        <v>43</v>
      </c>
    </row>
    <row r="103" customHeight="1" spans="1:14">
      <c r="A103" t="s">
        <v>266</v>
      </c>
      <c r="B103" t="s">
        <v>31</v>
      </c>
      <c r="C103" t="s">
        <v>334</v>
      </c>
      <c r="D103" t="s">
        <v>277</v>
      </c>
      <c r="K103" t="s">
        <v>19</v>
      </c>
      <c r="M103" t="s">
        <v>335</v>
      </c>
      <c r="N103" t="s">
        <v>43</v>
      </c>
    </row>
    <row r="104" customHeight="1" spans="1:14">
      <c r="A104" t="s">
        <v>241</v>
      </c>
      <c r="B104" t="s">
        <v>31</v>
      </c>
      <c r="C104" t="s">
        <v>336</v>
      </c>
      <c r="D104" t="s">
        <v>337</v>
      </c>
      <c r="K104" t="s">
        <v>19</v>
      </c>
      <c r="M104" t="s">
        <v>338</v>
      </c>
      <c r="N104" t="s">
        <v>43</v>
      </c>
    </row>
    <row r="105" customHeight="1" spans="1:14">
      <c r="A105" t="s">
        <v>266</v>
      </c>
      <c r="B105" t="s">
        <v>31</v>
      </c>
      <c r="C105" t="s">
        <v>339</v>
      </c>
      <c r="D105" t="s">
        <v>283</v>
      </c>
      <c r="K105" t="s">
        <v>19</v>
      </c>
      <c r="M105" t="s">
        <v>340</v>
      </c>
      <c r="N105" t="s">
        <v>43</v>
      </c>
    </row>
    <row r="106" customHeight="1" spans="1:14">
      <c r="A106" t="s">
        <v>241</v>
      </c>
      <c r="B106" t="s">
        <v>31</v>
      </c>
      <c r="C106" t="s">
        <v>341</v>
      </c>
      <c r="D106" t="s">
        <v>342</v>
      </c>
      <c r="K106" t="s">
        <v>19</v>
      </c>
      <c r="M106" t="s">
        <v>343</v>
      </c>
      <c r="N106" t="s">
        <v>43</v>
      </c>
    </row>
    <row r="107" customHeight="1" spans="1:14">
      <c r="A107" t="s">
        <v>266</v>
      </c>
      <c r="B107" t="s">
        <v>31</v>
      </c>
      <c r="C107" t="s">
        <v>344</v>
      </c>
      <c r="D107" t="s">
        <v>289</v>
      </c>
      <c r="K107" t="s">
        <v>19</v>
      </c>
      <c r="M107" t="s">
        <v>345</v>
      </c>
      <c r="N107" t="s">
        <v>43</v>
      </c>
    </row>
    <row r="108" customHeight="1" spans="1:14">
      <c r="A108" t="s">
        <v>236</v>
      </c>
      <c r="B108" t="s">
        <v>31</v>
      </c>
      <c r="C108" t="s">
        <v>346</v>
      </c>
      <c r="D108" t="s">
        <v>347</v>
      </c>
      <c r="K108" t="s">
        <v>19</v>
      </c>
      <c r="M108" t="s">
        <v>348</v>
      </c>
      <c r="N108" t="s">
        <v>43</v>
      </c>
    </row>
    <row r="109" customHeight="1" spans="1:14">
      <c r="A109" t="s">
        <v>241</v>
      </c>
      <c r="B109" t="s">
        <v>31</v>
      </c>
      <c r="C109" t="s">
        <v>349</v>
      </c>
      <c r="D109" t="s">
        <v>295</v>
      </c>
      <c r="K109" t="s">
        <v>19</v>
      </c>
      <c r="M109" t="s">
        <v>350</v>
      </c>
      <c r="N109" t="s">
        <v>43</v>
      </c>
    </row>
    <row r="110" customHeight="1" spans="1:14">
      <c r="A110" t="s">
        <v>236</v>
      </c>
      <c r="B110" t="s">
        <v>31</v>
      </c>
      <c r="C110" t="s">
        <v>351</v>
      </c>
      <c r="D110" t="s">
        <v>352</v>
      </c>
      <c r="K110" t="s">
        <v>19</v>
      </c>
      <c r="M110" t="s">
        <v>353</v>
      </c>
      <c r="N110" t="s">
        <v>43</v>
      </c>
    </row>
    <row r="111" customHeight="1" spans="1:14">
      <c r="A111" t="s">
        <v>241</v>
      </c>
      <c r="B111" t="s">
        <v>31</v>
      </c>
      <c r="C111" t="s">
        <v>354</v>
      </c>
      <c r="D111" t="s">
        <v>301</v>
      </c>
      <c r="K111" t="s">
        <v>19</v>
      </c>
      <c r="M111" t="s">
        <v>355</v>
      </c>
      <c r="N111" t="s">
        <v>43</v>
      </c>
    </row>
    <row r="112" customHeight="1" spans="1:14">
      <c r="A112" t="s">
        <v>14</v>
      </c>
      <c r="B112" t="s">
        <v>31</v>
      </c>
      <c r="C112" t="s">
        <v>356</v>
      </c>
      <c r="D112" t="s">
        <v>249</v>
      </c>
      <c r="K112" t="s">
        <v>19</v>
      </c>
      <c r="N112" t="s">
        <v>43</v>
      </c>
    </row>
    <row r="113" customHeight="1" spans="1:14">
      <c r="A113" t="s">
        <v>21</v>
      </c>
      <c r="B113" t="s">
        <v>31</v>
      </c>
      <c r="C113" t="s">
        <v>357</v>
      </c>
      <c r="D113" t="s">
        <v>358</v>
      </c>
      <c r="K113" t="s">
        <v>19</v>
      </c>
      <c r="N113" t="s">
        <v>43</v>
      </c>
    </row>
    <row r="114" customHeight="1" spans="1:14">
      <c r="A114" t="s">
        <v>21</v>
      </c>
      <c r="B114" t="s">
        <v>31</v>
      </c>
      <c r="C114" t="s">
        <v>359</v>
      </c>
      <c r="D114" t="s">
        <v>360</v>
      </c>
      <c r="K114" t="s">
        <v>19</v>
      </c>
      <c r="N114" t="s">
        <v>43</v>
      </c>
    </row>
    <row r="115" customHeight="1" spans="1:14">
      <c r="A115" t="s">
        <v>21</v>
      </c>
      <c r="B115" t="s">
        <v>31</v>
      </c>
      <c r="C115" t="s">
        <v>361</v>
      </c>
      <c r="D115" t="s">
        <v>362</v>
      </c>
      <c r="F115" t="s">
        <v>363</v>
      </c>
      <c r="K115" t="s">
        <v>19</v>
      </c>
      <c r="M115" t="s">
        <v>364</v>
      </c>
    </row>
    <row r="116" customHeight="1" spans="1:14">
      <c r="A116" t="s">
        <v>26</v>
      </c>
      <c r="B116" t="s">
        <v>31</v>
      </c>
      <c r="C116" t="s">
        <v>363</v>
      </c>
      <c r="D116" t="s">
        <v>365</v>
      </c>
      <c r="F116" t="s">
        <v>366</v>
      </c>
      <c r="K116" t="s">
        <v>19</v>
      </c>
      <c r="M116" t="s">
        <v>367</v>
      </c>
    </row>
    <row r="117" customHeight="1" spans="1:14">
      <c r="A117" t="s">
        <v>236</v>
      </c>
      <c r="B117" t="s">
        <v>31</v>
      </c>
      <c r="C117" t="s">
        <v>368</v>
      </c>
      <c r="D117" t="s">
        <v>369</v>
      </c>
      <c r="F117" t="s">
        <v>370</v>
      </c>
      <c r="K117" t="s">
        <v>19</v>
      </c>
      <c r="M117" t="s">
        <v>371</v>
      </c>
    </row>
    <row r="118" customHeight="1" spans="1:14">
      <c r="A118" t="s">
        <v>241</v>
      </c>
      <c r="B118" t="s">
        <v>31</v>
      </c>
      <c r="C118" t="s">
        <v>372</v>
      </c>
      <c r="D118" t="s">
        <v>373</v>
      </c>
      <c r="K118" t="s">
        <v>19</v>
      </c>
      <c r="M118" t="s">
        <v>374</v>
      </c>
      <c r="N118" t="s">
        <v>43</v>
      </c>
    </row>
    <row r="119" customHeight="1" spans="1:14">
      <c r="A119" t="s">
        <v>241</v>
      </c>
      <c r="B119" t="s">
        <v>31</v>
      </c>
      <c r="C119" t="s">
        <v>375</v>
      </c>
      <c r="D119" t="s">
        <v>376</v>
      </c>
      <c r="K119" t="s">
        <v>19</v>
      </c>
      <c r="M119" t="s">
        <v>377</v>
      </c>
      <c r="N119" t="s">
        <v>43</v>
      </c>
    </row>
    <row r="120" customHeight="1" spans="1:14">
      <c r="A120" t="s">
        <v>241</v>
      </c>
      <c r="B120" t="s">
        <v>31</v>
      </c>
      <c r="C120" t="s">
        <v>378</v>
      </c>
      <c r="D120" t="s">
        <v>379</v>
      </c>
      <c r="K120" t="s">
        <v>19</v>
      </c>
      <c r="M120" t="s">
        <v>380</v>
      </c>
      <c r="N120" t="s">
        <v>43</v>
      </c>
    </row>
    <row r="121" customHeight="1" spans="1:14">
      <c r="A121" t="s">
        <v>241</v>
      </c>
      <c r="B121" t="s">
        <v>31</v>
      </c>
      <c r="C121" t="s">
        <v>381</v>
      </c>
      <c r="D121" t="s">
        <v>382</v>
      </c>
      <c r="K121" t="s">
        <v>19</v>
      </c>
      <c r="M121" t="s">
        <v>383</v>
      </c>
      <c r="N121" t="s">
        <v>43</v>
      </c>
    </row>
    <row r="122" customHeight="1" spans="1:14">
      <c r="A122" t="s">
        <v>236</v>
      </c>
      <c r="B122" t="s">
        <v>31</v>
      </c>
      <c r="C122" t="s">
        <v>384</v>
      </c>
      <c r="D122" t="s">
        <v>385</v>
      </c>
      <c r="F122" t="s">
        <v>386</v>
      </c>
      <c r="K122" t="s">
        <v>19</v>
      </c>
      <c r="M122" t="s">
        <v>387</v>
      </c>
    </row>
    <row r="123" customHeight="1" spans="1:14">
      <c r="A123" t="s">
        <v>241</v>
      </c>
      <c r="B123" t="s">
        <v>31</v>
      </c>
      <c r="C123" t="s">
        <v>388</v>
      </c>
      <c r="D123" t="s">
        <v>389</v>
      </c>
      <c r="K123" t="s">
        <v>19</v>
      </c>
      <c r="M123" t="s">
        <v>390</v>
      </c>
      <c r="N123" t="s">
        <v>43</v>
      </c>
    </row>
    <row r="124" customHeight="1" spans="1:14">
      <c r="A124" t="s">
        <v>241</v>
      </c>
      <c r="B124" t="s">
        <v>31</v>
      </c>
      <c r="C124" t="s">
        <v>391</v>
      </c>
      <c r="D124" t="s">
        <v>392</v>
      </c>
      <c r="K124" t="s">
        <v>19</v>
      </c>
      <c r="M124" t="s">
        <v>393</v>
      </c>
      <c r="N124" t="s">
        <v>43</v>
      </c>
    </row>
    <row r="125" customHeight="1" spans="1:14">
      <c r="A125" t="s">
        <v>241</v>
      </c>
      <c r="B125" t="s">
        <v>31</v>
      </c>
      <c r="C125" t="s">
        <v>394</v>
      </c>
      <c r="D125" t="s">
        <v>395</v>
      </c>
      <c r="K125" t="s">
        <v>19</v>
      </c>
      <c r="M125" t="s">
        <v>396</v>
      </c>
      <c r="N125" t="s">
        <v>43</v>
      </c>
    </row>
    <row r="126" customHeight="1" spans="1:14">
      <c r="A126" t="s">
        <v>241</v>
      </c>
      <c r="B126" t="s">
        <v>31</v>
      </c>
      <c r="C126" t="s">
        <v>397</v>
      </c>
      <c r="D126" t="s">
        <v>398</v>
      </c>
      <c r="K126" t="s">
        <v>19</v>
      </c>
      <c r="M126" t="s">
        <v>399</v>
      </c>
      <c r="N126" t="s">
        <v>43</v>
      </c>
    </row>
    <row r="127" customHeight="1" spans="1:14">
      <c r="A127" t="s">
        <v>241</v>
      </c>
      <c r="B127" t="s">
        <v>31</v>
      </c>
      <c r="C127" t="s">
        <v>400</v>
      </c>
      <c r="D127" t="s">
        <v>401</v>
      </c>
      <c r="K127" t="s">
        <v>19</v>
      </c>
      <c r="M127" t="s">
        <v>402</v>
      </c>
      <c r="N127" t="s">
        <v>43</v>
      </c>
    </row>
    <row r="128" customHeight="1" spans="1:14">
      <c r="A128" t="s">
        <v>241</v>
      </c>
      <c r="B128" t="s">
        <v>31</v>
      </c>
      <c r="C128" t="s">
        <v>403</v>
      </c>
      <c r="D128" t="s">
        <v>404</v>
      </c>
      <c r="K128" t="s">
        <v>19</v>
      </c>
      <c r="M128" t="s">
        <v>405</v>
      </c>
      <c r="N128" t="s">
        <v>43</v>
      </c>
    </row>
    <row r="129" customHeight="1" spans="1:14">
      <c r="A129" t="s">
        <v>241</v>
      </c>
      <c r="B129" t="s">
        <v>31</v>
      </c>
      <c r="C129" t="s">
        <v>406</v>
      </c>
      <c r="D129" t="s">
        <v>407</v>
      </c>
      <c r="K129" t="s">
        <v>19</v>
      </c>
      <c r="M129" t="s">
        <v>408</v>
      </c>
      <c r="N129" t="s">
        <v>43</v>
      </c>
    </row>
    <row r="130" customHeight="1" spans="1:14">
      <c r="A130" t="s">
        <v>241</v>
      </c>
      <c r="B130" t="s">
        <v>31</v>
      </c>
      <c r="C130" t="s">
        <v>409</v>
      </c>
      <c r="D130" t="s">
        <v>410</v>
      </c>
      <c r="K130" t="s">
        <v>19</v>
      </c>
      <c r="M130" t="s">
        <v>411</v>
      </c>
      <c r="N130" t="s">
        <v>43</v>
      </c>
    </row>
    <row r="131" customHeight="1" spans="1:14">
      <c r="A131" t="s">
        <v>241</v>
      </c>
      <c r="B131" t="s">
        <v>31</v>
      </c>
      <c r="C131" t="s">
        <v>412</v>
      </c>
      <c r="D131" t="s">
        <v>413</v>
      </c>
      <c r="K131" t="s">
        <v>19</v>
      </c>
      <c r="M131" t="s">
        <v>414</v>
      </c>
      <c r="N131" t="s">
        <v>43</v>
      </c>
    </row>
    <row r="132" customHeight="1" spans="1:14">
      <c r="A132" t="s">
        <v>241</v>
      </c>
      <c r="B132" t="s">
        <v>31</v>
      </c>
      <c r="C132" t="s">
        <v>415</v>
      </c>
      <c r="D132" t="s">
        <v>416</v>
      </c>
      <c r="K132" t="s">
        <v>19</v>
      </c>
      <c r="M132" t="s">
        <v>417</v>
      </c>
      <c r="N132" t="s">
        <v>43</v>
      </c>
    </row>
    <row r="133" customHeight="1" spans="1:14">
      <c r="A133" t="s">
        <v>241</v>
      </c>
      <c r="B133" t="s">
        <v>31</v>
      </c>
      <c r="C133" t="s">
        <v>418</v>
      </c>
      <c r="D133" t="s">
        <v>419</v>
      </c>
      <c r="K133" t="s">
        <v>19</v>
      </c>
      <c r="M133" t="s">
        <v>420</v>
      </c>
      <c r="N133" t="s">
        <v>43</v>
      </c>
    </row>
    <row r="134" customHeight="1" spans="1:14">
      <c r="A134" t="s">
        <v>241</v>
      </c>
      <c r="B134" t="s">
        <v>31</v>
      </c>
      <c r="C134" t="s">
        <v>421</v>
      </c>
      <c r="D134" t="s">
        <v>422</v>
      </c>
      <c r="F134" t="s">
        <v>423</v>
      </c>
      <c r="K134" t="s">
        <v>19</v>
      </c>
      <c r="M134" t="s">
        <v>424</v>
      </c>
    </row>
    <row r="135" customHeight="1" spans="1:14">
      <c r="A135" t="s">
        <v>241</v>
      </c>
      <c r="B135" t="s">
        <v>31</v>
      </c>
      <c r="C135" t="s">
        <v>425</v>
      </c>
      <c r="D135" t="s">
        <v>426</v>
      </c>
      <c r="F135" t="s">
        <v>427</v>
      </c>
      <c r="K135" t="s">
        <v>19</v>
      </c>
      <c r="M135" t="s">
        <v>428</v>
      </c>
    </row>
    <row r="136" customHeight="1" spans="1:14">
      <c r="A136" t="s">
        <v>241</v>
      </c>
      <c r="B136" t="s">
        <v>31</v>
      </c>
      <c r="C136" t="s">
        <v>429</v>
      </c>
      <c r="D136" t="s">
        <v>430</v>
      </c>
      <c r="F136" t="s">
        <v>431</v>
      </c>
      <c r="K136" t="s">
        <v>19</v>
      </c>
      <c r="M136" t="s">
        <v>432</v>
      </c>
    </row>
    <row r="137" customHeight="1" spans="1:14">
      <c r="A137" t="s">
        <v>236</v>
      </c>
      <c r="B137" t="s">
        <v>31</v>
      </c>
      <c r="C137" t="s">
        <v>433</v>
      </c>
      <c r="D137" t="s">
        <v>434</v>
      </c>
      <c r="F137" t="s">
        <v>435</v>
      </c>
      <c r="K137" t="s">
        <v>19</v>
      </c>
      <c r="M137" t="s">
        <v>436</v>
      </c>
    </row>
    <row r="138" customHeight="1" spans="1:14">
      <c r="A138" t="s">
        <v>241</v>
      </c>
      <c r="B138" t="s">
        <v>31</v>
      </c>
      <c r="C138" t="s">
        <v>437</v>
      </c>
      <c r="D138" t="s">
        <v>438</v>
      </c>
      <c r="K138" t="s">
        <v>19</v>
      </c>
      <c r="M138" t="s">
        <v>439</v>
      </c>
      <c r="N138" t="s">
        <v>43</v>
      </c>
    </row>
    <row r="139" customHeight="1" spans="1:14">
      <c r="A139" t="s">
        <v>241</v>
      </c>
      <c r="B139" t="s">
        <v>31</v>
      </c>
      <c r="C139" t="s">
        <v>440</v>
      </c>
      <c r="D139" t="s">
        <v>441</v>
      </c>
      <c r="K139" t="s">
        <v>19</v>
      </c>
      <c r="M139" t="s">
        <v>442</v>
      </c>
      <c r="N139" t="s">
        <v>43</v>
      </c>
    </row>
    <row r="140" customHeight="1" spans="1:14">
      <c r="A140" t="s">
        <v>241</v>
      </c>
      <c r="B140" t="s">
        <v>31</v>
      </c>
      <c r="C140" t="s">
        <v>443</v>
      </c>
      <c r="D140" t="s">
        <v>444</v>
      </c>
      <c r="K140" t="s">
        <v>19</v>
      </c>
      <c r="M140" t="s">
        <v>445</v>
      </c>
      <c r="N140" t="s">
        <v>43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tabSelected="1" workbookViewId="0">
      <selection activeCell="K8" sqref="K8"/>
    </sheetView>
  </sheetViews>
  <sheetFormatPr defaultColWidth="9" defaultRowHeight="16.8"/>
  <cols>
    <col min="3" max="3" width="8.66071428571429" customWidth="1"/>
    <col min="4" max="4" width="20" customWidth="1"/>
  </cols>
  <sheetData>
    <row r="1" s="1" customFormat="1" ht="15" customHeight="1" spans="1:14">
      <c r="A1" s="2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</row>
    <row r="2" spans="1:14">
      <c r="A2" s="1" t="s">
        <v>14</v>
      </c>
      <c r="B2" s="1" t="s">
        <v>118</v>
      </c>
      <c r="C2" s="1" t="s">
        <v>446</v>
      </c>
      <c r="D2" s="1" t="s">
        <v>447</v>
      </c>
      <c r="F2" t="s">
        <v>448</v>
      </c>
      <c r="K2" t="s">
        <v>19</v>
      </c>
      <c r="M2" t="s">
        <v>449</v>
      </c>
    </row>
    <row r="3" spans="1:14">
      <c r="A3" s="1" t="s">
        <v>21</v>
      </c>
      <c r="B3" s="1" t="s">
        <v>118</v>
      </c>
      <c r="C3" s="1" t="s">
        <v>123</v>
      </c>
      <c r="D3" s="1" t="s">
        <v>450</v>
      </c>
      <c r="F3" t="s">
        <v>125</v>
      </c>
      <c r="K3" t="s">
        <v>19</v>
      </c>
      <c r="M3" t="s">
        <v>126</v>
      </c>
    </row>
    <row r="4" spans="1:14">
      <c r="A4" s="1" t="s">
        <v>26</v>
      </c>
      <c r="B4" s="1" t="s">
        <v>118</v>
      </c>
      <c r="C4" s="1" t="s">
        <v>127</v>
      </c>
      <c r="D4" s="1" t="s">
        <v>128</v>
      </c>
      <c r="K4" t="s">
        <v>19</v>
      </c>
      <c r="M4" t="s">
        <v>129</v>
      </c>
      <c r="N4" t="s">
        <v>130</v>
      </c>
    </row>
    <row r="5" spans="1:14">
      <c r="A5" s="1" t="s">
        <v>26</v>
      </c>
      <c r="B5" s="1" t="s">
        <v>118</v>
      </c>
      <c r="C5" s="1" t="s">
        <v>131</v>
      </c>
      <c r="D5" s="1" t="s">
        <v>132</v>
      </c>
      <c r="K5" t="s">
        <v>19</v>
      </c>
      <c r="M5" t="s">
        <v>133</v>
      </c>
      <c r="N5" t="s">
        <v>130</v>
      </c>
    </row>
    <row r="6" spans="1:14">
      <c r="A6" s="1" t="s">
        <v>21</v>
      </c>
      <c r="B6" s="1" t="s">
        <v>118</v>
      </c>
      <c r="C6" s="1" t="s">
        <v>451</v>
      </c>
      <c r="D6" s="1" t="s">
        <v>452</v>
      </c>
      <c r="K6" t="s">
        <v>19</v>
      </c>
      <c r="M6" t="s">
        <v>453</v>
      </c>
      <c r="N6" t="s">
        <v>130</v>
      </c>
    </row>
    <row r="7" spans="1:14">
      <c r="A7" s="1" t="s">
        <v>21</v>
      </c>
      <c r="B7" s="1" t="s">
        <v>118</v>
      </c>
      <c r="C7" s="1" t="s">
        <v>454</v>
      </c>
      <c r="D7" s="1" t="s">
        <v>455</v>
      </c>
      <c r="F7" t="s">
        <v>456</v>
      </c>
      <c r="K7" t="s">
        <v>19</v>
      </c>
      <c r="M7" t="s">
        <v>457</v>
      </c>
    </row>
    <row r="8" spans="1:14">
      <c r="A8" s="1" t="s">
        <v>26</v>
      </c>
      <c r="B8" s="1" t="s">
        <v>118</v>
      </c>
      <c r="C8" s="1" t="s">
        <v>458</v>
      </c>
      <c r="D8" s="1" t="s">
        <v>459</v>
      </c>
      <c r="K8" t="s">
        <v>19</v>
      </c>
      <c r="M8" t="s">
        <v>460</v>
      </c>
      <c r="N8" t="s">
        <v>130</v>
      </c>
    </row>
    <row r="9" spans="1:14">
      <c r="A9" s="1" t="s">
        <v>26</v>
      </c>
      <c r="B9" s="1" t="s">
        <v>118</v>
      </c>
      <c r="C9" s="1" t="s">
        <v>461</v>
      </c>
      <c r="D9" s="1" t="s">
        <v>462</v>
      </c>
      <c r="K9" t="s">
        <v>19</v>
      </c>
      <c r="M9" t="s">
        <v>463</v>
      </c>
      <c r="N9" t="s">
        <v>130</v>
      </c>
    </row>
    <row r="10" spans="1:14">
      <c r="A10" s="1" t="s">
        <v>26</v>
      </c>
      <c r="B10" s="1" t="s">
        <v>118</v>
      </c>
      <c r="C10" s="1" t="s">
        <v>464</v>
      </c>
      <c r="D10" s="1" t="s">
        <v>465</v>
      </c>
      <c r="K10" t="s">
        <v>19</v>
      </c>
      <c r="M10" t="s">
        <v>466</v>
      </c>
      <c r="N10" t="s">
        <v>130</v>
      </c>
    </row>
    <row r="11" spans="1:14">
      <c r="A11" s="1" t="s">
        <v>26</v>
      </c>
      <c r="B11" s="1" t="s">
        <v>118</v>
      </c>
      <c r="C11" s="1" t="s">
        <v>467</v>
      </c>
      <c r="D11" s="1" t="s">
        <v>468</v>
      </c>
      <c r="K11" t="s">
        <v>19</v>
      </c>
      <c r="M11" t="s">
        <v>469</v>
      </c>
      <c r="N11" t="s">
        <v>130</v>
      </c>
    </row>
    <row r="12" spans="1:14">
      <c r="A12" s="1" t="s">
        <v>26</v>
      </c>
      <c r="B12" s="1" t="s">
        <v>118</v>
      </c>
      <c r="C12" s="1" t="s">
        <v>470</v>
      </c>
      <c r="D12" s="1" t="s">
        <v>471</v>
      </c>
      <c r="K12" t="s">
        <v>19</v>
      </c>
      <c r="M12" t="s">
        <v>472</v>
      </c>
      <c r="N12" t="s">
        <v>130</v>
      </c>
    </row>
    <row r="13" spans="1:14">
      <c r="A13" s="1" t="s">
        <v>26</v>
      </c>
      <c r="B13" s="1" t="s">
        <v>118</v>
      </c>
      <c r="C13" s="9" t="s">
        <v>473</v>
      </c>
      <c r="D13" s="1" t="s">
        <v>474</v>
      </c>
      <c r="K13" t="s">
        <v>19</v>
      </c>
      <c r="M13" t="s">
        <v>475</v>
      </c>
      <c r="N13" t="s">
        <v>130</v>
      </c>
    </row>
    <row r="14" spans="1:14">
      <c r="A14" s="1" t="s">
        <v>21</v>
      </c>
      <c r="B14" s="1" t="s">
        <v>118</v>
      </c>
      <c r="C14" s="1" t="s">
        <v>476</v>
      </c>
      <c r="D14" s="1" t="s">
        <v>477</v>
      </c>
      <c r="K14" t="s">
        <v>19</v>
      </c>
      <c r="M14" t="s">
        <v>478</v>
      </c>
      <c r="N14" t="s">
        <v>130</v>
      </c>
    </row>
    <row r="15" spans="1:14">
      <c r="A15" s="1" t="s">
        <v>21</v>
      </c>
      <c r="B15" s="1" t="s">
        <v>118</v>
      </c>
      <c r="C15" s="1" t="s">
        <v>479</v>
      </c>
      <c r="D15" s="1" t="s">
        <v>480</v>
      </c>
      <c r="K15" t="s">
        <v>19</v>
      </c>
      <c r="M15" t="s">
        <v>481</v>
      </c>
      <c r="N15" t="s">
        <v>130</v>
      </c>
    </row>
    <row r="16" spans="1:14">
      <c r="A16" s="1" t="s">
        <v>14</v>
      </c>
      <c r="B16" s="1" t="s">
        <v>143</v>
      </c>
      <c r="C16" s="1" t="s">
        <v>482</v>
      </c>
      <c r="D16" s="1" t="s">
        <v>483</v>
      </c>
      <c r="F16" t="s">
        <v>484</v>
      </c>
      <c r="K16" t="s">
        <v>19</v>
      </c>
      <c r="M16" t="s">
        <v>485</v>
      </c>
    </row>
    <row r="17" spans="1:14">
      <c r="A17" s="1" t="s">
        <v>21</v>
      </c>
      <c r="B17" s="1" t="s">
        <v>143</v>
      </c>
      <c r="C17" s="9" t="s">
        <v>148</v>
      </c>
      <c r="D17" s="1" t="s">
        <v>149</v>
      </c>
      <c r="K17" t="s">
        <v>19</v>
      </c>
      <c r="M17" t="s">
        <v>150</v>
      </c>
      <c r="N17" t="s">
        <v>130</v>
      </c>
    </row>
    <row r="18" spans="1:14">
      <c r="A18" s="1" t="s">
        <v>21</v>
      </c>
      <c r="B18" s="1" t="s">
        <v>143</v>
      </c>
      <c r="C18" s="1" t="s">
        <v>486</v>
      </c>
      <c r="D18" s="1" t="s">
        <v>487</v>
      </c>
      <c r="F18" t="s">
        <v>488</v>
      </c>
      <c r="K18" t="s">
        <v>19</v>
      </c>
      <c r="M18" t="s">
        <v>489</v>
      </c>
    </row>
    <row r="19" spans="1:14">
      <c r="A19" s="1" t="s">
        <v>26</v>
      </c>
      <c r="B19" s="1" t="s">
        <v>143</v>
      </c>
      <c r="C19" s="9" t="s">
        <v>490</v>
      </c>
      <c r="D19" s="1" t="s">
        <v>491</v>
      </c>
      <c r="K19" t="s">
        <v>19</v>
      </c>
      <c r="M19" t="s">
        <v>492</v>
      </c>
      <c r="N19" t="s">
        <v>130</v>
      </c>
    </row>
    <row r="20" spans="1:14">
      <c r="A20" s="1" t="s">
        <v>26</v>
      </c>
      <c r="B20" s="1" t="s">
        <v>143</v>
      </c>
      <c r="C20" s="9" t="s">
        <v>493</v>
      </c>
      <c r="D20" s="1" t="s">
        <v>494</v>
      </c>
      <c r="K20" t="s">
        <v>19</v>
      </c>
      <c r="M20" t="s">
        <v>495</v>
      </c>
      <c r="N20" t="s">
        <v>130</v>
      </c>
    </row>
    <row r="21" spans="1:14">
      <c r="A21" s="1" t="s">
        <v>26</v>
      </c>
      <c r="B21" s="1" t="s">
        <v>143</v>
      </c>
      <c r="C21" s="9" t="s">
        <v>496</v>
      </c>
      <c r="D21" s="1" t="s">
        <v>497</v>
      </c>
      <c r="K21" t="s">
        <v>19</v>
      </c>
      <c r="M21" t="s">
        <v>498</v>
      </c>
      <c r="N21" t="s">
        <v>130</v>
      </c>
    </row>
    <row r="22" spans="1:14">
      <c r="A22" s="1" t="s">
        <v>26</v>
      </c>
      <c r="B22" s="1" t="s">
        <v>143</v>
      </c>
      <c r="C22" s="9" t="s">
        <v>499</v>
      </c>
      <c r="D22" s="1" t="s">
        <v>500</v>
      </c>
      <c r="K22" t="s">
        <v>19</v>
      </c>
      <c r="M22" t="s">
        <v>501</v>
      </c>
      <c r="N22" t="s">
        <v>130</v>
      </c>
    </row>
    <row r="23" spans="1:14">
      <c r="A23" s="1" t="s">
        <v>26</v>
      </c>
      <c r="B23" s="1" t="s">
        <v>143</v>
      </c>
      <c r="C23" s="9" t="s">
        <v>502</v>
      </c>
      <c r="D23" s="1" t="s">
        <v>503</v>
      </c>
      <c r="K23" t="s">
        <v>19</v>
      </c>
      <c r="M23" t="s">
        <v>504</v>
      </c>
      <c r="N23" t="s">
        <v>130</v>
      </c>
    </row>
    <row r="24" spans="1:14">
      <c r="A24" s="1" t="s">
        <v>26</v>
      </c>
      <c r="B24" s="1" t="s">
        <v>143</v>
      </c>
      <c r="C24" s="9" t="s">
        <v>505</v>
      </c>
      <c r="D24" s="1" t="s">
        <v>506</v>
      </c>
      <c r="K24" t="s">
        <v>19</v>
      </c>
      <c r="M24" t="s">
        <v>507</v>
      </c>
      <c r="N24" t="s">
        <v>130</v>
      </c>
    </row>
    <row r="25" spans="1:14">
      <c r="A25" s="1" t="s">
        <v>21</v>
      </c>
      <c r="B25" s="1" t="s">
        <v>143</v>
      </c>
      <c r="C25" s="1" t="s">
        <v>508</v>
      </c>
      <c r="D25" s="1" t="s">
        <v>509</v>
      </c>
      <c r="K25" t="s">
        <v>19</v>
      </c>
      <c r="M25" t="s">
        <v>510</v>
      </c>
      <c r="N25" t="s">
        <v>130</v>
      </c>
    </row>
    <row r="26" spans="1:14">
      <c r="A26" s="1" t="s">
        <v>14</v>
      </c>
      <c r="B26" s="1" t="s">
        <v>143</v>
      </c>
      <c r="C26" s="1" t="s">
        <v>511</v>
      </c>
      <c r="D26" s="1" t="s">
        <v>512</v>
      </c>
      <c r="F26" t="s">
        <v>513</v>
      </c>
      <c r="K26" t="s">
        <v>19</v>
      </c>
      <c r="M26" t="s">
        <v>514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workbookViewId="0">
      <selection activeCell="I29" sqref="I29"/>
    </sheetView>
  </sheetViews>
  <sheetFormatPr defaultColWidth="9" defaultRowHeight="16.8"/>
  <cols>
    <col min="1" max="2" width="8.66071428571429" customWidth="1"/>
    <col min="3" max="3" width="8.5" customWidth="1"/>
    <col min="4" max="4" width="20" customWidth="1"/>
    <col min="5" max="16384" width="8.66071428571429" customWidth="1"/>
  </cols>
  <sheetData>
    <row r="1" s="1" customFormat="1" ht="15" customHeight="1" spans="1:14">
      <c r="A1" s="2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t="s">
        <v>13</v>
      </c>
    </row>
    <row r="2" spans="1:14">
      <c r="A2" s="1" t="s">
        <v>14</v>
      </c>
      <c r="B2" s="1" t="s">
        <v>515</v>
      </c>
      <c r="C2" s="1" t="s">
        <v>516</v>
      </c>
      <c r="D2" s="1" t="s">
        <v>447</v>
      </c>
      <c r="F2" t="s">
        <v>517</v>
      </c>
      <c r="K2" t="s">
        <v>19</v>
      </c>
      <c r="M2" t="s">
        <v>518</v>
      </c>
    </row>
    <row r="3" spans="1:14">
      <c r="A3" s="1" t="s">
        <v>21</v>
      </c>
      <c r="B3" s="1" t="s">
        <v>515</v>
      </c>
      <c r="C3" s="1" t="s">
        <v>519</v>
      </c>
      <c r="D3" s="1" t="s">
        <v>450</v>
      </c>
      <c r="F3" t="s">
        <v>520</v>
      </c>
      <c r="K3" t="s">
        <v>19</v>
      </c>
      <c r="M3" t="s">
        <v>521</v>
      </c>
    </row>
    <row r="4" spans="1:14">
      <c r="A4" s="1" t="s">
        <v>26</v>
      </c>
      <c r="B4" s="1" t="s">
        <v>515</v>
      </c>
      <c r="C4" s="1" t="s">
        <v>522</v>
      </c>
      <c r="D4" s="1" t="s">
        <v>128</v>
      </c>
      <c r="K4" t="s">
        <v>19</v>
      </c>
      <c r="M4" t="s">
        <v>523</v>
      </c>
      <c r="N4" t="s">
        <v>524</v>
      </c>
    </row>
    <row r="5" spans="1:14">
      <c r="A5" s="1" t="s">
        <v>26</v>
      </c>
      <c r="B5" s="1" t="s">
        <v>515</v>
      </c>
      <c r="C5" s="1" t="s">
        <v>525</v>
      </c>
      <c r="D5" s="1" t="s">
        <v>132</v>
      </c>
      <c r="K5" t="s">
        <v>19</v>
      </c>
      <c r="M5" t="s">
        <v>526</v>
      </c>
      <c r="N5" t="s">
        <v>524</v>
      </c>
    </row>
    <row r="6" spans="1:14">
      <c r="A6" s="1" t="s">
        <v>21</v>
      </c>
      <c r="B6" s="1" t="s">
        <v>515</v>
      </c>
      <c r="C6" s="1" t="s">
        <v>527</v>
      </c>
      <c r="D6" s="1" t="s">
        <v>452</v>
      </c>
      <c r="K6" t="s">
        <v>19</v>
      </c>
      <c r="M6" t="s">
        <v>528</v>
      </c>
      <c r="N6" t="s">
        <v>524</v>
      </c>
    </row>
    <row r="7" spans="1:14">
      <c r="A7" s="1" t="s">
        <v>21</v>
      </c>
      <c r="B7" s="1" t="s">
        <v>515</v>
      </c>
      <c r="C7" s="1" t="s">
        <v>529</v>
      </c>
      <c r="D7" s="1" t="s">
        <v>455</v>
      </c>
      <c r="K7" t="s">
        <v>19</v>
      </c>
      <c r="M7" t="s">
        <v>530</v>
      </c>
      <c r="N7" t="s">
        <v>524</v>
      </c>
    </row>
    <row r="8" spans="1:14">
      <c r="A8" s="1" t="s">
        <v>26</v>
      </c>
      <c r="B8" s="1" t="s">
        <v>515</v>
      </c>
      <c r="C8" s="1" t="s">
        <v>531</v>
      </c>
      <c r="D8" s="1" t="s">
        <v>459</v>
      </c>
      <c r="K8" t="s">
        <v>19</v>
      </c>
      <c r="M8" t="s">
        <v>532</v>
      </c>
      <c r="N8" t="s">
        <v>524</v>
      </c>
    </row>
    <row r="9" spans="1:14">
      <c r="A9" s="1" t="s">
        <v>26</v>
      </c>
      <c r="B9" s="1" t="s">
        <v>515</v>
      </c>
      <c r="C9" s="1" t="s">
        <v>533</v>
      </c>
      <c r="D9" s="1" t="s">
        <v>462</v>
      </c>
      <c r="K9" t="s">
        <v>19</v>
      </c>
      <c r="M9" t="s">
        <v>534</v>
      </c>
      <c r="N9" t="s">
        <v>524</v>
      </c>
    </row>
    <row r="10" spans="1:14">
      <c r="A10" s="1" t="s">
        <v>26</v>
      </c>
      <c r="B10" s="1" t="s">
        <v>515</v>
      </c>
      <c r="C10" s="1" t="s">
        <v>535</v>
      </c>
      <c r="D10" s="1" t="s">
        <v>465</v>
      </c>
      <c r="K10" t="s">
        <v>19</v>
      </c>
      <c r="M10" t="s">
        <v>536</v>
      </c>
      <c r="N10" t="s">
        <v>524</v>
      </c>
    </row>
    <row r="11" spans="1:14">
      <c r="A11" s="1" t="s">
        <v>26</v>
      </c>
      <c r="B11" s="1" t="s">
        <v>515</v>
      </c>
      <c r="C11" s="1" t="s">
        <v>537</v>
      </c>
      <c r="D11" s="1" t="s">
        <v>538</v>
      </c>
      <c r="K11" t="s">
        <v>19</v>
      </c>
      <c r="M11" t="s">
        <v>539</v>
      </c>
      <c r="N11" t="s">
        <v>524</v>
      </c>
    </row>
    <row r="12" spans="1:14">
      <c r="A12" s="1" t="s">
        <v>26</v>
      </c>
      <c r="B12" s="1" t="s">
        <v>515</v>
      </c>
      <c r="C12" s="1" t="s">
        <v>540</v>
      </c>
      <c r="D12" s="1" t="s">
        <v>541</v>
      </c>
      <c r="K12" t="s">
        <v>19</v>
      </c>
      <c r="M12" t="s">
        <v>542</v>
      </c>
      <c r="N12" t="s">
        <v>524</v>
      </c>
    </row>
    <row r="13" spans="1:14">
      <c r="A13" s="1" t="s">
        <v>26</v>
      </c>
      <c r="B13" s="1" t="s">
        <v>515</v>
      </c>
      <c r="C13" s="1" t="s">
        <v>543</v>
      </c>
      <c r="D13" s="1" t="s">
        <v>544</v>
      </c>
      <c r="K13" t="s">
        <v>19</v>
      </c>
      <c r="M13" t="s">
        <v>545</v>
      </c>
      <c r="N13" t="s">
        <v>524</v>
      </c>
    </row>
    <row r="14" spans="1:14">
      <c r="A14" s="1" t="s">
        <v>26</v>
      </c>
      <c r="B14" s="1" t="s">
        <v>515</v>
      </c>
      <c r="C14" s="9" t="s">
        <v>546</v>
      </c>
      <c r="D14" s="1" t="s">
        <v>474</v>
      </c>
      <c r="K14" t="s">
        <v>19</v>
      </c>
      <c r="M14" t="s">
        <v>547</v>
      </c>
      <c r="N14" t="s">
        <v>524</v>
      </c>
    </row>
    <row r="15" spans="1:14">
      <c r="A15" s="1" t="s">
        <v>21</v>
      </c>
      <c r="B15" s="1" t="s">
        <v>515</v>
      </c>
      <c r="C15" s="1" t="s">
        <v>548</v>
      </c>
      <c r="D15" s="1" t="s">
        <v>477</v>
      </c>
      <c r="K15" t="s">
        <v>19</v>
      </c>
      <c r="M15" t="s">
        <v>549</v>
      </c>
      <c r="N15" t="s">
        <v>524</v>
      </c>
    </row>
    <row r="16" spans="1:14">
      <c r="A16" s="1" t="s">
        <v>21</v>
      </c>
      <c r="B16" s="1" t="s">
        <v>515</v>
      </c>
      <c r="C16" s="1" t="s">
        <v>550</v>
      </c>
      <c r="D16" s="1" t="s">
        <v>480</v>
      </c>
      <c r="K16" t="s">
        <v>19</v>
      </c>
      <c r="M16" t="s">
        <v>551</v>
      </c>
      <c r="N16" t="s">
        <v>524</v>
      </c>
    </row>
    <row r="17" spans="1:14">
      <c r="A17" s="1" t="s">
        <v>14</v>
      </c>
      <c r="B17" s="1" t="s">
        <v>552</v>
      </c>
      <c r="C17" s="1" t="s">
        <v>553</v>
      </c>
      <c r="D17" s="1" t="s">
        <v>483</v>
      </c>
      <c r="F17" t="s">
        <v>554</v>
      </c>
      <c r="K17" t="s">
        <v>19</v>
      </c>
      <c r="M17" t="s">
        <v>555</v>
      </c>
    </row>
    <row r="18" spans="1:14">
      <c r="A18" s="1" t="s">
        <v>21</v>
      </c>
      <c r="B18" s="1" t="s">
        <v>552</v>
      </c>
      <c r="C18" s="1" t="s">
        <v>556</v>
      </c>
      <c r="D18" s="1" t="s">
        <v>149</v>
      </c>
      <c r="K18" t="s">
        <v>19</v>
      </c>
      <c r="M18" t="s">
        <v>557</v>
      </c>
      <c r="N18" t="s">
        <v>524</v>
      </c>
    </row>
    <row r="19" spans="1:14">
      <c r="A19" s="1" t="s">
        <v>21</v>
      </c>
      <c r="B19" s="1" t="s">
        <v>552</v>
      </c>
      <c r="C19" s="1" t="s">
        <v>558</v>
      </c>
      <c r="D19" s="1" t="s">
        <v>487</v>
      </c>
      <c r="K19" t="s">
        <v>19</v>
      </c>
      <c r="M19" t="s">
        <v>559</v>
      </c>
      <c r="N19" t="s">
        <v>524</v>
      </c>
    </row>
    <row r="20" spans="1:14">
      <c r="A20" s="1" t="s">
        <v>26</v>
      </c>
      <c r="B20" s="1" t="s">
        <v>552</v>
      </c>
      <c r="C20" s="1" t="s">
        <v>560</v>
      </c>
      <c r="D20" s="1" t="s">
        <v>491</v>
      </c>
      <c r="K20" t="s">
        <v>19</v>
      </c>
      <c r="M20" t="s">
        <v>561</v>
      </c>
      <c r="N20" t="s">
        <v>524</v>
      </c>
    </row>
    <row r="21" spans="1:14">
      <c r="A21" s="1" t="s">
        <v>26</v>
      </c>
      <c r="B21" s="1" t="s">
        <v>552</v>
      </c>
      <c r="C21" s="1" t="s">
        <v>562</v>
      </c>
      <c r="D21" s="1" t="s">
        <v>494</v>
      </c>
      <c r="K21" t="s">
        <v>19</v>
      </c>
      <c r="M21" t="s">
        <v>563</v>
      </c>
      <c r="N21" t="s">
        <v>524</v>
      </c>
    </row>
    <row r="22" spans="1:14">
      <c r="A22" s="1" t="s">
        <v>26</v>
      </c>
      <c r="B22" s="1" t="s">
        <v>552</v>
      </c>
      <c r="C22" s="1" t="s">
        <v>564</v>
      </c>
      <c r="D22" s="1" t="s">
        <v>497</v>
      </c>
      <c r="K22" t="s">
        <v>19</v>
      </c>
      <c r="M22" t="s">
        <v>565</v>
      </c>
      <c r="N22" t="s">
        <v>524</v>
      </c>
    </row>
    <row r="23" spans="1:14">
      <c r="A23" s="1" t="s">
        <v>26</v>
      </c>
      <c r="B23" s="1" t="s">
        <v>552</v>
      </c>
      <c r="C23" s="1" t="s">
        <v>566</v>
      </c>
      <c r="D23" s="1" t="s">
        <v>500</v>
      </c>
      <c r="K23" t="s">
        <v>19</v>
      </c>
      <c r="M23" t="s">
        <v>567</v>
      </c>
      <c r="N23" t="s">
        <v>524</v>
      </c>
    </row>
    <row r="24" spans="1:14">
      <c r="A24" s="1" t="s">
        <v>26</v>
      </c>
      <c r="B24" s="1" t="s">
        <v>552</v>
      </c>
      <c r="C24" s="1" t="s">
        <v>568</v>
      </c>
      <c r="D24" s="1" t="s">
        <v>503</v>
      </c>
      <c r="K24" t="s">
        <v>19</v>
      </c>
      <c r="M24" t="s">
        <v>569</v>
      </c>
      <c r="N24" t="s">
        <v>524</v>
      </c>
    </row>
    <row r="25" spans="1:14">
      <c r="A25" s="1" t="s">
        <v>26</v>
      </c>
      <c r="B25" s="1" t="s">
        <v>552</v>
      </c>
      <c r="C25" s="1" t="s">
        <v>570</v>
      </c>
      <c r="D25" s="1" t="s">
        <v>506</v>
      </c>
      <c r="K25" t="s">
        <v>19</v>
      </c>
      <c r="M25" t="s">
        <v>571</v>
      </c>
      <c r="N25" t="s">
        <v>524</v>
      </c>
    </row>
    <row r="26" spans="1:14">
      <c r="A26" s="1" t="s">
        <v>21</v>
      </c>
      <c r="B26" s="1" t="s">
        <v>552</v>
      </c>
      <c r="C26" s="1" t="s">
        <v>572</v>
      </c>
      <c r="D26" s="1" t="s">
        <v>509</v>
      </c>
      <c r="K26" t="s">
        <v>19</v>
      </c>
      <c r="M26" t="s">
        <v>573</v>
      </c>
      <c r="N26" t="s">
        <v>524</v>
      </c>
    </row>
    <row r="27" spans="1:14">
      <c r="A27" s="1" t="s">
        <v>14</v>
      </c>
      <c r="B27" s="1" t="s">
        <v>552</v>
      </c>
      <c r="C27" s="1" t="s">
        <v>574</v>
      </c>
      <c r="D27" s="1" t="s">
        <v>512</v>
      </c>
      <c r="K27" t="s">
        <v>19</v>
      </c>
      <c r="M27" t="s">
        <v>575</v>
      </c>
      <c r="N27" t="s">
        <v>524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1"/>
  <sheetViews>
    <sheetView workbookViewId="0">
      <selection activeCell="I21" sqref="I21"/>
    </sheetView>
  </sheetViews>
  <sheetFormatPr defaultColWidth="9" defaultRowHeight="16.8"/>
  <cols>
    <col min="4" max="4" width="16.6607142857143" customWidth="1"/>
  </cols>
  <sheetData>
    <row r="1" s="1" customFormat="1" ht="15" customHeight="1" spans="1:14">
      <c r="A1" s="2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t="s">
        <v>13</v>
      </c>
    </row>
    <row r="2" spans="1:14">
      <c r="A2" s="7" t="s">
        <v>14</v>
      </c>
      <c r="B2" s="7" t="s">
        <v>160</v>
      </c>
      <c r="C2" s="7" t="s">
        <v>196</v>
      </c>
      <c r="D2" s="7" t="s">
        <v>576</v>
      </c>
      <c r="F2" t="s">
        <v>198</v>
      </c>
      <c r="K2" t="s">
        <v>19</v>
      </c>
      <c r="M2" t="s">
        <v>199</v>
      </c>
    </row>
    <row r="3" spans="1:14">
      <c r="A3" s="7" t="s">
        <v>21</v>
      </c>
      <c r="B3" s="7" t="s">
        <v>160</v>
      </c>
      <c r="C3" s="7" t="s">
        <v>577</v>
      </c>
      <c r="D3" s="7" t="s">
        <v>578</v>
      </c>
      <c r="F3" t="s">
        <v>579</v>
      </c>
      <c r="K3" t="s">
        <v>19</v>
      </c>
      <c r="M3" t="s">
        <v>580</v>
      </c>
    </row>
    <row r="4" spans="1:14">
      <c r="A4" s="1" t="s">
        <v>26</v>
      </c>
      <c r="B4" s="1" t="s">
        <v>160</v>
      </c>
      <c r="C4" s="1" t="s">
        <v>581</v>
      </c>
      <c r="D4" s="1" t="s">
        <v>582</v>
      </c>
      <c r="K4" t="s">
        <v>19</v>
      </c>
      <c r="M4" t="s">
        <v>583</v>
      </c>
      <c r="N4" t="s">
        <v>164</v>
      </c>
    </row>
    <row r="5" spans="1:14">
      <c r="A5" s="1" t="s">
        <v>26</v>
      </c>
      <c r="B5" s="1" t="s">
        <v>160</v>
      </c>
      <c r="C5" s="1" t="s">
        <v>584</v>
      </c>
      <c r="D5" s="1" t="s">
        <v>585</v>
      </c>
      <c r="K5" t="s">
        <v>19</v>
      </c>
      <c r="M5" t="s">
        <v>586</v>
      </c>
      <c r="N5" t="s">
        <v>164</v>
      </c>
    </row>
    <row r="6" spans="1:14">
      <c r="A6" s="7" t="s">
        <v>21</v>
      </c>
      <c r="B6" s="7" t="s">
        <v>160</v>
      </c>
      <c r="C6" s="7" t="s">
        <v>587</v>
      </c>
      <c r="D6" s="7" t="s">
        <v>588</v>
      </c>
      <c r="K6" t="s">
        <v>19</v>
      </c>
      <c r="M6" t="s">
        <v>589</v>
      </c>
      <c r="N6" t="s">
        <v>164</v>
      </c>
    </row>
    <row r="7" spans="1:14">
      <c r="A7" s="7" t="s">
        <v>21</v>
      </c>
      <c r="B7" s="7" t="s">
        <v>160</v>
      </c>
      <c r="C7" s="7" t="s">
        <v>590</v>
      </c>
      <c r="D7" s="7" t="s">
        <v>591</v>
      </c>
      <c r="K7" t="s">
        <v>19</v>
      </c>
      <c r="M7" t="s">
        <v>592</v>
      </c>
      <c r="N7" t="s">
        <v>164</v>
      </c>
    </row>
    <row r="8" spans="1:14">
      <c r="A8" s="7" t="s">
        <v>21</v>
      </c>
      <c r="B8" s="7" t="s">
        <v>160</v>
      </c>
      <c r="C8" s="7" t="s">
        <v>593</v>
      </c>
      <c r="D8" s="7" t="s">
        <v>594</v>
      </c>
      <c r="K8" t="s">
        <v>19</v>
      </c>
      <c r="M8" t="s">
        <v>595</v>
      </c>
      <c r="N8" t="s">
        <v>164</v>
      </c>
    </row>
    <row r="9" spans="1:14">
      <c r="A9" s="7" t="s">
        <v>21</v>
      </c>
      <c r="B9" s="7" t="s">
        <v>160</v>
      </c>
      <c r="C9" s="7" t="s">
        <v>596</v>
      </c>
      <c r="D9" s="7" t="s">
        <v>597</v>
      </c>
      <c r="F9" t="s">
        <v>598</v>
      </c>
      <c r="K9" t="s">
        <v>19</v>
      </c>
      <c r="M9" t="s">
        <v>599</v>
      </c>
    </row>
    <row r="10" spans="1:14">
      <c r="A10" s="1" t="s">
        <v>26</v>
      </c>
      <c r="B10" s="1" t="s">
        <v>160</v>
      </c>
      <c r="C10" s="1" t="s">
        <v>598</v>
      </c>
      <c r="D10" s="1" t="s">
        <v>128</v>
      </c>
      <c r="K10" t="s">
        <v>19</v>
      </c>
      <c r="M10" t="s">
        <v>600</v>
      </c>
      <c r="N10" t="s">
        <v>164</v>
      </c>
    </row>
    <row r="11" spans="1:14">
      <c r="A11" s="5"/>
      <c r="B11" s="5"/>
      <c r="C11" s="5"/>
      <c r="D11" s="5"/>
    </row>
    <row r="12" spans="1:14">
      <c r="A12" s="7" t="s">
        <v>14</v>
      </c>
      <c r="B12" s="7" t="s">
        <v>31</v>
      </c>
      <c r="C12" s="7" t="s">
        <v>50</v>
      </c>
      <c r="D12" s="7" t="s">
        <v>601</v>
      </c>
      <c r="F12" t="s">
        <v>52</v>
      </c>
      <c r="K12" t="s">
        <v>19</v>
      </c>
      <c r="M12" t="s">
        <v>53</v>
      </c>
    </row>
    <row r="13" spans="1:14">
      <c r="A13" s="5"/>
      <c r="B13" s="5"/>
      <c r="C13" s="5"/>
      <c r="D13" s="5"/>
    </row>
    <row r="14" spans="1:14">
      <c r="A14" s="1" t="s">
        <v>14</v>
      </c>
      <c r="B14" s="1" t="s">
        <v>160</v>
      </c>
      <c r="C14" s="7" t="s">
        <v>602</v>
      </c>
      <c r="D14" s="1" t="s">
        <v>603</v>
      </c>
      <c r="F14" t="s">
        <v>604</v>
      </c>
      <c r="K14" t="s">
        <v>19</v>
      </c>
      <c r="M14" t="s">
        <v>605</v>
      </c>
    </row>
    <row r="15" spans="1:14">
      <c r="A15" s="7" t="s">
        <v>21</v>
      </c>
      <c r="B15" s="7" t="s">
        <v>160</v>
      </c>
      <c r="C15" s="7" t="s">
        <v>606</v>
      </c>
      <c r="D15" s="7" t="s">
        <v>578</v>
      </c>
      <c r="F15" t="s">
        <v>607</v>
      </c>
      <c r="K15" t="s">
        <v>19</v>
      </c>
      <c r="M15" t="s">
        <v>608</v>
      </c>
    </row>
    <row r="16" spans="1:14">
      <c r="A16" s="1" t="s">
        <v>26</v>
      </c>
      <c r="B16" s="1" t="s">
        <v>160</v>
      </c>
      <c r="C16" s="1" t="s">
        <v>609</v>
      </c>
      <c r="D16" s="1" t="s">
        <v>582</v>
      </c>
      <c r="K16" t="s">
        <v>19</v>
      </c>
      <c r="M16" t="s">
        <v>610</v>
      </c>
      <c r="N16" t="s">
        <v>164</v>
      </c>
    </row>
    <row r="17" spans="1:14">
      <c r="A17" s="1" t="s">
        <v>26</v>
      </c>
      <c r="B17" s="1" t="s">
        <v>160</v>
      </c>
      <c r="C17" s="1" t="s">
        <v>611</v>
      </c>
      <c r="D17" s="1" t="s">
        <v>585</v>
      </c>
      <c r="K17" t="s">
        <v>19</v>
      </c>
      <c r="M17" t="s">
        <v>612</v>
      </c>
      <c r="N17" t="s">
        <v>164</v>
      </c>
    </row>
    <row r="18" spans="1:14">
      <c r="A18" s="7" t="s">
        <v>21</v>
      </c>
      <c r="B18" s="7" t="s">
        <v>160</v>
      </c>
      <c r="C18" s="7" t="s">
        <v>613</v>
      </c>
      <c r="D18" s="7" t="s">
        <v>588</v>
      </c>
      <c r="K18" t="s">
        <v>19</v>
      </c>
      <c r="M18" t="s">
        <v>614</v>
      </c>
      <c r="N18" t="s">
        <v>164</v>
      </c>
    </row>
    <row r="19" spans="1:14">
      <c r="A19" s="7" t="s">
        <v>21</v>
      </c>
      <c r="B19" s="7" t="s">
        <v>160</v>
      </c>
      <c r="C19" s="7" t="s">
        <v>615</v>
      </c>
      <c r="D19" s="7" t="s">
        <v>591</v>
      </c>
      <c r="K19" t="s">
        <v>19</v>
      </c>
      <c r="M19" t="s">
        <v>616</v>
      </c>
      <c r="N19" t="s">
        <v>164</v>
      </c>
    </row>
    <row r="20" spans="1:14">
      <c r="A20" s="7" t="s">
        <v>21</v>
      </c>
      <c r="B20" s="7" t="s">
        <v>160</v>
      </c>
      <c r="C20" s="7" t="s">
        <v>617</v>
      </c>
      <c r="D20" s="7" t="s">
        <v>594</v>
      </c>
      <c r="K20" t="s">
        <v>19</v>
      </c>
      <c r="M20" t="s">
        <v>618</v>
      </c>
      <c r="N20" t="s">
        <v>164</v>
      </c>
    </row>
    <row r="21" spans="1:14">
      <c r="A21" s="7" t="s">
        <v>21</v>
      </c>
      <c r="B21" s="7" t="s">
        <v>160</v>
      </c>
      <c r="C21" s="7" t="s">
        <v>619</v>
      </c>
      <c r="D21" s="7" t="s">
        <v>597</v>
      </c>
      <c r="F21" t="s">
        <v>620</v>
      </c>
      <c r="K21" t="s">
        <v>19</v>
      </c>
      <c r="M21" t="s">
        <v>621</v>
      </c>
    </row>
    <row r="22" spans="1:14">
      <c r="A22" s="1" t="s">
        <v>26</v>
      </c>
      <c r="B22" s="1" t="s">
        <v>160</v>
      </c>
      <c r="C22" s="1" t="s">
        <v>620</v>
      </c>
      <c r="D22" s="1" t="s">
        <v>128</v>
      </c>
      <c r="K22" t="s">
        <v>19</v>
      </c>
      <c r="M22" t="s">
        <v>622</v>
      </c>
      <c r="N22" t="s">
        <v>164</v>
      </c>
    </row>
    <row r="23" spans="1:14">
      <c r="A23" s="5"/>
      <c r="B23" s="5"/>
      <c r="C23" s="5"/>
      <c r="D23" s="5"/>
    </row>
    <row r="24" spans="1:14">
      <c r="A24" s="7" t="s">
        <v>14</v>
      </c>
      <c r="B24" s="7" t="s">
        <v>118</v>
      </c>
      <c r="C24" s="7" t="s">
        <v>623</v>
      </c>
      <c r="D24" s="7" t="s">
        <v>624</v>
      </c>
      <c r="F24" t="s">
        <v>625</v>
      </c>
      <c r="K24" t="s">
        <v>19</v>
      </c>
      <c r="M24" t="s">
        <v>626</v>
      </c>
    </row>
    <row r="25" spans="1:14">
      <c r="A25" s="7" t="s">
        <v>21</v>
      </c>
      <c r="B25" s="7" t="s">
        <v>118</v>
      </c>
      <c r="C25" s="7" t="s">
        <v>627</v>
      </c>
      <c r="D25" s="7" t="s">
        <v>578</v>
      </c>
      <c r="F25" t="s">
        <v>628</v>
      </c>
      <c r="K25" t="s">
        <v>19</v>
      </c>
      <c r="M25" t="s">
        <v>629</v>
      </c>
    </row>
    <row r="26" spans="1:14">
      <c r="A26" s="1" t="s">
        <v>26</v>
      </c>
      <c r="B26" s="1" t="s">
        <v>118</v>
      </c>
      <c r="C26" s="1" t="s">
        <v>630</v>
      </c>
      <c r="D26" s="1" t="s">
        <v>582</v>
      </c>
      <c r="K26" t="s">
        <v>19</v>
      </c>
      <c r="M26" t="s">
        <v>631</v>
      </c>
      <c r="N26" t="s">
        <v>130</v>
      </c>
    </row>
    <row r="27" spans="1:14">
      <c r="A27" s="1" t="s">
        <v>26</v>
      </c>
      <c r="B27" s="1" t="s">
        <v>118</v>
      </c>
      <c r="C27" s="1" t="s">
        <v>632</v>
      </c>
      <c r="D27" s="1" t="s">
        <v>585</v>
      </c>
      <c r="K27" t="s">
        <v>19</v>
      </c>
      <c r="M27" t="s">
        <v>633</v>
      </c>
      <c r="N27" t="s">
        <v>130</v>
      </c>
    </row>
    <row r="28" spans="1:14">
      <c r="A28" s="7" t="s">
        <v>21</v>
      </c>
      <c r="B28" s="7" t="s">
        <v>118</v>
      </c>
      <c r="C28" s="7" t="s">
        <v>634</v>
      </c>
      <c r="D28" s="7" t="s">
        <v>588</v>
      </c>
      <c r="K28" t="s">
        <v>19</v>
      </c>
      <c r="M28" t="s">
        <v>635</v>
      </c>
      <c r="N28" t="s">
        <v>130</v>
      </c>
    </row>
    <row r="29" spans="1:14">
      <c r="A29" s="7" t="s">
        <v>21</v>
      </c>
      <c r="B29" s="7" t="s">
        <v>118</v>
      </c>
      <c r="C29" s="7" t="s">
        <v>636</v>
      </c>
      <c r="D29" s="7" t="s">
        <v>591</v>
      </c>
      <c r="K29" t="s">
        <v>19</v>
      </c>
      <c r="M29" t="s">
        <v>637</v>
      </c>
      <c r="N29" t="s">
        <v>130</v>
      </c>
    </row>
    <row r="30" spans="1:14">
      <c r="A30" s="7" t="s">
        <v>21</v>
      </c>
      <c r="B30" s="7" t="s">
        <v>118</v>
      </c>
      <c r="C30" s="7" t="s">
        <v>638</v>
      </c>
      <c r="D30" s="7" t="s">
        <v>594</v>
      </c>
      <c r="K30" t="s">
        <v>19</v>
      </c>
      <c r="M30" t="s">
        <v>639</v>
      </c>
      <c r="N30" t="s">
        <v>130</v>
      </c>
    </row>
    <row r="31" spans="1:14">
      <c r="A31" s="7" t="s">
        <v>21</v>
      </c>
      <c r="B31" s="7" t="s">
        <v>118</v>
      </c>
      <c r="C31" s="7" t="s">
        <v>640</v>
      </c>
      <c r="D31" s="7" t="s">
        <v>597</v>
      </c>
      <c r="F31" t="s">
        <v>641</v>
      </c>
      <c r="K31" t="s">
        <v>19</v>
      </c>
      <c r="M31" t="s">
        <v>642</v>
      </c>
    </row>
    <row r="32" spans="1:14">
      <c r="A32" s="1" t="s">
        <v>26</v>
      </c>
      <c r="B32" s="1" t="s">
        <v>118</v>
      </c>
      <c r="C32" s="1" t="s">
        <v>641</v>
      </c>
      <c r="D32" s="1" t="s">
        <v>128</v>
      </c>
      <c r="K32" t="s">
        <v>19</v>
      </c>
      <c r="M32" t="s">
        <v>643</v>
      </c>
      <c r="N32" t="s">
        <v>130</v>
      </c>
    </row>
    <row r="33" spans="1:14">
      <c r="A33" s="5"/>
      <c r="B33" s="5"/>
      <c r="C33" s="5"/>
      <c r="D33" s="5"/>
    </row>
    <row r="34" spans="1:14">
      <c r="A34" s="7" t="s">
        <v>14</v>
      </c>
      <c r="B34" s="7" t="s">
        <v>118</v>
      </c>
      <c r="C34" s="7" t="s">
        <v>644</v>
      </c>
      <c r="D34" s="7" t="s">
        <v>645</v>
      </c>
      <c r="F34" t="s">
        <v>646</v>
      </c>
      <c r="K34" t="s">
        <v>19</v>
      </c>
      <c r="M34" t="s">
        <v>647</v>
      </c>
    </row>
    <row r="35" spans="1:14">
      <c r="A35" s="7" t="s">
        <v>21</v>
      </c>
      <c r="B35" s="7" t="s">
        <v>118</v>
      </c>
      <c r="C35" s="7" t="s">
        <v>648</v>
      </c>
      <c r="D35" s="7" t="s">
        <v>578</v>
      </c>
      <c r="F35" t="s">
        <v>649</v>
      </c>
      <c r="K35" t="s">
        <v>19</v>
      </c>
      <c r="M35" t="s">
        <v>650</v>
      </c>
    </row>
    <row r="36" spans="1:14">
      <c r="A36" s="1" t="s">
        <v>26</v>
      </c>
      <c r="B36" s="1" t="s">
        <v>118</v>
      </c>
      <c r="C36" s="1" t="s">
        <v>651</v>
      </c>
      <c r="D36" s="1" t="s">
        <v>582</v>
      </c>
      <c r="K36" t="s">
        <v>19</v>
      </c>
      <c r="M36" t="s">
        <v>652</v>
      </c>
      <c r="N36" t="s">
        <v>130</v>
      </c>
    </row>
    <row r="37" spans="1:14">
      <c r="A37" s="1" t="s">
        <v>26</v>
      </c>
      <c r="B37" s="1" t="s">
        <v>118</v>
      </c>
      <c r="C37" s="1" t="s">
        <v>653</v>
      </c>
      <c r="D37" s="1" t="s">
        <v>585</v>
      </c>
      <c r="K37" t="s">
        <v>19</v>
      </c>
      <c r="M37" t="s">
        <v>654</v>
      </c>
      <c r="N37" t="s">
        <v>130</v>
      </c>
    </row>
    <row r="38" spans="1:14">
      <c r="A38" s="7" t="s">
        <v>21</v>
      </c>
      <c r="B38" s="7" t="s">
        <v>118</v>
      </c>
      <c r="C38" s="7" t="s">
        <v>655</v>
      </c>
      <c r="D38" s="7" t="s">
        <v>588</v>
      </c>
      <c r="K38" t="s">
        <v>19</v>
      </c>
      <c r="M38" t="s">
        <v>656</v>
      </c>
      <c r="N38" t="s">
        <v>130</v>
      </c>
    </row>
    <row r="39" spans="1:14">
      <c r="A39" s="7" t="s">
        <v>21</v>
      </c>
      <c r="B39" s="7" t="s">
        <v>118</v>
      </c>
      <c r="C39" s="7" t="s">
        <v>657</v>
      </c>
      <c r="D39" s="7" t="s">
        <v>591</v>
      </c>
      <c r="K39" t="s">
        <v>19</v>
      </c>
      <c r="M39" t="s">
        <v>658</v>
      </c>
      <c r="N39" t="s">
        <v>130</v>
      </c>
    </row>
    <row r="40" spans="1:14">
      <c r="A40" s="7" t="s">
        <v>21</v>
      </c>
      <c r="B40" s="7" t="s">
        <v>118</v>
      </c>
      <c r="C40" s="7" t="s">
        <v>659</v>
      </c>
      <c r="D40" s="7" t="s">
        <v>594</v>
      </c>
      <c r="K40" t="s">
        <v>19</v>
      </c>
      <c r="M40" t="s">
        <v>660</v>
      </c>
      <c r="N40" t="s">
        <v>130</v>
      </c>
    </row>
    <row r="41" spans="1:14">
      <c r="A41" s="7" t="s">
        <v>21</v>
      </c>
      <c r="B41" s="7" t="s">
        <v>118</v>
      </c>
      <c r="C41" s="7" t="s">
        <v>661</v>
      </c>
      <c r="D41" s="7" t="s">
        <v>597</v>
      </c>
      <c r="F41" t="s">
        <v>662</v>
      </c>
      <c r="K41" t="s">
        <v>19</v>
      </c>
      <c r="M41" t="s">
        <v>663</v>
      </c>
    </row>
    <row r="42" spans="1:14">
      <c r="A42" s="1" t="s">
        <v>26</v>
      </c>
      <c r="B42" s="1" t="s">
        <v>118</v>
      </c>
      <c r="C42" s="1" t="s">
        <v>662</v>
      </c>
      <c r="D42" s="1" t="s">
        <v>128</v>
      </c>
      <c r="K42" t="s">
        <v>19</v>
      </c>
      <c r="M42" t="s">
        <v>664</v>
      </c>
      <c r="N42" t="s">
        <v>130</v>
      </c>
    </row>
    <row r="43" spans="1:14">
      <c r="A43" s="1"/>
      <c r="B43" s="1"/>
      <c r="C43" s="1"/>
      <c r="D43" s="1"/>
    </row>
    <row r="44" spans="1:14">
      <c r="A44" s="7" t="s">
        <v>14</v>
      </c>
      <c r="B44" s="7" t="s">
        <v>118</v>
      </c>
      <c r="C44" s="7" t="s">
        <v>665</v>
      </c>
      <c r="D44" s="7" t="s">
        <v>666</v>
      </c>
      <c r="F44" t="s">
        <v>667</v>
      </c>
      <c r="K44" t="s">
        <v>19</v>
      </c>
      <c r="M44" t="s">
        <v>668</v>
      </c>
    </row>
    <row r="45" spans="1:14">
      <c r="A45" s="7" t="s">
        <v>21</v>
      </c>
      <c r="B45" s="7" t="s">
        <v>118</v>
      </c>
      <c r="C45" s="7" t="s">
        <v>669</v>
      </c>
      <c r="D45" s="7" t="s">
        <v>578</v>
      </c>
      <c r="F45" t="s">
        <v>670</v>
      </c>
      <c r="K45" t="s">
        <v>19</v>
      </c>
      <c r="M45" t="s">
        <v>671</v>
      </c>
    </row>
    <row r="46" spans="1:14">
      <c r="A46" s="1" t="s">
        <v>26</v>
      </c>
      <c r="B46" s="1" t="s">
        <v>118</v>
      </c>
      <c r="C46" s="1" t="s">
        <v>672</v>
      </c>
      <c r="D46" s="1" t="s">
        <v>582</v>
      </c>
      <c r="K46" t="s">
        <v>19</v>
      </c>
      <c r="M46" t="s">
        <v>673</v>
      </c>
      <c r="N46" t="s">
        <v>130</v>
      </c>
    </row>
    <row r="47" spans="1:14">
      <c r="A47" s="1" t="s">
        <v>26</v>
      </c>
      <c r="B47" s="1" t="s">
        <v>118</v>
      </c>
      <c r="C47" s="1" t="s">
        <v>674</v>
      </c>
      <c r="D47" s="1" t="s">
        <v>585</v>
      </c>
      <c r="K47" t="s">
        <v>19</v>
      </c>
      <c r="M47" t="s">
        <v>675</v>
      </c>
      <c r="N47" t="s">
        <v>130</v>
      </c>
    </row>
    <row r="48" spans="1:14">
      <c r="A48" s="7" t="s">
        <v>21</v>
      </c>
      <c r="B48" s="7" t="s">
        <v>118</v>
      </c>
      <c r="C48" s="7" t="s">
        <v>676</v>
      </c>
      <c r="D48" s="7" t="s">
        <v>588</v>
      </c>
      <c r="K48" t="s">
        <v>19</v>
      </c>
      <c r="M48" t="s">
        <v>677</v>
      </c>
      <c r="N48" t="s">
        <v>130</v>
      </c>
    </row>
    <row r="49" spans="1:14">
      <c r="A49" s="7" t="s">
        <v>21</v>
      </c>
      <c r="B49" s="7" t="s">
        <v>118</v>
      </c>
      <c r="C49" s="7" t="s">
        <v>678</v>
      </c>
      <c r="D49" s="7" t="s">
        <v>591</v>
      </c>
      <c r="K49" t="s">
        <v>19</v>
      </c>
      <c r="M49" t="s">
        <v>679</v>
      </c>
      <c r="N49" t="s">
        <v>130</v>
      </c>
    </row>
    <row r="50" spans="1:14">
      <c r="A50" s="7" t="s">
        <v>21</v>
      </c>
      <c r="B50" s="7" t="s">
        <v>118</v>
      </c>
      <c r="C50" s="7" t="s">
        <v>680</v>
      </c>
      <c r="D50" s="7" t="s">
        <v>594</v>
      </c>
      <c r="K50" t="s">
        <v>19</v>
      </c>
      <c r="M50" t="s">
        <v>681</v>
      </c>
      <c r="N50" t="s">
        <v>130</v>
      </c>
    </row>
    <row r="51" spans="1:14">
      <c r="A51" s="7" t="s">
        <v>21</v>
      </c>
      <c r="B51" s="7" t="s">
        <v>118</v>
      </c>
      <c r="C51" s="7" t="s">
        <v>682</v>
      </c>
      <c r="D51" s="7" t="s">
        <v>597</v>
      </c>
      <c r="F51" t="s">
        <v>683</v>
      </c>
      <c r="K51" t="s">
        <v>19</v>
      </c>
      <c r="M51" t="s">
        <v>684</v>
      </c>
    </row>
    <row r="52" spans="1:14">
      <c r="A52" s="1" t="s">
        <v>26</v>
      </c>
      <c r="B52" s="1" t="s">
        <v>118</v>
      </c>
      <c r="C52" s="1" t="s">
        <v>683</v>
      </c>
      <c r="D52" s="1" t="s">
        <v>128</v>
      </c>
      <c r="K52" t="s">
        <v>19</v>
      </c>
      <c r="M52" t="s">
        <v>685</v>
      </c>
      <c r="N52" t="s">
        <v>130</v>
      </c>
    </row>
    <row r="53" spans="1:14">
      <c r="A53" s="1"/>
      <c r="B53" s="1"/>
      <c r="C53" s="1"/>
      <c r="D53" s="1"/>
    </row>
    <row r="54" spans="1:14">
      <c r="A54" s="7" t="s">
        <v>14</v>
      </c>
      <c r="B54" s="7" t="s">
        <v>31</v>
      </c>
      <c r="C54" s="7" t="s">
        <v>686</v>
      </c>
      <c r="D54" s="7" t="s">
        <v>687</v>
      </c>
      <c r="F54" t="s">
        <v>688</v>
      </c>
      <c r="K54" t="s">
        <v>19</v>
      </c>
      <c r="M54" t="s">
        <v>689</v>
      </c>
    </row>
    <row r="55" spans="1:14">
      <c r="A55" s="7" t="s">
        <v>21</v>
      </c>
      <c r="B55" s="7" t="s">
        <v>31</v>
      </c>
      <c r="C55" s="7" t="s">
        <v>690</v>
      </c>
      <c r="D55" s="7" t="s">
        <v>578</v>
      </c>
      <c r="F55" t="s">
        <v>691</v>
      </c>
      <c r="K55" t="s">
        <v>19</v>
      </c>
      <c r="M55" t="s">
        <v>692</v>
      </c>
    </row>
    <row r="56" spans="1:14">
      <c r="A56" s="1" t="s">
        <v>26</v>
      </c>
      <c r="B56" s="1" t="s">
        <v>31</v>
      </c>
      <c r="C56" s="1" t="s">
        <v>693</v>
      </c>
      <c r="D56" s="1" t="s">
        <v>582</v>
      </c>
      <c r="K56" t="s">
        <v>19</v>
      </c>
      <c r="M56" t="s">
        <v>694</v>
      </c>
      <c r="N56" t="s">
        <v>43</v>
      </c>
    </row>
    <row r="57" spans="1:14">
      <c r="A57" s="1" t="s">
        <v>26</v>
      </c>
      <c r="B57" s="1" t="s">
        <v>31</v>
      </c>
      <c r="C57" s="1" t="s">
        <v>695</v>
      </c>
      <c r="D57" s="1" t="s">
        <v>585</v>
      </c>
      <c r="K57" t="s">
        <v>19</v>
      </c>
      <c r="M57" t="s">
        <v>696</v>
      </c>
      <c r="N57" t="s">
        <v>43</v>
      </c>
    </row>
    <row r="58" spans="1:14">
      <c r="A58" s="7" t="s">
        <v>21</v>
      </c>
      <c r="B58" s="7" t="s">
        <v>31</v>
      </c>
      <c r="C58" s="7" t="s">
        <v>697</v>
      </c>
      <c r="D58" s="7" t="s">
        <v>588</v>
      </c>
      <c r="K58" t="s">
        <v>19</v>
      </c>
      <c r="M58" t="s">
        <v>698</v>
      </c>
      <c r="N58" t="s">
        <v>43</v>
      </c>
    </row>
    <row r="59" spans="1:14">
      <c r="A59" s="7" t="s">
        <v>21</v>
      </c>
      <c r="B59" s="7" t="s">
        <v>31</v>
      </c>
      <c r="C59" s="7" t="s">
        <v>699</v>
      </c>
      <c r="D59" s="7" t="s">
        <v>591</v>
      </c>
      <c r="K59" t="s">
        <v>19</v>
      </c>
      <c r="M59" t="s">
        <v>700</v>
      </c>
      <c r="N59" t="s">
        <v>43</v>
      </c>
    </row>
    <row r="60" spans="1:14">
      <c r="A60" s="7" t="s">
        <v>21</v>
      </c>
      <c r="B60" s="7" t="s">
        <v>31</v>
      </c>
      <c r="C60" s="7" t="s">
        <v>701</v>
      </c>
      <c r="D60" s="7" t="s">
        <v>594</v>
      </c>
      <c r="K60" t="s">
        <v>19</v>
      </c>
      <c r="M60" t="s">
        <v>702</v>
      </c>
      <c r="N60" t="s">
        <v>43</v>
      </c>
    </row>
    <row r="61" spans="1:14">
      <c r="A61" s="7" t="s">
        <v>21</v>
      </c>
      <c r="B61" s="7" t="s">
        <v>31</v>
      </c>
      <c r="C61" s="7" t="s">
        <v>703</v>
      </c>
      <c r="D61" s="7" t="s">
        <v>597</v>
      </c>
      <c r="F61" t="s">
        <v>704</v>
      </c>
      <c r="K61" t="s">
        <v>19</v>
      </c>
      <c r="M61" t="s">
        <v>705</v>
      </c>
    </row>
    <row r="62" spans="1:14">
      <c r="A62" s="1" t="s">
        <v>26</v>
      </c>
      <c r="B62" s="1" t="s">
        <v>31</v>
      </c>
      <c r="C62" s="1" t="s">
        <v>704</v>
      </c>
      <c r="D62" s="1" t="s">
        <v>128</v>
      </c>
      <c r="K62" t="s">
        <v>19</v>
      </c>
      <c r="M62" t="s">
        <v>706</v>
      </c>
      <c r="N62" t="s">
        <v>43</v>
      </c>
    </row>
    <row r="63" spans="1:14">
      <c r="A63" s="1"/>
      <c r="B63" s="1"/>
      <c r="C63" s="1"/>
      <c r="D63" s="1"/>
    </row>
    <row r="64" spans="1:14">
      <c r="A64" s="7" t="s">
        <v>14</v>
      </c>
      <c r="B64" s="7"/>
      <c r="C64" s="7" t="s">
        <v>707</v>
      </c>
      <c r="D64" s="7" t="s">
        <v>708</v>
      </c>
      <c r="F64" t="s">
        <v>709</v>
      </c>
      <c r="K64" t="s">
        <v>19</v>
      </c>
      <c r="M64" t="s">
        <v>710</v>
      </c>
    </row>
    <row r="65" spans="1:14">
      <c r="A65" s="7" t="s">
        <v>21</v>
      </c>
      <c r="B65" s="7" t="s">
        <v>31</v>
      </c>
      <c r="C65" s="7" t="s">
        <v>711</v>
      </c>
      <c r="D65" s="7" t="s">
        <v>712</v>
      </c>
      <c r="F65" t="s">
        <v>713</v>
      </c>
      <c r="K65" t="s">
        <v>19</v>
      </c>
      <c r="M65" t="s">
        <v>714</v>
      </c>
    </row>
    <row r="66" spans="1:14">
      <c r="A66" s="1" t="s">
        <v>26</v>
      </c>
      <c r="B66" s="1" t="s">
        <v>31</v>
      </c>
      <c r="C66" s="1" t="s">
        <v>713</v>
      </c>
      <c r="D66" s="1" t="s">
        <v>715</v>
      </c>
      <c r="K66" t="s">
        <v>19</v>
      </c>
      <c r="M66" t="s">
        <v>716</v>
      </c>
      <c r="N66" t="s">
        <v>43</v>
      </c>
    </row>
    <row r="67" spans="1:14">
      <c r="A67" s="7" t="s">
        <v>21</v>
      </c>
      <c r="B67" s="7" t="s">
        <v>31</v>
      </c>
      <c r="C67" s="7" t="s">
        <v>717</v>
      </c>
      <c r="D67" s="7" t="s">
        <v>718</v>
      </c>
      <c r="K67" t="s">
        <v>19</v>
      </c>
      <c r="M67" t="s">
        <v>719</v>
      </c>
      <c r="N67" t="s">
        <v>43</v>
      </c>
    </row>
    <row r="68" spans="1:14">
      <c r="A68" s="7" t="s">
        <v>21</v>
      </c>
      <c r="B68" s="7" t="s">
        <v>31</v>
      </c>
      <c r="C68" s="7" t="s">
        <v>720</v>
      </c>
      <c r="D68" s="7" t="s">
        <v>721</v>
      </c>
      <c r="K68" t="s">
        <v>19</v>
      </c>
      <c r="M68" t="s">
        <v>722</v>
      </c>
      <c r="N68" t="s">
        <v>43</v>
      </c>
    </row>
    <row r="69" spans="1:14">
      <c r="A69" s="7" t="s">
        <v>21</v>
      </c>
      <c r="B69" s="7" t="s">
        <v>31</v>
      </c>
      <c r="C69" s="7" t="s">
        <v>723</v>
      </c>
      <c r="D69" s="7" t="s">
        <v>724</v>
      </c>
      <c r="K69" t="s">
        <v>19</v>
      </c>
      <c r="M69" t="s">
        <v>725</v>
      </c>
      <c r="N69" t="s">
        <v>43</v>
      </c>
    </row>
    <row r="70" spans="1:14">
      <c r="A70" s="7" t="s">
        <v>21</v>
      </c>
      <c r="B70" s="7" t="s">
        <v>31</v>
      </c>
      <c r="C70" s="7" t="s">
        <v>726</v>
      </c>
      <c r="D70" s="7" t="s">
        <v>727</v>
      </c>
      <c r="F70" t="s">
        <v>728</v>
      </c>
      <c r="K70" t="s">
        <v>19</v>
      </c>
      <c r="M70" t="s">
        <v>729</v>
      </c>
    </row>
    <row r="71" spans="1:14">
      <c r="A71" s="1" t="s">
        <v>26</v>
      </c>
      <c r="B71" s="1" t="s">
        <v>31</v>
      </c>
      <c r="C71" s="1" t="s">
        <v>728</v>
      </c>
      <c r="D71" s="1" t="s">
        <v>730</v>
      </c>
      <c r="K71" t="s">
        <v>19</v>
      </c>
      <c r="M71" t="s">
        <v>731</v>
      </c>
      <c r="N71" t="s">
        <v>43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1"/>
  <sheetViews>
    <sheetView workbookViewId="0">
      <pane xSplit="3" ySplit="1" topLeftCell="D27" activePane="bottomRight" state="frozen"/>
      <selection/>
      <selection pane="topRight"/>
      <selection pane="bottomLeft"/>
      <selection pane="bottomRight" activeCell="J49" sqref="J49"/>
    </sheetView>
  </sheetViews>
  <sheetFormatPr defaultColWidth="9" defaultRowHeight="15" customHeight="1"/>
  <cols>
    <col min="1" max="2" width="8.66071428571429" style="5" customWidth="1"/>
    <col min="3" max="3" width="9.08035714285714" style="5" customWidth="1"/>
    <col min="4" max="4" width="18.4107142857143" style="5" customWidth="1"/>
    <col min="5" max="16384" width="8.66071428571429" style="5" customWidth="1"/>
  </cols>
  <sheetData>
    <row r="1" s="1" customFormat="1" customHeight="1" spans="1:14">
      <c r="A1" s="2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t="s">
        <v>13</v>
      </c>
    </row>
    <row r="2" customHeight="1" spans="1:14">
      <c r="A2" s="1" t="s">
        <v>14</v>
      </c>
      <c r="B2" s="1" t="s">
        <v>515</v>
      </c>
      <c r="C2" s="1" t="s">
        <v>732</v>
      </c>
      <c r="D2" s="1" t="s">
        <v>733</v>
      </c>
      <c r="F2" t="s">
        <v>734</v>
      </c>
      <c r="K2" t="s">
        <v>19</v>
      </c>
      <c r="M2" t="s">
        <v>735</v>
      </c>
    </row>
    <row r="3" customHeight="1" spans="1:14">
      <c r="A3" s="1" t="s">
        <v>21</v>
      </c>
      <c r="B3" s="1" t="s">
        <v>515</v>
      </c>
      <c r="C3" s="1" t="s">
        <v>519</v>
      </c>
      <c r="D3" s="1" t="s">
        <v>450</v>
      </c>
      <c r="F3" t="s">
        <v>520</v>
      </c>
      <c r="K3" t="s">
        <v>19</v>
      </c>
      <c r="M3" t="s">
        <v>521</v>
      </c>
    </row>
    <row r="4" customHeight="1" spans="1:14">
      <c r="A4" s="1" t="s">
        <v>21</v>
      </c>
      <c r="B4" s="1" t="s">
        <v>515</v>
      </c>
      <c r="C4" s="1" t="s">
        <v>527</v>
      </c>
      <c r="D4" s="1" t="s">
        <v>452</v>
      </c>
      <c r="K4" t="s">
        <v>19</v>
      </c>
      <c r="M4" t="s">
        <v>528</v>
      </c>
      <c r="N4" t="s">
        <v>524</v>
      </c>
    </row>
    <row r="5" customHeight="1" spans="1:14">
      <c r="A5" s="1" t="s">
        <v>21</v>
      </c>
      <c r="B5" s="1" t="s">
        <v>515</v>
      </c>
      <c r="C5" s="1" t="s">
        <v>531</v>
      </c>
      <c r="D5" s="1" t="s">
        <v>736</v>
      </c>
      <c r="K5" t="s">
        <v>19</v>
      </c>
      <c r="M5" t="s">
        <v>532</v>
      </c>
      <c r="N5" t="s">
        <v>524</v>
      </c>
    </row>
    <row r="6" customHeight="1" spans="1:14">
      <c r="A6" s="1" t="s">
        <v>21</v>
      </c>
      <c r="B6" s="1" t="s">
        <v>515</v>
      </c>
      <c r="C6" s="1" t="s">
        <v>533</v>
      </c>
      <c r="D6" s="1" t="s">
        <v>737</v>
      </c>
      <c r="K6" t="s">
        <v>19</v>
      </c>
      <c r="M6" t="s">
        <v>534</v>
      </c>
      <c r="N6" t="s">
        <v>524</v>
      </c>
    </row>
    <row r="7" customHeight="1" spans="1:14">
      <c r="A7" s="1" t="s">
        <v>21</v>
      </c>
      <c r="B7" s="1" t="s">
        <v>515</v>
      </c>
      <c r="C7" s="1" t="s">
        <v>535</v>
      </c>
      <c r="D7" s="1" t="s">
        <v>738</v>
      </c>
      <c r="K7" t="s">
        <v>19</v>
      </c>
      <c r="M7" t="s">
        <v>536</v>
      </c>
      <c r="N7" t="s">
        <v>524</v>
      </c>
    </row>
    <row r="8" customHeight="1" spans="1:14">
      <c r="A8" s="1" t="s">
        <v>21</v>
      </c>
      <c r="B8" s="1" t="s">
        <v>515</v>
      </c>
      <c r="C8" s="1" t="s">
        <v>537</v>
      </c>
      <c r="D8" s="1" t="s">
        <v>739</v>
      </c>
      <c r="K8" t="s">
        <v>19</v>
      </c>
      <c r="M8" t="s">
        <v>539</v>
      </c>
      <c r="N8" t="s">
        <v>524</v>
      </c>
    </row>
    <row r="9" customHeight="1" spans="1:14">
      <c r="A9" s="1" t="s">
        <v>21</v>
      </c>
      <c r="B9" s="1" t="s">
        <v>515</v>
      </c>
      <c r="C9" s="1" t="s">
        <v>540</v>
      </c>
      <c r="D9" s="1" t="s">
        <v>740</v>
      </c>
      <c r="K9" t="s">
        <v>19</v>
      </c>
      <c r="M9" t="s">
        <v>542</v>
      </c>
      <c r="N9" t="s">
        <v>524</v>
      </c>
    </row>
    <row r="10" customHeight="1" spans="1:14">
      <c r="A10" s="1" t="s">
        <v>14</v>
      </c>
      <c r="B10" s="1" t="s">
        <v>552</v>
      </c>
      <c r="C10" s="1" t="s">
        <v>741</v>
      </c>
      <c r="D10" s="1" t="s">
        <v>742</v>
      </c>
      <c r="K10" t="s">
        <v>19</v>
      </c>
      <c r="M10" t="s">
        <v>743</v>
      </c>
      <c r="N10" t="s">
        <v>524</v>
      </c>
    </row>
    <row r="11" customHeight="1" spans="1:14">
      <c r="A11" s="1" t="s">
        <v>21</v>
      </c>
      <c r="B11" s="1" t="s">
        <v>552</v>
      </c>
      <c r="C11" s="1" t="s">
        <v>556</v>
      </c>
      <c r="D11" s="1" t="s">
        <v>149</v>
      </c>
      <c r="K11" t="s">
        <v>19</v>
      </c>
      <c r="M11" t="s">
        <v>557</v>
      </c>
      <c r="N11" t="s">
        <v>524</v>
      </c>
    </row>
    <row r="12" customHeight="1" spans="1:14">
      <c r="A12" s="1" t="s">
        <v>21</v>
      </c>
      <c r="B12" s="1" t="s">
        <v>552</v>
      </c>
      <c r="C12" s="1" t="s">
        <v>560</v>
      </c>
      <c r="D12" s="1" t="s">
        <v>744</v>
      </c>
      <c r="K12" t="s">
        <v>19</v>
      </c>
      <c r="M12" t="s">
        <v>561</v>
      </c>
      <c r="N12" t="s">
        <v>524</v>
      </c>
    </row>
    <row r="13" customHeight="1" spans="1:14">
      <c r="A13" s="1" t="s">
        <v>21</v>
      </c>
      <c r="B13" s="1" t="s">
        <v>552</v>
      </c>
      <c r="C13" s="1" t="s">
        <v>562</v>
      </c>
      <c r="D13" s="1" t="s">
        <v>745</v>
      </c>
      <c r="K13" t="s">
        <v>19</v>
      </c>
      <c r="M13" t="s">
        <v>563</v>
      </c>
      <c r="N13" t="s">
        <v>524</v>
      </c>
    </row>
    <row r="14" customHeight="1" spans="1:14">
      <c r="A14" s="1" t="s">
        <v>21</v>
      </c>
      <c r="B14" s="1" t="s">
        <v>552</v>
      </c>
      <c r="C14" s="9" t="s">
        <v>564</v>
      </c>
      <c r="D14" s="1" t="s">
        <v>746</v>
      </c>
      <c r="K14" t="s">
        <v>19</v>
      </c>
      <c r="M14" t="s">
        <v>565</v>
      </c>
      <c r="N14" t="s">
        <v>524</v>
      </c>
    </row>
    <row r="15" customHeight="1" spans="1:14">
      <c r="A15" s="1" t="s">
        <v>21</v>
      </c>
      <c r="B15" s="1" t="s">
        <v>552</v>
      </c>
      <c r="C15" s="9" t="s">
        <v>566</v>
      </c>
      <c r="D15" s="1" t="s">
        <v>747</v>
      </c>
      <c r="K15" t="s">
        <v>19</v>
      </c>
      <c r="M15" t="s">
        <v>567</v>
      </c>
      <c r="N15" t="s">
        <v>524</v>
      </c>
    </row>
    <row r="16" customHeight="1" spans="1:14">
      <c r="A16" s="1" t="s">
        <v>21</v>
      </c>
      <c r="B16" s="1" t="s">
        <v>552</v>
      </c>
      <c r="C16" s="9" t="s">
        <v>568</v>
      </c>
      <c r="D16" s="1" t="s">
        <v>748</v>
      </c>
      <c r="K16" t="s">
        <v>19</v>
      </c>
      <c r="M16" t="s">
        <v>569</v>
      </c>
      <c r="N16" t="s">
        <v>524</v>
      </c>
    </row>
    <row r="17" customHeight="1" spans="1:14">
      <c r="A17" s="1" t="s">
        <v>21</v>
      </c>
      <c r="B17" s="1" t="s">
        <v>552</v>
      </c>
      <c r="C17" s="9" t="s">
        <v>570</v>
      </c>
      <c r="D17" s="1" t="s">
        <v>749</v>
      </c>
      <c r="K17" t="s">
        <v>19</v>
      </c>
      <c r="M17" t="s">
        <v>571</v>
      </c>
      <c r="N17" t="s">
        <v>524</v>
      </c>
    </row>
    <row r="18" customHeight="1" spans="1:14">
      <c r="A18" s="1"/>
      <c r="B18" s="1"/>
      <c r="C18" s="1"/>
      <c r="D18" s="1"/>
    </row>
    <row r="19" customHeight="1" spans="1:14">
      <c r="A19" s="1" t="s">
        <v>14</v>
      </c>
      <c r="B19" s="1" t="s">
        <v>15</v>
      </c>
      <c r="C19" s="9" t="s">
        <v>27</v>
      </c>
      <c r="D19" s="1" t="s">
        <v>750</v>
      </c>
      <c r="F19" t="s">
        <v>29</v>
      </c>
      <c r="K19" t="s">
        <v>19</v>
      </c>
      <c r="M19" t="s">
        <v>30</v>
      </c>
    </row>
    <row r="20" customHeight="1" spans="1:14">
      <c r="A20" s="1" t="s">
        <v>21</v>
      </c>
      <c r="B20" s="1" t="s">
        <v>15</v>
      </c>
      <c r="C20" s="9" t="s">
        <v>751</v>
      </c>
      <c r="D20" s="1" t="s">
        <v>450</v>
      </c>
      <c r="K20" t="s">
        <v>19</v>
      </c>
      <c r="M20" t="s">
        <v>752</v>
      </c>
      <c r="N20" t="s">
        <v>43</v>
      </c>
    </row>
    <row r="21" customHeight="1" spans="1:14">
      <c r="A21" s="1" t="s">
        <v>21</v>
      </c>
      <c r="B21" s="1" t="s">
        <v>15</v>
      </c>
      <c r="C21" s="9" t="s">
        <v>753</v>
      </c>
      <c r="D21" s="1" t="s">
        <v>452</v>
      </c>
      <c r="K21" t="s">
        <v>19</v>
      </c>
      <c r="M21" t="s">
        <v>754</v>
      </c>
      <c r="N21" t="s">
        <v>43</v>
      </c>
    </row>
    <row r="22" customHeight="1" spans="1:14">
      <c r="A22" s="1" t="s">
        <v>21</v>
      </c>
      <c r="B22" s="1" t="s">
        <v>15</v>
      </c>
      <c r="C22" s="9" t="s">
        <v>755</v>
      </c>
      <c r="D22" s="1" t="s">
        <v>736</v>
      </c>
      <c r="K22" t="s">
        <v>19</v>
      </c>
      <c r="M22" t="s">
        <v>756</v>
      </c>
      <c r="N22" t="s">
        <v>43</v>
      </c>
    </row>
    <row r="23" customHeight="1" spans="1:14">
      <c r="A23" s="1" t="s">
        <v>21</v>
      </c>
      <c r="B23" s="1" t="s">
        <v>15</v>
      </c>
      <c r="C23" s="9" t="s">
        <v>757</v>
      </c>
      <c r="D23" s="1" t="s">
        <v>737</v>
      </c>
      <c r="K23" t="s">
        <v>19</v>
      </c>
      <c r="M23" t="s">
        <v>758</v>
      </c>
      <c r="N23" t="s">
        <v>43</v>
      </c>
    </row>
    <row r="24" customHeight="1" spans="1:14">
      <c r="A24" s="1" t="s">
        <v>21</v>
      </c>
      <c r="B24" s="1" t="s">
        <v>15</v>
      </c>
      <c r="C24" s="9" t="s">
        <v>759</v>
      </c>
      <c r="D24" s="1" t="s">
        <v>738</v>
      </c>
      <c r="K24" t="s">
        <v>19</v>
      </c>
      <c r="M24" t="s">
        <v>760</v>
      </c>
      <c r="N24" t="s">
        <v>43</v>
      </c>
    </row>
    <row r="25" customHeight="1" spans="1:14">
      <c r="A25" s="1" t="s">
        <v>21</v>
      </c>
      <c r="B25" s="1" t="s">
        <v>15</v>
      </c>
      <c r="C25" s="9" t="s">
        <v>761</v>
      </c>
      <c r="D25" s="1" t="s">
        <v>739</v>
      </c>
      <c r="K25" t="s">
        <v>19</v>
      </c>
      <c r="M25" t="s">
        <v>762</v>
      </c>
      <c r="N25" t="s">
        <v>43</v>
      </c>
    </row>
    <row r="26" customHeight="1" spans="1:14">
      <c r="A26" s="1" t="s">
        <v>21</v>
      </c>
      <c r="B26" s="1" t="s">
        <v>15</v>
      </c>
      <c r="C26" s="9" t="s">
        <v>763</v>
      </c>
      <c r="D26" s="1" t="s">
        <v>740</v>
      </c>
      <c r="K26" t="s">
        <v>19</v>
      </c>
      <c r="M26" t="s">
        <v>764</v>
      </c>
      <c r="N26" t="s">
        <v>43</v>
      </c>
    </row>
    <row r="27" customHeight="1" spans="1:14">
      <c r="A27" s="1" t="s">
        <v>14</v>
      </c>
      <c r="B27" s="1" t="s">
        <v>31</v>
      </c>
      <c r="C27" s="9" t="s">
        <v>32</v>
      </c>
      <c r="D27" s="1" t="s">
        <v>765</v>
      </c>
      <c r="F27" t="s">
        <v>34</v>
      </c>
      <c r="K27" t="s">
        <v>19</v>
      </c>
      <c r="M27" t="s">
        <v>35</v>
      </c>
    </row>
    <row r="28" customHeight="1" spans="1:14">
      <c r="A28" s="1" t="s">
        <v>21</v>
      </c>
      <c r="B28" s="1" t="s">
        <v>31</v>
      </c>
      <c r="C28" s="9" t="s">
        <v>766</v>
      </c>
      <c r="D28" s="1" t="s">
        <v>149</v>
      </c>
      <c r="K28" t="s">
        <v>19</v>
      </c>
      <c r="M28" t="s">
        <v>767</v>
      </c>
      <c r="N28" t="s">
        <v>43</v>
      </c>
    </row>
    <row r="29" customHeight="1" spans="1:14">
      <c r="A29" s="1" t="s">
        <v>21</v>
      </c>
      <c r="B29" s="1" t="s">
        <v>31</v>
      </c>
      <c r="C29" s="9" t="s">
        <v>768</v>
      </c>
      <c r="D29" s="1" t="s">
        <v>744</v>
      </c>
      <c r="K29" t="s">
        <v>19</v>
      </c>
      <c r="M29" t="s">
        <v>769</v>
      </c>
      <c r="N29" t="s">
        <v>43</v>
      </c>
    </row>
    <row r="30" customHeight="1" spans="1:14">
      <c r="A30" s="1" t="s">
        <v>21</v>
      </c>
      <c r="B30" s="1" t="s">
        <v>31</v>
      </c>
      <c r="C30" s="9" t="s">
        <v>770</v>
      </c>
      <c r="D30" s="1" t="s">
        <v>745</v>
      </c>
      <c r="K30" t="s">
        <v>19</v>
      </c>
      <c r="M30" t="s">
        <v>771</v>
      </c>
      <c r="N30" t="s">
        <v>43</v>
      </c>
    </row>
    <row r="31" customHeight="1" spans="1:14">
      <c r="A31" s="1" t="s">
        <v>21</v>
      </c>
      <c r="B31" s="1" t="s">
        <v>31</v>
      </c>
      <c r="C31" s="9" t="s">
        <v>772</v>
      </c>
      <c r="D31" s="1" t="s">
        <v>746</v>
      </c>
      <c r="K31" t="s">
        <v>19</v>
      </c>
      <c r="M31" t="s">
        <v>773</v>
      </c>
      <c r="N31" t="s">
        <v>43</v>
      </c>
    </row>
    <row r="32" customHeight="1" spans="1:14">
      <c r="A32" s="1" t="s">
        <v>21</v>
      </c>
      <c r="B32" s="1" t="s">
        <v>31</v>
      </c>
      <c r="C32" s="9" t="s">
        <v>774</v>
      </c>
      <c r="D32" s="1" t="s">
        <v>747</v>
      </c>
      <c r="K32" t="s">
        <v>19</v>
      </c>
      <c r="M32" t="s">
        <v>775</v>
      </c>
      <c r="N32" t="s">
        <v>43</v>
      </c>
    </row>
    <row r="33" customHeight="1" spans="1:14">
      <c r="A33" s="1" t="s">
        <v>21</v>
      </c>
      <c r="B33" s="1" t="s">
        <v>31</v>
      </c>
      <c r="C33" s="9" t="s">
        <v>776</v>
      </c>
      <c r="D33" s="1" t="s">
        <v>748</v>
      </c>
      <c r="K33" t="s">
        <v>19</v>
      </c>
      <c r="M33" t="s">
        <v>777</v>
      </c>
      <c r="N33" t="s">
        <v>43</v>
      </c>
    </row>
    <row r="34" customHeight="1" spans="1:14">
      <c r="A34" s="1" t="s">
        <v>21</v>
      </c>
      <c r="B34" s="1" t="s">
        <v>31</v>
      </c>
      <c r="C34" s="9" t="s">
        <v>778</v>
      </c>
      <c r="D34" s="1" t="s">
        <v>749</v>
      </c>
      <c r="K34" t="s">
        <v>19</v>
      </c>
      <c r="M34" t="s">
        <v>779</v>
      </c>
      <c r="N34" t="s">
        <v>43</v>
      </c>
    </row>
    <row r="35" customHeight="1" spans="1:14">
      <c r="A35" s="1"/>
      <c r="B35" s="1"/>
      <c r="C35" s="1"/>
      <c r="D35" s="1"/>
    </row>
    <row r="36" customHeight="1" spans="1:14">
      <c r="A36" s="1" t="s">
        <v>14</v>
      </c>
      <c r="B36" s="1" t="s">
        <v>160</v>
      </c>
      <c r="C36" s="1" t="s">
        <v>780</v>
      </c>
      <c r="D36" s="1" t="s">
        <v>781</v>
      </c>
      <c r="F36" t="s">
        <v>782</v>
      </c>
      <c r="H36" s="5" t="e">
        <f t="shared" ref="H36:H51" si="0">H19/H2</f>
        <v>#DIV/0!</v>
      </c>
      <c r="I36" s="5" t="e">
        <f t="shared" ref="I36:I51" si="1">I19/I2</f>
        <v>#DIV/0!</v>
      </c>
      <c r="J36" s="5" t="s">
        <v>783</v>
      </c>
      <c r="K36" t="s">
        <v>19</v>
      </c>
      <c r="M36" t="s">
        <v>784</v>
      </c>
    </row>
    <row r="37" customHeight="1" spans="1:14">
      <c r="A37" s="1" t="s">
        <v>21</v>
      </c>
      <c r="B37" s="1" t="s">
        <v>160</v>
      </c>
      <c r="C37" s="5" t="s">
        <v>785</v>
      </c>
      <c r="D37" s="1" t="s">
        <v>450</v>
      </c>
      <c r="H37" s="5" t="e">
        <f t="shared" si="0"/>
        <v>#DIV/0!</v>
      </c>
      <c r="I37" s="5" t="e">
        <f t="shared" si="1"/>
        <v>#DIV/0!</v>
      </c>
      <c r="J37" s="5" t="s">
        <v>783</v>
      </c>
      <c r="K37" t="s">
        <v>19</v>
      </c>
      <c r="M37" t="s">
        <v>786</v>
      </c>
      <c r="N37" t="s">
        <v>164</v>
      </c>
    </row>
    <row r="38" customHeight="1" spans="1:14">
      <c r="A38" s="1" t="s">
        <v>21</v>
      </c>
      <c r="B38" s="1" t="s">
        <v>160</v>
      </c>
      <c r="C38" s="5" t="s">
        <v>787</v>
      </c>
      <c r="D38" s="1" t="s">
        <v>452</v>
      </c>
      <c r="H38" s="5" t="e">
        <f t="shared" si="0"/>
        <v>#DIV/0!</v>
      </c>
      <c r="I38" s="5" t="e">
        <f t="shared" si="1"/>
        <v>#DIV/0!</v>
      </c>
      <c r="J38" s="5" t="s">
        <v>783</v>
      </c>
      <c r="K38" t="s">
        <v>19</v>
      </c>
      <c r="M38" t="s">
        <v>788</v>
      </c>
      <c r="N38" t="s">
        <v>164</v>
      </c>
    </row>
    <row r="39" customHeight="1" spans="1:14">
      <c r="A39" s="1" t="s">
        <v>21</v>
      </c>
      <c r="B39" s="1" t="s">
        <v>160</v>
      </c>
      <c r="C39" s="5" t="s">
        <v>789</v>
      </c>
      <c r="D39" s="1" t="s">
        <v>736</v>
      </c>
      <c r="H39" s="5" t="e">
        <f t="shared" si="0"/>
        <v>#DIV/0!</v>
      </c>
      <c r="I39" s="5" t="e">
        <f t="shared" si="1"/>
        <v>#DIV/0!</v>
      </c>
      <c r="J39" s="5" t="s">
        <v>783</v>
      </c>
      <c r="K39" t="s">
        <v>19</v>
      </c>
      <c r="M39" t="s">
        <v>790</v>
      </c>
      <c r="N39" t="s">
        <v>164</v>
      </c>
    </row>
    <row r="40" customHeight="1" spans="1:14">
      <c r="A40" s="1" t="s">
        <v>21</v>
      </c>
      <c r="B40" s="1" t="s">
        <v>160</v>
      </c>
      <c r="C40" s="5" t="s">
        <v>791</v>
      </c>
      <c r="D40" s="1" t="s">
        <v>737</v>
      </c>
      <c r="H40" s="5" t="e">
        <f t="shared" si="0"/>
        <v>#DIV/0!</v>
      </c>
      <c r="I40" s="5" t="e">
        <f t="shared" si="1"/>
        <v>#DIV/0!</v>
      </c>
      <c r="J40" s="5" t="s">
        <v>783</v>
      </c>
      <c r="K40" t="s">
        <v>19</v>
      </c>
      <c r="M40" t="s">
        <v>792</v>
      </c>
      <c r="N40" t="s">
        <v>164</v>
      </c>
    </row>
    <row r="41" customHeight="1" spans="1:14">
      <c r="A41" s="1" t="s">
        <v>21</v>
      </c>
      <c r="B41" s="1" t="s">
        <v>160</v>
      </c>
      <c r="C41" s="5" t="s">
        <v>793</v>
      </c>
      <c r="D41" s="1" t="s">
        <v>738</v>
      </c>
      <c r="H41" s="5" t="e">
        <f t="shared" si="0"/>
        <v>#DIV/0!</v>
      </c>
      <c r="I41" s="5" t="e">
        <f t="shared" si="1"/>
        <v>#DIV/0!</v>
      </c>
      <c r="J41" s="5" t="s">
        <v>783</v>
      </c>
      <c r="K41" t="s">
        <v>19</v>
      </c>
      <c r="M41" t="s">
        <v>794</v>
      </c>
      <c r="N41" t="s">
        <v>164</v>
      </c>
    </row>
    <row r="42" customHeight="1" spans="1:14">
      <c r="A42" s="1" t="s">
        <v>21</v>
      </c>
      <c r="B42" s="1" t="s">
        <v>160</v>
      </c>
      <c r="C42" s="5" t="s">
        <v>795</v>
      </c>
      <c r="D42" s="1" t="s">
        <v>739</v>
      </c>
      <c r="H42" s="5" t="e">
        <f t="shared" si="0"/>
        <v>#DIV/0!</v>
      </c>
      <c r="I42" s="5" t="e">
        <f t="shared" si="1"/>
        <v>#DIV/0!</v>
      </c>
      <c r="J42" s="5" t="s">
        <v>783</v>
      </c>
      <c r="K42" t="s">
        <v>19</v>
      </c>
      <c r="M42" t="s">
        <v>796</v>
      </c>
      <c r="N42" t="s">
        <v>164</v>
      </c>
    </row>
    <row r="43" customHeight="1" spans="1:14">
      <c r="A43" s="1" t="s">
        <v>21</v>
      </c>
      <c r="B43" s="1" t="s">
        <v>160</v>
      </c>
      <c r="C43" s="5" t="s">
        <v>797</v>
      </c>
      <c r="D43" s="1" t="s">
        <v>740</v>
      </c>
      <c r="H43" s="5" t="e">
        <f t="shared" si="0"/>
        <v>#DIV/0!</v>
      </c>
      <c r="I43" s="5" t="e">
        <f t="shared" si="1"/>
        <v>#DIV/0!</v>
      </c>
      <c r="J43" s="5" t="s">
        <v>783</v>
      </c>
      <c r="K43" t="s">
        <v>19</v>
      </c>
      <c r="M43" t="s">
        <v>798</v>
      </c>
      <c r="N43" t="s">
        <v>164</v>
      </c>
    </row>
    <row r="44" customHeight="1" spans="1:14">
      <c r="A44" s="1" t="s">
        <v>14</v>
      </c>
      <c r="B44" s="1" t="s">
        <v>160</v>
      </c>
      <c r="C44" s="1" t="s">
        <v>799</v>
      </c>
      <c r="D44" s="1" t="s">
        <v>800</v>
      </c>
      <c r="F44" t="s">
        <v>801</v>
      </c>
      <c r="H44" s="5" t="e">
        <f t="shared" si="0"/>
        <v>#DIV/0!</v>
      </c>
      <c r="I44" s="5" t="e">
        <f t="shared" si="1"/>
        <v>#DIV/0!</v>
      </c>
      <c r="J44" s="5" t="s">
        <v>783</v>
      </c>
      <c r="K44" t="s">
        <v>19</v>
      </c>
      <c r="M44" t="s">
        <v>802</v>
      </c>
    </row>
    <row r="45" customHeight="1" spans="1:14">
      <c r="A45" s="1" t="s">
        <v>21</v>
      </c>
      <c r="B45" s="1" t="s">
        <v>160</v>
      </c>
      <c r="C45" s="1" t="s">
        <v>803</v>
      </c>
      <c r="D45" s="1" t="s">
        <v>149</v>
      </c>
      <c r="H45" s="5" t="e">
        <f t="shared" si="0"/>
        <v>#DIV/0!</v>
      </c>
      <c r="I45" s="5" t="e">
        <f t="shared" si="1"/>
        <v>#DIV/0!</v>
      </c>
      <c r="J45" s="5" t="s">
        <v>783</v>
      </c>
      <c r="K45" t="s">
        <v>19</v>
      </c>
      <c r="M45" t="s">
        <v>804</v>
      </c>
      <c r="N45" t="s">
        <v>164</v>
      </c>
    </row>
    <row r="46" customHeight="1" spans="1:14">
      <c r="A46" s="1" t="s">
        <v>21</v>
      </c>
      <c r="B46" s="1" t="s">
        <v>160</v>
      </c>
      <c r="C46" s="1" t="s">
        <v>805</v>
      </c>
      <c r="D46" s="1" t="s">
        <v>744</v>
      </c>
      <c r="H46" s="5" t="e">
        <f t="shared" si="0"/>
        <v>#DIV/0!</v>
      </c>
      <c r="I46" s="5" t="e">
        <f t="shared" si="1"/>
        <v>#DIV/0!</v>
      </c>
      <c r="J46" s="5" t="s">
        <v>783</v>
      </c>
      <c r="K46" t="s">
        <v>19</v>
      </c>
      <c r="M46" t="s">
        <v>806</v>
      </c>
      <c r="N46" t="s">
        <v>164</v>
      </c>
    </row>
    <row r="47" customHeight="1" spans="1:14">
      <c r="A47" s="1" t="s">
        <v>21</v>
      </c>
      <c r="B47" s="1" t="s">
        <v>160</v>
      </c>
      <c r="C47" s="1" t="s">
        <v>807</v>
      </c>
      <c r="D47" s="1" t="s">
        <v>745</v>
      </c>
      <c r="H47" s="5" t="e">
        <f t="shared" si="0"/>
        <v>#DIV/0!</v>
      </c>
      <c r="I47" s="5" t="e">
        <f t="shared" si="1"/>
        <v>#DIV/0!</v>
      </c>
      <c r="J47" s="5" t="s">
        <v>783</v>
      </c>
      <c r="K47" t="s">
        <v>19</v>
      </c>
      <c r="M47" t="s">
        <v>808</v>
      </c>
      <c r="N47" t="s">
        <v>164</v>
      </c>
    </row>
    <row r="48" customHeight="1" spans="1:14">
      <c r="A48" s="1" t="s">
        <v>21</v>
      </c>
      <c r="B48" s="1" t="s">
        <v>160</v>
      </c>
      <c r="C48" s="1" t="s">
        <v>809</v>
      </c>
      <c r="D48" s="1" t="s">
        <v>746</v>
      </c>
      <c r="H48" s="5" t="e">
        <f t="shared" si="0"/>
        <v>#DIV/0!</v>
      </c>
      <c r="I48" s="5" t="e">
        <f t="shared" si="1"/>
        <v>#DIV/0!</v>
      </c>
      <c r="J48" s="5" t="s">
        <v>783</v>
      </c>
      <c r="K48" t="s">
        <v>19</v>
      </c>
      <c r="M48" t="s">
        <v>810</v>
      </c>
      <c r="N48" t="s">
        <v>164</v>
      </c>
    </row>
    <row r="49" customHeight="1" spans="1:14">
      <c r="A49" s="1" t="s">
        <v>21</v>
      </c>
      <c r="B49" s="1" t="s">
        <v>160</v>
      </c>
      <c r="C49" s="1" t="s">
        <v>811</v>
      </c>
      <c r="D49" s="1" t="s">
        <v>747</v>
      </c>
      <c r="H49" s="5" t="e">
        <f t="shared" si="0"/>
        <v>#DIV/0!</v>
      </c>
      <c r="I49" s="5" t="e">
        <f t="shared" si="1"/>
        <v>#DIV/0!</v>
      </c>
      <c r="J49" s="5" t="s">
        <v>783</v>
      </c>
      <c r="K49" t="s">
        <v>19</v>
      </c>
      <c r="M49" t="s">
        <v>812</v>
      </c>
      <c r="N49" t="s">
        <v>164</v>
      </c>
    </row>
    <row r="50" customHeight="1" spans="1:14">
      <c r="A50" s="1" t="s">
        <v>21</v>
      </c>
      <c r="B50" s="1" t="s">
        <v>160</v>
      </c>
      <c r="C50" s="1" t="s">
        <v>813</v>
      </c>
      <c r="D50" s="1" t="s">
        <v>748</v>
      </c>
      <c r="H50" s="5" t="e">
        <f t="shared" si="0"/>
        <v>#DIV/0!</v>
      </c>
      <c r="I50" s="5" t="e">
        <f t="shared" si="1"/>
        <v>#DIV/0!</v>
      </c>
      <c r="J50" s="5" t="s">
        <v>783</v>
      </c>
      <c r="K50" t="s">
        <v>19</v>
      </c>
      <c r="M50" t="s">
        <v>814</v>
      </c>
      <c r="N50" t="s">
        <v>164</v>
      </c>
    </row>
    <row r="51" customHeight="1" spans="1:14">
      <c r="A51" s="1" t="s">
        <v>21</v>
      </c>
      <c r="B51" s="1" t="s">
        <v>160</v>
      </c>
      <c r="C51" s="1" t="s">
        <v>815</v>
      </c>
      <c r="D51" s="1" t="s">
        <v>749</v>
      </c>
      <c r="H51" s="5" t="e">
        <f t="shared" si="0"/>
        <v>#DIV/0!</v>
      </c>
      <c r="I51" s="5" t="e">
        <f t="shared" si="1"/>
        <v>#DIV/0!</v>
      </c>
      <c r="J51" s="5" t="s">
        <v>783</v>
      </c>
      <c r="K51" t="s">
        <v>19</v>
      </c>
      <c r="M51" t="s">
        <v>816</v>
      </c>
      <c r="N51" t="s">
        <v>164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2"/>
  <sheetViews>
    <sheetView workbookViewId="0">
      <pane xSplit="4" ySplit="1" topLeftCell="E2" activePane="bottomRight" state="frozen"/>
      <selection/>
      <selection pane="topRight"/>
      <selection pane="bottomLeft"/>
      <selection pane="bottomRight" activeCell="E31" sqref="E31"/>
    </sheetView>
  </sheetViews>
  <sheetFormatPr defaultColWidth="9" defaultRowHeight="15" customHeight="1"/>
  <cols>
    <col min="3" max="3" width="10.8303571428571" customWidth="1"/>
    <col min="4" max="4" width="17.5" customWidth="1"/>
  </cols>
  <sheetData>
    <row r="1" s="1" customFormat="1" ht="16.8" customHeight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16.8" customHeight="1" spans="1:14">
      <c r="A2" s="7" t="s">
        <v>14</v>
      </c>
      <c r="B2" s="1" t="s">
        <v>15</v>
      </c>
      <c r="C2" s="8" t="s">
        <v>817</v>
      </c>
      <c r="D2" s="7" t="s">
        <v>17</v>
      </c>
      <c r="F2" t="s">
        <v>818</v>
      </c>
      <c r="K2" t="s">
        <v>19</v>
      </c>
      <c r="M2" t="s">
        <v>20</v>
      </c>
    </row>
    <row r="3" ht="16.8" customHeight="1" spans="1:14">
      <c r="A3" s="1" t="s">
        <v>21</v>
      </c>
      <c r="B3" s="1" t="s">
        <v>15</v>
      </c>
      <c r="C3" s="8" t="s">
        <v>819</v>
      </c>
      <c r="D3" s="1" t="s">
        <v>23</v>
      </c>
      <c r="F3" t="s">
        <v>820</v>
      </c>
      <c r="K3" t="s">
        <v>19</v>
      </c>
      <c r="M3" t="s">
        <v>25</v>
      </c>
    </row>
    <row r="4" ht="16.8" customHeight="1" spans="1:14">
      <c r="A4" s="1" t="s">
        <v>26</v>
      </c>
      <c r="B4" s="1" t="s">
        <v>15</v>
      </c>
      <c r="C4" s="9" t="s">
        <v>821</v>
      </c>
      <c r="D4" s="1" t="s">
        <v>822</v>
      </c>
      <c r="M4" t="s">
        <v>823</v>
      </c>
      <c r="N4" t="s">
        <v>43</v>
      </c>
    </row>
    <row r="5" ht="16.8" customHeight="1" spans="1:14">
      <c r="A5" s="10" t="s">
        <v>14</v>
      </c>
      <c r="B5" s="10" t="s">
        <v>15</v>
      </c>
      <c r="C5" s="10" t="s">
        <v>824</v>
      </c>
      <c r="D5" s="10" t="s">
        <v>28</v>
      </c>
      <c r="K5" t="s">
        <v>19</v>
      </c>
      <c r="M5" t="s">
        <v>30</v>
      </c>
      <c r="N5" t="s">
        <v>43</v>
      </c>
    </row>
    <row r="6" ht="16.8" customHeight="1" spans="1:14">
      <c r="A6" s="1" t="s">
        <v>14</v>
      </c>
      <c r="B6" s="1" t="s">
        <v>31</v>
      </c>
      <c r="C6" s="9" t="s">
        <v>825</v>
      </c>
      <c r="D6" s="1" t="s">
        <v>826</v>
      </c>
      <c r="M6" t="s">
        <v>827</v>
      </c>
      <c r="N6" t="s">
        <v>43</v>
      </c>
    </row>
    <row r="7" ht="16.8" customHeight="1" spans="1:14">
      <c r="A7" s="1" t="s">
        <v>26</v>
      </c>
      <c r="B7" s="1" t="s">
        <v>15</v>
      </c>
      <c r="C7" s="9" t="s">
        <v>828</v>
      </c>
      <c r="D7" s="1" t="s">
        <v>829</v>
      </c>
      <c r="M7" t="s">
        <v>830</v>
      </c>
      <c r="N7" t="s">
        <v>43</v>
      </c>
    </row>
    <row r="8" ht="16.8" customHeight="1" spans="1:14">
      <c r="A8" s="7" t="s">
        <v>14</v>
      </c>
      <c r="B8" s="1" t="s">
        <v>31</v>
      </c>
      <c r="C8" s="9" t="s">
        <v>831</v>
      </c>
      <c r="D8" s="1" t="s">
        <v>33</v>
      </c>
      <c r="K8" t="s">
        <v>19</v>
      </c>
      <c r="M8" t="s">
        <v>35</v>
      </c>
      <c r="N8" t="s">
        <v>43</v>
      </c>
    </row>
    <row r="9" ht="16.8" customHeight="1" spans="1:14">
      <c r="A9" s="7" t="s">
        <v>14</v>
      </c>
      <c r="B9" s="1" t="s">
        <v>31</v>
      </c>
      <c r="C9" s="9" t="s">
        <v>832</v>
      </c>
      <c r="D9" s="1" t="s">
        <v>833</v>
      </c>
      <c r="M9" t="s">
        <v>834</v>
      </c>
      <c r="N9" t="s">
        <v>43</v>
      </c>
    </row>
    <row r="10" ht="16.8" customHeight="1" spans="1:14">
      <c r="A10" s="1" t="s">
        <v>21</v>
      </c>
      <c r="B10" s="1" t="s">
        <v>15</v>
      </c>
      <c r="C10" s="8" t="s">
        <v>835</v>
      </c>
      <c r="D10" s="1" t="s">
        <v>37</v>
      </c>
      <c r="K10" t="s">
        <v>19</v>
      </c>
      <c r="M10" t="s">
        <v>39</v>
      </c>
      <c r="N10" t="s">
        <v>43</v>
      </c>
    </row>
    <row r="11" ht="16.8" customHeight="1" spans="1:14">
      <c r="A11" s="11" t="s">
        <v>14</v>
      </c>
      <c r="B11" s="11" t="s">
        <v>15</v>
      </c>
      <c r="C11" s="8" t="s">
        <v>836</v>
      </c>
      <c r="D11" s="1" t="s">
        <v>41</v>
      </c>
      <c r="K11" t="s">
        <v>19</v>
      </c>
      <c r="M11" t="s">
        <v>42</v>
      </c>
      <c r="N11" t="s">
        <v>43</v>
      </c>
    </row>
    <row r="12" ht="16.8" customHeight="1" spans="1:14">
      <c r="A12" s="11" t="s">
        <v>14</v>
      </c>
      <c r="B12" s="11" t="s">
        <v>31</v>
      </c>
      <c r="C12" s="8" t="s">
        <v>837</v>
      </c>
      <c r="D12" s="1" t="s">
        <v>45</v>
      </c>
      <c r="K12" t="s">
        <v>19</v>
      </c>
      <c r="M12" t="s">
        <v>46</v>
      </c>
      <c r="N12" t="s">
        <v>43</v>
      </c>
    </row>
    <row r="13" ht="16.8" customHeight="1" spans="1:14">
      <c r="A13" s="1" t="s">
        <v>21</v>
      </c>
      <c r="B13" s="1" t="s">
        <v>15</v>
      </c>
      <c r="C13" s="8" t="s">
        <v>838</v>
      </c>
      <c r="D13" s="1" t="s">
        <v>48</v>
      </c>
      <c r="K13" t="s">
        <v>19</v>
      </c>
      <c r="M13" t="s">
        <v>49</v>
      </c>
      <c r="N13" t="s">
        <v>43</v>
      </c>
    </row>
    <row r="14" ht="16.8" customHeight="1" spans="1:14">
      <c r="A14" s="7" t="s">
        <v>14</v>
      </c>
      <c r="B14" s="1" t="s">
        <v>31</v>
      </c>
      <c r="C14" s="8" t="s">
        <v>839</v>
      </c>
      <c r="D14" s="7" t="s">
        <v>840</v>
      </c>
      <c r="K14" t="s">
        <v>19</v>
      </c>
      <c r="M14" t="s">
        <v>53</v>
      </c>
      <c r="N14" t="s">
        <v>43</v>
      </c>
    </row>
    <row r="15" ht="16.8" customHeight="1" spans="1:14">
      <c r="A15" s="7" t="s">
        <v>14</v>
      </c>
      <c r="B15" s="1" t="s">
        <v>15</v>
      </c>
      <c r="C15" s="8" t="s">
        <v>841</v>
      </c>
      <c r="D15" s="7" t="s">
        <v>68</v>
      </c>
      <c r="K15" t="s">
        <v>19</v>
      </c>
      <c r="M15" t="s">
        <v>70</v>
      </c>
      <c r="N15" t="s">
        <v>43</v>
      </c>
    </row>
    <row r="16" ht="16.8" customHeight="1" spans="1:14">
      <c r="A16" s="7" t="s">
        <v>14</v>
      </c>
      <c r="B16" s="1" t="s">
        <v>31</v>
      </c>
      <c r="C16" s="8" t="s">
        <v>842</v>
      </c>
      <c r="D16" s="7" t="s">
        <v>72</v>
      </c>
      <c r="K16" t="s">
        <v>19</v>
      </c>
      <c r="M16" t="s">
        <v>73</v>
      </c>
      <c r="N16" t="s">
        <v>43</v>
      </c>
    </row>
    <row r="17" ht="16.8" customHeight="1" spans="1:14">
      <c r="A17" s="7" t="s">
        <v>14</v>
      </c>
      <c r="B17" s="1" t="s">
        <v>31</v>
      </c>
      <c r="C17" s="8" t="s">
        <v>843</v>
      </c>
      <c r="D17" s="7" t="s">
        <v>844</v>
      </c>
      <c r="F17" t="s">
        <v>845</v>
      </c>
      <c r="K17" t="s">
        <v>19</v>
      </c>
      <c r="M17" t="s">
        <v>227</v>
      </c>
    </row>
    <row r="18" ht="16.8" customHeight="1" spans="1:14">
      <c r="A18" s="1" t="s">
        <v>21</v>
      </c>
      <c r="B18" s="1" t="s">
        <v>31</v>
      </c>
      <c r="C18" s="8" t="s">
        <v>846</v>
      </c>
      <c r="D18" s="1" t="s">
        <v>847</v>
      </c>
      <c r="F18" t="s">
        <v>848</v>
      </c>
      <c r="K18" t="s">
        <v>19</v>
      </c>
      <c r="M18" t="s">
        <v>231</v>
      </c>
    </row>
    <row r="19" ht="16.8" customHeight="1" spans="1:14">
      <c r="A19" s="1" t="s">
        <v>26</v>
      </c>
      <c r="B19" s="1" t="s">
        <v>31</v>
      </c>
      <c r="C19" s="9" t="s">
        <v>849</v>
      </c>
      <c r="D19" s="1" t="s">
        <v>83</v>
      </c>
      <c r="F19" t="s">
        <v>850</v>
      </c>
      <c r="K19" t="s">
        <v>19</v>
      </c>
      <c r="M19" t="s">
        <v>235</v>
      </c>
    </row>
    <row r="20" ht="16.8" customHeight="1" spans="1:14">
      <c r="A20" s="1" t="s">
        <v>26</v>
      </c>
      <c r="B20" s="1" t="s">
        <v>31</v>
      </c>
      <c r="C20" s="9" t="s">
        <v>851</v>
      </c>
      <c r="D20" s="1" t="s">
        <v>852</v>
      </c>
      <c r="F20" t="s">
        <v>853</v>
      </c>
      <c r="K20" t="s">
        <v>19</v>
      </c>
      <c r="M20" t="s">
        <v>306</v>
      </c>
    </row>
    <row r="21" ht="16.8" customHeight="1" spans="1:14">
      <c r="A21" s="1" t="s">
        <v>21</v>
      </c>
      <c r="B21" s="1" t="s">
        <v>31</v>
      </c>
      <c r="C21" s="8" t="s">
        <v>854</v>
      </c>
      <c r="D21" s="1" t="s">
        <v>92</v>
      </c>
      <c r="K21" t="s">
        <v>19</v>
      </c>
      <c r="N21" t="s">
        <v>43</v>
      </c>
    </row>
    <row r="22" ht="16.8" customHeight="1" spans="1:14">
      <c r="A22" s="1" t="s">
        <v>26</v>
      </c>
      <c r="B22" s="1" t="s">
        <v>31</v>
      </c>
      <c r="C22" s="9" t="s">
        <v>855</v>
      </c>
      <c r="D22" s="1" t="s">
        <v>94</v>
      </c>
      <c r="K22" t="s">
        <v>19</v>
      </c>
      <c r="N22" t="s">
        <v>43</v>
      </c>
    </row>
    <row r="23" ht="16.8" customHeight="1" spans="1:14">
      <c r="A23" s="1" t="s">
        <v>26</v>
      </c>
      <c r="B23" s="1" t="s">
        <v>31</v>
      </c>
      <c r="C23" s="9" t="s">
        <v>856</v>
      </c>
      <c r="D23" s="1" t="s">
        <v>96</v>
      </c>
      <c r="K23" t="s">
        <v>19</v>
      </c>
      <c r="N23" t="s">
        <v>43</v>
      </c>
    </row>
    <row r="24" ht="16.8" customHeight="1" spans="1:14">
      <c r="A24" s="1" t="s">
        <v>21</v>
      </c>
      <c r="B24" s="1" t="s">
        <v>31</v>
      </c>
      <c r="C24" s="8" t="s">
        <v>857</v>
      </c>
      <c r="D24" s="1" t="s">
        <v>98</v>
      </c>
      <c r="F24" t="s">
        <v>858</v>
      </c>
      <c r="K24" t="s">
        <v>19</v>
      </c>
      <c r="M24" t="s">
        <v>859</v>
      </c>
    </row>
    <row r="25" ht="16.8" customHeight="1" spans="1:14">
      <c r="A25" s="1" t="s">
        <v>26</v>
      </c>
      <c r="B25" s="1" t="s">
        <v>31</v>
      </c>
      <c r="C25" s="9" t="s">
        <v>860</v>
      </c>
      <c r="D25" s="1" t="s">
        <v>861</v>
      </c>
      <c r="F25" t="s">
        <v>862</v>
      </c>
      <c r="K25" t="s">
        <v>19</v>
      </c>
      <c r="M25" t="s">
        <v>863</v>
      </c>
    </row>
    <row r="26" ht="16.8" customHeight="1" spans="1:14">
      <c r="A26" s="1" t="s">
        <v>236</v>
      </c>
      <c r="B26" s="1" t="s">
        <v>31</v>
      </c>
      <c r="C26" s="9" t="s">
        <v>864</v>
      </c>
      <c r="D26" s="1" t="s">
        <v>865</v>
      </c>
      <c r="K26" t="s">
        <v>19</v>
      </c>
      <c r="M26" t="s">
        <v>866</v>
      </c>
      <c r="N26" t="s">
        <v>43</v>
      </c>
    </row>
    <row r="27" ht="16.8" customHeight="1" spans="1:14">
      <c r="A27" s="1" t="s">
        <v>236</v>
      </c>
      <c r="B27" s="1" t="s">
        <v>31</v>
      </c>
      <c r="C27" s="9" t="s">
        <v>867</v>
      </c>
      <c r="D27" s="1" t="s">
        <v>868</v>
      </c>
      <c r="K27" t="s">
        <v>19</v>
      </c>
      <c r="M27" t="s">
        <v>869</v>
      </c>
      <c r="N27" t="s">
        <v>43</v>
      </c>
    </row>
    <row r="28" ht="16.8" customHeight="1" spans="1:14">
      <c r="A28" s="1" t="s">
        <v>26</v>
      </c>
      <c r="B28" s="1" t="s">
        <v>31</v>
      </c>
      <c r="C28" s="9" t="s">
        <v>870</v>
      </c>
      <c r="D28" s="1" t="s">
        <v>871</v>
      </c>
      <c r="K28" t="s">
        <v>19</v>
      </c>
      <c r="M28" t="s">
        <v>872</v>
      </c>
      <c r="N28" t="s">
        <v>43</v>
      </c>
    </row>
    <row r="29" ht="16.8" customHeight="1" spans="1:14">
      <c r="A29" s="1" t="s">
        <v>26</v>
      </c>
      <c r="B29" s="1" t="s">
        <v>31</v>
      </c>
      <c r="C29" s="9" t="s">
        <v>873</v>
      </c>
      <c r="D29" s="1" t="s">
        <v>874</v>
      </c>
      <c r="K29" t="s">
        <v>19</v>
      </c>
      <c r="M29" t="s">
        <v>875</v>
      </c>
      <c r="N29" t="s">
        <v>43</v>
      </c>
    </row>
    <row r="30" ht="16.8" customHeight="1" spans="1:14">
      <c r="A30" s="1" t="s">
        <v>26</v>
      </c>
      <c r="B30" s="1" t="s">
        <v>31</v>
      </c>
      <c r="C30" s="9" t="s">
        <v>876</v>
      </c>
      <c r="D30" s="1" t="s">
        <v>877</v>
      </c>
      <c r="K30" t="s">
        <v>19</v>
      </c>
      <c r="M30" t="s">
        <v>878</v>
      </c>
      <c r="N30" t="s">
        <v>43</v>
      </c>
    </row>
    <row r="31" ht="16.8" customHeight="1" spans="1:14">
      <c r="A31" s="1" t="s">
        <v>21</v>
      </c>
      <c r="B31" s="1" t="s">
        <v>31</v>
      </c>
      <c r="C31" s="8" t="s">
        <v>879</v>
      </c>
      <c r="D31" s="1" t="s">
        <v>880</v>
      </c>
      <c r="K31" t="s">
        <v>19</v>
      </c>
      <c r="M31" t="s">
        <v>881</v>
      </c>
      <c r="N31" t="s">
        <v>43</v>
      </c>
    </row>
    <row r="32" ht="16.8" customHeight="1" spans="1:14">
      <c r="A32" s="1" t="s">
        <v>21</v>
      </c>
      <c r="B32" s="1" t="s">
        <v>31</v>
      </c>
      <c r="C32" s="8" t="s">
        <v>882</v>
      </c>
      <c r="D32" s="1" t="s">
        <v>101</v>
      </c>
      <c r="K32" t="s">
        <v>19</v>
      </c>
      <c r="M32" t="s">
        <v>883</v>
      </c>
      <c r="N32" t="s">
        <v>43</v>
      </c>
    </row>
    <row r="33" ht="16.8" customHeight="1" spans="1:14">
      <c r="A33" s="7" t="s">
        <v>14</v>
      </c>
      <c r="B33" s="1" t="s">
        <v>15</v>
      </c>
      <c r="C33" s="8" t="s">
        <v>884</v>
      </c>
      <c r="D33" s="7" t="s">
        <v>104</v>
      </c>
      <c r="K33" t="s">
        <v>19</v>
      </c>
      <c r="M33" t="s">
        <v>105</v>
      </c>
      <c r="N33" t="s">
        <v>43</v>
      </c>
    </row>
    <row r="34" ht="16.8" customHeight="1" spans="1:14">
      <c r="A34" s="7" t="s">
        <v>14</v>
      </c>
      <c r="B34" s="1" t="s">
        <v>106</v>
      </c>
      <c r="C34" s="8" t="s">
        <v>885</v>
      </c>
      <c r="D34" s="7" t="s">
        <v>886</v>
      </c>
      <c r="M34" t="s">
        <v>887</v>
      </c>
      <c r="N34" t="s">
        <v>43</v>
      </c>
    </row>
    <row r="35" ht="16.8" customHeight="1" spans="1:14">
      <c r="A35" s="7" t="s">
        <v>14</v>
      </c>
      <c r="B35" s="1" t="s">
        <v>31</v>
      </c>
      <c r="C35" s="8" t="s">
        <v>888</v>
      </c>
      <c r="D35" s="7" t="s">
        <v>889</v>
      </c>
      <c r="M35" t="s">
        <v>890</v>
      </c>
      <c r="N35" t="s">
        <v>43</v>
      </c>
    </row>
    <row r="36" ht="16.8" customHeight="1" spans="1:14">
      <c r="A36" s="7" t="s">
        <v>14</v>
      </c>
      <c r="B36" s="1" t="s">
        <v>106</v>
      </c>
      <c r="C36" s="8" t="s">
        <v>891</v>
      </c>
      <c r="D36" s="7" t="s">
        <v>108</v>
      </c>
      <c r="K36" t="s">
        <v>19</v>
      </c>
      <c r="M36" t="s">
        <v>110</v>
      </c>
      <c r="N36" t="s">
        <v>43</v>
      </c>
    </row>
    <row r="37" spans="1:14">
      <c r="A37" s="10"/>
      <c r="B37" s="10"/>
      <c r="C37" s="10"/>
      <c r="D37" s="10"/>
    </row>
    <row r="38" ht="16.8" customHeight="1" spans="1:14">
      <c r="A38" s="7" t="s">
        <v>14</v>
      </c>
      <c r="B38" s="7" t="s">
        <v>118</v>
      </c>
      <c r="C38" s="11" t="s">
        <v>892</v>
      </c>
      <c r="D38" s="11" t="s">
        <v>120</v>
      </c>
      <c r="F38" t="s">
        <v>893</v>
      </c>
      <c r="M38" t="s">
        <v>122</v>
      </c>
    </row>
    <row r="39" ht="16.8" customHeight="1" spans="1:14">
      <c r="A39" s="1" t="s">
        <v>21</v>
      </c>
      <c r="B39" s="7" t="s">
        <v>118</v>
      </c>
      <c r="C39" s="10" t="s">
        <v>894</v>
      </c>
      <c r="D39" s="10" t="s">
        <v>124</v>
      </c>
      <c r="F39" t="s">
        <v>895</v>
      </c>
      <c r="M39" t="s">
        <v>126</v>
      </c>
    </row>
    <row r="40" ht="16.8" customHeight="1" spans="1:14">
      <c r="A40" s="1" t="s">
        <v>26</v>
      </c>
      <c r="B40" s="7" t="s">
        <v>118</v>
      </c>
      <c r="C40" s="10" t="s">
        <v>895</v>
      </c>
      <c r="D40" s="10" t="s">
        <v>128</v>
      </c>
      <c r="M40" t="s">
        <v>129</v>
      </c>
      <c r="N40" t="s">
        <v>130</v>
      </c>
    </row>
    <row r="41" ht="16.8" customHeight="1" spans="1:14">
      <c r="A41" s="1" t="s">
        <v>21</v>
      </c>
      <c r="B41" s="7" t="s">
        <v>118</v>
      </c>
      <c r="C41" s="10" t="s">
        <v>896</v>
      </c>
      <c r="D41" s="10" t="s">
        <v>135</v>
      </c>
      <c r="M41" t="s">
        <v>136</v>
      </c>
      <c r="N41" t="s">
        <v>130</v>
      </c>
    </row>
    <row r="42" ht="16.8" customHeight="1" spans="1:14">
      <c r="A42" s="1" t="s">
        <v>21</v>
      </c>
      <c r="B42" s="7" t="s">
        <v>118</v>
      </c>
      <c r="C42" s="10" t="s">
        <v>897</v>
      </c>
      <c r="D42" s="10" t="s">
        <v>138</v>
      </c>
      <c r="M42" t="s">
        <v>139</v>
      </c>
      <c r="N42" t="s">
        <v>130</v>
      </c>
    </row>
    <row r="43" ht="16.8" customHeight="1" spans="1:14">
      <c r="A43" s="7" t="s">
        <v>14</v>
      </c>
      <c r="B43" s="7" t="s">
        <v>515</v>
      </c>
      <c r="C43" s="11" t="s">
        <v>898</v>
      </c>
      <c r="D43" s="11" t="s">
        <v>899</v>
      </c>
      <c r="F43" t="s">
        <v>900</v>
      </c>
      <c r="M43" t="s">
        <v>901</v>
      </c>
    </row>
    <row r="44" ht="16.8" customHeight="1" spans="1:14">
      <c r="A44" s="1" t="s">
        <v>21</v>
      </c>
      <c r="B44" s="7" t="s">
        <v>515</v>
      </c>
      <c r="C44" s="10" t="s">
        <v>902</v>
      </c>
      <c r="D44" s="10" t="s">
        <v>903</v>
      </c>
      <c r="F44" t="s">
        <v>904</v>
      </c>
      <c r="M44" t="s">
        <v>521</v>
      </c>
    </row>
    <row r="45" ht="16.8" customHeight="1" spans="1:14">
      <c r="A45" s="1" t="s">
        <v>26</v>
      </c>
      <c r="B45" s="7" t="s">
        <v>515</v>
      </c>
      <c r="C45" s="10" t="s">
        <v>904</v>
      </c>
      <c r="D45" s="10" t="s">
        <v>128</v>
      </c>
      <c r="M45" t="s">
        <v>523</v>
      </c>
      <c r="N45" t="s">
        <v>524</v>
      </c>
    </row>
    <row r="46" ht="16.8" customHeight="1" spans="1:14">
      <c r="A46" s="1" t="s">
        <v>21</v>
      </c>
      <c r="B46" s="7" t="s">
        <v>515</v>
      </c>
      <c r="C46" s="10" t="s">
        <v>905</v>
      </c>
      <c r="D46" s="10" t="s">
        <v>135</v>
      </c>
      <c r="M46" t="s">
        <v>906</v>
      </c>
      <c r="N46" t="s">
        <v>524</v>
      </c>
    </row>
    <row r="47" ht="16.8" customHeight="1" spans="1:14">
      <c r="A47" s="1" t="s">
        <v>21</v>
      </c>
      <c r="B47" s="7" t="s">
        <v>515</v>
      </c>
      <c r="C47" s="10" t="s">
        <v>907</v>
      </c>
      <c r="D47" s="10" t="s">
        <v>138</v>
      </c>
      <c r="M47" t="s">
        <v>908</v>
      </c>
      <c r="N47" t="s">
        <v>524</v>
      </c>
    </row>
    <row r="48" spans="1:14">
      <c r="A48" s="10"/>
      <c r="B48" s="7"/>
      <c r="C48" s="10"/>
      <c r="D48" s="10"/>
    </row>
    <row r="49" ht="16.8" customHeight="1" spans="1:14">
      <c r="A49" s="10" t="s">
        <v>14</v>
      </c>
      <c r="B49" s="10" t="s">
        <v>143</v>
      </c>
      <c r="C49" s="10" t="s">
        <v>909</v>
      </c>
      <c r="D49" s="10" t="s">
        <v>145</v>
      </c>
      <c r="F49" t="s">
        <v>910</v>
      </c>
      <c r="M49" t="s">
        <v>147</v>
      </c>
    </row>
    <row r="50" ht="16.8" customHeight="1" spans="1:14">
      <c r="A50" s="10" t="s">
        <v>21</v>
      </c>
      <c r="B50" s="10" t="s">
        <v>143</v>
      </c>
      <c r="C50" s="10" t="s">
        <v>911</v>
      </c>
      <c r="D50" s="10" t="s">
        <v>149</v>
      </c>
      <c r="M50" t="s">
        <v>150</v>
      </c>
      <c r="N50" t="s">
        <v>130</v>
      </c>
    </row>
    <row r="51" ht="16.8" customHeight="1" spans="1:14">
      <c r="A51" s="10" t="s">
        <v>21</v>
      </c>
      <c r="B51" s="10" t="s">
        <v>143</v>
      </c>
      <c r="C51" s="10" t="s">
        <v>912</v>
      </c>
      <c r="D51" s="10" t="s">
        <v>152</v>
      </c>
      <c r="M51" t="s">
        <v>153</v>
      </c>
      <c r="N51" t="s">
        <v>130</v>
      </c>
    </row>
    <row r="52" ht="16.8" customHeight="1" spans="1:14">
      <c r="A52" s="10" t="s">
        <v>21</v>
      </c>
      <c r="B52" s="10" t="s">
        <v>143</v>
      </c>
      <c r="C52" s="10" t="s">
        <v>913</v>
      </c>
      <c r="D52" s="10" t="s">
        <v>155</v>
      </c>
      <c r="M52" t="s">
        <v>156</v>
      </c>
      <c r="N52" t="s">
        <v>130</v>
      </c>
    </row>
    <row r="53" ht="16.8" customHeight="1" spans="1:14">
      <c r="A53" s="10" t="s">
        <v>21</v>
      </c>
      <c r="B53" s="10" t="s">
        <v>143</v>
      </c>
      <c r="C53" s="10" t="s">
        <v>914</v>
      </c>
      <c r="D53" s="10" t="s">
        <v>158</v>
      </c>
      <c r="M53" t="s">
        <v>159</v>
      </c>
      <c r="N53" t="s">
        <v>130</v>
      </c>
    </row>
    <row r="54" ht="16.8" customHeight="1" spans="1:14">
      <c r="A54" s="10" t="s">
        <v>14</v>
      </c>
      <c r="B54" s="10" t="s">
        <v>552</v>
      </c>
      <c r="C54" s="10" t="s">
        <v>915</v>
      </c>
      <c r="D54" s="10" t="s">
        <v>916</v>
      </c>
      <c r="F54" t="s">
        <v>917</v>
      </c>
      <c r="M54" t="s">
        <v>918</v>
      </c>
    </row>
    <row r="55" ht="16.8" customHeight="1" spans="1:14">
      <c r="A55" s="10" t="s">
        <v>21</v>
      </c>
      <c r="B55" s="10" t="s">
        <v>552</v>
      </c>
      <c r="C55" s="10" t="s">
        <v>919</v>
      </c>
      <c r="D55" s="10" t="s">
        <v>149</v>
      </c>
      <c r="M55" t="s">
        <v>557</v>
      </c>
      <c r="N55" t="s">
        <v>524</v>
      </c>
    </row>
    <row r="56" ht="16.8" customHeight="1" spans="1:14">
      <c r="A56" s="10" t="s">
        <v>21</v>
      </c>
      <c r="B56" s="10" t="s">
        <v>552</v>
      </c>
      <c r="C56" s="10" t="s">
        <v>920</v>
      </c>
      <c r="D56" s="10" t="s">
        <v>152</v>
      </c>
      <c r="M56" t="s">
        <v>921</v>
      </c>
      <c r="N56" t="s">
        <v>524</v>
      </c>
    </row>
    <row r="57" ht="16.8" customHeight="1" spans="1:14">
      <c r="A57" s="10" t="s">
        <v>21</v>
      </c>
      <c r="B57" s="10" t="s">
        <v>552</v>
      </c>
      <c r="C57" s="10" t="s">
        <v>922</v>
      </c>
      <c r="D57" s="10" t="s">
        <v>155</v>
      </c>
      <c r="M57" t="s">
        <v>923</v>
      </c>
      <c r="N57" t="s">
        <v>524</v>
      </c>
    </row>
    <row r="58" ht="16.8" customHeight="1" spans="1:14">
      <c r="A58" s="10" t="s">
        <v>21</v>
      </c>
      <c r="B58" s="10" t="s">
        <v>552</v>
      </c>
      <c r="C58" s="10" t="s">
        <v>924</v>
      </c>
      <c r="D58" s="10" t="s">
        <v>158</v>
      </c>
      <c r="M58" t="s">
        <v>925</v>
      </c>
      <c r="N58" t="s">
        <v>524</v>
      </c>
    </row>
    <row r="59"/>
    <row r="60" ht="16.8" customHeight="1" spans="1:14">
      <c r="A60" t="s">
        <v>222</v>
      </c>
      <c r="B60" t="s">
        <v>223</v>
      </c>
      <c r="C60" t="s">
        <v>2</v>
      </c>
      <c r="D60" t="s">
        <v>3</v>
      </c>
      <c r="F60" t="s">
        <v>5</v>
      </c>
      <c r="J60" t="s">
        <v>9</v>
      </c>
      <c r="K60" t="s">
        <v>10</v>
      </c>
      <c r="M60" t="s">
        <v>4</v>
      </c>
    </row>
    <row r="61" ht="16.8" customHeight="1" spans="1:14">
      <c r="A61" t="s">
        <v>14</v>
      </c>
      <c r="B61" t="s">
        <v>31</v>
      </c>
      <c r="C61" t="s">
        <v>926</v>
      </c>
      <c r="D61" t="s">
        <v>927</v>
      </c>
      <c r="F61" t="s">
        <v>845</v>
      </c>
      <c r="K61" t="s">
        <v>19</v>
      </c>
      <c r="M61" t="s">
        <v>227</v>
      </c>
    </row>
    <row r="62" ht="16.8" customHeight="1" spans="1:14">
      <c r="A62" t="s">
        <v>21</v>
      </c>
      <c r="B62" t="s">
        <v>31</v>
      </c>
      <c r="C62" t="s">
        <v>928</v>
      </c>
      <c r="D62" t="s">
        <v>929</v>
      </c>
      <c r="F62" t="s">
        <v>848</v>
      </c>
      <c r="K62" t="s">
        <v>19</v>
      </c>
      <c r="M62" t="s">
        <v>231</v>
      </c>
    </row>
    <row r="63" ht="16.8" customHeight="1" spans="1:14">
      <c r="A63" t="s">
        <v>26</v>
      </c>
      <c r="B63" t="s">
        <v>31</v>
      </c>
      <c r="C63" t="s">
        <v>930</v>
      </c>
      <c r="D63" t="s">
        <v>233</v>
      </c>
      <c r="F63" t="s">
        <v>850</v>
      </c>
      <c r="K63" t="s">
        <v>19</v>
      </c>
      <c r="M63" t="s">
        <v>235</v>
      </c>
    </row>
    <row r="64" ht="16.8" customHeight="1" spans="1:14">
      <c r="A64" t="s">
        <v>236</v>
      </c>
      <c r="B64" t="s">
        <v>31</v>
      </c>
      <c r="C64" t="s">
        <v>931</v>
      </c>
      <c r="D64" t="s">
        <v>238</v>
      </c>
      <c r="F64" t="s">
        <v>932</v>
      </c>
      <c r="K64" t="s">
        <v>19</v>
      </c>
      <c r="M64" t="s">
        <v>240</v>
      </c>
    </row>
    <row r="65" ht="16.8" customHeight="1" spans="1:14">
      <c r="A65" t="s">
        <v>241</v>
      </c>
      <c r="B65" t="s">
        <v>31</v>
      </c>
      <c r="C65" t="s">
        <v>933</v>
      </c>
      <c r="D65" t="s">
        <v>243</v>
      </c>
      <c r="K65" t="s">
        <v>19</v>
      </c>
      <c r="M65" t="s">
        <v>244</v>
      </c>
      <c r="N65" t="s">
        <v>43</v>
      </c>
    </row>
    <row r="66" ht="16.8" customHeight="1" spans="1:14">
      <c r="A66" t="s">
        <v>241</v>
      </c>
      <c r="B66" t="s">
        <v>31</v>
      </c>
      <c r="C66" t="s">
        <v>934</v>
      </c>
      <c r="D66" t="s">
        <v>246</v>
      </c>
      <c r="K66" t="s">
        <v>19</v>
      </c>
      <c r="M66" t="s">
        <v>247</v>
      </c>
      <c r="N66" t="s">
        <v>43</v>
      </c>
    </row>
    <row r="67" ht="16.8" customHeight="1" spans="1:14">
      <c r="A67" t="s">
        <v>236</v>
      </c>
      <c r="B67" t="s">
        <v>31</v>
      </c>
      <c r="C67" t="s">
        <v>935</v>
      </c>
      <c r="D67" t="s">
        <v>249</v>
      </c>
      <c r="F67" t="s">
        <v>936</v>
      </c>
      <c r="K67" t="s">
        <v>19</v>
      </c>
      <c r="M67" t="s">
        <v>251</v>
      </c>
    </row>
    <row r="68" ht="16.8" customHeight="1" spans="1:14">
      <c r="A68" t="s">
        <v>241</v>
      </c>
      <c r="B68" t="s">
        <v>31</v>
      </c>
      <c r="C68" t="s">
        <v>937</v>
      </c>
      <c r="D68" t="s">
        <v>253</v>
      </c>
      <c r="K68" t="s">
        <v>19</v>
      </c>
      <c r="M68" t="s">
        <v>254</v>
      </c>
      <c r="N68" t="s">
        <v>43</v>
      </c>
    </row>
    <row r="69" ht="16.8" customHeight="1" spans="1:14">
      <c r="A69" t="s">
        <v>241</v>
      </c>
      <c r="B69" t="s">
        <v>31</v>
      </c>
      <c r="C69" t="s">
        <v>938</v>
      </c>
      <c r="D69" t="s">
        <v>256</v>
      </c>
      <c r="K69" t="s">
        <v>19</v>
      </c>
      <c r="M69" t="s">
        <v>257</v>
      </c>
      <c r="N69" t="s">
        <v>43</v>
      </c>
    </row>
    <row r="70" ht="16.8" customHeight="1" spans="1:14">
      <c r="A70" t="s">
        <v>236</v>
      </c>
      <c r="B70" t="s">
        <v>31</v>
      </c>
      <c r="C70" t="s">
        <v>939</v>
      </c>
      <c r="D70" t="s">
        <v>259</v>
      </c>
      <c r="F70" t="s">
        <v>940</v>
      </c>
      <c r="K70" t="s">
        <v>19</v>
      </c>
      <c r="M70" t="s">
        <v>261</v>
      </c>
    </row>
    <row r="71" ht="16.8" customHeight="1" spans="1:14">
      <c r="A71" t="s">
        <v>241</v>
      </c>
      <c r="B71" t="s">
        <v>31</v>
      </c>
      <c r="C71" t="s">
        <v>941</v>
      </c>
      <c r="D71" t="s">
        <v>263</v>
      </c>
      <c r="F71" t="s">
        <v>942</v>
      </c>
      <c r="K71" t="s">
        <v>19</v>
      </c>
      <c r="M71" t="s">
        <v>265</v>
      </c>
    </row>
    <row r="72" ht="16.8" customHeight="1" spans="1:14">
      <c r="A72" t="s">
        <v>266</v>
      </c>
      <c r="B72" t="s">
        <v>31</v>
      </c>
      <c r="C72" t="s">
        <v>943</v>
      </c>
      <c r="D72" t="s">
        <v>268</v>
      </c>
      <c r="K72" t="s">
        <v>19</v>
      </c>
      <c r="M72" t="s">
        <v>269</v>
      </c>
      <c r="N72" t="s">
        <v>43</v>
      </c>
    </row>
    <row r="73" ht="16.8" customHeight="1" spans="1:14">
      <c r="A73" t="s">
        <v>266</v>
      </c>
      <c r="B73" t="s">
        <v>31</v>
      </c>
      <c r="C73" t="s">
        <v>944</v>
      </c>
      <c r="D73" t="s">
        <v>271</v>
      </c>
      <c r="K73" t="s">
        <v>19</v>
      </c>
      <c r="M73" t="s">
        <v>272</v>
      </c>
      <c r="N73" t="s">
        <v>43</v>
      </c>
    </row>
    <row r="74" ht="16.8" customHeight="1" spans="1:14">
      <c r="A74" t="s">
        <v>241</v>
      </c>
      <c r="B74" t="s">
        <v>31</v>
      </c>
      <c r="C74" t="s">
        <v>945</v>
      </c>
      <c r="D74" t="s">
        <v>946</v>
      </c>
      <c r="K74" t="s">
        <v>19</v>
      </c>
      <c r="M74" t="s">
        <v>275</v>
      </c>
      <c r="N74" t="s">
        <v>43</v>
      </c>
    </row>
    <row r="75" ht="16.8" customHeight="1" spans="1:14">
      <c r="A75" t="s">
        <v>266</v>
      </c>
      <c r="B75" t="s">
        <v>31</v>
      </c>
      <c r="C75" t="s">
        <v>947</v>
      </c>
      <c r="D75" t="s">
        <v>277</v>
      </c>
      <c r="K75" t="s">
        <v>19</v>
      </c>
      <c r="M75" t="s">
        <v>278</v>
      </c>
      <c r="N75" t="s">
        <v>43</v>
      </c>
    </row>
    <row r="76" ht="16.8" customHeight="1" spans="1:14">
      <c r="A76" t="s">
        <v>241</v>
      </c>
      <c r="B76" t="s">
        <v>31</v>
      </c>
      <c r="C76" t="s">
        <v>948</v>
      </c>
      <c r="D76" t="s">
        <v>949</v>
      </c>
      <c r="K76" t="s">
        <v>19</v>
      </c>
      <c r="M76" t="s">
        <v>281</v>
      </c>
      <c r="N76" t="s">
        <v>43</v>
      </c>
    </row>
    <row r="77" ht="16.8" customHeight="1" spans="1:14">
      <c r="A77" t="s">
        <v>266</v>
      </c>
      <c r="B77" t="s">
        <v>31</v>
      </c>
      <c r="C77" t="s">
        <v>950</v>
      </c>
      <c r="D77" t="s">
        <v>283</v>
      </c>
      <c r="K77" t="s">
        <v>19</v>
      </c>
      <c r="M77" t="s">
        <v>284</v>
      </c>
      <c r="N77" t="s">
        <v>43</v>
      </c>
    </row>
    <row r="78" ht="16.8" customHeight="1" spans="1:14">
      <c r="A78" t="s">
        <v>241</v>
      </c>
      <c r="B78" t="s">
        <v>31</v>
      </c>
      <c r="C78" t="s">
        <v>951</v>
      </c>
      <c r="D78" t="s">
        <v>952</v>
      </c>
      <c r="K78" t="s">
        <v>19</v>
      </c>
      <c r="M78" t="s">
        <v>287</v>
      </c>
      <c r="N78" t="s">
        <v>43</v>
      </c>
    </row>
    <row r="79" ht="16.8" customHeight="1" spans="1:14">
      <c r="A79" t="s">
        <v>266</v>
      </c>
      <c r="B79" t="s">
        <v>31</v>
      </c>
      <c r="C79" t="s">
        <v>953</v>
      </c>
      <c r="D79" t="s">
        <v>289</v>
      </c>
      <c r="K79" t="s">
        <v>19</v>
      </c>
      <c r="M79" t="s">
        <v>290</v>
      </c>
      <c r="N79" t="s">
        <v>43</v>
      </c>
    </row>
    <row r="80" ht="16.8" customHeight="1" spans="1:14">
      <c r="A80" t="s">
        <v>236</v>
      </c>
      <c r="B80" t="s">
        <v>31</v>
      </c>
      <c r="C80" t="s">
        <v>954</v>
      </c>
      <c r="D80" t="s">
        <v>955</v>
      </c>
      <c r="K80" t="s">
        <v>19</v>
      </c>
      <c r="M80" t="s">
        <v>293</v>
      </c>
      <c r="N80" t="s">
        <v>43</v>
      </c>
    </row>
    <row r="81" ht="16.8" customHeight="1" spans="1:14">
      <c r="A81" t="s">
        <v>241</v>
      </c>
      <c r="B81" t="s">
        <v>31</v>
      </c>
      <c r="C81" t="s">
        <v>956</v>
      </c>
      <c r="D81" t="s">
        <v>295</v>
      </c>
      <c r="K81" t="s">
        <v>19</v>
      </c>
      <c r="M81" t="s">
        <v>296</v>
      </c>
      <c r="N81" t="s">
        <v>43</v>
      </c>
    </row>
    <row r="82" ht="16.8" customHeight="1" spans="1:14">
      <c r="A82" t="s">
        <v>236</v>
      </c>
      <c r="B82" t="s">
        <v>31</v>
      </c>
      <c r="C82" t="s">
        <v>957</v>
      </c>
      <c r="D82" t="s">
        <v>958</v>
      </c>
      <c r="K82" t="s">
        <v>19</v>
      </c>
      <c r="M82" t="s">
        <v>299</v>
      </c>
      <c r="N82" t="s">
        <v>43</v>
      </c>
    </row>
    <row r="83" ht="16.8" customHeight="1" spans="1:14">
      <c r="A83" t="s">
        <v>241</v>
      </c>
      <c r="B83" t="s">
        <v>31</v>
      </c>
      <c r="C83" t="s">
        <v>959</v>
      </c>
      <c r="D83" t="s">
        <v>301</v>
      </c>
      <c r="K83" t="s">
        <v>19</v>
      </c>
      <c r="M83" t="s">
        <v>302</v>
      </c>
      <c r="N83" t="s">
        <v>43</v>
      </c>
    </row>
    <row r="84" ht="16.8" customHeight="1" spans="1:14">
      <c r="A84" t="s">
        <v>26</v>
      </c>
      <c r="B84" t="s">
        <v>31</v>
      </c>
      <c r="C84" t="s">
        <v>960</v>
      </c>
      <c r="D84" t="s">
        <v>304</v>
      </c>
      <c r="F84" t="s">
        <v>853</v>
      </c>
      <c r="K84" t="s">
        <v>19</v>
      </c>
      <c r="M84" t="s">
        <v>306</v>
      </c>
    </row>
    <row r="85" ht="16.8" customHeight="1" spans="1:14">
      <c r="A85" t="s">
        <v>236</v>
      </c>
      <c r="B85" t="s">
        <v>31</v>
      </c>
      <c r="C85" t="s">
        <v>961</v>
      </c>
      <c r="D85" t="s">
        <v>238</v>
      </c>
      <c r="F85" t="s">
        <v>962</v>
      </c>
      <c r="K85" t="s">
        <v>19</v>
      </c>
      <c r="M85" t="s">
        <v>309</v>
      </c>
    </row>
    <row r="86" ht="16.8" customHeight="1" spans="1:14">
      <c r="A86" t="s">
        <v>241</v>
      </c>
      <c r="B86" t="s">
        <v>31</v>
      </c>
      <c r="C86" t="s">
        <v>963</v>
      </c>
      <c r="D86" t="s">
        <v>243</v>
      </c>
      <c r="K86" t="s">
        <v>19</v>
      </c>
      <c r="M86" t="s">
        <v>311</v>
      </c>
      <c r="N86" t="s">
        <v>43</v>
      </c>
    </row>
    <row r="87" ht="16.8" customHeight="1" spans="1:14">
      <c r="A87" t="s">
        <v>241</v>
      </c>
      <c r="B87" t="s">
        <v>31</v>
      </c>
      <c r="C87" t="s">
        <v>964</v>
      </c>
      <c r="D87" t="s">
        <v>246</v>
      </c>
      <c r="K87" t="s">
        <v>19</v>
      </c>
      <c r="M87" t="s">
        <v>313</v>
      </c>
      <c r="N87" t="s">
        <v>43</v>
      </c>
    </row>
    <row r="88" ht="16.8" customHeight="1" spans="1:14">
      <c r="A88" t="s">
        <v>236</v>
      </c>
      <c r="B88" t="s">
        <v>31</v>
      </c>
      <c r="C88" t="s">
        <v>965</v>
      </c>
      <c r="D88" t="s">
        <v>249</v>
      </c>
      <c r="F88" t="s">
        <v>966</v>
      </c>
      <c r="K88" t="s">
        <v>19</v>
      </c>
      <c r="M88" t="s">
        <v>316</v>
      </c>
    </row>
    <row r="89" ht="16.8" customHeight="1" spans="1:14">
      <c r="A89" t="s">
        <v>241</v>
      </c>
      <c r="B89" t="s">
        <v>31</v>
      </c>
      <c r="C89" t="s">
        <v>967</v>
      </c>
      <c r="D89" t="s">
        <v>253</v>
      </c>
      <c r="K89" t="s">
        <v>19</v>
      </c>
      <c r="M89" t="s">
        <v>318</v>
      </c>
      <c r="N89" t="s">
        <v>43</v>
      </c>
    </row>
    <row r="90" ht="16.8" customHeight="1" spans="1:14">
      <c r="A90" t="s">
        <v>241</v>
      </c>
      <c r="B90" t="s">
        <v>31</v>
      </c>
      <c r="C90" t="s">
        <v>968</v>
      </c>
      <c r="D90" t="s">
        <v>256</v>
      </c>
      <c r="K90" t="s">
        <v>19</v>
      </c>
      <c r="M90" t="s">
        <v>320</v>
      </c>
      <c r="N90" t="s">
        <v>43</v>
      </c>
    </row>
    <row r="91" ht="16.8" customHeight="1" spans="1:14">
      <c r="A91" t="s">
        <v>236</v>
      </c>
      <c r="B91" t="s">
        <v>31</v>
      </c>
      <c r="C91" t="s">
        <v>969</v>
      </c>
      <c r="D91" t="s">
        <v>259</v>
      </c>
      <c r="F91" t="s">
        <v>970</v>
      </c>
      <c r="K91" t="s">
        <v>19</v>
      </c>
      <c r="M91" t="s">
        <v>323</v>
      </c>
    </row>
    <row r="92" ht="16.8" customHeight="1" spans="1:14">
      <c r="A92" t="s">
        <v>241</v>
      </c>
      <c r="B92" t="s">
        <v>31</v>
      </c>
      <c r="C92" t="s">
        <v>971</v>
      </c>
      <c r="D92" t="s">
        <v>263</v>
      </c>
      <c r="F92" t="s">
        <v>972</v>
      </c>
      <c r="K92" t="s">
        <v>19</v>
      </c>
      <c r="M92" t="s">
        <v>326</v>
      </c>
    </row>
    <row r="93" ht="16.8" customHeight="1" spans="1:14">
      <c r="A93" t="s">
        <v>266</v>
      </c>
      <c r="B93" t="s">
        <v>31</v>
      </c>
      <c r="C93" t="s">
        <v>973</v>
      </c>
      <c r="D93" t="s">
        <v>268</v>
      </c>
      <c r="K93" t="s">
        <v>19</v>
      </c>
      <c r="M93" t="s">
        <v>328</v>
      </c>
      <c r="N93" t="s">
        <v>43</v>
      </c>
    </row>
    <row r="94" ht="16.8" customHeight="1" spans="1:14">
      <c r="A94" t="s">
        <v>266</v>
      </c>
      <c r="B94" t="s">
        <v>31</v>
      </c>
      <c r="C94" t="s">
        <v>974</v>
      </c>
      <c r="D94" t="s">
        <v>271</v>
      </c>
      <c r="K94" t="s">
        <v>19</v>
      </c>
      <c r="M94" t="s">
        <v>330</v>
      </c>
      <c r="N94" t="s">
        <v>43</v>
      </c>
    </row>
    <row r="95" ht="16.8" customHeight="1" spans="1:14">
      <c r="A95" t="s">
        <v>241</v>
      </c>
      <c r="B95" t="s">
        <v>31</v>
      </c>
      <c r="C95" t="s">
        <v>975</v>
      </c>
      <c r="D95" t="s">
        <v>976</v>
      </c>
      <c r="K95" t="s">
        <v>19</v>
      </c>
      <c r="M95" t="s">
        <v>333</v>
      </c>
      <c r="N95" t="s">
        <v>43</v>
      </c>
    </row>
    <row r="96" ht="16.8" customHeight="1" spans="1:14">
      <c r="A96" t="s">
        <v>266</v>
      </c>
      <c r="B96" t="s">
        <v>31</v>
      </c>
      <c r="C96" t="s">
        <v>977</v>
      </c>
      <c r="D96" t="s">
        <v>277</v>
      </c>
      <c r="K96" t="s">
        <v>19</v>
      </c>
      <c r="M96" t="s">
        <v>335</v>
      </c>
      <c r="N96" t="s">
        <v>43</v>
      </c>
    </row>
    <row r="97" ht="16.8" customHeight="1" spans="1:14">
      <c r="A97" t="s">
        <v>241</v>
      </c>
      <c r="B97" t="s">
        <v>31</v>
      </c>
      <c r="C97" t="s">
        <v>978</v>
      </c>
      <c r="D97" t="s">
        <v>979</v>
      </c>
      <c r="K97" t="s">
        <v>19</v>
      </c>
      <c r="M97" t="s">
        <v>338</v>
      </c>
      <c r="N97" t="s">
        <v>43</v>
      </c>
    </row>
    <row r="98" ht="16.8" customHeight="1" spans="1:14">
      <c r="A98" t="s">
        <v>266</v>
      </c>
      <c r="B98" t="s">
        <v>31</v>
      </c>
      <c r="C98" t="s">
        <v>980</v>
      </c>
      <c r="D98" t="s">
        <v>283</v>
      </c>
      <c r="K98" t="s">
        <v>19</v>
      </c>
      <c r="M98" t="s">
        <v>340</v>
      </c>
      <c r="N98" t="s">
        <v>43</v>
      </c>
    </row>
    <row r="99" ht="16.8" customHeight="1" spans="1:14">
      <c r="A99" t="s">
        <v>241</v>
      </c>
      <c r="B99" t="s">
        <v>31</v>
      </c>
      <c r="C99" t="s">
        <v>981</v>
      </c>
      <c r="D99" t="s">
        <v>982</v>
      </c>
      <c r="K99" t="s">
        <v>19</v>
      </c>
      <c r="M99" t="s">
        <v>343</v>
      </c>
      <c r="N99" t="s">
        <v>43</v>
      </c>
    </row>
    <row r="100" ht="16.8" customHeight="1" spans="1:14">
      <c r="A100" t="s">
        <v>266</v>
      </c>
      <c r="B100" t="s">
        <v>31</v>
      </c>
      <c r="C100" t="s">
        <v>983</v>
      </c>
      <c r="D100" t="s">
        <v>289</v>
      </c>
      <c r="K100" t="s">
        <v>19</v>
      </c>
      <c r="M100" t="s">
        <v>345</v>
      </c>
      <c r="N100" t="s">
        <v>43</v>
      </c>
    </row>
    <row r="101" ht="16.8" customHeight="1" spans="1:14">
      <c r="A101" t="s">
        <v>236</v>
      </c>
      <c r="B101" t="s">
        <v>31</v>
      </c>
      <c r="C101" t="s">
        <v>984</v>
      </c>
      <c r="D101" t="s">
        <v>985</v>
      </c>
      <c r="K101" t="s">
        <v>19</v>
      </c>
      <c r="M101" t="s">
        <v>348</v>
      </c>
      <c r="N101" t="s">
        <v>43</v>
      </c>
    </row>
    <row r="102" ht="16.8" customHeight="1" spans="1:14">
      <c r="A102" t="s">
        <v>241</v>
      </c>
      <c r="B102" t="s">
        <v>31</v>
      </c>
      <c r="C102" t="s">
        <v>986</v>
      </c>
      <c r="D102" t="s">
        <v>295</v>
      </c>
      <c r="K102" t="s">
        <v>19</v>
      </c>
      <c r="M102" t="s">
        <v>350</v>
      </c>
      <c r="N102" t="s">
        <v>43</v>
      </c>
    </row>
    <row r="103" ht="16.8" customHeight="1" spans="1:14">
      <c r="A103" t="s">
        <v>236</v>
      </c>
      <c r="B103" t="s">
        <v>31</v>
      </c>
      <c r="C103" t="s">
        <v>987</v>
      </c>
      <c r="D103" t="s">
        <v>988</v>
      </c>
      <c r="K103" t="s">
        <v>19</v>
      </c>
      <c r="M103" t="s">
        <v>353</v>
      </c>
      <c r="N103" t="s">
        <v>43</v>
      </c>
    </row>
    <row r="104" ht="16.8" customHeight="1" spans="1:14">
      <c r="A104" t="s">
        <v>241</v>
      </c>
      <c r="B104" t="s">
        <v>31</v>
      </c>
      <c r="C104" t="s">
        <v>989</v>
      </c>
      <c r="D104" t="s">
        <v>301</v>
      </c>
      <c r="K104" t="s">
        <v>19</v>
      </c>
      <c r="M104" t="s">
        <v>355</v>
      </c>
      <c r="N104" t="s">
        <v>43</v>
      </c>
    </row>
    <row r="105" ht="16.8" customHeight="1" spans="1:14">
      <c r="A105" t="s">
        <v>21</v>
      </c>
      <c r="B105" t="s">
        <v>31</v>
      </c>
      <c r="C105" t="s">
        <v>990</v>
      </c>
      <c r="D105" t="s">
        <v>249</v>
      </c>
      <c r="K105" t="s">
        <v>19</v>
      </c>
      <c r="N105" t="s">
        <v>43</v>
      </c>
    </row>
    <row r="106" ht="16.8" customHeight="1" spans="1:14">
      <c r="A106" t="s">
        <v>26</v>
      </c>
      <c r="B106" t="s">
        <v>31</v>
      </c>
      <c r="C106" t="s">
        <v>991</v>
      </c>
      <c r="D106" t="s">
        <v>358</v>
      </c>
      <c r="K106" t="s">
        <v>19</v>
      </c>
      <c r="N106" t="s">
        <v>43</v>
      </c>
    </row>
    <row r="107" ht="16.8" customHeight="1" spans="1:14">
      <c r="A107" t="s">
        <v>26</v>
      </c>
      <c r="B107" t="s">
        <v>31</v>
      </c>
      <c r="C107" t="s">
        <v>992</v>
      </c>
      <c r="D107" t="s">
        <v>360</v>
      </c>
      <c r="K107" t="s">
        <v>19</v>
      </c>
      <c r="N107" t="s">
        <v>43</v>
      </c>
    </row>
    <row r="108" ht="16.8" customHeight="1" spans="1:14">
      <c r="A108" t="s">
        <v>21</v>
      </c>
      <c r="B108" t="s">
        <v>31</v>
      </c>
      <c r="C108" t="s">
        <v>993</v>
      </c>
      <c r="D108" t="s">
        <v>994</v>
      </c>
      <c r="F108" t="s">
        <v>858</v>
      </c>
      <c r="K108" t="s">
        <v>19</v>
      </c>
      <c r="M108" t="s">
        <v>859</v>
      </c>
    </row>
    <row r="109" ht="16.8" customHeight="1" spans="1:14">
      <c r="A109" t="s">
        <v>26</v>
      </c>
      <c r="B109" t="s">
        <v>31</v>
      </c>
      <c r="C109" t="s">
        <v>995</v>
      </c>
      <c r="D109" t="s">
        <v>263</v>
      </c>
      <c r="F109" t="s">
        <v>862</v>
      </c>
      <c r="K109" t="s">
        <v>19</v>
      </c>
      <c r="M109" t="s">
        <v>863</v>
      </c>
    </row>
    <row r="110" ht="16.8" customHeight="1" spans="1:14">
      <c r="A110" t="s">
        <v>236</v>
      </c>
      <c r="B110" t="s">
        <v>31</v>
      </c>
      <c r="C110" t="s">
        <v>996</v>
      </c>
      <c r="D110" t="s">
        <v>268</v>
      </c>
      <c r="K110" t="s">
        <v>19</v>
      </c>
      <c r="M110" t="s">
        <v>866</v>
      </c>
      <c r="N110" t="s">
        <v>43</v>
      </c>
    </row>
    <row r="111" ht="16.8" customHeight="1" spans="1:14">
      <c r="A111" t="s">
        <v>236</v>
      </c>
      <c r="B111" t="s">
        <v>31</v>
      </c>
      <c r="C111" t="s">
        <v>997</v>
      </c>
      <c r="D111" t="s">
        <v>271</v>
      </c>
      <c r="K111" t="s">
        <v>19</v>
      </c>
      <c r="M111" t="s">
        <v>869</v>
      </c>
      <c r="N111" t="s">
        <v>43</v>
      </c>
    </row>
    <row r="112" ht="16.8" customHeight="1" spans="1:14">
      <c r="A112" t="s">
        <v>26</v>
      </c>
      <c r="B112" t="s">
        <v>31</v>
      </c>
      <c r="C112" t="s">
        <v>998</v>
      </c>
      <c r="D112" t="s">
        <v>999</v>
      </c>
      <c r="K112" t="s">
        <v>19</v>
      </c>
      <c r="M112" t="s">
        <v>872</v>
      </c>
      <c r="N112" t="s">
        <v>43</v>
      </c>
    </row>
    <row r="113" ht="16.8" customHeight="1" spans="1:14">
      <c r="A113" t="s">
        <v>26</v>
      </c>
      <c r="B113" t="s">
        <v>31</v>
      </c>
      <c r="C113" t="s">
        <v>1000</v>
      </c>
      <c r="D113" t="s">
        <v>283</v>
      </c>
      <c r="K113" t="s">
        <v>19</v>
      </c>
      <c r="M113" t="s">
        <v>875</v>
      </c>
      <c r="N113" t="s">
        <v>43</v>
      </c>
    </row>
    <row r="114" ht="16.8" customHeight="1" spans="1:14">
      <c r="A114" t="s">
        <v>26</v>
      </c>
      <c r="B114" t="s">
        <v>31</v>
      </c>
      <c r="C114" t="s">
        <v>1001</v>
      </c>
      <c r="D114" t="s">
        <v>289</v>
      </c>
      <c r="K114" t="s">
        <v>19</v>
      </c>
      <c r="M114" t="s">
        <v>878</v>
      </c>
      <c r="N114" t="s">
        <v>43</v>
      </c>
    </row>
    <row r="115" ht="16.8" customHeight="1" spans="1:14">
      <c r="A115" t="s">
        <v>21</v>
      </c>
      <c r="B115" t="s">
        <v>31</v>
      </c>
      <c r="C115" t="s">
        <v>1002</v>
      </c>
      <c r="D115" t="s">
        <v>1003</v>
      </c>
      <c r="K115" t="s">
        <v>19</v>
      </c>
      <c r="M115" t="s">
        <v>881</v>
      </c>
      <c r="N115" t="s">
        <v>43</v>
      </c>
    </row>
    <row r="116" ht="16.8" customHeight="1" spans="1:14">
      <c r="A116" t="s">
        <v>21</v>
      </c>
      <c r="B116" t="s">
        <v>31</v>
      </c>
      <c r="C116" t="s">
        <v>1004</v>
      </c>
      <c r="D116" t="s">
        <v>1005</v>
      </c>
      <c r="K116" t="s">
        <v>19</v>
      </c>
      <c r="M116" t="s">
        <v>883</v>
      </c>
      <c r="N116" t="s">
        <v>43</v>
      </c>
    </row>
    <row r="117" ht="16.8" customHeight="1" spans="1:14">
      <c r="A117" t="s">
        <v>21</v>
      </c>
      <c r="B117" t="s">
        <v>31</v>
      </c>
      <c r="C117" t="s">
        <v>1006</v>
      </c>
      <c r="D117" t="s">
        <v>362</v>
      </c>
      <c r="F117" t="s">
        <v>1007</v>
      </c>
      <c r="K117" t="s">
        <v>19</v>
      </c>
      <c r="M117" t="s">
        <v>364</v>
      </c>
    </row>
    <row r="118" ht="16.8" customHeight="1" spans="1:14">
      <c r="A118" t="s">
        <v>26</v>
      </c>
      <c r="B118" t="s">
        <v>31</v>
      </c>
      <c r="C118" t="s">
        <v>1007</v>
      </c>
      <c r="D118" t="s">
        <v>365</v>
      </c>
      <c r="F118" t="s">
        <v>1008</v>
      </c>
      <c r="K118" t="s">
        <v>19</v>
      </c>
      <c r="M118" t="s">
        <v>367</v>
      </c>
    </row>
    <row r="119" ht="16.8" customHeight="1" spans="1:14">
      <c r="A119" t="s">
        <v>236</v>
      </c>
      <c r="B119" t="s">
        <v>31</v>
      </c>
      <c r="C119" t="s">
        <v>1009</v>
      </c>
      <c r="D119" t="s">
        <v>369</v>
      </c>
      <c r="F119" t="s">
        <v>1010</v>
      </c>
      <c r="K119" t="s">
        <v>19</v>
      </c>
      <c r="M119" t="s">
        <v>371</v>
      </c>
    </row>
    <row r="120" ht="16.8" customHeight="1" spans="1:14">
      <c r="A120" t="s">
        <v>241</v>
      </c>
      <c r="B120" t="s">
        <v>31</v>
      </c>
      <c r="C120" t="s">
        <v>1011</v>
      </c>
      <c r="D120" t="s">
        <v>373</v>
      </c>
      <c r="K120" t="s">
        <v>19</v>
      </c>
      <c r="M120" t="s">
        <v>374</v>
      </c>
      <c r="N120" t="s">
        <v>43</v>
      </c>
    </row>
    <row r="121" ht="16.8" customHeight="1" spans="1:14">
      <c r="A121" t="s">
        <v>241</v>
      </c>
      <c r="B121" t="s">
        <v>31</v>
      </c>
      <c r="C121" t="s">
        <v>1012</v>
      </c>
      <c r="D121" t="s">
        <v>376</v>
      </c>
      <c r="K121" t="s">
        <v>19</v>
      </c>
      <c r="M121" t="s">
        <v>377</v>
      </c>
      <c r="N121" t="s">
        <v>43</v>
      </c>
    </row>
    <row r="122" ht="16.8" customHeight="1" spans="1:14">
      <c r="A122" t="s">
        <v>241</v>
      </c>
      <c r="B122" t="s">
        <v>31</v>
      </c>
      <c r="C122" t="s">
        <v>1013</v>
      </c>
      <c r="D122" t="s">
        <v>379</v>
      </c>
      <c r="K122" t="s">
        <v>19</v>
      </c>
      <c r="M122" t="s">
        <v>380</v>
      </c>
      <c r="N122" t="s">
        <v>43</v>
      </c>
    </row>
    <row r="123" ht="16.8" customHeight="1" spans="1:14">
      <c r="A123" t="s">
        <v>241</v>
      </c>
      <c r="B123" t="s">
        <v>31</v>
      </c>
      <c r="C123" t="s">
        <v>1014</v>
      </c>
      <c r="D123" t="s">
        <v>382</v>
      </c>
      <c r="K123" t="s">
        <v>19</v>
      </c>
      <c r="M123" t="s">
        <v>383</v>
      </c>
      <c r="N123" t="s">
        <v>43</v>
      </c>
    </row>
    <row r="124" ht="16.8" customHeight="1" spans="1:14">
      <c r="A124" t="s">
        <v>236</v>
      </c>
      <c r="B124" t="s">
        <v>31</v>
      </c>
      <c r="C124" t="s">
        <v>1015</v>
      </c>
      <c r="D124" t="s">
        <v>385</v>
      </c>
      <c r="F124" t="s">
        <v>1016</v>
      </c>
      <c r="K124" t="s">
        <v>19</v>
      </c>
      <c r="M124" t="s">
        <v>387</v>
      </c>
    </row>
    <row r="125" ht="16.8" customHeight="1" spans="1:14">
      <c r="A125" t="s">
        <v>241</v>
      </c>
      <c r="B125" t="s">
        <v>31</v>
      </c>
      <c r="C125" t="s">
        <v>1017</v>
      </c>
      <c r="D125" t="s">
        <v>389</v>
      </c>
      <c r="K125" t="s">
        <v>19</v>
      </c>
      <c r="M125" t="s">
        <v>390</v>
      </c>
      <c r="N125" t="s">
        <v>43</v>
      </c>
    </row>
    <row r="126" ht="16.8" customHeight="1" spans="1:14">
      <c r="A126" t="s">
        <v>241</v>
      </c>
      <c r="B126" t="s">
        <v>31</v>
      </c>
      <c r="C126" t="s">
        <v>1018</v>
      </c>
      <c r="D126" t="s">
        <v>392</v>
      </c>
      <c r="K126" t="s">
        <v>19</v>
      </c>
      <c r="M126" t="s">
        <v>393</v>
      </c>
      <c r="N126" t="s">
        <v>43</v>
      </c>
    </row>
    <row r="127" ht="16.8" customHeight="1" spans="1:14">
      <c r="A127" t="s">
        <v>241</v>
      </c>
      <c r="B127" t="s">
        <v>31</v>
      </c>
      <c r="C127" t="s">
        <v>1019</v>
      </c>
      <c r="D127" t="s">
        <v>395</v>
      </c>
      <c r="K127" t="s">
        <v>19</v>
      </c>
      <c r="M127" t="s">
        <v>396</v>
      </c>
      <c r="N127" t="s">
        <v>43</v>
      </c>
    </row>
    <row r="128" ht="16.8" customHeight="1" spans="1:14">
      <c r="A128" t="s">
        <v>241</v>
      </c>
      <c r="B128" t="s">
        <v>31</v>
      </c>
      <c r="C128" t="s">
        <v>1020</v>
      </c>
      <c r="D128" t="s">
        <v>398</v>
      </c>
      <c r="K128" t="s">
        <v>19</v>
      </c>
      <c r="M128" t="s">
        <v>399</v>
      </c>
      <c r="N128" t="s">
        <v>43</v>
      </c>
    </row>
    <row r="129" ht="16.8" customHeight="1" spans="1:14">
      <c r="A129" t="s">
        <v>241</v>
      </c>
      <c r="B129" t="s">
        <v>31</v>
      </c>
      <c r="C129" t="s">
        <v>1021</v>
      </c>
      <c r="D129" t="s">
        <v>401</v>
      </c>
      <c r="K129" t="s">
        <v>19</v>
      </c>
      <c r="M129" t="s">
        <v>402</v>
      </c>
      <c r="N129" t="s">
        <v>43</v>
      </c>
    </row>
    <row r="130" ht="16.8" customHeight="1" spans="1:14">
      <c r="A130" t="s">
        <v>241</v>
      </c>
      <c r="B130" t="s">
        <v>31</v>
      </c>
      <c r="C130" t="s">
        <v>1022</v>
      </c>
      <c r="D130" t="s">
        <v>404</v>
      </c>
      <c r="K130" t="s">
        <v>19</v>
      </c>
      <c r="M130" t="s">
        <v>405</v>
      </c>
      <c r="N130" t="s">
        <v>43</v>
      </c>
    </row>
    <row r="131" ht="16.8" customHeight="1" spans="1:14">
      <c r="A131" t="s">
        <v>241</v>
      </c>
      <c r="B131" t="s">
        <v>31</v>
      </c>
      <c r="C131" t="s">
        <v>1023</v>
      </c>
      <c r="D131" t="s">
        <v>407</v>
      </c>
      <c r="K131" t="s">
        <v>19</v>
      </c>
      <c r="M131" t="s">
        <v>408</v>
      </c>
      <c r="N131" t="s">
        <v>43</v>
      </c>
    </row>
    <row r="132" ht="16.8" customHeight="1" spans="1:14">
      <c r="A132" t="s">
        <v>241</v>
      </c>
      <c r="B132" t="s">
        <v>31</v>
      </c>
      <c r="C132" t="s">
        <v>1024</v>
      </c>
      <c r="D132" t="s">
        <v>410</v>
      </c>
      <c r="K132" t="s">
        <v>19</v>
      </c>
      <c r="M132" t="s">
        <v>411</v>
      </c>
      <c r="N132" t="s">
        <v>43</v>
      </c>
    </row>
    <row r="133" ht="16.8" customHeight="1" spans="1:14">
      <c r="A133" t="s">
        <v>241</v>
      </c>
      <c r="B133" t="s">
        <v>31</v>
      </c>
      <c r="C133" t="s">
        <v>1025</v>
      </c>
      <c r="D133" t="s">
        <v>413</v>
      </c>
      <c r="K133" t="s">
        <v>19</v>
      </c>
      <c r="M133" t="s">
        <v>414</v>
      </c>
      <c r="N133" t="s">
        <v>43</v>
      </c>
    </row>
    <row r="134" ht="16.8" customHeight="1" spans="1:14">
      <c r="A134" t="s">
        <v>241</v>
      </c>
      <c r="B134" t="s">
        <v>31</v>
      </c>
      <c r="C134" t="s">
        <v>1026</v>
      </c>
      <c r="D134" t="s">
        <v>416</v>
      </c>
      <c r="K134" t="s">
        <v>19</v>
      </c>
      <c r="M134" t="s">
        <v>417</v>
      </c>
      <c r="N134" t="s">
        <v>43</v>
      </c>
    </row>
    <row r="135" ht="16.8" customHeight="1" spans="1:14">
      <c r="A135" t="s">
        <v>241</v>
      </c>
      <c r="B135" t="s">
        <v>31</v>
      </c>
      <c r="C135" t="s">
        <v>1027</v>
      </c>
      <c r="D135" t="s">
        <v>419</v>
      </c>
      <c r="K135" t="s">
        <v>19</v>
      </c>
      <c r="M135" t="s">
        <v>420</v>
      </c>
      <c r="N135" t="s">
        <v>43</v>
      </c>
    </row>
    <row r="136" ht="16.8" customHeight="1" spans="1:14">
      <c r="A136" t="s">
        <v>241</v>
      </c>
      <c r="B136" t="s">
        <v>31</v>
      </c>
      <c r="C136" t="s">
        <v>1028</v>
      </c>
      <c r="D136" t="s">
        <v>422</v>
      </c>
      <c r="F136" t="s">
        <v>1029</v>
      </c>
      <c r="K136" t="s">
        <v>19</v>
      </c>
      <c r="M136" t="s">
        <v>424</v>
      </c>
    </row>
    <row r="137" ht="16.8" customHeight="1" spans="1:14">
      <c r="A137" t="s">
        <v>241</v>
      </c>
      <c r="B137" t="s">
        <v>31</v>
      </c>
      <c r="C137" t="s">
        <v>1030</v>
      </c>
      <c r="D137" t="s">
        <v>426</v>
      </c>
      <c r="F137" t="s">
        <v>1031</v>
      </c>
      <c r="K137" t="s">
        <v>19</v>
      </c>
      <c r="M137" t="s">
        <v>428</v>
      </c>
    </row>
    <row r="138" ht="16.8" customHeight="1" spans="1:14">
      <c r="A138" t="s">
        <v>241</v>
      </c>
      <c r="B138" t="s">
        <v>31</v>
      </c>
      <c r="C138" t="s">
        <v>1032</v>
      </c>
      <c r="D138" t="s">
        <v>430</v>
      </c>
      <c r="F138" t="s">
        <v>1033</v>
      </c>
      <c r="K138" t="s">
        <v>19</v>
      </c>
      <c r="M138" t="s">
        <v>432</v>
      </c>
    </row>
    <row r="139" ht="16.8" customHeight="1" spans="1:14">
      <c r="A139" t="s">
        <v>236</v>
      </c>
      <c r="B139" t="s">
        <v>31</v>
      </c>
      <c r="C139" t="s">
        <v>1034</v>
      </c>
      <c r="D139" t="s">
        <v>434</v>
      </c>
      <c r="F139" t="s">
        <v>1035</v>
      </c>
      <c r="K139" t="s">
        <v>19</v>
      </c>
      <c r="M139" t="s">
        <v>436</v>
      </c>
    </row>
    <row r="140" ht="16.8" customHeight="1" spans="1:14">
      <c r="A140" t="s">
        <v>241</v>
      </c>
      <c r="B140" t="s">
        <v>31</v>
      </c>
      <c r="C140" t="s">
        <v>1036</v>
      </c>
      <c r="D140" t="s">
        <v>438</v>
      </c>
      <c r="K140" t="s">
        <v>19</v>
      </c>
      <c r="M140" t="s">
        <v>439</v>
      </c>
      <c r="N140" t="s">
        <v>43</v>
      </c>
    </row>
    <row r="141" ht="16.8" customHeight="1" spans="1:14">
      <c r="A141" t="s">
        <v>241</v>
      </c>
      <c r="B141" t="s">
        <v>31</v>
      </c>
      <c r="C141" t="s">
        <v>1037</v>
      </c>
      <c r="D141" t="s">
        <v>441</v>
      </c>
      <c r="K141" t="s">
        <v>19</v>
      </c>
      <c r="M141" t="s">
        <v>442</v>
      </c>
      <c r="N141" t="s">
        <v>43</v>
      </c>
    </row>
    <row r="142" ht="16.8" customHeight="1" spans="1:14">
      <c r="A142" t="s">
        <v>241</v>
      </c>
      <c r="B142" t="s">
        <v>31</v>
      </c>
      <c r="C142" t="s">
        <v>1038</v>
      </c>
      <c r="D142" t="s">
        <v>444</v>
      </c>
      <c r="K142" t="s">
        <v>19</v>
      </c>
      <c r="M142" t="s">
        <v>445</v>
      </c>
      <c r="N142" t="s">
        <v>43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48"/>
  <sheetViews>
    <sheetView workbookViewId="0">
      <pane xSplit="4" ySplit="1" topLeftCell="E2" activePane="bottomRight" state="frozen"/>
      <selection/>
      <selection pane="topRight"/>
      <selection pane="bottomLeft"/>
      <selection pane="bottomRight" activeCell="N1" sqref="N1"/>
    </sheetView>
  </sheetViews>
  <sheetFormatPr defaultColWidth="9" defaultRowHeight="15" customHeight="1"/>
  <cols>
    <col min="1" max="2" width="8.66071428571429" style="5" customWidth="1"/>
    <col min="3" max="3" width="13" style="5" customWidth="1"/>
    <col min="4" max="4" width="33.0803571428571" style="5" customWidth="1"/>
    <col min="5" max="9" width="8.66071428571429" style="5" customWidth="1"/>
    <col min="10" max="10" width="18.25" style="5" customWidth="1"/>
    <col min="11" max="16384" width="8.66071428571429" style="5" customWidth="1"/>
  </cols>
  <sheetData>
    <row r="1" s="1" customFormat="1" customHeight="1" spans="1:1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6"/>
    </row>
    <row r="2" customHeight="1" spans="1:15">
      <c r="A2" s="7" t="s">
        <v>14</v>
      </c>
      <c r="B2" s="1" t="s">
        <v>15</v>
      </c>
      <c r="C2" s="8" t="s">
        <v>1039</v>
      </c>
      <c r="D2" s="7" t="s">
        <v>17</v>
      </c>
      <c r="F2" t="s">
        <v>1040</v>
      </c>
      <c r="H2" s="5">
        <f>H3+H6+H7</f>
        <v>0</v>
      </c>
      <c r="I2" s="5" t="e">
        <f>I3+I6+I7</f>
        <v>#DIV/0!</v>
      </c>
      <c r="M2" t="s">
        <v>20</v>
      </c>
    </row>
    <row r="3" customHeight="1" spans="1:15">
      <c r="A3" s="7" t="s">
        <v>21</v>
      </c>
      <c r="B3" s="1" t="s">
        <v>15</v>
      </c>
      <c r="C3" s="8" t="s">
        <v>1041</v>
      </c>
      <c r="D3" s="7" t="s">
        <v>23</v>
      </c>
      <c r="F3" t="s">
        <v>1042</v>
      </c>
      <c r="H3" s="5">
        <f>H4+H5</f>
        <v>0</v>
      </c>
      <c r="I3" s="5">
        <f>I4+I5</f>
        <v>0</v>
      </c>
      <c r="M3" t="s">
        <v>25</v>
      </c>
    </row>
    <row r="4" customHeight="1" spans="1:15">
      <c r="A4" s="1" t="s">
        <v>26</v>
      </c>
      <c r="B4" s="1" t="s">
        <v>15</v>
      </c>
      <c r="C4" s="9" t="s">
        <v>1043</v>
      </c>
      <c r="D4" s="1" t="s">
        <v>822</v>
      </c>
      <c r="H4" s="5">
        <f>H63-H97</f>
        <v>0</v>
      </c>
      <c r="I4" s="5">
        <f>I63-I97</f>
        <v>0</v>
      </c>
      <c r="M4" t="s">
        <v>823</v>
      </c>
      <c r="N4" t="s">
        <v>43</v>
      </c>
    </row>
    <row r="5" customHeight="1" spans="1:15">
      <c r="A5" s="1" t="s">
        <v>26</v>
      </c>
      <c r="B5" s="1" t="s">
        <v>15</v>
      </c>
      <c r="C5" s="9" t="s">
        <v>1044</v>
      </c>
      <c r="D5" s="1" t="s">
        <v>829</v>
      </c>
      <c r="H5" s="5">
        <f>H116-H109</f>
        <v>0</v>
      </c>
      <c r="I5" s="5">
        <f>I116-I109</f>
        <v>0</v>
      </c>
      <c r="M5" t="s">
        <v>830</v>
      </c>
      <c r="N5" t="s">
        <v>43</v>
      </c>
    </row>
    <row r="6" customHeight="1" spans="1:15">
      <c r="A6" s="7" t="s">
        <v>21</v>
      </c>
      <c r="B6" s="1" t="s">
        <v>15</v>
      </c>
      <c r="C6" s="8" t="s">
        <v>1045</v>
      </c>
      <c r="D6" s="7" t="s">
        <v>1046</v>
      </c>
      <c r="H6" s="5">
        <f>H123-H140</f>
        <v>0</v>
      </c>
      <c r="I6" s="5" t="e">
        <f>I123-I140</f>
        <v>#DIV/0!</v>
      </c>
      <c r="M6" t="s">
        <v>39</v>
      </c>
      <c r="N6" t="s">
        <v>43</v>
      </c>
    </row>
    <row r="7" customHeight="1" spans="1:15">
      <c r="A7" s="7" t="s">
        <v>21</v>
      </c>
      <c r="B7" s="1" t="s">
        <v>15</v>
      </c>
      <c r="C7" s="8" t="s">
        <v>1047</v>
      </c>
      <c r="D7" s="7" t="s">
        <v>48</v>
      </c>
      <c r="H7" s="5">
        <f>H162+H164</f>
        <v>0</v>
      </c>
      <c r="I7" s="5">
        <f>I162+I164</f>
        <v>0</v>
      </c>
      <c r="M7" t="s">
        <v>49</v>
      </c>
      <c r="N7" t="s">
        <v>43</v>
      </c>
    </row>
    <row r="8" customHeight="1" spans="1:15">
      <c r="A8" s="7" t="s">
        <v>14</v>
      </c>
      <c r="B8" s="1" t="s">
        <v>31</v>
      </c>
      <c r="C8" s="8" t="s">
        <v>1048</v>
      </c>
      <c r="D8" s="7" t="s">
        <v>840</v>
      </c>
      <c r="M8" t="s">
        <v>53</v>
      </c>
      <c r="N8" t="s">
        <v>43</v>
      </c>
    </row>
    <row r="9" customHeight="1" spans="1:15">
      <c r="A9" s="7" t="s">
        <v>14</v>
      </c>
      <c r="B9" s="1" t="s">
        <v>15</v>
      </c>
      <c r="C9" s="8" t="s">
        <v>1049</v>
      </c>
      <c r="D9" s="7" t="s">
        <v>68</v>
      </c>
      <c r="F9" t="s">
        <v>1050</v>
      </c>
      <c r="H9" s="5">
        <f>H2-H8</f>
        <v>0</v>
      </c>
      <c r="I9" s="5" t="e">
        <f>I2-I8</f>
        <v>#DIV/0!</v>
      </c>
      <c r="M9" t="s">
        <v>70</v>
      </c>
    </row>
    <row r="10" customHeight="1" spans="1:15">
      <c r="A10" s="7" t="s">
        <v>14</v>
      </c>
      <c r="B10" s="1" t="s">
        <v>31</v>
      </c>
      <c r="C10" s="8" t="s">
        <v>1051</v>
      </c>
      <c r="D10" s="7" t="s">
        <v>72</v>
      </c>
      <c r="M10" t="s">
        <v>73</v>
      </c>
      <c r="N10" t="s">
        <v>43</v>
      </c>
    </row>
    <row r="11" customHeight="1" spans="1:15">
      <c r="A11" s="7" t="s">
        <v>14</v>
      </c>
      <c r="B11" s="1" t="s">
        <v>31</v>
      </c>
      <c r="C11" s="8" t="s">
        <v>1052</v>
      </c>
      <c r="D11" s="7" t="s">
        <v>844</v>
      </c>
      <c r="F11" t="s">
        <v>1053</v>
      </c>
      <c r="H11" s="5">
        <f>H12+H15+H18+H25+H26</f>
        <v>0</v>
      </c>
      <c r="I11" s="5">
        <f>I12+I15+I18+I25+I26</f>
        <v>0</v>
      </c>
      <c r="K11" t="s">
        <v>19</v>
      </c>
      <c r="M11" t="s">
        <v>227</v>
      </c>
    </row>
    <row r="12" customHeight="1" spans="1:15">
      <c r="A12" s="7" t="s">
        <v>21</v>
      </c>
      <c r="B12" s="1" t="s">
        <v>31</v>
      </c>
      <c r="C12" s="8" t="s">
        <v>1054</v>
      </c>
      <c r="D12" s="7" t="s">
        <v>847</v>
      </c>
      <c r="F12" t="s">
        <v>1055</v>
      </c>
      <c r="H12" s="5">
        <f>H13+H14</f>
        <v>0</v>
      </c>
      <c r="I12" s="5">
        <f>I13+I14</f>
        <v>0</v>
      </c>
      <c r="K12" t="s">
        <v>19</v>
      </c>
      <c r="M12" t="s">
        <v>231</v>
      </c>
    </row>
    <row r="13" customHeight="1" spans="1:15">
      <c r="A13" s="1" t="s">
        <v>26</v>
      </c>
      <c r="B13" s="1" t="s">
        <v>31</v>
      </c>
      <c r="C13" s="9" t="s">
        <v>1056</v>
      </c>
      <c r="D13" s="1" t="s">
        <v>83</v>
      </c>
      <c r="F13" t="s">
        <v>1057</v>
      </c>
      <c r="K13" t="s">
        <v>19</v>
      </c>
      <c r="M13" t="s">
        <v>235</v>
      </c>
    </row>
    <row r="14" customHeight="1" spans="1:15">
      <c r="A14" s="1" t="s">
        <v>26</v>
      </c>
      <c r="B14" s="1" t="s">
        <v>31</v>
      </c>
      <c r="C14" s="9" t="s">
        <v>1058</v>
      </c>
      <c r="D14" s="1" t="s">
        <v>852</v>
      </c>
      <c r="F14" t="s">
        <v>1059</v>
      </c>
      <c r="K14" t="s">
        <v>19</v>
      </c>
      <c r="M14" t="s">
        <v>306</v>
      </c>
    </row>
    <row r="15" customHeight="1" spans="1:15">
      <c r="A15" s="7" t="s">
        <v>21</v>
      </c>
      <c r="B15" s="1" t="s">
        <v>31</v>
      </c>
      <c r="C15" s="8" t="s">
        <v>1060</v>
      </c>
      <c r="D15" s="7" t="s">
        <v>92</v>
      </c>
      <c r="F15" t="s">
        <v>1061</v>
      </c>
      <c r="H15" s="5">
        <f>H16+H17</f>
        <v>0</v>
      </c>
      <c r="I15" s="5">
        <f>I16+I17</f>
        <v>0</v>
      </c>
      <c r="K15" t="s">
        <v>19</v>
      </c>
      <c r="M15" t="s">
        <v>364</v>
      </c>
    </row>
    <row r="16" customHeight="1" spans="1:15">
      <c r="A16" s="1" t="s">
        <v>26</v>
      </c>
      <c r="B16" s="1" t="s">
        <v>31</v>
      </c>
      <c r="C16" s="9" t="s">
        <v>1062</v>
      </c>
      <c r="D16" s="1" t="s">
        <v>94</v>
      </c>
      <c r="K16" t="s">
        <v>19</v>
      </c>
      <c r="M16" t="s">
        <v>1063</v>
      </c>
      <c r="N16" t="s">
        <v>43</v>
      </c>
    </row>
    <row r="17" customHeight="1" spans="1:14">
      <c r="A17" s="1" t="s">
        <v>26</v>
      </c>
      <c r="B17" s="1" t="s">
        <v>31</v>
      </c>
      <c r="C17" s="9" t="s">
        <v>1064</v>
      </c>
      <c r="D17" s="1" t="s">
        <v>96</v>
      </c>
      <c r="K17" t="s">
        <v>19</v>
      </c>
      <c r="M17" t="s">
        <v>1065</v>
      </c>
      <c r="N17" t="s">
        <v>43</v>
      </c>
    </row>
    <row r="18" customHeight="1" spans="1:14">
      <c r="A18" s="7" t="s">
        <v>21</v>
      </c>
      <c r="B18" s="1" t="s">
        <v>31</v>
      </c>
      <c r="C18" s="8" t="s">
        <v>1066</v>
      </c>
      <c r="D18" s="7" t="s">
        <v>98</v>
      </c>
      <c r="F18" t="s">
        <v>1067</v>
      </c>
      <c r="H18" s="5">
        <f>H19+H22+H23+H24</f>
        <v>0</v>
      </c>
      <c r="I18" s="5">
        <f>I19+I22+I23+I24</f>
        <v>0</v>
      </c>
      <c r="K18" t="s">
        <v>19</v>
      </c>
      <c r="M18" t="s">
        <v>859</v>
      </c>
    </row>
    <row r="19" customHeight="1" spans="1:14">
      <c r="A19" s="1" t="s">
        <v>26</v>
      </c>
      <c r="B19" s="1" t="s">
        <v>31</v>
      </c>
      <c r="C19" s="9" t="s">
        <v>1068</v>
      </c>
      <c r="D19" s="1" t="s">
        <v>861</v>
      </c>
      <c r="F19" t="s">
        <v>1069</v>
      </c>
      <c r="H19" s="5">
        <f>H20+H21</f>
        <v>0</v>
      </c>
      <c r="I19" s="5">
        <f>I20+I21</f>
        <v>0</v>
      </c>
      <c r="K19" t="s">
        <v>19</v>
      </c>
      <c r="M19" t="s">
        <v>863</v>
      </c>
    </row>
    <row r="20" customHeight="1" spans="1:14">
      <c r="A20" s="1" t="s">
        <v>236</v>
      </c>
      <c r="B20" s="1" t="s">
        <v>31</v>
      </c>
      <c r="C20" s="9" t="s">
        <v>1070</v>
      </c>
      <c r="D20" s="1" t="s">
        <v>865</v>
      </c>
      <c r="K20" t="s">
        <v>19</v>
      </c>
      <c r="M20" t="s">
        <v>866</v>
      </c>
      <c r="N20" t="s">
        <v>43</v>
      </c>
    </row>
    <row r="21" customHeight="1" spans="1:14">
      <c r="A21" s="1" t="s">
        <v>236</v>
      </c>
      <c r="B21" s="1" t="s">
        <v>31</v>
      </c>
      <c r="C21" s="9" t="s">
        <v>1071</v>
      </c>
      <c r="D21" s="1" t="s">
        <v>868</v>
      </c>
      <c r="K21" t="s">
        <v>19</v>
      </c>
      <c r="M21" t="s">
        <v>869</v>
      </c>
      <c r="N21" t="s">
        <v>43</v>
      </c>
    </row>
    <row r="22" customHeight="1" spans="1:14">
      <c r="A22" s="1" t="s">
        <v>26</v>
      </c>
      <c r="B22" s="1" t="s">
        <v>31</v>
      </c>
      <c r="C22" s="9" t="s">
        <v>1072</v>
      </c>
      <c r="D22" s="1" t="s">
        <v>871</v>
      </c>
      <c r="K22" t="s">
        <v>19</v>
      </c>
      <c r="M22" t="s">
        <v>872</v>
      </c>
      <c r="N22" t="s">
        <v>43</v>
      </c>
    </row>
    <row r="23" customHeight="1" spans="1:14">
      <c r="A23" s="1" t="s">
        <v>26</v>
      </c>
      <c r="B23" s="1" t="s">
        <v>31</v>
      </c>
      <c r="C23" s="9" t="s">
        <v>1073</v>
      </c>
      <c r="D23" s="1" t="s">
        <v>874</v>
      </c>
      <c r="K23" t="s">
        <v>19</v>
      </c>
      <c r="M23" t="s">
        <v>875</v>
      </c>
      <c r="N23" t="s">
        <v>43</v>
      </c>
    </row>
    <row r="24" customHeight="1" spans="1:14">
      <c r="A24" s="1" t="s">
        <v>26</v>
      </c>
      <c r="B24" s="1" t="s">
        <v>31</v>
      </c>
      <c r="C24" s="9" t="s">
        <v>1074</v>
      </c>
      <c r="D24" s="1" t="s">
        <v>877</v>
      </c>
      <c r="K24" t="s">
        <v>19</v>
      </c>
      <c r="M24" t="s">
        <v>878</v>
      </c>
      <c r="N24" t="s">
        <v>43</v>
      </c>
    </row>
    <row r="25" customHeight="1" spans="1:14">
      <c r="A25" s="7" t="s">
        <v>21</v>
      </c>
      <c r="B25" s="1" t="s">
        <v>31</v>
      </c>
      <c r="C25" s="8" t="s">
        <v>1075</v>
      </c>
      <c r="D25" s="7" t="s">
        <v>880</v>
      </c>
      <c r="K25" t="s">
        <v>19</v>
      </c>
      <c r="M25" t="s">
        <v>881</v>
      </c>
      <c r="N25" t="s">
        <v>43</v>
      </c>
    </row>
    <row r="26" customHeight="1" spans="1:14">
      <c r="A26" s="7" t="s">
        <v>21</v>
      </c>
      <c r="B26" s="1" t="s">
        <v>31</v>
      </c>
      <c r="C26" s="8" t="s">
        <v>1076</v>
      </c>
      <c r="D26" s="7" t="s">
        <v>101</v>
      </c>
      <c r="K26" t="s">
        <v>19</v>
      </c>
      <c r="M26" t="s">
        <v>883</v>
      </c>
      <c r="N26" t="s">
        <v>43</v>
      </c>
    </row>
    <row r="27" customHeight="1" spans="1:14">
      <c r="A27" s="7" t="s">
        <v>14</v>
      </c>
      <c r="B27" s="1" t="s">
        <v>15</v>
      </c>
      <c r="C27" s="8" t="s">
        <v>1077</v>
      </c>
      <c r="D27" s="7" t="s">
        <v>104</v>
      </c>
      <c r="M27" t="s">
        <v>105</v>
      </c>
      <c r="N27" t="s">
        <v>43</v>
      </c>
    </row>
    <row r="28" customHeight="1" spans="1:14">
      <c r="A28" s="7" t="s">
        <v>14</v>
      </c>
      <c r="B28" s="1" t="s">
        <v>106</v>
      </c>
      <c r="C28" s="8" t="s">
        <v>1078</v>
      </c>
      <c r="D28" s="7" t="s">
        <v>886</v>
      </c>
      <c r="F28" t="s">
        <v>1079</v>
      </c>
      <c r="H28" s="5">
        <f>H9-H10-H11+H27</f>
        <v>0</v>
      </c>
      <c r="I28" s="5" t="e">
        <f>I9-I10-I11+I27</f>
        <v>#DIV/0!</v>
      </c>
      <c r="M28" t="s">
        <v>887</v>
      </c>
    </row>
    <row r="29" customHeight="1" spans="1:14">
      <c r="A29" s="7" t="s">
        <v>14</v>
      </c>
      <c r="B29" s="1" t="s">
        <v>31</v>
      </c>
      <c r="C29" s="8" t="s">
        <v>1080</v>
      </c>
      <c r="D29" s="7" t="s">
        <v>889</v>
      </c>
      <c r="M29" t="s">
        <v>890</v>
      </c>
      <c r="N29" t="s">
        <v>43</v>
      </c>
    </row>
    <row r="30" customHeight="1" spans="1:14">
      <c r="A30" s="7" t="s">
        <v>14</v>
      </c>
      <c r="B30" s="1" t="s">
        <v>106</v>
      </c>
      <c r="C30" s="8" t="s">
        <v>1081</v>
      </c>
      <c r="D30" s="7" t="s">
        <v>108</v>
      </c>
      <c r="F30" t="s">
        <v>1082</v>
      </c>
      <c r="H30" s="5">
        <f>H28-H29</f>
        <v>0</v>
      </c>
      <c r="I30" s="5" t="e">
        <f>I28-I29</f>
        <v>#DIV/0!</v>
      </c>
      <c r="M30" t="s">
        <v>110</v>
      </c>
    </row>
    <row r="31" customHeight="1" spans="1:14">
      <c r="A31" s="1"/>
      <c r="B31" s="1"/>
      <c r="C31" s="10"/>
      <c r="D31" s="10"/>
    </row>
    <row r="32" customHeight="1" spans="1:14">
      <c r="A32" s="7" t="s">
        <v>14</v>
      </c>
      <c r="B32" s="1" t="s">
        <v>118</v>
      </c>
      <c r="C32" s="11" t="s">
        <v>1083</v>
      </c>
      <c r="D32" s="11" t="s">
        <v>120</v>
      </c>
      <c r="F32" t="s">
        <v>1084</v>
      </c>
      <c r="H32" s="5">
        <f>H33+H38+H39</f>
        <v>0</v>
      </c>
      <c r="I32" s="5">
        <f>I33+I38+I39</f>
        <v>0</v>
      </c>
      <c r="M32" t="s">
        <v>122</v>
      </c>
    </row>
    <row r="33" customHeight="1" spans="1:14">
      <c r="A33" s="7" t="s">
        <v>21</v>
      </c>
      <c r="B33" s="1" t="s">
        <v>118</v>
      </c>
      <c r="C33" s="11" t="s">
        <v>1085</v>
      </c>
      <c r="D33" s="11" t="s">
        <v>124</v>
      </c>
      <c r="F33" t="s">
        <v>1086</v>
      </c>
      <c r="H33" s="5">
        <f>H34</f>
        <v>0</v>
      </c>
      <c r="I33" s="5">
        <f>I34</f>
        <v>0</v>
      </c>
      <c r="M33" t="s">
        <v>126</v>
      </c>
    </row>
    <row r="34" customHeight="1" spans="1:14">
      <c r="A34" s="1" t="s">
        <v>26</v>
      </c>
      <c r="B34" s="1" t="s">
        <v>118</v>
      </c>
      <c r="C34" s="10" t="s">
        <v>1086</v>
      </c>
      <c r="D34" s="10" t="s">
        <v>128</v>
      </c>
      <c r="F34" t="s">
        <v>1087</v>
      </c>
      <c r="H34" s="5">
        <f>H35+H37</f>
        <v>0</v>
      </c>
      <c r="I34" s="5">
        <f>I35+I37</f>
        <v>0</v>
      </c>
      <c r="M34" t="s">
        <v>129</v>
      </c>
    </row>
    <row r="35" customHeight="1" spans="1:14">
      <c r="A35" s="1" t="s">
        <v>236</v>
      </c>
      <c r="B35" s="1" t="s">
        <v>118</v>
      </c>
      <c r="C35" s="10" t="s">
        <v>1088</v>
      </c>
      <c r="D35" s="10" t="s">
        <v>1089</v>
      </c>
      <c r="F35" t="s">
        <v>1090</v>
      </c>
      <c r="M35" t="s">
        <v>1091</v>
      </c>
    </row>
    <row r="36" customHeight="1" spans="1:14">
      <c r="A36" s="1" t="s">
        <v>241</v>
      </c>
      <c r="B36" s="1" t="s">
        <v>118</v>
      </c>
      <c r="C36" s="10" t="s">
        <v>1090</v>
      </c>
      <c r="D36" s="10" t="s">
        <v>1092</v>
      </c>
      <c r="M36" t="s">
        <v>1093</v>
      </c>
      <c r="N36" t="s">
        <v>130</v>
      </c>
    </row>
    <row r="37" customHeight="1" spans="1:14">
      <c r="A37" s="1" t="s">
        <v>236</v>
      </c>
      <c r="B37" s="1" t="s">
        <v>118</v>
      </c>
      <c r="C37" s="10" t="s">
        <v>1094</v>
      </c>
      <c r="D37" s="10" t="s">
        <v>1095</v>
      </c>
      <c r="M37" t="s">
        <v>1096</v>
      </c>
      <c r="N37" t="s">
        <v>130</v>
      </c>
    </row>
    <row r="38" customHeight="1" spans="1:14">
      <c r="A38" s="7" t="s">
        <v>21</v>
      </c>
      <c r="B38" s="1" t="s">
        <v>118</v>
      </c>
      <c r="C38" s="11" t="s">
        <v>1097</v>
      </c>
      <c r="D38" s="11" t="s">
        <v>135</v>
      </c>
      <c r="M38" t="s">
        <v>136</v>
      </c>
      <c r="N38" t="s">
        <v>130</v>
      </c>
    </row>
    <row r="39" customHeight="1" spans="1:14">
      <c r="A39" s="7" t="s">
        <v>21</v>
      </c>
      <c r="B39" s="1" t="s">
        <v>118</v>
      </c>
      <c r="C39" s="11" t="s">
        <v>1098</v>
      </c>
      <c r="D39" s="11" t="s">
        <v>138</v>
      </c>
      <c r="M39" t="s">
        <v>139</v>
      </c>
      <c r="N39" t="s">
        <v>130</v>
      </c>
    </row>
    <row r="40" customHeight="1" spans="1:14">
      <c r="A40" s="7" t="s">
        <v>14</v>
      </c>
      <c r="B40" s="1" t="s">
        <v>515</v>
      </c>
      <c r="C40" s="11" t="s">
        <v>1099</v>
      </c>
      <c r="D40" s="11" t="s">
        <v>899</v>
      </c>
      <c r="F40" t="s">
        <v>1100</v>
      </c>
      <c r="H40" s="5">
        <f>H41+H46+H47</f>
        <v>0</v>
      </c>
      <c r="I40" s="5">
        <f>I41+I46+I47</f>
        <v>0</v>
      </c>
      <c r="M40" t="s">
        <v>901</v>
      </c>
    </row>
    <row r="41" customHeight="1" spans="1:14">
      <c r="A41" s="7" t="s">
        <v>21</v>
      </c>
      <c r="B41" s="1" t="s">
        <v>515</v>
      </c>
      <c r="C41" s="11" t="s">
        <v>1101</v>
      </c>
      <c r="D41" s="11" t="s">
        <v>903</v>
      </c>
      <c r="F41" t="s">
        <v>1102</v>
      </c>
      <c r="H41" s="5">
        <f>H42</f>
        <v>0</v>
      </c>
      <c r="I41" s="5">
        <f>I42</f>
        <v>0</v>
      </c>
      <c r="M41" t="s">
        <v>521</v>
      </c>
    </row>
    <row r="42" customHeight="1" spans="1:14">
      <c r="A42" s="1" t="s">
        <v>26</v>
      </c>
      <c r="B42" s="1" t="s">
        <v>515</v>
      </c>
      <c r="C42" s="10" t="s">
        <v>1102</v>
      </c>
      <c r="D42" s="10" t="s">
        <v>128</v>
      </c>
      <c r="F42" t="s">
        <v>1103</v>
      </c>
      <c r="H42" s="5">
        <f>H43+H45</f>
        <v>0</v>
      </c>
      <c r="I42" s="5">
        <f>I43+I45</f>
        <v>0</v>
      </c>
      <c r="M42" t="s">
        <v>523</v>
      </c>
    </row>
    <row r="43" customHeight="1" spans="1:14">
      <c r="A43" s="1" t="s">
        <v>236</v>
      </c>
      <c r="B43" s="1" t="s">
        <v>515</v>
      </c>
      <c r="C43" s="10" t="s">
        <v>1104</v>
      </c>
      <c r="D43" s="10" t="s">
        <v>1089</v>
      </c>
      <c r="F43" t="s">
        <v>1105</v>
      </c>
      <c r="M43" t="s">
        <v>1106</v>
      </c>
    </row>
    <row r="44" customHeight="1" spans="1:14">
      <c r="A44" s="1" t="s">
        <v>241</v>
      </c>
      <c r="B44" s="1" t="s">
        <v>515</v>
      </c>
      <c r="C44" s="10" t="s">
        <v>1105</v>
      </c>
      <c r="D44" s="10" t="s">
        <v>1092</v>
      </c>
      <c r="M44" t="s">
        <v>1107</v>
      </c>
      <c r="N44" t="s">
        <v>524</v>
      </c>
    </row>
    <row r="45" customHeight="1" spans="1:14">
      <c r="A45" s="1" t="s">
        <v>236</v>
      </c>
      <c r="B45" s="1" t="s">
        <v>515</v>
      </c>
      <c r="C45" s="10" t="s">
        <v>1108</v>
      </c>
      <c r="D45" s="10" t="s">
        <v>1095</v>
      </c>
      <c r="M45" t="s">
        <v>1109</v>
      </c>
      <c r="N45" t="s">
        <v>524</v>
      </c>
    </row>
    <row r="46" customHeight="1" spans="1:14">
      <c r="A46" s="7" t="s">
        <v>21</v>
      </c>
      <c r="B46" s="1" t="s">
        <v>515</v>
      </c>
      <c r="C46" s="11" t="s">
        <v>1110</v>
      </c>
      <c r="D46" s="11" t="s">
        <v>135</v>
      </c>
      <c r="M46" t="s">
        <v>906</v>
      </c>
      <c r="N46" t="s">
        <v>524</v>
      </c>
    </row>
    <row r="47" customHeight="1" spans="1:14">
      <c r="A47" s="7" t="s">
        <v>21</v>
      </c>
      <c r="B47" s="1" t="s">
        <v>515</v>
      </c>
      <c r="C47" s="11" t="s">
        <v>1111</v>
      </c>
      <c r="D47" s="11" t="s">
        <v>138</v>
      </c>
      <c r="M47" t="s">
        <v>908</v>
      </c>
      <c r="N47" t="s">
        <v>524</v>
      </c>
    </row>
    <row r="48" customHeight="1" spans="1:14">
      <c r="A48" s="7"/>
      <c r="B48" s="1"/>
      <c r="C48" s="11"/>
      <c r="D48" s="11"/>
    </row>
    <row r="49" customHeight="1" spans="1:14">
      <c r="A49" s="7" t="s">
        <v>14</v>
      </c>
      <c r="B49" s="1" t="s">
        <v>143</v>
      </c>
      <c r="C49" s="11" t="s">
        <v>1112</v>
      </c>
      <c r="D49" s="11" t="s">
        <v>145</v>
      </c>
      <c r="F49" t="s">
        <v>1113</v>
      </c>
      <c r="H49" s="5">
        <f>H50</f>
        <v>0</v>
      </c>
      <c r="I49" s="5">
        <f>I50</f>
        <v>0</v>
      </c>
      <c r="M49" t="s">
        <v>147</v>
      </c>
    </row>
    <row r="50" customHeight="1" spans="1:14">
      <c r="A50" s="7" t="s">
        <v>21</v>
      </c>
      <c r="B50" s="1" t="s">
        <v>143</v>
      </c>
      <c r="C50" s="11" t="s">
        <v>1113</v>
      </c>
      <c r="D50" s="11" t="s">
        <v>1114</v>
      </c>
      <c r="M50" t="s">
        <v>150</v>
      </c>
      <c r="N50" t="s">
        <v>130</v>
      </c>
    </row>
    <row r="51" customHeight="1" spans="1:14">
      <c r="A51" s="7" t="s">
        <v>14</v>
      </c>
      <c r="B51" s="1" t="s">
        <v>552</v>
      </c>
      <c r="C51" s="11" t="s">
        <v>1115</v>
      </c>
      <c r="D51" s="11" t="s">
        <v>916</v>
      </c>
      <c r="F51" t="s">
        <v>1116</v>
      </c>
      <c r="H51" s="5">
        <f>H52</f>
        <v>0</v>
      </c>
      <c r="I51" s="5">
        <f>I52</f>
        <v>0</v>
      </c>
      <c r="M51" t="s">
        <v>918</v>
      </c>
    </row>
    <row r="52" customHeight="1" spans="1:14">
      <c r="A52" s="7" t="s">
        <v>21</v>
      </c>
      <c r="B52" s="1" t="s">
        <v>552</v>
      </c>
      <c r="C52" s="11" t="s">
        <v>1116</v>
      </c>
      <c r="D52" s="11" t="s">
        <v>1114</v>
      </c>
      <c r="M52" t="s">
        <v>557</v>
      </c>
      <c r="N52" t="s">
        <v>524</v>
      </c>
    </row>
    <row r="53" customHeight="1" spans="1:14">
      <c r="A53" s="7"/>
      <c r="B53" s="1"/>
      <c r="C53" s="11"/>
      <c r="D53" s="11"/>
    </row>
    <row r="54" customHeight="1" spans="1:14">
      <c r="A54" s="7" t="s">
        <v>14</v>
      </c>
      <c r="B54" s="1" t="s">
        <v>118</v>
      </c>
      <c r="C54" s="11" t="s">
        <v>1117</v>
      </c>
      <c r="D54" s="11" t="s">
        <v>1118</v>
      </c>
      <c r="F54" t="s">
        <v>1119</v>
      </c>
      <c r="H54" s="5">
        <f>H55</f>
        <v>0</v>
      </c>
      <c r="I54" s="5">
        <f>I55</f>
        <v>0</v>
      </c>
      <c r="M54" t="s">
        <v>1120</v>
      </c>
    </row>
    <row r="55" customHeight="1" spans="1:14">
      <c r="A55" s="1" t="s">
        <v>21</v>
      </c>
      <c r="B55" s="1" t="s">
        <v>118</v>
      </c>
      <c r="C55" s="10" t="s">
        <v>1119</v>
      </c>
      <c r="D55" s="10" t="s">
        <v>1121</v>
      </c>
      <c r="M55" t="s">
        <v>460</v>
      </c>
      <c r="N55" t="s">
        <v>130</v>
      </c>
    </row>
    <row r="56" customHeight="1" spans="1:14">
      <c r="A56" s="7" t="s">
        <v>14</v>
      </c>
      <c r="B56" s="1" t="s">
        <v>515</v>
      </c>
      <c r="C56" s="11" t="s">
        <v>1122</v>
      </c>
      <c r="D56" s="11" t="s">
        <v>1123</v>
      </c>
      <c r="F56" t="s">
        <v>1124</v>
      </c>
      <c r="H56" s="5">
        <f>H57</f>
        <v>0</v>
      </c>
      <c r="I56" s="5">
        <f>I57</f>
        <v>0</v>
      </c>
      <c r="M56" t="s">
        <v>1125</v>
      </c>
    </row>
    <row r="57" customHeight="1" spans="1:14">
      <c r="A57" s="1" t="s">
        <v>21</v>
      </c>
      <c r="B57" s="1" t="s">
        <v>515</v>
      </c>
      <c r="C57" s="10" t="s">
        <v>1124</v>
      </c>
      <c r="D57" s="10" t="s">
        <v>1126</v>
      </c>
      <c r="M57" t="s">
        <v>532</v>
      </c>
      <c r="N57" t="s">
        <v>524</v>
      </c>
    </row>
    <row r="58" customHeight="1" spans="1:14">
      <c r="A58" s="7" t="s">
        <v>14</v>
      </c>
      <c r="B58" s="1" t="s">
        <v>143</v>
      </c>
      <c r="C58" s="11" t="s">
        <v>1127</v>
      </c>
      <c r="D58" s="11" t="s">
        <v>1128</v>
      </c>
      <c r="F58" t="s">
        <v>1129</v>
      </c>
      <c r="H58" s="5">
        <f>H59</f>
        <v>0</v>
      </c>
      <c r="I58" s="5">
        <f>I59</f>
        <v>0</v>
      </c>
      <c r="M58" t="s">
        <v>1130</v>
      </c>
    </row>
    <row r="59" customHeight="1" spans="1:14">
      <c r="A59" s="1" t="s">
        <v>21</v>
      </c>
      <c r="B59" s="1" t="s">
        <v>143</v>
      </c>
      <c r="C59" s="10" t="s">
        <v>1129</v>
      </c>
      <c r="D59" s="10" t="s">
        <v>1131</v>
      </c>
      <c r="M59" t="s">
        <v>495</v>
      </c>
      <c r="N59" t="s">
        <v>130</v>
      </c>
    </row>
    <row r="60" customHeight="1" spans="1:14">
      <c r="A60" s="7" t="s">
        <v>14</v>
      </c>
      <c r="B60" s="1" t="s">
        <v>552</v>
      </c>
      <c r="C60" s="11" t="s">
        <v>1132</v>
      </c>
      <c r="D60" s="11" t="s">
        <v>1133</v>
      </c>
      <c r="F60" t="s">
        <v>1134</v>
      </c>
      <c r="H60" s="5">
        <f>H61</f>
        <v>0</v>
      </c>
      <c r="I60" s="5">
        <f>I61</f>
        <v>0</v>
      </c>
      <c r="M60" t="s">
        <v>1135</v>
      </c>
    </row>
    <row r="61" customHeight="1" spans="1:14">
      <c r="A61" s="1" t="s">
        <v>21</v>
      </c>
      <c r="B61" s="1" t="s">
        <v>552</v>
      </c>
      <c r="C61" s="10" t="s">
        <v>1134</v>
      </c>
      <c r="D61" s="10" t="s">
        <v>1136</v>
      </c>
      <c r="M61" t="s">
        <v>563</v>
      </c>
      <c r="N61" t="s">
        <v>524</v>
      </c>
    </row>
    <row r="62" customHeight="1" spans="1:14">
      <c r="A62" s="7"/>
      <c r="B62" s="1"/>
      <c r="C62" s="11"/>
      <c r="D62" s="11"/>
    </row>
    <row r="63" customHeight="1" spans="1:14">
      <c r="A63" s="7" t="s">
        <v>14</v>
      </c>
      <c r="B63" s="7" t="s">
        <v>15</v>
      </c>
      <c r="C63" s="11" t="s">
        <v>1137</v>
      </c>
      <c r="D63" s="11" t="s">
        <v>1138</v>
      </c>
      <c r="E63" s="12"/>
      <c r="F63" s="12" t="s">
        <v>1139</v>
      </c>
      <c r="G63" s="12"/>
      <c r="H63" s="12">
        <f>H64+H93</f>
        <v>0</v>
      </c>
      <c r="I63" s="12">
        <f>I64+I93</f>
        <v>0</v>
      </c>
      <c r="J63" s="12"/>
      <c r="M63" t="s">
        <v>30</v>
      </c>
    </row>
    <row r="64" customHeight="1" spans="1:14">
      <c r="A64" s="7" t="s">
        <v>21</v>
      </c>
      <c r="B64" s="7" t="s">
        <v>15</v>
      </c>
      <c r="C64" s="11" t="s">
        <v>1140</v>
      </c>
      <c r="D64" s="11" t="s">
        <v>1141</v>
      </c>
      <c r="E64" s="12"/>
      <c r="F64" s="12" t="s">
        <v>1142</v>
      </c>
      <c r="G64" s="12"/>
      <c r="H64" s="12">
        <f>H65+H83</f>
        <v>0</v>
      </c>
      <c r="I64" s="12">
        <f>I65+I83</f>
        <v>0</v>
      </c>
      <c r="J64" s="12"/>
      <c r="M64" t="s">
        <v>752</v>
      </c>
    </row>
    <row r="65" s="12" customFormat="1" customHeight="1" spans="1:14">
      <c r="A65" s="7" t="s">
        <v>26</v>
      </c>
      <c r="B65" s="7" t="s">
        <v>15</v>
      </c>
      <c r="C65" s="11" t="s">
        <v>1143</v>
      </c>
      <c r="D65" s="11" t="s">
        <v>1144</v>
      </c>
      <c r="F65" t="s">
        <v>1145</v>
      </c>
      <c r="I65" s="12">
        <f>I67+I80-I73-I78-I81</f>
        <v>0</v>
      </c>
      <c r="M65" t="s">
        <v>1146</v>
      </c>
    </row>
    <row r="66" customHeight="1" spans="1:14">
      <c r="A66" s="13" t="s">
        <v>236</v>
      </c>
      <c r="B66" s="13" t="s">
        <v>160</v>
      </c>
      <c r="C66" s="14" t="s">
        <v>1147</v>
      </c>
      <c r="D66" s="14" t="s">
        <v>1148</v>
      </c>
      <c r="E66" s="15"/>
      <c r="F66" s="15"/>
      <c r="G66" s="15"/>
      <c r="H66" s="15" t="e">
        <f>H65/H43</f>
        <v>#DIV/0!</v>
      </c>
      <c r="I66" s="15" t="e">
        <f>I65/I43</f>
        <v>#DIV/0!</v>
      </c>
      <c r="J66" s="15" t="s">
        <v>783</v>
      </c>
      <c r="M66" t="s">
        <v>1149</v>
      </c>
      <c r="N66" t="s">
        <v>164</v>
      </c>
    </row>
    <row r="67" customHeight="1" spans="1:14">
      <c r="A67" s="13" t="s">
        <v>236</v>
      </c>
      <c r="B67" s="13" t="s">
        <v>15</v>
      </c>
      <c r="C67" s="14" t="s">
        <v>1150</v>
      </c>
      <c r="D67" s="14" t="s">
        <v>1151</v>
      </c>
      <c r="E67" s="15"/>
      <c r="F67" s="15" t="s">
        <v>1152</v>
      </c>
      <c r="G67" s="15"/>
      <c r="H67" s="15">
        <f>H65-H80+H73+H78+H81</f>
        <v>0</v>
      </c>
      <c r="I67" s="15">
        <f>I43*I69/1.06*(1-I70)</f>
        <v>0</v>
      </c>
      <c r="J67" s="15" t="s">
        <v>1153</v>
      </c>
      <c r="M67" t="s">
        <v>1154</v>
      </c>
    </row>
    <row r="68" customHeight="1" spans="1:14">
      <c r="A68" s="1" t="s">
        <v>241</v>
      </c>
      <c r="B68" s="1" t="s">
        <v>160</v>
      </c>
      <c r="C68" s="10" t="s">
        <v>1155</v>
      </c>
      <c r="D68" s="10" t="s">
        <v>1156</v>
      </c>
      <c r="H68" s="5" t="e">
        <f>H67/H43</f>
        <v>#DIV/0!</v>
      </c>
      <c r="I68" s="5" t="e">
        <f>I67/I43</f>
        <v>#DIV/0!</v>
      </c>
      <c r="J68" s="5" t="s">
        <v>783</v>
      </c>
      <c r="M68" t="s">
        <v>1157</v>
      </c>
      <c r="N68" t="s">
        <v>164</v>
      </c>
    </row>
    <row r="69" customHeight="1" spans="1:14">
      <c r="A69" s="1" t="s">
        <v>241</v>
      </c>
      <c r="B69" s="1" t="s">
        <v>160</v>
      </c>
      <c r="C69" s="10" t="s">
        <v>1158</v>
      </c>
      <c r="D69" s="10" t="s">
        <v>1159</v>
      </c>
      <c r="M69" t="s">
        <v>1160</v>
      </c>
      <c r="N69" t="s">
        <v>164</v>
      </c>
    </row>
    <row r="70" customHeight="1" spans="1:14">
      <c r="A70" s="1" t="s">
        <v>241</v>
      </c>
      <c r="B70" s="1" t="s">
        <v>160</v>
      </c>
      <c r="C70" s="10" t="s">
        <v>1161</v>
      </c>
      <c r="D70" s="10" t="s">
        <v>1162</v>
      </c>
      <c r="M70" t="s">
        <v>1163</v>
      </c>
      <c r="N70" t="s">
        <v>164</v>
      </c>
    </row>
    <row r="71" customHeight="1" spans="1:14">
      <c r="A71" s="1" t="s">
        <v>241</v>
      </c>
      <c r="B71" s="1" t="s">
        <v>160</v>
      </c>
      <c r="C71" s="10" t="s">
        <v>1164</v>
      </c>
      <c r="D71" s="10" t="s">
        <v>1165</v>
      </c>
      <c r="M71" t="s">
        <v>1166</v>
      </c>
      <c r="N71" t="s">
        <v>164</v>
      </c>
    </row>
    <row r="72" customHeight="1" spans="1:14">
      <c r="A72" s="1" t="s">
        <v>241</v>
      </c>
      <c r="B72" s="1" t="s">
        <v>160</v>
      </c>
      <c r="C72" s="10" t="s">
        <v>1167</v>
      </c>
      <c r="D72" s="10" t="s">
        <v>1168</v>
      </c>
      <c r="M72" t="s">
        <v>1169</v>
      </c>
      <c r="N72" t="s">
        <v>164</v>
      </c>
    </row>
    <row r="73" customHeight="1" spans="1:14">
      <c r="A73" s="13" t="s">
        <v>236</v>
      </c>
      <c r="B73" s="13" t="s">
        <v>31</v>
      </c>
      <c r="C73" s="14" t="s">
        <v>1170</v>
      </c>
      <c r="D73" s="14" t="s">
        <v>1171</v>
      </c>
      <c r="E73" s="15"/>
      <c r="F73" s="15" t="s">
        <v>1172</v>
      </c>
      <c r="G73" s="15"/>
      <c r="H73" s="15"/>
      <c r="I73" s="15">
        <f>(I43*(I69/1.06*(1-I70)*0.995-I77)-I78)*I75*(1-I76)/1.06</f>
        <v>0</v>
      </c>
      <c r="J73" s="15" t="s">
        <v>1173</v>
      </c>
      <c r="M73" t="s">
        <v>1174</v>
      </c>
    </row>
    <row r="74" customHeight="1" spans="1:14">
      <c r="A74" s="1" t="s">
        <v>241</v>
      </c>
      <c r="B74" s="1" t="s">
        <v>160</v>
      </c>
      <c r="C74" s="10" t="s">
        <v>1175</v>
      </c>
      <c r="D74" s="10" t="s">
        <v>1176</v>
      </c>
      <c r="H74" s="5" t="e">
        <f>H73/H43</f>
        <v>#DIV/0!</v>
      </c>
      <c r="I74" s="5" t="e">
        <f>I73/I43</f>
        <v>#DIV/0!</v>
      </c>
      <c r="J74" s="5" t="s">
        <v>783</v>
      </c>
      <c r="M74" t="s">
        <v>1177</v>
      </c>
      <c r="N74" t="s">
        <v>164</v>
      </c>
    </row>
    <row r="75" customHeight="1" spans="1:14">
      <c r="A75" s="1" t="s">
        <v>241</v>
      </c>
      <c r="B75" s="1" t="s">
        <v>160</v>
      </c>
      <c r="C75" s="10" t="s">
        <v>1178</v>
      </c>
      <c r="D75" s="10" t="s">
        <v>1179</v>
      </c>
      <c r="M75" t="s">
        <v>1180</v>
      </c>
      <c r="N75" t="s">
        <v>164</v>
      </c>
    </row>
    <row r="76" customHeight="1" spans="1:14">
      <c r="A76" s="1" t="s">
        <v>241</v>
      </c>
      <c r="B76" s="1" t="s">
        <v>160</v>
      </c>
      <c r="C76" s="10" t="s">
        <v>1181</v>
      </c>
      <c r="D76" s="10" t="s">
        <v>1182</v>
      </c>
      <c r="M76" t="s">
        <v>1183</v>
      </c>
      <c r="N76" t="s">
        <v>164</v>
      </c>
    </row>
    <row r="77" customHeight="1" spans="1:14">
      <c r="A77" s="1" t="s">
        <v>241</v>
      </c>
      <c r="B77" s="1" t="s">
        <v>160</v>
      </c>
      <c r="C77" s="10" t="s">
        <v>1184</v>
      </c>
      <c r="D77" s="10" t="s">
        <v>1185</v>
      </c>
      <c r="H77" s="5">
        <f>A02微账户!H142</f>
        <v>0</v>
      </c>
      <c r="I77" s="5">
        <f>A02微账户!I142</f>
        <v>0</v>
      </c>
      <c r="M77" t="s">
        <v>1186</v>
      </c>
      <c r="N77" t="s">
        <v>164</v>
      </c>
    </row>
    <row r="78" customHeight="1" spans="1:14">
      <c r="A78" s="13" t="s">
        <v>236</v>
      </c>
      <c r="B78" s="13" t="s">
        <v>31</v>
      </c>
      <c r="C78" s="14" t="s">
        <v>1187</v>
      </c>
      <c r="D78" s="14" t="s">
        <v>1188</v>
      </c>
      <c r="E78" s="15"/>
      <c r="F78" s="15" t="s">
        <v>1189</v>
      </c>
      <c r="G78" s="15"/>
      <c r="H78" s="15"/>
      <c r="I78" s="15">
        <f>I44*I79</f>
        <v>0</v>
      </c>
      <c r="J78" s="15" t="s">
        <v>1173</v>
      </c>
      <c r="M78" t="s">
        <v>1190</v>
      </c>
    </row>
    <row r="79" customHeight="1" spans="1:14">
      <c r="A79" s="1" t="s">
        <v>241</v>
      </c>
      <c r="B79" s="1" t="s">
        <v>160</v>
      </c>
      <c r="C79" s="10" t="s">
        <v>1189</v>
      </c>
      <c r="D79" s="10" t="s">
        <v>1191</v>
      </c>
      <c r="H79" s="5" t="e">
        <f>H78/H44</f>
        <v>#DIV/0!</v>
      </c>
      <c r="J79" s="5" t="s">
        <v>783</v>
      </c>
      <c r="M79" t="s">
        <v>1192</v>
      </c>
      <c r="N79" t="s">
        <v>164</v>
      </c>
    </row>
    <row r="80" customHeight="1" spans="1:14">
      <c r="A80" s="13" t="s">
        <v>236</v>
      </c>
      <c r="B80" s="13" t="s">
        <v>15</v>
      </c>
      <c r="C80" s="14" t="s">
        <v>1193</v>
      </c>
      <c r="D80" s="14" t="s">
        <v>1194</v>
      </c>
      <c r="E80" s="15"/>
      <c r="F80" s="15"/>
      <c r="G80" s="15"/>
      <c r="H80" s="15"/>
      <c r="I80" s="15"/>
      <c r="J80" s="15"/>
      <c r="M80" t="s">
        <v>1195</v>
      </c>
      <c r="N80" t="s">
        <v>43</v>
      </c>
    </row>
    <row r="81" customHeight="1" spans="1:14">
      <c r="A81" s="13" t="s">
        <v>236</v>
      </c>
      <c r="B81" s="13" t="s">
        <v>31</v>
      </c>
      <c r="C81" s="14" t="s">
        <v>1196</v>
      </c>
      <c r="D81" s="14" t="s">
        <v>1197</v>
      </c>
      <c r="E81" s="15"/>
      <c r="F81" s="15"/>
      <c r="G81" s="15"/>
      <c r="H81" s="15">
        <f>H80*H75*(1-H76)/1.06</f>
        <v>0</v>
      </c>
      <c r="I81" s="15">
        <f>I80*I75*(1-I76)/1.06</f>
        <v>0</v>
      </c>
      <c r="J81" s="15"/>
      <c r="M81" t="s">
        <v>1198</v>
      </c>
      <c r="N81" t="s">
        <v>43</v>
      </c>
    </row>
    <row r="82" s="5" customFormat="1" customHeight="1" spans="1:14">
      <c r="A82" s="1"/>
      <c r="B82" s="1"/>
      <c r="C82" s="10"/>
      <c r="D82" s="10"/>
    </row>
    <row r="83" customHeight="1" spans="1:14">
      <c r="A83" s="7" t="s">
        <v>26</v>
      </c>
      <c r="B83" s="7" t="s">
        <v>15</v>
      </c>
      <c r="C83" s="11" t="s">
        <v>1199</v>
      </c>
      <c r="D83" s="11" t="s">
        <v>1200</v>
      </c>
      <c r="F83" t="s">
        <v>1201</v>
      </c>
      <c r="I83" s="5">
        <f>I85-I88</f>
        <v>0</v>
      </c>
      <c r="M83" t="s">
        <v>1202</v>
      </c>
    </row>
    <row r="84" customHeight="1" spans="1:14">
      <c r="A84" s="13" t="s">
        <v>236</v>
      </c>
      <c r="B84" s="13" t="s">
        <v>160</v>
      </c>
      <c r="C84" s="14" t="s">
        <v>1203</v>
      </c>
      <c r="D84" s="14" t="s">
        <v>1204</v>
      </c>
      <c r="E84" s="15"/>
      <c r="F84" s="15"/>
      <c r="G84" s="15"/>
      <c r="H84" s="15" t="e">
        <f>H83/H45</f>
        <v>#DIV/0!</v>
      </c>
      <c r="I84" s="15" t="e">
        <f>I83/I45</f>
        <v>#DIV/0!</v>
      </c>
      <c r="J84" s="15" t="s">
        <v>783</v>
      </c>
      <c r="M84" t="s">
        <v>1205</v>
      </c>
      <c r="N84" t="s">
        <v>164</v>
      </c>
    </row>
    <row r="85" customHeight="1" spans="1:14">
      <c r="A85" s="13" t="s">
        <v>236</v>
      </c>
      <c r="B85" s="13" t="s">
        <v>15</v>
      </c>
      <c r="C85" s="14" t="s">
        <v>1206</v>
      </c>
      <c r="D85" s="14" t="s">
        <v>1207</v>
      </c>
      <c r="E85" s="15"/>
      <c r="F85" s="15" t="s">
        <v>1208</v>
      </c>
      <c r="G85" s="15"/>
      <c r="H85" s="15">
        <f>H83+H88</f>
        <v>0</v>
      </c>
      <c r="I85" s="15">
        <f>I45*I87</f>
        <v>0</v>
      </c>
      <c r="J85" s="15" t="s">
        <v>1173</v>
      </c>
      <c r="M85" t="s">
        <v>1209</v>
      </c>
    </row>
    <row r="86" customHeight="1" spans="1:14">
      <c r="A86" s="1" t="s">
        <v>241</v>
      </c>
      <c r="B86" s="1" t="s">
        <v>160</v>
      </c>
      <c r="C86" s="10" t="s">
        <v>1210</v>
      </c>
      <c r="D86" s="10" t="s">
        <v>1211</v>
      </c>
      <c r="M86" t="s">
        <v>1212</v>
      </c>
      <c r="N86" t="s">
        <v>164</v>
      </c>
    </row>
    <row r="87" customHeight="1" spans="1:14">
      <c r="A87" s="1" t="s">
        <v>241</v>
      </c>
      <c r="B87" s="1" t="s">
        <v>160</v>
      </c>
      <c r="C87" s="10" t="s">
        <v>1213</v>
      </c>
      <c r="D87" s="10" t="s">
        <v>1214</v>
      </c>
      <c r="H87" s="5" t="e">
        <f>H85/H45</f>
        <v>#DIV/0!</v>
      </c>
      <c r="I87" s="5">
        <f>I86*0.9957/1.06</f>
        <v>0</v>
      </c>
      <c r="J87" s="5" t="s">
        <v>1215</v>
      </c>
      <c r="M87" t="s">
        <v>1216</v>
      </c>
      <c r="N87" t="s">
        <v>164</v>
      </c>
    </row>
    <row r="88" customHeight="1" spans="1:14">
      <c r="A88" s="13" t="s">
        <v>236</v>
      </c>
      <c r="B88" s="13" t="s">
        <v>31</v>
      </c>
      <c r="C88" s="14" t="s">
        <v>1217</v>
      </c>
      <c r="D88" s="14" t="s">
        <v>1218</v>
      </c>
      <c r="E88" s="15"/>
      <c r="F88" s="15" t="s">
        <v>1219</v>
      </c>
      <c r="G88" s="15"/>
      <c r="H88" s="15"/>
      <c r="I88" s="15">
        <f>I85*I90*I91</f>
        <v>0</v>
      </c>
      <c r="J88" s="15"/>
      <c r="M88" t="s">
        <v>1220</v>
      </c>
    </row>
    <row r="89" customHeight="1" spans="1:14">
      <c r="A89" s="1" t="s">
        <v>241</v>
      </c>
      <c r="B89" s="1" t="s">
        <v>160</v>
      </c>
      <c r="C89" s="10" t="s">
        <v>1221</v>
      </c>
      <c r="D89" s="10" t="s">
        <v>1222</v>
      </c>
      <c r="H89" s="5" t="e">
        <f>H88/H45</f>
        <v>#DIV/0!</v>
      </c>
      <c r="I89" s="5" t="e">
        <f>I88/I45</f>
        <v>#DIV/0!</v>
      </c>
      <c r="J89" s="5" t="s">
        <v>783</v>
      </c>
      <c r="M89" t="s">
        <v>1223</v>
      </c>
      <c r="N89" t="s">
        <v>164</v>
      </c>
    </row>
    <row r="90" customHeight="1" spans="1:14">
      <c r="A90" s="1" t="s">
        <v>241</v>
      </c>
      <c r="B90" s="1" t="s">
        <v>160</v>
      </c>
      <c r="C90" s="10" t="s">
        <v>1224</v>
      </c>
      <c r="D90" s="10" t="s">
        <v>1225</v>
      </c>
      <c r="M90" t="s">
        <v>1226</v>
      </c>
      <c r="N90" t="s">
        <v>164</v>
      </c>
    </row>
    <row r="91" customHeight="1" spans="1:14">
      <c r="A91" s="1" t="s">
        <v>241</v>
      </c>
      <c r="B91" s="1" t="s">
        <v>160</v>
      </c>
      <c r="C91" s="10" t="s">
        <v>1227</v>
      </c>
      <c r="D91" s="10" t="s">
        <v>1228</v>
      </c>
      <c r="M91" t="s">
        <v>1229</v>
      </c>
      <c r="N91" t="s">
        <v>164</v>
      </c>
    </row>
    <row r="92" customHeight="1" spans="1:14">
      <c r="A92" s="1"/>
      <c r="B92" s="1"/>
      <c r="C92" s="10"/>
      <c r="D92" s="10"/>
    </row>
    <row r="93" customHeight="1" spans="1:14">
      <c r="A93" s="7" t="s">
        <v>21</v>
      </c>
      <c r="B93" s="1" t="s">
        <v>15</v>
      </c>
      <c r="C93" s="11" t="s">
        <v>1230</v>
      </c>
      <c r="D93" s="11" t="s">
        <v>1231</v>
      </c>
      <c r="F93" t="s">
        <v>1232</v>
      </c>
      <c r="H93" s="5">
        <f>H94</f>
        <v>0</v>
      </c>
      <c r="I93" s="5">
        <f>I94</f>
        <v>0</v>
      </c>
      <c r="M93" t="s">
        <v>1233</v>
      </c>
    </row>
    <row r="94" customHeight="1" spans="1:14">
      <c r="A94" s="7" t="s">
        <v>26</v>
      </c>
      <c r="B94" s="1" t="s">
        <v>15</v>
      </c>
      <c r="C94" s="11" t="s">
        <v>1232</v>
      </c>
      <c r="D94" s="11" t="s">
        <v>1234</v>
      </c>
      <c r="F94" t="s">
        <v>1235</v>
      </c>
      <c r="I94" s="5">
        <f>I57*I95</f>
        <v>0</v>
      </c>
      <c r="J94" s="5" t="s">
        <v>1173</v>
      </c>
      <c r="M94" t="s">
        <v>756</v>
      </c>
    </row>
    <row r="95" customHeight="1" spans="1:14">
      <c r="A95" s="1" t="s">
        <v>236</v>
      </c>
      <c r="B95" s="1" t="s">
        <v>160</v>
      </c>
      <c r="C95" s="10" t="s">
        <v>1235</v>
      </c>
      <c r="D95" s="10" t="s">
        <v>1236</v>
      </c>
      <c r="H95" s="5" t="e">
        <f>H94/H57</f>
        <v>#DIV/0!</v>
      </c>
      <c r="J95" s="5" t="s">
        <v>783</v>
      </c>
      <c r="M95" t="s">
        <v>1237</v>
      </c>
      <c r="N95" t="s">
        <v>164</v>
      </c>
    </row>
    <row r="96" customHeight="1" spans="1:14">
      <c r="A96" s="1"/>
      <c r="B96" s="1"/>
      <c r="C96" s="10"/>
      <c r="D96" s="10"/>
    </row>
    <row r="97" customHeight="1" spans="1:14">
      <c r="A97" s="7" t="s">
        <v>14</v>
      </c>
      <c r="B97" s="7" t="s">
        <v>31</v>
      </c>
      <c r="C97" s="11" t="s">
        <v>1238</v>
      </c>
      <c r="D97" s="11" t="s">
        <v>1239</v>
      </c>
      <c r="E97" s="12"/>
      <c r="F97" s="12" t="s">
        <v>1240</v>
      </c>
      <c r="G97" s="12"/>
      <c r="H97" s="12">
        <f>H98+H103+H106</f>
        <v>0</v>
      </c>
      <c r="I97" s="12">
        <f>I98+I103+I106</f>
        <v>0</v>
      </c>
      <c r="J97" s="12"/>
      <c r="M97" t="s">
        <v>827</v>
      </c>
    </row>
    <row r="98" customHeight="1" spans="1:14">
      <c r="A98" s="7" t="s">
        <v>21</v>
      </c>
      <c r="B98" s="7" t="s">
        <v>31</v>
      </c>
      <c r="C98" s="11" t="s">
        <v>1241</v>
      </c>
      <c r="D98" s="11" t="s">
        <v>1242</v>
      </c>
      <c r="E98" s="12"/>
      <c r="F98" s="12" t="s">
        <v>1243</v>
      </c>
      <c r="G98" s="12"/>
      <c r="H98" s="12">
        <f>H99+H101</f>
        <v>0</v>
      </c>
      <c r="I98" s="12">
        <f>I99+I101</f>
        <v>0</v>
      </c>
      <c r="J98" s="12"/>
      <c r="M98" t="s">
        <v>1244</v>
      </c>
    </row>
    <row r="99" customHeight="1" spans="1:14">
      <c r="A99" s="1" t="s">
        <v>26</v>
      </c>
      <c r="B99" s="1" t="s">
        <v>31</v>
      </c>
      <c r="C99" s="10" t="s">
        <v>1245</v>
      </c>
      <c r="D99" s="10" t="s">
        <v>1246</v>
      </c>
      <c r="F99" t="s">
        <v>1247</v>
      </c>
      <c r="I99" s="5">
        <f>I43*I100</f>
        <v>0</v>
      </c>
      <c r="J99" s="5" t="s">
        <v>1173</v>
      </c>
      <c r="M99" t="s">
        <v>1248</v>
      </c>
    </row>
    <row r="100" customHeight="1" spans="1:14">
      <c r="A100" s="1" t="s">
        <v>236</v>
      </c>
      <c r="B100" s="1" t="s">
        <v>160</v>
      </c>
      <c r="C100" s="10" t="s">
        <v>1247</v>
      </c>
      <c r="D100" s="10" t="s">
        <v>1249</v>
      </c>
      <c r="H100" s="5" t="e">
        <f>H99/H43</f>
        <v>#DIV/0!</v>
      </c>
      <c r="J100" s="5" t="s">
        <v>783</v>
      </c>
      <c r="M100" t="s">
        <v>1250</v>
      </c>
      <c r="N100" t="s">
        <v>164</v>
      </c>
    </row>
    <row r="101" customHeight="1" spans="1:14">
      <c r="A101" s="1" t="s">
        <v>26</v>
      </c>
      <c r="B101" s="1" t="s">
        <v>31</v>
      </c>
      <c r="C101" s="10" t="s">
        <v>1251</v>
      </c>
      <c r="D101" s="10" t="s">
        <v>1252</v>
      </c>
      <c r="F101" t="s">
        <v>1253</v>
      </c>
      <c r="I101" s="5">
        <f>I45*I102</f>
        <v>0</v>
      </c>
      <c r="J101" s="5" t="s">
        <v>1173</v>
      </c>
      <c r="M101" t="s">
        <v>1254</v>
      </c>
    </row>
    <row r="102" customHeight="1" spans="1:14">
      <c r="A102" s="1" t="s">
        <v>236</v>
      </c>
      <c r="B102" s="1" t="s">
        <v>160</v>
      </c>
      <c r="C102" s="10" t="s">
        <v>1253</v>
      </c>
      <c r="D102" s="10" t="s">
        <v>1255</v>
      </c>
      <c r="H102" s="5" t="e">
        <f>H101/H45</f>
        <v>#DIV/0!</v>
      </c>
      <c r="J102" s="5" t="s">
        <v>783</v>
      </c>
      <c r="M102" t="s">
        <v>1256</v>
      </c>
      <c r="N102" t="s">
        <v>164</v>
      </c>
    </row>
    <row r="103" customHeight="1" spans="1:14">
      <c r="A103" s="7" t="s">
        <v>21</v>
      </c>
      <c r="B103" s="7" t="s">
        <v>31</v>
      </c>
      <c r="C103" s="11" t="s">
        <v>1257</v>
      </c>
      <c r="D103" s="11" t="s">
        <v>1258</v>
      </c>
      <c r="E103" s="12"/>
      <c r="F103" s="12" t="s">
        <v>1259</v>
      </c>
      <c r="G103" s="12"/>
      <c r="H103" s="12">
        <f>H104</f>
        <v>0</v>
      </c>
      <c r="I103" s="12">
        <f>I104</f>
        <v>0</v>
      </c>
      <c r="J103" s="12"/>
      <c r="M103" t="s">
        <v>1260</v>
      </c>
    </row>
    <row r="104" customHeight="1" spans="1:14">
      <c r="A104" s="1" t="s">
        <v>26</v>
      </c>
      <c r="B104" s="1" t="s">
        <v>31</v>
      </c>
      <c r="C104" s="10" t="s">
        <v>1259</v>
      </c>
      <c r="D104" s="10" t="s">
        <v>1261</v>
      </c>
      <c r="F104" t="s">
        <v>1262</v>
      </c>
      <c r="I104" s="5">
        <f>I57*I105</f>
        <v>0</v>
      </c>
      <c r="J104" s="5" t="s">
        <v>1173</v>
      </c>
      <c r="M104" t="s">
        <v>1263</v>
      </c>
    </row>
    <row r="105" customHeight="1" spans="1:14">
      <c r="A105" s="1" t="s">
        <v>236</v>
      </c>
      <c r="B105" s="1" t="s">
        <v>160</v>
      </c>
      <c r="C105" s="10" t="s">
        <v>1262</v>
      </c>
      <c r="D105" s="10" t="s">
        <v>1264</v>
      </c>
      <c r="H105" s="5" t="e">
        <f>H104/H57</f>
        <v>#DIV/0!</v>
      </c>
      <c r="J105" s="5" t="s">
        <v>783</v>
      </c>
      <c r="M105" t="s">
        <v>1265</v>
      </c>
      <c r="N105" t="s">
        <v>164</v>
      </c>
    </row>
    <row r="106" customHeight="1" spans="1:14">
      <c r="A106" s="7" t="s">
        <v>21</v>
      </c>
      <c r="B106" s="7" t="s">
        <v>31</v>
      </c>
      <c r="C106" s="11" t="s">
        <v>1266</v>
      </c>
      <c r="D106" s="11" t="s">
        <v>1267</v>
      </c>
      <c r="E106" s="12"/>
      <c r="F106" s="12" t="s">
        <v>1268</v>
      </c>
      <c r="G106" s="12"/>
      <c r="H106" s="12">
        <f>H107</f>
        <v>0</v>
      </c>
      <c r="I106" s="12">
        <f>I107</f>
        <v>0</v>
      </c>
      <c r="J106" s="12"/>
      <c r="M106" t="s">
        <v>1269</v>
      </c>
    </row>
    <row r="107" customHeight="1" spans="1:14">
      <c r="A107" s="1" t="s">
        <v>26</v>
      </c>
      <c r="B107" s="1" t="s">
        <v>31</v>
      </c>
      <c r="C107" s="10" t="s">
        <v>1268</v>
      </c>
      <c r="D107" s="10" t="s">
        <v>1270</v>
      </c>
      <c r="M107" t="s">
        <v>1271</v>
      </c>
      <c r="N107" t="s">
        <v>43</v>
      </c>
    </row>
    <row r="108" customHeight="1" spans="1:14">
      <c r="A108" s="1"/>
      <c r="B108" s="1"/>
      <c r="C108" s="10"/>
      <c r="D108" s="10"/>
    </row>
    <row r="109" s="12" customFormat="1" customHeight="1" spans="1:14">
      <c r="A109" s="7" t="s">
        <v>14</v>
      </c>
      <c r="B109" s="7" t="s">
        <v>31</v>
      </c>
      <c r="C109" s="11" t="s">
        <v>1272</v>
      </c>
      <c r="D109" s="11" t="s">
        <v>1273</v>
      </c>
      <c r="F109" t="s">
        <v>1274</v>
      </c>
      <c r="H109" s="12">
        <f>H110+H112</f>
        <v>0</v>
      </c>
      <c r="I109" s="12">
        <f>I110+I112</f>
        <v>0</v>
      </c>
      <c r="M109" t="s">
        <v>35</v>
      </c>
    </row>
    <row r="110" customHeight="1" spans="1:14">
      <c r="A110" s="7" t="s">
        <v>21</v>
      </c>
      <c r="B110" s="7" t="s">
        <v>31</v>
      </c>
      <c r="C110" s="11" t="s">
        <v>1275</v>
      </c>
      <c r="D110" s="11" t="s">
        <v>1276</v>
      </c>
      <c r="E110" s="12"/>
      <c r="F110" s="12" t="s">
        <v>1277</v>
      </c>
      <c r="G110" s="12"/>
      <c r="H110" s="12"/>
      <c r="I110" s="12">
        <f>I52*I111</f>
        <v>0</v>
      </c>
      <c r="J110" s="5" t="s">
        <v>1173</v>
      </c>
      <c r="M110" t="s">
        <v>767</v>
      </c>
    </row>
    <row r="111" customHeight="1" spans="1:14">
      <c r="A111" s="1" t="s">
        <v>26</v>
      </c>
      <c r="B111" s="1" t="s">
        <v>160</v>
      </c>
      <c r="C111" s="10" t="s">
        <v>1277</v>
      </c>
      <c r="D111" s="10" t="s">
        <v>1278</v>
      </c>
      <c r="H111" s="5" t="e">
        <f>H110/H52</f>
        <v>#DIV/0!</v>
      </c>
      <c r="J111" s="5" t="s">
        <v>783</v>
      </c>
      <c r="M111" t="s">
        <v>1279</v>
      </c>
      <c r="N111" t="s">
        <v>164</v>
      </c>
    </row>
    <row r="112" customHeight="1" spans="1:14">
      <c r="A112" s="7" t="s">
        <v>21</v>
      </c>
      <c r="B112" s="7" t="s">
        <v>31</v>
      </c>
      <c r="C112" s="11" t="s">
        <v>1280</v>
      </c>
      <c r="D112" s="11" t="s">
        <v>1281</v>
      </c>
      <c r="E112" s="12"/>
      <c r="F112" s="12" t="s">
        <v>1282</v>
      </c>
      <c r="G112" s="12"/>
      <c r="H112" s="12">
        <f>H113</f>
        <v>0</v>
      </c>
      <c r="I112" s="12">
        <f>I113</f>
        <v>0</v>
      </c>
      <c r="J112" s="12"/>
      <c r="M112" t="s">
        <v>1283</v>
      </c>
    </row>
    <row r="113" customHeight="1" spans="1:14">
      <c r="A113" s="1" t="s">
        <v>26</v>
      </c>
      <c r="B113" s="1" t="s">
        <v>31</v>
      </c>
      <c r="C113" s="10" t="s">
        <v>1282</v>
      </c>
      <c r="D113" s="10" t="s">
        <v>1284</v>
      </c>
      <c r="F113" t="s">
        <v>1285</v>
      </c>
      <c r="I113" s="5">
        <f>I61*I114</f>
        <v>0</v>
      </c>
      <c r="J113" s="5" t="s">
        <v>1173</v>
      </c>
      <c r="M113" t="s">
        <v>771</v>
      </c>
    </row>
    <row r="114" customHeight="1" spans="1:14">
      <c r="A114" s="1" t="s">
        <v>236</v>
      </c>
      <c r="B114" s="1" t="s">
        <v>160</v>
      </c>
      <c r="C114" s="10" t="s">
        <v>1285</v>
      </c>
      <c r="D114" s="10" t="s">
        <v>1286</v>
      </c>
      <c r="H114" s="5" t="e">
        <f>H113/H61</f>
        <v>#DIV/0!</v>
      </c>
      <c r="J114" s="5" t="s">
        <v>783</v>
      </c>
      <c r="M114" t="s">
        <v>1287</v>
      </c>
      <c r="N114" t="s">
        <v>164</v>
      </c>
    </row>
    <row r="115" customHeight="1" spans="1:14">
      <c r="A115" s="1"/>
      <c r="B115" s="1"/>
      <c r="C115" s="10"/>
      <c r="D115" s="10"/>
    </row>
    <row r="116" s="12" customFormat="1" customHeight="1" spans="1:14">
      <c r="A116" s="7" t="s">
        <v>14</v>
      </c>
      <c r="B116" s="7" t="s">
        <v>15</v>
      </c>
      <c r="C116" s="11" t="s">
        <v>1288</v>
      </c>
      <c r="D116" s="11" t="s">
        <v>1289</v>
      </c>
      <c r="F116" t="s">
        <v>1290</v>
      </c>
      <c r="H116" s="12">
        <f>H117+H119</f>
        <v>0</v>
      </c>
      <c r="I116" s="12">
        <f>I117+I119</f>
        <v>0</v>
      </c>
      <c r="M116" t="s">
        <v>834</v>
      </c>
    </row>
    <row r="117" s="12" customFormat="1" customHeight="1" spans="1:14">
      <c r="A117" s="7" t="s">
        <v>21</v>
      </c>
      <c r="B117" s="7" t="s">
        <v>15</v>
      </c>
      <c r="C117" s="11" t="s">
        <v>1291</v>
      </c>
      <c r="D117" s="11" t="s">
        <v>1292</v>
      </c>
      <c r="F117" t="s">
        <v>1293</v>
      </c>
      <c r="I117" s="12">
        <f>I52*I118</f>
        <v>0</v>
      </c>
      <c r="J117" s="5" t="s">
        <v>1173</v>
      </c>
      <c r="M117" t="s">
        <v>1294</v>
      </c>
    </row>
    <row r="118" customHeight="1" spans="1:14">
      <c r="A118" s="5" t="s">
        <v>26</v>
      </c>
      <c r="B118" s="5" t="s">
        <v>160</v>
      </c>
      <c r="C118" s="10" t="s">
        <v>1293</v>
      </c>
      <c r="D118" s="5" t="s">
        <v>1295</v>
      </c>
      <c r="H118" s="5" t="e">
        <f>H117/H52</f>
        <v>#DIV/0!</v>
      </c>
      <c r="J118" s="5" t="s">
        <v>783</v>
      </c>
      <c r="M118" t="s">
        <v>1296</v>
      </c>
      <c r="N118" t="s">
        <v>164</v>
      </c>
    </row>
    <row r="119" s="12" customFormat="1" customHeight="1" spans="1:14">
      <c r="A119" s="12" t="s">
        <v>21</v>
      </c>
      <c r="B119" s="12" t="s">
        <v>15</v>
      </c>
      <c r="C119" s="11" t="s">
        <v>1297</v>
      </c>
      <c r="D119" s="12" t="s">
        <v>1298</v>
      </c>
      <c r="F119" t="s">
        <v>1299</v>
      </c>
      <c r="H119" s="12">
        <f>H120</f>
        <v>0</v>
      </c>
      <c r="I119" s="12">
        <f>I120</f>
        <v>0</v>
      </c>
      <c r="M119" t="s">
        <v>1300</v>
      </c>
    </row>
    <row r="120" customHeight="1" spans="1:14">
      <c r="A120" s="5" t="s">
        <v>26</v>
      </c>
      <c r="B120" s="5" t="s">
        <v>15</v>
      </c>
      <c r="C120" s="10" t="s">
        <v>1299</v>
      </c>
      <c r="D120" s="5" t="s">
        <v>1301</v>
      </c>
      <c r="F120" t="s">
        <v>1302</v>
      </c>
      <c r="I120" s="5">
        <f>I61*I121</f>
        <v>0</v>
      </c>
      <c r="J120" s="5" t="s">
        <v>1173</v>
      </c>
      <c r="M120" t="s">
        <v>1303</v>
      </c>
    </row>
    <row r="121" customHeight="1" spans="1:14">
      <c r="A121" s="5" t="s">
        <v>236</v>
      </c>
      <c r="B121" s="5" t="s">
        <v>160</v>
      </c>
      <c r="C121" s="10" t="s">
        <v>1302</v>
      </c>
      <c r="D121" s="5" t="s">
        <v>1304</v>
      </c>
      <c r="H121" s="5" t="e">
        <f>H120/H61</f>
        <v>#DIV/0!</v>
      </c>
      <c r="J121" s="5" t="s">
        <v>783</v>
      </c>
      <c r="M121" t="s">
        <v>1305</v>
      </c>
      <c r="N121" t="s">
        <v>164</v>
      </c>
    </row>
    <row r="122" customHeight="1" spans="1:14">
      <c r="C122" s="10"/>
    </row>
    <row r="123" customHeight="1" spans="1:14">
      <c r="A123" s="7" t="s">
        <v>14</v>
      </c>
      <c r="B123" s="1" t="s">
        <v>15</v>
      </c>
      <c r="C123" s="11" t="s">
        <v>1306</v>
      </c>
      <c r="D123" s="11" t="s">
        <v>1307</v>
      </c>
      <c r="F123" t="s">
        <v>1308</v>
      </c>
      <c r="I123" s="5" t="e">
        <f>I124+I132+I136+I137+I138</f>
        <v>#DIV/0!</v>
      </c>
      <c r="M123" t="s">
        <v>42</v>
      </c>
    </row>
    <row r="124" customHeight="1" spans="1:14">
      <c r="A124" s="7" t="s">
        <v>21</v>
      </c>
      <c r="B124" s="1" t="s">
        <v>15</v>
      </c>
      <c r="C124" s="11" t="s">
        <v>1309</v>
      </c>
      <c r="D124" s="11" t="s">
        <v>1310</v>
      </c>
      <c r="F124" t="s">
        <v>1311</v>
      </c>
      <c r="I124" s="5">
        <f>I126+I131</f>
        <v>0</v>
      </c>
      <c r="M124" t="s">
        <v>1312</v>
      </c>
    </row>
    <row r="125" customHeight="1" spans="1:14">
      <c r="A125" s="1" t="s">
        <v>26</v>
      </c>
      <c r="B125" s="1" t="s">
        <v>160</v>
      </c>
      <c r="C125" s="10" t="s">
        <v>1313</v>
      </c>
      <c r="D125" s="10" t="s">
        <v>1314</v>
      </c>
      <c r="H125" s="5" t="e">
        <f>H124/H46</f>
        <v>#DIV/0!</v>
      </c>
      <c r="I125" s="5" t="e">
        <f>I124/I46</f>
        <v>#DIV/0!</v>
      </c>
      <c r="J125" s="5" t="s">
        <v>783</v>
      </c>
      <c r="M125" t="s">
        <v>1315</v>
      </c>
      <c r="N125" t="s">
        <v>164</v>
      </c>
    </row>
    <row r="126" customHeight="1" spans="1:14">
      <c r="A126" s="1" t="s">
        <v>26</v>
      </c>
      <c r="B126" s="1" t="s">
        <v>15</v>
      </c>
      <c r="C126" s="10" t="s">
        <v>1316</v>
      </c>
      <c r="D126" s="10" t="s">
        <v>1317</v>
      </c>
      <c r="F126" t="s">
        <v>1318</v>
      </c>
      <c r="I126" s="5">
        <f>I46*I127</f>
        <v>0</v>
      </c>
      <c r="J126" s="5" t="s">
        <v>1173</v>
      </c>
      <c r="M126" t="s">
        <v>1319</v>
      </c>
    </row>
    <row r="127" customHeight="1" spans="1:14">
      <c r="A127" s="1" t="s">
        <v>236</v>
      </c>
      <c r="B127" s="1" t="s">
        <v>160</v>
      </c>
      <c r="C127" s="10" t="s">
        <v>1320</v>
      </c>
      <c r="D127" s="10" t="s">
        <v>1321</v>
      </c>
      <c r="H127" s="5" t="e">
        <f>H126/H46</f>
        <v>#DIV/0!</v>
      </c>
      <c r="I127" s="5">
        <f>I128*I129*I130/1.06</f>
        <v>0</v>
      </c>
      <c r="J127" s="5" t="s">
        <v>1215</v>
      </c>
      <c r="M127" t="s">
        <v>1322</v>
      </c>
      <c r="N127" t="s">
        <v>164</v>
      </c>
    </row>
    <row r="128" customHeight="1" spans="1:14">
      <c r="A128" s="1" t="s">
        <v>236</v>
      </c>
      <c r="B128" s="1" t="s">
        <v>160</v>
      </c>
      <c r="C128" s="10" t="s">
        <v>1323</v>
      </c>
      <c r="D128" s="10" t="s">
        <v>1324</v>
      </c>
      <c r="I128" s="5">
        <f>I69+I72</f>
        <v>0</v>
      </c>
      <c r="M128" t="s">
        <v>1325</v>
      </c>
      <c r="N128" t="s">
        <v>164</v>
      </c>
    </row>
    <row r="129" customHeight="1" spans="1:14">
      <c r="A129" s="1" t="s">
        <v>236</v>
      </c>
      <c r="B129" s="1" t="s">
        <v>160</v>
      </c>
      <c r="C129" s="10" t="s">
        <v>1326</v>
      </c>
      <c r="D129" s="10" t="s">
        <v>1327</v>
      </c>
      <c r="M129" t="s">
        <v>1328</v>
      </c>
      <c r="N129" t="s">
        <v>164</v>
      </c>
    </row>
    <row r="130" customHeight="1" spans="1:14">
      <c r="A130" s="1" t="s">
        <v>236</v>
      </c>
      <c r="B130" s="1" t="s">
        <v>160</v>
      </c>
      <c r="C130" s="10" t="s">
        <v>1329</v>
      </c>
      <c r="D130" s="10" t="s">
        <v>1330</v>
      </c>
      <c r="M130" t="s">
        <v>1331</v>
      </c>
      <c r="N130" t="s">
        <v>164</v>
      </c>
    </row>
    <row r="131" customHeight="1" spans="1:14">
      <c r="A131" s="1" t="s">
        <v>26</v>
      </c>
      <c r="B131" s="1" t="s">
        <v>15</v>
      </c>
      <c r="C131" s="10" t="s">
        <v>1332</v>
      </c>
      <c r="D131" s="10" t="s">
        <v>1333</v>
      </c>
      <c r="M131" t="s">
        <v>1334</v>
      </c>
      <c r="N131" t="s">
        <v>43</v>
      </c>
    </row>
    <row r="132" customHeight="1" spans="1:14">
      <c r="A132" s="7" t="s">
        <v>21</v>
      </c>
      <c r="B132" s="1" t="s">
        <v>15</v>
      </c>
      <c r="C132" s="11" t="s">
        <v>1335</v>
      </c>
      <c r="D132" s="11" t="s">
        <v>1336</v>
      </c>
      <c r="F132" t="s">
        <v>1337</v>
      </c>
      <c r="I132" s="5" t="e">
        <f>I141*I134*I135</f>
        <v>#DIV/0!</v>
      </c>
      <c r="M132" t="s">
        <v>1338</v>
      </c>
    </row>
    <row r="133" customHeight="1" spans="1:14">
      <c r="A133" s="1" t="s">
        <v>26</v>
      </c>
      <c r="B133" s="1" t="s">
        <v>160</v>
      </c>
      <c r="C133" s="10" t="s">
        <v>1339</v>
      </c>
      <c r="D133" s="10" t="s">
        <v>1340</v>
      </c>
      <c r="H133" s="5" t="e">
        <f>H132/H46</f>
        <v>#DIV/0!</v>
      </c>
      <c r="I133" s="5" t="e">
        <f>I132/I46</f>
        <v>#DIV/0!</v>
      </c>
      <c r="J133" s="5" t="s">
        <v>783</v>
      </c>
      <c r="M133" t="s">
        <v>1341</v>
      </c>
      <c r="N133" t="s">
        <v>164</v>
      </c>
    </row>
    <row r="134" customHeight="1" spans="1:14">
      <c r="A134" s="1" t="s">
        <v>236</v>
      </c>
      <c r="B134" s="1" t="s">
        <v>160</v>
      </c>
      <c r="C134" s="10" t="s">
        <v>1342</v>
      </c>
      <c r="D134" s="10" t="s">
        <v>1343</v>
      </c>
      <c r="H134" s="5" t="e">
        <f>H46/H40</f>
        <v>#DIV/0!</v>
      </c>
      <c r="I134" s="5" t="e">
        <f>I46/I40</f>
        <v>#DIV/0!</v>
      </c>
      <c r="M134" t="s">
        <v>1344</v>
      </c>
      <c r="N134" t="s">
        <v>164</v>
      </c>
    </row>
    <row r="135" customHeight="1" spans="1:14">
      <c r="A135" s="1" t="s">
        <v>236</v>
      </c>
      <c r="B135" s="1" t="s">
        <v>160</v>
      </c>
      <c r="C135" s="10" t="s">
        <v>1345</v>
      </c>
      <c r="D135" s="10" t="s">
        <v>1346</v>
      </c>
      <c r="H135" s="5" t="e">
        <f>H132/(H141*H134)</f>
        <v>#DIV/0!</v>
      </c>
      <c r="M135" t="s">
        <v>1347</v>
      </c>
      <c r="N135" t="s">
        <v>164</v>
      </c>
    </row>
    <row r="136" customHeight="1" spans="1:14">
      <c r="A136" s="7" t="s">
        <v>21</v>
      </c>
      <c r="B136" s="1" t="s">
        <v>15</v>
      </c>
      <c r="C136" s="11" t="s">
        <v>1348</v>
      </c>
      <c r="D136" s="11" t="s">
        <v>1349</v>
      </c>
      <c r="M136" t="s">
        <v>1350</v>
      </c>
      <c r="N136" t="s">
        <v>43</v>
      </c>
    </row>
    <row r="137" customHeight="1" spans="1:14">
      <c r="A137" s="7" t="s">
        <v>21</v>
      </c>
      <c r="B137" s="1" t="s">
        <v>15</v>
      </c>
      <c r="C137" s="11" t="s">
        <v>1351</v>
      </c>
      <c r="D137" s="11" t="s">
        <v>1352</v>
      </c>
      <c r="M137" t="s">
        <v>1353</v>
      </c>
      <c r="N137" t="s">
        <v>43</v>
      </c>
    </row>
    <row r="138" customHeight="1" spans="1:14">
      <c r="A138" s="7" t="s">
        <v>21</v>
      </c>
      <c r="B138" s="1" t="s">
        <v>15</v>
      </c>
      <c r="C138" s="11" t="s">
        <v>1354</v>
      </c>
      <c r="D138" s="11" t="s">
        <v>1355</v>
      </c>
      <c r="H138" s="5">
        <f>H123-H124-H132-H136-H137</f>
        <v>0</v>
      </c>
      <c r="M138" t="s">
        <v>1356</v>
      </c>
      <c r="N138" t="s">
        <v>43</v>
      </c>
    </row>
    <row r="139" customHeight="1" spans="1:14">
      <c r="A139" s="1"/>
      <c r="B139" s="1"/>
      <c r="C139" s="10"/>
      <c r="D139" s="10"/>
    </row>
    <row r="140" customHeight="1" spans="1:14">
      <c r="A140" s="7" t="s">
        <v>14</v>
      </c>
      <c r="B140" s="1" t="s">
        <v>31</v>
      </c>
      <c r="C140" s="11" t="s">
        <v>1357</v>
      </c>
      <c r="D140" s="11" t="s">
        <v>1358</v>
      </c>
      <c r="F140" t="s">
        <v>1359</v>
      </c>
      <c r="I140" s="5">
        <f>I141+I143+I145+I147+I148+I155+I156+I159+I160</f>
        <v>0</v>
      </c>
      <c r="M140" t="s">
        <v>46</v>
      </c>
    </row>
    <row r="141" customHeight="1" spans="1:14">
      <c r="A141" s="7" t="s">
        <v>21</v>
      </c>
      <c r="B141" s="1" t="s">
        <v>31</v>
      </c>
      <c r="C141" s="11" t="s">
        <v>1360</v>
      </c>
      <c r="D141" s="11" t="s">
        <v>1361</v>
      </c>
      <c r="F141" t="s">
        <v>1362</v>
      </c>
      <c r="I141" s="5">
        <f>I40*I142</f>
        <v>0</v>
      </c>
      <c r="J141" s="5" t="s">
        <v>1173</v>
      </c>
      <c r="M141" t="s">
        <v>1363</v>
      </c>
    </row>
    <row r="142" customHeight="1" spans="1:14">
      <c r="A142" s="1" t="s">
        <v>26</v>
      </c>
      <c r="B142" s="1" t="s">
        <v>160</v>
      </c>
      <c r="C142" s="10" t="s">
        <v>1362</v>
      </c>
      <c r="D142" s="10" t="s">
        <v>1364</v>
      </c>
      <c r="H142" s="5" t="e">
        <f>H141/H40</f>
        <v>#DIV/0!</v>
      </c>
      <c r="J142" s="5" t="s">
        <v>783</v>
      </c>
      <c r="M142" t="s">
        <v>1365</v>
      </c>
      <c r="N142" t="s">
        <v>164</v>
      </c>
    </row>
    <row r="143" customHeight="1" spans="1:14">
      <c r="A143" s="7" t="s">
        <v>21</v>
      </c>
      <c r="B143" s="1" t="s">
        <v>31</v>
      </c>
      <c r="C143" s="11" t="s">
        <v>1366</v>
      </c>
      <c r="D143" s="11" t="s">
        <v>1367</v>
      </c>
      <c r="F143" t="s">
        <v>1368</v>
      </c>
      <c r="I143" s="5">
        <f>I40*I144</f>
        <v>0</v>
      </c>
      <c r="J143" s="5" t="s">
        <v>1173</v>
      </c>
      <c r="M143" t="s">
        <v>1369</v>
      </c>
    </row>
    <row r="144" customHeight="1" spans="1:14">
      <c r="A144" s="1" t="s">
        <v>26</v>
      </c>
      <c r="B144" s="1" t="s">
        <v>160</v>
      </c>
      <c r="C144" s="10" t="s">
        <v>1368</v>
      </c>
      <c r="D144" s="10" t="s">
        <v>1364</v>
      </c>
      <c r="H144" s="5" t="e">
        <f>H143/H40</f>
        <v>#DIV/0!</v>
      </c>
      <c r="J144" s="5" t="s">
        <v>783</v>
      </c>
      <c r="M144" t="s">
        <v>1370</v>
      </c>
      <c r="N144" t="s">
        <v>164</v>
      </c>
    </row>
    <row r="145" customHeight="1" spans="1:14">
      <c r="A145" s="7" t="s">
        <v>21</v>
      </c>
      <c r="B145" s="1" t="s">
        <v>31</v>
      </c>
      <c r="C145" s="11" t="s">
        <v>1371</v>
      </c>
      <c r="D145" s="11" t="s">
        <v>1372</v>
      </c>
      <c r="F145" t="s">
        <v>1373</v>
      </c>
      <c r="I145" s="5">
        <f>I40*I146</f>
        <v>0</v>
      </c>
      <c r="J145" s="5" t="s">
        <v>1173</v>
      </c>
      <c r="M145" t="s">
        <v>1374</v>
      </c>
    </row>
    <row r="146" customHeight="1" spans="1:14">
      <c r="A146" s="1" t="s">
        <v>26</v>
      </c>
      <c r="B146" s="1" t="s">
        <v>160</v>
      </c>
      <c r="C146" s="10" t="s">
        <v>1373</v>
      </c>
      <c r="D146" s="10" t="s">
        <v>1364</v>
      </c>
      <c r="H146" s="5" t="e">
        <f>H145/H40</f>
        <v>#DIV/0!</v>
      </c>
      <c r="J146" s="5" t="s">
        <v>783</v>
      </c>
      <c r="M146" t="s">
        <v>1375</v>
      </c>
      <c r="N146" t="s">
        <v>164</v>
      </c>
    </row>
    <row r="147" customHeight="1" spans="1:14">
      <c r="A147" s="7" t="s">
        <v>21</v>
      </c>
      <c r="B147" s="1" t="s">
        <v>31</v>
      </c>
      <c r="C147" s="11" t="s">
        <v>1376</v>
      </c>
      <c r="D147" s="11" t="s">
        <v>1377</v>
      </c>
      <c r="M147" t="s">
        <v>1378</v>
      </c>
      <c r="N147" t="s">
        <v>43</v>
      </c>
    </row>
    <row r="148" customHeight="1" spans="1:14">
      <c r="A148" s="7" t="s">
        <v>21</v>
      </c>
      <c r="B148" s="1" t="s">
        <v>31</v>
      </c>
      <c r="C148" s="11" t="s">
        <v>1379</v>
      </c>
      <c r="D148" s="11" t="s">
        <v>1380</v>
      </c>
      <c r="F148" t="s">
        <v>1381</v>
      </c>
      <c r="I148" s="5">
        <f>I150+I154</f>
        <v>0</v>
      </c>
      <c r="M148" t="s">
        <v>1382</v>
      </c>
    </row>
    <row r="149" customHeight="1" spans="1:14">
      <c r="A149" s="1" t="s">
        <v>26</v>
      </c>
      <c r="B149" s="1" t="s">
        <v>160</v>
      </c>
      <c r="C149" s="10" t="s">
        <v>1383</v>
      </c>
      <c r="D149" s="10" t="s">
        <v>1384</v>
      </c>
      <c r="H149" s="5" t="e">
        <f>H148/H46</f>
        <v>#DIV/0!</v>
      </c>
      <c r="I149" s="5" t="e">
        <f>I148/I46</f>
        <v>#DIV/0!</v>
      </c>
      <c r="J149" s="5" t="s">
        <v>783</v>
      </c>
      <c r="M149" t="s">
        <v>1385</v>
      </c>
      <c r="N149" t="s">
        <v>164</v>
      </c>
    </row>
    <row r="150" customHeight="1" spans="1:14">
      <c r="A150" s="1" t="s">
        <v>26</v>
      </c>
      <c r="B150" s="1" t="s">
        <v>31</v>
      </c>
      <c r="C150" s="10" t="s">
        <v>1386</v>
      </c>
      <c r="D150" s="10" t="s">
        <v>1387</v>
      </c>
      <c r="F150" t="s">
        <v>1388</v>
      </c>
      <c r="I150" s="5">
        <f>I46*I128*(1-I152)*I129/1.06*I75*(1-I153)/1.06</f>
        <v>0</v>
      </c>
      <c r="J150" s="5" t="s">
        <v>1173</v>
      </c>
      <c r="M150" t="s">
        <v>1389</v>
      </c>
    </row>
    <row r="151" customHeight="1" spans="1:14">
      <c r="A151" s="1" t="s">
        <v>236</v>
      </c>
      <c r="B151" s="1" t="s">
        <v>160</v>
      </c>
      <c r="C151" s="10" t="s">
        <v>1390</v>
      </c>
      <c r="D151" s="10" t="s">
        <v>1391</v>
      </c>
      <c r="H151" s="5" t="e">
        <f>H150/H46</f>
        <v>#DIV/0!</v>
      </c>
      <c r="I151" s="5" t="e">
        <f>I150/I46</f>
        <v>#DIV/0!</v>
      </c>
      <c r="J151" s="5" t="s">
        <v>783</v>
      </c>
      <c r="M151" t="s">
        <v>1392</v>
      </c>
      <c r="N151" t="s">
        <v>164</v>
      </c>
    </row>
    <row r="152" customHeight="1" spans="1:14">
      <c r="A152" s="1" t="s">
        <v>236</v>
      </c>
      <c r="B152" s="1" t="s">
        <v>160</v>
      </c>
      <c r="C152" s="10" t="s">
        <v>1393</v>
      </c>
      <c r="D152" s="10" t="s">
        <v>1394</v>
      </c>
      <c r="M152" t="s">
        <v>1395</v>
      </c>
      <c r="N152" t="s">
        <v>164</v>
      </c>
    </row>
    <row r="153" customHeight="1" spans="1:14">
      <c r="A153" s="1" t="s">
        <v>236</v>
      </c>
      <c r="B153" s="1" t="s">
        <v>160</v>
      </c>
      <c r="C153" s="10" t="s">
        <v>1396</v>
      </c>
      <c r="D153" s="10" t="s">
        <v>1397</v>
      </c>
      <c r="M153" t="s">
        <v>1398</v>
      </c>
      <c r="N153" t="s">
        <v>164</v>
      </c>
    </row>
    <row r="154" customHeight="1" spans="1:14">
      <c r="A154" s="1" t="s">
        <v>26</v>
      </c>
      <c r="B154" s="1" t="s">
        <v>31</v>
      </c>
      <c r="C154" s="10" t="s">
        <v>1399</v>
      </c>
      <c r="D154" s="10" t="s">
        <v>1400</v>
      </c>
      <c r="M154" t="s">
        <v>1401</v>
      </c>
      <c r="N154" t="s">
        <v>43</v>
      </c>
    </row>
    <row r="155" customHeight="1" spans="1:14">
      <c r="A155" s="7" t="s">
        <v>21</v>
      </c>
      <c r="B155" s="1" t="s">
        <v>31</v>
      </c>
      <c r="C155" s="11" t="s">
        <v>1402</v>
      </c>
      <c r="D155" s="11" t="s">
        <v>1403</v>
      </c>
      <c r="M155" t="s">
        <v>1404</v>
      </c>
      <c r="N155" t="s">
        <v>43</v>
      </c>
    </row>
    <row r="156" customHeight="1" spans="1:14">
      <c r="A156" s="7" t="s">
        <v>21</v>
      </c>
      <c r="B156" s="1" t="s">
        <v>31</v>
      </c>
      <c r="C156" s="11" t="s">
        <v>1405</v>
      </c>
      <c r="D156" s="11" t="s">
        <v>1406</v>
      </c>
      <c r="F156" t="s">
        <v>1407</v>
      </c>
      <c r="I156" s="5">
        <f>I137*I157*I158/1.06</f>
        <v>0</v>
      </c>
      <c r="M156" t="s">
        <v>1408</v>
      </c>
    </row>
    <row r="157" customHeight="1" spans="1:14">
      <c r="A157" s="1" t="s">
        <v>26</v>
      </c>
      <c r="B157" s="1" t="s">
        <v>160</v>
      </c>
      <c r="C157" s="10" t="s">
        <v>1409</v>
      </c>
      <c r="D157" s="10" t="s">
        <v>1410</v>
      </c>
      <c r="M157" t="s">
        <v>1411</v>
      </c>
      <c r="N157" t="s">
        <v>164</v>
      </c>
    </row>
    <row r="158" customHeight="1" spans="1:14">
      <c r="A158" s="1" t="s">
        <v>26</v>
      </c>
      <c r="B158" s="1" t="s">
        <v>160</v>
      </c>
      <c r="C158" s="10" t="s">
        <v>1412</v>
      </c>
      <c r="D158" s="10" t="s">
        <v>1413</v>
      </c>
      <c r="M158" t="s">
        <v>1414</v>
      </c>
      <c r="N158" t="s">
        <v>164</v>
      </c>
    </row>
    <row r="159" customHeight="1" spans="1:14">
      <c r="A159" s="7" t="s">
        <v>21</v>
      </c>
      <c r="B159" s="1" t="s">
        <v>31</v>
      </c>
      <c r="C159" s="11" t="s">
        <v>1415</v>
      </c>
      <c r="D159" s="11" t="s">
        <v>1416</v>
      </c>
      <c r="M159" t="s">
        <v>1417</v>
      </c>
      <c r="N159" t="s">
        <v>43</v>
      </c>
    </row>
    <row r="160" customHeight="1" spans="1:14">
      <c r="A160" s="7" t="s">
        <v>21</v>
      </c>
      <c r="B160" s="1" t="s">
        <v>31</v>
      </c>
      <c r="C160" s="11" t="s">
        <v>1418</v>
      </c>
      <c r="D160" s="11" t="s">
        <v>1419</v>
      </c>
      <c r="M160" t="s">
        <v>1420</v>
      </c>
      <c r="N160" t="s">
        <v>43</v>
      </c>
    </row>
    <row r="161" customHeight="1" spans="1:14">
      <c r="A161" s="1"/>
      <c r="B161" s="1"/>
      <c r="C161" s="10"/>
      <c r="D161" s="10"/>
    </row>
    <row r="162" customHeight="1" spans="1:14">
      <c r="A162" s="11" t="s">
        <v>14</v>
      </c>
      <c r="B162" s="10" t="s">
        <v>15</v>
      </c>
      <c r="C162" s="11" t="s">
        <v>1421</v>
      </c>
      <c r="D162" s="11" t="s">
        <v>1422</v>
      </c>
      <c r="M162" t="s">
        <v>1423</v>
      </c>
      <c r="N162" t="s">
        <v>43</v>
      </c>
    </row>
    <row r="163" customHeight="1" spans="1:14">
      <c r="A163" s="1"/>
      <c r="B163" s="1"/>
      <c r="C163" s="10"/>
      <c r="D163" s="10"/>
    </row>
    <row r="164" customHeight="1" spans="1:14">
      <c r="A164" s="7" t="s">
        <v>14</v>
      </c>
      <c r="B164" s="1" t="s">
        <v>15</v>
      </c>
      <c r="C164" s="11" t="s">
        <v>1424</v>
      </c>
      <c r="D164" s="11" t="s">
        <v>1425</v>
      </c>
      <c r="M164" t="s">
        <v>1426</v>
      </c>
      <c r="N164" t="s">
        <v>43</v>
      </c>
    </row>
    <row r="165" customHeight="1" spans="1:14">
      <c r="A165" s="1"/>
      <c r="B165" s="1"/>
      <c r="C165" s="10"/>
      <c r="D165" s="10"/>
    </row>
    <row r="167" customHeight="1" spans="1:14">
      <c r="A167" t="s">
        <v>222</v>
      </c>
      <c r="B167" t="s">
        <v>223</v>
      </c>
      <c r="C167" t="s">
        <v>2</v>
      </c>
      <c r="D167" t="s">
        <v>3</v>
      </c>
      <c r="E167" t="s">
        <v>4</v>
      </c>
      <c r="F167" t="s">
        <v>5</v>
      </c>
      <c r="J167" t="s">
        <v>9</v>
      </c>
      <c r="K167" t="s">
        <v>10</v>
      </c>
    </row>
    <row r="168" customHeight="1" spans="1:14">
      <c r="A168" t="s">
        <v>14</v>
      </c>
      <c r="B168" t="s">
        <v>31</v>
      </c>
      <c r="C168" t="s">
        <v>1427</v>
      </c>
      <c r="D168" t="s">
        <v>927</v>
      </c>
      <c r="F168" t="s">
        <v>1053</v>
      </c>
      <c r="K168" t="s">
        <v>19</v>
      </c>
      <c r="M168" t="s">
        <v>227</v>
      </c>
    </row>
    <row r="169" customHeight="1" spans="1:14">
      <c r="A169" t="s">
        <v>21</v>
      </c>
      <c r="B169" t="s">
        <v>31</v>
      </c>
      <c r="C169" t="s">
        <v>1428</v>
      </c>
      <c r="D169" t="s">
        <v>929</v>
      </c>
      <c r="F169" t="s">
        <v>1055</v>
      </c>
      <c r="K169" t="s">
        <v>19</v>
      </c>
      <c r="M169" t="s">
        <v>231</v>
      </c>
    </row>
    <row r="170" customHeight="1" spans="1:14">
      <c r="A170" t="s">
        <v>26</v>
      </c>
      <c r="B170" t="s">
        <v>31</v>
      </c>
      <c r="C170" t="s">
        <v>1429</v>
      </c>
      <c r="D170" t="s">
        <v>233</v>
      </c>
      <c r="F170" t="s">
        <v>1057</v>
      </c>
      <c r="K170" t="s">
        <v>19</v>
      </c>
      <c r="M170" t="s">
        <v>235</v>
      </c>
    </row>
    <row r="171" customHeight="1" spans="1:14">
      <c r="A171" t="s">
        <v>236</v>
      </c>
      <c r="B171" t="s">
        <v>31</v>
      </c>
      <c r="C171" t="s">
        <v>1430</v>
      </c>
      <c r="D171" t="s">
        <v>238</v>
      </c>
      <c r="F171" t="s">
        <v>1431</v>
      </c>
      <c r="K171" t="s">
        <v>19</v>
      </c>
      <c r="M171" t="s">
        <v>240</v>
      </c>
    </row>
    <row r="172" customHeight="1" spans="1:14">
      <c r="A172" t="s">
        <v>241</v>
      </c>
      <c r="B172" t="s">
        <v>31</v>
      </c>
      <c r="C172" t="s">
        <v>1432</v>
      </c>
      <c r="D172" t="s">
        <v>243</v>
      </c>
      <c r="K172" t="s">
        <v>19</v>
      </c>
      <c r="M172" t="s">
        <v>244</v>
      </c>
      <c r="N172" t="s">
        <v>43</v>
      </c>
    </row>
    <row r="173" customHeight="1" spans="1:14">
      <c r="A173" t="s">
        <v>241</v>
      </c>
      <c r="B173" t="s">
        <v>31</v>
      </c>
      <c r="C173" t="s">
        <v>1433</v>
      </c>
      <c r="D173" t="s">
        <v>246</v>
      </c>
      <c r="K173" t="s">
        <v>19</v>
      </c>
      <c r="M173" t="s">
        <v>247</v>
      </c>
      <c r="N173" t="s">
        <v>43</v>
      </c>
    </row>
    <row r="174" customHeight="1" spans="1:14">
      <c r="A174" t="s">
        <v>236</v>
      </c>
      <c r="B174" t="s">
        <v>31</v>
      </c>
      <c r="C174" t="s">
        <v>1434</v>
      </c>
      <c r="D174" t="s">
        <v>249</v>
      </c>
      <c r="F174" t="s">
        <v>1435</v>
      </c>
      <c r="K174" t="s">
        <v>19</v>
      </c>
      <c r="M174" t="s">
        <v>251</v>
      </c>
    </row>
    <row r="175" customHeight="1" spans="1:14">
      <c r="A175" t="s">
        <v>241</v>
      </c>
      <c r="B175" t="s">
        <v>31</v>
      </c>
      <c r="C175" t="s">
        <v>1436</v>
      </c>
      <c r="D175" t="s">
        <v>253</v>
      </c>
      <c r="K175" t="s">
        <v>19</v>
      </c>
      <c r="M175" t="s">
        <v>254</v>
      </c>
      <c r="N175" t="s">
        <v>43</v>
      </c>
    </row>
    <row r="176" customHeight="1" spans="1:14">
      <c r="A176" t="s">
        <v>241</v>
      </c>
      <c r="B176" t="s">
        <v>31</v>
      </c>
      <c r="C176" t="s">
        <v>1437</v>
      </c>
      <c r="D176" t="s">
        <v>256</v>
      </c>
      <c r="K176" t="s">
        <v>19</v>
      </c>
      <c r="M176" t="s">
        <v>257</v>
      </c>
      <c r="N176" t="s">
        <v>43</v>
      </c>
    </row>
    <row r="177" customHeight="1" spans="1:14">
      <c r="A177" t="s">
        <v>236</v>
      </c>
      <c r="B177" t="s">
        <v>31</v>
      </c>
      <c r="C177" t="s">
        <v>1438</v>
      </c>
      <c r="D177" t="s">
        <v>259</v>
      </c>
      <c r="F177" t="s">
        <v>1439</v>
      </c>
      <c r="K177" t="s">
        <v>19</v>
      </c>
      <c r="M177" t="s">
        <v>261</v>
      </c>
    </row>
    <row r="178" customHeight="1" spans="1:14">
      <c r="A178" t="s">
        <v>241</v>
      </c>
      <c r="B178" t="s">
        <v>31</v>
      </c>
      <c r="C178" t="s">
        <v>1440</v>
      </c>
      <c r="D178" t="s">
        <v>263</v>
      </c>
      <c r="F178" t="s">
        <v>1441</v>
      </c>
      <c r="K178" t="s">
        <v>19</v>
      </c>
      <c r="M178" t="s">
        <v>265</v>
      </c>
    </row>
    <row r="179" customHeight="1" spans="1:14">
      <c r="A179" t="s">
        <v>266</v>
      </c>
      <c r="B179" t="s">
        <v>31</v>
      </c>
      <c r="C179" t="s">
        <v>1442</v>
      </c>
      <c r="D179" t="s">
        <v>268</v>
      </c>
      <c r="K179" t="s">
        <v>19</v>
      </c>
      <c r="M179" t="s">
        <v>269</v>
      </c>
      <c r="N179" t="s">
        <v>43</v>
      </c>
    </row>
    <row r="180" customHeight="1" spans="1:14">
      <c r="A180" t="s">
        <v>266</v>
      </c>
      <c r="B180" t="s">
        <v>31</v>
      </c>
      <c r="C180" t="s">
        <v>1443</v>
      </c>
      <c r="D180" t="s">
        <v>271</v>
      </c>
      <c r="K180" t="s">
        <v>19</v>
      </c>
      <c r="M180" t="s">
        <v>272</v>
      </c>
      <c r="N180" t="s">
        <v>43</v>
      </c>
    </row>
    <row r="181" customHeight="1" spans="1:14">
      <c r="A181" t="s">
        <v>241</v>
      </c>
      <c r="B181" t="s">
        <v>31</v>
      </c>
      <c r="C181" t="s">
        <v>1444</v>
      </c>
      <c r="D181" t="s">
        <v>1445</v>
      </c>
      <c r="K181" t="s">
        <v>19</v>
      </c>
      <c r="M181" t="s">
        <v>275</v>
      </c>
      <c r="N181" t="s">
        <v>43</v>
      </c>
    </row>
    <row r="182" customHeight="1" spans="1:14">
      <c r="A182" t="s">
        <v>266</v>
      </c>
      <c r="B182" t="s">
        <v>31</v>
      </c>
      <c r="C182" t="s">
        <v>1446</v>
      </c>
      <c r="D182" t="s">
        <v>277</v>
      </c>
      <c r="K182" t="s">
        <v>19</v>
      </c>
      <c r="M182" t="s">
        <v>278</v>
      </c>
      <c r="N182" t="s">
        <v>43</v>
      </c>
    </row>
    <row r="183" customHeight="1" spans="1:14">
      <c r="A183" t="s">
        <v>241</v>
      </c>
      <c r="B183" t="s">
        <v>31</v>
      </c>
      <c r="C183" t="s">
        <v>1447</v>
      </c>
      <c r="D183" t="s">
        <v>1448</v>
      </c>
      <c r="K183" t="s">
        <v>19</v>
      </c>
      <c r="M183" t="s">
        <v>281</v>
      </c>
      <c r="N183" t="s">
        <v>43</v>
      </c>
    </row>
    <row r="184" customHeight="1" spans="1:14">
      <c r="A184" t="s">
        <v>266</v>
      </c>
      <c r="B184" t="s">
        <v>31</v>
      </c>
      <c r="C184" t="s">
        <v>1449</v>
      </c>
      <c r="D184" t="s">
        <v>283</v>
      </c>
      <c r="K184" t="s">
        <v>19</v>
      </c>
      <c r="M184" t="s">
        <v>284</v>
      </c>
      <c r="N184" t="s">
        <v>43</v>
      </c>
    </row>
    <row r="185" customHeight="1" spans="1:14">
      <c r="A185" t="s">
        <v>241</v>
      </c>
      <c r="B185" t="s">
        <v>31</v>
      </c>
      <c r="C185" t="s">
        <v>1450</v>
      </c>
      <c r="D185" t="s">
        <v>1451</v>
      </c>
      <c r="K185" t="s">
        <v>19</v>
      </c>
      <c r="M185" t="s">
        <v>287</v>
      </c>
      <c r="N185" t="s">
        <v>43</v>
      </c>
    </row>
    <row r="186" customHeight="1" spans="1:14">
      <c r="A186" t="s">
        <v>266</v>
      </c>
      <c r="B186" t="s">
        <v>31</v>
      </c>
      <c r="C186" t="s">
        <v>1452</v>
      </c>
      <c r="D186" t="s">
        <v>289</v>
      </c>
      <c r="K186" t="s">
        <v>19</v>
      </c>
      <c r="M186" t="s">
        <v>290</v>
      </c>
      <c r="N186" t="s">
        <v>43</v>
      </c>
    </row>
    <row r="187" customHeight="1" spans="1:14">
      <c r="A187" t="s">
        <v>236</v>
      </c>
      <c r="B187" t="s">
        <v>31</v>
      </c>
      <c r="C187" t="s">
        <v>1453</v>
      </c>
      <c r="D187" t="s">
        <v>1454</v>
      </c>
      <c r="K187" t="s">
        <v>19</v>
      </c>
      <c r="M187" t="s">
        <v>293</v>
      </c>
      <c r="N187" t="s">
        <v>43</v>
      </c>
    </row>
    <row r="188" customHeight="1" spans="1:14">
      <c r="A188" t="s">
        <v>241</v>
      </c>
      <c r="B188" t="s">
        <v>31</v>
      </c>
      <c r="C188" t="s">
        <v>1455</v>
      </c>
      <c r="D188" t="s">
        <v>295</v>
      </c>
      <c r="K188" t="s">
        <v>19</v>
      </c>
      <c r="M188" t="s">
        <v>296</v>
      </c>
      <c r="N188" t="s">
        <v>43</v>
      </c>
    </row>
    <row r="189" customHeight="1" spans="1:14">
      <c r="A189" t="s">
        <v>236</v>
      </c>
      <c r="B189" t="s">
        <v>31</v>
      </c>
      <c r="C189" t="s">
        <v>1456</v>
      </c>
      <c r="D189" t="s">
        <v>1457</v>
      </c>
      <c r="K189" t="s">
        <v>19</v>
      </c>
      <c r="M189" t="s">
        <v>299</v>
      </c>
      <c r="N189" t="s">
        <v>43</v>
      </c>
    </row>
    <row r="190" customHeight="1" spans="1:14">
      <c r="A190" t="s">
        <v>241</v>
      </c>
      <c r="B190" t="s">
        <v>31</v>
      </c>
      <c r="C190" t="s">
        <v>1458</v>
      </c>
      <c r="D190" t="s">
        <v>301</v>
      </c>
      <c r="K190" t="s">
        <v>19</v>
      </c>
      <c r="M190" t="s">
        <v>302</v>
      </c>
      <c r="N190" t="s">
        <v>43</v>
      </c>
    </row>
    <row r="191" customHeight="1" spans="1:14">
      <c r="A191" t="s">
        <v>26</v>
      </c>
      <c r="B191" t="s">
        <v>31</v>
      </c>
      <c r="C191" t="s">
        <v>1459</v>
      </c>
      <c r="D191" t="s">
        <v>304</v>
      </c>
      <c r="F191" t="s">
        <v>1059</v>
      </c>
      <c r="K191" t="s">
        <v>19</v>
      </c>
      <c r="M191" t="s">
        <v>306</v>
      </c>
    </row>
    <row r="192" customHeight="1" spans="1:14">
      <c r="A192" t="s">
        <v>236</v>
      </c>
      <c r="B192" t="s">
        <v>31</v>
      </c>
      <c r="C192" t="s">
        <v>1460</v>
      </c>
      <c r="D192" t="s">
        <v>238</v>
      </c>
      <c r="F192" t="s">
        <v>1461</v>
      </c>
      <c r="K192" t="s">
        <v>19</v>
      </c>
      <c r="M192" t="s">
        <v>309</v>
      </c>
    </row>
    <row r="193" customHeight="1" spans="1:14">
      <c r="A193" t="s">
        <v>241</v>
      </c>
      <c r="B193" t="s">
        <v>31</v>
      </c>
      <c r="C193" t="s">
        <v>1462</v>
      </c>
      <c r="D193" t="s">
        <v>243</v>
      </c>
      <c r="K193" t="s">
        <v>19</v>
      </c>
      <c r="M193" t="s">
        <v>311</v>
      </c>
      <c r="N193" t="s">
        <v>43</v>
      </c>
    </row>
    <row r="194" customHeight="1" spans="1:14">
      <c r="A194" t="s">
        <v>241</v>
      </c>
      <c r="B194" t="s">
        <v>31</v>
      </c>
      <c r="C194" t="s">
        <v>1463</v>
      </c>
      <c r="D194" t="s">
        <v>246</v>
      </c>
      <c r="K194" t="s">
        <v>19</v>
      </c>
      <c r="M194" t="s">
        <v>313</v>
      </c>
      <c r="N194" t="s">
        <v>43</v>
      </c>
    </row>
    <row r="195" customHeight="1" spans="1:14">
      <c r="A195" t="s">
        <v>236</v>
      </c>
      <c r="B195" t="s">
        <v>31</v>
      </c>
      <c r="C195" t="s">
        <v>1464</v>
      </c>
      <c r="D195" t="s">
        <v>249</v>
      </c>
      <c r="F195" t="s">
        <v>1465</v>
      </c>
      <c r="K195" t="s">
        <v>19</v>
      </c>
      <c r="M195" t="s">
        <v>316</v>
      </c>
    </row>
    <row r="196" customHeight="1" spans="1:14">
      <c r="A196" t="s">
        <v>241</v>
      </c>
      <c r="B196" t="s">
        <v>31</v>
      </c>
      <c r="C196" t="s">
        <v>1466</v>
      </c>
      <c r="D196" t="s">
        <v>253</v>
      </c>
      <c r="K196" t="s">
        <v>19</v>
      </c>
      <c r="M196" t="s">
        <v>318</v>
      </c>
      <c r="N196" t="s">
        <v>43</v>
      </c>
    </row>
    <row r="197" customHeight="1" spans="1:14">
      <c r="A197" t="s">
        <v>241</v>
      </c>
      <c r="B197" t="s">
        <v>31</v>
      </c>
      <c r="C197" t="s">
        <v>1467</v>
      </c>
      <c r="D197" t="s">
        <v>256</v>
      </c>
      <c r="K197" t="s">
        <v>19</v>
      </c>
      <c r="M197" t="s">
        <v>320</v>
      </c>
      <c r="N197" t="s">
        <v>43</v>
      </c>
    </row>
    <row r="198" customHeight="1" spans="1:14">
      <c r="A198" t="s">
        <v>236</v>
      </c>
      <c r="B198" t="s">
        <v>31</v>
      </c>
      <c r="C198" t="s">
        <v>1468</v>
      </c>
      <c r="D198" t="s">
        <v>259</v>
      </c>
      <c r="F198" t="s">
        <v>1469</v>
      </c>
      <c r="K198" t="s">
        <v>19</v>
      </c>
      <c r="M198" t="s">
        <v>323</v>
      </c>
    </row>
    <row r="199" customHeight="1" spans="1:14">
      <c r="A199" t="s">
        <v>241</v>
      </c>
      <c r="B199" t="s">
        <v>31</v>
      </c>
      <c r="C199" t="s">
        <v>1470</v>
      </c>
      <c r="D199" t="s">
        <v>263</v>
      </c>
      <c r="F199" t="s">
        <v>1471</v>
      </c>
      <c r="K199" t="s">
        <v>19</v>
      </c>
      <c r="M199" t="s">
        <v>326</v>
      </c>
    </row>
    <row r="200" customHeight="1" spans="1:14">
      <c r="A200" t="s">
        <v>266</v>
      </c>
      <c r="B200" t="s">
        <v>31</v>
      </c>
      <c r="C200" t="s">
        <v>1472</v>
      </c>
      <c r="D200" t="s">
        <v>268</v>
      </c>
      <c r="K200" t="s">
        <v>19</v>
      </c>
      <c r="M200" t="s">
        <v>328</v>
      </c>
      <c r="N200" t="s">
        <v>43</v>
      </c>
    </row>
    <row r="201" customHeight="1" spans="1:14">
      <c r="A201" t="s">
        <v>266</v>
      </c>
      <c r="B201" t="s">
        <v>31</v>
      </c>
      <c r="C201" t="s">
        <v>1473</v>
      </c>
      <c r="D201" t="s">
        <v>271</v>
      </c>
      <c r="K201" t="s">
        <v>19</v>
      </c>
      <c r="M201" t="s">
        <v>330</v>
      </c>
      <c r="N201" t="s">
        <v>43</v>
      </c>
    </row>
    <row r="202" customHeight="1" spans="1:14">
      <c r="A202" t="s">
        <v>241</v>
      </c>
      <c r="B202" t="s">
        <v>31</v>
      </c>
      <c r="C202" t="s">
        <v>1474</v>
      </c>
      <c r="D202" t="s">
        <v>1475</v>
      </c>
      <c r="K202" t="s">
        <v>19</v>
      </c>
      <c r="M202" t="s">
        <v>333</v>
      </c>
      <c r="N202" t="s">
        <v>43</v>
      </c>
    </row>
    <row r="203" customHeight="1" spans="1:14">
      <c r="A203" t="s">
        <v>266</v>
      </c>
      <c r="B203" t="s">
        <v>31</v>
      </c>
      <c r="C203" t="s">
        <v>1476</v>
      </c>
      <c r="D203" t="s">
        <v>277</v>
      </c>
      <c r="K203" t="s">
        <v>19</v>
      </c>
      <c r="M203" t="s">
        <v>335</v>
      </c>
      <c r="N203" t="s">
        <v>43</v>
      </c>
    </row>
    <row r="204" customHeight="1" spans="1:14">
      <c r="A204" t="s">
        <v>241</v>
      </c>
      <c r="B204" t="s">
        <v>31</v>
      </c>
      <c r="C204" t="s">
        <v>1477</v>
      </c>
      <c r="D204" t="s">
        <v>1478</v>
      </c>
      <c r="K204" t="s">
        <v>19</v>
      </c>
      <c r="M204" t="s">
        <v>338</v>
      </c>
      <c r="N204" t="s">
        <v>43</v>
      </c>
    </row>
    <row r="205" customHeight="1" spans="1:14">
      <c r="A205" t="s">
        <v>266</v>
      </c>
      <c r="B205" t="s">
        <v>31</v>
      </c>
      <c r="C205" t="s">
        <v>1479</v>
      </c>
      <c r="D205" t="s">
        <v>283</v>
      </c>
      <c r="K205" t="s">
        <v>19</v>
      </c>
      <c r="M205" t="s">
        <v>340</v>
      </c>
      <c r="N205" t="s">
        <v>43</v>
      </c>
    </row>
    <row r="206" customHeight="1" spans="1:14">
      <c r="A206" t="s">
        <v>241</v>
      </c>
      <c r="B206" t="s">
        <v>31</v>
      </c>
      <c r="C206" t="s">
        <v>1480</v>
      </c>
      <c r="D206" t="s">
        <v>1481</v>
      </c>
      <c r="K206" t="s">
        <v>19</v>
      </c>
      <c r="M206" t="s">
        <v>343</v>
      </c>
      <c r="N206" t="s">
        <v>43</v>
      </c>
    </row>
    <row r="207" customHeight="1" spans="1:14">
      <c r="A207" t="s">
        <v>266</v>
      </c>
      <c r="B207" t="s">
        <v>31</v>
      </c>
      <c r="C207" t="s">
        <v>1482</v>
      </c>
      <c r="D207" t="s">
        <v>289</v>
      </c>
      <c r="K207" t="s">
        <v>19</v>
      </c>
      <c r="M207" t="s">
        <v>345</v>
      </c>
      <c r="N207" t="s">
        <v>43</v>
      </c>
    </row>
    <row r="208" customHeight="1" spans="1:14">
      <c r="A208" t="s">
        <v>236</v>
      </c>
      <c r="B208" t="s">
        <v>31</v>
      </c>
      <c r="C208" t="s">
        <v>1483</v>
      </c>
      <c r="D208" t="s">
        <v>1484</v>
      </c>
      <c r="K208" t="s">
        <v>19</v>
      </c>
      <c r="M208" t="s">
        <v>348</v>
      </c>
      <c r="N208" t="s">
        <v>43</v>
      </c>
    </row>
    <row r="209" customHeight="1" spans="1:14">
      <c r="A209" t="s">
        <v>241</v>
      </c>
      <c r="B209" t="s">
        <v>31</v>
      </c>
      <c r="C209" t="s">
        <v>1485</v>
      </c>
      <c r="D209" t="s">
        <v>295</v>
      </c>
      <c r="K209" t="s">
        <v>19</v>
      </c>
      <c r="M209" t="s">
        <v>350</v>
      </c>
      <c r="N209" t="s">
        <v>43</v>
      </c>
    </row>
    <row r="210" customHeight="1" spans="1:14">
      <c r="A210" t="s">
        <v>236</v>
      </c>
      <c r="B210" t="s">
        <v>31</v>
      </c>
      <c r="C210" t="s">
        <v>1486</v>
      </c>
      <c r="D210" t="s">
        <v>1487</v>
      </c>
      <c r="K210" t="s">
        <v>19</v>
      </c>
      <c r="M210" t="s">
        <v>353</v>
      </c>
      <c r="N210" t="s">
        <v>43</v>
      </c>
    </row>
    <row r="211" customHeight="1" spans="1:14">
      <c r="A211" t="s">
        <v>241</v>
      </c>
      <c r="B211" t="s">
        <v>31</v>
      </c>
      <c r="C211" t="s">
        <v>1488</v>
      </c>
      <c r="D211" t="s">
        <v>301</v>
      </c>
      <c r="K211" t="s">
        <v>19</v>
      </c>
      <c r="M211" t="s">
        <v>355</v>
      </c>
      <c r="N211" t="s">
        <v>43</v>
      </c>
    </row>
    <row r="212" customHeight="1" spans="1:14">
      <c r="A212" t="s">
        <v>21</v>
      </c>
      <c r="B212" t="s">
        <v>31</v>
      </c>
      <c r="C212" t="s">
        <v>1489</v>
      </c>
      <c r="D212" t="s">
        <v>362</v>
      </c>
      <c r="F212" t="s">
        <v>1061</v>
      </c>
      <c r="K212" t="s">
        <v>19</v>
      </c>
      <c r="M212" t="s">
        <v>364</v>
      </c>
    </row>
    <row r="213" customHeight="1" spans="1:14">
      <c r="A213" t="s">
        <v>26</v>
      </c>
      <c r="B213" t="s">
        <v>31</v>
      </c>
      <c r="C213" t="s">
        <v>1490</v>
      </c>
      <c r="D213" t="s">
        <v>358</v>
      </c>
      <c r="K213" t="s">
        <v>19</v>
      </c>
      <c r="M213" t="s">
        <v>1063</v>
      </c>
      <c r="N213" t="s">
        <v>43</v>
      </c>
    </row>
    <row r="214" customHeight="1" spans="1:14">
      <c r="A214" t="s">
        <v>26</v>
      </c>
      <c r="B214" t="s">
        <v>31</v>
      </c>
      <c r="C214" t="s">
        <v>1491</v>
      </c>
      <c r="D214" t="s">
        <v>360</v>
      </c>
      <c r="K214" t="s">
        <v>19</v>
      </c>
      <c r="M214" t="s">
        <v>1065</v>
      </c>
      <c r="N214" t="s">
        <v>43</v>
      </c>
    </row>
    <row r="215" customHeight="1" spans="1:14">
      <c r="A215" t="s">
        <v>26</v>
      </c>
      <c r="B215" t="s">
        <v>31</v>
      </c>
      <c r="C215" t="s">
        <v>1492</v>
      </c>
      <c r="D215" t="s">
        <v>365</v>
      </c>
      <c r="F215" t="s">
        <v>1493</v>
      </c>
      <c r="K215" t="s">
        <v>19</v>
      </c>
      <c r="M215" t="s">
        <v>367</v>
      </c>
    </row>
    <row r="216" customHeight="1" spans="1:14">
      <c r="A216" t="s">
        <v>236</v>
      </c>
      <c r="B216" t="s">
        <v>31</v>
      </c>
      <c r="C216" t="s">
        <v>1494</v>
      </c>
      <c r="D216" t="s">
        <v>369</v>
      </c>
      <c r="F216" t="s">
        <v>1495</v>
      </c>
      <c r="K216" t="s">
        <v>19</v>
      </c>
      <c r="M216" t="s">
        <v>371</v>
      </c>
    </row>
    <row r="217" customHeight="1" spans="1:14">
      <c r="A217" t="s">
        <v>241</v>
      </c>
      <c r="B217" t="s">
        <v>31</v>
      </c>
      <c r="C217" t="s">
        <v>1496</v>
      </c>
      <c r="D217" t="s">
        <v>373</v>
      </c>
      <c r="K217" t="s">
        <v>19</v>
      </c>
      <c r="M217" t="s">
        <v>374</v>
      </c>
      <c r="N217" t="s">
        <v>43</v>
      </c>
    </row>
    <row r="218" customHeight="1" spans="1:14">
      <c r="A218" t="s">
        <v>241</v>
      </c>
      <c r="B218" t="s">
        <v>31</v>
      </c>
      <c r="C218" t="s">
        <v>1497</v>
      </c>
      <c r="D218" t="s">
        <v>376</v>
      </c>
      <c r="K218" t="s">
        <v>19</v>
      </c>
      <c r="M218" t="s">
        <v>377</v>
      </c>
      <c r="N218" t="s">
        <v>43</v>
      </c>
    </row>
    <row r="219" customHeight="1" spans="1:14">
      <c r="A219" t="s">
        <v>241</v>
      </c>
      <c r="B219" t="s">
        <v>31</v>
      </c>
      <c r="C219" t="s">
        <v>1498</v>
      </c>
      <c r="D219" t="s">
        <v>379</v>
      </c>
      <c r="K219" t="s">
        <v>19</v>
      </c>
      <c r="M219" t="s">
        <v>380</v>
      </c>
      <c r="N219" t="s">
        <v>43</v>
      </c>
    </row>
    <row r="220" customHeight="1" spans="1:14">
      <c r="A220" t="s">
        <v>241</v>
      </c>
      <c r="B220" t="s">
        <v>31</v>
      </c>
      <c r="C220" t="s">
        <v>1499</v>
      </c>
      <c r="D220" t="s">
        <v>382</v>
      </c>
      <c r="K220" t="s">
        <v>19</v>
      </c>
      <c r="M220" t="s">
        <v>383</v>
      </c>
      <c r="N220" t="s">
        <v>43</v>
      </c>
    </row>
    <row r="221" customHeight="1" spans="1:14">
      <c r="A221" t="s">
        <v>236</v>
      </c>
      <c r="B221" t="s">
        <v>31</v>
      </c>
      <c r="C221" t="s">
        <v>1500</v>
      </c>
      <c r="D221" t="s">
        <v>385</v>
      </c>
      <c r="F221" t="s">
        <v>1501</v>
      </c>
      <c r="K221" t="s">
        <v>19</v>
      </c>
      <c r="M221" t="s">
        <v>387</v>
      </c>
    </row>
    <row r="222" customHeight="1" spans="1:14">
      <c r="A222" t="s">
        <v>241</v>
      </c>
      <c r="B222" t="s">
        <v>31</v>
      </c>
      <c r="C222" t="s">
        <v>1502</v>
      </c>
      <c r="D222" t="s">
        <v>389</v>
      </c>
      <c r="K222" t="s">
        <v>19</v>
      </c>
      <c r="M222" t="s">
        <v>390</v>
      </c>
      <c r="N222" t="s">
        <v>43</v>
      </c>
    </row>
    <row r="223" customHeight="1" spans="1:14">
      <c r="A223" t="s">
        <v>241</v>
      </c>
      <c r="B223" t="s">
        <v>31</v>
      </c>
      <c r="C223" t="s">
        <v>1503</v>
      </c>
      <c r="D223" t="s">
        <v>392</v>
      </c>
      <c r="K223" t="s">
        <v>19</v>
      </c>
      <c r="M223" t="s">
        <v>393</v>
      </c>
      <c r="N223" t="s">
        <v>43</v>
      </c>
    </row>
    <row r="224" customHeight="1" spans="1:14">
      <c r="A224" t="s">
        <v>241</v>
      </c>
      <c r="B224" t="s">
        <v>31</v>
      </c>
      <c r="C224" t="s">
        <v>1504</v>
      </c>
      <c r="D224" t="s">
        <v>395</v>
      </c>
      <c r="K224" t="s">
        <v>19</v>
      </c>
      <c r="M224" t="s">
        <v>396</v>
      </c>
      <c r="N224" t="s">
        <v>43</v>
      </c>
    </row>
    <row r="225" customHeight="1" spans="1:14">
      <c r="A225" t="s">
        <v>241</v>
      </c>
      <c r="B225" t="s">
        <v>31</v>
      </c>
      <c r="C225" t="s">
        <v>1505</v>
      </c>
      <c r="D225" t="s">
        <v>398</v>
      </c>
      <c r="K225" t="s">
        <v>19</v>
      </c>
      <c r="M225" t="s">
        <v>399</v>
      </c>
      <c r="N225" t="s">
        <v>43</v>
      </c>
    </row>
    <row r="226" customHeight="1" spans="1:14">
      <c r="A226" t="s">
        <v>241</v>
      </c>
      <c r="B226" t="s">
        <v>31</v>
      </c>
      <c r="C226" t="s">
        <v>1506</v>
      </c>
      <c r="D226" t="s">
        <v>401</v>
      </c>
      <c r="K226" t="s">
        <v>19</v>
      </c>
      <c r="M226" t="s">
        <v>402</v>
      </c>
      <c r="N226" t="s">
        <v>43</v>
      </c>
    </row>
    <row r="227" customHeight="1" spans="1:14">
      <c r="A227" t="s">
        <v>241</v>
      </c>
      <c r="B227" t="s">
        <v>31</v>
      </c>
      <c r="C227" t="s">
        <v>1507</v>
      </c>
      <c r="D227" t="s">
        <v>404</v>
      </c>
      <c r="K227" t="s">
        <v>19</v>
      </c>
      <c r="M227" t="s">
        <v>405</v>
      </c>
      <c r="N227" t="s">
        <v>43</v>
      </c>
    </row>
    <row r="228" customHeight="1" spans="1:14">
      <c r="A228" t="s">
        <v>241</v>
      </c>
      <c r="B228" t="s">
        <v>31</v>
      </c>
      <c r="C228" t="s">
        <v>1508</v>
      </c>
      <c r="D228" t="s">
        <v>407</v>
      </c>
      <c r="K228" t="s">
        <v>19</v>
      </c>
      <c r="M228" t="s">
        <v>408</v>
      </c>
      <c r="N228" t="s">
        <v>43</v>
      </c>
    </row>
    <row r="229" customHeight="1" spans="1:14">
      <c r="A229" t="s">
        <v>241</v>
      </c>
      <c r="B229" t="s">
        <v>31</v>
      </c>
      <c r="C229" t="s">
        <v>1509</v>
      </c>
      <c r="D229" t="s">
        <v>410</v>
      </c>
      <c r="K229" t="s">
        <v>19</v>
      </c>
      <c r="M229" t="s">
        <v>411</v>
      </c>
      <c r="N229" t="s">
        <v>43</v>
      </c>
    </row>
    <row r="230" customHeight="1" spans="1:14">
      <c r="A230" t="s">
        <v>241</v>
      </c>
      <c r="B230" t="s">
        <v>31</v>
      </c>
      <c r="C230" t="s">
        <v>1510</v>
      </c>
      <c r="D230" t="s">
        <v>413</v>
      </c>
      <c r="K230" t="s">
        <v>19</v>
      </c>
      <c r="M230" t="s">
        <v>414</v>
      </c>
      <c r="N230" t="s">
        <v>43</v>
      </c>
    </row>
    <row r="231" customHeight="1" spans="1:14">
      <c r="A231" t="s">
        <v>241</v>
      </c>
      <c r="B231" t="s">
        <v>31</v>
      </c>
      <c r="C231" t="s">
        <v>1511</v>
      </c>
      <c r="D231" t="s">
        <v>416</v>
      </c>
      <c r="K231" t="s">
        <v>19</v>
      </c>
      <c r="M231" t="s">
        <v>417</v>
      </c>
      <c r="N231" t="s">
        <v>43</v>
      </c>
    </row>
    <row r="232" customHeight="1" spans="1:14">
      <c r="A232" t="s">
        <v>241</v>
      </c>
      <c r="B232" t="s">
        <v>31</v>
      </c>
      <c r="C232" t="s">
        <v>1512</v>
      </c>
      <c r="D232" t="s">
        <v>419</v>
      </c>
      <c r="K232" t="s">
        <v>19</v>
      </c>
      <c r="M232" t="s">
        <v>420</v>
      </c>
      <c r="N232" t="s">
        <v>43</v>
      </c>
    </row>
    <row r="233" customHeight="1" spans="1:14">
      <c r="A233" t="s">
        <v>241</v>
      </c>
      <c r="B233" t="s">
        <v>31</v>
      </c>
      <c r="C233" t="s">
        <v>1513</v>
      </c>
      <c r="D233" t="s">
        <v>422</v>
      </c>
      <c r="F233" t="s">
        <v>1514</v>
      </c>
      <c r="K233" t="s">
        <v>19</v>
      </c>
      <c r="M233" t="s">
        <v>424</v>
      </c>
    </row>
    <row r="234" customHeight="1" spans="1:14">
      <c r="A234" t="s">
        <v>241</v>
      </c>
      <c r="B234" t="s">
        <v>31</v>
      </c>
      <c r="C234" t="s">
        <v>1515</v>
      </c>
      <c r="D234" t="s">
        <v>426</v>
      </c>
      <c r="F234" t="s">
        <v>1516</v>
      </c>
      <c r="K234" t="s">
        <v>19</v>
      </c>
      <c r="M234" t="s">
        <v>428</v>
      </c>
    </row>
    <row r="235" customHeight="1" spans="1:14">
      <c r="A235" t="s">
        <v>241</v>
      </c>
      <c r="B235" t="s">
        <v>31</v>
      </c>
      <c r="C235" t="s">
        <v>1517</v>
      </c>
      <c r="D235" t="s">
        <v>430</v>
      </c>
      <c r="F235" t="s">
        <v>1518</v>
      </c>
      <c r="K235" t="s">
        <v>19</v>
      </c>
      <c r="M235" t="s">
        <v>432</v>
      </c>
    </row>
    <row r="236" customHeight="1" spans="1:14">
      <c r="A236" t="s">
        <v>236</v>
      </c>
      <c r="B236" t="s">
        <v>31</v>
      </c>
      <c r="C236" t="s">
        <v>1519</v>
      </c>
      <c r="D236" t="s">
        <v>434</v>
      </c>
      <c r="F236" t="s">
        <v>1520</v>
      </c>
      <c r="K236" t="s">
        <v>19</v>
      </c>
      <c r="M236" t="s">
        <v>436</v>
      </c>
    </row>
    <row r="237" customHeight="1" spans="1:14">
      <c r="A237" t="s">
        <v>241</v>
      </c>
      <c r="B237" t="s">
        <v>31</v>
      </c>
      <c r="C237" t="s">
        <v>1521</v>
      </c>
      <c r="D237" t="s">
        <v>438</v>
      </c>
      <c r="K237" t="s">
        <v>19</v>
      </c>
      <c r="M237" t="s">
        <v>439</v>
      </c>
      <c r="N237" t="s">
        <v>43</v>
      </c>
    </row>
    <row r="238" customHeight="1" spans="1:14">
      <c r="A238" t="s">
        <v>241</v>
      </c>
      <c r="B238" t="s">
        <v>31</v>
      </c>
      <c r="C238" t="s">
        <v>1522</v>
      </c>
      <c r="D238" t="s">
        <v>441</v>
      </c>
      <c r="K238" t="s">
        <v>19</v>
      </c>
      <c r="M238" t="s">
        <v>442</v>
      </c>
      <c r="N238" t="s">
        <v>43</v>
      </c>
    </row>
    <row r="239" customHeight="1" spans="1:14">
      <c r="A239" t="s">
        <v>241</v>
      </c>
      <c r="B239" t="s">
        <v>31</v>
      </c>
      <c r="C239" t="s">
        <v>1523</v>
      </c>
      <c r="D239" t="s">
        <v>444</v>
      </c>
      <c r="K239" t="s">
        <v>19</v>
      </c>
      <c r="M239" t="s">
        <v>445</v>
      </c>
      <c r="N239" t="s">
        <v>43</v>
      </c>
    </row>
    <row r="240" customHeight="1" spans="1:14">
      <c r="A240" t="s">
        <v>21</v>
      </c>
      <c r="B240" t="s">
        <v>31</v>
      </c>
      <c r="C240" t="s">
        <v>1524</v>
      </c>
      <c r="D240" t="s">
        <v>994</v>
      </c>
      <c r="F240" t="s">
        <v>1067</v>
      </c>
      <c r="K240" t="s">
        <v>19</v>
      </c>
      <c r="M240" t="s">
        <v>859</v>
      </c>
    </row>
    <row r="241" customHeight="1" spans="1:14">
      <c r="A241" t="s">
        <v>26</v>
      </c>
      <c r="B241" t="s">
        <v>31</v>
      </c>
      <c r="C241" t="s">
        <v>1525</v>
      </c>
      <c r="D241" t="s">
        <v>263</v>
      </c>
      <c r="F241" t="s">
        <v>1069</v>
      </c>
      <c r="K241" t="s">
        <v>19</v>
      </c>
      <c r="M241" t="s">
        <v>863</v>
      </c>
    </row>
    <row r="242" customHeight="1" spans="1:14">
      <c r="A242" t="s">
        <v>236</v>
      </c>
      <c r="B242" t="s">
        <v>31</v>
      </c>
      <c r="C242" t="s">
        <v>1526</v>
      </c>
      <c r="D242" t="s">
        <v>268</v>
      </c>
      <c r="K242" t="s">
        <v>19</v>
      </c>
      <c r="M242" t="s">
        <v>866</v>
      </c>
      <c r="N242" t="s">
        <v>43</v>
      </c>
    </row>
    <row r="243" customHeight="1" spans="1:14">
      <c r="A243" t="s">
        <v>236</v>
      </c>
      <c r="B243" t="s">
        <v>31</v>
      </c>
      <c r="C243" t="s">
        <v>1527</v>
      </c>
      <c r="D243" t="s">
        <v>271</v>
      </c>
      <c r="K243" t="s">
        <v>19</v>
      </c>
      <c r="M243" t="s">
        <v>869</v>
      </c>
      <c r="N243" t="s">
        <v>43</v>
      </c>
    </row>
    <row r="244" customHeight="1" spans="1:14">
      <c r="A244" t="s">
        <v>26</v>
      </c>
      <c r="B244" t="s">
        <v>31</v>
      </c>
      <c r="C244" t="s">
        <v>1528</v>
      </c>
      <c r="D244" t="s">
        <v>999</v>
      </c>
      <c r="K244" t="s">
        <v>19</v>
      </c>
      <c r="M244" t="s">
        <v>872</v>
      </c>
      <c r="N244" t="s">
        <v>43</v>
      </c>
    </row>
    <row r="245" customHeight="1" spans="1:14">
      <c r="A245" t="s">
        <v>26</v>
      </c>
      <c r="B245" t="s">
        <v>31</v>
      </c>
      <c r="C245" t="s">
        <v>1529</v>
      </c>
      <c r="D245" t="s">
        <v>283</v>
      </c>
      <c r="K245" t="s">
        <v>19</v>
      </c>
      <c r="M245" t="s">
        <v>875</v>
      </c>
      <c r="N245" t="s">
        <v>43</v>
      </c>
    </row>
    <row r="246" customHeight="1" spans="1:14">
      <c r="A246" t="s">
        <v>26</v>
      </c>
      <c r="B246" t="s">
        <v>31</v>
      </c>
      <c r="C246" t="s">
        <v>1530</v>
      </c>
      <c r="D246" t="s">
        <v>289</v>
      </c>
      <c r="K246" t="s">
        <v>19</v>
      </c>
      <c r="M246" t="s">
        <v>878</v>
      </c>
      <c r="N246" t="s">
        <v>43</v>
      </c>
    </row>
    <row r="247" customHeight="1" spans="1:14">
      <c r="A247" t="s">
        <v>21</v>
      </c>
      <c r="B247" t="s">
        <v>31</v>
      </c>
      <c r="C247" t="s">
        <v>1531</v>
      </c>
      <c r="D247" t="s">
        <v>1003</v>
      </c>
      <c r="K247" t="s">
        <v>19</v>
      </c>
      <c r="M247" t="s">
        <v>881</v>
      </c>
      <c r="N247" t="s">
        <v>43</v>
      </c>
    </row>
    <row r="248" customHeight="1" spans="1:14">
      <c r="A248" t="s">
        <v>21</v>
      </c>
      <c r="B248" t="s">
        <v>31</v>
      </c>
      <c r="C248" t="s">
        <v>1532</v>
      </c>
      <c r="D248" t="s">
        <v>1005</v>
      </c>
      <c r="K248" t="s">
        <v>19</v>
      </c>
      <c r="M248" t="s">
        <v>883</v>
      </c>
      <c r="N248" t="s">
        <v>43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5"/>
  <sheetViews>
    <sheetView workbookViewId="0">
      <pane xSplit="4" ySplit="1" topLeftCell="E370" activePane="bottomRight" state="frozen"/>
      <selection/>
      <selection pane="topRight"/>
      <selection pane="bottomLeft"/>
      <selection pane="bottomRight" activeCell="J12" sqref="J12"/>
    </sheetView>
  </sheetViews>
  <sheetFormatPr defaultColWidth="9" defaultRowHeight="15" customHeight="1"/>
  <cols>
    <col min="1" max="2" width="8.66071428571429" style="5" customWidth="1"/>
    <col min="3" max="3" width="13" style="5" customWidth="1"/>
    <col min="4" max="4" width="24.6607142857143" style="5" customWidth="1"/>
    <col min="5" max="9" width="8.66071428571429" style="5" customWidth="1"/>
    <col min="10" max="10" width="19.8303571428571" style="5" customWidth="1"/>
    <col min="11" max="16384" width="8.66071428571429" style="5" customWidth="1"/>
  </cols>
  <sheetData>
    <row r="1" s="1" customFormat="1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/>
      <c r="O1" s="6"/>
      <c r="P1" t="s">
        <v>13</v>
      </c>
    </row>
    <row r="2" customHeight="1" spans="1:16">
      <c r="A2" s="7" t="s">
        <v>14</v>
      </c>
      <c r="B2" s="1" t="s">
        <v>15</v>
      </c>
      <c r="C2" s="8" t="s">
        <v>1533</v>
      </c>
      <c r="D2" s="7" t="s">
        <v>17</v>
      </c>
      <c r="F2" t="s">
        <v>1534</v>
      </c>
      <c r="H2" s="5">
        <f>H3+H6+H7</f>
        <v>0</v>
      </c>
      <c r="I2" s="5" t="e">
        <f>I3+I6+I7</f>
        <v>#NAME?</v>
      </c>
      <c r="M2" t="s">
        <v>20</v>
      </c>
    </row>
    <row r="3" customHeight="1" spans="1:16">
      <c r="A3" s="7" t="s">
        <v>21</v>
      </c>
      <c r="B3" s="1" t="s">
        <v>15</v>
      </c>
      <c r="C3" s="8" t="s">
        <v>1535</v>
      </c>
      <c r="D3" s="7" t="s">
        <v>23</v>
      </c>
      <c r="F3" t="s">
        <v>1536</v>
      </c>
      <c r="H3" s="5">
        <f>H4+H5</f>
        <v>0</v>
      </c>
      <c r="I3" s="5" t="e">
        <f>I4+I5</f>
        <v>#NAME?</v>
      </c>
      <c r="M3" t="s">
        <v>25</v>
      </c>
    </row>
    <row r="4" customHeight="1" spans="1:16">
      <c r="A4" s="1" t="s">
        <v>26</v>
      </c>
      <c r="B4" s="1" t="s">
        <v>15</v>
      </c>
      <c r="C4" s="9" t="s">
        <v>1537</v>
      </c>
      <c r="D4" s="1" t="s">
        <v>822</v>
      </c>
      <c r="H4" s="5">
        <f>H56-H61</f>
        <v>0</v>
      </c>
      <c r="I4" s="5">
        <f>I56-I61</f>
        <v>0</v>
      </c>
      <c r="M4" t="s">
        <v>823</v>
      </c>
      <c r="P4" t="s">
        <v>43</v>
      </c>
    </row>
    <row r="5" customHeight="1" spans="1:16">
      <c r="A5" s="1" t="s">
        <v>26</v>
      </c>
      <c r="B5" s="1" t="s">
        <v>15</v>
      </c>
      <c r="C5" s="9" t="s">
        <v>1538</v>
      </c>
      <c r="D5" s="1" t="s">
        <v>829</v>
      </c>
      <c r="H5" s="5">
        <f>H102-H69</f>
        <v>0</v>
      </c>
      <c r="I5" s="5" t="e">
        <f>I102-I69</f>
        <v>#NAME?</v>
      </c>
      <c r="M5" t="s">
        <v>830</v>
      </c>
      <c r="P5" t="s">
        <v>43</v>
      </c>
    </row>
    <row r="6" customHeight="1" spans="1:16">
      <c r="A6" s="7" t="s">
        <v>21</v>
      </c>
      <c r="B6" s="1" t="s">
        <v>15</v>
      </c>
      <c r="C6" s="8" t="s">
        <v>1539</v>
      </c>
      <c r="D6" s="7" t="s">
        <v>1046</v>
      </c>
      <c r="H6" s="5">
        <f>H125-H130</f>
        <v>0</v>
      </c>
      <c r="I6" s="5">
        <f>I125-I130</f>
        <v>0</v>
      </c>
      <c r="M6" t="s">
        <v>39</v>
      </c>
      <c r="P6" t="s">
        <v>43</v>
      </c>
    </row>
    <row r="7" customHeight="1" spans="1:16">
      <c r="A7" s="7" t="s">
        <v>21</v>
      </c>
      <c r="B7" s="1" t="s">
        <v>15</v>
      </c>
      <c r="C7" s="8" t="s">
        <v>1540</v>
      </c>
      <c r="D7" s="7" t="s">
        <v>48</v>
      </c>
      <c r="H7" s="5">
        <f>H136+H138</f>
        <v>0</v>
      </c>
      <c r="I7" s="5">
        <f>I136+I138</f>
        <v>0</v>
      </c>
      <c r="M7" t="s">
        <v>49</v>
      </c>
      <c r="P7" t="s">
        <v>43</v>
      </c>
    </row>
    <row r="8" customHeight="1" spans="1:16">
      <c r="A8" s="7" t="s">
        <v>14</v>
      </c>
      <c r="B8" s="1" t="s">
        <v>31</v>
      </c>
      <c r="C8" s="8" t="s">
        <v>1541</v>
      </c>
      <c r="D8" s="7" t="s">
        <v>840</v>
      </c>
      <c r="M8" t="s">
        <v>53</v>
      </c>
      <c r="P8" t="s">
        <v>43</v>
      </c>
    </row>
    <row r="9" customHeight="1" spans="1:16">
      <c r="A9" s="7" t="s">
        <v>14</v>
      </c>
      <c r="B9" s="1" t="s">
        <v>15</v>
      </c>
      <c r="C9" s="8" t="s">
        <v>1542</v>
      </c>
      <c r="D9" s="7" t="s">
        <v>68</v>
      </c>
      <c r="F9" t="s">
        <v>1543</v>
      </c>
      <c r="H9" s="5">
        <f>H2-H8</f>
        <v>0</v>
      </c>
      <c r="I9" s="5" t="e">
        <f>I2-I8</f>
        <v>#NAME?</v>
      </c>
      <c r="M9" t="s">
        <v>70</v>
      </c>
    </row>
    <row r="10" customHeight="1" spans="1:16">
      <c r="A10" s="7" t="s">
        <v>14</v>
      </c>
      <c r="B10" s="1" t="s">
        <v>31</v>
      </c>
      <c r="C10" s="8" t="s">
        <v>1544</v>
      </c>
      <c r="D10" s="7" t="s">
        <v>72</v>
      </c>
      <c r="M10" t="s">
        <v>73</v>
      </c>
      <c r="P10" t="s">
        <v>43</v>
      </c>
    </row>
    <row r="11" customHeight="1" spans="1:16">
      <c r="A11" s="7" t="s">
        <v>14</v>
      </c>
      <c r="B11" s="1" t="s">
        <v>31</v>
      </c>
      <c r="C11" s="8" t="s">
        <v>1545</v>
      </c>
      <c r="D11" s="7" t="s">
        <v>844</v>
      </c>
      <c r="F11" t="s">
        <v>1546</v>
      </c>
      <c r="H11" s="5">
        <f>H12+H15+H18+H25+H26</f>
        <v>0</v>
      </c>
      <c r="I11" s="5">
        <f>I12+I15+I18+I25+I26</f>
        <v>0</v>
      </c>
      <c r="K11" t="s">
        <v>19</v>
      </c>
      <c r="M11" t="s">
        <v>227</v>
      </c>
    </row>
    <row r="12" customHeight="1" spans="1:16">
      <c r="A12" s="7" t="s">
        <v>21</v>
      </c>
      <c r="B12" s="1" t="s">
        <v>31</v>
      </c>
      <c r="C12" s="8" t="s">
        <v>1547</v>
      </c>
      <c r="D12" s="7" t="s">
        <v>847</v>
      </c>
      <c r="F12" t="s">
        <v>1548</v>
      </c>
      <c r="H12" s="5">
        <f>H13+H14</f>
        <v>0</v>
      </c>
      <c r="I12" s="5">
        <f>I13+I14</f>
        <v>0</v>
      </c>
      <c r="K12" t="s">
        <v>19</v>
      </c>
      <c r="M12" t="s">
        <v>231</v>
      </c>
    </row>
    <row r="13" customHeight="1" spans="1:16">
      <c r="A13" s="1" t="s">
        <v>26</v>
      </c>
      <c r="B13" s="1" t="s">
        <v>31</v>
      </c>
      <c r="C13" s="9" t="s">
        <v>1549</v>
      </c>
      <c r="D13" s="1" t="s">
        <v>83</v>
      </c>
      <c r="F13" t="s">
        <v>1550</v>
      </c>
      <c r="K13" t="s">
        <v>19</v>
      </c>
      <c r="M13" t="s">
        <v>235</v>
      </c>
    </row>
    <row r="14" customHeight="1" spans="1:16">
      <c r="A14" s="1" t="s">
        <v>26</v>
      </c>
      <c r="B14" s="1" t="s">
        <v>31</v>
      </c>
      <c r="C14" s="9" t="s">
        <v>1551</v>
      </c>
      <c r="D14" s="1" t="s">
        <v>852</v>
      </c>
      <c r="F14" t="s">
        <v>1552</v>
      </c>
      <c r="K14" t="s">
        <v>19</v>
      </c>
      <c r="M14" t="s">
        <v>306</v>
      </c>
    </row>
    <row r="15" customHeight="1" spans="1:16">
      <c r="A15" s="7" t="s">
        <v>21</v>
      </c>
      <c r="B15" s="1" t="s">
        <v>31</v>
      </c>
      <c r="C15" s="8" t="s">
        <v>1553</v>
      </c>
      <c r="D15" s="7" t="s">
        <v>92</v>
      </c>
      <c r="F15" t="s">
        <v>1554</v>
      </c>
      <c r="H15" s="5">
        <f>H16+H17</f>
        <v>0</v>
      </c>
      <c r="I15" s="5">
        <f>I16+I17</f>
        <v>0</v>
      </c>
      <c r="K15" t="s">
        <v>19</v>
      </c>
      <c r="M15" t="s">
        <v>364</v>
      </c>
    </row>
    <row r="16" customHeight="1" spans="1:16">
      <c r="A16" s="1" t="s">
        <v>26</v>
      </c>
      <c r="B16" s="1" t="s">
        <v>31</v>
      </c>
      <c r="C16" s="9" t="s">
        <v>1555</v>
      </c>
      <c r="D16" s="1" t="s">
        <v>94</v>
      </c>
      <c r="K16" t="s">
        <v>19</v>
      </c>
      <c r="M16" t="s">
        <v>1063</v>
      </c>
      <c r="P16" t="s">
        <v>43</v>
      </c>
    </row>
    <row r="17" customHeight="1" spans="1:16">
      <c r="A17" s="1" t="s">
        <v>26</v>
      </c>
      <c r="B17" s="1" t="s">
        <v>31</v>
      </c>
      <c r="C17" s="9" t="s">
        <v>1556</v>
      </c>
      <c r="D17" s="1" t="s">
        <v>96</v>
      </c>
      <c r="K17" t="s">
        <v>19</v>
      </c>
      <c r="M17" t="s">
        <v>1065</v>
      </c>
      <c r="P17" t="s">
        <v>43</v>
      </c>
    </row>
    <row r="18" customHeight="1" spans="1:16">
      <c r="A18" s="7" t="s">
        <v>21</v>
      </c>
      <c r="B18" s="1" t="s">
        <v>31</v>
      </c>
      <c r="C18" s="8" t="s">
        <v>1557</v>
      </c>
      <c r="D18" s="7" t="s">
        <v>98</v>
      </c>
      <c r="F18" t="s">
        <v>1558</v>
      </c>
      <c r="H18" s="5">
        <f>H19+H22+H23+H24</f>
        <v>0</v>
      </c>
      <c r="I18" s="5">
        <f>I19+I22+I23+I24</f>
        <v>0</v>
      </c>
      <c r="K18" t="s">
        <v>19</v>
      </c>
      <c r="M18" t="s">
        <v>859</v>
      </c>
    </row>
    <row r="19" customHeight="1" spans="1:16">
      <c r="A19" s="1" t="s">
        <v>26</v>
      </c>
      <c r="B19" s="1" t="s">
        <v>31</v>
      </c>
      <c r="C19" s="9" t="s">
        <v>1559</v>
      </c>
      <c r="D19" s="1" t="s">
        <v>861</v>
      </c>
      <c r="F19" t="s">
        <v>1560</v>
      </c>
      <c r="H19" s="5">
        <f>H20+H21</f>
        <v>0</v>
      </c>
      <c r="I19" s="5">
        <f>I20+I21</f>
        <v>0</v>
      </c>
      <c r="K19" t="s">
        <v>19</v>
      </c>
      <c r="M19" t="s">
        <v>863</v>
      </c>
    </row>
    <row r="20" customHeight="1" spans="1:16">
      <c r="A20" s="1" t="s">
        <v>236</v>
      </c>
      <c r="B20" s="1" t="s">
        <v>31</v>
      </c>
      <c r="C20" s="9" t="s">
        <v>1561</v>
      </c>
      <c r="D20" s="1" t="s">
        <v>865</v>
      </c>
      <c r="K20" t="s">
        <v>19</v>
      </c>
      <c r="M20" t="s">
        <v>866</v>
      </c>
      <c r="P20" t="s">
        <v>43</v>
      </c>
    </row>
    <row r="21" customHeight="1" spans="1:16">
      <c r="A21" s="1" t="s">
        <v>236</v>
      </c>
      <c r="B21" s="1" t="s">
        <v>31</v>
      </c>
      <c r="C21" s="9" t="s">
        <v>1562</v>
      </c>
      <c r="D21" s="1" t="s">
        <v>868</v>
      </c>
      <c r="K21" t="s">
        <v>19</v>
      </c>
      <c r="M21" t="s">
        <v>869</v>
      </c>
      <c r="P21" t="s">
        <v>43</v>
      </c>
    </row>
    <row r="22" customHeight="1" spans="1:16">
      <c r="A22" s="1" t="s">
        <v>26</v>
      </c>
      <c r="B22" s="1" t="s">
        <v>31</v>
      </c>
      <c r="C22" s="9" t="s">
        <v>1563</v>
      </c>
      <c r="D22" s="1" t="s">
        <v>871</v>
      </c>
      <c r="K22" t="s">
        <v>19</v>
      </c>
      <c r="M22" t="s">
        <v>872</v>
      </c>
      <c r="P22" t="s">
        <v>43</v>
      </c>
    </row>
    <row r="23" customHeight="1" spans="1:16">
      <c r="A23" s="1" t="s">
        <v>26</v>
      </c>
      <c r="B23" s="1" t="s">
        <v>31</v>
      </c>
      <c r="C23" s="9" t="s">
        <v>1564</v>
      </c>
      <c r="D23" s="1" t="s">
        <v>874</v>
      </c>
      <c r="K23" t="s">
        <v>19</v>
      </c>
      <c r="M23" t="s">
        <v>875</v>
      </c>
      <c r="P23" t="s">
        <v>43</v>
      </c>
    </row>
    <row r="24" customHeight="1" spans="1:16">
      <c r="A24" s="1" t="s">
        <v>26</v>
      </c>
      <c r="B24" s="1" t="s">
        <v>31</v>
      </c>
      <c r="C24" s="9" t="s">
        <v>1565</v>
      </c>
      <c r="D24" s="1" t="s">
        <v>877</v>
      </c>
      <c r="K24" t="s">
        <v>19</v>
      </c>
      <c r="M24" t="s">
        <v>878</v>
      </c>
      <c r="P24" t="s">
        <v>43</v>
      </c>
    </row>
    <row r="25" customHeight="1" spans="1:16">
      <c r="A25" s="7" t="s">
        <v>21</v>
      </c>
      <c r="B25" s="1" t="s">
        <v>31</v>
      </c>
      <c r="C25" s="8" t="s">
        <v>1566</v>
      </c>
      <c r="D25" s="7" t="s">
        <v>880</v>
      </c>
      <c r="K25" t="s">
        <v>19</v>
      </c>
      <c r="M25" t="s">
        <v>881</v>
      </c>
      <c r="P25" t="s">
        <v>43</v>
      </c>
    </row>
    <row r="26" customHeight="1" spans="1:16">
      <c r="A26" s="7" t="s">
        <v>21</v>
      </c>
      <c r="B26" s="1" t="s">
        <v>31</v>
      </c>
      <c r="C26" s="8" t="s">
        <v>1567</v>
      </c>
      <c r="D26" s="7" t="s">
        <v>101</v>
      </c>
      <c r="K26" t="s">
        <v>19</v>
      </c>
      <c r="M26" t="s">
        <v>883</v>
      </c>
      <c r="P26" t="s">
        <v>43</v>
      </c>
    </row>
    <row r="27" customHeight="1" spans="1:16">
      <c r="A27" s="7" t="s">
        <v>14</v>
      </c>
      <c r="B27" s="1" t="s">
        <v>15</v>
      </c>
      <c r="C27" s="8" t="s">
        <v>1568</v>
      </c>
      <c r="D27" s="7" t="s">
        <v>104</v>
      </c>
      <c r="M27" t="s">
        <v>105</v>
      </c>
      <c r="P27" t="s">
        <v>43</v>
      </c>
    </row>
    <row r="28" customHeight="1" spans="1:16">
      <c r="A28" s="7" t="s">
        <v>14</v>
      </c>
      <c r="B28" s="1" t="s">
        <v>106</v>
      </c>
      <c r="C28" s="8" t="s">
        <v>1569</v>
      </c>
      <c r="D28" s="7" t="s">
        <v>886</v>
      </c>
      <c r="F28" t="s">
        <v>1570</v>
      </c>
      <c r="H28" s="5">
        <f>H9-H10-H11+H27</f>
        <v>0</v>
      </c>
      <c r="I28" s="5" t="e">
        <f>I9-I10-I11+I27</f>
        <v>#NAME?</v>
      </c>
      <c r="M28" t="s">
        <v>887</v>
      </c>
    </row>
    <row r="29" customHeight="1" spans="1:16">
      <c r="A29" s="7" t="s">
        <v>14</v>
      </c>
      <c r="B29" s="1" t="s">
        <v>31</v>
      </c>
      <c r="C29" s="8" t="s">
        <v>1571</v>
      </c>
      <c r="D29" s="7" t="s">
        <v>889</v>
      </c>
      <c r="M29" t="s">
        <v>890</v>
      </c>
      <c r="P29" t="s">
        <v>43</v>
      </c>
    </row>
    <row r="30" customHeight="1" spans="1:16">
      <c r="A30" s="7" t="s">
        <v>14</v>
      </c>
      <c r="B30" s="1" t="s">
        <v>106</v>
      </c>
      <c r="C30" s="8" t="s">
        <v>1572</v>
      </c>
      <c r="D30" s="7" t="s">
        <v>108</v>
      </c>
      <c r="F30" t="s">
        <v>1573</v>
      </c>
      <c r="H30" s="5">
        <f>H28-H29</f>
        <v>0</v>
      </c>
      <c r="I30" s="5" t="e">
        <f>I28-I29</f>
        <v>#NAME?</v>
      </c>
      <c r="M30" t="s">
        <v>110</v>
      </c>
    </row>
    <row r="31" customHeight="1" spans="1:16">
      <c r="A31" s="10"/>
      <c r="B31" s="10"/>
      <c r="C31" s="10"/>
      <c r="D31" s="10"/>
    </row>
    <row r="32" customHeight="1" spans="1:16">
      <c r="A32" s="11" t="s">
        <v>14</v>
      </c>
      <c r="B32" s="11" t="s">
        <v>143</v>
      </c>
      <c r="C32" s="11" t="s">
        <v>1574</v>
      </c>
      <c r="D32" s="11" t="s">
        <v>145</v>
      </c>
      <c r="F32" t="s">
        <v>1575</v>
      </c>
      <c r="H32" s="5">
        <f>H33+H36+H37+H38</f>
        <v>0</v>
      </c>
      <c r="I32" s="5">
        <f>I33+I36+I37+I38</f>
        <v>0</v>
      </c>
      <c r="M32" t="s">
        <v>147</v>
      </c>
    </row>
    <row r="33" customHeight="1" spans="1:16">
      <c r="A33" s="11" t="s">
        <v>21</v>
      </c>
      <c r="B33" s="11" t="s">
        <v>143</v>
      </c>
      <c r="C33" s="11" t="s">
        <v>1576</v>
      </c>
      <c r="D33" s="11" t="s">
        <v>1577</v>
      </c>
      <c r="F33" t="s">
        <v>1578</v>
      </c>
      <c r="H33" s="5">
        <f>H34+H35</f>
        <v>0</v>
      </c>
      <c r="I33" s="5">
        <f>I34+I35</f>
        <v>0</v>
      </c>
      <c r="M33" t="s">
        <v>150</v>
      </c>
    </row>
    <row r="34" customHeight="1" spans="1:16">
      <c r="A34" s="10" t="s">
        <v>26</v>
      </c>
      <c r="B34" s="11" t="s">
        <v>143</v>
      </c>
      <c r="C34" s="10" t="s">
        <v>1578</v>
      </c>
      <c r="D34" s="10" t="s">
        <v>1579</v>
      </c>
      <c r="M34" t="s">
        <v>1580</v>
      </c>
      <c r="P34" t="s">
        <v>130</v>
      </c>
    </row>
    <row r="35" customHeight="1" spans="1:16">
      <c r="A35" s="10" t="s">
        <v>26</v>
      </c>
      <c r="B35" s="11" t="s">
        <v>143</v>
      </c>
      <c r="C35" s="10" t="s">
        <v>1581</v>
      </c>
      <c r="D35" s="10" t="s">
        <v>1582</v>
      </c>
      <c r="F35" t="s">
        <v>1583</v>
      </c>
    </row>
    <row r="36" customHeight="1" spans="1:16">
      <c r="A36" s="11" t="s">
        <v>21</v>
      </c>
      <c r="B36" s="11" t="s">
        <v>143</v>
      </c>
      <c r="C36" s="11" t="s">
        <v>1584</v>
      </c>
      <c r="D36" s="11" t="s">
        <v>1585</v>
      </c>
      <c r="M36" t="s">
        <v>153</v>
      </c>
      <c r="P36" t="s">
        <v>130</v>
      </c>
    </row>
    <row r="37" customHeight="1" spans="1:16">
      <c r="A37" s="11" t="s">
        <v>21</v>
      </c>
      <c r="B37" s="11" t="s">
        <v>143</v>
      </c>
      <c r="C37" s="11" t="s">
        <v>1586</v>
      </c>
      <c r="D37" s="11" t="s">
        <v>155</v>
      </c>
      <c r="M37" t="s">
        <v>156</v>
      </c>
      <c r="P37" t="s">
        <v>130</v>
      </c>
    </row>
    <row r="38" customHeight="1" spans="1:16">
      <c r="A38" s="11" t="s">
        <v>21</v>
      </c>
      <c r="B38" s="11" t="s">
        <v>143</v>
      </c>
      <c r="C38" s="11" t="s">
        <v>1587</v>
      </c>
      <c r="D38" s="11" t="s">
        <v>158</v>
      </c>
      <c r="M38" t="s">
        <v>159</v>
      </c>
      <c r="P38" t="s">
        <v>130</v>
      </c>
    </row>
    <row r="39" customHeight="1" spans="1:16">
      <c r="A39" s="11" t="s">
        <v>14</v>
      </c>
      <c r="B39" s="11" t="s">
        <v>552</v>
      </c>
      <c r="C39" s="11" t="s">
        <v>1588</v>
      </c>
      <c r="D39" s="11" t="s">
        <v>916</v>
      </c>
      <c r="F39" t="s">
        <v>1589</v>
      </c>
      <c r="H39" s="5">
        <f>H40+H43+H44+H45</f>
        <v>0</v>
      </c>
      <c r="I39" s="5">
        <f>I40+I43+I44+I45</f>
        <v>0</v>
      </c>
      <c r="M39" t="s">
        <v>918</v>
      </c>
    </row>
    <row r="40" customHeight="1" spans="1:16">
      <c r="A40" s="11" t="s">
        <v>21</v>
      </c>
      <c r="B40" s="11" t="s">
        <v>552</v>
      </c>
      <c r="C40" s="11" t="s">
        <v>1590</v>
      </c>
      <c r="D40" s="11" t="s">
        <v>1577</v>
      </c>
      <c r="F40" t="s">
        <v>1591</v>
      </c>
      <c r="H40" s="5">
        <f>H41+H42</f>
        <v>0</v>
      </c>
      <c r="I40" s="5">
        <f>I41+I42</f>
        <v>0</v>
      </c>
      <c r="M40" t="s">
        <v>557</v>
      </c>
    </row>
    <row r="41" customHeight="1" spans="1:16">
      <c r="A41" s="10" t="s">
        <v>26</v>
      </c>
      <c r="B41" s="11" t="s">
        <v>552</v>
      </c>
      <c r="C41" s="10" t="s">
        <v>1592</v>
      </c>
      <c r="D41" s="10" t="s">
        <v>1579</v>
      </c>
      <c r="M41" t="s">
        <v>1593</v>
      </c>
      <c r="P41" t="s">
        <v>524</v>
      </c>
    </row>
    <row r="42" customHeight="1" spans="1:16">
      <c r="A42" s="10" t="s">
        <v>26</v>
      </c>
      <c r="B42" s="11" t="s">
        <v>552</v>
      </c>
      <c r="C42" s="10" t="s">
        <v>1594</v>
      </c>
      <c r="D42" s="10" t="s">
        <v>1582</v>
      </c>
      <c r="M42" t="s">
        <v>1595</v>
      </c>
      <c r="P42" t="s">
        <v>524</v>
      </c>
    </row>
    <row r="43" customHeight="1" spans="1:16">
      <c r="A43" s="11" t="s">
        <v>21</v>
      </c>
      <c r="B43" s="11" t="s">
        <v>552</v>
      </c>
      <c r="C43" s="11" t="s">
        <v>1596</v>
      </c>
      <c r="D43" s="11" t="s">
        <v>1585</v>
      </c>
      <c r="M43" t="s">
        <v>921</v>
      </c>
      <c r="P43" t="s">
        <v>524</v>
      </c>
    </row>
    <row r="44" customHeight="1" spans="1:16">
      <c r="A44" s="11" t="s">
        <v>21</v>
      </c>
      <c r="B44" s="11" t="s">
        <v>552</v>
      </c>
      <c r="C44" s="11" t="s">
        <v>1597</v>
      </c>
      <c r="D44" s="11" t="s">
        <v>155</v>
      </c>
      <c r="M44" t="s">
        <v>923</v>
      </c>
      <c r="P44" t="s">
        <v>524</v>
      </c>
    </row>
    <row r="45" customHeight="1" spans="1:16">
      <c r="A45" s="11" t="s">
        <v>21</v>
      </c>
      <c r="B45" s="11" t="s">
        <v>552</v>
      </c>
      <c r="C45" s="11" t="s">
        <v>1598</v>
      </c>
      <c r="D45" s="11" t="s">
        <v>158</v>
      </c>
      <c r="M45" t="s">
        <v>925</v>
      </c>
      <c r="P45" t="s">
        <v>524</v>
      </c>
    </row>
    <row r="46" customHeight="1" spans="1:16">
      <c r="A46" s="11"/>
      <c r="B46" s="11"/>
      <c r="C46" s="11"/>
      <c r="D46" s="11"/>
    </row>
    <row r="47" customHeight="1" spans="1:16">
      <c r="A47" s="7" t="s">
        <v>14</v>
      </c>
      <c r="B47" s="1" t="s">
        <v>118</v>
      </c>
      <c r="C47" s="11" t="s">
        <v>1599</v>
      </c>
      <c r="D47" s="11" t="s">
        <v>1118</v>
      </c>
      <c r="F47" t="s">
        <v>1600</v>
      </c>
      <c r="H47" s="5">
        <f>H48</f>
        <v>0</v>
      </c>
      <c r="I47" s="5">
        <f>I48</f>
        <v>0</v>
      </c>
      <c r="M47" t="s">
        <v>1120</v>
      </c>
    </row>
    <row r="48" customHeight="1" spans="1:16">
      <c r="A48" s="1" t="s">
        <v>21</v>
      </c>
      <c r="B48" s="1" t="s">
        <v>118</v>
      </c>
      <c r="C48" s="10" t="s">
        <v>1600</v>
      </c>
      <c r="D48" s="10" t="s">
        <v>1121</v>
      </c>
      <c r="M48" t="s">
        <v>460</v>
      </c>
      <c r="P48" t="s">
        <v>130</v>
      </c>
    </row>
    <row r="49" customHeight="1" spans="1:16">
      <c r="A49" s="7" t="s">
        <v>14</v>
      </c>
      <c r="B49" s="1" t="s">
        <v>515</v>
      </c>
      <c r="C49" s="11" t="s">
        <v>1601</v>
      </c>
      <c r="D49" s="11" t="s">
        <v>1123</v>
      </c>
      <c r="F49" t="s">
        <v>1602</v>
      </c>
      <c r="H49" s="5">
        <f>H50</f>
        <v>0</v>
      </c>
      <c r="I49" s="5">
        <f>I50</f>
        <v>0</v>
      </c>
      <c r="M49" t="s">
        <v>1125</v>
      </c>
    </row>
    <row r="50" customHeight="1" spans="1:16">
      <c r="A50" s="1" t="s">
        <v>21</v>
      </c>
      <c r="B50" s="1" t="s">
        <v>515</v>
      </c>
      <c r="C50" s="10" t="s">
        <v>1602</v>
      </c>
      <c r="D50" s="10" t="s">
        <v>1126</v>
      </c>
      <c r="M50" t="s">
        <v>532</v>
      </c>
      <c r="P50" t="s">
        <v>524</v>
      </c>
    </row>
    <row r="51" customHeight="1" spans="1:16">
      <c r="A51" s="7" t="s">
        <v>14</v>
      </c>
      <c r="B51" s="1" t="s">
        <v>143</v>
      </c>
      <c r="C51" s="11" t="s">
        <v>1603</v>
      </c>
      <c r="D51" s="11" t="s">
        <v>1128</v>
      </c>
      <c r="F51" t="s">
        <v>1604</v>
      </c>
      <c r="H51" s="5">
        <f>H52</f>
        <v>0</v>
      </c>
      <c r="I51" s="5">
        <f>I52</f>
        <v>0</v>
      </c>
      <c r="M51" t="s">
        <v>1130</v>
      </c>
    </row>
    <row r="52" customHeight="1" spans="1:16">
      <c r="A52" s="1" t="s">
        <v>21</v>
      </c>
      <c r="B52" s="1" t="s">
        <v>143</v>
      </c>
      <c r="C52" s="10" t="s">
        <v>1604</v>
      </c>
      <c r="D52" s="10" t="s">
        <v>1131</v>
      </c>
      <c r="M52" t="s">
        <v>495</v>
      </c>
      <c r="P52" t="s">
        <v>130</v>
      </c>
    </row>
    <row r="53" customHeight="1" spans="1:16">
      <c r="A53" s="7" t="s">
        <v>14</v>
      </c>
      <c r="B53" s="1" t="s">
        <v>552</v>
      </c>
      <c r="C53" s="11" t="s">
        <v>1605</v>
      </c>
      <c r="D53" s="11" t="s">
        <v>1133</v>
      </c>
      <c r="F53" t="s">
        <v>1606</v>
      </c>
      <c r="H53" s="5">
        <f>H54</f>
        <v>0</v>
      </c>
      <c r="I53" s="5">
        <f>I54</f>
        <v>0</v>
      </c>
      <c r="M53" t="s">
        <v>1135</v>
      </c>
    </row>
    <row r="54" customHeight="1" spans="1:16">
      <c r="A54" s="1" t="s">
        <v>21</v>
      </c>
      <c r="B54" s="1" t="s">
        <v>552</v>
      </c>
      <c r="C54" s="10" t="s">
        <v>1606</v>
      </c>
      <c r="D54" s="10" t="s">
        <v>1136</v>
      </c>
      <c r="M54" t="s">
        <v>563</v>
      </c>
      <c r="P54" t="s">
        <v>524</v>
      </c>
    </row>
    <row r="55" customHeight="1" spans="1:16">
      <c r="A55" s="11"/>
      <c r="B55" s="11"/>
      <c r="C55" s="11"/>
      <c r="D55" s="11"/>
    </row>
    <row r="56" customHeight="1" spans="1:16">
      <c r="A56" s="7" t="s">
        <v>14</v>
      </c>
      <c r="B56" s="7" t="s">
        <v>15</v>
      </c>
      <c r="C56" s="11" t="s">
        <v>1607</v>
      </c>
      <c r="D56" s="11" t="s">
        <v>1138</v>
      </c>
      <c r="F56" t="s">
        <v>1608</v>
      </c>
      <c r="H56" s="5">
        <f>H57</f>
        <v>0</v>
      </c>
      <c r="I56" s="5">
        <f>I57</f>
        <v>0</v>
      </c>
      <c r="M56" t="s">
        <v>30</v>
      </c>
    </row>
    <row r="57" customHeight="1" spans="1:16">
      <c r="A57" s="7" t="s">
        <v>21</v>
      </c>
      <c r="B57" s="1" t="s">
        <v>15</v>
      </c>
      <c r="C57" s="11" t="s">
        <v>1608</v>
      </c>
      <c r="D57" s="11" t="s">
        <v>1231</v>
      </c>
      <c r="F57" t="s">
        <v>1609</v>
      </c>
      <c r="H57" s="5">
        <f>H58</f>
        <v>0</v>
      </c>
      <c r="I57" s="5">
        <f>I58</f>
        <v>0</v>
      </c>
      <c r="M57" t="s">
        <v>1233</v>
      </c>
    </row>
    <row r="58" customHeight="1" spans="1:16">
      <c r="A58" s="7" t="s">
        <v>26</v>
      </c>
      <c r="B58" s="1" t="s">
        <v>15</v>
      </c>
      <c r="C58" s="11" t="s">
        <v>1609</v>
      </c>
      <c r="D58" s="11" t="s">
        <v>1234</v>
      </c>
      <c r="F58" t="s">
        <v>1610</v>
      </c>
      <c r="I58" s="5">
        <f>I50*I59</f>
        <v>0</v>
      </c>
      <c r="J58" s="5" t="s">
        <v>1173</v>
      </c>
      <c r="M58" t="s">
        <v>756</v>
      </c>
    </row>
    <row r="59" customHeight="1" spans="1:16">
      <c r="A59" s="1" t="s">
        <v>236</v>
      </c>
      <c r="B59" s="1" t="s">
        <v>160</v>
      </c>
      <c r="C59" s="10" t="s">
        <v>1610</v>
      </c>
      <c r="D59" s="10" t="s">
        <v>1236</v>
      </c>
      <c r="H59" s="5" t="e">
        <f>H58/H50</f>
        <v>#DIV/0!</v>
      </c>
      <c r="J59" s="5" t="s">
        <v>783</v>
      </c>
      <c r="M59" t="s">
        <v>1237</v>
      </c>
      <c r="P59" t="s">
        <v>164</v>
      </c>
    </row>
    <row r="60" customHeight="1" spans="1:16">
      <c r="C60" s="10"/>
      <c r="D60" s="10"/>
    </row>
    <row r="61" customHeight="1" spans="1:16">
      <c r="A61" s="7" t="s">
        <v>14</v>
      </c>
      <c r="B61" s="7" t="s">
        <v>31</v>
      </c>
      <c r="C61" s="11" t="s">
        <v>1611</v>
      </c>
      <c r="D61" s="11" t="s">
        <v>1239</v>
      </c>
      <c r="F61" t="s">
        <v>1612</v>
      </c>
      <c r="H61" s="5">
        <f>H62+H65</f>
        <v>0</v>
      </c>
      <c r="I61" s="5">
        <f>I62+I65</f>
        <v>0</v>
      </c>
      <c r="M61" t="s">
        <v>827</v>
      </c>
    </row>
    <row r="62" customHeight="1" spans="1:16">
      <c r="A62" s="7" t="s">
        <v>21</v>
      </c>
      <c r="B62" s="7" t="s">
        <v>31</v>
      </c>
      <c r="C62" s="11" t="s">
        <v>1613</v>
      </c>
      <c r="D62" s="11" t="s">
        <v>1258</v>
      </c>
      <c r="F62" t="s">
        <v>1614</v>
      </c>
      <c r="H62" s="5">
        <f>H63</f>
        <v>0</v>
      </c>
      <c r="I62" s="5">
        <f>I63</f>
        <v>0</v>
      </c>
      <c r="M62" t="s">
        <v>1260</v>
      </c>
    </row>
    <row r="63" customHeight="1" spans="1:16">
      <c r="A63" s="1" t="s">
        <v>26</v>
      </c>
      <c r="B63" s="1" t="s">
        <v>31</v>
      </c>
      <c r="C63" s="10" t="s">
        <v>1614</v>
      </c>
      <c r="D63" s="10" t="s">
        <v>1261</v>
      </c>
      <c r="F63" t="s">
        <v>1615</v>
      </c>
      <c r="I63" s="5">
        <f>I50*I64</f>
        <v>0</v>
      </c>
      <c r="J63" s="5" t="s">
        <v>1173</v>
      </c>
      <c r="M63" t="s">
        <v>1263</v>
      </c>
    </row>
    <row r="64" customHeight="1" spans="1:16">
      <c r="A64" s="1" t="s">
        <v>236</v>
      </c>
      <c r="B64" s="1" t="s">
        <v>160</v>
      </c>
      <c r="C64" s="10" t="s">
        <v>1615</v>
      </c>
      <c r="D64" s="10" t="s">
        <v>1264</v>
      </c>
      <c r="H64" s="5" t="e">
        <f>H63/H50</f>
        <v>#DIV/0!</v>
      </c>
      <c r="J64" s="5" t="s">
        <v>783</v>
      </c>
      <c r="M64" t="s">
        <v>1265</v>
      </c>
      <c r="P64" t="s">
        <v>164</v>
      </c>
    </row>
    <row r="65" customHeight="1" spans="1:16">
      <c r="A65" s="12" t="s">
        <v>21</v>
      </c>
      <c r="B65" s="12" t="s">
        <v>31</v>
      </c>
      <c r="C65" s="11" t="s">
        <v>1616</v>
      </c>
      <c r="D65" s="11" t="s">
        <v>1267</v>
      </c>
      <c r="F65" t="s">
        <v>1617</v>
      </c>
      <c r="H65" s="5">
        <f>H66+H67</f>
        <v>0</v>
      </c>
      <c r="I65" s="5">
        <f>I66+I67</f>
        <v>0</v>
      </c>
      <c r="M65" t="s">
        <v>1269</v>
      </c>
    </row>
    <row r="66" customHeight="1" spans="1:16">
      <c r="A66" s="10" t="s">
        <v>26</v>
      </c>
      <c r="B66" s="10" t="s">
        <v>31</v>
      </c>
      <c r="C66" s="10" t="s">
        <v>1618</v>
      </c>
      <c r="D66" s="10" t="s">
        <v>1619</v>
      </c>
      <c r="M66" t="s">
        <v>1271</v>
      </c>
      <c r="P66" t="s">
        <v>43</v>
      </c>
    </row>
    <row r="67" customHeight="1" spans="1:16">
      <c r="A67" s="10" t="s">
        <v>26</v>
      </c>
      <c r="B67" s="10" t="s">
        <v>31</v>
      </c>
      <c r="C67" s="10" t="s">
        <v>1620</v>
      </c>
      <c r="D67" s="10" t="s">
        <v>1621</v>
      </c>
      <c r="M67" t="s">
        <v>1622</v>
      </c>
      <c r="P67" t="s">
        <v>43</v>
      </c>
    </row>
    <row r="68" customHeight="1" spans="1:16">
      <c r="C68" s="10"/>
      <c r="D68" s="10"/>
    </row>
    <row r="69" customHeight="1" spans="1:16">
      <c r="A69" s="7" t="s">
        <v>14</v>
      </c>
      <c r="B69" s="7" t="s">
        <v>31</v>
      </c>
      <c r="C69" s="11" t="s">
        <v>1623</v>
      </c>
      <c r="D69" s="11" t="s">
        <v>1273</v>
      </c>
      <c r="F69" t="s">
        <v>1624</v>
      </c>
      <c r="H69" s="5">
        <f>H70+H98</f>
        <v>0</v>
      </c>
      <c r="I69" s="5" t="e">
        <f>I70+I98</f>
        <v>#NAME?</v>
      </c>
      <c r="M69" t="s">
        <v>35</v>
      </c>
    </row>
    <row r="70" customHeight="1" spans="1:16">
      <c r="A70" s="7" t="s">
        <v>21</v>
      </c>
      <c r="B70" s="7" t="s">
        <v>31</v>
      </c>
      <c r="C70" s="11" t="s">
        <v>1625</v>
      </c>
      <c r="D70" s="11" t="s">
        <v>1276</v>
      </c>
      <c r="F70" t="s">
        <v>1626</v>
      </c>
      <c r="H70" s="5">
        <f>H71+H89+H93</f>
        <v>0</v>
      </c>
      <c r="I70" s="5" t="e">
        <f>I71+I89+I93</f>
        <v>#NAME?</v>
      </c>
      <c r="M70" t="s">
        <v>767</v>
      </c>
    </row>
    <row r="71" customHeight="1" spans="1:16">
      <c r="A71" s="11" t="s">
        <v>26</v>
      </c>
      <c r="B71" s="11" t="s">
        <v>31</v>
      </c>
      <c r="C71" s="11" t="s">
        <v>1627</v>
      </c>
      <c r="D71" s="11" t="s">
        <v>1628</v>
      </c>
      <c r="F71" s="5" t="s">
        <v>1629</v>
      </c>
      <c r="H71" s="5">
        <f>H77+H83</f>
        <v>0</v>
      </c>
      <c r="I71" s="5" t="e">
        <f>I77+I83</f>
        <v>#NAME?</v>
      </c>
      <c r="M71" t="s">
        <v>1279</v>
      </c>
    </row>
    <row r="72" customHeight="1" spans="1:16">
      <c r="A72" s="14" t="s">
        <v>236</v>
      </c>
      <c r="B72" s="15" t="s">
        <v>160</v>
      </c>
      <c r="C72" s="14" t="s">
        <v>1630</v>
      </c>
      <c r="D72" s="14" t="s">
        <v>1631</v>
      </c>
      <c r="E72" s="15"/>
      <c r="F72" s="15"/>
      <c r="G72" s="15"/>
      <c r="H72" s="15" t="e">
        <f>H71/H40</f>
        <v>#DIV/0!</v>
      </c>
      <c r="I72" s="15" t="e">
        <f>I71/I40</f>
        <v>#NAME?</v>
      </c>
      <c r="J72" s="15" t="s">
        <v>783</v>
      </c>
      <c r="M72" t="s">
        <v>1632</v>
      </c>
      <c r="P72" t="s">
        <v>164</v>
      </c>
    </row>
    <row r="73" customHeight="1" spans="1:16">
      <c r="A73" s="14" t="s">
        <v>236</v>
      </c>
      <c r="B73" s="14" t="s">
        <v>31</v>
      </c>
      <c r="C73" s="14" t="s">
        <v>1633</v>
      </c>
      <c r="D73" s="14" t="s">
        <v>1634</v>
      </c>
      <c r="E73" s="15"/>
      <c r="F73" s="15" t="s">
        <v>1635</v>
      </c>
      <c r="G73" s="15"/>
      <c r="H73" s="15">
        <f>H81+H87</f>
        <v>0</v>
      </c>
      <c r="I73" s="15" t="e">
        <f>I81+I87</f>
        <v>#NAME?</v>
      </c>
      <c r="J73" s="15"/>
      <c r="M73" t="s">
        <v>1636</v>
      </c>
    </row>
    <row r="74" customHeight="1" spans="1:16">
      <c r="A74" s="10" t="s">
        <v>241</v>
      </c>
      <c r="B74" s="5" t="s">
        <v>160</v>
      </c>
      <c r="C74" s="10" t="s">
        <v>1635</v>
      </c>
      <c r="D74" s="10" t="s">
        <v>1637</v>
      </c>
      <c r="H74" s="5" t="e">
        <f>H73/H40</f>
        <v>#DIV/0!</v>
      </c>
      <c r="I74" s="5" t="e">
        <f>I73/I40</f>
        <v>#NAME?</v>
      </c>
      <c r="J74" s="5" t="s">
        <v>783</v>
      </c>
      <c r="M74" t="s">
        <v>1638</v>
      </c>
      <c r="P74" t="s">
        <v>164</v>
      </c>
    </row>
    <row r="75" customHeight="1" spans="1:16">
      <c r="A75" s="14" t="s">
        <v>236</v>
      </c>
      <c r="B75" s="14" t="s">
        <v>31</v>
      </c>
      <c r="C75" s="14" t="s">
        <v>1639</v>
      </c>
      <c r="D75" s="14" t="s">
        <v>1640</v>
      </c>
      <c r="E75" s="15"/>
      <c r="F75" s="15" t="s">
        <v>1641</v>
      </c>
      <c r="G75" s="15"/>
      <c r="H75" s="15">
        <f>H79+H85</f>
        <v>0</v>
      </c>
      <c r="I75" s="15" t="e">
        <f>I79+I85</f>
        <v>#NAME?</v>
      </c>
      <c r="J75" s="15"/>
      <c r="M75" t="s">
        <v>1642</v>
      </c>
    </row>
    <row r="76" customHeight="1" spans="1:16">
      <c r="A76" s="10" t="s">
        <v>241</v>
      </c>
      <c r="B76" s="5" t="s">
        <v>160</v>
      </c>
      <c r="C76" s="10" t="s">
        <v>1641</v>
      </c>
      <c r="D76" s="10" t="s">
        <v>1643</v>
      </c>
      <c r="H76" s="5" t="e">
        <f>H75/H40</f>
        <v>#DIV/0!</v>
      </c>
      <c r="I76" s="5" t="e">
        <f>I75/I40</f>
        <v>#NAME?</v>
      </c>
      <c r="J76" s="5" t="s">
        <v>783</v>
      </c>
      <c r="M76" t="s">
        <v>1644</v>
      </c>
      <c r="P76" t="s">
        <v>164</v>
      </c>
    </row>
    <row r="77" customHeight="1" spans="1:16">
      <c r="A77" s="14" t="s">
        <v>236</v>
      </c>
      <c r="B77" s="14" t="s">
        <v>31</v>
      </c>
      <c r="C77" s="14" t="s">
        <v>1645</v>
      </c>
      <c r="D77" s="14" t="s">
        <v>1646</v>
      </c>
      <c r="E77" s="15"/>
      <c r="F77" s="15" t="s">
        <v>1647</v>
      </c>
      <c r="G77" s="15"/>
      <c r="H77" s="15"/>
      <c r="I77" s="15" t="e">
        <f>I79+I81</f>
        <v>#NAME?</v>
      </c>
      <c r="J77" s="15"/>
      <c r="M77" t="s">
        <v>1648</v>
      </c>
    </row>
    <row r="78" customHeight="1" spans="1:16">
      <c r="A78" s="10" t="s">
        <v>241</v>
      </c>
      <c r="B78" s="5" t="s">
        <v>160</v>
      </c>
      <c r="C78" s="10" t="s">
        <v>1649</v>
      </c>
      <c r="D78" s="10" t="s">
        <v>1650</v>
      </c>
      <c r="H78" s="5" t="e">
        <f>H77/H41</f>
        <v>#DIV/0!</v>
      </c>
      <c r="I78" s="5" t="e">
        <f>I77/I41</f>
        <v>#NAME?</v>
      </c>
      <c r="J78" s="5" t="s">
        <v>783</v>
      </c>
      <c r="M78" t="s">
        <v>1651</v>
      </c>
      <c r="P78" t="s">
        <v>164</v>
      </c>
    </row>
    <row r="79" customHeight="1" spans="1:16">
      <c r="A79" s="10" t="s">
        <v>241</v>
      </c>
      <c r="B79" s="10" t="s">
        <v>31</v>
      </c>
      <c r="C79" s="10" t="s">
        <v>1652</v>
      </c>
      <c r="D79" s="10" t="s">
        <v>1653</v>
      </c>
      <c r="H79" s="5">
        <f>H77-H81</f>
        <v>0</v>
      </c>
      <c r="I79" s="5" t="e">
        <f>I41*I80</f>
        <v>#NAME?</v>
      </c>
      <c r="J79" s="5" t="s">
        <v>1153</v>
      </c>
      <c r="M79" t="s">
        <v>1654</v>
      </c>
      <c r="P79" t="s">
        <v>43</v>
      </c>
    </row>
    <row r="80" customHeight="1" spans="1:16">
      <c r="A80" s="10" t="s">
        <v>241</v>
      </c>
      <c r="B80" s="5" t="s">
        <v>160</v>
      </c>
      <c r="C80" s="10" t="s">
        <v>1655</v>
      </c>
      <c r="D80" s="10" t="s">
        <v>1656</v>
      </c>
      <c r="H80" s="5" t="e">
        <f>H79/H41</f>
        <v>#DIV/0!</v>
      </c>
      <c r="I80" s="5" t="e">
        <f t="array" ref="I80">I150*DAYS_YEAR()/360</f>
        <v>#NAME?</v>
      </c>
      <c r="J80" s="5" t="s">
        <v>1215</v>
      </c>
      <c r="M80" t="s">
        <v>1657</v>
      </c>
      <c r="P80" t="s">
        <v>164</v>
      </c>
    </row>
    <row r="81" customHeight="1" spans="1:16">
      <c r="A81" s="10" t="s">
        <v>241</v>
      </c>
      <c r="B81" s="10" t="s">
        <v>31</v>
      </c>
      <c r="C81" s="10" t="s">
        <v>1658</v>
      </c>
      <c r="D81" s="10" t="s">
        <v>1659</v>
      </c>
      <c r="I81" s="5" t="e">
        <f>I41*I82</f>
        <v>#NAME?</v>
      </c>
      <c r="J81" s="5" t="s">
        <v>1173</v>
      </c>
      <c r="M81" t="s">
        <v>1660</v>
      </c>
      <c r="P81" t="s">
        <v>43</v>
      </c>
    </row>
    <row r="82" customHeight="1" spans="1:16">
      <c r="A82" s="10" t="s">
        <v>241</v>
      </c>
      <c r="B82" s="5" t="s">
        <v>160</v>
      </c>
      <c r="C82" s="10" t="s">
        <v>1661</v>
      </c>
      <c r="D82" s="10" t="s">
        <v>1662</v>
      </c>
      <c r="H82" s="5" t="e">
        <f>H81/H41</f>
        <v>#DIV/0!</v>
      </c>
      <c r="I82" s="5" t="e">
        <f t="array" ref="I82">(I151*DAYS_YEAR()/360*I144+I152*DAYS_YEAR()/360*0.05+I142*MAX(0,MIN(1-I144-0.05,I143))+I145*MAX(0,1-I144-5%-I143)-I80)*0.85</f>
        <v>#NAME?</v>
      </c>
      <c r="J82" s="5" t="s">
        <v>1215</v>
      </c>
      <c r="M82" t="s">
        <v>1663</v>
      </c>
      <c r="P82" t="s">
        <v>164</v>
      </c>
    </row>
    <row r="83" customHeight="1" spans="1:16">
      <c r="A83" s="14" t="s">
        <v>236</v>
      </c>
      <c r="B83" s="14" t="s">
        <v>31</v>
      </c>
      <c r="C83" s="14" t="s">
        <v>1664</v>
      </c>
      <c r="D83" s="14" t="s">
        <v>1665</v>
      </c>
      <c r="E83" s="15"/>
      <c r="F83" s="15" t="s">
        <v>1666</v>
      </c>
      <c r="G83" s="15"/>
      <c r="H83" s="15"/>
      <c r="I83" s="15" t="e">
        <f>I85+I87</f>
        <v>#NAME?</v>
      </c>
      <c r="J83" s="15"/>
      <c r="M83" t="s">
        <v>1667</v>
      </c>
    </row>
    <row r="84" customHeight="1" spans="1:16">
      <c r="A84" s="10" t="s">
        <v>241</v>
      </c>
      <c r="B84" s="5" t="s">
        <v>160</v>
      </c>
      <c r="C84" s="10" t="s">
        <v>1668</v>
      </c>
      <c r="D84" s="10" t="s">
        <v>1669</v>
      </c>
      <c r="H84" s="5" t="e">
        <f>H83/H42</f>
        <v>#DIV/0!</v>
      </c>
      <c r="I84" s="5" t="e">
        <f>I83/I42</f>
        <v>#NAME?</v>
      </c>
      <c r="J84" s="5" t="s">
        <v>783</v>
      </c>
      <c r="M84" t="s">
        <v>1670</v>
      </c>
      <c r="P84" t="s">
        <v>164</v>
      </c>
    </row>
    <row r="85" customHeight="1" spans="1:16">
      <c r="A85" s="10" t="s">
        <v>241</v>
      </c>
      <c r="B85" s="10" t="s">
        <v>31</v>
      </c>
      <c r="C85" s="10" t="s">
        <v>1671</v>
      </c>
      <c r="D85" s="10" t="s">
        <v>1672</v>
      </c>
      <c r="H85" s="5">
        <f>H83-H87</f>
        <v>0</v>
      </c>
      <c r="I85" s="5" t="e">
        <f>I42*I86</f>
        <v>#NAME?</v>
      </c>
      <c r="J85" s="5" t="s">
        <v>1153</v>
      </c>
      <c r="M85" t="s">
        <v>1673</v>
      </c>
      <c r="P85" t="s">
        <v>43</v>
      </c>
    </row>
    <row r="86" customHeight="1" spans="1:16">
      <c r="A86" s="10" t="s">
        <v>241</v>
      </c>
      <c r="B86" s="5" t="s">
        <v>160</v>
      </c>
      <c r="C86" s="10" t="s">
        <v>1674</v>
      </c>
      <c r="D86" s="10" t="s">
        <v>1675</v>
      </c>
      <c r="H86" s="5" t="e">
        <f>H85/H42</f>
        <v>#DIV/0!</v>
      </c>
      <c r="I86" s="5" t="e">
        <f t="array" ref="I86">I150*DAYS_YEAR()/360</f>
        <v>#NAME?</v>
      </c>
      <c r="J86" s="5" t="s">
        <v>1215</v>
      </c>
      <c r="M86" t="s">
        <v>1676</v>
      </c>
      <c r="P86" t="s">
        <v>164</v>
      </c>
    </row>
    <row r="87" customHeight="1" spans="1:16">
      <c r="A87" s="10" t="s">
        <v>241</v>
      </c>
      <c r="B87" s="10" t="s">
        <v>31</v>
      </c>
      <c r="C87" s="10" t="s">
        <v>1677</v>
      </c>
      <c r="D87" s="10" t="s">
        <v>1678</v>
      </c>
      <c r="I87" s="5" t="e">
        <f>I42*I88</f>
        <v>#NAME?</v>
      </c>
      <c r="J87" s="5" t="s">
        <v>1173</v>
      </c>
      <c r="M87" t="s">
        <v>1679</v>
      </c>
      <c r="P87" t="s">
        <v>43</v>
      </c>
    </row>
    <row r="88" customHeight="1" spans="1:16">
      <c r="A88" s="10" t="s">
        <v>241</v>
      </c>
      <c r="B88" s="5" t="s">
        <v>160</v>
      </c>
      <c r="C88" s="10" t="s">
        <v>1680</v>
      </c>
      <c r="D88" s="10" t="s">
        <v>1681</v>
      </c>
      <c r="H88" s="5" t="e">
        <f>H87/H42</f>
        <v>#DIV/0!</v>
      </c>
      <c r="I88" s="5" t="e">
        <f t="array" ref="I88">(I151*DAYS_YEAR()/360*I144+I152*DAYS_YEAR()/360*(1-I144-I148)+I149*I148-I86)*0.85</f>
        <v>#NAME?</v>
      </c>
      <c r="J88" s="5" t="s">
        <v>1215</v>
      </c>
      <c r="M88" t="s">
        <v>1682</v>
      </c>
      <c r="P88" t="s">
        <v>164</v>
      </c>
    </row>
    <row r="89" customHeight="1" spans="1:16">
      <c r="A89" s="11" t="s">
        <v>26</v>
      </c>
      <c r="B89" s="11" t="s">
        <v>31</v>
      </c>
      <c r="C89" s="11" t="s">
        <v>1683</v>
      </c>
      <c r="D89" s="11" t="s">
        <v>1684</v>
      </c>
      <c r="F89" t="s">
        <v>1685</v>
      </c>
      <c r="I89" s="5">
        <f>I91*I92</f>
        <v>0</v>
      </c>
      <c r="J89" s="5" t="s">
        <v>1173</v>
      </c>
      <c r="M89" t="s">
        <v>1686</v>
      </c>
    </row>
    <row r="90" customHeight="1" spans="1:16">
      <c r="A90" s="5" t="s">
        <v>236</v>
      </c>
      <c r="B90" s="5" t="s">
        <v>143</v>
      </c>
      <c r="C90" s="10" t="s">
        <v>1687</v>
      </c>
      <c r="D90" s="10" t="s">
        <v>1688</v>
      </c>
      <c r="M90" t="s">
        <v>1689</v>
      </c>
      <c r="P90" t="s">
        <v>130</v>
      </c>
    </row>
    <row r="91" customHeight="1" spans="1:16">
      <c r="A91" s="5" t="s">
        <v>236</v>
      </c>
      <c r="B91" s="5" t="s">
        <v>552</v>
      </c>
      <c r="C91" s="10" t="s">
        <v>1690</v>
      </c>
      <c r="D91" s="10" t="s">
        <v>1691</v>
      </c>
      <c r="M91" t="s">
        <v>1692</v>
      </c>
      <c r="P91" t="s">
        <v>524</v>
      </c>
    </row>
    <row r="92" customHeight="1" spans="1:16">
      <c r="A92" s="5" t="s">
        <v>236</v>
      </c>
      <c r="B92" s="5" t="s">
        <v>160</v>
      </c>
      <c r="C92" s="10" t="s">
        <v>1693</v>
      </c>
      <c r="D92" s="10" t="s">
        <v>1694</v>
      </c>
      <c r="H92" s="5" t="e">
        <f>H89/H91</f>
        <v>#DIV/0!</v>
      </c>
      <c r="J92" s="5" t="s">
        <v>783</v>
      </c>
      <c r="M92" t="s">
        <v>1695</v>
      </c>
      <c r="P92" t="s">
        <v>164</v>
      </c>
    </row>
    <row r="93" customHeight="1" spans="1:16">
      <c r="A93" s="11" t="s">
        <v>26</v>
      </c>
      <c r="B93" s="11" t="s">
        <v>31</v>
      </c>
      <c r="C93" s="11" t="s">
        <v>1696</v>
      </c>
      <c r="D93" s="11" t="s">
        <v>1697</v>
      </c>
      <c r="F93" t="s">
        <v>1698</v>
      </c>
      <c r="I93" s="5">
        <f>I95*I96</f>
        <v>0</v>
      </c>
      <c r="J93" s="5" t="s">
        <v>1173</v>
      </c>
      <c r="M93" t="s">
        <v>1699</v>
      </c>
    </row>
    <row r="94" customHeight="1" spans="1:16">
      <c r="A94" s="5" t="s">
        <v>236</v>
      </c>
      <c r="B94" s="5" t="s">
        <v>143</v>
      </c>
      <c r="C94" s="10" t="s">
        <v>1700</v>
      </c>
      <c r="D94" s="10" t="s">
        <v>1701</v>
      </c>
      <c r="M94" t="s">
        <v>1702</v>
      </c>
      <c r="P94" t="s">
        <v>130</v>
      </c>
    </row>
    <row r="95" customHeight="1" spans="1:16">
      <c r="A95" s="5" t="s">
        <v>236</v>
      </c>
      <c r="B95" s="5" t="s">
        <v>552</v>
      </c>
      <c r="C95" s="10" t="s">
        <v>1703</v>
      </c>
      <c r="D95" s="10" t="s">
        <v>1704</v>
      </c>
      <c r="M95" t="s">
        <v>1705</v>
      </c>
      <c r="P95" t="s">
        <v>524</v>
      </c>
    </row>
    <row r="96" customHeight="1" spans="1:16">
      <c r="A96" s="5" t="s">
        <v>236</v>
      </c>
      <c r="B96" s="5" t="s">
        <v>160</v>
      </c>
      <c r="C96" s="10" t="s">
        <v>1706</v>
      </c>
      <c r="D96" s="10" t="s">
        <v>1707</v>
      </c>
      <c r="H96" s="5" t="e">
        <f>H93/H95</f>
        <v>#DIV/0!</v>
      </c>
      <c r="J96" s="5" t="s">
        <v>783</v>
      </c>
      <c r="M96" t="s">
        <v>1708</v>
      </c>
      <c r="P96" t="s">
        <v>164</v>
      </c>
    </row>
    <row r="97" customHeight="1" spans="1:16">
      <c r="A97" s="10"/>
      <c r="B97" s="10"/>
      <c r="C97" s="10"/>
      <c r="D97" s="10"/>
    </row>
    <row r="98" customHeight="1" spans="1:16">
      <c r="A98" s="7" t="s">
        <v>21</v>
      </c>
      <c r="B98" s="7" t="s">
        <v>31</v>
      </c>
      <c r="C98" s="11" t="s">
        <v>1709</v>
      </c>
      <c r="D98" s="11" t="s">
        <v>1281</v>
      </c>
      <c r="E98" s="12"/>
      <c r="F98" s="12" t="s">
        <v>1710</v>
      </c>
      <c r="G98" s="12"/>
      <c r="H98" s="12">
        <f>H99</f>
        <v>0</v>
      </c>
      <c r="I98" s="12">
        <f>I99</f>
        <v>0</v>
      </c>
      <c r="J98" s="12"/>
      <c r="M98" t="s">
        <v>1283</v>
      </c>
    </row>
    <row r="99" customHeight="1" spans="1:16">
      <c r="A99" s="1" t="s">
        <v>26</v>
      </c>
      <c r="B99" s="1" t="s">
        <v>31</v>
      </c>
      <c r="C99" s="10" t="s">
        <v>1710</v>
      </c>
      <c r="D99" s="10" t="s">
        <v>1284</v>
      </c>
      <c r="F99" t="s">
        <v>1711</v>
      </c>
      <c r="I99" s="5">
        <f>I54*I100</f>
        <v>0</v>
      </c>
      <c r="J99" s="5" t="s">
        <v>1173</v>
      </c>
      <c r="M99" t="s">
        <v>771</v>
      </c>
    </row>
    <row r="100" customHeight="1" spans="1:16">
      <c r="A100" s="1" t="s">
        <v>236</v>
      </c>
      <c r="B100" s="1" t="s">
        <v>160</v>
      </c>
      <c r="C100" s="10" t="s">
        <v>1711</v>
      </c>
      <c r="D100" s="10" t="s">
        <v>1286</v>
      </c>
      <c r="H100" s="5" t="e">
        <f>H99/H54</f>
        <v>#DIV/0!</v>
      </c>
      <c r="J100" s="5" t="s">
        <v>783</v>
      </c>
      <c r="M100" t="s">
        <v>1287</v>
      </c>
      <c r="P100" t="s">
        <v>164</v>
      </c>
    </row>
    <row r="101" customHeight="1" spans="1:16">
      <c r="C101" s="10"/>
      <c r="D101" s="10"/>
    </row>
    <row r="102" customHeight="1" spans="1:16">
      <c r="A102" s="7" t="s">
        <v>14</v>
      </c>
      <c r="B102" s="7" t="s">
        <v>15</v>
      </c>
      <c r="C102" s="11" t="s">
        <v>1712</v>
      </c>
      <c r="D102" s="11" t="s">
        <v>1289</v>
      </c>
      <c r="F102" t="s">
        <v>1713</v>
      </c>
      <c r="H102" s="5">
        <f>H103+H117+H120</f>
        <v>0</v>
      </c>
      <c r="I102" s="5" t="e">
        <f>I103+I117+I120</f>
        <v>#NAME?</v>
      </c>
    </row>
    <row r="103" customHeight="1" spans="1:16">
      <c r="A103" s="7" t="s">
        <v>21</v>
      </c>
      <c r="B103" s="7" t="s">
        <v>15</v>
      </c>
      <c r="C103" s="11" t="s">
        <v>1714</v>
      </c>
      <c r="D103" s="11" t="s">
        <v>1292</v>
      </c>
      <c r="E103" s="12"/>
      <c r="F103" s="12" t="s">
        <v>1715</v>
      </c>
      <c r="G103" s="12"/>
      <c r="H103" s="12">
        <f>H104+H113+H115</f>
        <v>0</v>
      </c>
      <c r="I103" s="12" t="e">
        <f>I104+I113+I115</f>
        <v>#NAME?</v>
      </c>
      <c r="J103" s="12"/>
    </row>
    <row r="104" customHeight="1" spans="1:16">
      <c r="A104" s="1" t="s">
        <v>26</v>
      </c>
      <c r="B104" s="1" t="s">
        <v>15</v>
      </c>
      <c r="C104" s="10" t="s">
        <v>1716</v>
      </c>
      <c r="D104" s="10" t="s">
        <v>1717</v>
      </c>
      <c r="F104" t="s">
        <v>1718</v>
      </c>
      <c r="H104" s="5">
        <f>H107+H110</f>
        <v>0</v>
      </c>
      <c r="I104" s="5" t="e">
        <f>I107+I110</f>
        <v>#NAME?</v>
      </c>
    </row>
    <row r="105" customHeight="1" spans="1:16">
      <c r="A105" s="13" t="s">
        <v>236</v>
      </c>
      <c r="B105" s="13" t="s">
        <v>160</v>
      </c>
      <c r="C105" s="14" t="s">
        <v>1719</v>
      </c>
      <c r="D105" s="14" t="s">
        <v>1720</v>
      </c>
      <c r="E105" s="15"/>
      <c r="F105" s="15"/>
      <c r="G105" s="15"/>
      <c r="H105" s="15" t="e">
        <f>H104/H40</f>
        <v>#DIV/0!</v>
      </c>
      <c r="I105" s="15" t="e">
        <f>I104/I40</f>
        <v>#NAME?</v>
      </c>
      <c r="J105" s="15" t="s">
        <v>783</v>
      </c>
      <c r="P105" t="s">
        <v>164</v>
      </c>
    </row>
    <row r="106" customHeight="1" spans="1:16">
      <c r="A106" s="13" t="s">
        <v>236</v>
      </c>
      <c r="B106" s="13" t="s">
        <v>160</v>
      </c>
      <c r="C106" s="14" t="s">
        <v>1721</v>
      </c>
      <c r="D106" s="14" t="s">
        <v>1722</v>
      </c>
      <c r="E106" s="15"/>
      <c r="F106" s="15"/>
      <c r="G106" s="15"/>
      <c r="H106" s="15" t="e">
        <f>H105-H72</f>
        <v>#DIV/0!</v>
      </c>
      <c r="I106" s="15" t="e">
        <f>I105-I72</f>
        <v>#NAME?</v>
      </c>
      <c r="J106" s="15"/>
      <c r="P106" t="s">
        <v>164</v>
      </c>
    </row>
    <row r="107" customHeight="1" spans="1:16">
      <c r="A107" s="13" t="s">
        <v>236</v>
      </c>
      <c r="B107" s="13" t="s">
        <v>15</v>
      </c>
      <c r="C107" s="14" t="s">
        <v>1723</v>
      </c>
      <c r="D107" s="14" t="s">
        <v>1724</v>
      </c>
      <c r="E107" s="15"/>
      <c r="F107" s="15" t="s">
        <v>1725</v>
      </c>
      <c r="G107" s="15"/>
      <c r="H107" s="15"/>
      <c r="I107" s="15" t="e">
        <f>I41*I108</f>
        <v>#NAME?</v>
      </c>
      <c r="J107" s="15" t="s">
        <v>1173</v>
      </c>
    </row>
    <row r="108" customHeight="1" spans="1:16">
      <c r="A108" s="1" t="s">
        <v>241</v>
      </c>
      <c r="B108" s="1" t="s">
        <v>160</v>
      </c>
      <c r="C108" s="10" t="s">
        <v>1726</v>
      </c>
      <c r="D108" s="10" t="s">
        <v>1727</v>
      </c>
      <c r="H108" s="5" t="e">
        <f>H107/H41</f>
        <v>#DIV/0!</v>
      </c>
      <c r="I108" s="5" t="e">
        <f>I78+I109</f>
        <v>#NAME?</v>
      </c>
      <c r="J108" s="5" t="s">
        <v>1215</v>
      </c>
      <c r="P108" t="s">
        <v>164</v>
      </c>
    </row>
    <row r="109" customHeight="1" spans="1:16">
      <c r="A109" s="1" t="s">
        <v>241</v>
      </c>
      <c r="B109" s="1" t="s">
        <v>160</v>
      </c>
      <c r="C109" s="10" t="s">
        <v>1728</v>
      </c>
      <c r="D109" s="10" t="s">
        <v>1729</v>
      </c>
      <c r="H109" s="5" t="e">
        <f>H108-H78</f>
        <v>#DIV/0!</v>
      </c>
      <c r="P109" t="s">
        <v>164</v>
      </c>
    </row>
    <row r="110" customHeight="1" spans="1:16">
      <c r="A110" s="13"/>
      <c r="B110" s="13"/>
      <c r="C110" s="14"/>
      <c r="D110" s="14"/>
      <c r="E110" s="15"/>
      <c r="F110" s="15"/>
      <c r="G110" s="15"/>
      <c r="H110" s="15"/>
      <c r="I110" s="15"/>
      <c r="J110" s="15"/>
    </row>
    <row r="111" customHeight="1" spans="1:16">
      <c r="A111" s="1" t="s">
        <v>241</v>
      </c>
      <c r="B111" s="1" t="s">
        <v>160</v>
      </c>
      <c r="C111" s="10" t="s">
        <v>1730</v>
      </c>
      <c r="D111" s="10" t="s">
        <v>1731</v>
      </c>
      <c r="H111" s="5" t="e">
        <f>H110/H42</f>
        <v>#DIV/0!</v>
      </c>
      <c r="I111" s="5" t="e">
        <f>I84+I112</f>
        <v>#NAME?</v>
      </c>
      <c r="J111" s="5" t="s">
        <v>1215</v>
      </c>
      <c r="P111" t="s">
        <v>164</v>
      </c>
    </row>
    <row r="112" customHeight="1" spans="1:16">
      <c r="A112" s="1" t="s">
        <v>241</v>
      </c>
      <c r="B112" s="1" t="s">
        <v>160</v>
      </c>
      <c r="C112" s="10" t="s">
        <v>1732</v>
      </c>
      <c r="D112" s="10" t="s">
        <v>1733</v>
      </c>
      <c r="H112" s="5" t="e">
        <f>H111-H84</f>
        <v>#DIV/0!</v>
      </c>
      <c r="P112" t="s">
        <v>164</v>
      </c>
    </row>
    <row r="113" customHeight="1" spans="1:16">
      <c r="A113" s="1" t="s">
        <v>26</v>
      </c>
      <c r="B113" s="1" t="s">
        <v>15</v>
      </c>
      <c r="C113" s="10" t="s">
        <v>1734</v>
      </c>
      <c r="D113" s="5" t="s">
        <v>1735</v>
      </c>
      <c r="F113" t="s">
        <v>1736</v>
      </c>
      <c r="I113" s="5">
        <f>I91*I114</f>
        <v>0</v>
      </c>
      <c r="J113" s="5" t="s">
        <v>1173</v>
      </c>
    </row>
    <row r="114" customHeight="1" spans="1:16">
      <c r="A114" s="1" t="s">
        <v>236</v>
      </c>
      <c r="B114" s="1" t="s">
        <v>160</v>
      </c>
      <c r="C114" s="10" t="s">
        <v>1736</v>
      </c>
      <c r="D114" s="5" t="s">
        <v>1737</v>
      </c>
      <c r="H114" s="5" t="e">
        <f>H113/H91</f>
        <v>#DIV/0!</v>
      </c>
      <c r="J114" s="5" t="s">
        <v>783</v>
      </c>
      <c r="P114" t="s">
        <v>164</v>
      </c>
    </row>
    <row r="115" customHeight="1" spans="1:16">
      <c r="A115" s="1" t="s">
        <v>26</v>
      </c>
      <c r="B115" s="1" t="s">
        <v>15</v>
      </c>
      <c r="C115" s="10" t="s">
        <v>1738</v>
      </c>
      <c r="D115" s="5" t="s">
        <v>1739</v>
      </c>
      <c r="F115" t="s">
        <v>1740</v>
      </c>
      <c r="I115" s="5">
        <f>I95*I116</f>
        <v>0</v>
      </c>
      <c r="J115" s="5" t="s">
        <v>1173</v>
      </c>
    </row>
    <row r="116" customHeight="1" spans="1:16">
      <c r="A116" s="1" t="s">
        <v>236</v>
      </c>
      <c r="B116" s="1" t="s">
        <v>160</v>
      </c>
      <c r="C116" s="10" t="s">
        <v>1740</v>
      </c>
      <c r="D116" s="5" t="s">
        <v>1741</v>
      </c>
      <c r="H116" s="5" t="e">
        <f>H115/H95</f>
        <v>#DIV/0!</v>
      </c>
      <c r="J116" s="5" t="s">
        <v>783</v>
      </c>
      <c r="P116" t="s">
        <v>164</v>
      </c>
    </row>
    <row r="117" customHeight="1" spans="1:16">
      <c r="A117" s="12" t="s">
        <v>21</v>
      </c>
      <c r="B117" s="12" t="s">
        <v>15</v>
      </c>
      <c r="C117" s="11" t="s">
        <v>1742</v>
      </c>
      <c r="D117" s="12" t="s">
        <v>1298</v>
      </c>
      <c r="E117" s="12"/>
      <c r="F117" s="12" t="s">
        <v>1743</v>
      </c>
      <c r="G117" s="12"/>
      <c r="H117" s="12">
        <f>H118</f>
        <v>0</v>
      </c>
      <c r="I117" s="12">
        <f>I118</f>
        <v>0</v>
      </c>
      <c r="J117" s="12"/>
    </row>
    <row r="118" customHeight="1" spans="1:16">
      <c r="A118" s="5" t="s">
        <v>26</v>
      </c>
      <c r="B118" s="5" t="s">
        <v>15</v>
      </c>
      <c r="C118" s="10" t="s">
        <v>1743</v>
      </c>
      <c r="D118" s="5" t="s">
        <v>1301</v>
      </c>
      <c r="F118" t="s">
        <v>1744</v>
      </c>
      <c r="I118" s="5">
        <f>I54*I119</f>
        <v>0</v>
      </c>
      <c r="J118" s="5" t="s">
        <v>1173</v>
      </c>
    </row>
    <row r="119" customHeight="1" spans="1:16">
      <c r="A119" s="5" t="s">
        <v>236</v>
      </c>
      <c r="B119" s="5" t="s">
        <v>160</v>
      </c>
      <c r="C119" s="10" t="s">
        <v>1744</v>
      </c>
      <c r="D119" s="5" t="s">
        <v>1304</v>
      </c>
      <c r="H119" s="5" t="e">
        <f>H118/H54</f>
        <v>#DIV/0!</v>
      </c>
      <c r="J119" s="5" t="s">
        <v>783</v>
      </c>
      <c r="P119" t="s">
        <v>164</v>
      </c>
    </row>
    <row r="120" customHeight="1" spans="1:16">
      <c r="A120" s="12" t="s">
        <v>21</v>
      </c>
      <c r="B120" s="12" t="s">
        <v>15</v>
      </c>
      <c r="C120" s="11" t="s">
        <v>1745</v>
      </c>
      <c r="D120" s="11" t="s">
        <v>1746</v>
      </c>
      <c r="E120" s="12"/>
      <c r="F120" s="12" t="s">
        <v>1747</v>
      </c>
      <c r="G120" s="12"/>
      <c r="H120" s="12">
        <f>H121+H123</f>
        <v>0</v>
      </c>
      <c r="I120" s="12">
        <f>I121+I123</f>
        <v>0</v>
      </c>
      <c r="J120" s="12"/>
    </row>
    <row r="121" customHeight="1" spans="1:16">
      <c r="A121" s="10" t="s">
        <v>26</v>
      </c>
      <c r="B121" s="10" t="s">
        <v>15</v>
      </c>
      <c r="C121" s="10" t="s">
        <v>1748</v>
      </c>
      <c r="D121" s="10" t="s">
        <v>1749</v>
      </c>
      <c r="F121" t="s">
        <v>1750</v>
      </c>
      <c r="I121" s="5">
        <f>I44*I122</f>
        <v>0</v>
      </c>
    </row>
    <row r="122" customHeight="1" spans="1:16">
      <c r="A122" s="10" t="s">
        <v>236</v>
      </c>
      <c r="B122" s="10" t="s">
        <v>160</v>
      </c>
      <c r="C122" s="10" t="s">
        <v>1750</v>
      </c>
      <c r="D122" s="10" t="s">
        <v>1751</v>
      </c>
      <c r="H122" s="5" t="e">
        <f>H121/H44</f>
        <v>#DIV/0!</v>
      </c>
      <c r="J122" s="5" t="s">
        <v>783</v>
      </c>
      <c r="P122" t="s">
        <v>164</v>
      </c>
    </row>
    <row r="123" customHeight="1" spans="1:16">
      <c r="A123" s="10" t="s">
        <v>26</v>
      </c>
      <c r="B123" s="10" t="s">
        <v>15</v>
      </c>
      <c r="C123" s="10" t="s">
        <v>1752</v>
      </c>
      <c r="D123" s="10" t="s">
        <v>1753</v>
      </c>
      <c r="P123" t="s">
        <v>43</v>
      </c>
    </row>
    <row r="124" customHeight="1" spans="1:16">
      <c r="A124" s="10"/>
      <c r="B124" s="10"/>
      <c r="C124" s="10"/>
      <c r="D124" s="10"/>
    </row>
    <row r="125" customHeight="1" spans="1:16">
      <c r="A125" s="7" t="s">
        <v>14</v>
      </c>
      <c r="B125" s="1" t="s">
        <v>15</v>
      </c>
      <c r="C125" s="11" t="s">
        <v>1754</v>
      </c>
      <c r="D125" s="11" t="s">
        <v>1307</v>
      </c>
      <c r="F125" t="s">
        <v>1755</v>
      </c>
      <c r="I125" s="5">
        <f>I126+I128</f>
        <v>0</v>
      </c>
      <c r="M125" t="s">
        <v>42</v>
      </c>
    </row>
    <row r="126" customHeight="1" spans="1:16">
      <c r="A126" s="11" t="s">
        <v>21</v>
      </c>
      <c r="B126" s="11" t="s">
        <v>15</v>
      </c>
      <c r="C126" s="11" t="s">
        <v>1756</v>
      </c>
      <c r="D126" s="11" t="s">
        <v>1757</v>
      </c>
      <c r="F126" t="s">
        <v>1758</v>
      </c>
      <c r="I126" s="5">
        <f>I43*I127</f>
        <v>0</v>
      </c>
      <c r="J126" s="5" t="s">
        <v>1173</v>
      </c>
      <c r="M126" t="s">
        <v>1759</v>
      </c>
    </row>
    <row r="127" customHeight="1" spans="1:16">
      <c r="A127" s="10" t="s">
        <v>26</v>
      </c>
      <c r="B127" s="10" t="s">
        <v>160</v>
      </c>
      <c r="C127" s="10" t="s">
        <v>1758</v>
      </c>
      <c r="D127" s="10" t="s">
        <v>1760</v>
      </c>
      <c r="H127" s="5" t="e">
        <f>H126/H43</f>
        <v>#DIV/0!</v>
      </c>
      <c r="J127" s="5" t="s">
        <v>783</v>
      </c>
      <c r="M127" t="s">
        <v>1761</v>
      </c>
      <c r="P127" t="s">
        <v>164</v>
      </c>
    </row>
    <row r="128" customHeight="1" spans="1:16">
      <c r="A128" s="11" t="s">
        <v>21</v>
      </c>
      <c r="B128" s="11" t="s">
        <v>15</v>
      </c>
      <c r="C128" s="11" t="s">
        <v>1762</v>
      </c>
      <c r="D128" s="11" t="s">
        <v>1419</v>
      </c>
      <c r="H128" s="5">
        <f>H125-H126</f>
        <v>0</v>
      </c>
      <c r="M128" t="s">
        <v>1356</v>
      </c>
      <c r="P128" t="s">
        <v>43</v>
      </c>
    </row>
    <row r="129" customHeight="1" spans="1:16">
      <c r="A129" s="10"/>
      <c r="B129" s="10"/>
      <c r="C129" s="10"/>
      <c r="D129" s="10"/>
    </row>
    <row r="130" customHeight="1" spans="1:16">
      <c r="A130" s="11" t="s">
        <v>14</v>
      </c>
      <c r="B130" s="11" t="s">
        <v>31</v>
      </c>
      <c r="C130" s="11" t="s">
        <v>1763</v>
      </c>
      <c r="D130" s="11" t="s">
        <v>1358</v>
      </c>
      <c r="F130" t="s">
        <v>1764</v>
      </c>
      <c r="I130" s="5">
        <f>I131+I133+I134</f>
        <v>0</v>
      </c>
      <c r="M130" t="s">
        <v>46</v>
      </c>
    </row>
    <row r="131" customHeight="1" spans="1:16">
      <c r="A131" s="11" t="s">
        <v>21</v>
      </c>
      <c r="B131" s="11" t="s">
        <v>31</v>
      </c>
      <c r="C131" s="11" t="s">
        <v>1765</v>
      </c>
      <c r="D131" s="11" t="s">
        <v>1766</v>
      </c>
      <c r="F131" t="s">
        <v>1767</v>
      </c>
      <c r="I131" s="5">
        <f>I126*0.925</f>
        <v>0</v>
      </c>
      <c r="M131" t="s">
        <v>1768</v>
      </c>
    </row>
    <row r="132" customHeight="1" spans="1:16">
      <c r="A132" s="10" t="s">
        <v>26</v>
      </c>
      <c r="B132" s="10" t="s">
        <v>160</v>
      </c>
      <c r="C132" s="10" t="s">
        <v>1767</v>
      </c>
      <c r="D132" s="10" t="s">
        <v>1769</v>
      </c>
      <c r="H132" s="5" t="e">
        <f>H131/H43</f>
        <v>#DIV/0!</v>
      </c>
      <c r="I132" s="5" t="e">
        <f>I131/I43</f>
        <v>#DIV/0!</v>
      </c>
      <c r="J132" s="5" t="s">
        <v>783</v>
      </c>
      <c r="M132" t="s">
        <v>1770</v>
      </c>
      <c r="P132" t="s">
        <v>164</v>
      </c>
    </row>
    <row r="133" customHeight="1" spans="1:16">
      <c r="A133" s="11" t="s">
        <v>21</v>
      </c>
      <c r="B133" s="11" t="s">
        <v>31</v>
      </c>
      <c r="C133" s="11" t="s">
        <v>1771</v>
      </c>
      <c r="D133" s="11" t="s">
        <v>1772</v>
      </c>
      <c r="I133" s="5">
        <f>I44*(1-I144-0.05)*I142*0.85</f>
        <v>0</v>
      </c>
      <c r="J133" s="5" t="s">
        <v>1173</v>
      </c>
      <c r="M133" t="s">
        <v>1773</v>
      </c>
      <c r="P133" t="s">
        <v>43</v>
      </c>
    </row>
    <row r="134" customHeight="1" spans="1:16">
      <c r="A134" s="11" t="s">
        <v>21</v>
      </c>
      <c r="B134" s="11" t="s">
        <v>31</v>
      </c>
      <c r="C134" s="11" t="s">
        <v>1774</v>
      </c>
      <c r="D134" s="11" t="s">
        <v>1419</v>
      </c>
      <c r="H134" s="5">
        <f>H130-H131-H133</f>
        <v>0</v>
      </c>
      <c r="M134" t="s">
        <v>1420</v>
      </c>
      <c r="P134" t="s">
        <v>43</v>
      </c>
    </row>
    <row r="135" customHeight="1" spans="1:16">
      <c r="A135" s="10"/>
      <c r="B135" s="10"/>
      <c r="C135" s="10"/>
      <c r="D135" s="10"/>
    </row>
    <row r="136" customHeight="1" spans="1:16">
      <c r="A136" s="11" t="s">
        <v>14</v>
      </c>
      <c r="B136" s="11" t="s">
        <v>15</v>
      </c>
      <c r="C136" s="11" t="s">
        <v>1775</v>
      </c>
      <c r="D136" s="11" t="s">
        <v>1422</v>
      </c>
      <c r="M136" t="s">
        <v>1423</v>
      </c>
      <c r="P136" t="s">
        <v>43</v>
      </c>
    </row>
    <row r="137" customHeight="1" spans="1:16">
      <c r="A137" s="10"/>
      <c r="B137" s="10"/>
      <c r="C137" s="10"/>
      <c r="D137" s="10"/>
    </row>
    <row r="138" customHeight="1" spans="1:16">
      <c r="A138" s="11" t="s">
        <v>14</v>
      </c>
      <c r="B138" s="11" t="s">
        <v>15</v>
      </c>
      <c r="C138" s="11" t="s">
        <v>1776</v>
      </c>
      <c r="D138" s="11" t="s">
        <v>1425</v>
      </c>
      <c r="M138" t="s">
        <v>1426</v>
      </c>
      <c r="P138" t="s">
        <v>43</v>
      </c>
    </row>
    <row r="139" customHeight="1" spans="1:16">
      <c r="A139" s="10"/>
      <c r="B139" s="10"/>
      <c r="C139" s="10"/>
      <c r="D139" s="10"/>
    </row>
    <row r="140" customHeight="1" spans="1:16">
      <c r="A140" s="10"/>
      <c r="B140" s="10"/>
      <c r="C140" s="10"/>
      <c r="D140" s="10"/>
    </row>
    <row r="141" customHeight="1" spans="1:16">
      <c r="A141" s="11" t="s">
        <v>14</v>
      </c>
      <c r="B141" s="11"/>
      <c r="C141" s="11" t="s">
        <v>1777</v>
      </c>
      <c r="D141" s="11" t="s">
        <v>1778</v>
      </c>
      <c r="F141" t="s">
        <v>1779</v>
      </c>
      <c r="M141" t="s">
        <v>1780</v>
      </c>
    </row>
    <row r="142" customHeight="1" spans="1:16">
      <c r="A142" s="10" t="s">
        <v>21</v>
      </c>
      <c r="B142" s="10" t="s">
        <v>160</v>
      </c>
      <c r="C142" s="10" t="s">
        <v>1781</v>
      </c>
      <c r="D142" s="10" t="s">
        <v>1782</v>
      </c>
      <c r="M142" t="s">
        <v>1783</v>
      </c>
      <c r="P142" t="s">
        <v>164</v>
      </c>
    </row>
    <row r="143" customHeight="1" spans="1:16">
      <c r="A143" s="10" t="s">
        <v>21</v>
      </c>
      <c r="B143" s="10" t="s">
        <v>160</v>
      </c>
      <c r="C143" s="10" t="s">
        <v>1784</v>
      </c>
      <c r="D143" s="10" t="s">
        <v>1785</v>
      </c>
      <c r="M143" t="s">
        <v>1786</v>
      </c>
      <c r="P143" t="s">
        <v>164</v>
      </c>
    </row>
    <row r="144" customHeight="1" spans="1:16">
      <c r="A144" s="10" t="s">
        <v>21</v>
      </c>
      <c r="B144" s="10" t="s">
        <v>160</v>
      </c>
      <c r="C144" s="10" t="s">
        <v>1787</v>
      </c>
      <c r="D144" s="10" t="s">
        <v>1788</v>
      </c>
      <c r="M144" t="s">
        <v>1789</v>
      </c>
      <c r="P144" t="s">
        <v>164</v>
      </c>
    </row>
    <row r="145" customHeight="1" spans="1:16">
      <c r="A145" s="10" t="s">
        <v>21</v>
      </c>
      <c r="B145" s="10" t="s">
        <v>160</v>
      </c>
      <c r="C145" s="10" t="s">
        <v>1790</v>
      </c>
      <c r="D145" s="10" t="s">
        <v>1791</v>
      </c>
      <c r="F145" t="s">
        <v>1792</v>
      </c>
      <c r="H145" s="5" t="e">
        <f>H146/H147</f>
        <v>#DIV/0!</v>
      </c>
      <c r="I145" s="5" t="e">
        <f>I146/I147</f>
        <v>#DIV/0!</v>
      </c>
      <c r="J145" s="5" t="s">
        <v>783</v>
      </c>
      <c r="M145" t="s">
        <v>1793</v>
      </c>
    </row>
    <row r="146" customHeight="1" spans="1:16">
      <c r="A146" s="10" t="s">
        <v>26</v>
      </c>
      <c r="B146" s="10" t="s">
        <v>15</v>
      </c>
      <c r="C146" s="10" t="s">
        <v>1794</v>
      </c>
      <c r="D146" s="10" t="s">
        <v>1795</v>
      </c>
      <c r="M146" t="s">
        <v>1796</v>
      </c>
      <c r="P146" t="s">
        <v>43</v>
      </c>
    </row>
    <row r="147" customHeight="1" spans="1:16">
      <c r="A147" s="10" t="s">
        <v>26</v>
      </c>
      <c r="B147" s="10" t="s">
        <v>515</v>
      </c>
      <c r="C147" s="10" t="s">
        <v>1797</v>
      </c>
      <c r="D147" s="10" t="s">
        <v>1798</v>
      </c>
      <c r="M147" t="s">
        <v>1799</v>
      </c>
      <c r="P147" t="s">
        <v>524</v>
      </c>
    </row>
    <row r="148" customHeight="1" spans="1:16">
      <c r="A148" s="10" t="s">
        <v>21</v>
      </c>
      <c r="B148" s="10" t="s">
        <v>160</v>
      </c>
      <c r="C148" s="10" t="s">
        <v>1800</v>
      </c>
      <c r="D148" s="10" t="s">
        <v>1801</v>
      </c>
      <c r="M148" t="s">
        <v>1802</v>
      </c>
      <c r="P148" t="s">
        <v>164</v>
      </c>
    </row>
    <row r="149" customHeight="1" spans="1:16">
      <c r="A149" s="10" t="s">
        <v>21</v>
      </c>
      <c r="B149" s="10" t="s">
        <v>160</v>
      </c>
      <c r="C149" s="10" t="s">
        <v>1803</v>
      </c>
      <c r="D149" s="10" t="s">
        <v>1804</v>
      </c>
      <c r="M149" t="s">
        <v>1805</v>
      </c>
      <c r="P149" t="s">
        <v>164</v>
      </c>
    </row>
    <row r="150" customHeight="1" spans="1:16">
      <c r="A150" s="10" t="s">
        <v>21</v>
      </c>
      <c r="B150" s="5" t="s">
        <v>160</v>
      </c>
      <c r="C150" s="10" t="s">
        <v>1806</v>
      </c>
      <c r="D150" s="5" t="s">
        <v>1807</v>
      </c>
      <c r="M150" t="s">
        <v>1808</v>
      </c>
      <c r="P150" t="s">
        <v>164</v>
      </c>
    </row>
    <row r="151" customHeight="1" spans="1:16">
      <c r="A151" s="10" t="s">
        <v>21</v>
      </c>
      <c r="B151" s="5" t="s">
        <v>160</v>
      </c>
      <c r="C151" s="10" t="s">
        <v>1809</v>
      </c>
      <c r="D151" s="5" t="s">
        <v>1810</v>
      </c>
      <c r="M151" t="s">
        <v>1811</v>
      </c>
      <c r="P151" t="s">
        <v>164</v>
      </c>
    </row>
    <row r="152" customHeight="1" spans="1:16">
      <c r="A152" s="10" t="s">
        <v>21</v>
      </c>
      <c r="B152" s="5" t="s">
        <v>160</v>
      </c>
      <c r="C152" s="10" t="s">
        <v>1812</v>
      </c>
      <c r="D152" s="5" t="s">
        <v>1813</v>
      </c>
      <c r="M152" t="s">
        <v>1814</v>
      </c>
      <c r="P152" t="s">
        <v>164</v>
      </c>
    </row>
    <row r="154" customHeight="1" spans="1:16">
      <c r="A154" t="s">
        <v>222</v>
      </c>
      <c r="B154" t="s">
        <v>223</v>
      </c>
      <c r="C154" t="s">
        <v>2</v>
      </c>
      <c r="D154" t="s">
        <v>3</v>
      </c>
      <c r="E154" t="s">
        <v>4</v>
      </c>
      <c r="F154" t="s">
        <v>5</v>
      </c>
      <c r="J154" t="s">
        <v>9</v>
      </c>
      <c r="K154" t="s">
        <v>10</v>
      </c>
    </row>
    <row r="155" customHeight="1" spans="1:16">
      <c r="A155" t="s">
        <v>14</v>
      </c>
      <c r="B155" t="s">
        <v>31</v>
      </c>
      <c r="C155" t="s">
        <v>1815</v>
      </c>
      <c r="D155" t="s">
        <v>927</v>
      </c>
      <c r="F155" t="s">
        <v>1546</v>
      </c>
      <c r="K155" t="s">
        <v>19</v>
      </c>
      <c r="M155" t="s">
        <v>227</v>
      </c>
    </row>
    <row r="156" customHeight="1" spans="1:16">
      <c r="A156" t="s">
        <v>21</v>
      </c>
      <c r="B156" t="s">
        <v>31</v>
      </c>
      <c r="C156" t="s">
        <v>1816</v>
      </c>
      <c r="D156" t="s">
        <v>929</v>
      </c>
      <c r="F156" t="s">
        <v>1548</v>
      </c>
      <c r="K156" t="s">
        <v>19</v>
      </c>
      <c r="M156" t="s">
        <v>231</v>
      </c>
    </row>
    <row r="157" customHeight="1" spans="1:16">
      <c r="A157" t="s">
        <v>26</v>
      </c>
      <c r="B157" t="s">
        <v>31</v>
      </c>
      <c r="C157" t="s">
        <v>1817</v>
      </c>
      <c r="D157" t="s">
        <v>233</v>
      </c>
      <c r="F157" t="s">
        <v>1550</v>
      </c>
      <c r="K157" t="s">
        <v>19</v>
      </c>
      <c r="M157" t="s">
        <v>235</v>
      </c>
    </row>
    <row r="158" customHeight="1" spans="1:16">
      <c r="A158" t="s">
        <v>236</v>
      </c>
      <c r="B158" t="s">
        <v>31</v>
      </c>
      <c r="C158" t="s">
        <v>1818</v>
      </c>
      <c r="D158" t="s">
        <v>238</v>
      </c>
      <c r="F158" t="s">
        <v>1819</v>
      </c>
      <c r="K158" t="s">
        <v>19</v>
      </c>
      <c r="M158" t="s">
        <v>240</v>
      </c>
    </row>
    <row r="159" customHeight="1" spans="1:16">
      <c r="A159" t="s">
        <v>241</v>
      </c>
      <c r="B159" t="s">
        <v>31</v>
      </c>
      <c r="C159" t="s">
        <v>1820</v>
      </c>
      <c r="D159" t="s">
        <v>243</v>
      </c>
      <c r="K159" t="s">
        <v>19</v>
      </c>
      <c r="M159" t="s">
        <v>244</v>
      </c>
      <c r="P159" t="s">
        <v>43</v>
      </c>
    </row>
    <row r="160" customHeight="1" spans="1:16">
      <c r="A160" t="s">
        <v>241</v>
      </c>
      <c r="B160" t="s">
        <v>31</v>
      </c>
      <c r="C160" t="s">
        <v>1821</v>
      </c>
      <c r="D160" t="s">
        <v>246</v>
      </c>
      <c r="K160" t="s">
        <v>19</v>
      </c>
      <c r="M160" t="s">
        <v>247</v>
      </c>
      <c r="P160" t="s">
        <v>43</v>
      </c>
    </row>
    <row r="161" customHeight="1" spans="1:16">
      <c r="A161" t="s">
        <v>236</v>
      </c>
      <c r="B161" t="s">
        <v>31</v>
      </c>
      <c r="C161" t="s">
        <v>1822</v>
      </c>
      <c r="D161" t="s">
        <v>249</v>
      </c>
      <c r="F161" t="s">
        <v>1823</v>
      </c>
      <c r="K161" t="s">
        <v>19</v>
      </c>
      <c r="M161" t="s">
        <v>251</v>
      </c>
    </row>
    <row r="162" customHeight="1" spans="1:16">
      <c r="A162" t="s">
        <v>241</v>
      </c>
      <c r="B162" t="s">
        <v>31</v>
      </c>
      <c r="C162" t="s">
        <v>1824</v>
      </c>
      <c r="D162" t="s">
        <v>253</v>
      </c>
      <c r="K162" t="s">
        <v>19</v>
      </c>
      <c r="M162" t="s">
        <v>254</v>
      </c>
      <c r="P162" t="s">
        <v>43</v>
      </c>
    </row>
    <row r="163" customHeight="1" spans="1:16">
      <c r="A163" t="s">
        <v>241</v>
      </c>
      <c r="B163" t="s">
        <v>31</v>
      </c>
      <c r="C163" t="s">
        <v>1825</v>
      </c>
      <c r="D163" t="s">
        <v>256</v>
      </c>
      <c r="K163" t="s">
        <v>19</v>
      </c>
      <c r="M163" t="s">
        <v>257</v>
      </c>
      <c r="P163" t="s">
        <v>43</v>
      </c>
    </row>
    <row r="164" customHeight="1" spans="1:16">
      <c r="A164" t="s">
        <v>236</v>
      </c>
      <c r="B164" t="s">
        <v>31</v>
      </c>
      <c r="C164" t="s">
        <v>1826</v>
      </c>
      <c r="D164" t="s">
        <v>259</v>
      </c>
      <c r="F164" t="s">
        <v>1827</v>
      </c>
      <c r="K164" t="s">
        <v>19</v>
      </c>
      <c r="M164" t="s">
        <v>261</v>
      </c>
    </row>
    <row r="165" customHeight="1" spans="1:16">
      <c r="A165" t="s">
        <v>241</v>
      </c>
      <c r="B165" t="s">
        <v>31</v>
      </c>
      <c r="C165" t="s">
        <v>1828</v>
      </c>
      <c r="D165" t="s">
        <v>263</v>
      </c>
      <c r="F165" t="s">
        <v>1829</v>
      </c>
      <c r="K165" t="s">
        <v>19</v>
      </c>
      <c r="M165" t="s">
        <v>265</v>
      </c>
    </row>
    <row r="166" customHeight="1" spans="1:16">
      <c r="A166" t="s">
        <v>266</v>
      </c>
      <c r="B166" t="s">
        <v>31</v>
      </c>
      <c r="C166" t="s">
        <v>1830</v>
      </c>
      <c r="D166" t="s">
        <v>268</v>
      </c>
      <c r="K166" t="s">
        <v>19</v>
      </c>
      <c r="M166" t="s">
        <v>269</v>
      </c>
      <c r="P166" t="s">
        <v>43</v>
      </c>
    </row>
    <row r="167" customHeight="1" spans="1:16">
      <c r="A167" t="s">
        <v>266</v>
      </c>
      <c r="B167" t="s">
        <v>31</v>
      </c>
      <c r="C167" t="s">
        <v>1831</v>
      </c>
      <c r="D167" t="s">
        <v>271</v>
      </c>
      <c r="K167" t="s">
        <v>19</v>
      </c>
      <c r="M167" t="s">
        <v>272</v>
      </c>
      <c r="P167" t="s">
        <v>43</v>
      </c>
    </row>
    <row r="168" customHeight="1" spans="1:16">
      <c r="A168" t="s">
        <v>241</v>
      </c>
      <c r="B168" t="s">
        <v>31</v>
      </c>
      <c r="C168" t="s">
        <v>1832</v>
      </c>
      <c r="D168" t="s">
        <v>1833</v>
      </c>
      <c r="K168" t="s">
        <v>19</v>
      </c>
      <c r="M168" t="s">
        <v>275</v>
      </c>
      <c r="P168" t="s">
        <v>43</v>
      </c>
    </row>
    <row r="169" customHeight="1" spans="1:16">
      <c r="A169" t="s">
        <v>266</v>
      </c>
      <c r="B169" t="s">
        <v>31</v>
      </c>
      <c r="C169" t="s">
        <v>1834</v>
      </c>
      <c r="D169" t="s">
        <v>277</v>
      </c>
      <c r="K169" t="s">
        <v>19</v>
      </c>
      <c r="M169" t="s">
        <v>278</v>
      </c>
      <c r="P169" t="s">
        <v>43</v>
      </c>
    </row>
    <row r="170" customHeight="1" spans="1:16">
      <c r="A170" t="s">
        <v>241</v>
      </c>
      <c r="B170" t="s">
        <v>31</v>
      </c>
      <c r="C170" t="s">
        <v>1835</v>
      </c>
      <c r="D170" t="s">
        <v>1836</v>
      </c>
      <c r="K170" t="s">
        <v>19</v>
      </c>
      <c r="M170" t="s">
        <v>281</v>
      </c>
      <c r="P170" t="s">
        <v>43</v>
      </c>
    </row>
    <row r="171" customHeight="1" spans="1:16">
      <c r="A171" t="s">
        <v>266</v>
      </c>
      <c r="B171" t="s">
        <v>31</v>
      </c>
      <c r="C171" t="s">
        <v>1837</v>
      </c>
      <c r="D171" t="s">
        <v>283</v>
      </c>
      <c r="K171" t="s">
        <v>19</v>
      </c>
      <c r="M171" t="s">
        <v>284</v>
      </c>
      <c r="P171" t="s">
        <v>43</v>
      </c>
    </row>
    <row r="172" customHeight="1" spans="1:16">
      <c r="A172" t="s">
        <v>241</v>
      </c>
      <c r="B172" t="s">
        <v>31</v>
      </c>
      <c r="C172" t="s">
        <v>1838</v>
      </c>
      <c r="D172" t="s">
        <v>1839</v>
      </c>
      <c r="K172" t="s">
        <v>19</v>
      </c>
      <c r="M172" t="s">
        <v>287</v>
      </c>
      <c r="P172" t="s">
        <v>43</v>
      </c>
    </row>
    <row r="173" customHeight="1" spans="1:16">
      <c r="A173" t="s">
        <v>266</v>
      </c>
      <c r="B173" t="s">
        <v>31</v>
      </c>
      <c r="C173" t="s">
        <v>1840</v>
      </c>
      <c r="D173" t="s">
        <v>289</v>
      </c>
      <c r="K173" t="s">
        <v>19</v>
      </c>
      <c r="M173" t="s">
        <v>290</v>
      </c>
      <c r="P173" t="s">
        <v>43</v>
      </c>
    </row>
    <row r="174" customHeight="1" spans="1:16">
      <c r="A174" t="s">
        <v>236</v>
      </c>
      <c r="B174" t="s">
        <v>31</v>
      </c>
      <c r="C174" t="s">
        <v>1841</v>
      </c>
      <c r="D174" t="s">
        <v>1842</v>
      </c>
      <c r="K174" t="s">
        <v>19</v>
      </c>
      <c r="M174" t="s">
        <v>293</v>
      </c>
      <c r="P174" t="s">
        <v>43</v>
      </c>
    </row>
    <row r="175" customHeight="1" spans="1:16">
      <c r="A175" t="s">
        <v>241</v>
      </c>
      <c r="B175" t="s">
        <v>31</v>
      </c>
      <c r="C175" t="s">
        <v>1843</v>
      </c>
      <c r="D175" t="s">
        <v>295</v>
      </c>
      <c r="K175" t="s">
        <v>19</v>
      </c>
      <c r="M175" t="s">
        <v>296</v>
      </c>
      <c r="P175" t="s">
        <v>43</v>
      </c>
    </row>
    <row r="176" customHeight="1" spans="1:16">
      <c r="A176" t="s">
        <v>236</v>
      </c>
      <c r="B176" t="s">
        <v>31</v>
      </c>
      <c r="C176" t="s">
        <v>1844</v>
      </c>
      <c r="D176" t="s">
        <v>1845</v>
      </c>
      <c r="K176" t="s">
        <v>19</v>
      </c>
      <c r="M176" t="s">
        <v>299</v>
      </c>
      <c r="P176" t="s">
        <v>43</v>
      </c>
    </row>
    <row r="177" customHeight="1" spans="1:16">
      <c r="A177" t="s">
        <v>241</v>
      </c>
      <c r="B177" t="s">
        <v>31</v>
      </c>
      <c r="C177" t="s">
        <v>1846</v>
      </c>
      <c r="D177" t="s">
        <v>301</v>
      </c>
      <c r="K177" t="s">
        <v>19</v>
      </c>
      <c r="M177" t="s">
        <v>302</v>
      </c>
      <c r="P177" t="s">
        <v>43</v>
      </c>
    </row>
    <row r="178" customHeight="1" spans="1:16">
      <c r="A178" t="s">
        <v>26</v>
      </c>
      <c r="B178" t="s">
        <v>31</v>
      </c>
      <c r="C178" t="s">
        <v>1847</v>
      </c>
      <c r="D178" t="s">
        <v>304</v>
      </c>
      <c r="F178" t="s">
        <v>1552</v>
      </c>
      <c r="K178" t="s">
        <v>19</v>
      </c>
      <c r="M178" t="s">
        <v>306</v>
      </c>
    </row>
    <row r="179" customHeight="1" spans="1:16">
      <c r="A179" t="s">
        <v>236</v>
      </c>
      <c r="B179" t="s">
        <v>31</v>
      </c>
      <c r="C179" t="s">
        <v>1848</v>
      </c>
      <c r="D179" t="s">
        <v>238</v>
      </c>
      <c r="F179" t="s">
        <v>1849</v>
      </c>
      <c r="K179" t="s">
        <v>19</v>
      </c>
      <c r="M179" t="s">
        <v>309</v>
      </c>
    </row>
    <row r="180" customHeight="1" spans="1:16">
      <c r="A180" t="s">
        <v>241</v>
      </c>
      <c r="B180" t="s">
        <v>31</v>
      </c>
      <c r="C180" t="s">
        <v>1850</v>
      </c>
      <c r="D180" t="s">
        <v>243</v>
      </c>
      <c r="K180" t="s">
        <v>19</v>
      </c>
      <c r="M180" t="s">
        <v>311</v>
      </c>
      <c r="P180" t="s">
        <v>43</v>
      </c>
    </row>
    <row r="181" customHeight="1" spans="1:16">
      <c r="A181" t="s">
        <v>241</v>
      </c>
      <c r="B181" t="s">
        <v>31</v>
      </c>
      <c r="C181" t="s">
        <v>1851</v>
      </c>
      <c r="D181" t="s">
        <v>246</v>
      </c>
      <c r="K181" t="s">
        <v>19</v>
      </c>
      <c r="M181" t="s">
        <v>313</v>
      </c>
      <c r="P181" t="s">
        <v>43</v>
      </c>
    </row>
    <row r="182" customHeight="1" spans="1:16">
      <c r="A182" t="s">
        <v>236</v>
      </c>
      <c r="B182" t="s">
        <v>31</v>
      </c>
      <c r="C182" t="s">
        <v>1852</v>
      </c>
      <c r="D182" t="s">
        <v>249</v>
      </c>
      <c r="F182" t="s">
        <v>1853</v>
      </c>
      <c r="K182" t="s">
        <v>19</v>
      </c>
      <c r="M182" t="s">
        <v>316</v>
      </c>
    </row>
    <row r="183" customHeight="1" spans="1:16">
      <c r="A183" t="s">
        <v>241</v>
      </c>
      <c r="B183" t="s">
        <v>31</v>
      </c>
      <c r="C183" t="s">
        <v>1854</v>
      </c>
      <c r="D183" t="s">
        <v>253</v>
      </c>
      <c r="K183" t="s">
        <v>19</v>
      </c>
      <c r="M183" t="s">
        <v>318</v>
      </c>
      <c r="P183" t="s">
        <v>43</v>
      </c>
    </row>
    <row r="184" customHeight="1" spans="1:16">
      <c r="A184" t="s">
        <v>241</v>
      </c>
      <c r="B184" t="s">
        <v>31</v>
      </c>
      <c r="C184" t="s">
        <v>1855</v>
      </c>
      <c r="D184" t="s">
        <v>256</v>
      </c>
      <c r="K184" t="s">
        <v>19</v>
      </c>
      <c r="M184" t="s">
        <v>320</v>
      </c>
      <c r="P184" t="s">
        <v>43</v>
      </c>
    </row>
    <row r="185" customHeight="1" spans="1:16">
      <c r="A185" t="s">
        <v>236</v>
      </c>
      <c r="B185" t="s">
        <v>31</v>
      </c>
      <c r="C185" t="s">
        <v>1856</v>
      </c>
      <c r="D185" t="s">
        <v>259</v>
      </c>
      <c r="F185" t="s">
        <v>1857</v>
      </c>
      <c r="K185" t="s">
        <v>19</v>
      </c>
      <c r="M185" t="s">
        <v>323</v>
      </c>
    </row>
    <row r="186" customHeight="1" spans="1:16">
      <c r="A186" t="s">
        <v>241</v>
      </c>
      <c r="B186" t="s">
        <v>31</v>
      </c>
      <c r="C186" t="s">
        <v>1858</v>
      </c>
      <c r="D186" t="s">
        <v>263</v>
      </c>
      <c r="F186" t="s">
        <v>1859</v>
      </c>
      <c r="K186" t="s">
        <v>19</v>
      </c>
      <c r="M186" t="s">
        <v>326</v>
      </c>
    </row>
    <row r="187" customHeight="1" spans="1:16">
      <c r="A187" t="s">
        <v>266</v>
      </c>
      <c r="B187" t="s">
        <v>31</v>
      </c>
      <c r="C187" t="s">
        <v>1860</v>
      </c>
      <c r="D187" t="s">
        <v>268</v>
      </c>
      <c r="K187" t="s">
        <v>19</v>
      </c>
      <c r="M187" t="s">
        <v>328</v>
      </c>
      <c r="P187" t="s">
        <v>43</v>
      </c>
    </row>
    <row r="188" customHeight="1" spans="1:16">
      <c r="A188" t="s">
        <v>266</v>
      </c>
      <c r="B188" t="s">
        <v>31</v>
      </c>
      <c r="C188" t="s">
        <v>1861</v>
      </c>
      <c r="D188" t="s">
        <v>271</v>
      </c>
      <c r="K188" t="s">
        <v>19</v>
      </c>
      <c r="M188" t="s">
        <v>330</v>
      </c>
      <c r="P188" t="s">
        <v>43</v>
      </c>
    </row>
    <row r="189" customHeight="1" spans="1:16">
      <c r="A189" t="s">
        <v>241</v>
      </c>
      <c r="B189" t="s">
        <v>31</v>
      </c>
      <c r="C189" t="s">
        <v>1862</v>
      </c>
      <c r="D189" t="s">
        <v>1863</v>
      </c>
      <c r="K189" t="s">
        <v>19</v>
      </c>
      <c r="M189" t="s">
        <v>333</v>
      </c>
      <c r="P189" t="s">
        <v>43</v>
      </c>
    </row>
    <row r="190" customHeight="1" spans="1:16">
      <c r="A190" t="s">
        <v>266</v>
      </c>
      <c r="B190" t="s">
        <v>31</v>
      </c>
      <c r="C190" t="s">
        <v>1864</v>
      </c>
      <c r="D190" t="s">
        <v>277</v>
      </c>
      <c r="K190" t="s">
        <v>19</v>
      </c>
      <c r="M190" t="s">
        <v>335</v>
      </c>
      <c r="P190" t="s">
        <v>43</v>
      </c>
    </row>
    <row r="191" customHeight="1" spans="1:16">
      <c r="A191" t="s">
        <v>241</v>
      </c>
      <c r="B191" t="s">
        <v>31</v>
      </c>
      <c r="C191" t="s">
        <v>1865</v>
      </c>
      <c r="D191" t="s">
        <v>1866</v>
      </c>
      <c r="K191" t="s">
        <v>19</v>
      </c>
      <c r="M191" t="s">
        <v>338</v>
      </c>
      <c r="P191" t="s">
        <v>43</v>
      </c>
    </row>
    <row r="192" customHeight="1" spans="1:16">
      <c r="A192" t="s">
        <v>266</v>
      </c>
      <c r="B192" t="s">
        <v>31</v>
      </c>
      <c r="C192" t="s">
        <v>1867</v>
      </c>
      <c r="D192" t="s">
        <v>283</v>
      </c>
      <c r="K192" t="s">
        <v>19</v>
      </c>
      <c r="M192" t="s">
        <v>340</v>
      </c>
      <c r="P192" t="s">
        <v>43</v>
      </c>
    </row>
    <row r="193" customHeight="1" spans="1:16">
      <c r="A193" t="s">
        <v>241</v>
      </c>
      <c r="B193" t="s">
        <v>31</v>
      </c>
      <c r="C193" t="s">
        <v>1868</v>
      </c>
      <c r="D193" t="s">
        <v>1869</v>
      </c>
      <c r="K193" t="s">
        <v>19</v>
      </c>
      <c r="M193" t="s">
        <v>343</v>
      </c>
      <c r="P193" t="s">
        <v>43</v>
      </c>
    </row>
    <row r="194" customHeight="1" spans="1:16">
      <c r="A194" t="s">
        <v>266</v>
      </c>
      <c r="B194" t="s">
        <v>31</v>
      </c>
      <c r="C194" t="s">
        <v>1870</v>
      </c>
      <c r="D194" t="s">
        <v>289</v>
      </c>
      <c r="K194" t="s">
        <v>19</v>
      </c>
      <c r="M194" t="s">
        <v>345</v>
      </c>
      <c r="P194" t="s">
        <v>43</v>
      </c>
    </row>
    <row r="195" customHeight="1" spans="1:16">
      <c r="A195" t="s">
        <v>236</v>
      </c>
      <c r="B195" t="s">
        <v>31</v>
      </c>
      <c r="C195" t="s">
        <v>1871</v>
      </c>
      <c r="D195" t="s">
        <v>1872</v>
      </c>
      <c r="K195" t="s">
        <v>19</v>
      </c>
      <c r="M195" t="s">
        <v>348</v>
      </c>
      <c r="P195" t="s">
        <v>43</v>
      </c>
    </row>
    <row r="196" customHeight="1" spans="1:16">
      <c r="A196" t="s">
        <v>241</v>
      </c>
      <c r="B196" t="s">
        <v>31</v>
      </c>
      <c r="C196" t="s">
        <v>1873</v>
      </c>
      <c r="D196" t="s">
        <v>295</v>
      </c>
      <c r="K196" t="s">
        <v>19</v>
      </c>
      <c r="M196" t="s">
        <v>350</v>
      </c>
      <c r="P196" t="s">
        <v>43</v>
      </c>
    </row>
    <row r="197" customHeight="1" spans="1:16">
      <c r="A197" t="s">
        <v>236</v>
      </c>
      <c r="B197" t="s">
        <v>31</v>
      </c>
      <c r="C197" t="s">
        <v>1874</v>
      </c>
      <c r="D197" t="s">
        <v>1875</v>
      </c>
      <c r="K197" t="s">
        <v>19</v>
      </c>
      <c r="M197" t="s">
        <v>353</v>
      </c>
      <c r="P197" t="s">
        <v>43</v>
      </c>
    </row>
    <row r="198" customHeight="1" spans="1:16">
      <c r="A198" t="s">
        <v>241</v>
      </c>
      <c r="B198" t="s">
        <v>31</v>
      </c>
      <c r="C198" t="s">
        <v>1876</v>
      </c>
      <c r="D198" t="s">
        <v>301</v>
      </c>
      <c r="K198" t="s">
        <v>19</v>
      </c>
      <c r="M198" t="s">
        <v>355</v>
      </c>
      <c r="P198" t="s">
        <v>43</v>
      </c>
    </row>
    <row r="199" customHeight="1" spans="1:16">
      <c r="A199" t="s">
        <v>21</v>
      </c>
      <c r="B199" t="s">
        <v>31</v>
      </c>
      <c r="C199" t="s">
        <v>1877</v>
      </c>
      <c r="D199" t="s">
        <v>362</v>
      </c>
      <c r="F199" t="s">
        <v>1554</v>
      </c>
      <c r="K199" t="s">
        <v>19</v>
      </c>
      <c r="M199" t="s">
        <v>364</v>
      </c>
    </row>
    <row r="200" customHeight="1" spans="1:16">
      <c r="A200" t="s">
        <v>26</v>
      </c>
      <c r="B200" t="s">
        <v>31</v>
      </c>
      <c r="C200" t="s">
        <v>1878</v>
      </c>
      <c r="D200" t="s">
        <v>358</v>
      </c>
      <c r="K200" t="s">
        <v>19</v>
      </c>
      <c r="M200" t="s">
        <v>1063</v>
      </c>
      <c r="P200" t="s">
        <v>43</v>
      </c>
    </row>
    <row r="201" customHeight="1" spans="1:16">
      <c r="A201" t="s">
        <v>26</v>
      </c>
      <c r="B201" t="s">
        <v>31</v>
      </c>
      <c r="C201" t="s">
        <v>1879</v>
      </c>
      <c r="D201" t="s">
        <v>360</v>
      </c>
      <c r="K201" t="s">
        <v>19</v>
      </c>
      <c r="M201" t="s">
        <v>1065</v>
      </c>
      <c r="P201" t="s">
        <v>43</v>
      </c>
    </row>
    <row r="202" customHeight="1" spans="1:16">
      <c r="A202" t="s">
        <v>26</v>
      </c>
      <c r="B202" t="s">
        <v>31</v>
      </c>
      <c r="C202" t="s">
        <v>1880</v>
      </c>
      <c r="D202" t="s">
        <v>365</v>
      </c>
      <c r="F202" t="s">
        <v>1881</v>
      </c>
      <c r="K202" t="s">
        <v>19</v>
      </c>
      <c r="M202" t="s">
        <v>367</v>
      </c>
    </row>
    <row r="203" customHeight="1" spans="1:16">
      <c r="A203" t="s">
        <v>236</v>
      </c>
      <c r="B203" t="s">
        <v>31</v>
      </c>
      <c r="C203" t="s">
        <v>1882</v>
      </c>
      <c r="D203" t="s">
        <v>369</v>
      </c>
      <c r="F203" t="s">
        <v>1883</v>
      </c>
      <c r="K203" t="s">
        <v>19</v>
      </c>
      <c r="M203" t="s">
        <v>371</v>
      </c>
    </row>
    <row r="204" customHeight="1" spans="1:16">
      <c r="A204" t="s">
        <v>241</v>
      </c>
      <c r="B204" t="s">
        <v>31</v>
      </c>
      <c r="C204" t="s">
        <v>1884</v>
      </c>
      <c r="D204" t="s">
        <v>373</v>
      </c>
      <c r="K204" t="s">
        <v>19</v>
      </c>
      <c r="M204" t="s">
        <v>374</v>
      </c>
      <c r="P204" t="s">
        <v>43</v>
      </c>
    </row>
    <row r="205" customHeight="1" spans="1:16">
      <c r="A205" t="s">
        <v>241</v>
      </c>
      <c r="B205" t="s">
        <v>31</v>
      </c>
      <c r="C205" t="s">
        <v>1885</v>
      </c>
      <c r="D205" t="s">
        <v>376</v>
      </c>
      <c r="K205" t="s">
        <v>19</v>
      </c>
      <c r="M205" t="s">
        <v>377</v>
      </c>
      <c r="P205" t="s">
        <v>43</v>
      </c>
    </row>
    <row r="206" customHeight="1" spans="1:16">
      <c r="A206" t="s">
        <v>241</v>
      </c>
      <c r="B206" t="s">
        <v>31</v>
      </c>
      <c r="C206" t="s">
        <v>1886</v>
      </c>
      <c r="D206" t="s">
        <v>379</v>
      </c>
      <c r="K206" t="s">
        <v>19</v>
      </c>
      <c r="M206" t="s">
        <v>380</v>
      </c>
      <c r="P206" t="s">
        <v>43</v>
      </c>
    </row>
    <row r="207" customHeight="1" spans="1:16">
      <c r="A207" t="s">
        <v>241</v>
      </c>
      <c r="B207" t="s">
        <v>31</v>
      </c>
      <c r="C207" t="s">
        <v>1887</v>
      </c>
      <c r="D207" t="s">
        <v>382</v>
      </c>
      <c r="K207" t="s">
        <v>19</v>
      </c>
      <c r="M207" t="s">
        <v>383</v>
      </c>
      <c r="P207" t="s">
        <v>43</v>
      </c>
    </row>
    <row r="208" customHeight="1" spans="1:16">
      <c r="A208" t="s">
        <v>236</v>
      </c>
      <c r="B208" t="s">
        <v>31</v>
      </c>
      <c r="C208" t="s">
        <v>1888</v>
      </c>
      <c r="D208" t="s">
        <v>385</v>
      </c>
      <c r="F208" t="s">
        <v>1889</v>
      </c>
      <c r="K208" t="s">
        <v>19</v>
      </c>
      <c r="M208" t="s">
        <v>387</v>
      </c>
    </row>
    <row r="209" customHeight="1" spans="1:16">
      <c r="A209" t="s">
        <v>241</v>
      </c>
      <c r="B209" t="s">
        <v>31</v>
      </c>
      <c r="C209" t="s">
        <v>1890</v>
      </c>
      <c r="D209" t="s">
        <v>389</v>
      </c>
      <c r="K209" t="s">
        <v>19</v>
      </c>
      <c r="M209" t="s">
        <v>390</v>
      </c>
      <c r="P209" t="s">
        <v>43</v>
      </c>
    </row>
    <row r="210" customHeight="1" spans="1:16">
      <c r="A210" t="s">
        <v>241</v>
      </c>
      <c r="B210" t="s">
        <v>31</v>
      </c>
      <c r="C210" t="s">
        <v>1891</v>
      </c>
      <c r="D210" t="s">
        <v>392</v>
      </c>
      <c r="K210" t="s">
        <v>19</v>
      </c>
      <c r="M210" t="s">
        <v>393</v>
      </c>
      <c r="P210" t="s">
        <v>43</v>
      </c>
    </row>
    <row r="211" customHeight="1" spans="1:16">
      <c r="A211" t="s">
        <v>241</v>
      </c>
      <c r="B211" t="s">
        <v>31</v>
      </c>
      <c r="C211" t="s">
        <v>1892</v>
      </c>
      <c r="D211" t="s">
        <v>395</v>
      </c>
      <c r="K211" t="s">
        <v>19</v>
      </c>
      <c r="M211" t="s">
        <v>396</v>
      </c>
      <c r="P211" t="s">
        <v>43</v>
      </c>
    </row>
    <row r="212" customHeight="1" spans="1:16">
      <c r="A212" t="s">
        <v>241</v>
      </c>
      <c r="B212" t="s">
        <v>31</v>
      </c>
      <c r="C212" t="s">
        <v>1893</v>
      </c>
      <c r="D212" t="s">
        <v>398</v>
      </c>
      <c r="K212" t="s">
        <v>19</v>
      </c>
      <c r="M212" t="s">
        <v>399</v>
      </c>
      <c r="P212" t="s">
        <v>43</v>
      </c>
    </row>
    <row r="213" customHeight="1" spans="1:16">
      <c r="A213" t="s">
        <v>241</v>
      </c>
      <c r="B213" t="s">
        <v>31</v>
      </c>
      <c r="C213" t="s">
        <v>1894</v>
      </c>
      <c r="D213" t="s">
        <v>401</v>
      </c>
      <c r="K213" t="s">
        <v>19</v>
      </c>
      <c r="M213" t="s">
        <v>402</v>
      </c>
      <c r="P213" t="s">
        <v>43</v>
      </c>
    </row>
    <row r="214" customHeight="1" spans="1:16">
      <c r="A214" t="s">
        <v>241</v>
      </c>
      <c r="B214" t="s">
        <v>31</v>
      </c>
      <c r="C214" t="s">
        <v>1895</v>
      </c>
      <c r="D214" t="s">
        <v>404</v>
      </c>
      <c r="K214" t="s">
        <v>19</v>
      </c>
      <c r="M214" t="s">
        <v>405</v>
      </c>
      <c r="P214" t="s">
        <v>43</v>
      </c>
    </row>
    <row r="215" customHeight="1" spans="1:16">
      <c r="A215" t="s">
        <v>241</v>
      </c>
      <c r="B215" t="s">
        <v>31</v>
      </c>
      <c r="C215" t="s">
        <v>1896</v>
      </c>
      <c r="D215" t="s">
        <v>407</v>
      </c>
      <c r="K215" t="s">
        <v>19</v>
      </c>
      <c r="M215" t="s">
        <v>408</v>
      </c>
      <c r="P215" t="s">
        <v>43</v>
      </c>
    </row>
    <row r="216" customHeight="1" spans="1:16">
      <c r="A216" t="s">
        <v>241</v>
      </c>
      <c r="B216" t="s">
        <v>31</v>
      </c>
      <c r="C216" t="s">
        <v>1897</v>
      </c>
      <c r="D216" t="s">
        <v>410</v>
      </c>
      <c r="K216" t="s">
        <v>19</v>
      </c>
      <c r="M216" t="s">
        <v>411</v>
      </c>
      <c r="P216" t="s">
        <v>43</v>
      </c>
    </row>
    <row r="217" customHeight="1" spans="1:16">
      <c r="A217" t="s">
        <v>241</v>
      </c>
      <c r="B217" t="s">
        <v>31</v>
      </c>
      <c r="C217" t="s">
        <v>1898</v>
      </c>
      <c r="D217" t="s">
        <v>413</v>
      </c>
      <c r="K217" t="s">
        <v>19</v>
      </c>
      <c r="M217" t="s">
        <v>414</v>
      </c>
      <c r="P217" t="s">
        <v>43</v>
      </c>
    </row>
    <row r="218" customHeight="1" spans="1:16">
      <c r="A218" t="s">
        <v>241</v>
      </c>
      <c r="B218" t="s">
        <v>31</v>
      </c>
      <c r="C218" t="s">
        <v>1899</v>
      </c>
      <c r="D218" t="s">
        <v>416</v>
      </c>
      <c r="K218" t="s">
        <v>19</v>
      </c>
      <c r="M218" t="s">
        <v>417</v>
      </c>
      <c r="P218" t="s">
        <v>43</v>
      </c>
    </row>
    <row r="219" customHeight="1" spans="1:16">
      <c r="A219" t="s">
        <v>241</v>
      </c>
      <c r="B219" t="s">
        <v>31</v>
      </c>
      <c r="C219" t="s">
        <v>1900</v>
      </c>
      <c r="D219" t="s">
        <v>419</v>
      </c>
      <c r="K219" t="s">
        <v>19</v>
      </c>
      <c r="M219" t="s">
        <v>420</v>
      </c>
      <c r="P219" t="s">
        <v>43</v>
      </c>
    </row>
    <row r="220" customHeight="1" spans="1:16">
      <c r="A220" t="s">
        <v>241</v>
      </c>
      <c r="B220" t="s">
        <v>31</v>
      </c>
      <c r="C220" t="s">
        <v>1901</v>
      </c>
      <c r="D220" t="s">
        <v>422</v>
      </c>
      <c r="F220" t="s">
        <v>1902</v>
      </c>
      <c r="K220" t="s">
        <v>19</v>
      </c>
      <c r="M220" t="s">
        <v>424</v>
      </c>
    </row>
    <row r="221" customHeight="1" spans="1:16">
      <c r="A221" t="s">
        <v>241</v>
      </c>
      <c r="B221" t="s">
        <v>31</v>
      </c>
      <c r="C221" t="s">
        <v>1903</v>
      </c>
      <c r="D221" t="s">
        <v>426</v>
      </c>
      <c r="F221" t="s">
        <v>1904</v>
      </c>
      <c r="K221" t="s">
        <v>19</v>
      </c>
      <c r="M221" t="s">
        <v>428</v>
      </c>
    </row>
    <row r="222" customHeight="1" spans="1:16">
      <c r="A222" t="s">
        <v>241</v>
      </c>
      <c r="B222" t="s">
        <v>31</v>
      </c>
      <c r="C222" t="s">
        <v>1905</v>
      </c>
      <c r="D222" t="s">
        <v>430</v>
      </c>
      <c r="F222" t="s">
        <v>1906</v>
      </c>
      <c r="K222" t="s">
        <v>19</v>
      </c>
      <c r="M222" t="s">
        <v>432</v>
      </c>
    </row>
    <row r="223" customHeight="1" spans="1:16">
      <c r="A223" t="s">
        <v>236</v>
      </c>
      <c r="B223" t="s">
        <v>31</v>
      </c>
      <c r="C223" t="s">
        <v>1907</v>
      </c>
      <c r="D223" t="s">
        <v>434</v>
      </c>
      <c r="F223" t="s">
        <v>1908</v>
      </c>
      <c r="K223" t="s">
        <v>19</v>
      </c>
      <c r="M223" t="s">
        <v>436</v>
      </c>
    </row>
    <row r="224" customHeight="1" spans="1:16">
      <c r="A224" t="s">
        <v>241</v>
      </c>
      <c r="B224" t="s">
        <v>31</v>
      </c>
      <c r="C224" t="s">
        <v>1909</v>
      </c>
      <c r="D224" t="s">
        <v>438</v>
      </c>
      <c r="K224" t="s">
        <v>19</v>
      </c>
      <c r="M224" t="s">
        <v>439</v>
      </c>
      <c r="P224" t="s">
        <v>43</v>
      </c>
    </row>
    <row r="225" customHeight="1" spans="1:16">
      <c r="A225" t="s">
        <v>241</v>
      </c>
      <c r="B225" t="s">
        <v>31</v>
      </c>
      <c r="C225" t="s">
        <v>1910</v>
      </c>
      <c r="D225" t="s">
        <v>441</v>
      </c>
      <c r="K225" t="s">
        <v>19</v>
      </c>
      <c r="M225" t="s">
        <v>442</v>
      </c>
      <c r="P225" t="s">
        <v>43</v>
      </c>
    </row>
    <row r="226" customHeight="1" spans="1:16">
      <c r="A226" t="s">
        <v>241</v>
      </c>
      <c r="B226" t="s">
        <v>31</v>
      </c>
      <c r="C226" t="s">
        <v>1911</v>
      </c>
      <c r="D226" t="s">
        <v>444</v>
      </c>
      <c r="K226" t="s">
        <v>19</v>
      </c>
      <c r="M226" t="s">
        <v>445</v>
      </c>
      <c r="P226" t="s">
        <v>43</v>
      </c>
    </row>
    <row r="227" customHeight="1" spans="1:16">
      <c r="A227" t="s">
        <v>21</v>
      </c>
      <c r="B227" t="s">
        <v>31</v>
      </c>
      <c r="C227" t="s">
        <v>1912</v>
      </c>
      <c r="D227" t="s">
        <v>994</v>
      </c>
      <c r="F227" t="s">
        <v>1558</v>
      </c>
      <c r="K227" t="s">
        <v>19</v>
      </c>
      <c r="M227" t="s">
        <v>859</v>
      </c>
    </row>
    <row r="228" customHeight="1" spans="1:16">
      <c r="A228" t="s">
        <v>26</v>
      </c>
      <c r="B228" t="s">
        <v>31</v>
      </c>
      <c r="C228" t="s">
        <v>1913</v>
      </c>
      <c r="D228" t="s">
        <v>263</v>
      </c>
      <c r="F228" t="s">
        <v>1560</v>
      </c>
      <c r="K228" t="s">
        <v>19</v>
      </c>
      <c r="M228" t="s">
        <v>863</v>
      </c>
    </row>
    <row r="229" customHeight="1" spans="1:16">
      <c r="A229" t="s">
        <v>236</v>
      </c>
      <c r="B229" t="s">
        <v>31</v>
      </c>
      <c r="C229" t="s">
        <v>1914</v>
      </c>
      <c r="D229" t="s">
        <v>268</v>
      </c>
      <c r="K229" t="s">
        <v>19</v>
      </c>
      <c r="M229" t="s">
        <v>866</v>
      </c>
      <c r="P229" t="s">
        <v>43</v>
      </c>
    </row>
    <row r="230" customHeight="1" spans="1:16">
      <c r="A230" t="s">
        <v>236</v>
      </c>
      <c r="B230" t="s">
        <v>31</v>
      </c>
      <c r="C230" t="s">
        <v>1915</v>
      </c>
      <c r="D230" t="s">
        <v>271</v>
      </c>
      <c r="K230" t="s">
        <v>19</v>
      </c>
      <c r="M230" t="s">
        <v>869</v>
      </c>
      <c r="P230" t="s">
        <v>43</v>
      </c>
    </row>
    <row r="231" customHeight="1" spans="1:16">
      <c r="A231" t="s">
        <v>26</v>
      </c>
      <c r="B231" t="s">
        <v>31</v>
      </c>
      <c r="C231" t="s">
        <v>1916</v>
      </c>
      <c r="D231" t="s">
        <v>999</v>
      </c>
      <c r="K231" t="s">
        <v>19</v>
      </c>
      <c r="M231" t="s">
        <v>872</v>
      </c>
      <c r="P231" t="s">
        <v>43</v>
      </c>
    </row>
    <row r="232" customHeight="1" spans="1:16">
      <c r="A232" t="s">
        <v>26</v>
      </c>
      <c r="B232" t="s">
        <v>31</v>
      </c>
      <c r="C232" t="s">
        <v>1917</v>
      </c>
      <c r="D232" t="s">
        <v>283</v>
      </c>
      <c r="K232" t="s">
        <v>19</v>
      </c>
      <c r="M232" t="s">
        <v>875</v>
      </c>
      <c r="P232" t="s">
        <v>43</v>
      </c>
    </row>
    <row r="233" customHeight="1" spans="1:16">
      <c r="A233" t="s">
        <v>26</v>
      </c>
      <c r="B233" t="s">
        <v>31</v>
      </c>
      <c r="C233" t="s">
        <v>1918</v>
      </c>
      <c r="D233" t="s">
        <v>289</v>
      </c>
      <c r="K233" t="s">
        <v>19</v>
      </c>
      <c r="M233" t="s">
        <v>878</v>
      </c>
      <c r="P233" t="s">
        <v>43</v>
      </c>
    </row>
    <row r="234" customHeight="1" spans="1:16">
      <c r="A234" t="s">
        <v>21</v>
      </c>
      <c r="B234" t="s">
        <v>31</v>
      </c>
      <c r="C234" t="s">
        <v>1919</v>
      </c>
      <c r="D234" t="s">
        <v>1003</v>
      </c>
      <c r="K234" t="s">
        <v>19</v>
      </c>
      <c r="M234" t="s">
        <v>881</v>
      </c>
      <c r="P234" t="s">
        <v>43</v>
      </c>
    </row>
    <row r="235" customHeight="1" spans="1:16">
      <c r="A235" t="s">
        <v>21</v>
      </c>
      <c r="B235" t="s">
        <v>31</v>
      </c>
      <c r="C235" t="s">
        <v>1920</v>
      </c>
      <c r="D235" t="s">
        <v>1005</v>
      </c>
      <c r="K235" t="s">
        <v>19</v>
      </c>
      <c r="M235" t="s">
        <v>883</v>
      </c>
      <c r="P235" t="s">
        <v>43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8"/>
  <sheetViews>
    <sheetView workbookViewId="0">
      <pane xSplit="4" ySplit="1" topLeftCell="E41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 customHeight="1"/>
  <cols>
    <col min="1" max="2" width="8.66071428571429" style="5" customWidth="1"/>
    <col min="3" max="3" width="11" style="5" customWidth="1"/>
    <col min="4" max="4" width="17.5" style="5" customWidth="1"/>
    <col min="5" max="9" width="8.66071428571429" style="5" customWidth="1"/>
    <col min="10" max="10" width="10.1607142857143" style="5" customWidth="1"/>
    <col min="11" max="16384" width="8.66071428571429" style="5" customWidth="1"/>
  </cols>
  <sheetData>
    <row r="1" s="1" customFormat="1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/>
      <c r="O1" s="6"/>
      <c r="P1" t="s">
        <v>13</v>
      </c>
    </row>
    <row r="2" customHeight="1" spans="1:16">
      <c r="A2" s="7" t="s">
        <v>14</v>
      </c>
      <c r="B2" s="1" t="s">
        <v>15</v>
      </c>
      <c r="C2" s="8" t="s">
        <v>1921</v>
      </c>
      <c r="D2" s="7" t="s">
        <v>17</v>
      </c>
      <c r="F2" t="s">
        <v>1922</v>
      </c>
      <c r="H2" s="5">
        <f>H3+H6+H7</f>
        <v>0</v>
      </c>
      <c r="I2" s="5">
        <f>I3+I6+I7</f>
        <v>0</v>
      </c>
      <c r="M2" t="s">
        <v>20</v>
      </c>
    </row>
    <row r="3" customHeight="1" spans="1:16">
      <c r="A3" s="1" t="s">
        <v>21</v>
      </c>
      <c r="B3" s="1" t="s">
        <v>15</v>
      </c>
      <c r="C3" s="8" t="s">
        <v>1923</v>
      </c>
      <c r="D3" s="7" t="s">
        <v>23</v>
      </c>
      <c r="F3" t="s">
        <v>1924</v>
      </c>
      <c r="H3" s="5">
        <f>H4+H5</f>
        <v>0</v>
      </c>
      <c r="I3" s="5">
        <f>I4+I5</f>
        <v>0</v>
      </c>
      <c r="M3" t="s">
        <v>25</v>
      </c>
    </row>
    <row r="4" customHeight="1" spans="1:16">
      <c r="A4" s="1" t="s">
        <v>26</v>
      </c>
      <c r="B4" s="1" t="s">
        <v>15</v>
      </c>
      <c r="C4" s="9" t="s">
        <v>1925</v>
      </c>
      <c r="D4" s="1" t="s">
        <v>822</v>
      </c>
      <c r="H4" s="5">
        <f>H53-H57</f>
        <v>0</v>
      </c>
      <c r="I4" s="5">
        <f>I53-I57</f>
        <v>0</v>
      </c>
      <c r="M4" t="s">
        <v>823</v>
      </c>
      <c r="P4" t="s">
        <v>43</v>
      </c>
    </row>
    <row r="5" customHeight="1" spans="1:16">
      <c r="A5" s="1" t="s">
        <v>26</v>
      </c>
      <c r="B5" s="1" t="s">
        <v>15</v>
      </c>
      <c r="C5" s="9" t="s">
        <v>1926</v>
      </c>
      <c r="D5" s="1" t="s">
        <v>829</v>
      </c>
      <c r="H5" s="5">
        <f>H70-H63</f>
        <v>0</v>
      </c>
      <c r="I5" s="5">
        <f>I70-I63</f>
        <v>0</v>
      </c>
      <c r="M5" t="s">
        <v>830</v>
      </c>
      <c r="P5" t="s">
        <v>43</v>
      </c>
    </row>
    <row r="6" customHeight="1" spans="1:16">
      <c r="A6" s="1" t="s">
        <v>21</v>
      </c>
      <c r="B6" s="1" t="s">
        <v>15</v>
      </c>
      <c r="C6" s="8" t="s">
        <v>1927</v>
      </c>
      <c r="D6" s="7" t="s">
        <v>1046</v>
      </c>
      <c r="H6" s="5">
        <f>H82-H88</f>
        <v>0</v>
      </c>
      <c r="I6" s="5">
        <f>I82-I88</f>
        <v>0</v>
      </c>
      <c r="M6" t="s">
        <v>39</v>
      </c>
      <c r="P6" t="s">
        <v>43</v>
      </c>
    </row>
    <row r="7" customHeight="1" spans="1:16">
      <c r="A7" s="1" t="s">
        <v>21</v>
      </c>
      <c r="B7" s="1" t="s">
        <v>15</v>
      </c>
      <c r="C7" s="8" t="s">
        <v>1928</v>
      </c>
      <c r="D7" s="7" t="s">
        <v>48</v>
      </c>
      <c r="H7" s="5">
        <f>H102+H104</f>
        <v>0</v>
      </c>
      <c r="I7" s="5">
        <f>I102+I104</f>
        <v>0</v>
      </c>
      <c r="M7" t="s">
        <v>49</v>
      </c>
      <c r="P7" t="s">
        <v>43</v>
      </c>
    </row>
    <row r="8" customHeight="1" spans="1:16">
      <c r="A8" s="7" t="s">
        <v>14</v>
      </c>
      <c r="B8" s="1" t="s">
        <v>31</v>
      </c>
      <c r="C8" s="8" t="s">
        <v>1929</v>
      </c>
      <c r="D8" s="7" t="s">
        <v>840</v>
      </c>
      <c r="M8" t="s">
        <v>53</v>
      </c>
      <c r="P8" t="s">
        <v>43</v>
      </c>
    </row>
    <row r="9" customHeight="1" spans="1:16">
      <c r="A9" s="7" t="s">
        <v>14</v>
      </c>
      <c r="B9" s="1" t="s">
        <v>15</v>
      </c>
      <c r="C9" s="8" t="s">
        <v>1930</v>
      </c>
      <c r="D9" s="7" t="s">
        <v>68</v>
      </c>
      <c r="F9" t="s">
        <v>1931</v>
      </c>
      <c r="H9" s="5">
        <f>H2-H8</f>
        <v>0</v>
      </c>
      <c r="I9" s="5">
        <f>I2-I8</f>
        <v>0</v>
      </c>
      <c r="M9" t="s">
        <v>70</v>
      </c>
    </row>
    <row r="10" customHeight="1" spans="1:16">
      <c r="A10" s="7" t="s">
        <v>14</v>
      </c>
      <c r="B10" s="1" t="s">
        <v>31</v>
      </c>
      <c r="C10" s="8" t="s">
        <v>1932</v>
      </c>
      <c r="D10" s="7" t="s">
        <v>72</v>
      </c>
      <c r="M10" t="s">
        <v>73</v>
      </c>
      <c r="P10" t="s">
        <v>43</v>
      </c>
    </row>
    <row r="11" customHeight="1" spans="1:16">
      <c r="A11" s="7" t="s">
        <v>14</v>
      </c>
      <c r="B11" s="1" t="s">
        <v>31</v>
      </c>
      <c r="C11" s="8" t="s">
        <v>1933</v>
      </c>
      <c r="D11" s="7" t="s">
        <v>844</v>
      </c>
      <c r="F11" t="s">
        <v>1934</v>
      </c>
      <c r="H11" s="5">
        <f>H12+H15+H18+H25+H26</f>
        <v>0</v>
      </c>
      <c r="I11" s="5">
        <f>I12+I15+I18+I25+I26</f>
        <v>0</v>
      </c>
      <c r="K11" t="s">
        <v>19</v>
      </c>
      <c r="M11" t="s">
        <v>227</v>
      </c>
    </row>
    <row r="12" customHeight="1" spans="1:16">
      <c r="A12" s="1" t="s">
        <v>21</v>
      </c>
      <c r="B12" s="1" t="s">
        <v>31</v>
      </c>
      <c r="C12" s="8" t="s">
        <v>1935</v>
      </c>
      <c r="D12" s="7" t="s">
        <v>847</v>
      </c>
      <c r="F12" t="s">
        <v>1936</v>
      </c>
      <c r="H12" s="5">
        <f>H13+H14</f>
        <v>0</v>
      </c>
      <c r="I12" s="5">
        <f>I13+I14</f>
        <v>0</v>
      </c>
      <c r="K12" t="s">
        <v>19</v>
      </c>
      <c r="M12" t="s">
        <v>231</v>
      </c>
    </row>
    <row r="13" customHeight="1" spans="1:16">
      <c r="A13" s="1" t="s">
        <v>26</v>
      </c>
      <c r="B13" s="1" t="s">
        <v>31</v>
      </c>
      <c r="C13" s="9" t="s">
        <v>1937</v>
      </c>
      <c r="D13" s="1" t="s">
        <v>83</v>
      </c>
      <c r="F13" t="s">
        <v>1938</v>
      </c>
      <c r="K13" t="s">
        <v>19</v>
      </c>
      <c r="M13" t="s">
        <v>235</v>
      </c>
    </row>
    <row r="14" customHeight="1" spans="1:16">
      <c r="A14" s="1" t="s">
        <v>26</v>
      </c>
      <c r="B14" s="1" t="s">
        <v>31</v>
      </c>
      <c r="C14" s="9" t="s">
        <v>1939</v>
      </c>
      <c r="D14" s="1" t="s">
        <v>852</v>
      </c>
      <c r="F14" t="s">
        <v>1940</v>
      </c>
      <c r="K14" t="s">
        <v>19</v>
      </c>
      <c r="M14" t="s">
        <v>306</v>
      </c>
    </row>
    <row r="15" customHeight="1" spans="1:16">
      <c r="A15" s="1" t="s">
        <v>21</v>
      </c>
      <c r="B15" s="1" t="s">
        <v>31</v>
      </c>
      <c r="C15" s="8" t="s">
        <v>1941</v>
      </c>
      <c r="D15" s="7" t="s">
        <v>92</v>
      </c>
      <c r="F15" t="s">
        <v>1942</v>
      </c>
      <c r="H15" s="5">
        <f>H16+H17</f>
        <v>0</v>
      </c>
      <c r="I15" s="5">
        <f>I16+I17</f>
        <v>0</v>
      </c>
      <c r="K15" t="s">
        <v>19</v>
      </c>
      <c r="M15" t="s">
        <v>364</v>
      </c>
    </row>
    <row r="16" customHeight="1" spans="1:16">
      <c r="A16" s="1" t="s">
        <v>26</v>
      </c>
      <c r="B16" s="1" t="s">
        <v>31</v>
      </c>
      <c r="C16" s="9" t="s">
        <v>1943</v>
      </c>
      <c r="D16" s="1" t="s">
        <v>94</v>
      </c>
      <c r="K16" t="s">
        <v>19</v>
      </c>
      <c r="M16" t="s">
        <v>1063</v>
      </c>
      <c r="P16" t="s">
        <v>43</v>
      </c>
    </row>
    <row r="17" customHeight="1" spans="1:16">
      <c r="A17" s="1" t="s">
        <v>26</v>
      </c>
      <c r="B17" s="1" t="s">
        <v>31</v>
      </c>
      <c r="C17" s="9" t="s">
        <v>1944</v>
      </c>
      <c r="D17" s="1" t="s">
        <v>96</v>
      </c>
      <c r="K17" t="s">
        <v>19</v>
      </c>
      <c r="M17" t="s">
        <v>1065</v>
      </c>
      <c r="P17" t="s">
        <v>43</v>
      </c>
    </row>
    <row r="18" customHeight="1" spans="1:16">
      <c r="A18" s="1" t="s">
        <v>21</v>
      </c>
      <c r="B18" s="1" t="s">
        <v>31</v>
      </c>
      <c r="C18" s="8" t="s">
        <v>1945</v>
      </c>
      <c r="D18" s="7" t="s">
        <v>98</v>
      </c>
      <c r="F18" t="s">
        <v>1946</v>
      </c>
      <c r="H18" s="5">
        <f>H19+H22+H23+H24</f>
        <v>0</v>
      </c>
      <c r="I18" s="5">
        <f>I19+I22+I23+I24</f>
        <v>0</v>
      </c>
      <c r="K18" t="s">
        <v>19</v>
      </c>
      <c r="M18" t="s">
        <v>859</v>
      </c>
    </row>
    <row r="19" customHeight="1" spans="1:16">
      <c r="A19" s="1" t="s">
        <v>26</v>
      </c>
      <c r="B19" s="1" t="s">
        <v>31</v>
      </c>
      <c r="C19" s="9" t="s">
        <v>1947</v>
      </c>
      <c r="D19" s="1" t="s">
        <v>861</v>
      </c>
      <c r="F19" t="s">
        <v>1948</v>
      </c>
      <c r="H19" s="5">
        <f>H20+H21</f>
        <v>0</v>
      </c>
      <c r="I19" s="5">
        <f>I20+I21</f>
        <v>0</v>
      </c>
      <c r="K19" t="s">
        <v>19</v>
      </c>
      <c r="M19" t="s">
        <v>863</v>
      </c>
    </row>
    <row r="20" customHeight="1" spans="1:16">
      <c r="A20" s="1" t="s">
        <v>236</v>
      </c>
      <c r="B20" s="1" t="s">
        <v>31</v>
      </c>
      <c r="C20" s="9" t="s">
        <v>1949</v>
      </c>
      <c r="D20" s="1" t="s">
        <v>865</v>
      </c>
      <c r="K20" t="s">
        <v>19</v>
      </c>
      <c r="M20" t="s">
        <v>866</v>
      </c>
      <c r="P20" t="s">
        <v>43</v>
      </c>
    </row>
    <row r="21" customHeight="1" spans="1:16">
      <c r="A21" s="1" t="s">
        <v>236</v>
      </c>
      <c r="B21" s="1" t="s">
        <v>31</v>
      </c>
      <c r="C21" s="9" t="s">
        <v>1950</v>
      </c>
      <c r="D21" s="1" t="s">
        <v>868</v>
      </c>
      <c r="K21" t="s">
        <v>19</v>
      </c>
      <c r="M21" t="s">
        <v>869</v>
      </c>
      <c r="P21" t="s">
        <v>43</v>
      </c>
    </row>
    <row r="22" customHeight="1" spans="1:16">
      <c r="A22" s="1" t="s">
        <v>26</v>
      </c>
      <c r="B22" s="1" t="s">
        <v>31</v>
      </c>
      <c r="C22" s="9" t="s">
        <v>1951</v>
      </c>
      <c r="D22" s="1" t="s">
        <v>871</v>
      </c>
      <c r="K22" t="s">
        <v>19</v>
      </c>
      <c r="M22" t="s">
        <v>872</v>
      </c>
      <c r="P22" t="s">
        <v>43</v>
      </c>
    </row>
    <row r="23" customHeight="1" spans="1:16">
      <c r="A23" s="1" t="s">
        <v>26</v>
      </c>
      <c r="B23" s="1" t="s">
        <v>31</v>
      </c>
      <c r="C23" s="9" t="s">
        <v>1952</v>
      </c>
      <c r="D23" s="1" t="s">
        <v>874</v>
      </c>
      <c r="K23" t="s">
        <v>19</v>
      </c>
      <c r="M23" t="s">
        <v>875</v>
      </c>
      <c r="P23" t="s">
        <v>43</v>
      </c>
    </row>
    <row r="24" customHeight="1" spans="1:16">
      <c r="A24" s="1" t="s">
        <v>26</v>
      </c>
      <c r="B24" s="1" t="s">
        <v>31</v>
      </c>
      <c r="C24" s="9" t="s">
        <v>1953</v>
      </c>
      <c r="D24" s="1" t="s">
        <v>877</v>
      </c>
      <c r="K24" t="s">
        <v>19</v>
      </c>
      <c r="M24" t="s">
        <v>878</v>
      </c>
      <c r="P24" t="s">
        <v>43</v>
      </c>
    </row>
    <row r="25" customHeight="1" spans="1:16">
      <c r="A25" s="1" t="s">
        <v>21</v>
      </c>
      <c r="B25" s="1" t="s">
        <v>31</v>
      </c>
      <c r="C25" s="8" t="s">
        <v>1954</v>
      </c>
      <c r="D25" s="7" t="s">
        <v>880</v>
      </c>
      <c r="K25" t="s">
        <v>19</v>
      </c>
      <c r="M25" t="s">
        <v>881</v>
      </c>
      <c r="P25" t="s">
        <v>43</v>
      </c>
    </row>
    <row r="26" customHeight="1" spans="1:16">
      <c r="A26" s="1" t="s">
        <v>21</v>
      </c>
      <c r="B26" s="1" t="s">
        <v>31</v>
      </c>
      <c r="C26" s="8" t="s">
        <v>1955</v>
      </c>
      <c r="D26" s="7" t="s">
        <v>101</v>
      </c>
      <c r="K26" t="s">
        <v>19</v>
      </c>
      <c r="M26" t="s">
        <v>883</v>
      </c>
      <c r="P26" t="s">
        <v>43</v>
      </c>
    </row>
    <row r="27" customHeight="1" spans="1:16">
      <c r="A27" s="7" t="s">
        <v>14</v>
      </c>
      <c r="B27" s="1" t="s">
        <v>15</v>
      </c>
      <c r="C27" s="8" t="s">
        <v>1956</v>
      </c>
      <c r="D27" s="7" t="s">
        <v>104</v>
      </c>
      <c r="M27" t="s">
        <v>105</v>
      </c>
      <c r="P27" t="s">
        <v>43</v>
      </c>
    </row>
    <row r="28" customHeight="1" spans="1:16">
      <c r="A28" s="7" t="s">
        <v>14</v>
      </c>
      <c r="B28" s="1" t="s">
        <v>106</v>
      </c>
      <c r="C28" s="8" t="s">
        <v>1957</v>
      </c>
      <c r="D28" s="7" t="s">
        <v>886</v>
      </c>
      <c r="F28" t="s">
        <v>1958</v>
      </c>
      <c r="H28" s="5">
        <f>H9-H10-H11+H27</f>
        <v>0</v>
      </c>
      <c r="I28" s="5">
        <f>I9-I10-I11+I27</f>
        <v>0</v>
      </c>
      <c r="M28" t="s">
        <v>887</v>
      </c>
    </row>
    <row r="29" customHeight="1" spans="1:16">
      <c r="A29" s="7" t="s">
        <v>14</v>
      </c>
      <c r="B29" s="1" t="s">
        <v>31</v>
      </c>
      <c r="C29" s="8" t="s">
        <v>1959</v>
      </c>
      <c r="D29" s="7" t="s">
        <v>889</v>
      </c>
      <c r="M29" t="s">
        <v>890</v>
      </c>
      <c r="P29" t="s">
        <v>43</v>
      </c>
    </row>
    <row r="30" customHeight="1" spans="1:16">
      <c r="A30" s="7" t="s">
        <v>14</v>
      </c>
      <c r="B30" s="1" t="s">
        <v>106</v>
      </c>
      <c r="C30" s="8" t="s">
        <v>1960</v>
      </c>
      <c r="D30" s="7" t="s">
        <v>108</v>
      </c>
      <c r="F30" t="s">
        <v>1961</v>
      </c>
      <c r="H30" s="5">
        <f>H28-H29</f>
        <v>0</v>
      </c>
      <c r="I30" s="5">
        <f>I28-I29</f>
        <v>0</v>
      </c>
      <c r="M30" t="s">
        <v>110</v>
      </c>
    </row>
    <row r="31" customHeight="1" spans="1:16">
      <c r="A31" s="10"/>
      <c r="B31" s="10"/>
      <c r="C31" s="10"/>
      <c r="D31" s="10"/>
    </row>
    <row r="32" customHeight="1" spans="1:16">
      <c r="A32" s="7" t="s">
        <v>14</v>
      </c>
      <c r="B32" s="7" t="s">
        <v>118</v>
      </c>
      <c r="C32" s="11" t="s">
        <v>1962</v>
      </c>
      <c r="D32" s="11" t="s">
        <v>1963</v>
      </c>
      <c r="F32" t="s">
        <v>1964</v>
      </c>
      <c r="H32" s="5">
        <f>H33+H35+H36</f>
        <v>0</v>
      </c>
      <c r="I32" s="5">
        <f>I33+I35+I36</f>
        <v>0</v>
      </c>
      <c r="M32" t="s">
        <v>122</v>
      </c>
    </row>
    <row r="33" customHeight="1" spans="1:16">
      <c r="A33" s="1" t="s">
        <v>21</v>
      </c>
      <c r="B33" s="7" t="s">
        <v>118</v>
      </c>
      <c r="C33" s="10" t="s">
        <v>1965</v>
      </c>
      <c r="D33" s="10" t="s">
        <v>903</v>
      </c>
      <c r="F33" t="s">
        <v>1966</v>
      </c>
      <c r="H33" s="5">
        <f>H34</f>
        <v>0</v>
      </c>
      <c r="I33" s="5">
        <f>I34</f>
        <v>0</v>
      </c>
      <c r="M33" t="s">
        <v>126</v>
      </c>
    </row>
    <row r="34" customHeight="1" spans="1:16">
      <c r="A34" s="1" t="s">
        <v>26</v>
      </c>
      <c r="B34" s="7" t="s">
        <v>118</v>
      </c>
      <c r="C34" s="10" t="s">
        <v>1966</v>
      </c>
      <c r="D34" s="10" t="s">
        <v>128</v>
      </c>
      <c r="M34" t="s">
        <v>129</v>
      </c>
      <c r="P34" t="s">
        <v>130</v>
      </c>
    </row>
    <row r="35" customHeight="1" spans="1:16">
      <c r="A35" s="1" t="s">
        <v>21</v>
      </c>
      <c r="B35" s="7" t="s">
        <v>118</v>
      </c>
      <c r="C35" s="10" t="s">
        <v>1967</v>
      </c>
      <c r="D35" s="10" t="s">
        <v>135</v>
      </c>
      <c r="M35" t="s">
        <v>136</v>
      </c>
      <c r="P35" t="s">
        <v>130</v>
      </c>
    </row>
    <row r="36" customHeight="1" spans="1:16">
      <c r="A36" s="1" t="s">
        <v>21</v>
      </c>
      <c r="B36" s="7" t="s">
        <v>118</v>
      </c>
      <c r="C36" s="10" t="s">
        <v>1968</v>
      </c>
      <c r="D36" s="10" t="s">
        <v>138</v>
      </c>
      <c r="M36" t="s">
        <v>139</v>
      </c>
      <c r="P36" t="s">
        <v>130</v>
      </c>
    </row>
    <row r="37" customHeight="1" spans="1:16">
      <c r="A37" s="7" t="s">
        <v>14</v>
      </c>
      <c r="B37" s="7" t="s">
        <v>515</v>
      </c>
      <c r="C37" s="11" t="s">
        <v>1969</v>
      </c>
      <c r="D37" s="11" t="s">
        <v>899</v>
      </c>
      <c r="F37" t="s">
        <v>1970</v>
      </c>
      <c r="H37" s="5">
        <f>H38+H40+H41</f>
        <v>0</v>
      </c>
      <c r="I37" s="5">
        <f>I38+I40+I41</f>
        <v>0</v>
      </c>
      <c r="M37" t="s">
        <v>901</v>
      </c>
    </row>
    <row r="38" customHeight="1" spans="1:16">
      <c r="A38" s="1" t="s">
        <v>21</v>
      </c>
      <c r="B38" s="7" t="s">
        <v>515</v>
      </c>
      <c r="C38" s="10" t="s">
        <v>1971</v>
      </c>
      <c r="D38" s="10" t="s">
        <v>903</v>
      </c>
      <c r="F38" t="s">
        <v>1972</v>
      </c>
      <c r="H38" s="5">
        <f>H39</f>
        <v>0</v>
      </c>
      <c r="I38" s="5">
        <f>I39</f>
        <v>0</v>
      </c>
      <c r="M38" t="s">
        <v>521</v>
      </c>
    </row>
    <row r="39" customHeight="1" spans="1:16">
      <c r="A39" s="1" t="s">
        <v>26</v>
      </c>
      <c r="B39" s="7" t="s">
        <v>515</v>
      </c>
      <c r="C39" s="10" t="s">
        <v>1972</v>
      </c>
      <c r="D39" s="10" t="s">
        <v>128</v>
      </c>
      <c r="M39" t="s">
        <v>523</v>
      </c>
      <c r="P39" t="s">
        <v>524</v>
      </c>
    </row>
    <row r="40" customHeight="1" spans="1:16">
      <c r="A40" s="1" t="s">
        <v>21</v>
      </c>
      <c r="B40" s="7" t="s">
        <v>515</v>
      </c>
      <c r="C40" s="10" t="s">
        <v>1973</v>
      </c>
      <c r="D40" s="10" t="s">
        <v>135</v>
      </c>
      <c r="M40" t="s">
        <v>906</v>
      </c>
      <c r="P40" t="s">
        <v>524</v>
      </c>
    </row>
    <row r="41" customHeight="1" spans="1:16">
      <c r="A41" s="1" t="s">
        <v>21</v>
      </c>
      <c r="B41" s="7" t="s">
        <v>515</v>
      </c>
      <c r="C41" s="10" t="s">
        <v>1974</v>
      </c>
      <c r="D41" s="10" t="s">
        <v>138</v>
      </c>
      <c r="M41" t="s">
        <v>908</v>
      </c>
      <c r="P41" t="s">
        <v>524</v>
      </c>
    </row>
    <row r="42" customHeight="1" spans="1:16">
      <c r="A42" s="1"/>
      <c r="B42" s="7"/>
      <c r="C42" s="10"/>
      <c r="D42" s="10"/>
    </row>
    <row r="43" customHeight="1" spans="1:16">
      <c r="A43" s="7" t="s">
        <v>14</v>
      </c>
      <c r="B43" s="1" t="s">
        <v>143</v>
      </c>
      <c r="C43" s="11" t="s">
        <v>1975</v>
      </c>
      <c r="D43" s="11" t="s">
        <v>145</v>
      </c>
      <c r="F43" t="s">
        <v>1976</v>
      </c>
      <c r="H43" s="5">
        <f>H44</f>
        <v>0</v>
      </c>
      <c r="I43" s="5">
        <f>I44</f>
        <v>0</v>
      </c>
      <c r="M43" t="s">
        <v>147</v>
      </c>
    </row>
    <row r="44" customHeight="1" spans="1:16">
      <c r="A44" s="7" t="s">
        <v>21</v>
      </c>
      <c r="B44" s="1" t="s">
        <v>143</v>
      </c>
      <c r="C44" s="11" t="s">
        <v>1976</v>
      </c>
      <c r="D44" s="11" t="s">
        <v>1114</v>
      </c>
      <c r="M44" t="s">
        <v>150</v>
      </c>
      <c r="P44" t="s">
        <v>130</v>
      </c>
    </row>
    <row r="45" customHeight="1" spans="1:16">
      <c r="A45" s="7" t="s">
        <v>14</v>
      </c>
      <c r="B45" s="1" t="s">
        <v>552</v>
      </c>
      <c r="C45" s="11" t="s">
        <v>1977</v>
      </c>
      <c r="D45" s="11" t="s">
        <v>916</v>
      </c>
      <c r="F45" t="s">
        <v>1978</v>
      </c>
      <c r="H45" s="5">
        <f>H46</f>
        <v>0</v>
      </c>
      <c r="I45" s="5">
        <f>I46</f>
        <v>0</v>
      </c>
      <c r="M45" t="s">
        <v>918</v>
      </c>
    </row>
    <row r="46" customHeight="1" spans="1:16">
      <c r="A46" s="7" t="s">
        <v>21</v>
      </c>
      <c r="B46" s="1" t="s">
        <v>552</v>
      </c>
      <c r="C46" s="11" t="s">
        <v>1978</v>
      </c>
      <c r="D46" s="11" t="s">
        <v>1114</v>
      </c>
      <c r="M46" t="s">
        <v>557</v>
      </c>
      <c r="P46" t="s">
        <v>524</v>
      </c>
    </row>
    <row r="47" customHeight="1" spans="1:16">
      <c r="A47" s="7"/>
      <c r="B47" s="1"/>
      <c r="C47" s="11"/>
      <c r="D47" s="11"/>
    </row>
    <row r="48" customHeight="1" spans="1:16">
      <c r="A48" s="7" t="s">
        <v>14</v>
      </c>
      <c r="B48" s="1" t="s">
        <v>143</v>
      </c>
      <c r="C48" s="11" t="s">
        <v>1979</v>
      </c>
      <c r="D48" s="11" t="s">
        <v>1128</v>
      </c>
      <c r="F48" t="s">
        <v>1980</v>
      </c>
      <c r="H48" s="5">
        <f>H49</f>
        <v>0</v>
      </c>
      <c r="I48" s="5">
        <f>I49</f>
        <v>0</v>
      </c>
      <c r="M48" t="s">
        <v>1130</v>
      </c>
    </row>
    <row r="49" customHeight="1" spans="1:16">
      <c r="A49" s="1" t="s">
        <v>21</v>
      </c>
      <c r="B49" s="1" t="s">
        <v>143</v>
      </c>
      <c r="C49" s="10" t="s">
        <v>1980</v>
      </c>
      <c r="D49" s="10" t="s">
        <v>1981</v>
      </c>
      <c r="M49" t="s">
        <v>495</v>
      </c>
      <c r="P49" t="s">
        <v>130</v>
      </c>
    </row>
    <row r="50" customHeight="1" spans="1:16">
      <c r="A50" s="7" t="s">
        <v>14</v>
      </c>
      <c r="B50" s="1" t="s">
        <v>552</v>
      </c>
      <c r="C50" s="11" t="s">
        <v>1982</v>
      </c>
      <c r="D50" s="11" t="s">
        <v>1133</v>
      </c>
      <c r="F50" t="s">
        <v>1983</v>
      </c>
      <c r="H50" s="5">
        <f>H51</f>
        <v>0</v>
      </c>
      <c r="I50" s="5">
        <f>I51</f>
        <v>0</v>
      </c>
      <c r="M50" t="s">
        <v>1135</v>
      </c>
    </row>
    <row r="51" customHeight="1" spans="1:16">
      <c r="A51" s="1" t="s">
        <v>21</v>
      </c>
      <c r="B51" s="1" t="s">
        <v>552</v>
      </c>
      <c r="C51" s="10" t="s">
        <v>1983</v>
      </c>
      <c r="D51" s="10" t="s">
        <v>1984</v>
      </c>
      <c r="M51" t="s">
        <v>563</v>
      </c>
      <c r="P51" t="s">
        <v>524</v>
      </c>
    </row>
    <row r="52" customHeight="1" spans="1:16">
      <c r="A52" s="7"/>
      <c r="B52" s="1"/>
      <c r="C52" s="11"/>
      <c r="D52" s="11"/>
    </row>
    <row r="53" customHeight="1" spans="1:16">
      <c r="A53" s="11" t="s">
        <v>14</v>
      </c>
      <c r="B53" s="11" t="s">
        <v>15</v>
      </c>
      <c r="C53" s="11" t="s">
        <v>1985</v>
      </c>
      <c r="D53" s="11" t="s">
        <v>1138</v>
      </c>
      <c r="F53" t="s">
        <v>1986</v>
      </c>
      <c r="H53" s="5">
        <f>H54</f>
        <v>0</v>
      </c>
      <c r="I53" s="5">
        <f>I54</f>
        <v>0</v>
      </c>
      <c r="M53" t="s">
        <v>30</v>
      </c>
    </row>
    <row r="54" customHeight="1" spans="1:16">
      <c r="A54" s="11" t="s">
        <v>21</v>
      </c>
      <c r="B54" s="11" t="s">
        <v>15</v>
      </c>
      <c r="C54" s="11" t="s">
        <v>1986</v>
      </c>
      <c r="D54" s="11" t="s">
        <v>1141</v>
      </c>
      <c r="F54" t="s">
        <v>1987</v>
      </c>
      <c r="I54" s="5">
        <f>I38*I55</f>
        <v>0</v>
      </c>
      <c r="J54" s="5" t="s">
        <v>1173</v>
      </c>
      <c r="M54" t="s">
        <v>752</v>
      </c>
    </row>
    <row r="55" customHeight="1" spans="1:16">
      <c r="A55" s="1" t="s">
        <v>26</v>
      </c>
      <c r="B55" s="1" t="s">
        <v>160</v>
      </c>
      <c r="C55" s="10" t="s">
        <v>1987</v>
      </c>
      <c r="D55" s="10" t="s">
        <v>1988</v>
      </c>
      <c r="H55" s="5" t="e">
        <f>H54/H38</f>
        <v>#DIV/0!</v>
      </c>
      <c r="J55" s="5" t="s">
        <v>783</v>
      </c>
      <c r="M55" t="s">
        <v>1146</v>
      </c>
      <c r="P55" t="s">
        <v>164</v>
      </c>
    </row>
    <row r="56" customHeight="1" spans="1:16">
      <c r="A56" s="1"/>
      <c r="B56" s="1"/>
      <c r="C56" s="10"/>
      <c r="D56" s="10"/>
    </row>
    <row r="57" customHeight="1" spans="1:16">
      <c r="A57" s="7" t="s">
        <v>14</v>
      </c>
      <c r="B57" s="7" t="s">
        <v>31</v>
      </c>
      <c r="C57" s="11" t="s">
        <v>1989</v>
      </c>
      <c r="D57" s="11" t="s">
        <v>1239</v>
      </c>
      <c r="E57" s="12"/>
      <c r="F57" s="12" t="s">
        <v>1990</v>
      </c>
      <c r="G57" s="12"/>
      <c r="H57" s="12">
        <f>H58+H60</f>
        <v>0</v>
      </c>
      <c r="I57" s="12">
        <f>I58+I60</f>
        <v>0</v>
      </c>
      <c r="J57" s="12"/>
      <c r="M57" t="s">
        <v>827</v>
      </c>
    </row>
    <row r="58" customHeight="1" spans="1:16">
      <c r="A58" s="7" t="s">
        <v>21</v>
      </c>
      <c r="B58" s="7" t="s">
        <v>31</v>
      </c>
      <c r="C58" s="11" t="s">
        <v>1991</v>
      </c>
      <c r="D58" s="11" t="s">
        <v>1242</v>
      </c>
      <c r="E58" s="12"/>
      <c r="F58" s="12" t="s">
        <v>1992</v>
      </c>
      <c r="G58" s="12"/>
      <c r="H58" s="12"/>
      <c r="I58" s="12">
        <f>I38*I59</f>
        <v>0</v>
      </c>
      <c r="J58" s="12" t="s">
        <v>1173</v>
      </c>
      <c r="M58" t="s">
        <v>1244</v>
      </c>
    </row>
    <row r="59" customHeight="1" spans="1:16">
      <c r="A59" s="1" t="s">
        <v>26</v>
      </c>
      <c r="B59" s="1" t="s">
        <v>160</v>
      </c>
      <c r="C59" s="10" t="s">
        <v>1992</v>
      </c>
      <c r="D59" s="10" t="s">
        <v>1993</v>
      </c>
      <c r="H59" s="5" t="e">
        <f>H58/H38</f>
        <v>#DIV/0!</v>
      </c>
      <c r="J59" s="5" t="s">
        <v>783</v>
      </c>
      <c r="M59" t="s">
        <v>1248</v>
      </c>
      <c r="P59" t="s">
        <v>164</v>
      </c>
    </row>
    <row r="60" customHeight="1" spans="1:16">
      <c r="A60" s="7" t="s">
        <v>21</v>
      </c>
      <c r="B60" s="7" t="s">
        <v>31</v>
      </c>
      <c r="C60" s="11" t="s">
        <v>1994</v>
      </c>
      <c r="D60" s="11" t="s">
        <v>1267</v>
      </c>
      <c r="F60" t="s">
        <v>1995</v>
      </c>
      <c r="H60" s="5">
        <f>H61</f>
        <v>0</v>
      </c>
      <c r="I60" s="5">
        <f>I61</f>
        <v>0</v>
      </c>
      <c r="M60" t="s">
        <v>1269</v>
      </c>
    </row>
    <row r="61" customHeight="1" spans="1:16">
      <c r="A61" s="10" t="s">
        <v>26</v>
      </c>
      <c r="B61" s="10" t="s">
        <v>31</v>
      </c>
      <c r="C61" s="10" t="s">
        <v>1995</v>
      </c>
      <c r="D61" s="10" t="s">
        <v>1996</v>
      </c>
      <c r="M61" t="s">
        <v>1271</v>
      </c>
      <c r="P61" t="s">
        <v>43</v>
      </c>
    </row>
    <row r="62" customHeight="1" spans="1:16">
      <c r="A62" s="1"/>
      <c r="B62" s="1"/>
      <c r="C62" s="10"/>
      <c r="D62" s="10"/>
    </row>
    <row r="63" customHeight="1" spans="1:16">
      <c r="A63" s="7" t="s">
        <v>14</v>
      </c>
      <c r="B63" s="7" t="s">
        <v>31</v>
      </c>
      <c r="C63" s="11" t="s">
        <v>1997</v>
      </c>
      <c r="D63" s="11" t="s">
        <v>1273</v>
      </c>
      <c r="F63" t="s">
        <v>1998</v>
      </c>
      <c r="H63" s="5">
        <f>H64+H66</f>
        <v>0</v>
      </c>
      <c r="I63" s="5">
        <f>I64+I66</f>
        <v>0</v>
      </c>
      <c r="M63" t="s">
        <v>35</v>
      </c>
    </row>
    <row r="64" customHeight="1" spans="1:16">
      <c r="A64" s="11" t="s">
        <v>21</v>
      </c>
      <c r="B64" s="11" t="s">
        <v>31</v>
      </c>
      <c r="C64" s="11" t="s">
        <v>1999</v>
      </c>
      <c r="D64" s="11" t="s">
        <v>1276</v>
      </c>
      <c r="F64" t="s">
        <v>2000</v>
      </c>
      <c r="I64" s="5">
        <f>I46*I65</f>
        <v>0</v>
      </c>
      <c r="J64" s="5" t="s">
        <v>1173</v>
      </c>
      <c r="M64" t="s">
        <v>767</v>
      </c>
    </row>
    <row r="65" customHeight="1" spans="1:16">
      <c r="A65" s="10" t="s">
        <v>26</v>
      </c>
      <c r="B65" s="10" t="s">
        <v>160</v>
      </c>
      <c r="C65" s="10" t="s">
        <v>2000</v>
      </c>
      <c r="D65" s="10" t="s">
        <v>1278</v>
      </c>
      <c r="H65" s="5" t="e">
        <f>H64/H46</f>
        <v>#DIV/0!</v>
      </c>
      <c r="J65" s="5" t="s">
        <v>783</v>
      </c>
      <c r="M65" t="s">
        <v>1279</v>
      </c>
      <c r="P65" t="s">
        <v>164</v>
      </c>
    </row>
    <row r="66" customHeight="1" spans="1:16">
      <c r="A66" s="7" t="s">
        <v>21</v>
      </c>
      <c r="B66" s="7" t="s">
        <v>31</v>
      </c>
      <c r="C66" s="11" t="s">
        <v>2001</v>
      </c>
      <c r="D66" s="11" t="s">
        <v>2002</v>
      </c>
      <c r="F66" t="s">
        <v>2003</v>
      </c>
      <c r="H66" s="5">
        <f>H67</f>
        <v>0</v>
      </c>
      <c r="I66" s="5">
        <f>I67</f>
        <v>0</v>
      </c>
      <c r="M66" t="s">
        <v>1283</v>
      </c>
    </row>
    <row r="67" customHeight="1" spans="1:16">
      <c r="A67" s="1" t="s">
        <v>26</v>
      </c>
      <c r="B67" s="1" t="s">
        <v>31</v>
      </c>
      <c r="C67" s="10" t="s">
        <v>2003</v>
      </c>
      <c r="D67" s="10" t="s">
        <v>2004</v>
      </c>
      <c r="F67" t="s">
        <v>2005</v>
      </c>
      <c r="I67" s="5">
        <f>I51*I68</f>
        <v>0</v>
      </c>
      <c r="J67" s="5" t="s">
        <v>1173</v>
      </c>
      <c r="M67" t="s">
        <v>771</v>
      </c>
    </row>
    <row r="68" customHeight="1" spans="1:16">
      <c r="A68" s="1" t="s">
        <v>236</v>
      </c>
      <c r="B68" s="1" t="s">
        <v>160</v>
      </c>
      <c r="C68" s="10" t="s">
        <v>2005</v>
      </c>
      <c r="D68" s="10" t="s">
        <v>2006</v>
      </c>
      <c r="H68" s="5" t="e">
        <f>H67/H51</f>
        <v>#DIV/0!</v>
      </c>
      <c r="J68" s="5" t="s">
        <v>783</v>
      </c>
      <c r="M68" t="s">
        <v>1287</v>
      </c>
      <c r="P68" t="s">
        <v>164</v>
      </c>
    </row>
    <row r="69" customHeight="1" spans="1:16">
      <c r="A69" s="1"/>
      <c r="B69" s="1"/>
      <c r="C69" s="10"/>
      <c r="D69" s="10"/>
    </row>
    <row r="70" customHeight="1" spans="1:16">
      <c r="A70" s="7" t="s">
        <v>14</v>
      </c>
      <c r="B70" s="7" t="s">
        <v>15</v>
      </c>
      <c r="C70" s="11" t="s">
        <v>2007</v>
      </c>
      <c r="D70" s="11" t="s">
        <v>1289</v>
      </c>
      <c r="F70" t="s">
        <v>2008</v>
      </c>
      <c r="H70" s="5">
        <f>H71+H73</f>
        <v>0</v>
      </c>
      <c r="I70" s="5">
        <f>I71+I73</f>
        <v>0</v>
      </c>
      <c r="M70" t="s">
        <v>834</v>
      </c>
    </row>
    <row r="71" customHeight="1" spans="1:16">
      <c r="A71" s="7" t="s">
        <v>21</v>
      </c>
      <c r="B71" s="7" t="s">
        <v>15</v>
      </c>
      <c r="C71" s="11" t="s">
        <v>2009</v>
      </c>
      <c r="D71" s="11" t="s">
        <v>1292</v>
      </c>
      <c r="F71" t="s">
        <v>2010</v>
      </c>
      <c r="I71" s="5">
        <f>I46*I72</f>
        <v>0</v>
      </c>
      <c r="J71" s="5" t="s">
        <v>1173</v>
      </c>
      <c r="M71" t="s">
        <v>1294</v>
      </c>
    </row>
    <row r="72" customHeight="1" spans="1:16">
      <c r="A72" s="1" t="s">
        <v>26</v>
      </c>
      <c r="B72" s="1" t="s">
        <v>160</v>
      </c>
      <c r="C72" s="10" t="s">
        <v>2010</v>
      </c>
      <c r="D72" s="10" t="s">
        <v>1295</v>
      </c>
      <c r="H72" s="5" t="e">
        <f>H71/H46</f>
        <v>#DIV/0!</v>
      </c>
      <c r="J72" s="5" t="s">
        <v>783</v>
      </c>
      <c r="M72" t="s">
        <v>1296</v>
      </c>
      <c r="P72" t="s">
        <v>164</v>
      </c>
    </row>
    <row r="73" customHeight="1" spans="1:16">
      <c r="A73" s="12" t="s">
        <v>21</v>
      </c>
      <c r="B73" s="12" t="s">
        <v>15</v>
      </c>
      <c r="C73" s="11" t="s">
        <v>2011</v>
      </c>
      <c r="D73" s="12" t="s">
        <v>1298</v>
      </c>
      <c r="F73" t="s">
        <v>2012</v>
      </c>
      <c r="H73" s="5">
        <f>H74</f>
        <v>0</v>
      </c>
      <c r="I73" s="5">
        <f>I74</f>
        <v>0</v>
      </c>
      <c r="M73" t="s">
        <v>1300</v>
      </c>
    </row>
    <row r="74" customHeight="1" spans="1:16">
      <c r="A74" s="5" t="s">
        <v>26</v>
      </c>
      <c r="B74" s="5" t="s">
        <v>15</v>
      </c>
      <c r="C74" s="10" t="s">
        <v>2012</v>
      </c>
      <c r="D74" s="5" t="s">
        <v>1301</v>
      </c>
      <c r="F74" t="s">
        <v>2013</v>
      </c>
      <c r="I74" s="5">
        <f>I51*I75</f>
        <v>0</v>
      </c>
      <c r="J74" s="5" t="s">
        <v>1173</v>
      </c>
      <c r="M74" t="s">
        <v>1303</v>
      </c>
    </row>
    <row r="75" customHeight="1" spans="1:16">
      <c r="A75" s="5" t="s">
        <v>236</v>
      </c>
      <c r="B75" s="5" t="s">
        <v>160</v>
      </c>
      <c r="C75" s="10" t="s">
        <v>2013</v>
      </c>
      <c r="D75" s="5" t="s">
        <v>1304</v>
      </c>
      <c r="H75" s="5" t="e">
        <f>H74/H51</f>
        <v>#DIV/0!</v>
      </c>
      <c r="J75" s="5" t="s">
        <v>783</v>
      </c>
      <c r="M75" t="s">
        <v>1305</v>
      </c>
      <c r="P75" t="s">
        <v>164</v>
      </c>
    </row>
    <row r="76" customHeight="1" spans="1:16">
      <c r="A76" s="7" t="s">
        <v>21</v>
      </c>
      <c r="B76" s="7" t="s">
        <v>15</v>
      </c>
      <c r="C76" s="11" t="s">
        <v>2014</v>
      </c>
      <c r="D76" s="11" t="s">
        <v>1746</v>
      </c>
      <c r="E76" s="12"/>
      <c r="F76" s="12" t="s">
        <v>2015</v>
      </c>
      <c r="G76" s="12"/>
      <c r="H76" s="12">
        <f>H77</f>
        <v>0</v>
      </c>
      <c r="I76" s="12">
        <f>I77</f>
        <v>0</v>
      </c>
      <c r="J76" s="12"/>
      <c r="M76" t="s">
        <v>2016</v>
      </c>
    </row>
    <row r="77" customHeight="1" spans="1:16">
      <c r="A77" s="1" t="s">
        <v>26</v>
      </c>
      <c r="B77" s="1" t="s">
        <v>15</v>
      </c>
      <c r="C77" s="10" t="s">
        <v>2015</v>
      </c>
      <c r="D77" s="10" t="s">
        <v>2017</v>
      </c>
      <c r="F77" t="s">
        <v>2018</v>
      </c>
      <c r="I77" s="5">
        <f>I79*I80</f>
        <v>0</v>
      </c>
      <c r="J77" s="5" t="s">
        <v>1173</v>
      </c>
      <c r="M77" t="s">
        <v>2019</v>
      </c>
    </row>
    <row r="78" customHeight="1" spans="1:16">
      <c r="A78" s="10" t="s">
        <v>236</v>
      </c>
      <c r="B78" s="10" t="s">
        <v>143</v>
      </c>
      <c r="C78" s="10" t="s">
        <v>2020</v>
      </c>
      <c r="D78" s="10" t="s">
        <v>2021</v>
      </c>
      <c r="M78" t="s">
        <v>2022</v>
      </c>
      <c r="P78" t="s">
        <v>130</v>
      </c>
    </row>
    <row r="79" customHeight="1" spans="1:16">
      <c r="A79" s="10" t="s">
        <v>236</v>
      </c>
      <c r="B79" s="10" t="s">
        <v>552</v>
      </c>
      <c r="C79" s="10" t="s">
        <v>2023</v>
      </c>
      <c r="D79" s="10" t="s">
        <v>2024</v>
      </c>
      <c r="M79" t="s">
        <v>2025</v>
      </c>
      <c r="P79" t="s">
        <v>524</v>
      </c>
    </row>
    <row r="80" customHeight="1" spans="1:16">
      <c r="A80" s="10" t="s">
        <v>236</v>
      </c>
      <c r="B80" s="1" t="s">
        <v>160</v>
      </c>
      <c r="C80" s="10" t="s">
        <v>2026</v>
      </c>
      <c r="D80" s="10" t="s">
        <v>2027</v>
      </c>
      <c r="H80" s="5" t="e">
        <f>H77/H79</f>
        <v>#DIV/0!</v>
      </c>
      <c r="J80" s="5" t="s">
        <v>783</v>
      </c>
      <c r="M80" t="s">
        <v>2028</v>
      </c>
      <c r="P80" t="s">
        <v>164</v>
      </c>
    </row>
    <row r="81" customHeight="1" spans="1:16">
      <c r="A81" s="10"/>
      <c r="B81" s="10"/>
      <c r="C81" s="10"/>
      <c r="D81" s="10"/>
    </row>
    <row r="82" customHeight="1" spans="1:16">
      <c r="A82" s="11" t="s">
        <v>14</v>
      </c>
      <c r="B82" s="11" t="s">
        <v>15</v>
      </c>
      <c r="C82" s="11" t="s">
        <v>2029</v>
      </c>
      <c r="D82" s="11" t="s">
        <v>1307</v>
      </c>
      <c r="F82" t="s">
        <v>2030</v>
      </c>
      <c r="I82" s="5">
        <f>I83+I85+I86</f>
        <v>0</v>
      </c>
      <c r="M82" t="s">
        <v>42</v>
      </c>
    </row>
    <row r="83" customHeight="1" spans="1:16">
      <c r="A83" s="11" t="s">
        <v>21</v>
      </c>
      <c r="B83" s="11" t="s">
        <v>15</v>
      </c>
      <c r="C83" s="11" t="s">
        <v>2031</v>
      </c>
      <c r="D83" s="11" t="s">
        <v>2032</v>
      </c>
      <c r="F83" t="s">
        <v>2033</v>
      </c>
      <c r="I83" s="5">
        <f>I40*I84</f>
        <v>0</v>
      </c>
      <c r="J83" s="5" t="s">
        <v>1173</v>
      </c>
      <c r="M83" t="s">
        <v>1312</v>
      </c>
    </row>
    <row r="84" customHeight="1" spans="1:16">
      <c r="A84" s="10" t="s">
        <v>26</v>
      </c>
      <c r="B84" s="1" t="s">
        <v>160</v>
      </c>
      <c r="C84" s="10" t="s">
        <v>2033</v>
      </c>
      <c r="D84" s="10" t="s">
        <v>2034</v>
      </c>
      <c r="H84" s="5" t="e">
        <f>H83/H40</f>
        <v>#DIV/0!</v>
      </c>
      <c r="J84" s="5" t="s">
        <v>783</v>
      </c>
      <c r="M84" t="s">
        <v>1315</v>
      </c>
      <c r="P84" t="s">
        <v>164</v>
      </c>
    </row>
    <row r="85" customHeight="1" spans="1:16">
      <c r="A85" s="11" t="s">
        <v>21</v>
      </c>
      <c r="B85" s="11" t="s">
        <v>15</v>
      </c>
      <c r="C85" s="11" t="s">
        <v>2035</v>
      </c>
      <c r="D85" s="11" t="s">
        <v>2036</v>
      </c>
      <c r="M85" t="s">
        <v>2037</v>
      </c>
      <c r="P85" t="s">
        <v>43</v>
      </c>
    </row>
    <row r="86" customHeight="1" spans="1:16">
      <c r="A86" s="11" t="s">
        <v>21</v>
      </c>
      <c r="B86" s="11" t="s">
        <v>15</v>
      </c>
      <c r="C86" s="11" t="s">
        <v>2038</v>
      </c>
      <c r="D86" s="11" t="s">
        <v>1419</v>
      </c>
      <c r="H86" s="5">
        <f>H82-H83-H85</f>
        <v>0</v>
      </c>
      <c r="M86" t="s">
        <v>1356</v>
      </c>
      <c r="P86" t="s">
        <v>43</v>
      </c>
    </row>
    <row r="87" customHeight="1" spans="1:16">
      <c r="A87" s="10"/>
      <c r="B87" s="10"/>
      <c r="C87" s="10"/>
      <c r="D87" s="10"/>
    </row>
    <row r="88" customHeight="1" spans="1:16">
      <c r="A88" s="11" t="s">
        <v>14</v>
      </c>
      <c r="B88" s="11" t="s">
        <v>31</v>
      </c>
      <c r="C88" s="11" t="s">
        <v>2039</v>
      </c>
      <c r="D88" s="11" t="s">
        <v>1358</v>
      </c>
      <c r="F88" t="s">
        <v>2040</v>
      </c>
      <c r="I88" s="5">
        <f>I89+I91+I93+I95+I100</f>
        <v>0</v>
      </c>
      <c r="M88" t="s">
        <v>46</v>
      </c>
    </row>
    <row r="89" customHeight="1" spans="1:16">
      <c r="A89" s="11" t="s">
        <v>21</v>
      </c>
      <c r="B89" s="11" t="s">
        <v>31</v>
      </c>
      <c r="C89" s="11" t="s">
        <v>2041</v>
      </c>
      <c r="D89" s="11" t="s">
        <v>1361</v>
      </c>
      <c r="F89" t="s">
        <v>2042</v>
      </c>
      <c r="I89" s="5">
        <f>I37*I90</f>
        <v>0</v>
      </c>
      <c r="J89" s="5" t="s">
        <v>1173</v>
      </c>
      <c r="M89" t="s">
        <v>1363</v>
      </c>
    </row>
    <row r="90" customHeight="1" spans="1:16">
      <c r="A90" s="10" t="s">
        <v>26</v>
      </c>
      <c r="B90" s="1" t="s">
        <v>160</v>
      </c>
      <c r="C90" s="10" t="s">
        <v>2042</v>
      </c>
      <c r="D90" s="10" t="s">
        <v>1364</v>
      </c>
      <c r="H90" s="5" t="e">
        <f>H89/H37</f>
        <v>#DIV/0!</v>
      </c>
      <c r="J90" s="5" t="s">
        <v>783</v>
      </c>
      <c r="M90" t="s">
        <v>1365</v>
      </c>
      <c r="P90" t="s">
        <v>164</v>
      </c>
    </row>
    <row r="91" customHeight="1" spans="1:16">
      <c r="A91" s="11" t="s">
        <v>21</v>
      </c>
      <c r="B91" s="11" t="s">
        <v>31</v>
      </c>
      <c r="C91" s="11" t="s">
        <v>2043</v>
      </c>
      <c r="D91" s="11" t="s">
        <v>1367</v>
      </c>
      <c r="F91" t="s">
        <v>2044</v>
      </c>
      <c r="I91" s="5">
        <f>I37*I92</f>
        <v>0</v>
      </c>
      <c r="J91" s="5" t="s">
        <v>1173</v>
      </c>
      <c r="M91" t="s">
        <v>1369</v>
      </c>
    </row>
    <row r="92" customHeight="1" spans="1:16">
      <c r="A92" s="10" t="s">
        <v>26</v>
      </c>
      <c r="B92" s="1" t="s">
        <v>160</v>
      </c>
      <c r="C92" s="10" t="s">
        <v>2044</v>
      </c>
      <c r="D92" s="10" t="s">
        <v>1364</v>
      </c>
      <c r="H92" s="5" t="e">
        <f>H91/H37</f>
        <v>#DIV/0!</v>
      </c>
      <c r="J92" s="5" t="s">
        <v>783</v>
      </c>
      <c r="M92" t="s">
        <v>1370</v>
      </c>
      <c r="P92" t="s">
        <v>164</v>
      </c>
    </row>
    <row r="93" customHeight="1" spans="1:16">
      <c r="A93" s="11" t="s">
        <v>21</v>
      </c>
      <c r="B93" s="11" t="s">
        <v>31</v>
      </c>
      <c r="C93" s="11" t="s">
        <v>2045</v>
      </c>
      <c r="D93" s="11" t="s">
        <v>1372</v>
      </c>
      <c r="F93" t="s">
        <v>2046</v>
      </c>
      <c r="I93" s="5">
        <f>I37*I94</f>
        <v>0</v>
      </c>
      <c r="J93" s="5" t="s">
        <v>1173</v>
      </c>
      <c r="M93" t="s">
        <v>1374</v>
      </c>
    </row>
    <row r="94" customHeight="1" spans="1:16">
      <c r="A94" s="10" t="s">
        <v>26</v>
      </c>
      <c r="B94" s="1" t="s">
        <v>160</v>
      </c>
      <c r="C94" s="10" t="s">
        <v>2046</v>
      </c>
      <c r="D94" s="10" t="s">
        <v>1364</v>
      </c>
      <c r="H94" s="5" t="e">
        <f>H93/H37</f>
        <v>#DIV/0!</v>
      </c>
      <c r="J94" s="5" t="s">
        <v>783</v>
      </c>
      <c r="M94" t="s">
        <v>1375</v>
      </c>
      <c r="P94" t="s">
        <v>164</v>
      </c>
    </row>
    <row r="95" customHeight="1" spans="1:16">
      <c r="A95" s="11" t="s">
        <v>21</v>
      </c>
      <c r="B95" s="11" t="s">
        <v>31</v>
      </c>
      <c r="C95" s="11" t="s">
        <v>2047</v>
      </c>
      <c r="D95" s="11" t="s">
        <v>2048</v>
      </c>
      <c r="F95" t="s">
        <v>2049</v>
      </c>
      <c r="H95" s="5">
        <f>H96+H98</f>
        <v>0</v>
      </c>
      <c r="I95" s="5">
        <f>I96+I98</f>
        <v>0</v>
      </c>
      <c r="M95" t="s">
        <v>2050</v>
      </c>
    </row>
    <row r="96" customHeight="1" spans="1:16">
      <c r="A96" s="10" t="s">
        <v>26</v>
      </c>
      <c r="B96" s="10" t="s">
        <v>31</v>
      </c>
      <c r="C96" s="10" t="s">
        <v>2049</v>
      </c>
      <c r="D96" s="10" t="s">
        <v>2051</v>
      </c>
      <c r="F96" t="s">
        <v>2052</v>
      </c>
      <c r="I96" s="5">
        <f>I38*I97</f>
        <v>0</v>
      </c>
      <c r="J96" s="5" t="s">
        <v>1173</v>
      </c>
      <c r="M96" t="s">
        <v>2053</v>
      </c>
    </row>
    <row r="97" customHeight="1" spans="1:16">
      <c r="A97" s="10" t="s">
        <v>236</v>
      </c>
      <c r="B97" s="10" t="s">
        <v>160</v>
      </c>
      <c r="C97" s="10" t="s">
        <v>2052</v>
      </c>
      <c r="D97" s="10" t="s">
        <v>2054</v>
      </c>
      <c r="H97" s="5" t="e">
        <f>H96/H38</f>
        <v>#DIV/0!</v>
      </c>
      <c r="J97" s="5" t="s">
        <v>783</v>
      </c>
      <c r="M97" t="s">
        <v>2055</v>
      </c>
      <c r="P97" t="s">
        <v>164</v>
      </c>
    </row>
    <row r="98" customHeight="1" spans="1:16">
      <c r="A98" s="10"/>
      <c r="B98" s="10"/>
      <c r="C98" s="10"/>
      <c r="D98" s="10"/>
    </row>
    <row r="99" customHeight="1" spans="1:16">
      <c r="A99" s="10"/>
      <c r="B99" s="10"/>
      <c r="C99" s="10"/>
      <c r="D99" s="10"/>
    </row>
    <row r="100" customHeight="1" spans="1:16">
      <c r="A100" s="11" t="s">
        <v>21</v>
      </c>
      <c r="B100" s="11" t="s">
        <v>31</v>
      </c>
      <c r="C100" s="11" t="s">
        <v>2056</v>
      </c>
      <c r="D100" s="11" t="s">
        <v>1419</v>
      </c>
      <c r="H100" s="5">
        <f>H88-H89-H91-H93-H95</f>
        <v>0</v>
      </c>
      <c r="M100" t="s">
        <v>1420</v>
      </c>
      <c r="P100" t="s">
        <v>43</v>
      </c>
    </row>
    <row r="101" customHeight="1" spans="1:16">
      <c r="A101" s="10"/>
      <c r="B101" s="10"/>
      <c r="C101" s="10"/>
      <c r="D101" s="10"/>
    </row>
    <row r="102" customHeight="1" spans="1:16">
      <c r="A102" s="11" t="s">
        <v>14</v>
      </c>
      <c r="B102" s="11" t="s">
        <v>15</v>
      </c>
      <c r="C102" s="11" t="s">
        <v>2057</v>
      </c>
      <c r="D102" s="11" t="s">
        <v>1422</v>
      </c>
      <c r="M102" t="s">
        <v>1423</v>
      </c>
      <c r="P102" t="s">
        <v>43</v>
      </c>
    </row>
    <row r="103" customHeight="1" spans="1:16">
      <c r="A103" s="10"/>
      <c r="B103" s="10"/>
      <c r="C103" s="10"/>
      <c r="D103" s="10"/>
    </row>
    <row r="104" customHeight="1" spans="1:16">
      <c r="A104" s="11" t="s">
        <v>14</v>
      </c>
      <c r="B104" s="11" t="s">
        <v>15</v>
      </c>
      <c r="C104" s="11" t="s">
        <v>2058</v>
      </c>
      <c r="D104" s="11" t="s">
        <v>1425</v>
      </c>
      <c r="M104" t="s">
        <v>1426</v>
      </c>
      <c r="P104" t="s">
        <v>43</v>
      </c>
    </row>
    <row r="105" customHeight="1" spans="1:16">
      <c r="A105" s="10"/>
      <c r="B105" s="10"/>
      <c r="C105" s="10"/>
      <c r="D105" s="10"/>
    </row>
    <row r="107" customHeight="1" spans="1:16">
      <c r="A107" t="s">
        <v>222</v>
      </c>
      <c r="B107" t="s">
        <v>223</v>
      </c>
      <c r="C107" t="s">
        <v>2</v>
      </c>
      <c r="D107" t="s">
        <v>3</v>
      </c>
      <c r="E107" t="s">
        <v>4</v>
      </c>
      <c r="F107" t="s">
        <v>5</v>
      </c>
      <c r="J107" t="s">
        <v>9</v>
      </c>
      <c r="K107" t="s">
        <v>10</v>
      </c>
    </row>
    <row r="108" customHeight="1" spans="1:16">
      <c r="A108" t="s">
        <v>14</v>
      </c>
      <c r="B108" t="s">
        <v>31</v>
      </c>
      <c r="C108" t="s">
        <v>2059</v>
      </c>
      <c r="D108" t="s">
        <v>927</v>
      </c>
      <c r="F108" t="s">
        <v>1934</v>
      </c>
      <c r="K108" t="s">
        <v>19</v>
      </c>
      <c r="M108" t="s">
        <v>227</v>
      </c>
    </row>
    <row r="109" customHeight="1" spans="1:16">
      <c r="A109" t="s">
        <v>21</v>
      </c>
      <c r="B109" t="s">
        <v>31</v>
      </c>
      <c r="C109" t="s">
        <v>2060</v>
      </c>
      <c r="D109" t="s">
        <v>929</v>
      </c>
      <c r="F109" t="s">
        <v>1936</v>
      </c>
      <c r="K109" t="s">
        <v>19</v>
      </c>
      <c r="M109" t="s">
        <v>231</v>
      </c>
    </row>
    <row r="110" customHeight="1" spans="1:16">
      <c r="A110" t="s">
        <v>26</v>
      </c>
      <c r="B110" t="s">
        <v>31</v>
      </c>
      <c r="C110" t="s">
        <v>2061</v>
      </c>
      <c r="D110" t="s">
        <v>233</v>
      </c>
      <c r="F110" t="s">
        <v>1938</v>
      </c>
      <c r="K110" t="s">
        <v>19</v>
      </c>
      <c r="M110" t="s">
        <v>235</v>
      </c>
    </row>
    <row r="111" customHeight="1" spans="1:16">
      <c r="A111" t="s">
        <v>236</v>
      </c>
      <c r="B111" t="s">
        <v>31</v>
      </c>
      <c r="C111" t="s">
        <v>2062</v>
      </c>
      <c r="D111" t="s">
        <v>238</v>
      </c>
      <c r="F111" t="s">
        <v>2063</v>
      </c>
      <c r="K111" t="s">
        <v>19</v>
      </c>
      <c r="M111" t="s">
        <v>240</v>
      </c>
    </row>
    <row r="112" customHeight="1" spans="1:16">
      <c r="A112" t="s">
        <v>241</v>
      </c>
      <c r="B112" t="s">
        <v>31</v>
      </c>
      <c r="C112" t="s">
        <v>2064</v>
      </c>
      <c r="D112" t="s">
        <v>243</v>
      </c>
      <c r="K112" t="s">
        <v>19</v>
      </c>
      <c r="M112" t="s">
        <v>244</v>
      </c>
      <c r="P112" t="s">
        <v>43</v>
      </c>
    </row>
    <row r="113" customHeight="1" spans="1:16">
      <c r="A113" t="s">
        <v>241</v>
      </c>
      <c r="B113" t="s">
        <v>31</v>
      </c>
      <c r="C113" t="s">
        <v>2065</v>
      </c>
      <c r="D113" t="s">
        <v>246</v>
      </c>
      <c r="K113" t="s">
        <v>19</v>
      </c>
      <c r="M113" t="s">
        <v>247</v>
      </c>
      <c r="P113" t="s">
        <v>43</v>
      </c>
    </row>
    <row r="114" customHeight="1" spans="1:16">
      <c r="A114" t="s">
        <v>236</v>
      </c>
      <c r="B114" t="s">
        <v>31</v>
      </c>
      <c r="C114" t="s">
        <v>2066</v>
      </c>
      <c r="D114" t="s">
        <v>249</v>
      </c>
      <c r="F114" t="s">
        <v>2067</v>
      </c>
      <c r="K114" t="s">
        <v>19</v>
      </c>
      <c r="M114" t="s">
        <v>251</v>
      </c>
    </row>
    <row r="115" customHeight="1" spans="1:16">
      <c r="A115" t="s">
        <v>241</v>
      </c>
      <c r="B115" t="s">
        <v>31</v>
      </c>
      <c r="C115" t="s">
        <v>2068</v>
      </c>
      <c r="D115" t="s">
        <v>253</v>
      </c>
      <c r="K115" t="s">
        <v>19</v>
      </c>
      <c r="M115" t="s">
        <v>254</v>
      </c>
      <c r="P115" t="s">
        <v>43</v>
      </c>
    </row>
    <row r="116" customHeight="1" spans="1:16">
      <c r="A116" t="s">
        <v>241</v>
      </c>
      <c r="B116" t="s">
        <v>31</v>
      </c>
      <c r="C116" t="s">
        <v>2069</v>
      </c>
      <c r="D116" t="s">
        <v>256</v>
      </c>
      <c r="K116" t="s">
        <v>19</v>
      </c>
      <c r="M116" t="s">
        <v>257</v>
      </c>
      <c r="P116" t="s">
        <v>43</v>
      </c>
    </row>
    <row r="117" customHeight="1" spans="1:16">
      <c r="A117" t="s">
        <v>236</v>
      </c>
      <c r="B117" t="s">
        <v>31</v>
      </c>
      <c r="C117" t="s">
        <v>2070</v>
      </c>
      <c r="D117" t="s">
        <v>259</v>
      </c>
      <c r="F117" t="s">
        <v>2071</v>
      </c>
      <c r="K117" t="s">
        <v>19</v>
      </c>
      <c r="M117" t="s">
        <v>261</v>
      </c>
    </row>
    <row r="118" customHeight="1" spans="1:16">
      <c r="A118" t="s">
        <v>241</v>
      </c>
      <c r="B118" t="s">
        <v>31</v>
      </c>
      <c r="C118" t="s">
        <v>2072</v>
      </c>
      <c r="D118" t="s">
        <v>263</v>
      </c>
      <c r="F118" t="s">
        <v>2073</v>
      </c>
      <c r="K118" t="s">
        <v>19</v>
      </c>
      <c r="M118" t="s">
        <v>265</v>
      </c>
    </row>
    <row r="119" customHeight="1" spans="1:16">
      <c r="A119" t="s">
        <v>266</v>
      </c>
      <c r="B119" t="s">
        <v>31</v>
      </c>
      <c r="C119" t="s">
        <v>2074</v>
      </c>
      <c r="D119" t="s">
        <v>268</v>
      </c>
      <c r="K119" t="s">
        <v>19</v>
      </c>
      <c r="M119" t="s">
        <v>269</v>
      </c>
      <c r="P119" t="s">
        <v>43</v>
      </c>
    </row>
    <row r="120" customHeight="1" spans="1:16">
      <c r="A120" t="s">
        <v>266</v>
      </c>
      <c r="B120" t="s">
        <v>31</v>
      </c>
      <c r="C120" t="s">
        <v>2075</v>
      </c>
      <c r="D120" t="s">
        <v>271</v>
      </c>
      <c r="K120" t="s">
        <v>19</v>
      </c>
      <c r="M120" t="s">
        <v>272</v>
      </c>
      <c r="P120" t="s">
        <v>43</v>
      </c>
    </row>
    <row r="121" customHeight="1" spans="1:16">
      <c r="A121" t="s">
        <v>241</v>
      </c>
      <c r="B121" t="s">
        <v>31</v>
      </c>
      <c r="C121" t="s">
        <v>2076</v>
      </c>
      <c r="D121" t="s">
        <v>2077</v>
      </c>
      <c r="K121" t="s">
        <v>19</v>
      </c>
      <c r="M121" t="s">
        <v>275</v>
      </c>
      <c r="P121" t="s">
        <v>43</v>
      </c>
    </row>
    <row r="122" customHeight="1" spans="1:16">
      <c r="A122" t="s">
        <v>266</v>
      </c>
      <c r="B122" t="s">
        <v>31</v>
      </c>
      <c r="C122" t="s">
        <v>2078</v>
      </c>
      <c r="D122" t="s">
        <v>277</v>
      </c>
      <c r="K122" t="s">
        <v>19</v>
      </c>
      <c r="M122" t="s">
        <v>278</v>
      </c>
      <c r="P122" t="s">
        <v>43</v>
      </c>
    </row>
    <row r="123" customHeight="1" spans="1:16">
      <c r="A123" t="s">
        <v>241</v>
      </c>
      <c r="B123" t="s">
        <v>31</v>
      </c>
      <c r="C123" t="s">
        <v>2079</v>
      </c>
      <c r="D123" t="s">
        <v>2080</v>
      </c>
      <c r="K123" t="s">
        <v>19</v>
      </c>
      <c r="M123" t="s">
        <v>281</v>
      </c>
      <c r="P123" t="s">
        <v>43</v>
      </c>
    </row>
    <row r="124" customHeight="1" spans="1:16">
      <c r="A124" t="s">
        <v>266</v>
      </c>
      <c r="B124" t="s">
        <v>31</v>
      </c>
      <c r="C124" t="s">
        <v>2081</v>
      </c>
      <c r="D124" t="s">
        <v>283</v>
      </c>
      <c r="K124" t="s">
        <v>19</v>
      </c>
      <c r="M124" t="s">
        <v>284</v>
      </c>
      <c r="P124" t="s">
        <v>43</v>
      </c>
    </row>
    <row r="125" customHeight="1" spans="1:16">
      <c r="A125" t="s">
        <v>241</v>
      </c>
      <c r="B125" t="s">
        <v>31</v>
      </c>
      <c r="C125" t="s">
        <v>2082</v>
      </c>
      <c r="D125" t="s">
        <v>2083</v>
      </c>
      <c r="K125" t="s">
        <v>19</v>
      </c>
      <c r="M125" t="s">
        <v>287</v>
      </c>
      <c r="P125" t="s">
        <v>43</v>
      </c>
    </row>
    <row r="126" customHeight="1" spans="1:16">
      <c r="A126" t="s">
        <v>266</v>
      </c>
      <c r="B126" t="s">
        <v>31</v>
      </c>
      <c r="C126" t="s">
        <v>2084</v>
      </c>
      <c r="D126" t="s">
        <v>289</v>
      </c>
      <c r="K126" t="s">
        <v>19</v>
      </c>
      <c r="M126" t="s">
        <v>290</v>
      </c>
      <c r="P126" t="s">
        <v>43</v>
      </c>
    </row>
    <row r="127" customHeight="1" spans="1:16">
      <c r="A127" t="s">
        <v>236</v>
      </c>
      <c r="B127" t="s">
        <v>31</v>
      </c>
      <c r="C127" t="s">
        <v>2085</v>
      </c>
      <c r="D127" t="s">
        <v>2086</v>
      </c>
      <c r="K127" t="s">
        <v>19</v>
      </c>
      <c r="M127" t="s">
        <v>293</v>
      </c>
      <c r="P127" t="s">
        <v>43</v>
      </c>
    </row>
    <row r="128" customHeight="1" spans="1:16">
      <c r="A128" t="s">
        <v>241</v>
      </c>
      <c r="B128" t="s">
        <v>31</v>
      </c>
      <c r="C128" t="s">
        <v>2087</v>
      </c>
      <c r="D128" t="s">
        <v>295</v>
      </c>
      <c r="K128" t="s">
        <v>19</v>
      </c>
      <c r="M128" t="s">
        <v>296</v>
      </c>
      <c r="P128" t="s">
        <v>43</v>
      </c>
    </row>
    <row r="129" customHeight="1" spans="1:16">
      <c r="A129" t="s">
        <v>236</v>
      </c>
      <c r="B129" t="s">
        <v>31</v>
      </c>
      <c r="C129" t="s">
        <v>2088</v>
      </c>
      <c r="D129" t="s">
        <v>2089</v>
      </c>
      <c r="K129" t="s">
        <v>19</v>
      </c>
      <c r="M129" t="s">
        <v>299</v>
      </c>
      <c r="P129" t="s">
        <v>43</v>
      </c>
    </row>
    <row r="130" customHeight="1" spans="1:16">
      <c r="A130" t="s">
        <v>241</v>
      </c>
      <c r="B130" t="s">
        <v>31</v>
      </c>
      <c r="C130" t="s">
        <v>2090</v>
      </c>
      <c r="D130" t="s">
        <v>301</v>
      </c>
      <c r="K130" t="s">
        <v>19</v>
      </c>
      <c r="M130" t="s">
        <v>302</v>
      </c>
      <c r="P130" t="s">
        <v>43</v>
      </c>
    </row>
    <row r="131" customHeight="1" spans="1:16">
      <c r="A131" t="s">
        <v>26</v>
      </c>
      <c r="B131" t="s">
        <v>31</v>
      </c>
      <c r="C131" t="s">
        <v>2091</v>
      </c>
      <c r="D131" t="s">
        <v>304</v>
      </c>
      <c r="F131" t="s">
        <v>1940</v>
      </c>
      <c r="K131" t="s">
        <v>19</v>
      </c>
      <c r="M131" t="s">
        <v>306</v>
      </c>
    </row>
    <row r="132" customHeight="1" spans="1:16">
      <c r="A132" t="s">
        <v>236</v>
      </c>
      <c r="B132" t="s">
        <v>31</v>
      </c>
      <c r="C132" t="s">
        <v>2092</v>
      </c>
      <c r="D132" t="s">
        <v>238</v>
      </c>
      <c r="F132" t="s">
        <v>2093</v>
      </c>
      <c r="K132" t="s">
        <v>19</v>
      </c>
      <c r="M132" t="s">
        <v>309</v>
      </c>
    </row>
    <row r="133" customHeight="1" spans="1:16">
      <c r="A133" t="s">
        <v>241</v>
      </c>
      <c r="B133" t="s">
        <v>31</v>
      </c>
      <c r="C133" t="s">
        <v>2094</v>
      </c>
      <c r="D133" t="s">
        <v>243</v>
      </c>
      <c r="K133" t="s">
        <v>19</v>
      </c>
      <c r="M133" t="s">
        <v>311</v>
      </c>
      <c r="P133" t="s">
        <v>43</v>
      </c>
    </row>
    <row r="134" customHeight="1" spans="1:16">
      <c r="A134" t="s">
        <v>241</v>
      </c>
      <c r="B134" t="s">
        <v>31</v>
      </c>
      <c r="C134" t="s">
        <v>2095</v>
      </c>
      <c r="D134" t="s">
        <v>246</v>
      </c>
      <c r="K134" t="s">
        <v>19</v>
      </c>
      <c r="M134" t="s">
        <v>313</v>
      </c>
      <c r="P134" t="s">
        <v>43</v>
      </c>
    </row>
    <row r="135" customHeight="1" spans="1:16">
      <c r="A135" t="s">
        <v>236</v>
      </c>
      <c r="B135" t="s">
        <v>31</v>
      </c>
      <c r="C135" t="s">
        <v>2096</v>
      </c>
      <c r="D135" t="s">
        <v>249</v>
      </c>
      <c r="F135" t="s">
        <v>2097</v>
      </c>
      <c r="K135" t="s">
        <v>19</v>
      </c>
      <c r="M135" t="s">
        <v>316</v>
      </c>
    </row>
    <row r="136" customHeight="1" spans="1:16">
      <c r="A136" t="s">
        <v>241</v>
      </c>
      <c r="B136" t="s">
        <v>31</v>
      </c>
      <c r="C136" t="s">
        <v>2098</v>
      </c>
      <c r="D136" t="s">
        <v>253</v>
      </c>
      <c r="K136" t="s">
        <v>19</v>
      </c>
      <c r="M136" t="s">
        <v>318</v>
      </c>
      <c r="P136" t="s">
        <v>43</v>
      </c>
    </row>
    <row r="137" customHeight="1" spans="1:16">
      <c r="A137" t="s">
        <v>241</v>
      </c>
      <c r="B137" t="s">
        <v>31</v>
      </c>
      <c r="C137" t="s">
        <v>2099</v>
      </c>
      <c r="D137" t="s">
        <v>256</v>
      </c>
      <c r="K137" t="s">
        <v>19</v>
      </c>
      <c r="M137" t="s">
        <v>320</v>
      </c>
      <c r="P137" t="s">
        <v>43</v>
      </c>
    </row>
    <row r="138" customHeight="1" spans="1:16">
      <c r="A138" t="s">
        <v>236</v>
      </c>
      <c r="B138" t="s">
        <v>31</v>
      </c>
      <c r="C138" t="s">
        <v>2100</v>
      </c>
      <c r="D138" t="s">
        <v>259</v>
      </c>
      <c r="F138" t="s">
        <v>2101</v>
      </c>
      <c r="K138" t="s">
        <v>19</v>
      </c>
      <c r="M138" t="s">
        <v>323</v>
      </c>
    </row>
    <row r="139" customHeight="1" spans="1:16">
      <c r="A139" t="s">
        <v>241</v>
      </c>
      <c r="B139" t="s">
        <v>31</v>
      </c>
      <c r="C139" t="s">
        <v>2102</v>
      </c>
      <c r="D139" t="s">
        <v>263</v>
      </c>
      <c r="F139" t="s">
        <v>2103</v>
      </c>
      <c r="K139" t="s">
        <v>19</v>
      </c>
      <c r="M139" t="s">
        <v>326</v>
      </c>
    </row>
    <row r="140" customHeight="1" spans="1:16">
      <c r="A140" t="s">
        <v>266</v>
      </c>
      <c r="B140" t="s">
        <v>31</v>
      </c>
      <c r="C140" t="s">
        <v>2104</v>
      </c>
      <c r="D140" t="s">
        <v>268</v>
      </c>
      <c r="K140" t="s">
        <v>19</v>
      </c>
      <c r="M140" t="s">
        <v>328</v>
      </c>
      <c r="P140" t="s">
        <v>43</v>
      </c>
    </row>
    <row r="141" customHeight="1" spans="1:16">
      <c r="A141" t="s">
        <v>266</v>
      </c>
      <c r="B141" t="s">
        <v>31</v>
      </c>
      <c r="C141" t="s">
        <v>2105</v>
      </c>
      <c r="D141" t="s">
        <v>271</v>
      </c>
      <c r="K141" t="s">
        <v>19</v>
      </c>
      <c r="M141" t="s">
        <v>330</v>
      </c>
      <c r="P141" t="s">
        <v>43</v>
      </c>
    </row>
    <row r="142" customHeight="1" spans="1:16">
      <c r="A142" t="s">
        <v>241</v>
      </c>
      <c r="B142" t="s">
        <v>31</v>
      </c>
      <c r="C142" t="s">
        <v>2106</v>
      </c>
      <c r="D142" t="s">
        <v>2107</v>
      </c>
      <c r="K142" t="s">
        <v>19</v>
      </c>
      <c r="M142" t="s">
        <v>333</v>
      </c>
      <c r="P142" t="s">
        <v>43</v>
      </c>
    </row>
    <row r="143" customHeight="1" spans="1:16">
      <c r="A143" t="s">
        <v>266</v>
      </c>
      <c r="B143" t="s">
        <v>31</v>
      </c>
      <c r="C143" t="s">
        <v>2108</v>
      </c>
      <c r="D143" t="s">
        <v>277</v>
      </c>
      <c r="K143" t="s">
        <v>19</v>
      </c>
      <c r="M143" t="s">
        <v>335</v>
      </c>
      <c r="P143" t="s">
        <v>43</v>
      </c>
    </row>
    <row r="144" customHeight="1" spans="1:16">
      <c r="A144" t="s">
        <v>241</v>
      </c>
      <c r="B144" t="s">
        <v>31</v>
      </c>
      <c r="C144" t="s">
        <v>2109</v>
      </c>
      <c r="D144" t="s">
        <v>2110</v>
      </c>
      <c r="K144" t="s">
        <v>19</v>
      </c>
      <c r="M144" t="s">
        <v>338</v>
      </c>
      <c r="P144" t="s">
        <v>43</v>
      </c>
    </row>
    <row r="145" customHeight="1" spans="1:16">
      <c r="A145" t="s">
        <v>266</v>
      </c>
      <c r="B145" t="s">
        <v>31</v>
      </c>
      <c r="C145" t="s">
        <v>2111</v>
      </c>
      <c r="D145" t="s">
        <v>283</v>
      </c>
      <c r="K145" t="s">
        <v>19</v>
      </c>
      <c r="M145" t="s">
        <v>340</v>
      </c>
      <c r="P145" t="s">
        <v>43</v>
      </c>
    </row>
    <row r="146" customHeight="1" spans="1:16">
      <c r="A146" t="s">
        <v>241</v>
      </c>
      <c r="B146" t="s">
        <v>31</v>
      </c>
      <c r="C146" t="s">
        <v>2112</v>
      </c>
      <c r="D146" t="s">
        <v>2113</v>
      </c>
      <c r="K146" t="s">
        <v>19</v>
      </c>
      <c r="M146" t="s">
        <v>343</v>
      </c>
      <c r="P146" t="s">
        <v>43</v>
      </c>
    </row>
    <row r="147" customHeight="1" spans="1:16">
      <c r="A147" t="s">
        <v>266</v>
      </c>
      <c r="B147" t="s">
        <v>31</v>
      </c>
      <c r="C147" t="s">
        <v>2114</v>
      </c>
      <c r="D147" t="s">
        <v>289</v>
      </c>
      <c r="K147" t="s">
        <v>19</v>
      </c>
      <c r="M147" t="s">
        <v>345</v>
      </c>
      <c r="P147" t="s">
        <v>43</v>
      </c>
    </row>
    <row r="148" customHeight="1" spans="1:16">
      <c r="A148" t="s">
        <v>236</v>
      </c>
      <c r="B148" t="s">
        <v>31</v>
      </c>
      <c r="C148" t="s">
        <v>2115</v>
      </c>
      <c r="D148" t="s">
        <v>2116</v>
      </c>
      <c r="K148" t="s">
        <v>19</v>
      </c>
      <c r="M148" t="s">
        <v>348</v>
      </c>
      <c r="P148" t="s">
        <v>43</v>
      </c>
    </row>
    <row r="149" customHeight="1" spans="1:16">
      <c r="A149" t="s">
        <v>241</v>
      </c>
      <c r="B149" t="s">
        <v>31</v>
      </c>
      <c r="C149" t="s">
        <v>2117</v>
      </c>
      <c r="D149" t="s">
        <v>295</v>
      </c>
      <c r="K149" t="s">
        <v>19</v>
      </c>
      <c r="M149" t="s">
        <v>350</v>
      </c>
      <c r="P149" t="s">
        <v>43</v>
      </c>
    </row>
    <row r="150" customHeight="1" spans="1:16">
      <c r="A150" t="s">
        <v>236</v>
      </c>
      <c r="B150" t="s">
        <v>31</v>
      </c>
      <c r="C150" t="s">
        <v>2118</v>
      </c>
      <c r="D150" t="s">
        <v>2119</v>
      </c>
      <c r="K150" t="s">
        <v>19</v>
      </c>
      <c r="M150" t="s">
        <v>353</v>
      </c>
      <c r="P150" t="s">
        <v>43</v>
      </c>
    </row>
    <row r="151" customHeight="1" spans="1:16">
      <c r="A151" t="s">
        <v>241</v>
      </c>
      <c r="B151" t="s">
        <v>31</v>
      </c>
      <c r="C151" t="s">
        <v>2120</v>
      </c>
      <c r="D151" t="s">
        <v>301</v>
      </c>
      <c r="K151" t="s">
        <v>19</v>
      </c>
      <c r="M151" t="s">
        <v>355</v>
      </c>
      <c r="P151" t="s">
        <v>43</v>
      </c>
    </row>
    <row r="152" customHeight="1" spans="1:16">
      <c r="A152" t="s">
        <v>21</v>
      </c>
      <c r="B152" t="s">
        <v>31</v>
      </c>
      <c r="C152" t="s">
        <v>2121</v>
      </c>
      <c r="D152" t="s">
        <v>362</v>
      </c>
      <c r="F152" t="s">
        <v>1942</v>
      </c>
      <c r="K152" t="s">
        <v>19</v>
      </c>
      <c r="M152" t="s">
        <v>364</v>
      </c>
    </row>
    <row r="153" customHeight="1" spans="1:16">
      <c r="A153" t="s">
        <v>26</v>
      </c>
      <c r="B153" t="s">
        <v>31</v>
      </c>
      <c r="C153" t="s">
        <v>2122</v>
      </c>
      <c r="D153" t="s">
        <v>358</v>
      </c>
      <c r="K153" t="s">
        <v>19</v>
      </c>
      <c r="M153" t="s">
        <v>1063</v>
      </c>
      <c r="P153" t="s">
        <v>43</v>
      </c>
    </row>
    <row r="154" customHeight="1" spans="1:16">
      <c r="A154" t="s">
        <v>26</v>
      </c>
      <c r="B154" t="s">
        <v>31</v>
      </c>
      <c r="C154" t="s">
        <v>2123</v>
      </c>
      <c r="D154" t="s">
        <v>360</v>
      </c>
      <c r="K154" t="s">
        <v>19</v>
      </c>
      <c r="M154" t="s">
        <v>1065</v>
      </c>
      <c r="P154" t="s">
        <v>43</v>
      </c>
    </row>
    <row r="155" customHeight="1" spans="1:16">
      <c r="A155" t="s">
        <v>26</v>
      </c>
      <c r="B155" t="s">
        <v>31</v>
      </c>
      <c r="C155" t="s">
        <v>2124</v>
      </c>
      <c r="D155" t="s">
        <v>365</v>
      </c>
      <c r="F155" t="s">
        <v>2125</v>
      </c>
      <c r="K155" t="s">
        <v>19</v>
      </c>
      <c r="M155" t="s">
        <v>367</v>
      </c>
    </row>
    <row r="156" customHeight="1" spans="1:16">
      <c r="A156" t="s">
        <v>236</v>
      </c>
      <c r="B156" t="s">
        <v>31</v>
      </c>
      <c r="C156" t="s">
        <v>2126</v>
      </c>
      <c r="D156" t="s">
        <v>369</v>
      </c>
      <c r="F156" t="s">
        <v>2127</v>
      </c>
      <c r="K156" t="s">
        <v>19</v>
      </c>
      <c r="M156" t="s">
        <v>371</v>
      </c>
    </row>
    <row r="157" customHeight="1" spans="1:16">
      <c r="A157" t="s">
        <v>241</v>
      </c>
      <c r="B157" t="s">
        <v>31</v>
      </c>
      <c r="C157" t="s">
        <v>2128</v>
      </c>
      <c r="D157" t="s">
        <v>373</v>
      </c>
      <c r="K157" t="s">
        <v>19</v>
      </c>
      <c r="M157" t="s">
        <v>374</v>
      </c>
      <c r="P157" t="s">
        <v>43</v>
      </c>
    </row>
    <row r="158" customHeight="1" spans="1:16">
      <c r="A158" t="s">
        <v>241</v>
      </c>
      <c r="B158" t="s">
        <v>31</v>
      </c>
      <c r="C158" t="s">
        <v>2129</v>
      </c>
      <c r="D158" t="s">
        <v>376</v>
      </c>
      <c r="K158" t="s">
        <v>19</v>
      </c>
      <c r="M158" t="s">
        <v>377</v>
      </c>
      <c r="P158" t="s">
        <v>43</v>
      </c>
    </row>
    <row r="159" customHeight="1" spans="1:16">
      <c r="A159" t="s">
        <v>241</v>
      </c>
      <c r="B159" t="s">
        <v>31</v>
      </c>
      <c r="C159" t="s">
        <v>2130</v>
      </c>
      <c r="D159" t="s">
        <v>379</v>
      </c>
      <c r="K159" t="s">
        <v>19</v>
      </c>
      <c r="M159" t="s">
        <v>380</v>
      </c>
      <c r="P159" t="s">
        <v>43</v>
      </c>
    </row>
    <row r="160" customHeight="1" spans="1:16">
      <c r="A160" t="s">
        <v>241</v>
      </c>
      <c r="B160" t="s">
        <v>31</v>
      </c>
      <c r="C160" t="s">
        <v>2131</v>
      </c>
      <c r="D160" t="s">
        <v>382</v>
      </c>
      <c r="K160" t="s">
        <v>19</v>
      </c>
      <c r="M160" t="s">
        <v>383</v>
      </c>
      <c r="P160" t="s">
        <v>43</v>
      </c>
    </row>
    <row r="161" customHeight="1" spans="1:16">
      <c r="A161" t="s">
        <v>236</v>
      </c>
      <c r="B161" t="s">
        <v>31</v>
      </c>
      <c r="C161" t="s">
        <v>2132</v>
      </c>
      <c r="D161" t="s">
        <v>385</v>
      </c>
      <c r="F161" t="s">
        <v>2133</v>
      </c>
      <c r="K161" t="s">
        <v>19</v>
      </c>
      <c r="M161" t="s">
        <v>387</v>
      </c>
    </row>
    <row r="162" customHeight="1" spans="1:16">
      <c r="A162" t="s">
        <v>241</v>
      </c>
      <c r="B162" t="s">
        <v>31</v>
      </c>
      <c r="C162" t="s">
        <v>2134</v>
      </c>
      <c r="D162" t="s">
        <v>389</v>
      </c>
      <c r="K162" t="s">
        <v>19</v>
      </c>
      <c r="M162" t="s">
        <v>390</v>
      </c>
      <c r="P162" t="s">
        <v>43</v>
      </c>
    </row>
    <row r="163" customHeight="1" spans="1:16">
      <c r="A163" t="s">
        <v>241</v>
      </c>
      <c r="B163" t="s">
        <v>31</v>
      </c>
      <c r="C163" t="s">
        <v>2135</v>
      </c>
      <c r="D163" t="s">
        <v>392</v>
      </c>
      <c r="K163" t="s">
        <v>19</v>
      </c>
      <c r="M163" t="s">
        <v>393</v>
      </c>
      <c r="P163" t="s">
        <v>43</v>
      </c>
    </row>
    <row r="164" customHeight="1" spans="1:16">
      <c r="A164" t="s">
        <v>241</v>
      </c>
      <c r="B164" t="s">
        <v>31</v>
      </c>
      <c r="C164" t="s">
        <v>2136</v>
      </c>
      <c r="D164" t="s">
        <v>395</v>
      </c>
      <c r="K164" t="s">
        <v>19</v>
      </c>
      <c r="M164" t="s">
        <v>396</v>
      </c>
      <c r="P164" t="s">
        <v>43</v>
      </c>
    </row>
    <row r="165" customHeight="1" spans="1:16">
      <c r="A165" t="s">
        <v>241</v>
      </c>
      <c r="B165" t="s">
        <v>31</v>
      </c>
      <c r="C165" t="s">
        <v>2137</v>
      </c>
      <c r="D165" t="s">
        <v>398</v>
      </c>
      <c r="K165" t="s">
        <v>19</v>
      </c>
      <c r="M165" t="s">
        <v>399</v>
      </c>
      <c r="P165" t="s">
        <v>43</v>
      </c>
    </row>
    <row r="166" customHeight="1" spans="1:16">
      <c r="A166" t="s">
        <v>241</v>
      </c>
      <c r="B166" t="s">
        <v>31</v>
      </c>
      <c r="C166" t="s">
        <v>2138</v>
      </c>
      <c r="D166" t="s">
        <v>401</v>
      </c>
      <c r="K166" t="s">
        <v>19</v>
      </c>
      <c r="M166" t="s">
        <v>402</v>
      </c>
      <c r="P166" t="s">
        <v>43</v>
      </c>
    </row>
    <row r="167" customHeight="1" spans="1:16">
      <c r="A167" t="s">
        <v>241</v>
      </c>
      <c r="B167" t="s">
        <v>31</v>
      </c>
      <c r="C167" t="s">
        <v>2139</v>
      </c>
      <c r="D167" t="s">
        <v>404</v>
      </c>
      <c r="K167" t="s">
        <v>19</v>
      </c>
      <c r="M167" t="s">
        <v>405</v>
      </c>
      <c r="P167" t="s">
        <v>43</v>
      </c>
    </row>
    <row r="168" customHeight="1" spans="1:16">
      <c r="A168" t="s">
        <v>241</v>
      </c>
      <c r="B168" t="s">
        <v>31</v>
      </c>
      <c r="C168" t="s">
        <v>2140</v>
      </c>
      <c r="D168" t="s">
        <v>407</v>
      </c>
      <c r="K168" t="s">
        <v>19</v>
      </c>
      <c r="M168" t="s">
        <v>408</v>
      </c>
      <c r="P168" t="s">
        <v>43</v>
      </c>
    </row>
    <row r="169" customHeight="1" spans="1:16">
      <c r="A169" t="s">
        <v>241</v>
      </c>
      <c r="B169" t="s">
        <v>31</v>
      </c>
      <c r="C169" t="s">
        <v>2141</v>
      </c>
      <c r="D169" t="s">
        <v>410</v>
      </c>
      <c r="K169" t="s">
        <v>19</v>
      </c>
      <c r="M169" t="s">
        <v>411</v>
      </c>
      <c r="P169" t="s">
        <v>43</v>
      </c>
    </row>
    <row r="170" customHeight="1" spans="1:16">
      <c r="A170" t="s">
        <v>241</v>
      </c>
      <c r="B170" t="s">
        <v>31</v>
      </c>
      <c r="C170" t="s">
        <v>2142</v>
      </c>
      <c r="D170" t="s">
        <v>413</v>
      </c>
      <c r="K170" t="s">
        <v>19</v>
      </c>
      <c r="M170" t="s">
        <v>414</v>
      </c>
      <c r="P170" t="s">
        <v>43</v>
      </c>
    </row>
    <row r="171" customHeight="1" spans="1:16">
      <c r="A171" t="s">
        <v>241</v>
      </c>
      <c r="B171" t="s">
        <v>31</v>
      </c>
      <c r="C171" t="s">
        <v>2143</v>
      </c>
      <c r="D171" t="s">
        <v>416</v>
      </c>
      <c r="K171" t="s">
        <v>19</v>
      </c>
      <c r="M171" t="s">
        <v>417</v>
      </c>
      <c r="P171" t="s">
        <v>43</v>
      </c>
    </row>
    <row r="172" customHeight="1" spans="1:16">
      <c r="A172" t="s">
        <v>241</v>
      </c>
      <c r="B172" t="s">
        <v>31</v>
      </c>
      <c r="C172" t="s">
        <v>2144</v>
      </c>
      <c r="D172" t="s">
        <v>419</v>
      </c>
      <c r="K172" t="s">
        <v>19</v>
      </c>
      <c r="M172" t="s">
        <v>420</v>
      </c>
      <c r="P172" t="s">
        <v>43</v>
      </c>
    </row>
    <row r="173" customHeight="1" spans="1:16">
      <c r="A173" t="s">
        <v>241</v>
      </c>
      <c r="B173" t="s">
        <v>31</v>
      </c>
      <c r="C173" t="s">
        <v>2145</v>
      </c>
      <c r="D173" t="s">
        <v>422</v>
      </c>
      <c r="F173" t="s">
        <v>2146</v>
      </c>
      <c r="K173" t="s">
        <v>19</v>
      </c>
      <c r="M173" t="s">
        <v>424</v>
      </c>
    </row>
    <row r="174" customHeight="1" spans="1:16">
      <c r="A174" t="s">
        <v>241</v>
      </c>
      <c r="B174" t="s">
        <v>31</v>
      </c>
      <c r="C174" t="s">
        <v>2147</v>
      </c>
      <c r="D174" t="s">
        <v>426</v>
      </c>
      <c r="F174" t="s">
        <v>2148</v>
      </c>
      <c r="K174" t="s">
        <v>19</v>
      </c>
      <c r="M174" t="s">
        <v>428</v>
      </c>
    </row>
    <row r="175" customHeight="1" spans="1:16">
      <c r="A175" t="s">
        <v>241</v>
      </c>
      <c r="B175" t="s">
        <v>31</v>
      </c>
      <c r="C175" t="s">
        <v>2149</v>
      </c>
      <c r="D175" t="s">
        <v>430</v>
      </c>
      <c r="F175" t="s">
        <v>2150</v>
      </c>
      <c r="K175" t="s">
        <v>19</v>
      </c>
      <c r="M175" t="s">
        <v>432</v>
      </c>
    </row>
    <row r="176" customHeight="1" spans="1:16">
      <c r="A176" t="s">
        <v>236</v>
      </c>
      <c r="B176" t="s">
        <v>31</v>
      </c>
      <c r="C176" t="s">
        <v>2151</v>
      </c>
      <c r="D176" t="s">
        <v>434</v>
      </c>
      <c r="F176" t="s">
        <v>2152</v>
      </c>
      <c r="K176" t="s">
        <v>19</v>
      </c>
      <c r="M176" t="s">
        <v>436</v>
      </c>
    </row>
    <row r="177" customHeight="1" spans="1:16">
      <c r="A177" t="s">
        <v>241</v>
      </c>
      <c r="B177" t="s">
        <v>31</v>
      </c>
      <c r="C177" t="s">
        <v>2153</v>
      </c>
      <c r="D177" t="s">
        <v>438</v>
      </c>
      <c r="K177" t="s">
        <v>19</v>
      </c>
      <c r="M177" t="s">
        <v>439</v>
      </c>
      <c r="P177" t="s">
        <v>43</v>
      </c>
    </row>
    <row r="178" customHeight="1" spans="1:16">
      <c r="A178" t="s">
        <v>241</v>
      </c>
      <c r="B178" t="s">
        <v>31</v>
      </c>
      <c r="C178" t="s">
        <v>2154</v>
      </c>
      <c r="D178" t="s">
        <v>441</v>
      </c>
      <c r="K178" t="s">
        <v>19</v>
      </c>
      <c r="M178" t="s">
        <v>442</v>
      </c>
      <c r="P178" t="s">
        <v>43</v>
      </c>
    </row>
    <row r="179" customHeight="1" spans="1:16">
      <c r="A179" t="s">
        <v>241</v>
      </c>
      <c r="B179" t="s">
        <v>31</v>
      </c>
      <c r="C179" t="s">
        <v>2155</v>
      </c>
      <c r="D179" t="s">
        <v>444</v>
      </c>
      <c r="K179" t="s">
        <v>19</v>
      </c>
      <c r="M179" t="s">
        <v>445</v>
      </c>
      <c r="P179" t="s">
        <v>43</v>
      </c>
    </row>
    <row r="180" customHeight="1" spans="1:16">
      <c r="A180" t="s">
        <v>21</v>
      </c>
      <c r="B180" t="s">
        <v>31</v>
      </c>
      <c r="C180" t="s">
        <v>2156</v>
      </c>
      <c r="D180" t="s">
        <v>994</v>
      </c>
      <c r="F180" t="s">
        <v>1946</v>
      </c>
      <c r="K180" t="s">
        <v>19</v>
      </c>
      <c r="M180" t="s">
        <v>859</v>
      </c>
    </row>
    <row r="181" customHeight="1" spans="1:16">
      <c r="A181" t="s">
        <v>26</v>
      </c>
      <c r="B181" t="s">
        <v>31</v>
      </c>
      <c r="C181" t="s">
        <v>2157</v>
      </c>
      <c r="D181" t="s">
        <v>263</v>
      </c>
      <c r="F181" t="s">
        <v>1948</v>
      </c>
      <c r="K181" t="s">
        <v>19</v>
      </c>
      <c r="M181" t="s">
        <v>863</v>
      </c>
    </row>
    <row r="182" customHeight="1" spans="1:16">
      <c r="A182" t="s">
        <v>236</v>
      </c>
      <c r="B182" t="s">
        <v>31</v>
      </c>
      <c r="C182" t="s">
        <v>2158</v>
      </c>
      <c r="D182" t="s">
        <v>268</v>
      </c>
      <c r="K182" t="s">
        <v>19</v>
      </c>
      <c r="M182" t="s">
        <v>866</v>
      </c>
      <c r="P182" t="s">
        <v>43</v>
      </c>
    </row>
    <row r="183" customHeight="1" spans="1:16">
      <c r="A183" t="s">
        <v>236</v>
      </c>
      <c r="B183" t="s">
        <v>31</v>
      </c>
      <c r="C183" t="s">
        <v>2159</v>
      </c>
      <c r="D183" t="s">
        <v>271</v>
      </c>
      <c r="K183" t="s">
        <v>19</v>
      </c>
      <c r="M183" t="s">
        <v>869</v>
      </c>
      <c r="P183" t="s">
        <v>43</v>
      </c>
    </row>
    <row r="184" customHeight="1" spans="1:16">
      <c r="A184" t="s">
        <v>26</v>
      </c>
      <c r="B184" t="s">
        <v>31</v>
      </c>
      <c r="C184" t="s">
        <v>2160</v>
      </c>
      <c r="D184" t="s">
        <v>999</v>
      </c>
      <c r="K184" t="s">
        <v>19</v>
      </c>
      <c r="M184" t="s">
        <v>872</v>
      </c>
      <c r="P184" t="s">
        <v>43</v>
      </c>
    </row>
    <row r="185" customHeight="1" spans="1:16">
      <c r="A185" t="s">
        <v>26</v>
      </c>
      <c r="B185" t="s">
        <v>31</v>
      </c>
      <c r="C185" t="s">
        <v>2161</v>
      </c>
      <c r="D185" t="s">
        <v>283</v>
      </c>
      <c r="K185" t="s">
        <v>19</v>
      </c>
      <c r="M185" t="s">
        <v>875</v>
      </c>
      <c r="P185" t="s">
        <v>43</v>
      </c>
    </row>
    <row r="186" customHeight="1" spans="1:16">
      <c r="A186" t="s">
        <v>26</v>
      </c>
      <c r="B186" t="s">
        <v>31</v>
      </c>
      <c r="C186" t="s">
        <v>2162</v>
      </c>
      <c r="D186" t="s">
        <v>289</v>
      </c>
      <c r="K186" t="s">
        <v>19</v>
      </c>
      <c r="M186" t="s">
        <v>878</v>
      </c>
      <c r="P186" t="s">
        <v>43</v>
      </c>
    </row>
    <row r="187" customHeight="1" spans="1:16">
      <c r="A187" t="s">
        <v>21</v>
      </c>
      <c r="B187" t="s">
        <v>31</v>
      </c>
      <c r="C187" t="s">
        <v>2163</v>
      </c>
      <c r="D187" t="s">
        <v>1003</v>
      </c>
      <c r="K187" t="s">
        <v>19</v>
      </c>
      <c r="M187" t="s">
        <v>881</v>
      </c>
      <c r="P187" t="s">
        <v>43</v>
      </c>
    </row>
    <row r="188" customHeight="1" spans="1:16">
      <c r="A188" t="s">
        <v>21</v>
      </c>
      <c r="B188" t="s">
        <v>31</v>
      </c>
      <c r="C188" t="s">
        <v>2164</v>
      </c>
      <c r="D188" t="s">
        <v>1005</v>
      </c>
      <c r="K188" t="s">
        <v>19</v>
      </c>
      <c r="M188" t="s">
        <v>883</v>
      </c>
      <c r="P188" t="s">
        <v>43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3"/>
  <sheetViews>
    <sheetView workbookViewId="0">
      <pane xSplit="4" ySplit="1" topLeftCell="E2" activePane="bottomRight" state="frozen"/>
      <selection/>
      <selection pane="topRight"/>
      <selection pane="bottomLeft"/>
      <selection pane="bottomRight" activeCell="N22" sqref="N22"/>
    </sheetView>
  </sheetViews>
  <sheetFormatPr defaultColWidth="9" defaultRowHeight="15" customHeight="1"/>
  <cols>
    <col min="1" max="2" width="8.66071428571429" style="5" customWidth="1"/>
    <col min="3" max="3" width="11" style="5" customWidth="1"/>
    <col min="4" max="4" width="17.5" style="5" customWidth="1"/>
    <col min="5" max="9" width="8.66071428571429" style="5" customWidth="1"/>
    <col min="10" max="10" width="10.1607142857143" style="5" customWidth="1"/>
    <col min="11" max="16384" width="8.66071428571429" style="5" customWidth="1"/>
  </cols>
  <sheetData>
    <row r="1" s="1" customFormat="1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/>
      <c r="O1" s="6"/>
      <c r="P1" t="s">
        <v>13</v>
      </c>
    </row>
    <row r="2" customHeight="1" spans="1:16">
      <c r="A2" s="7" t="s">
        <v>14</v>
      </c>
      <c r="B2" s="1" t="s">
        <v>15</v>
      </c>
      <c r="C2" s="8" t="s">
        <v>2165</v>
      </c>
      <c r="D2" s="7" t="s">
        <v>17</v>
      </c>
      <c r="F2" t="s">
        <v>2166</v>
      </c>
      <c r="H2" s="5">
        <f>H3+H6+H7</f>
        <v>0</v>
      </c>
      <c r="I2" s="5">
        <f>I3+I6+I7</f>
        <v>0</v>
      </c>
      <c r="M2" t="s">
        <v>20</v>
      </c>
    </row>
    <row r="3" customHeight="1" spans="1:16">
      <c r="A3" s="1" t="s">
        <v>21</v>
      </c>
      <c r="B3" s="1" t="s">
        <v>15</v>
      </c>
      <c r="C3" s="8" t="s">
        <v>2167</v>
      </c>
      <c r="D3" s="1" t="s">
        <v>23</v>
      </c>
      <c r="F3" t="s">
        <v>2168</v>
      </c>
      <c r="H3" s="5">
        <f>H4+H5</f>
        <v>0</v>
      </c>
      <c r="I3" s="5">
        <f>I4+I5</f>
        <v>0</v>
      </c>
      <c r="M3" t="s">
        <v>25</v>
      </c>
    </row>
    <row r="4" customHeight="1" spans="1:16">
      <c r="A4" s="1" t="s">
        <v>26</v>
      </c>
      <c r="B4" s="1" t="s">
        <v>15</v>
      </c>
      <c r="C4" s="9" t="s">
        <v>2169</v>
      </c>
      <c r="D4" s="1" t="s">
        <v>822</v>
      </c>
      <c r="H4" s="5">
        <f>H63-H71</f>
        <v>0</v>
      </c>
      <c r="I4" s="5">
        <f>I63-I71</f>
        <v>0</v>
      </c>
      <c r="M4" t="s">
        <v>823</v>
      </c>
      <c r="P4" t="s">
        <v>43</v>
      </c>
    </row>
    <row r="5" customHeight="1" spans="1:16">
      <c r="A5" s="1" t="s">
        <v>26</v>
      </c>
      <c r="B5" s="1" t="s">
        <v>15</v>
      </c>
      <c r="C5" s="9" t="s">
        <v>2170</v>
      </c>
      <c r="D5" s="1" t="s">
        <v>829</v>
      </c>
      <c r="H5" s="5">
        <f>H91-H80</f>
        <v>0</v>
      </c>
      <c r="I5" s="5">
        <f>I91-I80</f>
        <v>0</v>
      </c>
      <c r="M5" t="s">
        <v>830</v>
      </c>
      <c r="P5" t="s">
        <v>43</v>
      </c>
    </row>
    <row r="6" customHeight="1" spans="1:16">
      <c r="A6" s="1" t="s">
        <v>21</v>
      </c>
      <c r="B6" s="1" t="s">
        <v>15</v>
      </c>
      <c r="C6" s="8" t="s">
        <v>2171</v>
      </c>
      <c r="D6" s="1" t="s">
        <v>1046</v>
      </c>
      <c r="H6" s="5">
        <f>H105-H110</f>
        <v>0</v>
      </c>
      <c r="I6" s="5">
        <f>I105-I110</f>
        <v>0</v>
      </c>
      <c r="M6" t="s">
        <v>39</v>
      </c>
      <c r="P6" t="s">
        <v>43</v>
      </c>
    </row>
    <row r="7" customHeight="1" spans="1:16">
      <c r="A7" s="1" t="s">
        <v>21</v>
      </c>
      <c r="B7" s="1" t="s">
        <v>15</v>
      </c>
      <c r="C7" s="8" t="s">
        <v>2172</v>
      </c>
      <c r="D7" s="1" t="s">
        <v>48</v>
      </c>
      <c r="H7" s="5">
        <f>H117+H119</f>
        <v>0</v>
      </c>
      <c r="I7" s="5">
        <f>I117+I119</f>
        <v>0</v>
      </c>
      <c r="M7" t="s">
        <v>49</v>
      </c>
      <c r="P7" t="s">
        <v>43</v>
      </c>
    </row>
    <row r="8" customHeight="1" spans="1:16">
      <c r="A8" s="7" t="s">
        <v>14</v>
      </c>
      <c r="B8" s="1" t="s">
        <v>31</v>
      </c>
      <c r="C8" s="8" t="s">
        <v>2173</v>
      </c>
      <c r="D8" s="7" t="s">
        <v>840</v>
      </c>
      <c r="M8" t="s">
        <v>53</v>
      </c>
      <c r="P8" t="s">
        <v>43</v>
      </c>
    </row>
    <row r="9" customHeight="1" spans="1:16">
      <c r="A9" s="7" t="s">
        <v>14</v>
      </c>
      <c r="B9" s="1" t="s">
        <v>15</v>
      </c>
      <c r="C9" s="8" t="s">
        <v>2174</v>
      </c>
      <c r="D9" s="7" t="s">
        <v>68</v>
      </c>
      <c r="F9" t="s">
        <v>2175</v>
      </c>
      <c r="H9" s="5">
        <f>H2-H8</f>
        <v>0</v>
      </c>
      <c r="I9" s="5">
        <f>I2-I8</f>
        <v>0</v>
      </c>
      <c r="M9" t="s">
        <v>70</v>
      </c>
    </row>
    <row r="10" customHeight="1" spans="1:16">
      <c r="A10" s="7" t="s">
        <v>14</v>
      </c>
      <c r="B10" s="1" t="s">
        <v>31</v>
      </c>
      <c r="C10" s="8" t="s">
        <v>2176</v>
      </c>
      <c r="D10" s="7" t="s">
        <v>72</v>
      </c>
      <c r="M10" t="s">
        <v>73</v>
      </c>
      <c r="P10" t="s">
        <v>43</v>
      </c>
    </row>
    <row r="11" customHeight="1" spans="1:16">
      <c r="A11" s="7" t="s">
        <v>14</v>
      </c>
      <c r="B11" s="1" t="s">
        <v>31</v>
      </c>
      <c r="C11" s="8" t="s">
        <v>2177</v>
      </c>
      <c r="D11" s="7" t="s">
        <v>844</v>
      </c>
      <c r="F11" t="s">
        <v>2178</v>
      </c>
      <c r="H11" s="5">
        <f>H12+H15+H18+H25+H26</f>
        <v>0</v>
      </c>
      <c r="I11" s="5">
        <f>I12+I15+I18+I25+I26</f>
        <v>0</v>
      </c>
      <c r="K11" t="s">
        <v>19</v>
      </c>
      <c r="M11" t="s">
        <v>227</v>
      </c>
    </row>
    <row r="12" customHeight="1" spans="1:16">
      <c r="A12" s="1" t="s">
        <v>21</v>
      </c>
      <c r="B12" s="1" t="s">
        <v>31</v>
      </c>
      <c r="C12" s="8" t="s">
        <v>2179</v>
      </c>
      <c r="D12" s="1" t="s">
        <v>847</v>
      </c>
      <c r="F12" t="s">
        <v>2180</v>
      </c>
      <c r="H12" s="5">
        <f>H13+H14</f>
        <v>0</v>
      </c>
      <c r="I12" s="5">
        <f>I13+I14</f>
        <v>0</v>
      </c>
      <c r="K12" t="s">
        <v>19</v>
      </c>
      <c r="M12" t="s">
        <v>231</v>
      </c>
    </row>
    <row r="13" customHeight="1" spans="1:16">
      <c r="A13" s="1" t="s">
        <v>26</v>
      </c>
      <c r="B13" s="1" t="s">
        <v>31</v>
      </c>
      <c r="C13" s="9" t="s">
        <v>2181</v>
      </c>
      <c r="D13" s="1" t="s">
        <v>83</v>
      </c>
      <c r="F13" t="s">
        <v>2182</v>
      </c>
      <c r="K13" t="s">
        <v>19</v>
      </c>
      <c r="M13" t="s">
        <v>235</v>
      </c>
    </row>
    <row r="14" customHeight="1" spans="1:16">
      <c r="A14" s="1" t="s">
        <v>26</v>
      </c>
      <c r="B14" s="1" t="s">
        <v>31</v>
      </c>
      <c r="C14" s="9" t="s">
        <v>2183</v>
      </c>
      <c r="D14" s="1" t="s">
        <v>852</v>
      </c>
      <c r="F14" t="s">
        <v>2184</v>
      </c>
      <c r="K14" t="s">
        <v>19</v>
      </c>
      <c r="M14" t="s">
        <v>306</v>
      </c>
    </row>
    <row r="15" customHeight="1" spans="1:16">
      <c r="A15" s="1" t="s">
        <v>21</v>
      </c>
      <c r="B15" s="1" t="s">
        <v>31</v>
      </c>
      <c r="C15" s="8" t="s">
        <v>2185</v>
      </c>
      <c r="D15" s="1" t="s">
        <v>92</v>
      </c>
      <c r="F15" t="s">
        <v>2186</v>
      </c>
      <c r="H15" s="5">
        <f>H16+H17</f>
        <v>0</v>
      </c>
      <c r="I15" s="5">
        <f>I16+I17</f>
        <v>0</v>
      </c>
      <c r="K15" t="s">
        <v>19</v>
      </c>
      <c r="M15" t="s">
        <v>364</v>
      </c>
    </row>
    <row r="16" customHeight="1" spans="1:16">
      <c r="A16" s="1" t="s">
        <v>26</v>
      </c>
      <c r="B16" s="1" t="s">
        <v>31</v>
      </c>
      <c r="C16" s="9" t="s">
        <v>2187</v>
      </c>
      <c r="D16" s="1" t="s">
        <v>94</v>
      </c>
      <c r="K16" t="s">
        <v>19</v>
      </c>
      <c r="M16" t="s">
        <v>1063</v>
      </c>
      <c r="P16" t="s">
        <v>43</v>
      </c>
    </row>
    <row r="17" customHeight="1" spans="1:16">
      <c r="A17" s="1" t="s">
        <v>26</v>
      </c>
      <c r="B17" s="1" t="s">
        <v>31</v>
      </c>
      <c r="C17" s="9" t="s">
        <v>2188</v>
      </c>
      <c r="D17" s="1" t="s">
        <v>96</v>
      </c>
      <c r="K17" t="s">
        <v>19</v>
      </c>
      <c r="M17" t="s">
        <v>1065</v>
      </c>
      <c r="P17" t="s">
        <v>43</v>
      </c>
    </row>
    <row r="18" customHeight="1" spans="1:16">
      <c r="A18" s="1" t="s">
        <v>21</v>
      </c>
      <c r="B18" s="1" t="s">
        <v>31</v>
      </c>
      <c r="C18" s="8" t="s">
        <v>2189</v>
      </c>
      <c r="D18" s="1" t="s">
        <v>98</v>
      </c>
      <c r="F18" t="s">
        <v>2190</v>
      </c>
      <c r="H18" s="5">
        <f>H19+H22+H23+H24</f>
        <v>0</v>
      </c>
      <c r="I18" s="5">
        <f>I19+I22+I23+I24</f>
        <v>0</v>
      </c>
      <c r="K18" t="s">
        <v>19</v>
      </c>
      <c r="M18" t="s">
        <v>859</v>
      </c>
    </row>
    <row r="19" customHeight="1" spans="1:16">
      <c r="A19" s="1" t="s">
        <v>26</v>
      </c>
      <c r="B19" s="1" t="s">
        <v>31</v>
      </c>
      <c r="C19" s="9" t="s">
        <v>2191</v>
      </c>
      <c r="D19" s="1" t="s">
        <v>861</v>
      </c>
      <c r="F19" t="s">
        <v>2192</v>
      </c>
      <c r="H19" s="5">
        <f>H20+H21</f>
        <v>0</v>
      </c>
      <c r="I19" s="5">
        <f>I20+I21</f>
        <v>0</v>
      </c>
      <c r="K19" t="s">
        <v>19</v>
      </c>
      <c r="M19" t="s">
        <v>863</v>
      </c>
    </row>
    <row r="20" customHeight="1" spans="1:16">
      <c r="A20" s="1" t="s">
        <v>236</v>
      </c>
      <c r="B20" s="1" t="s">
        <v>31</v>
      </c>
      <c r="C20" s="9" t="s">
        <v>2193</v>
      </c>
      <c r="D20" s="1" t="s">
        <v>865</v>
      </c>
      <c r="K20" t="s">
        <v>19</v>
      </c>
      <c r="M20" t="s">
        <v>866</v>
      </c>
      <c r="P20" t="s">
        <v>43</v>
      </c>
    </row>
    <row r="21" customHeight="1" spans="1:16">
      <c r="A21" s="1" t="s">
        <v>236</v>
      </c>
      <c r="B21" s="1" t="s">
        <v>31</v>
      </c>
      <c r="C21" s="9" t="s">
        <v>2194</v>
      </c>
      <c r="D21" s="1" t="s">
        <v>868</v>
      </c>
      <c r="K21" t="s">
        <v>19</v>
      </c>
      <c r="M21" t="s">
        <v>869</v>
      </c>
      <c r="P21" t="s">
        <v>43</v>
      </c>
    </row>
    <row r="22" customHeight="1" spans="1:16">
      <c r="A22" s="1" t="s">
        <v>26</v>
      </c>
      <c r="B22" s="1" t="s">
        <v>31</v>
      </c>
      <c r="C22" s="9" t="s">
        <v>2195</v>
      </c>
      <c r="D22" s="1" t="s">
        <v>871</v>
      </c>
      <c r="K22" t="s">
        <v>19</v>
      </c>
      <c r="M22" t="s">
        <v>872</v>
      </c>
      <c r="P22" t="s">
        <v>43</v>
      </c>
    </row>
    <row r="23" customHeight="1" spans="1:16">
      <c r="A23" s="1" t="s">
        <v>26</v>
      </c>
      <c r="B23" s="1" t="s">
        <v>31</v>
      </c>
      <c r="C23" s="9" t="s">
        <v>2196</v>
      </c>
      <c r="D23" s="1" t="s">
        <v>874</v>
      </c>
      <c r="K23" t="s">
        <v>19</v>
      </c>
      <c r="M23" t="s">
        <v>875</v>
      </c>
      <c r="P23" t="s">
        <v>43</v>
      </c>
    </row>
    <row r="24" customHeight="1" spans="1:16">
      <c r="A24" s="1" t="s">
        <v>26</v>
      </c>
      <c r="B24" s="1" t="s">
        <v>31</v>
      </c>
      <c r="C24" s="9" t="s">
        <v>2197</v>
      </c>
      <c r="D24" s="1" t="s">
        <v>877</v>
      </c>
      <c r="K24" t="s">
        <v>19</v>
      </c>
      <c r="M24" t="s">
        <v>878</v>
      </c>
      <c r="P24" t="s">
        <v>43</v>
      </c>
    </row>
    <row r="25" customHeight="1" spans="1:16">
      <c r="A25" s="1" t="s">
        <v>21</v>
      </c>
      <c r="B25" s="1" t="s">
        <v>31</v>
      </c>
      <c r="C25" s="8" t="s">
        <v>2198</v>
      </c>
      <c r="D25" s="1" t="s">
        <v>880</v>
      </c>
      <c r="K25" t="s">
        <v>19</v>
      </c>
      <c r="M25" t="s">
        <v>881</v>
      </c>
      <c r="P25" t="s">
        <v>43</v>
      </c>
    </row>
    <row r="26" customHeight="1" spans="1:16">
      <c r="A26" s="1" t="s">
        <v>21</v>
      </c>
      <c r="B26" s="1" t="s">
        <v>31</v>
      </c>
      <c r="C26" s="8" t="s">
        <v>2199</v>
      </c>
      <c r="D26" s="1" t="s">
        <v>101</v>
      </c>
      <c r="K26" t="s">
        <v>19</v>
      </c>
      <c r="M26" t="s">
        <v>883</v>
      </c>
      <c r="P26" t="s">
        <v>43</v>
      </c>
    </row>
    <row r="27" customHeight="1" spans="1:16">
      <c r="A27" s="7" t="s">
        <v>14</v>
      </c>
      <c r="B27" s="1" t="s">
        <v>15</v>
      </c>
      <c r="C27" s="8" t="s">
        <v>2200</v>
      </c>
      <c r="D27" s="7" t="s">
        <v>104</v>
      </c>
      <c r="M27" t="s">
        <v>105</v>
      </c>
      <c r="P27" t="s">
        <v>43</v>
      </c>
    </row>
    <row r="28" customHeight="1" spans="1:16">
      <c r="A28" s="7" t="s">
        <v>14</v>
      </c>
      <c r="B28" s="1" t="s">
        <v>106</v>
      </c>
      <c r="C28" s="8" t="s">
        <v>2201</v>
      </c>
      <c r="D28" s="7" t="s">
        <v>886</v>
      </c>
      <c r="F28" t="s">
        <v>2202</v>
      </c>
      <c r="H28" s="5">
        <f>H9-H10-H11+H27</f>
        <v>0</v>
      </c>
      <c r="I28" s="5">
        <f>I9-I10-I11+I27</f>
        <v>0</v>
      </c>
      <c r="M28" t="s">
        <v>887</v>
      </c>
    </row>
    <row r="29" customHeight="1" spans="1:16">
      <c r="A29" s="7" t="s">
        <v>14</v>
      </c>
      <c r="B29" s="1" t="s">
        <v>31</v>
      </c>
      <c r="C29" s="8" t="s">
        <v>2203</v>
      </c>
      <c r="D29" s="7" t="s">
        <v>889</v>
      </c>
      <c r="M29" t="s">
        <v>890</v>
      </c>
      <c r="P29" t="s">
        <v>43</v>
      </c>
    </row>
    <row r="30" customHeight="1" spans="1:16">
      <c r="A30" s="7" t="s">
        <v>14</v>
      </c>
      <c r="B30" s="1" t="s">
        <v>106</v>
      </c>
      <c r="C30" s="8" t="s">
        <v>2204</v>
      </c>
      <c r="D30" s="7" t="s">
        <v>108</v>
      </c>
      <c r="F30" t="s">
        <v>2205</v>
      </c>
      <c r="H30" s="5">
        <f>H28-H29</f>
        <v>0</v>
      </c>
      <c r="I30" s="5">
        <f>I28-I29</f>
        <v>0</v>
      </c>
      <c r="M30" t="s">
        <v>110</v>
      </c>
    </row>
    <row r="31" customHeight="1" spans="1:16">
      <c r="A31" s="10"/>
      <c r="B31" s="10"/>
      <c r="C31" s="10"/>
      <c r="D31" s="10"/>
    </row>
    <row r="32" customHeight="1" spans="1:16">
      <c r="A32" s="7" t="s">
        <v>14</v>
      </c>
      <c r="B32" s="7" t="s">
        <v>118</v>
      </c>
      <c r="C32" s="11" t="s">
        <v>2206</v>
      </c>
      <c r="D32" s="11" t="s">
        <v>120</v>
      </c>
      <c r="F32" t="s">
        <v>2207</v>
      </c>
      <c r="H32" s="5">
        <f>H33+H35+H36</f>
        <v>0</v>
      </c>
      <c r="I32" s="5">
        <f>I33+I35+I36</f>
        <v>0</v>
      </c>
      <c r="M32" t="s">
        <v>122</v>
      </c>
    </row>
    <row r="33" customHeight="1" spans="1:16">
      <c r="A33" s="1" t="s">
        <v>21</v>
      </c>
      <c r="B33" s="7" t="s">
        <v>118</v>
      </c>
      <c r="C33" s="10" t="s">
        <v>2208</v>
      </c>
      <c r="D33" s="10" t="s">
        <v>903</v>
      </c>
      <c r="F33" t="s">
        <v>2209</v>
      </c>
      <c r="H33" s="5">
        <f>H34</f>
        <v>0</v>
      </c>
      <c r="I33" s="5">
        <f>I34</f>
        <v>0</v>
      </c>
      <c r="M33" t="s">
        <v>126</v>
      </c>
    </row>
    <row r="34" customHeight="1" spans="1:16">
      <c r="A34" s="1" t="s">
        <v>26</v>
      </c>
      <c r="B34" s="7" t="s">
        <v>118</v>
      </c>
      <c r="C34" s="10" t="s">
        <v>2209</v>
      </c>
      <c r="D34" s="10" t="s">
        <v>128</v>
      </c>
      <c r="M34" t="s">
        <v>129</v>
      </c>
      <c r="P34" t="s">
        <v>130</v>
      </c>
    </row>
    <row r="35" customHeight="1" spans="1:16">
      <c r="A35" s="1" t="s">
        <v>21</v>
      </c>
      <c r="B35" s="7" t="s">
        <v>118</v>
      </c>
      <c r="C35" s="10" t="s">
        <v>2210</v>
      </c>
      <c r="D35" s="10" t="s">
        <v>135</v>
      </c>
      <c r="M35" t="s">
        <v>136</v>
      </c>
      <c r="P35" t="s">
        <v>130</v>
      </c>
    </row>
    <row r="36" customHeight="1" spans="1:16">
      <c r="A36" s="1" t="s">
        <v>21</v>
      </c>
      <c r="B36" s="7" t="s">
        <v>118</v>
      </c>
      <c r="C36" s="10" t="s">
        <v>2211</v>
      </c>
      <c r="D36" s="10" t="s">
        <v>138</v>
      </c>
      <c r="M36" t="s">
        <v>139</v>
      </c>
      <c r="P36" t="s">
        <v>130</v>
      </c>
    </row>
    <row r="37" customHeight="1" spans="1:16">
      <c r="A37" s="7" t="s">
        <v>14</v>
      </c>
      <c r="B37" s="7" t="s">
        <v>515</v>
      </c>
      <c r="C37" s="11" t="s">
        <v>2212</v>
      </c>
      <c r="D37" s="11" t="s">
        <v>899</v>
      </c>
      <c r="F37" t="s">
        <v>2213</v>
      </c>
      <c r="H37" s="5">
        <f>H38+H40+H41</f>
        <v>0</v>
      </c>
      <c r="I37" s="5">
        <f>I38+I40+I41</f>
        <v>0</v>
      </c>
      <c r="M37" t="s">
        <v>901</v>
      </c>
    </row>
    <row r="38" customHeight="1" spans="1:16">
      <c r="A38" s="1" t="s">
        <v>21</v>
      </c>
      <c r="B38" s="7" t="s">
        <v>515</v>
      </c>
      <c r="C38" s="10" t="s">
        <v>2214</v>
      </c>
      <c r="D38" s="10" t="s">
        <v>903</v>
      </c>
      <c r="F38" t="s">
        <v>2215</v>
      </c>
      <c r="H38" s="5">
        <f>H39</f>
        <v>0</v>
      </c>
      <c r="I38" s="5">
        <f>I39</f>
        <v>0</v>
      </c>
      <c r="M38" t="s">
        <v>521</v>
      </c>
    </row>
    <row r="39" customHeight="1" spans="1:16">
      <c r="A39" s="1" t="s">
        <v>26</v>
      </c>
      <c r="B39" s="7" t="s">
        <v>515</v>
      </c>
      <c r="C39" s="10" t="s">
        <v>2215</v>
      </c>
      <c r="D39" s="10" t="s">
        <v>128</v>
      </c>
      <c r="M39" t="s">
        <v>523</v>
      </c>
      <c r="P39" t="s">
        <v>524</v>
      </c>
    </row>
    <row r="40" customHeight="1" spans="1:16">
      <c r="A40" s="1" t="s">
        <v>21</v>
      </c>
      <c r="B40" s="7" t="s">
        <v>515</v>
      </c>
      <c r="C40" s="10" t="s">
        <v>2216</v>
      </c>
      <c r="D40" s="10" t="s">
        <v>135</v>
      </c>
      <c r="M40" t="s">
        <v>906</v>
      </c>
      <c r="P40" t="s">
        <v>524</v>
      </c>
    </row>
    <row r="41" customHeight="1" spans="1:16">
      <c r="A41" s="1" t="s">
        <v>21</v>
      </c>
      <c r="B41" s="7" t="s">
        <v>515</v>
      </c>
      <c r="C41" s="10" t="s">
        <v>2217</v>
      </c>
      <c r="D41" s="10" t="s">
        <v>138</v>
      </c>
      <c r="M41" t="s">
        <v>908</v>
      </c>
      <c r="P41" t="s">
        <v>524</v>
      </c>
    </row>
    <row r="42" customHeight="1" spans="1:16">
      <c r="A42" s="10"/>
      <c r="B42" s="10"/>
      <c r="C42" s="10"/>
      <c r="D42" s="10"/>
    </row>
    <row r="43" customHeight="1" spans="1:16">
      <c r="A43" s="11" t="s">
        <v>14</v>
      </c>
      <c r="B43" s="11" t="s">
        <v>143</v>
      </c>
      <c r="C43" s="11" t="s">
        <v>2218</v>
      </c>
      <c r="D43" s="11" t="s">
        <v>145</v>
      </c>
      <c r="F43" t="s">
        <v>2219</v>
      </c>
      <c r="H43" s="5">
        <f>H44+H47</f>
        <v>0</v>
      </c>
      <c r="I43" s="5">
        <f>I44+I47</f>
        <v>0</v>
      </c>
      <c r="M43" t="s">
        <v>147</v>
      </c>
    </row>
    <row r="44" customHeight="1" spans="1:16">
      <c r="A44" s="10" t="s">
        <v>21</v>
      </c>
      <c r="B44" s="11" t="s">
        <v>143</v>
      </c>
      <c r="C44" s="10" t="s">
        <v>2220</v>
      </c>
      <c r="D44" s="10" t="s">
        <v>2221</v>
      </c>
      <c r="F44" t="s">
        <v>2222</v>
      </c>
      <c r="M44" t="s">
        <v>150</v>
      </c>
    </row>
    <row r="45" customHeight="1" spans="1:16">
      <c r="A45" s="10" t="s">
        <v>26</v>
      </c>
      <c r="B45" s="11" t="s">
        <v>143</v>
      </c>
      <c r="C45" s="10" t="s">
        <v>2223</v>
      </c>
      <c r="D45" s="10" t="s">
        <v>2224</v>
      </c>
      <c r="M45" t="s">
        <v>1580</v>
      </c>
      <c r="P45" t="s">
        <v>130</v>
      </c>
    </row>
    <row r="46" customHeight="1" spans="1:16">
      <c r="A46" s="10" t="s">
        <v>26</v>
      </c>
      <c r="B46" s="11" t="s">
        <v>143</v>
      </c>
      <c r="C46" s="10" t="s">
        <v>2225</v>
      </c>
      <c r="D46" s="10" t="s">
        <v>2226</v>
      </c>
      <c r="H46" s="5">
        <f>H44-H45</f>
        <v>0</v>
      </c>
      <c r="I46" s="5">
        <f>I44-I45</f>
        <v>0</v>
      </c>
      <c r="M46" t="s">
        <v>2227</v>
      </c>
      <c r="P46" t="s">
        <v>130</v>
      </c>
    </row>
    <row r="47" customHeight="1" spans="1:16">
      <c r="A47" s="10" t="s">
        <v>21</v>
      </c>
      <c r="B47" s="11" t="s">
        <v>143</v>
      </c>
      <c r="C47" s="10" t="s">
        <v>2228</v>
      </c>
      <c r="D47" s="10" t="s">
        <v>2229</v>
      </c>
      <c r="M47" t="s">
        <v>153</v>
      </c>
      <c r="P47" t="s">
        <v>130</v>
      </c>
    </row>
    <row r="48" customHeight="1" spans="1:16">
      <c r="A48" s="11" t="s">
        <v>14</v>
      </c>
      <c r="B48" s="11" t="s">
        <v>552</v>
      </c>
      <c r="C48" s="11" t="s">
        <v>2230</v>
      </c>
      <c r="D48" s="11" t="s">
        <v>916</v>
      </c>
      <c r="F48" t="s">
        <v>2231</v>
      </c>
      <c r="H48" s="5">
        <f>H49+H52</f>
        <v>0</v>
      </c>
      <c r="I48" s="5">
        <f>I49+I52</f>
        <v>0</v>
      </c>
      <c r="M48" t="s">
        <v>918</v>
      </c>
    </row>
    <row r="49" customHeight="1" spans="1:16">
      <c r="A49" s="10" t="s">
        <v>21</v>
      </c>
      <c r="B49" s="11" t="s">
        <v>552</v>
      </c>
      <c r="C49" s="10" t="s">
        <v>2232</v>
      </c>
      <c r="D49" s="10" t="s">
        <v>2221</v>
      </c>
      <c r="F49" t="s">
        <v>2233</v>
      </c>
      <c r="M49" t="s">
        <v>557</v>
      </c>
    </row>
    <row r="50" customHeight="1" spans="1:16">
      <c r="A50" s="10" t="s">
        <v>26</v>
      </c>
      <c r="B50" s="11" t="s">
        <v>552</v>
      </c>
      <c r="C50" s="10" t="s">
        <v>2234</v>
      </c>
      <c r="D50" s="10" t="s">
        <v>2224</v>
      </c>
      <c r="M50" t="s">
        <v>1593</v>
      </c>
      <c r="P50" t="s">
        <v>524</v>
      </c>
    </row>
    <row r="51" customHeight="1" spans="1:16">
      <c r="A51" s="10" t="s">
        <v>26</v>
      </c>
      <c r="B51" s="11" t="s">
        <v>552</v>
      </c>
      <c r="C51" s="10" t="s">
        <v>2235</v>
      </c>
      <c r="D51" s="10" t="s">
        <v>2226</v>
      </c>
      <c r="H51" s="5">
        <f>H49-H50</f>
        <v>0</v>
      </c>
      <c r="I51" s="5">
        <f>I49-I50</f>
        <v>0</v>
      </c>
      <c r="M51" t="s">
        <v>1595</v>
      </c>
      <c r="P51" t="s">
        <v>524</v>
      </c>
    </row>
    <row r="52" customHeight="1" spans="1:16">
      <c r="A52" s="10" t="s">
        <v>21</v>
      </c>
      <c r="B52" s="11" t="s">
        <v>552</v>
      </c>
      <c r="C52" s="10" t="s">
        <v>2236</v>
      </c>
      <c r="D52" s="10" t="s">
        <v>2229</v>
      </c>
      <c r="M52" t="s">
        <v>921</v>
      </c>
      <c r="P52" t="s">
        <v>524</v>
      </c>
    </row>
    <row r="53" customHeight="1" spans="1:16">
      <c r="A53" s="10"/>
      <c r="B53" s="11"/>
      <c r="C53" s="10"/>
      <c r="D53" s="10"/>
    </row>
    <row r="54" customHeight="1" spans="1:16">
      <c r="A54" s="7" t="s">
        <v>14</v>
      </c>
      <c r="B54" s="1" t="s">
        <v>118</v>
      </c>
      <c r="C54" s="11" t="s">
        <v>2237</v>
      </c>
      <c r="D54" s="11" t="s">
        <v>1118</v>
      </c>
      <c r="F54" t="s">
        <v>2238</v>
      </c>
      <c r="H54" s="5">
        <f>H55</f>
        <v>0</v>
      </c>
      <c r="I54" s="5">
        <f>I55</f>
        <v>0</v>
      </c>
      <c r="M54" t="s">
        <v>1120</v>
      </c>
    </row>
    <row r="55" customHeight="1" spans="1:16">
      <c r="A55" s="1" t="s">
        <v>21</v>
      </c>
      <c r="B55" s="1" t="s">
        <v>118</v>
      </c>
      <c r="C55" s="10" t="s">
        <v>2238</v>
      </c>
      <c r="D55" s="10" t="s">
        <v>1121</v>
      </c>
      <c r="M55" t="s">
        <v>460</v>
      </c>
      <c r="P55" t="s">
        <v>130</v>
      </c>
    </row>
    <row r="56" customHeight="1" spans="1:16">
      <c r="A56" s="7" t="s">
        <v>14</v>
      </c>
      <c r="B56" s="1" t="s">
        <v>515</v>
      </c>
      <c r="C56" s="11" t="s">
        <v>2239</v>
      </c>
      <c r="D56" s="11" t="s">
        <v>1123</v>
      </c>
      <c r="F56" t="s">
        <v>2240</v>
      </c>
      <c r="H56" s="5">
        <f>H57</f>
        <v>0</v>
      </c>
      <c r="I56" s="5">
        <f>I57</f>
        <v>0</v>
      </c>
      <c r="M56" t="s">
        <v>1125</v>
      </c>
    </row>
    <row r="57" customHeight="1" spans="1:16">
      <c r="A57" s="1" t="s">
        <v>21</v>
      </c>
      <c r="B57" s="1" t="s">
        <v>515</v>
      </c>
      <c r="C57" s="10" t="s">
        <v>2240</v>
      </c>
      <c r="D57" s="10" t="s">
        <v>1126</v>
      </c>
      <c r="M57" t="s">
        <v>532</v>
      </c>
      <c r="P57" t="s">
        <v>524</v>
      </c>
    </row>
    <row r="58" customHeight="1" spans="1:16">
      <c r="A58" s="7" t="s">
        <v>14</v>
      </c>
      <c r="B58" s="1" t="s">
        <v>143</v>
      </c>
      <c r="C58" s="11" t="s">
        <v>2241</v>
      </c>
      <c r="D58" s="11" t="s">
        <v>1128</v>
      </c>
      <c r="F58" t="s">
        <v>2242</v>
      </c>
      <c r="H58" s="5">
        <f>H59</f>
        <v>0</v>
      </c>
      <c r="I58" s="5">
        <f>I59</f>
        <v>0</v>
      </c>
      <c r="M58" t="s">
        <v>1130</v>
      </c>
    </row>
    <row r="59" customHeight="1" spans="1:16">
      <c r="A59" s="1" t="s">
        <v>21</v>
      </c>
      <c r="B59" s="1" t="s">
        <v>143</v>
      </c>
      <c r="C59" s="10" t="s">
        <v>2242</v>
      </c>
      <c r="D59" s="10" t="s">
        <v>1131</v>
      </c>
      <c r="M59" t="s">
        <v>495</v>
      </c>
      <c r="P59" t="s">
        <v>130</v>
      </c>
    </row>
    <row r="60" customHeight="1" spans="1:16">
      <c r="A60" s="7" t="s">
        <v>14</v>
      </c>
      <c r="B60" s="1" t="s">
        <v>552</v>
      </c>
      <c r="C60" s="11" t="s">
        <v>2243</v>
      </c>
      <c r="D60" s="11" t="s">
        <v>1133</v>
      </c>
      <c r="F60" t="s">
        <v>2244</v>
      </c>
      <c r="H60" s="5">
        <f>H61</f>
        <v>0</v>
      </c>
      <c r="I60" s="5">
        <f>I61</f>
        <v>0</v>
      </c>
      <c r="M60" t="s">
        <v>1135</v>
      </c>
    </row>
    <row r="61" customHeight="1" spans="1:16">
      <c r="A61" s="1" t="s">
        <v>21</v>
      </c>
      <c r="B61" s="1" t="s">
        <v>552</v>
      </c>
      <c r="C61" s="10" t="s">
        <v>2244</v>
      </c>
      <c r="D61" s="10" t="s">
        <v>1136</v>
      </c>
      <c r="M61" t="s">
        <v>563</v>
      </c>
      <c r="P61" t="s">
        <v>524</v>
      </c>
    </row>
    <row r="62" customHeight="1" spans="1:16">
      <c r="A62" s="10"/>
      <c r="B62" s="11"/>
      <c r="C62" s="10"/>
      <c r="D62" s="10"/>
    </row>
    <row r="63" customHeight="1" spans="1:16">
      <c r="A63" s="11" t="s">
        <v>14</v>
      </c>
      <c r="B63" s="11" t="s">
        <v>15</v>
      </c>
      <c r="C63" s="11" t="s">
        <v>2245</v>
      </c>
      <c r="D63" s="11" t="s">
        <v>1138</v>
      </c>
      <c r="F63" t="s">
        <v>2246</v>
      </c>
      <c r="H63" s="5">
        <f>H64+H67</f>
        <v>0</v>
      </c>
      <c r="I63" s="5">
        <f>I64+I67</f>
        <v>0</v>
      </c>
      <c r="M63" t="s">
        <v>30</v>
      </c>
    </row>
    <row r="64" customHeight="1" spans="1:16">
      <c r="A64" s="11" t="s">
        <v>21</v>
      </c>
      <c r="B64" s="11" t="s">
        <v>15</v>
      </c>
      <c r="C64" s="11" t="s">
        <v>2247</v>
      </c>
      <c r="D64" s="11" t="s">
        <v>1141</v>
      </c>
      <c r="F64" t="s">
        <v>2248</v>
      </c>
      <c r="I64" s="5">
        <f>I38*I65</f>
        <v>0</v>
      </c>
      <c r="J64" s="5" t="s">
        <v>1173</v>
      </c>
    </row>
    <row r="65" customHeight="1" spans="1:16">
      <c r="A65" s="1" t="s">
        <v>26</v>
      </c>
      <c r="B65" s="1" t="s">
        <v>160</v>
      </c>
      <c r="C65" s="10" t="s">
        <v>2248</v>
      </c>
      <c r="D65" s="10" t="s">
        <v>1988</v>
      </c>
      <c r="H65" s="5" t="e">
        <f>H64/H38</f>
        <v>#DIV/0!</v>
      </c>
      <c r="J65" s="5" t="s">
        <v>783</v>
      </c>
      <c r="P65" t="s">
        <v>164</v>
      </c>
    </row>
    <row r="66" customHeight="1" spans="1:16">
      <c r="A66" s="1"/>
      <c r="B66" s="1"/>
      <c r="C66" s="10"/>
      <c r="D66" s="10"/>
    </row>
    <row r="67" customHeight="1" spans="1:16">
      <c r="A67" s="7" t="s">
        <v>21</v>
      </c>
      <c r="B67" s="1" t="s">
        <v>15</v>
      </c>
      <c r="C67" s="11" t="s">
        <v>2246</v>
      </c>
      <c r="D67" s="11" t="s">
        <v>1231</v>
      </c>
      <c r="F67" t="s">
        <v>2249</v>
      </c>
      <c r="H67" s="5">
        <f>H68</f>
        <v>0</v>
      </c>
      <c r="I67" s="5">
        <f>I68</f>
        <v>0</v>
      </c>
      <c r="M67" t="s">
        <v>1233</v>
      </c>
    </row>
    <row r="68" customHeight="1" spans="1:16">
      <c r="A68" s="7" t="s">
        <v>26</v>
      </c>
      <c r="B68" s="1" t="s">
        <v>15</v>
      </c>
      <c r="C68" s="11" t="s">
        <v>2249</v>
      </c>
      <c r="D68" s="11" t="s">
        <v>1234</v>
      </c>
      <c r="F68" t="s">
        <v>2250</v>
      </c>
      <c r="I68" s="5">
        <f>I57*I69</f>
        <v>0</v>
      </c>
      <c r="J68" s="5" t="s">
        <v>1173</v>
      </c>
      <c r="M68" t="s">
        <v>756</v>
      </c>
    </row>
    <row r="69" customHeight="1" spans="1:16">
      <c r="A69" s="1" t="s">
        <v>236</v>
      </c>
      <c r="B69" s="1" t="s">
        <v>160</v>
      </c>
      <c r="C69" s="10" t="s">
        <v>2250</v>
      </c>
      <c r="D69" s="10" t="s">
        <v>1236</v>
      </c>
      <c r="H69" s="5" t="e">
        <f>H68/H57</f>
        <v>#DIV/0!</v>
      </c>
      <c r="J69" s="5" t="s">
        <v>783</v>
      </c>
      <c r="M69" t="s">
        <v>1237</v>
      </c>
      <c r="P69" t="s">
        <v>164</v>
      </c>
    </row>
    <row r="70" customHeight="1" spans="1:16">
      <c r="A70" s="10"/>
      <c r="B70" s="10"/>
      <c r="C70" s="10"/>
      <c r="D70" s="10"/>
    </row>
    <row r="71" customHeight="1" spans="1:16">
      <c r="A71" s="7" t="s">
        <v>14</v>
      </c>
      <c r="B71" s="7" t="s">
        <v>31</v>
      </c>
      <c r="C71" s="11" t="s">
        <v>2251</v>
      </c>
      <c r="D71" s="11" t="s">
        <v>1239</v>
      </c>
      <c r="F71" t="s">
        <v>2252</v>
      </c>
      <c r="H71" s="5">
        <f>H72+H74+H77</f>
        <v>0</v>
      </c>
      <c r="I71" s="5">
        <f>I72+I74+I77</f>
        <v>0</v>
      </c>
      <c r="M71" t="s">
        <v>827</v>
      </c>
    </row>
    <row r="72" customHeight="1" spans="1:16">
      <c r="A72" s="7" t="s">
        <v>21</v>
      </c>
      <c r="B72" s="7" t="s">
        <v>31</v>
      </c>
      <c r="C72" s="11" t="s">
        <v>2253</v>
      </c>
      <c r="D72" s="11" t="s">
        <v>1242</v>
      </c>
      <c r="F72" t="s">
        <v>2254</v>
      </c>
      <c r="I72" s="5">
        <f>I38*I73</f>
        <v>0</v>
      </c>
      <c r="J72" s="5" t="s">
        <v>1173</v>
      </c>
      <c r="M72" t="s">
        <v>1244</v>
      </c>
    </row>
    <row r="73" customHeight="1" spans="1:16">
      <c r="A73" s="1" t="s">
        <v>26</v>
      </c>
      <c r="B73" s="1" t="s">
        <v>160</v>
      </c>
      <c r="C73" s="10" t="s">
        <v>2254</v>
      </c>
      <c r="D73" s="10" t="s">
        <v>1993</v>
      </c>
      <c r="H73" s="5" t="e">
        <f>H72/H38</f>
        <v>#DIV/0!</v>
      </c>
      <c r="J73" s="5" t="s">
        <v>783</v>
      </c>
      <c r="M73" t="s">
        <v>1248</v>
      </c>
      <c r="P73" t="s">
        <v>164</v>
      </c>
    </row>
    <row r="74" customHeight="1" spans="1:16">
      <c r="A74" s="7" t="s">
        <v>21</v>
      </c>
      <c r="B74" s="7" t="s">
        <v>31</v>
      </c>
      <c r="C74" s="11" t="s">
        <v>2255</v>
      </c>
      <c r="D74" s="11" t="s">
        <v>1258</v>
      </c>
      <c r="F74" t="s">
        <v>2256</v>
      </c>
      <c r="H74" s="5">
        <f>H75</f>
        <v>0</v>
      </c>
      <c r="I74" s="5">
        <f>I75</f>
        <v>0</v>
      </c>
      <c r="M74" t="s">
        <v>1260</v>
      </c>
    </row>
    <row r="75" customHeight="1" spans="1:16">
      <c r="A75" s="1" t="s">
        <v>26</v>
      </c>
      <c r="B75" s="1" t="s">
        <v>31</v>
      </c>
      <c r="C75" s="10" t="s">
        <v>2256</v>
      </c>
      <c r="D75" s="10" t="s">
        <v>1261</v>
      </c>
      <c r="F75" t="s">
        <v>2257</v>
      </c>
      <c r="I75" s="5">
        <f>I57*I76</f>
        <v>0</v>
      </c>
      <c r="J75" s="5" t="s">
        <v>1173</v>
      </c>
      <c r="M75" t="s">
        <v>1263</v>
      </c>
    </row>
    <row r="76" customHeight="1" spans="1:16">
      <c r="A76" s="1" t="s">
        <v>236</v>
      </c>
      <c r="B76" s="1" t="s">
        <v>160</v>
      </c>
      <c r="C76" s="10" t="s">
        <v>2257</v>
      </c>
      <c r="D76" s="10" t="s">
        <v>1264</v>
      </c>
      <c r="H76" s="5" t="e">
        <f>H75/H57</f>
        <v>#DIV/0!</v>
      </c>
      <c r="J76" s="5" t="s">
        <v>783</v>
      </c>
      <c r="M76" t="s">
        <v>1265</v>
      </c>
      <c r="P76" t="s">
        <v>164</v>
      </c>
    </row>
    <row r="77" customHeight="1" spans="1:16">
      <c r="A77" s="7" t="s">
        <v>21</v>
      </c>
      <c r="B77" s="7" t="s">
        <v>31</v>
      </c>
      <c r="C77" s="11" t="s">
        <v>2258</v>
      </c>
      <c r="D77" s="11" t="s">
        <v>1267</v>
      </c>
      <c r="F77" t="s">
        <v>2259</v>
      </c>
      <c r="H77" s="5">
        <f>H78</f>
        <v>0</v>
      </c>
      <c r="I77" s="5">
        <f>I78</f>
        <v>0</v>
      </c>
      <c r="M77" t="s">
        <v>1269</v>
      </c>
    </row>
    <row r="78" customHeight="1" spans="1:16">
      <c r="A78" s="1" t="s">
        <v>26</v>
      </c>
      <c r="B78" s="1" t="s">
        <v>31</v>
      </c>
      <c r="C78" s="10" t="s">
        <v>2259</v>
      </c>
      <c r="D78" s="10" t="s">
        <v>1270</v>
      </c>
      <c r="M78" t="s">
        <v>1271</v>
      </c>
      <c r="P78" t="s">
        <v>43</v>
      </c>
    </row>
    <row r="79" customHeight="1" spans="1:16">
      <c r="A79" s="1"/>
      <c r="B79" s="1"/>
      <c r="C79" s="10"/>
      <c r="D79" s="10"/>
    </row>
    <row r="80" customHeight="1" spans="1:16">
      <c r="A80" s="11" t="s">
        <v>14</v>
      </c>
      <c r="B80" s="11" t="s">
        <v>31</v>
      </c>
      <c r="C80" s="11" t="s">
        <v>2260</v>
      </c>
      <c r="D80" s="11" t="s">
        <v>1273</v>
      </c>
      <c r="E80" s="12"/>
      <c r="F80" s="12" t="s">
        <v>2261</v>
      </c>
      <c r="G80" s="12"/>
      <c r="H80" s="12">
        <f>H81+H87</f>
        <v>0</v>
      </c>
      <c r="I80" s="12">
        <f>I81+I87</f>
        <v>0</v>
      </c>
      <c r="J80" s="12"/>
      <c r="M80" t="s">
        <v>35</v>
      </c>
    </row>
    <row r="81" customHeight="1" spans="1:16">
      <c r="A81" s="11" t="s">
        <v>21</v>
      </c>
      <c r="B81" s="11" t="s">
        <v>31</v>
      </c>
      <c r="C81" s="11" t="s">
        <v>2262</v>
      </c>
      <c r="D81" s="11" t="s">
        <v>1276</v>
      </c>
      <c r="F81" t="s">
        <v>2263</v>
      </c>
      <c r="H81" s="5">
        <f>H83+H85</f>
        <v>0</v>
      </c>
      <c r="I81" s="5">
        <f>I83+I85</f>
        <v>0</v>
      </c>
      <c r="M81" t="s">
        <v>767</v>
      </c>
    </row>
    <row r="82" customHeight="1" spans="1:16">
      <c r="A82" s="10" t="s">
        <v>26</v>
      </c>
      <c r="B82" s="10" t="s">
        <v>160</v>
      </c>
      <c r="C82" s="10" t="s">
        <v>2264</v>
      </c>
      <c r="D82" s="10" t="s">
        <v>1278</v>
      </c>
      <c r="H82" s="5" t="e">
        <f>H81/H49</f>
        <v>#DIV/0!</v>
      </c>
      <c r="I82" s="5" t="e">
        <f>I81/I49</f>
        <v>#DIV/0!</v>
      </c>
      <c r="J82" s="5" t="s">
        <v>783</v>
      </c>
      <c r="M82" t="s">
        <v>1279</v>
      </c>
      <c r="P82" t="s">
        <v>164</v>
      </c>
    </row>
    <row r="83" customHeight="1" spans="1:16">
      <c r="A83" s="10" t="s">
        <v>26</v>
      </c>
      <c r="B83" s="10" t="s">
        <v>31</v>
      </c>
      <c r="C83" s="10" t="s">
        <v>2265</v>
      </c>
      <c r="D83" s="10" t="s">
        <v>2266</v>
      </c>
      <c r="F83" t="s">
        <v>2267</v>
      </c>
      <c r="I83" s="5">
        <f>I50*I84</f>
        <v>0</v>
      </c>
      <c r="J83" s="5" t="s">
        <v>1173</v>
      </c>
      <c r="M83" t="s">
        <v>1686</v>
      </c>
    </row>
    <row r="84" customHeight="1" spans="1:16">
      <c r="A84" s="10" t="s">
        <v>236</v>
      </c>
      <c r="B84" s="10" t="s">
        <v>160</v>
      </c>
      <c r="C84" s="10" t="s">
        <v>2267</v>
      </c>
      <c r="D84" s="10" t="s">
        <v>2268</v>
      </c>
      <c r="H84" s="5" t="e">
        <f>H83/H50</f>
        <v>#DIV/0!</v>
      </c>
      <c r="J84" s="5" t="s">
        <v>783</v>
      </c>
      <c r="M84" t="s">
        <v>1689</v>
      </c>
      <c r="P84" t="s">
        <v>164</v>
      </c>
    </row>
    <row r="85" customHeight="1" spans="1:16">
      <c r="A85" s="10" t="s">
        <v>26</v>
      </c>
      <c r="B85" s="10" t="s">
        <v>31</v>
      </c>
      <c r="C85" s="10" t="s">
        <v>2269</v>
      </c>
      <c r="D85" s="10" t="s">
        <v>2270</v>
      </c>
      <c r="F85" t="s">
        <v>2271</v>
      </c>
      <c r="I85" s="5">
        <f>I51*I86</f>
        <v>0</v>
      </c>
      <c r="J85" s="5" t="s">
        <v>1173</v>
      </c>
      <c r="M85" t="s">
        <v>1699</v>
      </c>
    </row>
    <row r="86" customHeight="1" spans="1:16">
      <c r="A86" s="10" t="s">
        <v>236</v>
      </c>
      <c r="B86" s="10" t="s">
        <v>160</v>
      </c>
      <c r="C86" s="10" t="s">
        <v>2271</v>
      </c>
      <c r="D86" s="10" t="s">
        <v>2272</v>
      </c>
      <c r="H86" s="5" t="e">
        <f>H85/H51</f>
        <v>#DIV/0!</v>
      </c>
      <c r="J86" s="5" t="s">
        <v>783</v>
      </c>
      <c r="M86" t="s">
        <v>1702</v>
      </c>
      <c r="P86" t="s">
        <v>164</v>
      </c>
    </row>
    <row r="87" customHeight="1" spans="1:16">
      <c r="A87" s="7" t="s">
        <v>21</v>
      </c>
      <c r="B87" s="7" t="s">
        <v>31</v>
      </c>
      <c r="C87" s="11" t="s">
        <v>2273</v>
      </c>
      <c r="D87" s="11" t="s">
        <v>2002</v>
      </c>
      <c r="F87" t="s">
        <v>2274</v>
      </c>
      <c r="H87" s="5">
        <f>H88</f>
        <v>0</v>
      </c>
      <c r="I87" s="5">
        <f>I88</f>
        <v>0</v>
      </c>
      <c r="M87" t="s">
        <v>1283</v>
      </c>
    </row>
    <row r="88" customHeight="1" spans="1:16">
      <c r="A88" s="1" t="s">
        <v>26</v>
      </c>
      <c r="B88" s="1" t="s">
        <v>31</v>
      </c>
      <c r="C88" s="10" t="s">
        <v>2274</v>
      </c>
      <c r="D88" s="10" t="s">
        <v>2004</v>
      </c>
      <c r="F88" t="s">
        <v>2275</v>
      </c>
      <c r="I88" s="5">
        <f>I61*I89</f>
        <v>0</v>
      </c>
      <c r="J88" s="5" t="s">
        <v>1173</v>
      </c>
      <c r="M88" t="s">
        <v>771</v>
      </c>
    </row>
    <row r="89" customHeight="1" spans="1:16">
      <c r="A89" s="1" t="s">
        <v>236</v>
      </c>
      <c r="B89" s="1" t="s">
        <v>160</v>
      </c>
      <c r="C89" s="10" t="s">
        <v>2275</v>
      </c>
      <c r="D89" s="10" t="s">
        <v>2006</v>
      </c>
      <c r="H89" s="5" t="e">
        <f>H88/H61</f>
        <v>#DIV/0!</v>
      </c>
      <c r="J89" s="5" t="s">
        <v>783</v>
      </c>
      <c r="M89" t="s">
        <v>1287</v>
      </c>
      <c r="P89" t="s">
        <v>164</v>
      </c>
    </row>
    <row r="90" customHeight="1" spans="1:16">
      <c r="A90" s="1"/>
      <c r="B90" s="10"/>
      <c r="C90" s="10"/>
      <c r="D90" s="10"/>
    </row>
    <row r="91" customHeight="1" spans="1:16">
      <c r="A91" s="7" t="s">
        <v>14</v>
      </c>
      <c r="B91" s="7" t="s">
        <v>15</v>
      </c>
      <c r="C91" s="11" t="s">
        <v>2276</v>
      </c>
      <c r="D91" s="11" t="s">
        <v>1289</v>
      </c>
      <c r="E91" s="12"/>
      <c r="F91" s="12" t="s">
        <v>2277</v>
      </c>
      <c r="G91" s="12"/>
      <c r="H91" s="12">
        <f>H92+H98+H101</f>
        <v>0</v>
      </c>
      <c r="I91" s="12">
        <f>I92+I98+I101</f>
        <v>0</v>
      </c>
      <c r="J91" s="12"/>
      <c r="M91" t="s">
        <v>834</v>
      </c>
    </row>
    <row r="92" customHeight="1" spans="1:16">
      <c r="A92" s="7" t="s">
        <v>21</v>
      </c>
      <c r="B92" s="7" t="s">
        <v>15</v>
      </c>
      <c r="C92" s="11" t="s">
        <v>2278</v>
      </c>
      <c r="D92" s="11" t="s">
        <v>1292</v>
      </c>
      <c r="F92" t="s">
        <v>2279</v>
      </c>
      <c r="H92" s="5">
        <f>H94+H96</f>
        <v>0</v>
      </c>
      <c r="I92" s="5">
        <f>I94+I96</f>
        <v>0</v>
      </c>
      <c r="M92" t="s">
        <v>1294</v>
      </c>
    </row>
    <row r="93" customHeight="1" spans="1:16">
      <c r="A93" s="1" t="s">
        <v>26</v>
      </c>
      <c r="B93" s="1" t="s">
        <v>160</v>
      </c>
      <c r="C93" s="10" t="s">
        <v>2280</v>
      </c>
      <c r="D93" s="10" t="s">
        <v>1295</v>
      </c>
      <c r="H93" s="5" t="e">
        <f>H92/H49</f>
        <v>#DIV/0!</v>
      </c>
      <c r="I93" s="5" t="e">
        <f>I92/I49</f>
        <v>#DIV/0!</v>
      </c>
      <c r="J93" s="5" t="s">
        <v>783</v>
      </c>
      <c r="M93" t="s">
        <v>1296</v>
      </c>
      <c r="P93" t="s">
        <v>164</v>
      </c>
    </row>
    <row r="94" customHeight="1" spans="1:16">
      <c r="A94" s="1" t="s">
        <v>26</v>
      </c>
      <c r="B94" s="1" t="s">
        <v>15</v>
      </c>
      <c r="C94" s="10" t="s">
        <v>2281</v>
      </c>
      <c r="D94" s="10" t="s">
        <v>2282</v>
      </c>
      <c r="F94" t="s">
        <v>2283</v>
      </c>
      <c r="I94" s="5">
        <f>I50*I95</f>
        <v>0</v>
      </c>
      <c r="J94" s="5" t="s">
        <v>1173</v>
      </c>
      <c r="M94" t="s">
        <v>2284</v>
      </c>
    </row>
    <row r="95" customHeight="1" spans="1:16">
      <c r="A95" s="1" t="s">
        <v>236</v>
      </c>
      <c r="B95" s="1" t="s">
        <v>160</v>
      </c>
      <c r="C95" s="10" t="s">
        <v>2283</v>
      </c>
      <c r="D95" s="10" t="s">
        <v>2285</v>
      </c>
      <c r="H95" s="5" t="e">
        <f>H94/H50</f>
        <v>#DIV/0!</v>
      </c>
      <c r="J95" s="5" t="s">
        <v>783</v>
      </c>
      <c r="M95" t="s">
        <v>2286</v>
      </c>
      <c r="P95" t="s">
        <v>164</v>
      </c>
    </row>
    <row r="96" customHeight="1" spans="1:16">
      <c r="A96" s="1" t="s">
        <v>26</v>
      </c>
      <c r="B96" s="1" t="s">
        <v>15</v>
      </c>
      <c r="C96" s="10" t="s">
        <v>2287</v>
      </c>
      <c r="D96" s="10" t="s">
        <v>2288</v>
      </c>
      <c r="F96" t="s">
        <v>2289</v>
      </c>
      <c r="I96" s="5">
        <f>I51*I97</f>
        <v>0</v>
      </c>
      <c r="J96" s="5" t="s">
        <v>1173</v>
      </c>
      <c r="M96" t="s">
        <v>2290</v>
      </c>
    </row>
    <row r="97" customHeight="1" spans="1:16">
      <c r="A97" s="1" t="s">
        <v>236</v>
      </c>
      <c r="B97" s="1" t="s">
        <v>160</v>
      </c>
      <c r="C97" s="10" t="s">
        <v>2289</v>
      </c>
      <c r="D97" s="10" t="s">
        <v>2291</v>
      </c>
      <c r="H97" s="5" t="e">
        <f>H96/H51</f>
        <v>#DIV/0!</v>
      </c>
      <c r="J97" s="5" t="s">
        <v>783</v>
      </c>
      <c r="M97" t="s">
        <v>2292</v>
      </c>
      <c r="P97" t="s">
        <v>164</v>
      </c>
    </row>
    <row r="98" customHeight="1" spans="1:16">
      <c r="A98" s="12" t="s">
        <v>21</v>
      </c>
      <c r="B98" s="12" t="s">
        <v>15</v>
      </c>
      <c r="C98" s="11" t="s">
        <v>2293</v>
      </c>
      <c r="D98" s="12" t="s">
        <v>1298</v>
      </c>
      <c r="F98" t="s">
        <v>2294</v>
      </c>
      <c r="H98" s="5">
        <f>H99</f>
        <v>0</v>
      </c>
      <c r="I98" s="5">
        <f>I99</f>
        <v>0</v>
      </c>
      <c r="M98" t="s">
        <v>1300</v>
      </c>
    </row>
    <row r="99" customHeight="1" spans="1:16">
      <c r="A99" s="5" t="s">
        <v>26</v>
      </c>
      <c r="B99" s="5" t="s">
        <v>15</v>
      </c>
      <c r="C99" s="10" t="s">
        <v>2294</v>
      </c>
      <c r="D99" s="5" t="s">
        <v>1301</v>
      </c>
      <c r="F99" t="s">
        <v>2295</v>
      </c>
      <c r="I99" s="5">
        <f>I61*I100</f>
        <v>0</v>
      </c>
      <c r="J99" s="5" t="s">
        <v>1173</v>
      </c>
      <c r="M99" t="s">
        <v>1303</v>
      </c>
    </row>
    <row r="100" customHeight="1" spans="1:16">
      <c r="A100" s="5" t="s">
        <v>236</v>
      </c>
      <c r="B100" s="5" t="s">
        <v>160</v>
      </c>
      <c r="C100" s="10" t="s">
        <v>2295</v>
      </c>
      <c r="D100" s="5" t="s">
        <v>1304</v>
      </c>
      <c r="H100" s="5" t="e">
        <f>H99/H61</f>
        <v>#DIV/0!</v>
      </c>
      <c r="J100" s="5" t="s">
        <v>783</v>
      </c>
      <c r="M100" t="s">
        <v>1305</v>
      </c>
      <c r="P100" t="s">
        <v>164</v>
      </c>
    </row>
    <row r="101" customHeight="1" spans="1:16">
      <c r="A101" s="7" t="s">
        <v>21</v>
      </c>
      <c r="B101" s="7" t="s">
        <v>15</v>
      </c>
      <c r="C101" s="11" t="s">
        <v>2296</v>
      </c>
      <c r="D101" s="11" t="s">
        <v>1746</v>
      </c>
      <c r="F101" t="s">
        <v>2297</v>
      </c>
      <c r="H101" s="5">
        <f>H102</f>
        <v>0</v>
      </c>
      <c r="I101" s="5">
        <f>I102</f>
        <v>0</v>
      </c>
      <c r="M101" t="s">
        <v>2016</v>
      </c>
    </row>
    <row r="102" customHeight="1" spans="1:16">
      <c r="A102" s="1" t="s">
        <v>26</v>
      </c>
      <c r="B102" s="1" t="s">
        <v>15</v>
      </c>
      <c r="C102" s="10" t="s">
        <v>2297</v>
      </c>
      <c r="D102" s="10" t="s">
        <v>2017</v>
      </c>
      <c r="M102" t="s">
        <v>2019</v>
      </c>
      <c r="P102" t="s">
        <v>43</v>
      </c>
    </row>
    <row r="103" customHeight="1" spans="1:16">
      <c r="A103" s="1"/>
      <c r="B103" s="10"/>
      <c r="C103" s="10"/>
      <c r="D103" s="10"/>
    </row>
    <row r="104" customHeight="1" spans="1:16">
      <c r="A104" s="10"/>
      <c r="B104" s="10"/>
      <c r="C104" s="10"/>
      <c r="D104" s="10"/>
    </row>
    <row r="105" customHeight="1" spans="1:16">
      <c r="A105" s="11" t="s">
        <v>14</v>
      </c>
      <c r="B105" s="11" t="s">
        <v>15</v>
      </c>
      <c r="C105" s="11" t="s">
        <v>2298</v>
      </c>
      <c r="D105" s="11" t="s">
        <v>1307</v>
      </c>
      <c r="F105" t="s">
        <v>2299</v>
      </c>
      <c r="I105" s="5">
        <f>I106+I108</f>
        <v>0</v>
      </c>
      <c r="M105" t="s">
        <v>42</v>
      </c>
    </row>
    <row r="106" customHeight="1" spans="1:16">
      <c r="A106" s="11" t="s">
        <v>21</v>
      </c>
      <c r="B106" s="11" t="s">
        <v>15</v>
      </c>
      <c r="C106" s="11" t="s">
        <v>2300</v>
      </c>
      <c r="D106" s="11" t="s">
        <v>2301</v>
      </c>
      <c r="F106" t="s">
        <v>2302</v>
      </c>
      <c r="I106" s="5">
        <f>I52*I107</f>
        <v>0</v>
      </c>
      <c r="J106" s="5" t="s">
        <v>1173</v>
      </c>
      <c r="M106" t="s">
        <v>1759</v>
      </c>
    </row>
    <row r="107" customHeight="1" spans="1:16">
      <c r="A107" s="10" t="s">
        <v>26</v>
      </c>
      <c r="B107" s="1" t="s">
        <v>160</v>
      </c>
      <c r="C107" s="10" t="s">
        <v>2302</v>
      </c>
      <c r="D107" s="10" t="s">
        <v>1340</v>
      </c>
      <c r="H107" s="5" t="e">
        <f>H106/H52</f>
        <v>#DIV/0!</v>
      </c>
      <c r="J107" s="5" t="s">
        <v>783</v>
      </c>
      <c r="M107" t="s">
        <v>1761</v>
      </c>
      <c r="P107" t="s">
        <v>164</v>
      </c>
    </row>
    <row r="108" customHeight="1" spans="1:16">
      <c r="A108" s="11" t="s">
        <v>21</v>
      </c>
      <c r="B108" s="11" t="s">
        <v>15</v>
      </c>
      <c r="C108" s="11" t="s">
        <v>2303</v>
      </c>
      <c r="D108" s="11" t="s">
        <v>1419</v>
      </c>
      <c r="H108" s="5">
        <f>H105-H106</f>
        <v>0</v>
      </c>
      <c r="M108" t="s">
        <v>1356</v>
      </c>
      <c r="P108" t="s">
        <v>43</v>
      </c>
    </row>
    <row r="109" customHeight="1" spans="1:16">
      <c r="A109" s="10"/>
      <c r="B109" s="10"/>
      <c r="C109" s="10"/>
      <c r="D109" s="10"/>
    </row>
    <row r="110" customHeight="1" spans="1:16">
      <c r="A110" s="11" t="s">
        <v>14</v>
      </c>
      <c r="B110" s="11" t="s">
        <v>31</v>
      </c>
      <c r="C110" s="11" t="s">
        <v>2304</v>
      </c>
      <c r="D110" s="11" t="s">
        <v>1358</v>
      </c>
      <c r="F110" t="s">
        <v>2305</v>
      </c>
      <c r="I110" s="5">
        <f>I111+I113+I115</f>
        <v>0</v>
      </c>
      <c r="M110" t="s">
        <v>46</v>
      </c>
    </row>
    <row r="111" customHeight="1" spans="1:16">
      <c r="A111" s="11" t="s">
        <v>21</v>
      </c>
      <c r="B111" s="11" t="s">
        <v>31</v>
      </c>
      <c r="C111" s="11" t="s">
        <v>2306</v>
      </c>
      <c r="D111" s="11" t="s">
        <v>1372</v>
      </c>
      <c r="F111" t="s">
        <v>2307</v>
      </c>
      <c r="I111" s="5">
        <f>I52*I112</f>
        <v>0</v>
      </c>
      <c r="J111" s="5" t="s">
        <v>1173</v>
      </c>
      <c r="M111" t="s">
        <v>1374</v>
      </c>
    </row>
    <row r="112" customHeight="1" spans="1:16">
      <c r="A112" s="10" t="s">
        <v>26</v>
      </c>
      <c r="B112" s="1" t="s">
        <v>160</v>
      </c>
      <c r="C112" s="10" t="s">
        <v>2307</v>
      </c>
      <c r="D112" s="10" t="s">
        <v>1364</v>
      </c>
      <c r="H112" s="5" t="e">
        <f>H111/H52</f>
        <v>#DIV/0!</v>
      </c>
      <c r="J112" s="5" t="s">
        <v>783</v>
      </c>
      <c r="M112" t="s">
        <v>1375</v>
      </c>
      <c r="P112" t="s">
        <v>164</v>
      </c>
    </row>
    <row r="113" customHeight="1" spans="1:16">
      <c r="A113" s="11" t="s">
        <v>21</v>
      </c>
      <c r="B113" s="11" t="s">
        <v>31</v>
      </c>
      <c r="C113" s="11" t="s">
        <v>2308</v>
      </c>
      <c r="D113" s="11" t="s">
        <v>2309</v>
      </c>
      <c r="F113" t="s">
        <v>2310</v>
      </c>
      <c r="I113" s="5">
        <f>I52*I114</f>
        <v>0</v>
      </c>
      <c r="J113" s="5" t="s">
        <v>1173</v>
      </c>
      <c r="M113" t="s">
        <v>2311</v>
      </c>
    </row>
    <row r="114" customHeight="1" spans="1:16">
      <c r="A114" s="10" t="s">
        <v>26</v>
      </c>
      <c r="B114" s="1" t="s">
        <v>160</v>
      </c>
      <c r="C114" s="10" t="s">
        <v>2310</v>
      </c>
      <c r="D114" s="10" t="s">
        <v>1364</v>
      </c>
      <c r="H114" s="5" t="e">
        <f>H113/H52</f>
        <v>#DIV/0!</v>
      </c>
      <c r="J114" s="5" t="s">
        <v>783</v>
      </c>
      <c r="M114" t="s">
        <v>2312</v>
      </c>
      <c r="P114" t="s">
        <v>164</v>
      </c>
    </row>
    <row r="115" customHeight="1" spans="1:16">
      <c r="A115" s="11" t="s">
        <v>21</v>
      </c>
      <c r="B115" s="11" t="s">
        <v>31</v>
      </c>
      <c r="C115" s="11" t="s">
        <v>2313</v>
      </c>
      <c r="D115" s="11" t="s">
        <v>1419</v>
      </c>
      <c r="H115" s="5">
        <f>H110-H111-H113</f>
        <v>0</v>
      </c>
      <c r="M115" t="s">
        <v>1420</v>
      </c>
      <c r="P115" t="s">
        <v>43</v>
      </c>
    </row>
    <row r="116" customHeight="1" spans="1:16">
      <c r="A116" s="10"/>
      <c r="B116" s="10"/>
      <c r="C116" s="10"/>
      <c r="D116" s="10"/>
    </row>
    <row r="117" customHeight="1" spans="1:16">
      <c r="A117" s="11" t="s">
        <v>14</v>
      </c>
      <c r="B117" s="11" t="s">
        <v>15</v>
      </c>
      <c r="C117" s="11" t="s">
        <v>2314</v>
      </c>
      <c r="D117" s="11" t="s">
        <v>1422</v>
      </c>
      <c r="M117" t="s">
        <v>1423</v>
      </c>
      <c r="P117" t="s">
        <v>43</v>
      </c>
    </row>
    <row r="118" customHeight="1" spans="1:16">
      <c r="A118" s="10"/>
      <c r="B118" s="10"/>
      <c r="C118" s="10"/>
      <c r="D118" s="10"/>
    </row>
    <row r="119" customHeight="1" spans="1:16">
      <c r="A119" s="11" t="s">
        <v>14</v>
      </c>
      <c r="B119" s="11" t="s">
        <v>15</v>
      </c>
      <c r="C119" s="11" t="s">
        <v>2315</v>
      </c>
      <c r="D119" s="11" t="s">
        <v>1425</v>
      </c>
      <c r="M119" t="s">
        <v>1426</v>
      </c>
      <c r="P119" t="s">
        <v>43</v>
      </c>
    </row>
    <row r="120" customHeight="1" spans="1:16">
      <c r="A120" s="10"/>
      <c r="B120" s="10"/>
      <c r="C120" s="10"/>
      <c r="D120" s="10"/>
    </row>
    <row r="122" customHeight="1" spans="1:16">
      <c r="A122" t="s">
        <v>222</v>
      </c>
      <c r="B122" t="s">
        <v>223</v>
      </c>
      <c r="C122" t="s">
        <v>2</v>
      </c>
      <c r="D122" t="s">
        <v>3</v>
      </c>
      <c r="E122" t="s">
        <v>4</v>
      </c>
      <c r="F122" t="s">
        <v>5</v>
      </c>
      <c r="J122" t="s">
        <v>9</v>
      </c>
      <c r="K122" t="s">
        <v>10</v>
      </c>
    </row>
    <row r="123" customHeight="1" spans="1:16">
      <c r="A123" t="s">
        <v>14</v>
      </c>
      <c r="B123" t="s">
        <v>31</v>
      </c>
      <c r="C123" t="s">
        <v>2316</v>
      </c>
      <c r="D123" t="s">
        <v>927</v>
      </c>
      <c r="F123" t="s">
        <v>2178</v>
      </c>
      <c r="K123" t="s">
        <v>19</v>
      </c>
      <c r="M123" t="s">
        <v>227</v>
      </c>
    </row>
    <row r="124" customHeight="1" spans="1:16">
      <c r="A124" t="s">
        <v>21</v>
      </c>
      <c r="B124" t="s">
        <v>31</v>
      </c>
      <c r="C124" t="s">
        <v>2317</v>
      </c>
      <c r="D124" t="s">
        <v>929</v>
      </c>
      <c r="F124" t="s">
        <v>2180</v>
      </c>
      <c r="K124" t="s">
        <v>19</v>
      </c>
      <c r="M124" t="s">
        <v>231</v>
      </c>
    </row>
    <row r="125" customHeight="1" spans="1:16">
      <c r="A125" t="s">
        <v>26</v>
      </c>
      <c r="B125" t="s">
        <v>31</v>
      </c>
      <c r="C125" t="s">
        <v>2318</v>
      </c>
      <c r="D125" t="s">
        <v>233</v>
      </c>
      <c r="F125" t="s">
        <v>2182</v>
      </c>
      <c r="K125" t="s">
        <v>19</v>
      </c>
      <c r="M125" t="s">
        <v>235</v>
      </c>
    </row>
    <row r="126" customHeight="1" spans="1:16">
      <c r="A126" t="s">
        <v>236</v>
      </c>
      <c r="B126" t="s">
        <v>31</v>
      </c>
      <c r="C126" t="s">
        <v>2319</v>
      </c>
      <c r="D126" t="s">
        <v>238</v>
      </c>
      <c r="F126" t="s">
        <v>2320</v>
      </c>
      <c r="K126" t="s">
        <v>19</v>
      </c>
      <c r="M126" t="s">
        <v>240</v>
      </c>
    </row>
    <row r="127" customHeight="1" spans="1:16">
      <c r="A127" t="s">
        <v>241</v>
      </c>
      <c r="B127" t="s">
        <v>31</v>
      </c>
      <c r="C127" t="s">
        <v>2321</v>
      </c>
      <c r="D127" t="s">
        <v>243</v>
      </c>
      <c r="K127" t="s">
        <v>19</v>
      </c>
      <c r="M127" t="s">
        <v>244</v>
      </c>
      <c r="P127" t="s">
        <v>43</v>
      </c>
    </row>
    <row r="128" customHeight="1" spans="1:16">
      <c r="A128" t="s">
        <v>241</v>
      </c>
      <c r="B128" t="s">
        <v>31</v>
      </c>
      <c r="C128" t="s">
        <v>2322</v>
      </c>
      <c r="D128" t="s">
        <v>246</v>
      </c>
      <c r="K128" t="s">
        <v>19</v>
      </c>
      <c r="M128" t="s">
        <v>247</v>
      </c>
      <c r="P128" t="s">
        <v>43</v>
      </c>
    </row>
    <row r="129" customHeight="1" spans="1:16">
      <c r="A129" t="s">
        <v>236</v>
      </c>
      <c r="B129" t="s">
        <v>31</v>
      </c>
      <c r="C129" t="s">
        <v>2323</v>
      </c>
      <c r="D129" t="s">
        <v>249</v>
      </c>
      <c r="F129" t="s">
        <v>2324</v>
      </c>
      <c r="K129" t="s">
        <v>19</v>
      </c>
      <c r="M129" t="s">
        <v>251</v>
      </c>
    </row>
    <row r="130" customHeight="1" spans="1:16">
      <c r="A130" t="s">
        <v>241</v>
      </c>
      <c r="B130" t="s">
        <v>31</v>
      </c>
      <c r="C130" t="s">
        <v>2325</v>
      </c>
      <c r="D130" t="s">
        <v>253</v>
      </c>
      <c r="K130" t="s">
        <v>19</v>
      </c>
      <c r="M130" t="s">
        <v>254</v>
      </c>
      <c r="P130" t="s">
        <v>43</v>
      </c>
    </row>
    <row r="131" customHeight="1" spans="1:16">
      <c r="A131" t="s">
        <v>241</v>
      </c>
      <c r="B131" t="s">
        <v>31</v>
      </c>
      <c r="C131" t="s">
        <v>2326</v>
      </c>
      <c r="D131" t="s">
        <v>256</v>
      </c>
      <c r="K131" t="s">
        <v>19</v>
      </c>
      <c r="M131" t="s">
        <v>257</v>
      </c>
      <c r="P131" t="s">
        <v>43</v>
      </c>
    </row>
    <row r="132" customHeight="1" spans="1:16">
      <c r="A132" t="s">
        <v>236</v>
      </c>
      <c r="B132" t="s">
        <v>31</v>
      </c>
      <c r="C132" t="s">
        <v>2327</v>
      </c>
      <c r="D132" t="s">
        <v>259</v>
      </c>
      <c r="F132" t="s">
        <v>2328</v>
      </c>
      <c r="K132" t="s">
        <v>19</v>
      </c>
      <c r="M132" t="s">
        <v>261</v>
      </c>
    </row>
    <row r="133" customHeight="1" spans="1:16">
      <c r="A133" t="s">
        <v>241</v>
      </c>
      <c r="B133" t="s">
        <v>31</v>
      </c>
      <c r="C133" t="s">
        <v>2329</v>
      </c>
      <c r="D133" t="s">
        <v>263</v>
      </c>
      <c r="F133" t="s">
        <v>2330</v>
      </c>
      <c r="K133" t="s">
        <v>19</v>
      </c>
      <c r="M133" t="s">
        <v>265</v>
      </c>
    </row>
    <row r="134" customHeight="1" spans="1:16">
      <c r="A134" t="s">
        <v>266</v>
      </c>
      <c r="B134" t="s">
        <v>31</v>
      </c>
      <c r="C134" t="s">
        <v>2331</v>
      </c>
      <c r="D134" t="s">
        <v>268</v>
      </c>
      <c r="K134" t="s">
        <v>19</v>
      </c>
      <c r="M134" t="s">
        <v>269</v>
      </c>
      <c r="P134" t="s">
        <v>43</v>
      </c>
    </row>
    <row r="135" customHeight="1" spans="1:16">
      <c r="A135" t="s">
        <v>266</v>
      </c>
      <c r="B135" t="s">
        <v>31</v>
      </c>
      <c r="C135" t="s">
        <v>2332</v>
      </c>
      <c r="D135" t="s">
        <v>271</v>
      </c>
      <c r="K135" t="s">
        <v>19</v>
      </c>
      <c r="M135" t="s">
        <v>272</v>
      </c>
      <c r="P135" t="s">
        <v>43</v>
      </c>
    </row>
    <row r="136" customHeight="1" spans="1:16">
      <c r="A136" t="s">
        <v>241</v>
      </c>
      <c r="B136" t="s">
        <v>31</v>
      </c>
      <c r="C136" t="s">
        <v>2333</v>
      </c>
      <c r="D136" t="s">
        <v>2334</v>
      </c>
      <c r="K136" t="s">
        <v>19</v>
      </c>
      <c r="M136" t="s">
        <v>275</v>
      </c>
      <c r="P136" t="s">
        <v>43</v>
      </c>
    </row>
    <row r="137" customHeight="1" spans="1:16">
      <c r="A137" t="s">
        <v>266</v>
      </c>
      <c r="B137" t="s">
        <v>31</v>
      </c>
      <c r="C137" t="s">
        <v>2335</v>
      </c>
      <c r="D137" t="s">
        <v>277</v>
      </c>
      <c r="K137" t="s">
        <v>19</v>
      </c>
      <c r="M137" t="s">
        <v>278</v>
      </c>
      <c r="P137" t="s">
        <v>43</v>
      </c>
    </row>
    <row r="138" customHeight="1" spans="1:16">
      <c r="A138" t="s">
        <v>241</v>
      </c>
      <c r="B138" t="s">
        <v>31</v>
      </c>
      <c r="C138" t="s">
        <v>2336</v>
      </c>
      <c r="D138" t="s">
        <v>2337</v>
      </c>
      <c r="K138" t="s">
        <v>19</v>
      </c>
      <c r="M138" t="s">
        <v>281</v>
      </c>
      <c r="P138" t="s">
        <v>43</v>
      </c>
    </row>
    <row r="139" customHeight="1" spans="1:16">
      <c r="A139" t="s">
        <v>266</v>
      </c>
      <c r="B139" t="s">
        <v>31</v>
      </c>
      <c r="C139" t="s">
        <v>2338</v>
      </c>
      <c r="D139" t="s">
        <v>283</v>
      </c>
      <c r="K139" t="s">
        <v>19</v>
      </c>
      <c r="M139" t="s">
        <v>284</v>
      </c>
      <c r="P139" t="s">
        <v>43</v>
      </c>
    </row>
    <row r="140" customHeight="1" spans="1:16">
      <c r="A140" t="s">
        <v>241</v>
      </c>
      <c r="B140" t="s">
        <v>31</v>
      </c>
      <c r="C140" t="s">
        <v>2339</v>
      </c>
      <c r="D140" t="s">
        <v>2340</v>
      </c>
      <c r="K140" t="s">
        <v>19</v>
      </c>
      <c r="M140" t="s">
        <v>287</v>
      </c>
      <c r="P140" t="s">
        <v>43</v>
      </c>
    </row>
    <row r="141" customHeight="1" spans="1:16">
      <c r="A141" t="s">
        <v>266</v>
      </c>
      <c r="B141" t="s">
        <v>31</v>
      </c>
      <c r="C141" t="s">
        <v>2341</v>
      </c>
      <c r="D141" t="s">
        <v>289</v>
      </c>
      <c r="K141" t="s">
        <v>19</v>
      </c>
      <c r="M141" t="s">
        <v>290</v>
      </c>
      <c r="P141" t="s">
        <v>43</v>
      </c>
    </row>
    <row r="142" customHeight="1" spans="1:16">
      <c r="A142" t="s">
        <v>236</v>
      </c>
      <c r="B142" t="s">
        <v>31</v>
      </c>
      <c r="C142" t="s">
        <v>2342</v>
      </c>
      <c r="D142" t="s">
        <v>2343</v>
      </c>
      <c r="K142" t="s">
        <v>19</v>
      </c>
      <c r="M142" t="s">
        <v>293</v>
      </c>
      <c r="P142" t="s">
        <v>43</v>
      </c>
    </row>
    <row r="143" customHeight="1" spans="1:16">
      <c r="A143" t="s">
        <v>241</v>
      </c>
      <c r="B143" t="s">
        <v>31</v>
      </c>
      <c r="C143" t="s">
        <v>2344</v>
      </c>
      <c r="D143" t="s">
        <v>295</v>
      </c>
      <c r="K143" t="s">
        <v>19</v>
      </c>
      <c r="M143" t="s">
        <v>296</v>
      </c>
      <c r="P143" t="s">
        <v>43</v>
      </c>
    </row>
    <row r="144" customHeight="1" spans="1:16">
      <c r="A144" t="s">
        <v>236</v>
      </c>
      <c r="B144" t="s">
        <v>31</v>
      </c>
      <c r="C144" t="s">
        <v>2345</v>
      </c>
      <c r="D144" t="s">
        <v>2346</v>
      </c>
      <c r="K144" t="s">
        <v>19</v>
      </c>
      <c r="M144" t="s">
        <v>299</v>
      </c>
      <c r="P144" t="s">
        <v>43</v>
      </c>
    </row>
    <row r="145" customHeight="1" spans="1:16">
      <c r="A145" t="s">
        <v>241</v>
      </c>
      <c r="B145" t="s">
        <v>31</v>
      </c>
      <c r="C145" t="s">
        <v>2347</v>
      </c>
      <c r="D145" t="s">
        <v>301</v>
      </c>
      <c r="K145" t="s">
        <v>19</v>
      </c>
      <c r="M145" t="s">
        <v>302</v>
      </c>
      <c r="P145" t="s">
        <v>43</v>
      </c>
    </row>
    <row r="146" customHeight="1" spans="1:16">
      <c r="A146" t="s">
        <v>26</v>
      </c>
      <c r="B146" t="s">
        <v>31</v>
      </c>
      <c r="C146" t="s">
        <v>2348</v>
      </c>
      <c r="D146" t="s">
        <v>304</v>
      </c>
      <c r="F146" t="s">
        <v>2184</v>
      </c>
      <c r="K146" t="s">
        <v>19</v>
      </c>
      <c r="M146" t="s">
        <v>306</v>
      </c>
    </row>
    <row r="147" customHeight="1" spans="1:16">
      <c r="A147" t="s">
        <v>236</v>
      </c>
      <c r="B147" t="s">
        <v>31</v>
      </c>
      <c r="C147" t="s">
        <v>2349</v>
      </c>
      <c r="D147" t="s">
        <v>238</v>
      </c>
      <c r="F147" t="s">
        <v>2350</v>
      </c>
      <c r="K147" t="s">
        <v>19</v>
      </c>
      <c r="M147" t="s">
        <v>309</v>
      </c>
    </row>
    <row r="148" customHeight="1" spans="1:16">
      <c r="A148" t="s">
        <v>241</v>
      </c>
      <c r="B148" t="s">
        <v>31</v>
      </c>
      <c r="C148" t="s">
        <v>2351</v>
      </c>
      <c r="D148" t="s">
        <v>243</v>
      </c>
      <c r="K148" t="s">
        <v>19</v>
      </c>
      <c r="M148" t="s">
        <v>311</v>
      </c>
      <c r="P148" t="s">
        <v>43</v>
      </c>
    </row>
    <row r="149" customHeight="1" spans="1:16">
      <c r="A149" t="s">
        <v>241</v>
      </c>
      <c r="B149" t="s">
        <v>31</v>
      </c>
      <c r="C149" t="s">
        <v>2352</v>
      </c>
      <c r="D149" t="s">
        <v>246</v>
      </c>
      <c r="K149" t="s">
        <v>19</v>
      </c>
      <c r="M149" t="s">
        <v>313</v>
      </c>
      <c r="P149" t="s">
        <v>43</v>
      </c>
    </row>
    <row r="150" customHeight="1" spans="1:16">
      <c r="A150" t="s">
        <v>236</v>
      </c>
      <c r="B150" t="s">
        <v>31</v>
      </c>
      <c r="C150" t="s">
        <v>2353</v>
      </c>
      <c r="D150" t="s">
        <v>249</v>
      </c>
      <c r="F150" t="s">
        <v>2354</v>
      </c>
      <c r="K150" t="s">
        <v>19</v>
      </c>
      <c r="M150" t="s">
        <v>316</v>
      </c>
    </row>
    <row r="151" customHeight="1" spans="1:16">
      <c r="A151" t="s">
        <v>241</v>
      </c>
      <c r="B151" t="s">
        <v>31</v>
      </c>
      <c r="C151" t="s">
        <v>2355</v>
      </c>
      <c r="D151" t="s">
        <v>253</v>
      </c>
      <c r="K151" t="s">
        <v>19</v>
      </c>
      <c r="M151" t="s">
        <v>318</v>
      </c>
      <c r="P151" t="s">
        <v>43</v>
      </c>
    </row>
    <row r="152" customHeight="1" spans="1:16">
      <c r="A152" t="s">
        <v>241</v>
      </c>
      <c r="B152" t="s">
        <v>31</v>
      </c>
      <c r="C152" t="s">
        <v>2356</v>
      </c>
      <c r="D152" t="s">
        <v>256</v>
      </c>
      <c r="K152" t="s">
        <v>19</v>
      </c>
      <c r="M152" t="s">
        <v>320</v>
      </c>
      <c r="P152" t="s">
        <v>43</v>
      </c>
    </row>
    <row r="153" customHeight="1" spans="1:16">
      <c r="A153" t="s">
        <v>236</v>
      </c>
      <c r="B153" t="s">
        <v>31</v>
      </c>
      <c r="C153" t="s">
        <v>2357</v>
      </c>
      <c r="D153" t="s">
        <v>259</v>
      </c>
      <c r="F153" t="s">
        <v>2358</v>
      </c>
      <c r="K153" t="s">
        <v>19</v>
      </c>
      <c r="M153" t="s">
        <v>323</v>
      </c>
    </row>
    <row r="154" customHeight="1" spans="1:16">
      <c r="A154" t="s">
        <v>241</v>
      </c>
      <c r="B154" t="s">
        <v>31</v>
      </c>
      <c r="C154" t="s">
        <v>2359</v>
      </c>
      <c r="D154" t="s">
        <v>263</v>
      </c>
      <c r="F154" t="s">
        <v>2360</v>
      </c>
      <c r="K154" t="s">
        <v>19</v>
      </c>
      <c r="M154" t="s">
        <v>326</v>
      </c>
    </row>
    <row r="155" customHeight="1" spans="1:16">
      <c r="A155" t="s">
        <v>266</v>
      </c>
      <c r="B155" t="s">
        <v>31</v>
      </c>
      <c r="C155" t="s">
        <v>2361</v>
      </c>
      <c r="D155" t="s">
        <v>268</v>
      </c>
      <c r="K155" t="s">
        <v>19</v>
      </c>
      <c r="M155" t="s">
        <v>328</v>
      </c>
      <c r="P155" t="s">
        <v>43</v>
      </c>
    </row>
    <row r="156" customHeight="1" spans="1:16">
      <c r="A156" t="s">
        <v>266</v>
      </c>
      <c r="B156" t="s">
        <v>31</v>
      </c>
      <c r="C156" t="s">
        <v>2362</v>
      </c>
      <c r="D156" t="s">
        <v>271</v>
      </c>
      <c r="K156" t="s">
        <v>19</v>
      </c>
      <c r="M156" t="s">
        <v>330</v>
      </c>
      <c r="P156" t="s">
        <v>43</v>
      </c>
    </row>
    <row r="157" customHeight="1" spans="1:16">
      <c r="A157" t="s">
        <v>241</v>
      </c>
      <c r="B157" t="s">
        <v>31</v>
      </c>
      <c r="C157" t="s">
        <v>2363</v>
      </c>
      <c r="D157" t="s">
        <v>2364</v>
      </c>
      <c r="K157" t="s">
        <v>19</v>
      </c>
      <c r="M157" t="s">
        <v>333</v>
      </c>
      <c r="P157" t="s">
        <v>43</v>
      </c>
    </row>
    <row r="158" customHeight="1" spans="1:16">
      <c r="A158" t="s">
        <v>266</v>
      </c>
      <c r="B158" t="s">
        <v>31</v>
      </c>
      <c r="C158" t="s">
        <v>2365</v>
      </c>
      <c r="D158" t="s">
        <v>277</v>
      </c>
      <c r="K158" t="s">
        <v>19</v>
      </c>
      <c r="M158" t="s">
        <v>335</v>
      </c>
      <c r="P158" t="s">
        <v>43</v>
      </c>
    </row>
    <row r="159" customHeight="1" spans="1:16">
      <c r="A159" t="s">
        <v>241</v>
      </c>
      <c r="B159" t="s">
        <v>31</v>
      </c>
      <c r="C159" t="s">
        <v>2366</v>
      </c>
      <c r="D159" t="s">
        <v>2367</v>
      </c>
      <c r="K159" t="s">
        <v>19</v>
      </c>
      <c r="M159" t="s">
        <v>338</v>
      </c>
      <c r="P159" t="s">
        <v>43</v>
      </c>
    </row>
    <row r="160" customHeight="1" spans="1:16">
      <c r="A160" t="s">
        <v>266</v>
      </c>
      <c r="B160" t="s">
        <v>31</v>
      </c>
      <c r="C160" t="s">
        <v>2368</v>
      </c>
      <c r="D160" t="s">
        <v>283</v>
      </c>
      <c r="K160" t="s">
        <v>19</v>
      </c>
      <c r="M160" t="s">
        <v>340</v>
      </c>
      <c r="P160" t="s">
        <v>43</v>
      </c>
    </row>
    <row r="161" customHeight="1" spans="1:16">
      <c r="A161" t="s">
        <v>241</v>
      </c>
      <c r="B161" t="s">
        <v>31</v>
      </c>
      <c r="C161" t="s">
        <v>2369</v>
      </c>
      <c r="D161" t="s">
        <v>2370</v>
      </c>
      <c r="K161" t="s">
        <v>19</v>
      </c>
      <c r="M161" t="s">
        <v>343</v>
      </c>
      <c r="P161" t="s">
        <v>43</v>
      </c>
    </row>
    <row r="162" customHeight="1" spans="1:16">
      <c r="A162" t="s">
        <v>266</v>
      </c>
      <c r="B162" t="s">
        <v>31</v>
      </c>
      <c r="C162" t="s">
        <v>2371</v>
      </c>
      <c r="D162" t="s">
        <v>289</v>
      </c>
      <c r="K162" t="s">
        <v>19</v>
      </c>
      <c r="M162" t="s">
        <v>345</v>
      </c>
      <c r="P162" t="s">
        <v>43</v>
      </c>
    </row>
    <row r="163" customHeight="1" spans="1:16">
      <c r="A163" t="s">
        <v>236</v>
      </c>
      <c r="B163" t="s">
        <v>31</v>
      </c>
      <c r="C163" t="s">
        <v>2372</v>
      </c>
      <c r="D163" t="s">
        <v>2373</v>
      </c>
      <c r="K163" t="s">
        <v>19</v>
      </c>
      <c r="M163" t="s">
        <v>348</v>
      </c>
      <c r="P163" t="s">
        <v>43</v>
      </c>
    </row>
    <row r="164" customHeight="1" spans="1:16">
      <c r="A164" t="s">
        <v>241</v>
      </c>
      <c r="B164" t="s">
        <v>31</v>
      </c>
      <c r="C164" t="s">
        <v>2374</v>
      </c>
      <c r="D164" t="s">
        <v>295</v>
      </c>
      <c r="K164" t="s">
        <v>19</v>
      </c>
      <c r="M164" t="s">
        <v>350</v>
      </c>
      <c r="P164" t="s">
        <v>43</v>
      </c>
    </row>
    <row r="165" customHeight="1" spans="1:16">
      <c r="A165" t="s">
        <v>236</v>
      </c>
      <c r="B165" t="s">
        <v>31</v>
      </c>
      <c r="C165" t="s">
        <v>2375</v>
      </c>
      <c r="D165" t="s">
        <v>2376</v>
      </c>
      <c r="K165" t="s">
        <v>19</v>
      </c>
      <c r="M165" t="s">
        <v>353</v>
      </c>
      <c r="P165" t="s">
        <v>43</v>
      </c>
    </row>
    <row r="166" customHeight="1" spans="1:16">
      <c r="A166" t="s">
        <v>241</v>
      </c>
      <c r="B166" t="s">
        <v>31</v>
      </c>
      <c r="C166" t="s">
        <v>2377</v>
      </c>
      <c r="D166" t="s">
        <v>301</v>
      </c>
      <c r="K166" t="s">
        <v>19</v>
      </c>
      <c r="M166" t="s">
        <v>355</v>
      </c>
      <c r="P166" t="s">
        <v>43</v>
      </c>
    </row>
    <row r="167" customHeight="1" spans="1:16">
      <c r="A167" t="s">
        <v>21</v>
      </c>
      <c r="B167" t="s">
        <v>31</v>
      </c>
      <c r="C167" t="s">
        <v>2378</v>
      </c>
      <c r="D167" t="s">
        <v>362</v>
      </c>
      <c r="F167" t="s">
        <v>2186</v>
      </c>
      <c r="K167" t="s">
        <v>19</v>
      </c>
      <c r="M167" t="s">
        <v>364</v>
      </c>
    </row>
    <row r="168" customHeight="1" spans="1:16">
      <c r="A168" t="s">
        <v>26</v>
      </c>
      <c r="B168" t="s">
        <v>31</v>
      </c>
      <c r="C168" t="s">
        <v>2379</v>
      </c>
      <c r="D168" t="s">
        <v>358</v>
      </c>
      <c r="K168" t="s">
        <v>19</v>
      </c>
      <c r="M168" t="s">
        <v>1063</v>
      </c>
      <c r="P168" t="s">
        <v>43</v>
      </c>
    </row>
    <row r="169" customHeight="1" spans="1:16">
      <c r="A169" t="s">
        <v>26</v>
      </c>
      <c r="B169" t="s">
        <v>31</v>
      </c>
      <c r="C169" t="s">
        <v>2380</v>
      </c>
      <c r="D169" t="s">
        <v>360</v>
      </c>
      <c r="K169" t="s">
        <v>19</v>
      </c>
      <c r="M169" t="s">
        <v>1065</v>
      </c>
      <c r="P169" t="s">
        <v>43</v>
      </c>
    </row>
    <row r="170" customHeight="1" spans="1:16">
      <c r="A170" t="s">
        <v>26</v>
      </c>
      <c r="B170" t="s">
        <v>31</v>
      </c>
      <c r="C170" t="s">
        <v>2381</v>
      </c>
      <c r="D170" t="s">
        <v>365</v>
      </c>
      <c r="F170" t="s">
        <v>2382</v>
      </c>
      <c r="K170" t="s">
        <v>19</v>
      </c>
      <c r="M170" t="s">
        <v>367</v>
      </c>
    </row>
    <row r="171" customHeight="1" spans="1:16">
      <c r="A171" t="s">
        <v>236</v>
      </c>
      <c r="B171" t="s">
        <v>31</v>
      </c>
      <c r="C171" t="s">
        <v>2383</v>
      </c>
      <c r="D171" t="s">
        <v>369</v>
      </c>
      <c r="F171" t="s">
        <v>2384</v>
      </c>
      <c r="K171" t="s">
        <v>19</v>
      </c>
      <c r="M171" t="s">
        <v>371</v>
      </c>
    </row>
    <row r="172" customHeight="1" spans="1:16">
      <c r="A172" t="s">
        <v>241</v>
      </c>
      <c r="B172" t="s">
        <v>31</v>
      </c>
      <c r="C172" t="s">
        <v>2385</v>
      </c>
      <c r="D172" t="s">
        <v>373</v>
      </c>
      <c r="K172" t="s">
        <v>19</v>
      </c>
      <c r="M172" t="s">
        <v>374</v>
      </c>
      <c r="P172" t="s">
        <v>43</v>
      </c>
    </row>
    <row r="173" customHeight="1" spans="1:16">
      <c r="A173" t="s">
        <v>241</v>
      </c>
      <c r="B173" t="s">
        <v>31</v>
      </c>
      <c r="C173" t="s">
        <v>2386</v>
      </c>
      <c r="D173" t="s">
        <v>376</v>
      </c>
      <c r="K173" t="s">
        <v>19</v>
      </c>
      <c r="M173" t="s">
        <v>377</v>
      </c>
      <c r="P173" t="s">
        <v>43</v>
      </c>
    </row>
    <row r="174" customHeight="1" spans="1:16">
      <c r="A174" t="s">
        <v>241</v>
      </c>
      <c r="B174" t="s">
        <v>31</v>
      </c>
      <c r="C174" t="s">
        <v>2387</v>
      </c>
      <c r="D174" t="s">
        <v>379</v>
      </c>
      <c r="K174" t="s">
        <v>19</v>
      </c>
      <c r="M174" t="s">
        <v>380</v>
      </c>
      <c r="P174" t="s">
        <v>43</v>
      </c>
    </row>
    <row r="175" customHeight="1" spans="1:16">
      <c r="A175" t="s">
        <v>241</v>
      </c>
      <c r="B175" t="s">
        <v>31</v>
      </c>
      <c r="C175" t="s">
        <v>2388</v>
      </c>
      <c r="D175" t="s">
        <v>382</v>
      </c>
      <c r="K175" t="s">
        <v>19</v>
      </c>
      <c r="M175" t="s">
        <v>383</v>
      </c>
      <c r="P175" t="s">
        <v>43</v>
      </c>
    </row>
    <row r="176" customHeight="1" spans="1:16">
      <c r="A176" t="s">
        <v>236</v>
      </c>
      <c r="B176" t="s">
        <v>31</v>
      </c>
      <c r="C176" t="s">
        <v>2389</v>
      </c>
      <c r="D176" t="s">
        <v>385</v>
      </c>
      <c r="F176" t="s">
        <v>2390</v>
      </c>
      <c r="K176" t="s">
        <v>19</v>
      </c>
      <c r="M176" t="s">
        <v>387</v>
      </c>
    </row>
    <row r="177" customHeight="1" spans="1:16">
      <c r="A177" t="s">
        <v>241</v>
      </c>
      <c r="B177" t="s">
        <v>31</v>
      </c>
      <c r="C177" t="s">
        <v>2391</v>
      </c>
      <c r="D177" t="s">
        <v>389</v>
      </c>
      <c r="K177" t="s">
        <v>19</v>
      </c>
      <c r="M177" t="s">
        <v>390</v>
      </c>
      <c r="P177" t="s">
        <v>43</v>
      </c>
    </row>
    <row r="178" customHeight="1" spans="1:16">
      <c r="A178" t="s">
        <v>241</v>
      </c>
      <c r="B178" t="s">
        <v>31</v>
      </c>
      <c r="C178" t="s">
        <v>2392</v>
      </c>
      <c r="D178" t="s">
        <v>392</v>
      </c>
      <c r="K178" t="s">
        <v>19</v>
      </c>
      <c r="M178" t="s">
        <v>393</v>
      </c>
      <c r="P178" t="s">
        <v>43</v>
      </c>
    </row>
    <row r="179" customHeight="1" spans="1:16">
      <c r="A179" t="s">
        <v>241</v>
      </c>
      <c r="B179" t="s">
        <v>31</v>
      </c>
      <c r="C179" t="s">
        <v>2393</v>
      </c>
      <c r="D179" t="s">
        <v>395</v>
      </c>
      <c r="K179" t="s">
        <v>19</v>
      </c>
      <c r="M179" t="s">
        <v>396</v>
      </c>
      <c r="P179" t="s">
        <v>43</v>
      </c>
    </row>
    <row r="180" customHeight="1" spans="1:16">
      <c r="A180" t="s">
        <v>241</v>
      </c>
      <c r="B180" t="s">
        <v>31</v>
      </c>
      <c r="C180" t="s">
        <v>2394</v>
      </c>
      <c r="D180" t="s">
        <v>398</v>
      </c>
      <c r="K180" t="s">
        <v>19</v>
      </c>
      <c r="M180" t="s">
        <v>399</v>
      </c>
      <c r="P180" t="s">
        <v>43</v>
      </c>
    </row>
    <row r="181" customHeight="1" spans="1:16">
      <c r="A181" t="s">
        <v>241</v>
      </c>
      <c r="B181" t="s">
        <v>31</v>
      </c>
      <c r="C181" t="s">
        <v>2395</v>
      </c>
      <c r="D181" t="s">
        <v>401</v>
      </c>
      <c r="K181" t="s">
        <v>19</v>
      </c>
      <c r="M181" t="s">
        <v>402</v>
      </c>
      <c r="P181" t="s">
        <v>43</v>
      </c>
    </row>
    <row r="182" customHeight="1" spans="1:16">
      <c r="A182" t="s">
        <v>241</v>
      </c>
      <c r="B182" t="s">
        <v>31</v>
      </c>
      <c r="C182" t="s">
        <v>2396</v>
      </c>
      <c r="D182" t="s">
        <v>404</v>
      </c>
      <c r="K182" t="s">
        <v>19</v>
      </c>
      <c r="M182" t="s">
        <v>405</v>
      </c>
      <c r="P182" t="s">
        <v>43</v>
      </c>
    </row>
    <row r="183" customHeight="1" spans="1:16">
      <c r="A183" t="s">
        <v>241</v>
      </c>
      <c r="B183" t="s">
        <v>31</v>
      </c>
      <c r="C183" t="s">
        <v>2397</v>
      </c>
      <c r="D183" t="s">
        <v>407</v>
      </c>
      <c r="K183" t="s">
        <v>19</v>
      </c>
      <c r="M183" t="s">
        <v>408</v>
      </c>
      <c r="P183" t="s">
        <v>43</v>
      </c>
    </row>
    <row r="184" customHeight="1" spans="1:16">
      <c r="A184" t="s">
        <v>241</v>
      </c>
      <c r="B184" t="s">
        <v>31</v>
      </c>
      <c r="C184" t="s">
        <v>2398</v>
      </c>
      <c r="D184" t="s">
        <v>410</v>
      </c>
      <c r="K184" t="s">
        <v>19</v>
      </c>
      <c r="M184" t="s">
        <v>411</v>
      </c>
      <c r="P184" t="s">
        <v>43</v>
      </c>
    </row>
    <row r="185" customHeight="1" spans="1:16">
      <c r="A185" t="s">
        <v>241</v>
      </c>
      <c r="B185" t="s">
        <v>31</v>
      </c>
      <c r="C185" t="s">
        <v>2399</v>
      </c>
      <c r="D185" t="s">
        <v>413</v>
      </c>
      <c r="K185" t="s">
        <v>19</v>
      </c>
      <c r="M185" t="s">
        <v>414</v>
      </c>
      <c r="P185" t="s">
        <v>43</v>
      </c>
    </row>
    <row r="186" customHeight="1" spans="1:16">
      <c r="A186" t="s">
        <v>241</v>
      </c>
      <c r="B186" t="s">
        <v>31</v>
      </c>
      <c r="C186" t="s">
        <v>2400</v>
      </c>
      <c r="D186" t="s">
        <v>416</v>
      </c>
      <c r="K186" t="s">
        <v>19</v>
      </c>
      <c r="M186" t="s">
        <v>417</v>
      </c>
      <c r="P186" t="s">
        <v>43</v>
      </c>
    </row>
    <row r="187" customHeight="1" spans="1:16">
      <c r="A187" t="s">
        <v>241</v>
      </c>
      <c r="B187" t="s">
        <v>31</v>
      </c>
      <c r="C187" t="s">
        <v>2401</v>
      </c>
      <c r="D187" t="s">
        <v>419</v>
      </c>
      <c r="K187" t="s">
        <v>19</v>
      </c>
      <c r="M187" t="s">
        <v>420</v>
      </c>
      <c r="P187" t="s">
        <v>43</v>
      </c>
    </row>
    <row r="188" customHeight="1" spans="1:16">
      <c r="A188" t="s">
        <v>241</v>
      </c>
      <c r="B188" t="s">
        <v>31</v>
      </c>
      <c r="C188" t="s">
        <v>2402</v>
      </c>
      <c r="D188" t="s">
        <v>422</v>
      </c>
      <c r="F188" t="s">
        <v>2403</v>
      </c>
      <c r="K188" t="s">
        <v>19</v>
      </c>
      <c r="M188" t="s">
        <v>424</v>
      </c>
    </row>
    <row r="189" customHeight="1" spans="1:16">
      <c r="A189" t="s">
        <v>241</v>
      </c>
      <c r="B189" t="s">
        <v>31</v>
      </c>
      <c r="C189" t="s">
        <v>2404</v>
      </c>
      <c r="D189" t="s">
        <v>426</v>
      </c>
      <c r="F189" t="s">
        <v>2405</v>
      </c>
      <c r="K189" t="s">
        <v>19</v>
      </c>
      <c r="M189" t="s">
        <v>428</v>
      </c>
    </row>
    <row r="190" customHeight="1" spans="1:16">
      <c r="A190" t="s">
        <v>241</v>
      </c>
      <c r="B190" t="s">
        <v>31</v>
      </c>
      <c r="C190" t="s">
        <v>2406</v>
      </c>
      <c r="D190" t="s">
        <v>430</v>
      </c>
      <c r="F190" t="s">
        <v>2407</v>
      </c>
      <c r="K190" t="s">
        <v>19</v>
      </c>
      <c r="M190" t="s">
        <v>432</v>
      </c>
    </row>
    <row r="191" customHeight="1" spans="1:16">
      <c r="A191" t="s">
        <v>236</v>
      </c>
      <c r="B191" t="s">
        <v>31</v>
      </c>
      <c r="C191" t="s">
        <v>2408</v>
      </c>
      <c r="D191" t="s">
        <v>434</v>
      </c>
      <c r="F191" t="s">
        <v>2409</v>
      </c>
      <c r="K191" t="s">
        <v>19</v>
      </c>
      <c r="M191" t="s">
        <v>436</v>
      </c>
    </row>
    <row r="192" customHeight="1" spans="1:16">
      <c r="A192" t="s">
        <v>241</v>
      </c>
      <c r="B192" t="s">
        <v>31</v>
      </c>
      <c r="C192" t="s">
        <v>2410</v>
      </c>
      <c r="D192" t="s">
        <v>438</v>
      </c>
      <c r="K192" t="s">
        <v>19</v>
      </c>
      <c r="M192" t="s">
        <v>439</v>
      </c>
      <c r="P192" t="s">
        <v>43</v>
      </c>
    </row>
    <row r="193" customHeight="1" spans="1:16">
      <c r="A193" t="s">
        <v>241</v>
      </c>
      <c r="B193" t="s">
        <v>31</v>
      </c>
      <c r="C193" t="s">
        <v>2411</v>
      </c>
      <c r="D193" t="s">
        <v>441</v>
      </c>
      <c r="K193" t="s">
        <v>19</v>
      </c>
      <c r="M193" t="s">
        <v>442</v>
      </c>
      <c r="P193" t="s">
        <v>43</v>
      </c>
    </row>
    <row r="194" customHeight="1" spans="1:16">
      <c r="A194" t="s">
        <v>241</v>
      </c>
      <c r="B194" t="s">
        <v>31</v>
      </c>
      <c r="C194" t="s">
        <v>2412</v>
      </c>
      <c r="D194" t="s">
        <v>444</v>
      </c>
      <c r="K194" t="s">
        <v>19</v>
      </c>
      <c r="M194" t="s">
        <v>445</v>
      </c>
      <c r="P194" t="s">
        <v>43</v>
      </c>
    </row>
    <row r="195" customHeight="1" spans="1:16">
      <c r="A195" t="s">
        <v>21</v>
      </c>
      <c r="B195" t="s">
        <v>31</v>
      </c>
      <c r="C195" t="s">
        <v>2413</v>
      </c>
      <c r="D195" t="s">
        <v>994</v>
      </c>
      <c r="F195" t="s">
        <v>2190</v>
      </c>
      <c r="K195" t="s">
        <v>19</v>
      </c>
      <c r="M195" t="s">
        <v>859</v>
      </c>
    </row>
    <row r="196" customHeight="1" spans="1:16">
      <c r="A196" t="s">
        <v>26</v>
      </c>
      <c r="B196" t="s">
        <v>31</v>
      </c>
      <c r="C196" t="s">
        <v>2414</v>
      </c>
      <c r="D196" t="s">
        <v>263</v>
      </c>
      <c r="F196" t="s">
        <v>2192</v>
      </c>
      <c r="K196" t="s">
        <v>19</v>
      </c>
      <c r="M196" t="s">
        <v>863</v>
      </c>
    </row>
    <row r="197" customHeight="1" spans="1:16">
      <c r="A197" t="s">
        <v>236</v>
      </c>
      <c r="B197" t="s">
        <v>31</v>
      </c>
      <c r="C197" t="s">
        <v>2415</v>
      </c>
      <c r="D197" t="s">
        <v>268</v>
      </c>
      <c r="K197" t="s">
        <v>19</v>
      </c>
      <c r="M197" t="s">
        <v>866</v>
      </c>
      <c r="P197" t="s">
        <v>43</v>
      </c>
    </row>
    <row r="198" customHeight="1" spans="1:16">
      <c r="A198" t="s">
        <v>236</v>
      </c>
      <c r="B198" t="s">
        <v>31</v>
      </c>
      <c r="C198" t="s">
        <v>2416</v>
      </c>
      <c r="D198" t="s">
        <v>271</v>
      </c>
      <c r="K198" t="s">
        <v>19</v>
      </c>
      <c r="M198" t="s">
        <v>869</v>
      </c>
      <c r="P198" t="s">
        <v>43</v>
      </c>
    </row>
    <row r="199" customHeight="1" spans="1:16">
      <c r="A199" t="s">
        <v>26</v>
      </c>
      <c r="B199" t="s">
        <v>31</v>
      </c>
      <c r="C199" t="s">
        <v>2417</v>
      </c>
      <c r="D199" t="s">
        <v>999</v>
      </c>
      <c r="K199" t="s">
        <v>19</v>
      </c>
      <c r="M199" t="s">
        <v>872</v>
      </c>
      <c r="P199" t="s">
        <v>43</v>
      </c>
    </row>
    <row r="200" customHeight="1" spans="1:16">
      <c r="A200" t="s">
        <v>26</v>
      </c>
      <c r="B200" t="s">
        <v>31</v>
      </c>
      <c r="C200" t="s">
        <v>2418</v>
      </c>
      <c r="D200" t="s">
        <v>283</v>
      </c>
      <c r="K200" t="s">
        <v>19</v>
      </c>
      <c r="M200" t="s">
        <v>875</v>
      </c>
      <c r="P200" t="s">
        <v>43</v>
      </c>
    </row>
    <row r="201" customHeight="1" spans="1:16">
      <c r="A201" t="s">
        <v>26</v>
      </c>
      <c r="B201" t="s">
        <v>31</v>
      </c>
      <c r="C201" t="s">
        <v>2419</v>
      </c>
      <c r="D201" t="s">
        <v>289</v>
      </c>
      <c r="K201" t="s">
        <v>19</v>
      </c>
      <c r="M201" t="s">
        <v>878</v>
      </c>
      <c r="P201" t="s">
        <v>43</v>
      </c>
    </row>
    <row r="202" customHeight="1" spans="1:16">
      <c r="A202" t="s">
        <v>21</v>
      </c>
      <c r="B202" t="s">
        <v>31</v>
      </c>
      <c r="C202" t="s">
        <v>2420</v>
      </c>
      <c r="D202" t="s">
        <v>1003</v>
      </c>
      <c r="K202" t="s">
        <v>19</v>
      </c>
      <c r="M202" t="s">
        <v>881</v>
      </c>
      <c r="P202" t="s">
        <v>43</v>
      </c>
    </row>
    <row r="203" customHeight="1" spans="1:16">
      <c r="A203" t="s">
        <v>21</v>
      </c>
      <c r="B203" t="s">
        <v>31</v>
      </c>
      <c r="C203" t="s">
        <v>2421</v>
      </c>
      <c r="D203" t="s">
        <v>1005</v>
      </c>
      <c r="K203" t="s">
        <v>19</v>
      </c>
      <c r="M203" t="s">
        <v>883</v>
      </c>
      <c r="P203" t="s">
        <v>43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6"/>
  <sheetViews>
    <sheetView workbookViewId="0">
      <pane xSplit="4" ySplit="1" topLeftCell="E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 customHeight="1"/>
  <cols>
    <col min="1" max="2" width="8.66071428571429" style="5" customWidth="1"/>
    <col min="3" max="3" width="11" style="5" customWidth="1"/>
    <col min="4" max="4" width="17.5" style="5" customWidth="1"/>
    <col min="5" max="9" width="8.66071428571429" style="5" customWidth="1"/>
    <col min="10" max="10" width="10.1607142857143" style="5" customWidth="1"/>
    <col min="11" max="16384" width="8.66071428571429" style="5" customWidth="1"/>
  </cols>
  <sheetData>
    <row r="1" s="1" customFormat="1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/>
      <c r="O1" s="6"/>
      <c r="P1" t="s">
        <v>13</v>
      </c>
    </row>
    <row r="2" customHeight="1" spans="1:16">
      <c r="A2" s="7" t="s">
        <v>14</v>
      </c>
      <c r="B2" s="1" t="s">
        <v>15</v>
      </c>
      <c r="C2" s="8" t="s">
        <v>2422</v>
      </c>
      <c r="D2" s="7" t="s">
        <v>17</v>
      </c>
      <c r="F2" t="s">
        <v>2423</v>
      </c>
      <c r="H2" s="5">
        <f>H3+H6+H7</f>
        <v>0</v>
      </c>
      <c r="I2" s="5">
        <f>I3+I6+I7</f>
        <v>0</v>
      </c>
      <c r="M2" t="s">
        <v>20</v>
      </c>
    </row>
    <row r="3" customHeight="1" spans="1:16">
      <c r="A3" s="1" t="s">
        <v>21</v>
      </c>
      <c r="B3" s="1" t="s">
        <v>15</v>
      </c>
      <c r="C3" s="8" t="s">
        <v>2424</v>
      </c>
      <c r="D3" s="1" t="s">
        <v>23</v>
      </c>
      <c r="F3" t="s">
        <v>2425</v>
      </c>
      <c r="H3" s="5">
        <f>H4+H5</f>
        <v>0</v>
      </c>
      <c r="I3" s="5">
        <f>I4+I5</f>
        <v>0</v>
      </c>
      <c r="M3" t="s">
        <v>25</v>
      </c>
    </row>
    <row r="4" customHeight="1" spans="1:16">
      <c r="A4" s="1" t="s">
        <v>26</v>
      </c>
      <c r="B4" s="1" t="s">
        <v>15</v>
      </c>
      <c r="C4" s="9" t="s">
        <v>2426</v>
      </c>
      <c r="D4" s="1" t="s">
        <v>822</v>
      </c>
      <c r="H4" s="5">
        <f>H48-H52</f>
        <v>0</v>
      </c>
      <c r="I4" s="5">
        <f>I48-I52</f>
        <v>0</v>
      </c>
      <c r="M4" t="s">
        <v>823</v>
      </c>
      <c r="P4" t="s">
        <v>43</v>
      </c>
    </row>
    <row r="5" customHeight="1" spans="1:16">
      <c r="A5" s="1" t="s">
        <v>26</v>
      </c>
      <c r="B5" s="1" t="s">
        <v>15</v>
      </c>
      <c r="C5" s="9" t="s">
        <v>2427</v>
      </c>
      <c r="D5" s="1" t="s">
        <v>829</v>
      </c>
      <c r="H5" s="5">
        <f>H62-H58</f>
        <v>0</v>
      </c>
      <c r="I5" s="5">
        <f>I62-I58</f>
        <v>0</v>
      </c>
      <c r="M5" t="s">
        <v>830</v>
      </c>
      <c r="P5" t="s">
        <v>43</v>
      </c>
    </row>
    <row r="6" customHeight="1" spans="1:16">
      <c r="A6" s="1" t="s">
        <v>21</v>
      </c>
      <c r="B6" s="1" t="s">
        <v>15</v>
      </c>
      <c r="C6" s="8" t="s">
        <v>2428</v>
      </c>
      <c r="D6" s="1" t="s">
        <v>1046</v>
      </c>
      <c r="H6" s="5">
        <f>H66-H69</f>
        <v>0</v>
      </c>
      <c r="I6" s="5">
        <f>I66-I69</f>
        <v>0</v>
      </c>
      <c r="M6" t="s">
        <v>39</v>
      </c>
      <c r="P6" t="s">
        <v>43</v>
      </c>
    </row>
    <row r="7" customHeight="1" spans="1:16">
      <c r="A7" s="1" t="s">
        <v>21</v>
      </c>
      <c r="B7" s="1" t="s">
        <v>15</v>
      </c>
      <c r="C7" s="8" t="s">
        <v>2429</v>
      </c>
      <c r="D7" s="1" t="s">
        <v>48</v>
      </c>
      <c r="H7" s="5">
        <f>H80+H82</f>
        <v>0</v>
      </c>
      <c r="I7" s="5">
        <f>I80+I82</f>
        <v>0</v>
      </c>
      <c r="M7" t="s">
        <v>49</v>
      </c>
      <c r="P7" t="s">
        <v>43</v>
      </c>
    </row>
    <row r="8" customHeight="1" spans="1:16">
      <c r="A8" s="7" t="s">
        <v>14</v>
      </c>
      <c r="B8" s="1" t="s">
        <v>31</v>
      </c>
      <c r="C8" s="8" t="s">
        <v>2430</v>
      </c>
      <c r="D8" s="7" t="s">
        <v>840</v>
      </c>
      <c r="M8" t="s">
        <v>53</v>
      </c>
      <c r="P8" t="s">
        <v>43</v>
      </c>
    </row>
    <row r="9" customHeight="1" spans="1:16">
      <c r="A9" s="7" t="s">
        <v>14</v>
      </c>
      <c r="B9" s="1" t="s">
        <v>15</v>
      </c>
      <c r="C9" s="8" t="s">
        <v>2431</v>
      </c>
      <c r="D9" s="7" t="s">
        <v>68</v>
      </c>
      <c r="F9" t="s">
        <v>2432</v>
      </c>
      <c r="H9" s="5">
        <f>H2-H8</f>
        <v>0</v>
      </c>
      <c r="I9" s="5">
        <f>I2-I8</f>
        <v>0</v>
      </c>
      <c r="M9" t="s">
        <v>70</v>
      </c>
    </row>
    <row r="10" customHeight="1" spans="1:16">
      <c r="A10" s="7" t="s">
        <v>14</v>
      </c>
      <c r="B10" s="1" t="s">
        <v>31</v>
      </c>
      <c r="C10" s="8" t="s">
        <v>2433</v>
      </c>
      <c r="D10" s="7" t="s">
        <v>72</v>
      </c>
      <c r="M10" t="s">
        <v>73</v>
      </c>
      <c r="P10" t="s">
        <v>43</v>
      </c>
    </row>
    <row r="11" customHeight="1" spans="1:16">
      <c r="A11" s="7" t="s">
        <v>14</v>
      </c>
      <c r="B11" s="1" t="s">
        <v>31</v>
      </c>
      <c r="C11" s="8" t="s">
        <v>2434</v>
      </c>
      <c r="D11" s="7" t="s">
        <v>844</v>
      </c>
      <c r="F11" t="s">
        <v>2435</v>
      </c>
      <c r="H11" s="5">
        <f>H12+H15+H18+H25+H26</f>
        <v>0</v>
      </c>
      <c r="I11" s="5">
        <f>I12+I15+I18+I25+I26</f>
        <v>0</v>
      </c>
      <c r="K11" t="s">
        <v>19</v>
      </c>
      <c r="M11" t="s">
        <v>227</v>
      </c>
    </row>
    <row r="12" customHeight="1" spans="1:16">
      <c r="A12" s="1" t="s">
        <v>21</v>
      </c>
      <c r="B12" s="1" t="s">
        <v>31</v>
      </c>
      <c r="C12" s="8" t="s">
        <v>2436</v>
      </c>
      <c r="D12" s="1" t="s">
        <v>847</v>
      </c>
      <c r="F12" t="s">
        <v>2437</v>
      </c>
      <c r="H12" s="5">
        <f>H13+H14</f>
        <v>0</v>
      </c>
      <c r="I12" s="5">
        <f>I13+I14</f>
        <v>0</v>
      </c>
      <c r="K12" t="s">
        <v>19</v>
      </c>
      <c r="M12" t="s">
        <v>231</v>
      </c>
    </row>
    <row r="13" customHeight="1" spans="1:16">
      <c r="A13" s="1" t="s">
        <v>26</v>
      </c>
      <c r="B13" s="1" t="s">
        <v>31</v>
      </c>
      <c r="C13" s="9" t="s">
        <v>2438</v>
      </c>
      <c r="D13" s="1" t="s">
        <v>83</v>
      </c>
      <c r="F13" t="s">
        <v>2439</v>
      </c>
      <c r="K13" t="s">
        <v>19</v>
      </c>
      <c r="M13" t="s">
        <v>235</v>
      </c>
    </row>
    <row r="14" customHeight="1" spans="1:16">
      <c r="A14" s="1" t="s">
        <v>26</v>
      </c>
      <c r="B14" s="1" t="s">
        <v>31</v>
      </c>
      <c r="C14" s="9" t="s">
        <v>2440</v>
      </c>
      <c r="D14" s="1" t="s">
        <v>852</v>
      </c>
      <c r="F14" t="s">
        <v>2441</v>
      </c>
      <c r="K14" t="s">
        <v>19</v>
      </c>
      <c r="M14" t="s">
        <v>306</v>
      </c>
    </row>
    <row r="15" customHeight="1" spans="1:16">
      <c r="A15" s="1" t="s">
        <v>21</v>
      </c>
      <c r="B15" s="1" t="s">
        <v>31</v>
      </c>
      <c r="C15" s="8" t="s">
        <v>2442</v>
      </c>
      <c r="D15" s="1" t="s">
        <v>92</v>
      </c>
      <c r="F15" t="s">
        <v>2443</v>
      </c>
      <c r="H15" s="5">
        <f>H16+H17</f>
        <v>0</v>
      </c>
      <c r="I15" s="5">
        <f>I16+I17</f>
        <v>0</v>
      </c>
      <c r="K15" t="s">
        <v>19</v>
      </c>
      <c r="M15" t="s">
        <v>364</v>
      </c>
    </row>
    <row r="16" customHeight="1" spans="1:16">
      <c r="A16" s="1" t="s">
        <v>26</v>
      </c>
      <c r="B16" s="1" t="s">
        <v>31</v>
      </c>
      <c r="C16" s="9" t="s">
        <v>2444</v>
      </c>
      <c r="D16" s="1" t="s">
        <v>94</v>
      </c>
      <c r="K16" t="s">
        <v>19</v>
      </c>
      <c r="M16" t="s">
        <v>1063</v>
      </c>
      <c r="P16" t="s">
        <v>43</v>
      </c>
    </row>
    <row r="17" customHeight="1" spans="1:16">
      <c r="A17" s="1" t="s">
        <v>26</v>
      </c>
      <c r="B17" s="1" t="s">
        <v>31</v>
      </c>
      <c r="C17" s="9" t="s">
        <v>2445</v>
      </c>
      <c r="D17" s="1" t="s">
        <v>96</v>
      </c>
      <c r="K17" t="s">
        <v>19</v>
      </c>
      <c r="M17" t="s">
        <v>1065</v>
      </c>
      <c r="P17" t="s">
        <v>43</v>
      </c>
    </row>
    <row r="18" customHeight="1" spans="1:16">
      <c r="A18" s="1" t="s">
        <v>21</v>
      </c>
      <c r="B18" s="1" t="s">
        <v>31</v>
      </c>
      <c r="C18" s="8" t="s">
        <v>2446</v>
      </c>
      <c r="D18" s="1" t="s">
        <v>98</v>
      </c>
      <c r="F18" t="s">
        <v>2447</v>
      </c>
      <c r="H18" s="5">
        <f>H19+H22+H23+H24</f>
        <v>0</v>
      </c>
      <c r="I18" s="5">
        <f>I19+I22+I23+I24</f>
        <v>0</v>
      </c>
      <c r="K18" t="s">
        <v>19</v>
      </c>
      <c r="M18" t="s">
        <v>859</v>
      </c>
    </row>
    <row r="19" customHeight="1" spans="1:16">
      <c r="A19" s="1" t="s">
        <v>26</v>
      </c>
      <c r="B19" s="1" t="s">
        <v>31</v>
      </c>
      <c r="C19" s="9" t="s">
        <v>2448</v>
      </c>
      <c r="D19" s="1" t="s">
        <v>861</v>
      </c>
      <c r="F19" t="s">
        <v>2449</v>
      </c>
      <c r="H19" s="5">
        <f>H20+H21</f>
        <v>0</v>
      </c>
      <c r="I19" s="5">
        <f>I20+I21</f>
        <v>0</v>
      </c>
      <c r="K19" t="s">
        <v>19</v>
      </c>
      <c r="M19" t="s">
        <v>863</v>
      </c>
    </row>
    <row r="20" customHeight="1" spans="1:16">
      <c r="A20" s="1" t="s">
        <v>236</v>
      </c>
      <c r="B20" s="1" t="s">
        <v>31</v>
      </c>
      <c r="C20" s="9" t="s">
        <v>2450</v>
      </c>
      <c r="D20" s="1" t="s">
        <v>865</v>
      </c>
      <c r="K20" t="s">
        <v>19</v>
      </c>
      <c r="M20" t="s">
        <v>866</v>
      </c>
      <c r="P20" t="s">
        <v>43</v>
      </c>
    </row>
    <row r="21" customHeight="1" spans="1:16">
      <c r="A21" s="1" t="s">
        <v>236</v>
      </c>
      <c r="B21" s="1" t="s">
        <v>31</v>
      </c>
      <c r="C21" s="9" t="s">
        <v>2451</v>
      </c>
      <c r="D21" s="1" t="s">
        <v>868</v>
      </c>
      <c r="K21" t="s">
        <v>19</v>
      </c>
      <c r="M21" t="s">
        <v>869</v>
      </c>
      <c r="P21" t="s">
        <v>43</v>
      </c>
    </row>
    <row r="22" customHeight="1" spans="1:16">
      <c r="A22" s="1" t="s">
        <v>26</v>
      </c>
      <c r="B22" s="1" t="s">
        <v>31</v>
      </c>
      <c r="C22" s="9" t="s">
        <v>2452</v>
      </c>
      <c r="D22" s="1" t="s">
        <v>871</v>
      </c>
      <c r="K22" t="s">
        <v>19</v>
      </c>
      <c r="M22" t="s">
        <v>872</v>
      </c>
      <c r="P22" t="s">
        <v>43</v>
      </c>
    </row>
    <row r="23" customHeight="1" spans="1:16">
      <c r="A23" s="1" t="s">
        <v>26</v>
      </c>
      <c r="B23" s="1" t="s">
        <v>31</v>
      </c>
      <c r="C23" s="9" t="s">
        <v>2453</v>
      </c>
      <c r="D23" s="1" t="s">
        <v>874</v>
      </c>
      <c r="K23" t="s">
        <v>19</v>
      </c>
      <c r="M23" t="s">
        <v>875</v>
      </c>
      <c r="P23" t="s">
        <v>43</v>
      </c>
    </row>
    <row r="24" customHeight="1" spans="1:16">
      <c r="A24" s="1" t="s">
        <v>26</v>
      </c>
      <c r="B24" s="1" t="s">
        <v>31</v>
      </c>
      <c r="C24" s="9" t="s">
        <v>2454</v>
      </c>
      <c r="D24" s="1" t="s">
        <v>877</v>
      </c>
      <c r="K24" t="s">
        <v>19</v>
      </c>
      <c r="M24" t="s">
        <v>878</v>
      </c>
      <c r="P24" t="s">
        <v>43</v>
      </c>
    </row>
    <row r="25" customHeight="1" spans="1:16">
      <c r="A25" s="1" t="s">
        <v>21</v>
      </c>
      <c r="B25" s="1" t="s">
        <v>31</v>
      </c>
      <c r="C25" s="8" t="s">
        <v>2455</v>
      </c>
      <c r="D25" s="1" t="s">
        <v>880</v>
      </c>
      <c r="K25" t="s">
        <v>19</v>
      </c>
      <c r="M25" t="s">
        <v>881</v>
      </c>
      <c r="P25" t="s">
        <v>43</v>
      </c>
    </row>
    <row r="26" customHeight="1" spans="1:16">
      <c r="A26" s="1" t="s">
        <v>21</v>
      </c>
      <c r="B26" s="1" t="s">
        <v>31</v>
      </c>
      <c r="C26" s="8" t="s">
        <v>2456</v>
      </c>
      <c r="D26" s="1" t="s">
        <v>101</v>
      </c>
      <c r="K26" t="s">
        <v>19</v>
      </c>
      <c r="M26" t="s">
        <v>883</v>
      </c>
      <c r="P26" t="s">
        <v>43</v>
      </c>
    </row>
    <row r="27" customHeight="1" spans="1:16">
      <c r="A27" s="7" t="s">
        <v>14</v>
      </c>
      <c r="B27" s="1" t="s">
        <v>15</v>
      </c>
      <c r="C27" s="8" t="s">
        <v>2457</v>
      </c>
      <c r="D27" s="7" t="s">
        <v>104</v>
      </c>
      <c r="M27" t="s">
        <v>105</v>
      </c>
      <c r="P27" t="s">
        <v>43</v>
      </c>
    </row>
    <row r="28" customHeight="1" spans="1:16">
      <c r="A28" s="7" t="s">
        <v>14</v>
      </c>
      <c r="B28" s="1" t="s">
        <v>106</v>
      </c>
      <c r="C28" s="8" t="s">
        <v>2458</v>
      </c>
      <c r="D28" s="7" t="s">
        <v>886</v>
      </c>
      <c r="F28" t="s">
        <v>2459</v>
      </c>
      <c r="H28" s="5">
        <f>H9-H10-H11+H27</f>
        <v>0</v>
      </c>
      <c r="I28" s="5">
        <f>I9-I10-I11+I27</f>
        <v>0</v>
      </c>
      <c r="M28" t="s">
        <v>887</v>
      </c>
    </row>
    <row r="29" customHeight="1" spans="1:16">
      <c r="A29" s="7" t="s">
        <v>14</v>
      </c>
      <c r="B29" s="1" t="s">
        <v>31</v>
      </c>
      <c r="C29" s="8" t="s">
        <v>2460</v>
      </c>
      <c r="D29" s="7" t="s">
        <v>889</v>
      </c>
      <c r="M29" t="s">
        <v>890</v>
      </c>
      <c r="P29" t="s">
        <v>43</v>
      </c>
    </row>
    <row r="30" customHeight="1" spans="1:16">
      <c r="A30" s="7" t="s">
        <v>14</v>
      </c>
      <c r="B30" s="1" t="s">
        <v>106</v>
      </c>
      <c r="C30" s="8" t="s">
        <v>2461</v>
      </c>
      <c r="D30" s="7" t="s">
        <v>108</v>
      </c>
      <c r="F30" t="s">
        <v>2462</v>
      </c>
      <c r="H30" s="5">
        <f>H28-H29</f>
        <v>0</v>
      </c>
      <c r="I30" s="5">
        <f>I28-I29</f>
        <v>0</v>
      </c>
      <c r="M30" t="s">
        <v>110</v>
      </c>
    </row>
    <row r="31" customHeight="1" spans="1:16">
      <c r="A31" s="10"/>
      <c r="B31" s="10"/>
      <c r="C31" s="10"/>
      <c r="D31" s="10"/>
    </row>
    <row r="32" customHeight="1" spans="1:16">
      <c r="A32" s="1" t="s">
        <v>14</v>
      </c>
      <c r="B32" s="1" t="s">
        <v>118</v>
      </c>
      <c r="C32" s="11" t="s">
        <v>2463</v>
      </c>
      <c r="D32" s="10" t="s">
        <v>120</v>
      </c>
      <c r="F32" t="s">
        <v>2464</v>
      </c>
      <c r="H32" s="5">
        <f>H33+H35+H36</f>
        <v>0</v>
      </c>
      <c r="I32" s="5">
        <f>I33+I35+I36</f>
        <v>0</v>
      </c>
      <c r="M32" t="s">
        <v>122</v>
      </c>
    </row>
    <row r="33" customHeight="1" spans="1:16">
      <c r="A33" s="1" t="s">
        <v>21</v>
      </c>
      <c r="B33" s="1" t="s">
        <v>118</v>
      </c>
      <c r="C33" s="10" t="s">
        <v>2465</v>
      </c>
      <c r="D33" s="10" t="s">
        <v>903</v>
      </c>
      <c r="F33" t="s">
        <v>2466</v>
      </c>
      <c r="H33" s="5">
        <f>H34</f>
        <v>0</v>
      </c>
      <c r="I33" s="5">
        <f>I34</f>
        <v>0</v>
      </c>
      <c r="M33" t="s">
        <v>126</v>
      </c>
    </row>
    <row r="34" customHeight="1" spans="1:16">
      <c r="A34" s="1" t="s">
        <v>26</v>
      </c>
      <c r="B34" s="1" t="s">
        <v>118</v>
      </c>
      <c r="C34" s="10" t="s">
        <v>2466</v>
      </c>
      <c r="D34" s="10" t="s">
        <v>128</v>
      </c>
      <c r="M34" t="s">
        <v>129</v>
      </c>
      <c r="P34" t="s">
        <v>130</v>
      </c>
    </row>
    <row r="35" customHeight="1" spans="1:16">
      <c r="A35" s="1" t="s">
        <v>21</v>
      </c>
      <c r="B35" s="1" t="s">
        <v>118</v>
      </c>
      <c r="C35" s="10" t="s">
        <v>2467</v>
      </c>
      <c r="D35" s="10" t="s">
        <v>135</v>
      </c>
      <c r="M35" t="s">
        <v>136</v>
      </c>
      <c r="P35" t="s">
        <v>130</v>
      </c>
    </row>
    <row r="36" customHeight="1" spans="1:16">
      <c r="A36" s="1" t="s">
        <v>21</v>
      </c>
      <c r="B36" s="1" t="s">
        <v>118</v>
      </c>
      <c r="C36" s="10" t="s">
        <v>2468</v>
      </c>
      <c r="D36" s="10" t="s">
        <v>138</v>
      </c>
      <c r="M36" t="s">
        <v>139</v>
      </c>
      <c r="P36" t="s">
        <v>130</v>
      </c>
    </row>
    <row r="37" customHeight="1" spans="1:16">
      <c r="A37" s="1" t="s">
        <v>14</v>
      </c>
      <c r="B37" s="1" t="s">
        <v>515</v>
      </c>
      <c r="C37" s="11" t="s">
        <v>2469</v>
      </c>
      <c r="D37" s="10" t="s">
        <v>899</v>
      </c>
      <c r="F37" t="s">
        <v>2470</v>
      </c>
      <c r="H37" s="5">
        <f>H38+H40+H41</f>
        <v>0</v>
      </c>
      <c r="I37" s="5">
        <f>I38+I40+I41</f>
        <v>0</v>
      </c>
      <c r="M37" t="s">
        <v>901</v>
      </c>
    </row>
    <row r="38" customHeight="1" spans="1:16">
      <c r="A38" s="1" t="s">
        <v>21</v>
      </c>
      <c r="B38" s="1" t="s">
        <v>515</v>
      </c>
      <c r="C38" s="10" t="s">
        <v>2471</v>
      </c>
      <c r="D38" s="10" t="s">
        <v>903</v>
      </c>
      <c r="F38" t="s">
        <v>2472</v>
      </c>
      <c r="H38" s="5">
        <f>H39</f>
        <v>0</v>
      </c>
      <c r="I38" s="5">
        <f>I39</f>
        <v>0</v>
      </c>
      <c r="M38" t="s">
        <v>521</v>
      </c>
    </row>
    <row r="39" customHeight="1" spans="1:16">
      <c r="A39" s="1" t="s">
        <v>26</v>
      </c>
      <c r="B39" s="7" t="s">
        <v>515</v>
      </c>
      <c r="C39" s="10" t="s">
        <v>2472</v>
      </c>
      <c r="D39" s="10" t="s">
        <v>128</v>
      </c>
      <c r="M39" t="s">
        <v>523</v>
      </c>
      <c r="P39" t="s">
        <v>524</v>
      </c>
    </row>
    <row r="40" customHeight="1" spans="1:16">
      <c r="A40" s="1" t="s">
        <v>21</v>
      </c>
      <c r="B40" s="1" t="s">
        <v>515</v>
      </c>
      <c r="C40" s="10" t="s">
        <v>2473</v>
      </c>
      <c r="D40" s="10" t="s">
        <v>135</v>
      </c>
      <c r="M40" t="s">
        <v>906</v>
      </c>
      <c r="P40" t="s">
        <v>524</v>
      </c>
    </row>
    <row r="41" customHeight="1" spans="1:16">
      <c r="A41" s="1" t="s">
        <v>21</v>
      </c>
      <c r="B41" s="1" t="s">
        <v>515</v>
      </c>
      <c r="C41" s="10" t="s">
        <v>2474</v>
      </c>
      <c r="D41" s="10" t="s">
        <v>138</v>
      </c>
      <c r="M41" t="s">
        <v>908</v>
      </c>
      <c r="P41" t="s">
        <v>524</v>
      </c>
    </row>
    <row r="42" customHeight="1" spans="1:16">
      <c r="A42" s="1"/>
      <c r="B42" s="1"/>
      <c r="C42" s="10"/>
      <c r="D42" s="10"/>
    </row>
    <row r="43" customHeight="1" spans="1:16">
      <c r="A43" s="7" t="s">
        <v>14</v>
      </c>
      <c r="B43" s="1" t="s">
        <v>143</v>
      </c>
      <c r="C43" s="11" t="s">
        <v>2475</v>
      </c>
      <c r="D43" s="11" t="s">
        <v>145</v>
      </c>
      <c r="F43" t="s">
        <v>2476</v>
      </c>
      <c r="H43" s="5">
        <f>H44</f>
        <v>0</v>
      </c>
      <c r="I43" s="5">
        <f>I44</f>
        <v>0</v>
      </c>
    </row>
    <row r="44" customHeight="1" spans="1:16">
      <c r="A44" s="7" t="s">
        <v>21</v>
      </c>
      <c r="B44" s="1" t="s">
        <v>143</v>
      </c>
      <c r="C44" s="11" t="s">
        <v>2476</v>
      </c>
      <c r="D44" s="11" t="s">
        <v>2477</v>
      </c>
      <c r="P44" t="s">
        <v>130</v>
      </c>
    </row>
    <row r="45" customHeight="1" spans="1:16">
      <c r="A45" s="7" t="s">
        <v>14</v>
      </c>
      <c r="B45" s="1" t="s">
        <v>552</v>
      </c>
      <c r="C45" s="11" t="s">
        <v>2478</v>
      </c>
      <c r="D45" s="11" t="s">
        <v>916</v>
      </c>
      <c r="F45" t="s">
        <v>2479</v>
      </c>
      <c r="H45" s="5">
        <f>H46</f>
        <v>0</v>
      </c>
      <c r="I45" s="5">
        <f>I46</f>
        <v>0</v>
      </c>
    </row>
    <row r="46" customHeight="1" spans="1:16">
      <c r="A46" s="7" t="s">
        <v>21</v>
      </c>
      <c r="B46" s="1" t="s">
        <v>552</v>
      </c>
      <c r="C46" s="11" t="s">
        <v>2479</v>
      </c>
      <c r="D46" s="11" t="s">
        <v>2480</v>
      </c>
      <c r="P46" t="s">
        <v>524</v>
      </c>
    </row>
    <row r="47" customHeight="1" spans="1:16">
      <c r="A47" s="10"/>
      <c r="B47" s="10"/>
      <c r="C47" s="10"/>
      <c r="D47" s="10"/>
    </row>
    <row r="48" customHeight="1" spans="1:16">
      <c r="A48" s="11" t="s">
        <v>14</v>
      </c>
      <c r="B48" s="11" t="s">
        <v>15</v>
      </c>
      <c r="C48" s="11" t="s">
        <v>2481</v>
      </c>
      <c r="D48" s="11" t="s">
        <v>1138</v>
      </c>
      <c r="F48" t="s">
        <v>2482</v>
      </c>
      <c r="H48" s="5">
        <f>H49</f>
        <v>0</v>
      </c>
      <c r="I48" s="5">
        <f>I49</f>
        <v>0</v>
      </c>
      <c r="M48" t="s">
        <v>30</v>
      </c>
    </row>
    <row r="49" customHeight="1" spans="1:16">
      <c r="A49" s="11" t="s">
        <v>21</v>
      </c>
      <c r="B49" s="11" t="s">
        <v>15</v>
      </c>
      <c r="C49" s="11" t="s">
        <v>2482</v>
      </c>
      <c r="D49" s="11" t="s">
        <v>1141</v>
      </c>
      <c r="F49" t="s">
        <v>2483</v>
      </c>
      <c r="I49" s="5">
        <f>I38*I50</f>
        <v>0</v>
      </c>
      <c r="J49" s="5" t="s">
        <v>1173</v>
      </c>
      <c r="M49" t="s">
        <v>752</v>
      </c>
    </row>
    <row r="50" customHeight="1" spans="1:16">
      <c r="A50" s="10" t="s">
        <v>26</v>
      </c>
      <c r="B50" s="10" t="s">
        <v>160</v>
      </c>
      <c r="C50" s="10" t="s">
        <v>2483</v>
      </c>
      <c r="D50" s="10" t="s">
        <v>1988</v>
      </c>
      <c r="H50" s="5" t="e">
        <f>H49/H38</f>
        <v>#DIV/0!</v>
      </c>
      <c r="J50" s="5" t="s">
        <v>783</v>
      </c>
      <c r="M50" t="s">
        <v>1146</v>
      </c>
      <c r="P50" t="s">
        <v>164</v>
      </c>
    </row>
    <row r="51" customHeight="1" spans="1:16">
      <c r="A51" s="11"/>
      <c r="B51" s="11"/>
      <c r="C51" s="11"/>
      <c r="D51" s="11"/>
    </row>
    <row r="52" customHeight="1" spans="1:16">
      <c r="A52" s="11" t="s">
        <v>14</v>
      </c>
      <c r="B52" s="11" t="s">
        <v>31</v>
      </c>
      <c r="C52" s="11" t="s">
        <v>2484</v>
      </c>
      <c r="D52" s="11" t="s">
        <v>1239</v>
      </c>
      <c r="F52" t="s">
        <v>2485</v>
      </c>
      <c r="H52" s="5">
        <f>H53+H55</f>
        <v>0</v>
      </c>
      <c r="I52" s="5">
        <f>I53+I55</f>
        <v>0</v>
      </c>
      <c r="M52" t="s">
        <v>827</v>
      </c>
    </row>
    <row r="53" customHeight="1" spans="1:16">
      <c r="A53" s="11" t="s">
        <v>21</v>
      </c>
      <c r="B53" s="11" t="s">
        <v>31</v>
      </c>
      <c r="C53" s="11" t="s">
        <v>2486</v>
      </c>
      <c r="D53" s="11" t="s">
        <v>1242</v>
      </c>
      <c r="F53" t="s">
        <v>2487</v>
      </c>
      <c r="I53" s="5">
        <f>I38*I54</f>
        <v>0</v>
      </c>
      <c r="J53" s="5" t="s">
        <v>1173</v>
      </c>
      <c r="M53" t="s">
        <v>1244</v>
      </c>
    </row>
    <row r="54" customHeight="1" spans="1:16">
      <c r="A54" s="10" t="s">
        <v>26</v>
      </c>
      <c r="B54" s="10" t="s">
        <v>160</v>
      </c>
      <c r="C54" s="10" t="s">
        <v>2487</v>
      </c>
      <c r="D54" s="10" t="s">
        <v>1993</v>
      </c>
      <c r="H54" s="5" t="e">
        <f>H53/H38</f>
        <v>#DIV/0!</v>
      </c>
      <c r="J54" s="5" t="s">
        <v>783</v>
      </c>
      <c r="M54" t="s">
        <v>1248</v>
      </c>
      <c r="P54" t="s">
        <v>164</v>
      </c>
    </row>
    <row r="55" customHeight="1" spans="1:16">
      <c r="A55" s="11" t="s">
        <v>21</v>
      </c>
      <c r="B55" s="11" t="s">
        <v>31</v>
      </c>
      <c r="C55" s="11" t="s">
        <v>2488</v>
      </c>
      <c r="D55" s="11" t="s">
        <v>1267</v>
      </c>
      <c r="F55" t="s">
        <v>2489</v>
      </c>
      <c r="H55" s="5">
        <f>H56</f>
        <v>0</v>
      </c>
      <c r="I55" s="5">
        <f>I56</f>
        <v>0</v>
      </c>
      <c r="M55" t="s">
        <v>1269</v>
      </c>
    </row>
    <row r="56" customHeight="1" spans="1:16">
      <c r="A56" s="10" t="s">
        <v>26</v>
      </c>
      <c r="B56" s="10" t="s">
        <v>31</v>
      </c>
      <c r="C56" s="10" t="s">
        <v>2489</v>
      </c>
      <c r="D56" s="10" t="s">
        <v>1996</v>
      </c>
      <c r="M56" t="s">
        <v>1271</v>
      </c>
      <c r="P56" t="s">
        <v>43</v>
      </c>
    </row>
    <row r="57" customHeight="1" spans="1:16">
      <c r="A57" s="10"/>
      <c r="B57" s="10"/>
      <c r="C57" s="10"/>
      <c r="D57" s="10"/>
    </row>
    <row r="58" customHeight="1" spans="1:16">
      <c r="A58" s="11" t="s">
        <v>14</v>
      </c>
      <c r="B58" s="11" t="s">
        <v>31</v>
      </c>
      <c r="C58" s="11" t="s">
        <v>2490</v>
      </c>
      <c r="D58" s="11" t="s">
        <v>1273</v>
      </c>
      <c r="E58" s="12"/>
      <c r="F58" s="12" t="s">
        <v>2491</v>
      </c>
      <c r="G58" s="12"/>
      <c r="H58" s="12">
        <f>H59</f>
        <v>0</v>
      </c>
      <c r="I58" s="12">
        <f>I59</f>
        <v>0</v>
      </c>
      <c r="J58" s="12"/>
      <c r="M58" t="s">
        <v>35</v>
      </c>
    </row>
    <row r="59" customHeight="1" spans="1:16">
      <c r="A59" s="11" t="s">
        <v>21</v>
      </c>
      <c r="B59" s="11" t="s">
        <v>31</v>
      </c>
      <c r="C59" s="11" t="s">
        <v>2491</v>
      </c>
      <c r="D59" s="11" t="s">
        <v>1276</v>
      </c>
      <c r="F59" t="s">
        <v>2492</v>
      </c>
      <c r="I59" s="5">
        <f>I46*I60</f>
        <v>0</v>
      </c>
      <c r="J59" s="5" t="s">
        <v>1173</v>
      </c>
      <c r="M59" t="s">
        <v>767</v>
      </c>
    </row>
    <row r="60" customHeight="1" spans="1:16">
      <c r="A60" s="10" t="s">
        <v>26</v>
      </c>
      <c r="B60" s="10" t="s">
        <v>160</v>
      </c>
      <c r="C60" s="10" t="s">
        <v>2492</v>
      </c>
      <c r="D60" s="10" t="s">
        <v>1278</v>
      </c>
      <c r="H60" s="5" t="e">
        <f>H59/H46</f>
        <v>#DIV/0!</v>
      </c>
      <c r="J60" s="5" t="s">
        <v>783</v>
      </c>
      <c r="M60" t="s">
        <v>1279</v>
      </c>
      <c r="P60" t="s">
        <v>164</v>
      </c>
    </row>
    <row r="61" customHeight="1" spans="1:16">
      <c r="A61" s="10"/>
      <c r="B61" s="10"/>
      <c r="C61" s="10"/>
      <c r="D61" s="10"/>
    </row>
    <row r="62" customHeight="1" spans="1:16">
      <c r="A62" s="11" t="s">
        <v>14</v>
      </c>
      <c r="B62" s="11" t="s">
        <v>15</v>
      </c>
      <c r="C62" s="11" t="s">
        <v>2493</v>
      </c>
      <c r="D62" s="11" t="s">
        <v>1289</v>
      </c>
      <c r="E62" s="12"/>
      <c r="F62" s="12" t="s">
        <v>2494</v>
      </c>
      <c r="G62" s="12"/>
      <c r="H62" s="12">
        <f>H63</f>
        <v>0</v>
      </c>
      <c r="I62" s="12">
        <f>I63</f>
        <v>0</v>
      </c>
      <c r="J62" s="12"/>
      <c r="M62" t="s">
        <v>834</v>
      </c>
    </row>
    <row r="63" customHeight="1" spans="1:16">
      <c r="A63" s="11" t="s">
        <v>21</v>
      </c>
      <c r="B63" s="11" t="s">
        <v>15</v>
      </c>
      <c r="C63" s="11" t="s">
        <v>2494</v>
      </c>
      <c r="D63" s="11" t="s">
        <v>1292</v>
      </c>
      <c r="E63" s="12"/>
      <c r="F63" s="12" t="s">
        <v>2495</v>
      </c>
      <c r="G63" s="12"/>
      <c r="H63" s="12"/>
      <c r="I63" s="12">
        <f>I46*I64</f>
        <v>0</v>
      </c>
      <c r="J63" s="12" t="s">
        <v>1173</v>
      </c>
      <c r="M63" t="s">
        <v>1294</v>
      </c>
    </row>
    <row r="64" customHeight="1" spans="1:16">
      <c r="A64" s="10" t="s">
        <v>26</v>
      </c>
      <c r="B64" s="10" t="s">
        <v>160</v>
      </c>
      <c r="C64" s="10" t="s">
        <v>2495</v>
      </c>
      <c r="D64" s="10" t="s">
        <v>1295</v>
      </c>
      <c r="H64" s="5" t="e">
        <f>H63/H46</f>
        <v>#DIV/0!</v>
      </c>
      <c r="J64" s="5" t="s">
        <v>783</v>
      </c>
      <c r="M64" t="s">
        <v>1296</v>
      </c>
      <c r="P64" t="s">
        <v>164</v>
      </c>
    </row>
    <row r="65" customHeight="1" spans="1:16">
      <c r="A65" s="10"/>
      <c r="B65" s="10"/>
      <c r="C65" s="10"/>
      <c r="D65" s="10"/>
    </row>
    <row r="66" customHeight="1" spans="1:16">
      <c r="A66" s="11" t="s">
        <v>14</v>
      </c>
      <c r="B66" s="11" t="s">
        <v>15</v>
      </c>
      <c r="C66" s="11" t="s">
        <v>2496</v>
      </c>
      <c r="D66" s="11" t="s">
        <v>1307</v>
      </c>
      <c r="F66" t="s">
        <v>2497</v>
      </c>
      <c r="I66" s="5">
        <f>I67</f>
        <v>0</v>
      </c>
      <c r="M66" t="s">
        <v>42</v>
      </c>
    </row>
    <row r="67" customHeight="1" spans="1:16">
      <c r="A67" s="10" t="s">
        <v>21</v>
      </c>
      <c r="B67" s="10" t="s">
        <v>15</v>
      </c>
      <c r="C67" s="10" t="s">
        <v>2497</v>
      </c>
      <c r="D67" s="10" t="s">
        <v>2498</v>
      </c>
      <c r="H67" s="5">
        <f>H66</f>
        <v>0</v>
      </c>
      <c r="M67" t="s">
        <v>1356</v>
      </c>
      <c r="P67" t="s">
        <v>43</v>
      </c>
    </row>
    <row r="68" customHeight="1" spans="1:16">
      <c r="A68" s="10"/>
      <c r="B68" s="10"/>
      <c r="C68" s="10"/>
      <c r="D68" s="10"/>
    </row>
    <row r="69" customHeight="1" spans="1:16">
      <c r="A69" s="11" t="s">
        <v>14</v>
      </c>
      <c r="B69" s="11" t="s">
        <v>31</v>
      </c>
      <c r="C69" s="11" t="s">
        <v>2499</v>
      </c>
      <c r="D69" s="11" t="s">
        <v>1358</v>
      </c>
      <c r="F69" t="s">
        <v>2500</v>
      </c>
      <c r="I69" s="5">
        <f>I70+I72+I74+I76+I78</f>
        <v>0</v>
      </c>
      <c r="M69" t="s">
        <v>46</v>
      </c>
    </row>
    <row r="70" customHeight="1" spans="1:16">
      <c r="A70" s="11" t="s">
        <v>21</v>
      </c>
      <c r="B70" s="11" t="s">
        <v>31</v>
      </c>
      <c r="C70" s="11" t="s">
        <v>2501</v>
      </c>
      <c r="D70" s="11" t="s">
        <v>1361</v>
      </c>
      <c r="F70" t="s">
        <v>2502</v>
      </c>
      <c r="I70" s="5">
        <f>I37*I71</f>
        <v>0</v>
      </c>
      <c r="J70" s="5" t="s">
        <v>1173</v>
      </c>
      <c r="M70" t="s">
        <v>1363</v>
      </c>
    </row>
    <row r="71" customHeight="1" spans="1:16">
      <c r="A71" s="10" t="s">
        <v>26</v>
      </c>
      <c r="B71" s="1" t="s">
        <v>160</v>
      </c>
      <c r="C71" s="10" t="s">
        <v>2502</v>
      </c>
      <c r="D71" s="10" t="s">
        <v>1364</v>
      </c>
      <c r="H71" s="5" t="e">
        <f>H70/H37</f>
        <v>#DIV/0!</v>
      </c>
      <c r="J71" s="5" t="s">
        <v>783</v>
      </c>
      <c r="M71" t="s">
        <v>1365</v>
      </c>
      <c r="P71" t="s">
        <v>164</v>
      </c>
    </row>
    <row r="72" customHeight="1" spans="1:16">
      <c r="A72" s="11" t="s">
        <v>21</v>
      </c>
      <c r="B72" s="11" t="s">
        <v>31</v>
      </c>
      <c r="C72" s="11" t="s">
        <v>2503</v>
      </c>
      <c r="D72" s="11" t="s">
        <v>1367</v>
      </c>
      <c r="F72" t="s">
        <v>2504</v>
      </c>
      <c r="I72" s="5">
        <f>I37*I73</f>
        <v>0</v>
      </c>
      <c r="J72" s="5" t="s">
        <v>1173</v>
      </c>
      <c r="M72" t="s">
        <v>1369</v>
      </c>
    </row>
    <row r="73" customHeight="1" spans="1:16">
      <c r="A73" s="10" t="s">
        <v>26</v>
      </c>
      <c r="B73" s="1" t="s">
        <v>160</v>
      </c>
      <c r="C73" s="10" t="s">
        <v>2504</v>
      </c>
      <c r="D73" s="10" t="s">
        <v>1364</v>
      </c>
      <c r="H73" s="5" t="e">
        <f>H72/H37</f>
        <v>#DIV/0!</v>
      </c>
      <c r="J73" s="5" t="s">
        <v>783</v>
      </c>
      <c r="M73" t="s">
        <v>1370</v>
      </c>
      <c r="P73" t="s">
        <v>164</v>
      </c>
    </row>
    <row r="74" customHeight="1" spans="1:16">
      <c r="A74" s="11" t="s">
        <v>21</v>
      </c>
      <c r="B74" s="11" t="s">
        <v>31</v>
      </c>
      <c r="C74" s="11" t="s">
        <v>2505</v>
      </c>
      <c r="D74" s="11" t="s">
        <v>1372</v>
      </c>
      <c r="F74" t="s">
        <v>2506</v>
      </c>
      <c r="I74" s="5">
        <f>I37*I75</f>
        <v>0</v>
      </c>
      <c r="J74" s="5" t="s">
        <v>1173</v>
      </c>
      <c r="M74" t="s">
        <v>1374</v>
      </c>
    </row>
    <row r="75" customHeight="1" spans="1:16">
      <c r="A75" s="10" t="s">
        <v>26</v>
      </c>
      <c r="B75" s="1" t="s">
        <v>160</v>
      </c>
      <c r="C75" s="10" t="s">
        <v>2506</v>
      </c>
      <c r="D75" s="10" t="s">
        <v>1364</v>
      </c>
      <c r="H75" s="5" t="e">
        <f>H74/H37</f>
        <v>#DIV/0!</v>
      </c>
      <c r="J75" s="5" t="s">
        <v>783</v>
      </c>
      <c r="M75" t="s">
        <v>1375</v>
      </c>
      <c r="P75" t="s">
        <v>164</v>
      </c>
    </row>
    <row r="76" customHeight="1" spans="1:16">
      <c r="A76" s="11" t="s">
        <v>21</v>
      </c>
      <c r="B76" s="11" t="s">
        <v>31</v>
      </c>
      <c r="C76" s="11" t="s">
        <v>2507</v>
      </c>
      <c r="D76" s="11" t="s">
        <v>2048</v>
      </c>
      <c r="F76" t="s">
        <v>2508</v>
      </c>
      <c r="I76" s="5">
        <f>I37*I77</f>
        <v>0</v>
      </c>
      <c r="J76" s="5" t="s">
        <v>1173</v>
      </c>
      <c r="M76" t="s">
        <v>2509</v>
      </c>
    </row>
    <row r="77" customHeight="1" spans="1:16">
      <c r="A77" s="10" t="s">
        <v>26</v>
      </c>
      <c r="B77" s="1" t="s">
        <v>160</v>
      </c>
      <c r="C77" s="10" t="s">
        <v>2508</v>
      </c>
      <c r="D77" s="10" t="s">
        <v>2510</v>
      </c>
      <c r="H77" s="5" t="e">
        <f>H76/H37</f>
        <v>#DIV/0!</v>
      </c>
      <c r="J77" s="5" t="s">
        <v>783</v>
      </c>
      <c r="M77" t="s">
        <v>2511</v>
      </c>
      <c r="P77" t="s">
        <v>164</v>
      </c>
    </row>
    <row r="78" customHeight="1" spans="1:16">
      <c r="A78" s="11" t="s">
        <v>21</v>
      </c>
      <c r="B78" s="11" t="s">
        <v>31</v>
      </c>
      <c r="C78" s="11" t="s">
        <v>2512</v>
      </c>
      <c r="D78" s="11" t="s">
        <v>1419</v>
      </c>
      <c r="H78" s="5">
        <f>H69-H70-H72-H74-H76</f>
        <v>0</v>
      </c>
      <c r="M78" t="s">
        <v>1420</v>
      </c>
      <c r="P78" t="s">
        <v>43</v>
      </c>
    </row>
    <row r="79" customHeight="1" spans="1:16">
      <c r="A79" s="10"/>
      <c r="B79" s="10"/>
      <c r="C79" s="10"/>
      <c r="D79" s="10"/>
    </row>
    <row r="80" customHeight="1" spans="1:16">
      <c r="A80" s="11" t="s">
        <v>14</v>
      </c>
      <c r="B80" s="11" t="s">
        <v>15</v>
      </c>
      <c r="C80" s="11" t="s">
        <v>2513</v>
      </c>
      <c r="D80" s="11" t="s">
        <v>1422</v>
      </c>
      <c r="M80" t="s">
        <v>1423</v>
      </c>
      <c r="P80" t="s">
        <v>43</v>
      </c>
    </row>
    <row r="81" customHeight="1" spans="1:16">
      <c r="A81" s="10"/>
      <c r="B81" s="10"/>
      <c r="C81" s="10"/>
      <c r="D81" s="10"/>
    </row>
    <row r="82" customHeight="1" spans="1:16">
      <c r="A82" s="11" t="s">
        <v>14</v>
      </c>
      <c r="B82" s="11" t="s">
        <v>15</v>
      </c>
      <c r="C82" s="11" t="s">
        <v>2514</v>
      </c>
      <c r="D82" s="11" t="s">
        <v>1425</v>
      </c>
      <c r="M82" t="s">
        <v>1426</v>
      </c>
      <c r="P82" t="s">
        <v>43</v>
      </c>
    </row>
    <row r="83" customHeight="1" spans="1:16">
      <c r="A83" s="10"/>
      <c r="B83" s="10"/>
      <c r="C83" s="10"/>
      <c r="D83" s="10"/>
    </row>
    <row r="85" customHeight="1" spans="1:16">
      <c r="A85" t="s">
        <v>222</v>
      </c>
      <c r="B85" t="s">
        <v>223</v>
      </c>
      <c r="C85" t="s">
        <v>2</v>
      </c>
      <c r="D85" t="s">
        <v>3</v>
      </c>
      <c r="E85" t="s">
        <v>4</v>
      </c>
      <c r="F85" t="s">
        <v>5</v>
      </c>
      <c r="J85" t="s">
        <v>9</v>
      </c>
      <c r="K85" t="s">
        <v>10</v>
      </c>
    </row>
    <row r="86" customHeight="1" spans="1:16">
      <c r="A86" t="s">
        <v>14</v>
      </c>
      <c r="B86" t="s">
        <v>31</v>
      </c>
      <c r="C86" t="s">
        <v>2515</v>
      </c>
      <c r="D86" t="s">
        <v>927</v>
      </c>
      <c r="F86" t="s">
        <v>2435</v>
      </c>
      <c r="K86" t="s">
        <v>19</v>
      </c>
      <c r="M86" t="s">
        <v>227</v>
      </c>
    </row>
    <row r="87" customHeight="1" spans="1:16">
      <c r="A87" t="s">
        <v>21</v>
      </c>
      <c r="B87" t="s">
        <v>31</v>
      </c>
      <c r="C87" t="s">
        <v>2516</v>
      </c>
      <c r="D87" t="s">
        <v>929</v>
      </c>
      <c r="F87" t="s">
        <v>2437</v>
      </c>
      <c r="K87" t="s">
        <v>19</v>
      </c>
      <c r="M87" t="s">
        <v>231</v>
      </c>
    </row>
    <row r="88" customHeight="1" spans="1:16">
      <c r="A88" t="s">
        <v>26</v>
      </c>
      <c r="B88" t="s">
        <v>31</v>
      </c>
      <c r="C88" t="s">
        <v>2517</v>
      </c>
      <c r="D88" t="s">
        <v>233</v>
      </c>
      <c r="F88" t="s">
        <v>2439</v>
      </c>
      <c r="K88" t="s">
        <v>19</v>
      </c>
      <c r="M88" t="s">
        <v>235</v>
      </c>
    </row>
    <row r="89" customHeight="1" spans="1:16">
      <c r="A89" t="s">
        <v>236</v>
      </c>
      <c r="B89" t="s">
        <v>31</v>
      </c>
      <c r="C89" t="s">
        <v>2518</v>
      </c>
      <c r="D89" t="s">
        <v>238</v>
      </c>
      <c r="F89" t="s">
        <v>2519</v>
      </c>
      <c r="K89" t="s">
        <v>19</v>
      </c>
      <c r="M89" t="s">
        <v>240</v>
      </c>
    </row>
    <row r="90" customHeight="1" spans="1:16">
      <c r="A90" t="s">
        <v>241</v>
      </c>
      <c r="B90" t="s">
        <v>31</v>
      </c>
      <c r="C90" t="s">
        <v>2520</v>
      </c>
      <c r="D90" t="s">
        <v>243</v>
      </c>
      <c r="K90" t="s">
        <v>19</v>
      </c>
      <c r="M90" t="s">
        <v>244</v>
      </c>
      <c r="P90" t="s">
        <v>43</v>
      </c>
    </row>
    <row r="91" customHeight="1" spans="1:16">
      <c r="A91" t="s">
        <v>241</v>
      </c>
      <c r="B91" t="s">
        <v>31</v>
      </c>
      <c r="C91" t="s">
        <v>2521</v>
      </c>
      <c r="D91" t="s">
        <v>246</v>
      </c>
      <c r="K91" t="s">
        <v>19</v>
      </c>
      <c r="M91" t="s">
        <v>247</v>
      </c>
      <c r="P91" t="s">
        <v>43</v>
      </c>
    </row>
    <row r="92" customHeight="1" spans="1:16">
      <c r="A92" t="s">
        <v>236</v>
      </c>
      <c r="B92" t="s">
        <v>31</v>
      </c>
      <c r="C92" t="s">
        <v>2522</v>
      </c>
      <c r="D92" t="s">
        <v>249</v>
      </c>
      <c r="F92" t="s">
        <v>2523</v>
      </c>
      <c r="K92" t="s">
        <v>19</v>
      </c>
      <c r="M92" t="s">
        <v>251</v>
      </c>
    </row>
    <row r="93" customHeight="1" spans="1:16">
      <c r="A93" t="s">
        <v>241</v>
      </c>
      <c r="B93" t="s">
        <v>31</v>
      </c>
      <c r="C93" t="s">
        <v>2524</v>
      </c>
      <c r="D93" t="s">
        <v>253</v>
      </c>
      <c r="K93" t="s">
        <v>19</v>
      </c>
      <c r="M93" t="s">
        <v>254</v>
      </c>
      <c r="P93" t="s">
        <v>43</v>
      </c>
    </row>
    <row r="94" customHeight="1" spans="1:16">
      <c r="A94" t="s">
        <v>241</v>
      </c>
      <c r="B94" t="s">
        <v>31</v>
      </c>
      <c r="C94" t="s">
        <v>2525</v>
      </c>
      <c r="D94" t="s">
        <v>256</v>
      </c>
      <c r="K94" t="s">
        <v>19</v>
      </c>
      <c r="M94" t="s">
        <v>257</v>
      </c>
      <c r="P94" t="s">
        <v>43</v>
      </c>
    </row>
    <row r="95" customHeight="1" spans="1:16">
      <c r="A95" t="s">
        <v>236</v>
      </c>
      <c r="B95" t="s">
        <v>31</v>
      </c>
      <c r="C95" t="s">
        <v>2526</v>
      </c>
      <c r="D95" t="s">
        <v>259</v>
      </c>
      <c r="F95" t="s">
        <v>2527</v>
      </c>
      <c r="K95" t="s">
        <v>19</v>
      </c>
      <c r="M95" t="s">
        <v>261</v>
      </c>
    </row>
    <row r="96" customHeight="1" spans="1:16">
      <c r="A96" t="s">
        <v>241</v>
      </c>
      <c r="B96" t="s">
        <v>31</v>
      </c>
      <c r="C96" t="s">
        <v>2528</v>
      </c>
      <c r="D96" t="s">
        <v>263</v>
      </c>
      <c r="F96" t="s">
        <v>2529</v>
      </c>
      <c r="K96" t="s">
        <v>19</v>
      </c>
      <c r="M96" t="s">
        <v>265</v>
      </c>
    </row>
    <row r="97" customHeight="1" spans="1:16">
      <c r="A97" t="s">
        <v>266</v>
      </c>
      <c r="B97" t="s">
        <v>31</v>
      </c>
      <c r="C97" t="s">
        <v>2530</v>
      </c>
      <c r="D97" t="s">
        <v>268</v>
      </c>
      <c r="K97" t="s">
        <v>19</v>
      </c>
      <c r="M97" t="s">
        <v>269</v>
      </c>
      <c r="P97" t="s">
        <v>43</v>
      </c>
    </row>
    <row r="98" customHeight="1" spans="1:16">
      <c r="A98" t="s">
        <v>266</v>
      </c>
      <c r="B98" t="s">
        <v>31</v>
      </c>
      <c r="C98" t="s">
        <v>2531</v>
      </c>
      <c r="D98" t="s">
        <v>271</v>
      </c>
      <c r="K98" t="s">
        <v>19</v>
      </c>
      <c r="M98" t="s">
        <v>272</v>
      </c>
      <c r="P98" t="s">
        <v>43</v>
      </c>
    </row>
    <row r="99" customHeight="1" spans="1:16">
      <c r="A99" t="s">
        <v>241</v>
      </c>
      <c r="B99" t="s">
        <v>31</v>
      </c>
      <c r="C99" t="s">
        <v>2532</v>
      </c>
      <c r="D99" t="s">
        <v>2533</v>
      </c>
      <c r="K99" t="s">
        <v>19</v>
      </c>
      <c r="M99" t="s">
        <v>275</v>
      </c>
      <c r="P99" t="s">
        <v>43</v>
      </c>
    </row>
    <row r="100" customHeight="1" spans="1:16">
      <c r="A100" t="s">
        <v>266</v>
      </c>
      <c r="B100" t="s">
        <v>31</v>
      </c>
      <c r="C100" t="s">
        <v>2534</v>
      </c>
      <c r="D100" t="s">
        <v>277</v>
      </c>
      <c r="K100" t="s">
        <v>19</v>
      </c>
      <c r="M100" t="s">
        <v>278</v>
      </c>
      <c r="P100" t="s">
        <v>43</v>
      </c>
    </row>
    <row r="101" customHeight="1" spans="1:16">
      <c r="A101" t="s">
        <v>241</v>
      </c>
      <c r="B101" t="s">
        <v>31</v>
      </c>
      <c r="C101" t="s">
        <v>2535</v>
      </c>
      <c r="D101" t="s">
        <v>2536</v>
      </c>
      <c r="K101" t="s">
        <v>19</v>
      </c>
      <c r="M101" t="s">
        <v>281</v>
      </c>
      <c r="P101" t="s">
        <v>43</v>
      </c>
    </row>
    <row r="102" customHeight="1" spans="1:16">
      <c r="A102" t="s">
        <v>266</v>
      </c>
      <c r="B102" t="s">
        <v>31</v>
      </c>
      <c r="C102" t="s">
        <v>2537</v>
      </c>
      <c r="D102" t="s">
        <v>283</v>
      </c>
      <c r="K102" t="s">
        <v>19</v>
      </c>
      <c r="M102" t="s">
        <v>284</v>
      </c>
      <c r="P102" t="s">
        <v>43</v>
      </c>
    </row>
    <row r="103" customHeight="1" spans="1:16">
      <c r="A103" t="s">
        <v>241</v>
      </c>
      <c r="B103" t="s">
        <v>31</v>
      </c>
      <c r="C103" t="s">
        <v>2538</v>
      </c>
      <c r="D103" t="s">
        <v>2539</v>
      </c>
      <c r="K103" t="s">
        <v>19</v>
      </c>
      <c r="M103" t="s">
        <v>287</v>
      </c>
      <c r="P103" t="s">
        <v>43</v>
      </c>
    </row>
    <row r="104" customHeight="1" spans="1:16">
      <c r="A104" t="s">
        <v>266</v>
      </c>
      <c r="B104" t="s">
        <v>31</v>
      </c>
      <c r="C104" t="s">
        <v>2540</v>
      </c>
      <c r="D104" t="s">
        <v>289</v>
      </c>
      <c r="K104" t="s">
        <v>19</v>
      </c>
      <c r="M104" t="s">
        <v>290</v>
      </c>
      <c r="P104" t="s">
        <v>43</v>
      </c>
    </row>
    <row r="105" customHeight="1" spans="1:16">
      <c r="A105" t="s">
        <v>236</v>
      </c>
      <c r="B105" t="s">
        <v>31</v>
      </c>
      <c r="C105" t="s">
        <v>2541</v>
      </c>
      <c r="D105" t="s">
        <v>2542</v>
      </c>
      <c r="K105" t="s">
        <v>19</v>
      </c>
      <c r="M105" t="s">
        <v>293</v>
      </c>
      <c r="P105" t="s">
        <v>43</v>
      </c>
    </row>
    <row r="106" customHeight="1" spans="1:16">
      <c r="A106" t="s">
        <v>241</v>
      </c>
      <c r="B106" t="s">
        <v>31</v>
      </c>
      <c r="C106" t="s">
        <v>2543</v>
      </c>
      <c r="D106" t="s">
        <v>295</v>
      </c>
      <c r="K106" t="s">
        <v>19</v>
      </c>
      <c r="M106" t="s">
        <v>296</v>
      </c>
      <c r="P106" t="s">
        <v>43</v>
      </c>
    </row>
    <row r="107" customHeight="1" spans="1:16">
      <c r="A107" t="s">
        <v>236</v>
      </c>
      <c r="B107" t="s">
        <v>31</v>
      </c>
      <c r="C107" t="s">
        <v>2544</v>
      </c>
      <c r="D107" t="s">
        <v>2545</v>
      </c>
      <c r="K107" t="s">
        <v>19</v>
      </c>
      <c r="M107" t="s">
        <v>299</v>
      </c>
      <c r="P107" t="s">
        <v>43</v>
      </c>
    </row>
    <row r="108" customHeight="1" spans="1:16">
      <c r="A108" t="s">
        <v>241</v>
      </c>
      <c r="B108" t="s">
        <v>31</v>
      </c>
      <c r="C108" t="s">
        <v>2546</v>
      </c>
      <c r="D108" t="s">
        <v>301</v>
      </c>
      <c r="K108" t="s">
        <v>19</v>
      </c>
      <c r="M108" t="s">
        <v>302</v>
      </c>
      <c r="P108" t="s">
        <v>43</v>
      </c>
    </row>
    <row r="109" customHeight="1" spans="1:16">
      <c r="A109" t="s">
        <v>26</v>
      </c>
      <c r="B109" t="s">
        <v>31</v>
      </c>
      <c r="C109" t="s">
        <v>2547</v>
      </c>
      <c r="D109" t="s">
        <v>304</v>
      </c>
      <c r="F109" t="s">
        <v>2441</v>
      </c>
      <c r="K109" t="s">
        <v>19</v>
      </c>
      <c r="M109" t="s">
        <v>306</v>
      </c>
    </row>
    <row r="110" customHeight="1" spans="1:16">
      <c r="A110" t="s">
        <v>236</v>
      </c>
      <c r="B110" t="s">
        <v>31</v>
      </c>
      <c r="C110" t="s">
        <v>2548</v>
      </c>
      <c r="D110" t="s">
        <v>238</v>
      </c>
      <c r="F110" t="s">
        <v>2549</v>
      </c>
      <c r="K110" t="s">
        <v>19</v>
      </c>
      <c r="M110" t="s">
        <v>309</v>
      </c>
    </row>
    <row r="111" customHeight="1" spans="1:16">
      <c r="A111" t="s">
        <v>241</v>
      </c>
      <c r="B111" t="s">
        <v>31</v>
      </c>
      <c r="C111" t="s">
        <v>2550</v>
      </c>
      <c r="D111" t="s">
        <v>243</v>
      </c>
      <c r="K111" t="s">
        <v>19</v>
      </c>
      <c r="M111" t="s">
        <v>311</v>
      </c>
      <c r="P111" t="s">
        <v>43</v>
      </c>
    </row>
    <row r="112" customHeight="1" spans="1:16">
      <c r="A112" t="s">
        <v>241</v>
      </c>
      <c r="B112" t="s">
        <v>31</v>
      </c>
      <c r="C112" t="s">
        <v>2551</v>
      </c>
      <c r="D112" t="s">
        <v>246</v>
      </c>
      <c r="K112" t="s">
        <v>19</v>
      </c>
      <c r="M112" t="s">
        <v>313</v>
      </c>
      <c r="P112" t="s">
        <v>43</v>
      </c>
    </row>
    <row r="113" customHeight="1" spans="1:16">
      <c r="A113" t="s">
        <v>236</v>
      </c>
      <c r="B113" t="s">
        <v>31</v>
      </c>
      <c r="C113" t="s">
        <v>2552</v>
      </c>
      <c r="D113" t="s">
        <v>249</v>
      </c>
      <c r="F113" t="s">
        <v>2553</v>
      </c>
      <c r="K113" t="s">
        <v>19</v>
      </c>
      <c r="M113" t="s">
        <v>316</v>
      </c>
    </row>
    <row r="114" customHeight="1" spans="1:16">
      <c r="A114" t="s">
        <v>241</v>
      </c>
      <c r="B114" t="s">
        <v>31</v>
      </c>
      <c r="C114" t="s">
        <v>2554</v>
      </c>
      <c r="D114" t="s">
        <v>253</v>
      </c>
      <c r="K114" t="s">
        <v>19</v>
      </c>
      <c r="M114" t="s">
        <v>318</v>
      </c>
      <c r="P114" t="s">
        <v>43</v>
      </c>
    </row>
    <row r="115" customHeight="1" spans="1:16">
      <c r="A115" t="s">
        <v>241</v>
      </c>
      <c r="B115" t="s">
        <v>31</v>
      </c>
      <c r="C115" t="s">
        <v>2555</v>
      </c>
      <c r="D115" t="s">
        <v>256</v>
      </c>
      <c r="K115" t="s">
        <v>19</v>
      </c>
      <c r="M115" t="s">
        <v>320</v>
      </c>
      <c r="P115" t="s">
        <v>43</v>
      </c>
    </row>
    <row r="116" customHeight="1" spans="1:16">
      <c r="A116" t="s">
        <v>236</v>
      </c>
      <c r="B116" t="s">
        <v>31</v>
      </c>
      <c r="C116" t="s">
        <v>2556</v>
      </c>
      <c r="D116" t="s">
        <v>259</v>
      </c>
      <c r="F116" t="s">
        <v>2557</v>
      </c>
      <c r="K116" t="s">
        <v>19</v>
      </c>
      <c r="M116" t="s">
        <v>323</v>
      </c>
    </row>
    <row r="117" customHeight="1" spans="1:16">
      <c r="A117" t="s">
        <v>241</v>
      </c>
      <c r="B117" t="s">
        <v>31</v>
      </c>
      <c r="C117" t="s">
        <v>2558</v>
      </c>
      <c r="D117" t="s">
        <v>263</v>
      </c>
      <c r="F117" t="s">
        <v>2559</v>
      </c>
      <c r="K117" t="s">
        <v>19</v>
      </c>
      <c r="M117" t="s">
        <v>326</v>
      </c>
    </row>
    <row r="118" customHeight="1" spans="1:16">
      <c r="A118" t="s">
        <v>266</v>
      </c>
      <c r="B118" t="s">
        <v>31</v>
      </c>
      <c r="C118" t="s">
        <v>2560</v>
      </c>
      <c r="D118" t="s">
        <v>268</v>
      </c>
      <c r="K118" t="s">
        <v>19</v>
      </c>
      <c r="M118" t="s">
        <v>328</v>
      </c>
      <c r="P118" t="s">
        <v>43</v>
      </c>
    </row>
    <row r="119" customHeight="1" spans="1:16">
      <c r="A119" t="s">
        <v>266</v>
      </c>
      <c r="B119" t="s">
        <v>31</v>
      </c>
      <c r="C119" t="s">
        <v>2561</v>
      </c>
      <c r="D119" t="s">
        <v>271</v>
      </c>
      <c r="K119" t="s">
        <v>19</v>
      </c>
      <c r="M119" t="s">
        <v>330</v>
      </c>
      <c r="P119" t="s">
        <v>43</v>
      </c>
    </row>
    <row r="120" customHeight="1" spans="1:16">
      <c r="A120" t="s">
        <v>241</v>
      </c>
      <c r="B120" t="s">
        <v>31</v>
      </c>
      <c r="C120" t="s">
        <v>2562</v>
      </c>
      <c r="D120" t="s">
        <v>2563</v>
      </c>
      <c r="K120" t="s">
        <v>19</v>
      </c>
      <c r="M120" t="s">
        <v>333</v>
      </c>
      <c r="P120" t="s">
        <v>43</v>
      </c>
    </row>
    <row r="121" customHeight="1" spans="1:16">
      <c r="A121" t="s">
        <v>266</v>
      </c>
      <c r="B121" t="s">
        <v>31</v>
      </c>
      <c r="C121" t="s">
        <v>2564</v>
      </c>
      <c r="D121" t="s">
        <v>277</v>
      </c>
      <c r="K121" t="s">
        <v>19</v>
      </c>
      <c r="M121" t="s">
        <v>335</v>
      </c>
      <c r="P121" t="s">
        <v>43</v>
      </c>
    </row>
    <row r="122" customHeight="1" spans="1:16">
      <c r="A122" t="s">
        <v>241</v>
      </c>
      <c r="B122" t="s">
        <v>31</v>
      </c>
      <c r="C122" t="s">
        <v>2565</v>
      </c>
      <c r="D122" t="s">
        <v>2566</v>
      </c>
      <c r="K122" t="s">
        <v>19</v>
      </c>
      <c r="M122" t="s">
        <v>338</v>
      </c>
      <c r="P122" t="s">
        <v>43</v>
      </c>
    </row>
    <row r="123" customHeight="1" spans="1:16">
      <c r="A123" t="s">
        <v>266</v>
      </c>
      <c r="B123" t="s">
        <v>31</v>
      </c>
      <c r="C123" t="s">
        <v>2567</v>
      </c>
      <c r="D123" t="s">
        <v>283</v>
      </c>
      <c r="K123" t="s">
        <v>19</v>
      </c>
      <c r="M123" t="s">
        <v>340</v>
      </c>
      <c r="P123" t="s">
        <v>43</v>
      </c>
    </row>
    <row r="124" customHeight="1" spans="1:16">
      <c r="A124" t="s">
        <v>241</v>
      </c>
      <c r="B124" t="s">
        <v>31</v>
      </c>
      <c r="C124" t="s">
        <v>2568</v>
      </c>
      <c r="D124" t="s">
        <v>2569</v>
      </c>
      <c r="K124" t="s">
        <v>19</v>
      </c>
      <c r="M124" t="s">
        <v>343</v>
      </c>
      <c r="P124" t="s">
        <v>43</v>
      </c>
    </row>
    <row r="125" customHeight="1" spans="1:16">
      <c r="A125" t="s">
        <v>266</v>
      </c>
      <c r="B125" t="s">
        <v>31</v>
      </c>
      <c r="C125" t="s">
        <v>2570</v>
      </c>
      <c r="D125" t="s">
        <v>289</v>
      </c>
      <c r="K125" t="s">
        <v>19</v>
      </c>
      <c r="M125" t="s">
        <v>345</v>
      </c>
      <c r="P125" t="s">
        <v>43</v>
      </c>
    </row>
    <row r="126" customHeight="1" spans="1:16">
      <c r="A126" t="s">
        <v>236</v>
      </c>
      <c r="B126" t="s">
        <v>31</v>
      </c>
      <c r="C126" t="s">
        <v>2571</v>
      </c>
      <c r="D126" t="s">
        <v>2572</v>
      </c>
      <c r="K126" t="s">
        <v>19</v>
      </c>
      <c r="M126" t="s">
        <v>348</v>
      </c>
      <c r="P126" t="s">
        <v>43</v>
      </c>
    </row>
    <row r="127" customHeight="1" spans="1:16">
      <c r="A127" t="s">
        <v>241</v>
      </c>
      <c r="B127" t="s">
        <v>31</v>
      </c>
      <c r="C127" t="s">
        <v>2573</v>
      </c>
      <c r="D127" t="s">
        <v>295</v>
      </c>
      <c r="K127" t="s">
        <v>19</v>
      </c>
      <c r="M127" t="s">
        <v>350</v>
      </c>
      <c r="P127" t="s">
        <v>43</v>
      </c>
    </row>
    <row r="128" customHeight="1" spans="1:16">
      <c r="A128" t="s">
        <v>236</v>
      </c>
      <c r="B128" t="s">
        <v>31</v>
      </c>
      <c r="C128" t="s">
        <v>2574</v>
      </c>
      <c r="D128" t="s">
        <v>2575</v>
      </c>
      <c r="K128" t="s">
        <v>19</v>
      </c>
      <c r="M128" t="s">
        <v>353</v>
      </c>
      <c r="P128" t="s">
        <v>43</v>
      </c>
    </row>
    <row r="129" customHeight="1" spans="1:16">
      <c r="A129" t="s">
        <v>241</v>
      </c>
      <c r="B129" t="s">
        <v>31</v>
      </c>
      <c r="C129" t="s">
        <v>2576</v>
      </c>
      <c r="D129" t="s">
        <v>301</v>
      </c>
      <c r="K129" t="s">
        <v>19</v>
      </c>
      <c r="M129" t="s">
        <v>355</v>
      </c>
      <c r="P129" t="s">
        <v>43</v>
      </c>
    </row>
    <row r="130" customHeight="1" spans="1:16">
      <c r="A130" t="s">
        <v>21</v>
      </c>
      <c r="B130" t="s">
        <v>31</v>
      </c>
      <c r="C130" t="s">
        <v>2577</v>
      </c>
      <c r="D130" t="s">
        <v>362</v>
      </c>
      <c r="F130" t="s">
        <v>2443</v>
      </c>
      <c r="K130" t="s">
        <v>19</v>
      </c>
      <c r="M130" t="s">
        <v>364</v>
      </c>
    </row>
    <row r="131" customHeight="1" spans="1:16">
      <c r="A131" t="s">
        <v>26</v>
      </c>
      <c r="B131" t="s">
        <v>31</v>
      </c>
      <c r="C131" t="s">
        <v>2578</v>
      </c>
      <c r="D131" t="s">
        <v>358</v>
      </c>
      <c r="K131" t="s">
        <v>19</v>
      </c>
      <c r="M131" t="s">
        <v>1063</v>
      </c>
      <c r="P131" t="s">
        <v>43</v>
      </c>
    </row>
    <row r="132" customHeight="1" spans="1:16">
      <c r="A132" t="s">
        <v>26</v>
      </c>
      <c r="B132" t="s">
        <v>31</v>
      </c>
      <c r="C132" t="s">
        <v>2579</v>
      </c>
      <c r="D132" t="s">
        <v>360</v>
      </c>
      <c r="K132" t="s">
        <v>19</v>
      </c>
      <c r="M132" t="s">
        <v>1065</v>
      </c>
      <c r="P132" t="s">
        <v>43</v>
      </c>
    </row>
    <row r="133" customHeight="1" spans="1:16">
      <c r="A133" t="s">
        <v>26</v>
      </c>
      <c r="B133" t="s">
        <v>31</v>
      </c>
      <c r="C133" t="s">
        <v>2580</v>
      </c>
      <c r="D133" t="s">
        <v>365</v>
      </c>
      <c r="F133" t="s">
        <v>2581</v>
      </c>
      <c r="K133" t="s">
        <v>19</v>
      </c>
      <c r="M133" t="s">
        <v>367</v>
      </c>
    </row>
    <row r="134" customHeight="1" spans="1:16">
      <c r="A134" t="s">
        <v>236</v>
      </c>
      <c r="B134" t="s">
        <v>31</v>
      </c>
      <c r="C134" t="s">
        <v>2582</v>
      </c>
      <c r="D134" t="s">
        <v>369</v>
      </c>
      <c r="F134" t="s">
        <v>2583</v>
      </c>
      <c r="K134" t="s">
        <v>19</v>
      </c>
      <c r="M134" t="s">
        <v>371</v>
      </c>
    </row>
    <row r="135" customHeight="1" spans="1:16">
      <c r="A135" t="s">
        <v>241</v>
      </c>
      <c r="B135" t="s">
        <v>31</v>
      </c>
      <c r="C135" t="s">
        <v>2584</v>
      </c>
      <c r="D135" t="s">
        <v>373</v>
      </c>
      <c r="K135" t="s">
        <v>19</v>
      </c>
      <c r="M135" t="s">
        <v>374</v>
      </c>
      <c r="P135" t="s">
        <v>43</v>
      </c>
    </row>
    <row r="136" customHeight="1" spans="1:16">
      <c r="A136" t="s">
        <v>241</v>
      </c>
      <c r="B136" t="s">
        <v>31</v>
      </c>
      <c r="C136" t="s">
        <v>2585</v>
      </c>
      <c r="D136" t="s">
        <v>376</v>
      </c>
      <c r="K136" t="s">
        <v>19</v>
      </c>
      <c r="M136" t="s">
        <v>377</v>
      </c>
      <c r="P136" t="s">
        <v>43</v>
      </c>
    </row>
    <row r="137" customHeight="1" spans="1:16">
      <c r="A137" t="s">
        <v>241</v>
      </c>
      <c r="B137" t="s">
        <v>31</v>
      </c>
      <c r="C137" t="s">
        <v>2586</v>
      </c>
      <c r="D137" t="s">
        <v>379</v>
      </c>
      <c r="K137" t="s">
        <v>19</v>
      </c>
      <c r="M137" t="s">
        <v>380</v>
      </c>
      <c r="P137" t="s">
        <v>43</v>
      </c>
    </row>
    <row r="138" customHeight="1" spans="1:16">
      <c r="A138" t="s">
        <v>241</v>
      </c>
      <c r="B138" t="s">
        <v>31</v>
      </c>
      <c r="C138" t="s">
        <v>2587</v>
      </c>
      <c r="D138" t="s">
        <v>382</v>
      </c>
      <c r="K138" t="s">
        <v>19</v>
      </c>
      <c r="M138" t="s">
        <v>383</v>
      </c>
      <c r="P138" t="s">
        <v>43</v>
      </c>
    </row>
    <row r="139" customHeight="1" spans="1:16">
      <c r="A139" t="s">
        <v>236</v>
      </c>
      <c r="B139" t="s">
        <v>31</v>
      </c>
      <c r="C139" t="s">
        <v>2588</v>
      </c>
      <c r="D139" t="s">
        <v>385</v>
      </c>
      <c r="F139" t="s">
        <v>2589</v>
      </c>
      <c r="K139" t="s">
        <v>19</v>
      </c>
      <c r="M139" t="s">
        <v>387</v>
      </c>
    </row>
    <row r="140" customHeight="1" spans="1:16">
      <c r="A140" t="s">
        <v>241</v>
      </c>
      <c r="B140" t="s">
        <v>31</v>
      </c>
      <c r="C140" t="s">
        <v>2590</v>
      </c>
      <c r="D140" t="s">
        <v>389</v>
      </c>
      <c r="K140" t="s">
        <v>19</v>
      </c>
      <c r="M140" t="s">
        <v>390</v>
      </c>
      <c r="P140" t="s">
        <v>43</v>
      </c>
    </row>
    <row r="141" customHeight="1" spans="1:16">
      <c r="A141" t="s">
        <v>241</v>
      </c>
      <c r="B141" t="s">
        <v>31</v>
      </c>
      <c r="C141" t="s">
        <v>2591</v>
      </c>
      <c r="D141" t="s">
        <v>392</v>
      </c>
      <c r="K141" t="s">
        <v>19</v>
      </c>
      <c r="M141" t="s">
        <v>393</v>
      </c>
      <c r="P141" t="s">
        <v>43</v>
      </c>
    </row>
    <row r="142" customHeight="1" spans="1:16">
      <c r="A142" t="s">
        <v>241</v>
      </c>
      <c r="B142" t="s">
        <v>31</v>
      </c>
      <c r="C142" t="s">
        <v>2592</v>
      </c>
      <c r="D142" t="s">
        <v>395</v>
      </c>
      <c r="K142" t="s">
        <v>19</v>
      </c>
      <c r="M142" t="s">
        <v>396</v>
      </c>
      <c r="P142" t="s">
        <v>43</v>
      </c>
    </row>
    <row r="143" customHeight="1" spans="1:16">
      <c r="A143" t="s">
        <v>241</v>
      </c>
      <c r="B143" t="s">
        <v>31</v>
      </c>
      <c r="C143" t="s">
        <v>2593</v>
      </c>
      <c r="D143" t="s">
        <v>398</v>
      </c>
      <c r="K143" t="s">
        <v>19</v>
      </c>
      <c r="M143" t="s">
        <v>399</v>
      </c>
      <c r="P143" t="s">
        <v>43</v>
      </c>
    </row>
    <row r="144" customHeight="1" spans="1:16">
      <c r="A144" t="s">
        <v>241</v>
      </c>
      <c r="B144" t="s">
        <v>31</v>
      </c>
      <c r="C144" t="s">
        <v>2594</v>
      </c>
      <c r="D144" t="s">
        <v>401</v>
      </c>
      <c r="K144" t="s">
        <v>19</v>
      </c>
      <c r="M144" t="s">
        <v>402</v>
      </c>
      <c r="P144" t="s">
        <v>43</v>
      </c>
    </row>
    <row r="145" customHeight="1" spans="1:16">
      <c r="A145" t="s">
        <v>241</v>
      </c>
      <c r="B145" t="s">
        <v>31</v>
      </c>
      <c r="C145" t="s">
        <v>2595</v>
      </c>
      <c r="D145" t="s">
        <v>404</v>
      </c>
      <c r="K145" t="s">
        <v>19</v>
      </c>
      <c r="M145" t="s">
        <v>405</v>
      </c>
      <c r="P145" t="s">
        <v>43</v>
      </c>
    </row>
    <row r="146" customHeight="1" spans="1:16">
      <c r="A146" t="s">
        <v>241</v>
      </c>
      <c r="B146" t="s">
        <v>31</v>
      </c>
      <c r="C146" t="s">
        <v>2596</v>
      </c>
      <c r="D146" t="s">
        <v>407</v>
      </c>
      <c r="K146" t="s">
        <v>19</v>
      </c>
      <c r="M146" t="s">
        <v>408</v>
      </c>
      <c r="P146" t="s">
        <v>43</v>
      </c>
    </row>
    <row r="147" customHeight="1" spans="1:16">
      <c r="A147" t="s">
        <v>241</v>
      </c>
      <c r="B147" t="s">
        <v>31</v>
      </c>
      <c r="C147" t="s">
        <v>2597</v>
      </c>
      <c r="D147" t="s">
        <v>410</v>
      </c>
      <c r="K147" t="s">
        <v>19</v>
      </c>
      <c r="M147" t="s">
        <v>411</v>
      </c>
      <c r="P147" t="s">
        <v>43</v>
      </c>
    </row>
    <row r="148" customHeight="1" spans="1:16">
      <c r="A148" t="s">
        <v>241</v>
      </c>
      <c r="B148" t="s">
        <v>31</v>
      </c>
      <c r="C148" t="s">
        <v>2598</v>
      </c>
      <c r="D148" t="s">
        <v>413</v>
      </c>
      <c r="K148" t="s">
        <v>19</v>
      </c>
      <c r="M148" t="s">
        <v>414</v>
      </c>
      <c r="P148" t="s">
        <v>43</v>
      </c>
    </row>
    <row r="149" customHeight="1" spans="1:16">
      <c r="A149" t="s">
        <v>241</v>
      </c>
      <c r="B149" t="s">
        <v>31</v>
      </c>
      <c r="C149" t="s">
        <v>2599</v>
      </c>
      <c r="D149" t="s">
        <v>416</v>
      </c>
      <c r="K149" t="s">
        <v>19</v>
      </c>
      <c r="M149" t="s">
        <v>417</v>
      </c>
      <c r="P149" t="s">
        <v>43</v>
      </c>
    </row>
    <row r="150" customHeight="1" spans="1:16">
      <c r="A150" t="s">
        <v>241</v>
      </c>
      <c r="B150" t="s">
        <v>31</v>
      </c>
      <c r="C150" t="s">
        <v>2600</v>
      </c>
      <c r="D150" t="s">
        <v>419</v>
      </c>
      <c r="K150" t="s">
        <v>19</v>
      </c>
      <c r="M150" t="s">
        <v>420</v>
      </c>
      <c r="P150" t="s">
        <v>43</v>
      </c>
    </row>
    <row r="151" customHeight="1" spans="1:16">
      <c r="A151" t="s">
        <v>241</v>
      </c>
      <c r="B151" t="s">
        <v>31</v>
      </c>
      <c r="C151" t="s">
        <v>2601</v>
      </c>
      <c r="D151" t="s">
        <v>422</v>
      </c>
      <c r="F151" t="s">
        <v>2602</v>
      </c>
      <c r="K151" t="s">
        <v>19</v>
      </c>
      <c r="M151" t="s">
        <v>424</v>
      </c>
    </row>
    <row r="152" customHeight="1" spans="1:16">
      <c r="A152" t="s">
        <v>241</v>
      </c>
      <c r="B152" t="s">
        <v>31</v>
      </c>
      <c r="C152" t="s">
        <v>2603</v>
      </c>
      <c r="D152" t="s">
        <v>426</v>
      </c>
      <c r="F152" t="s">
        <v>2604</v>
      </c>
      <c r="K152" t="s">
        <v>19</v>
      </c>
      <c r="M152" t="s">
        <v>428</v>
      </c>
    </row>
    <row r="153" customHeight="1" spans="1:16">
      <c r="A153" t="s">
        <v>241</v>
      </c>
      <c r="B153" t="s">
        <v>31</v>
      </c>
      <c r="C153" t="s">
        <v>2605</v>
      </c>
      <c r="D153" t="s">
        <v>430</v>
      </c>
      <c r="F153" t="s">
        <v>2606</v>
      </c>
      <c r="K153" t="s">
        <v>19</v>
      </c>
      <c r="M153" t="s">
        <v>432</v>
      </c>
    </row>
    <row r="154" customHeight="1" spans="1:16">
      <c r="A154" t="s">
        <v>236</v>
      </c>
      <c r="B154" t="s">
        <v>31</v>
      </c>
      <c r="C154" t="s">
        <v>2607</v>
      </c>
      <c r="D154" t="s">
        <v>434</v>
      </c>
      <c r="F154" t="s">
        <v>2608</v>
      </c>
      <c r="K154" t="s">
        <v>19</v>
      </c>
      <c r="M154" t="s">
        <v>436</v>
      </c>
    </row>
    <row r="155" customHeight="1" spans="1:16">
      <c r="A155" t="s">
        <v>241</v>
      </c>
      <c r="B155" t="s">
        <v>31</v>
      </c>
      <c r="C155" t="s">
        <v>2609</v>
      </c>
      <c r="D155" t="s">
        <v>438</v>
      </c>
      <c r="K155" t="s">
        <v>19</v>
      </c>
      <c r="M155" t="s">
        <v>439</v>
      </c>
      <c r="P155" t="s">
        <v>43</v>
      </c>
    </row>
    <row r="156" customHeight="1" spans="1:16">
      <c r="A156" t="s">
        <v>241</v>
      </c>
      <c r="B156" t="s">
        <v>31</v>
      </c>
      <c r="C156" t="s">
        <v>2610</v>
      </c>
      <c r="D156" t="s">
        <v>441</v>
      </c>
      <c r="K156" t="s">
        <v>19</v>
      </c>
      <c r="M156" t="s">
        <v>442</v>
      </c>
      <c r="P156" t="s">
        <v>43</v>
      </c>
    </row>
    <row r="157" customHeight="1" spans="1:16">
      <c r="A157" t="s">
        <v>241</v>
      </c>
      <c r="B157" t="s">
        <v>31</v>
      </c>
      <c r="C157" t="s">
        <v>2611</v>
      </c>
      <c r="D157" t="s">
        <v>444</v>
      </c>
      <c r="K157" t="s">
        <v>19</v>
      </c>
      <c r="M157" t="s">
        <v>445</v>
      </c>
      <c r="P157" t="s">
        <v>43</v>
      </c>
    </row>
    <row r="158" customHeight="1" spans="1:16">
      <c r="A158" t="s">
        <v>21</v>
      </c>
      <c r="B158" t="s">
        <v>31</v>
      </c>
      <c r="C158" t="s">
        <v>2612</v>
      </c>
      <c r="D158" t="s">
        <v>994</v>
      </c>
      <c r="F158" t="s">
        <v>2447</v>
      </c>
      <c r="K158" t="s">
        <v>19</v>
      </c>
      <c r="M158" t="s">
        <v>859</v>
      </c>
    </row>
    <row r="159" customHeight="1" spans="1:16">
      <c r="A159" t="s">
        <v>26</v>
      </c>
      <c r="B159" t="s">
        <v>31</v>
      </c>
      <c r="C159" t="s">
        <v>2613</v>
      </c>
      <c r="D159" t="s">
        <v>263</v>
      </c>
      <c r="F159" t="s">
        <v>2449</v>
      </c>
      <c r="K159" t="s">
        <v>19</v>
      </c>
      <c r="M159" t="s">
        <v>863</v>
      </c>
    </row>
    <row r="160" customHeight="1" spans="1:16">
      <c r="A160" t="s">
        <v>236</v>
      </c>
      <c r="B160" t="s">
        <v>31</v>
      </c>
      <c r="C160" t="s">
        <v>2614</v>
      </c>
      <c r="D160" t="s">
        <v>268</v>
      </c>
      <c r="K160" t="s">
        <v>19</v>
      </c>
      <c r="M160" t="s">
        <v>866</v>
      </c>
      <c r="P160" t="s">
        <v>43</v>
      </c>
    </row>
    <row r="161" customHeight="1" spans="1:16">
      <c r="A161" t="s">
        <v>236</v>
      </c>
      <c r="B161" t="s">
        <v>31</v>
      </c>
      <c r="C161" t="s">
        <v>2615</v>
      </c>
      <c r="D161" t="s">
        <v>271</v>
      </c>
      <c r="K161" t="s">
        <v>19</v>
      </c>
      <c r="M161" t="s">
        <v>869</v>
      </c>
      <c r="P161" t="s">
        <v>43</v>
      </c>
    </row>
    <row r="162" customHeight="1" spans="1:16">
      <c r="A162" t="s">
        <v>26</v>
      </c>
      <c r="B162" t="s">
        <v>31</v>
      </c>
      <c r="C162" t="s">
        <v>2616</v>
      </c>
      <c r="D162" t="s">
        <v>999</v>
      </c>
      <c r="K162" t="s">
        <v>19</v>
      </c>
      <c r="M162" t="s">
        <v>872</v>
      </c>
      <c r="P162" t="s">
        <v>43</v>
      </c>
    </row>
    <row r="163" customHeight="1" spans="1:16">
      <c r="A163" t="s">
        <v>26</v>
      </c>
      <c r="B163" t="s">
        <v>31</v>
      </c>
      <c r="C163" t="s">
        <v>2617</v>
      </c>
      <c r="D163" t="s">
        <v>283</v>
      </c>
      <c r="K163" t="s">
        <v>19</v>
      </c>
      <c r="M163" t="s">
        <v>875</v>
      </c>
      <c r="P163" t="s">
        <v>43</v>
      </c>
    </row>
    <row r="164" customHeight="1" spans="1:16">
      <c r="A164" t="s">
        <v>26</v>
      </c>
      <c r="B164" t="s">
        <v>31</v>
      </c>
      <c r="C164" t="s">
        <v>2618</v>
      </c>
      <c r="D164" t="s">
        <v>289</v>
      </c>
      <c r="K164" t="s">
        <v>19</v>
      </c>
      <c r="M164" t="s">
        <v>878</v>
      </c>
      <c r="P164" t="s">
        <v>43</v>
      </c>
    </row>
    <row r="165" customHeight="1" spans="1:16">
      <c r="A165" t="s">
        <v>21</v>
      </c>
      <c r="B165" t="s">
        <v>31</v>
      </c>
      <c r="C165" t="s">
        <v>2619</v>
      </c>
      <c r="D165" t="s">
        <v>1003</v>
      </c>
      <c r="K165" t="s">
        <v>19</v>
      </c>
      <c r="M165" t="s">
        <v>881</v>
      </c>
      <c r="P165" t="s">
        <v>43</v>
      </c>
    </row>
    <row r="166" customHeight="1" spans="1:16">
      <c r="A166" t="s">
        <v>21</v>
      </c>
      <c r="B166" t="s">
        <v>31</v>
      </c>
      <c r="C166" t="s">
        <v>2620</v>
      </c>
      <c r="D166" t="s">
        <v>1005</v>
      </c>
      <c r="K166" t="s">
        <v>19</v>
      </c>
      <c r="M166" t="s">
        <v>883</v>
      </c>
      <c r="P166" t="s">
        <v>43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2"/>
  <sheetViews>
    <sheetView workbookViewId="0">
      <pane xSplit="4" ySplit="1" topLeftCell="E34" activePane="bottomRight" state="frozen"/>
      <selection/>
      <selection pane="topRight"/>
      <selection pane="bottomLeft"/>
      <selection pane="bottomRight" activeCell="A38" sqref="A38:D44"/>
    </sheetView>
  </sheetViews>
  <sheetFormatPr defaultColWidth="9" defaultRowHeight="15" customHeight="1"/>
  <cols>
    <col min="3" max="3" width="10.8303571428571" customWidth="1"/>
    <col min="4" max="4" width="17.5" customWidth="1"/>
  </cols>
  <sheetData>
    <row r="1" s="1" customFormat="1" ht="16.8" customHeight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16.8" customHeight="1" spans="1:14">
      <c r="A2" s="7" t="s">
        <v>14</v>
      </c>
      <c r="B2" s="1" t="s">
        <v>15</v>
      </c>
      <c r="C2" s="8" t="s">
        <v>2621</v>
      </c>
      <c r="D2" s="7" t="s">
        <v>17</v>
      </c>
      <c r="F2" t="s">
        <v>2622</v>
      </c>
      <c r="K2" t="s">
        <v>19</v>
      </c>
      <c r="M2" t="s">
        <v>20</v>
      </c>
    </row>
    <row r="3" ht="16.8" customHeight="1" spans="1:14">
      <c r="A3" s="1" t="s">
        <v>21</v>
      </c>
      <c r="B3" s="1" t="s">
        <v>15</v>
      </c>
      <c r="C3" s="8" t="s">
        <v>2623</v>
      </c>
      <c r="D3" s="1" t="s">
        <v>23</v>
      </c>
      <c r="F3" t="s">
        <v>2624</v>
      </c>
      <c r="K3" t="s">
        <v>19</v>
      </c>
      <c r="M3" t="s">
        <v>25</v>
      </c>
    </row>
    <row r="4" ht="16.8" customHeight="1" spans="1:14">
      <c r="A4" s="1" t="s">
        <v>26</v>
      </c>
      <c r="B4" s="1" t="s">
        <v>15</v>
      </c>
      <c r="C4" s="9" t="s">
        <v>2625</v>
      </c>
      <c r="D4" s="1" t="s">
        <v>822</v>
      </c>
      <c r="M4" t="s">
        <v>823</v>
      </c>
      <c r="N4" t="s">
        <v>43</v>
      </c>
    </row>
    <row r="5" ht="16.8" customHeight="1" spans="1:14">
      <c r="A5" s="10" t="s">
        <v>14</v>
      </c>
      <c r="B5" s="10" t="s">
        <v>15</v>
      </c>
      <c r="C5" s="10" t="s">
        <v>2626</v>
      </c>
      <c r="D5" s="10" t="s">
        <v>28</v>
      </c>
      <c r="K5" t="s">
        <v>19</v>
      </c>
      <c r="M5" t="s">
        <v>30</v>
      </c>
      <c r="N5" t="s">
        <v>43</v>
      </c>
    </row>
    <row r="6" ht="16.8" customHeight="1" spans="1:14">
      <c r="A6" s="1" t="s">
        <v>14</v>
      </c>
      <c r="B6" s="1" t="s">
        <v>31</v>
      </c>
      <c r="C6" s="9" t="s">
        <v>2627</v>
      </c>
      <c r="D6" s="1" t="s">
        <v>826</v>
      </c>
      <c r="M6" t="s">
        <v>827</v>
      </c>
      <c r="N6" t="s">
        <v>43</v>
      </c>
    </row>
    <row r="7" ht="16.8" customHeight="1" spans="1:14">
      <c r="A7" s="1" t="s">
        <v>26</v>
      </c>
      <c r="B7" s="1" t="s">
        <v>15</v>
      </c>
      <c r="C7" s="9" t="s">
        <v>2628</v>
      </c>
      <c r="D7" s="1" t="s">
        <v>829</v>
      </c>
      <c r="M7" t="s">
        <v>830</v>
      </c>
      <c r="N7" t="s">
        <v>43</v>
      </c>
    </row>
    <row r="8" ht="16.8" customHeight="1" spans="1:14">
      <c r="A8" s="7" t="s">
        <v>14</v>
      </c>
      <c r="B8" s="1" t="s">
        <v>31</v>
      </c>
      <c r="C8" s="9" t="s">
        <v>2629</v>
      </c>
      <c r="D8" s="1" t="s">
        <v>33</v>
      </c>
      <c r="K8" t="s">
        <v>19</v>
      </c>
      <c r="M8" t="s">
        <v>35</v>
      </c>
      <c r="N8" t="s">
        <v>43</v>
      </c>
    </row>
    <row r="9" ht="16.8" customHeight="1" spans="1:14">
      <c r="A9" s="7" t="s">
        <v>14</v>
      </c>
      <c r="B9" s="1" t="s">
        <v>31</v>
      </c>
      <c r="C9" s="9" t="s">
        <v>2630</v>
      </c>
      <c r="D9" s="1" t="s">
        <v>833</v>
      </c>
      <c r="M9" t="s">
        <v>834</v>
      </c>
      <c r="N9" t="s">
        <v>43</v>
      </c>
    </row>
    <row r="10" ht="16.8" customHeight="1" spans="1:14">
      <c r="A10" s="1" t="s">
        <v>21</v>
      </c>
      <c r="B10" s="1" t="s">
        <v>15</v>
      </c>
      <c r="C10" s="8" t="s">
        <v>2631</v>
      </c>
      <c r="D10" s="1" t="s">
        <v>37</v>
      </c>
      <c r="K10" t="s">
        <v>19</v>
      </c>
      <c r="M10" t="s">
        <v>39</v>
      </c>
      <c r="N10" t="s">
        <v>43</v>
      </c>
    </row>
    <row r="11" ht="16.8" customHeight="1" spans="1:14">
      <c r="A11" s="11" t="s">
        <v>14</v>
      </c>
      <c r="B11" s="11" t="s">
        <v>15</v>
      </c>
      <c r="C11" s="8" t="s">
        <v>2632</v>
      </c>
      <c r="D11" s="1" t="s">
        <v>41</v>
      </c>
      <c r="K11" t="s">
        <v>19</v>
      </c>
      <c r="M11" t="s">
        <v>42</v>
      </c>
      <c r="N11" t="s">
        <v>43</v>
      </c>
    </row>
    <row r="12" ht="16.8" customHeight="1" spans="1:14">
      <c r="A12" s="11" t="s">
        <v>14</v>
      </c>
      <c r="B12" s="11" t="s">
        <v>31</v>
      </c>
      <c r="C12" s="8" t="s">
        <v>2633</v>
      </c>
      <c r="D12" s="1" t="s">
        <v>45</v>
      </c>
      <c r="K12" t="s">
        <v>19</v>
      </c>
      <c r="M12" t="s">
        <v>46</v>
      </c>
      <c r="N12" t="s">
        <v>43</v>
      </c>
    </row>
    <row r="13" ht="16.8" customHeight="1" spans="1:14">
      <c r="A13" s="1" t="s">
        <v>21</v>
      </c>
      <c r="B13" s="1" t="s">
        <v>15</v>
      </c>
      <c r="C13" s="8" t="s">
        <v>2634</v>
      </c>
      <c r="D13" s="1" t="s">
        <v>48</v>
      </c>
      <c r="K13" t="s">
        <v>19</v>
      </c>
      <c r="M13" t="s">
        <v>49</v>
      </c>
      <c r="N13" t="s">
        <v>43</v>
      </c>
    </row>
    <row r="14" ht="16.8" customHeight="1" spans="1:14">
      <c r="A14" s="7" t="s">
        <v>14</v>
      </c>
      <c r="B14" s="1" t="s">
        <v>31</v>
      </c>
      <c r="C14" s="8" t="s">
        <v>2635</v>
      </c>
      <c r="D14" s="7" t="s">
        <v>840</v>
      </c>
      <c r="K14" t="s">
        <v>19</v>
      </c>
      <c r="M14" t="s">
        <v>53</v>
      </c>
      <c r="N14" t="s">
        <v>43</v>
      </c>
    </row>
    <row r="15" ht="16.8" customHeight="1" spans="1:14">
      <c r="A15" s="7" t="s">
        <v>14</v>
      </c>
      <c r="B15" s="1" t="s">
        <v>15</v>
      </c>
      <c r="C15" s="8" t="s">
        <v>2636</v>
      </c>
      <c r="D15" s="7" t="s">
        <v>68</v>
      </c>
      <c r="K15" t="s">
        <v>19</v>
      </c>
      <c r="M15" t="s">
        <v>70</v>
      </c>
      <c r="N15" t="s">
        <v>43</v>
      </c>
    </row>
    <row r="16" ht="16.8" customHeight="1" spans="1:14">
      <c r="A16" s="7" t="s">
        <v>14</v>
      </c>
      <c r="B16" s="1" t="s">
        <v>31</v>
      </c>
      <c r="C16" s="8" t="s">
        <v>2637</v>
      </c>
      <c r="D16" s="7" t="s">
        <v>72</v>
      </c>
      <c r="K16" t="s">
        <v>19</v>
      </c>
      <c r="M16" t="s">
        <v>73</v>
      </c>
      <c r="N16" t="s">
        <v>43</v>
      </c>
    </row>
    <row r="17" ht="16.8" customHeight="1" spans="1:14">
      <c r="A17" s="7" t="s">
        <v>14</v>
      </c>
      <c r="B17" s="1" t="s">
        <v>31</v>
      </c>
      <c r="C17" s="8" t="s">
        <v>2638</v>
      </c>
      <c r="D17" s="7" t="s">
        <v>844</v>
      </c>
      <c r="F17" t="s">
        <v>2639</v>
      </c>
      <c r="K17" t="s">
        <v>19</v>
      </c>
      <c r="M17" t="s">
        <v>227</v>
      </c>
    </row>
    <row r="18" ht="16.8" customHeight="1" spans="1:14">
      <c r="A18" s="1" t="s">
        <v>21</v>
      </c>
      <c r="B18" s="1" t="s">
        <v>31</v>
      </c>
      <c r="C18" s="8" t="s">
        <v>2640</v>
      </c>
      <c r="D18" s="1" t="s">
        <v>847</v>
      </c>
      <c r="F18" t="s">
        <v>2641</v>
      </c>
      <c r="K18" t="s">
        <v>19</v>
      </c>
      <c r="M18" t="s">
        <v>231</v>
      </c>
    </row>
    <row r="19" ht="16.8" customHeight="1" spans="1:14">
      <c r="A19" s="1" t="s">
        <v>26</v>
      </c>
      <c r="B19" s="1" t="s">
        <v>31</v>
      </c>
      <c r="C19" s="9" t="s">
        <v>2642</v>
      </c>
      <c r="D19" s="1" t="s">
        <v>83</v>
      </c>
      <c r="F19" t="s">
        <v>2643</v>
      </c>
      <c r="K19" t="s">
        <v>19</v>
      </c>
      <c r="M19" t="s">
        <v>235</v>
      </c>
    </row>
    <row r="20" ht="16.8" customHeight="1" spans="1:14">
      <c r="A20" s="1" t="s">
        <v>26</v>
      </c>
      <c r="B20" s="1" t="s">
        <v>31</v>
      </c>
      <c r="C20" s="9" t="s">
        <v>2644</v>
      </c>
      <c r="D20" s="1" t="s">
        <v>852</v>
      </c>
      <c r="F20" t="s">
        <v>2645</v>
      </c>
      <c r="K20" t="s">
        <v>19</v>
      </c>
      <c r="M20" t="s">
        <v>306</v>
      </c>
    </row>
    <row r="21" ht="16.8" customHeight="1" spans="1:14">
      <c r="A21" s="1" t="s">
        <v>21</v>
      </c>
      <c r="B21" s="1" t="s">
        <v>31</v>
      </c>
      <c r="C21" s="8" t="s">
        <v>2646</v>
      </c>
      <c r="D21" s="1" t="s">
        <v>92</v>
      </c>
      <c r="K21" t="s">
        <v>19</v>
      </c>
      <c r="N21" t="s">
        <v>43</v>
      </c>
    </row>
    <row r="22" ht="16.8" customHeight="1" spans="1:14">
      <c r="A22" s="1" t="s">
        <v>26</v>
      </c>
      <c r="B22" s="1" t="s">
        <v>31</v>
      </c>
      <c r="C22" s="9" t="s">
        <v>2647</v>
      </c>
      <c r="D22" s="1" t="s">
        <v>94</v>
      </c>
      <c r="K22" t="s">
        <v>19</v>
      </c>
      <c r="N22" t="s">
        <v>43</v>
      </c>
    </row>
    <row r="23" ht="16.8" customHeight="1" spans="1:14">
      <c r="A23" s="1" t="s">
        <v>26</v>
      </c>
      <c r="B23" s="1" t="s">
        <v>31</v>
      </c>
      <c r="C23" s="9" t="s">
        <v>2648</v>
      </c>
      <c r="D23" s="1" t="s">
        <v>96</v>
      </c>
      <c r="K23" t="s">
        <v>19</v>
      </c>
      <c r="N23" t="s">
        <v>43</v>
      </c>
    </row>
    <row r="24" ht="16.8" customHeight="1" spans="1:14">
      <c r="A24" s="1" t="s">
        <v>21</v>
      </c>
      <c r="B24" s="1" t="s">
        <v>31</v>
      </c>
      <c r="C24" s="8" t="s">
        <v>2649</v>
      </c>
      <c r="D24" s="1" t="s">
        <v>98</v>
      </c>
      <c r="F24" t="s">
        <v>2650</v>
      </c>
      <c r="K24" t="s">
        <v>19</v>
      </c>
      <c r="M24" t="s">
        <v>859</v>
      </c>
    </row>
    <row r="25" ht="16.8" customHeight="1" spans="1:14">
      <c r="A25" s="1" t="s">
        <v>26</v>
      </c>
      <c r="B25" s="1" t="s">
        <v>31</v>
      </c>
      <c r="C25" s="9" t="s">
        <v>2651</v>
      </c>
      <c r="D25" s="1" t="s">
        <v>861</v>
      </c>
      <c r="F25" t="s">
        <v>2652</v>
      </c>
      <c r="K25" t="s">
        <v>19</v>
      </c>
      <c r="M25" t="s">
        <v>863</v>
      </c>
    </row>
    <row r="26" ht="16.8" customHeight="1" spans="1:14">
      <c r="A26" s="1" t="s">
        <v>236</v>
      </c>
      <c r="B26" s="1" t="s">
        <v>31</v>
      </c>
      <c r="C26" s="9" t="s">
        <v>2653</v>
      </c>
      <c r="D26" s="1" t="s">
        <v>865</v>
      </c>
      <c r="K26" t="s">
        <v>19</v>
      </c>
      <c r="M26" t="s">
        <v>866</v>
      </c>
      <c r="N26" t="s">
        <v>43</v>
      </c>
    </row>
    <row r="27" ht="16.8" customHeight="1" spans="1:14">
      <c r="A27" s="1" t="s">
        <v>236</v>
      </c>
      <c r="B27" s="1" t="s">
        <v>31</v>
      </c>
      <c r="C27" s="9" t="s">
        <v>2654</v>
      </c>
      <c r="D27" s="1" t="s">
        <v>868</v>
      </c>
      <c r="K27" t="s">
        <v>19</v>
      </c>
      <c r="M27" t="s">
        <v>869</v>
      </c>
      <c r="N27" t="s">
        <v>43</v>
      </c>
    </row>
    <row r="28" ht="16.8" customHeight="1" spans="1:14">
      <c r="A28" s="1" t="s">
        <v>26</v>
      </c>
      <c r="B28" s="1" t="s">
        <v>31</v>
      </c>
      <c r="C28" s="9" t="s">
        <v>2655</v>
      </c>
      <c r="D28" s="1" t="s">
        <v>871</v>
      </c>
      <c r="K28" t="s">
        <v>19</v>
      </c>
      <c r="M28" t="s">
        <v>872</v>
      </c>
      <c r="N28" t="s">
        <v>43</v>
      </c>
    </row>
    <row r="29" ht="16.8" customHeight="1" spans="1:14">
      <c r="A29" s="1" t="s">
        <v>26</v>
      </c>
      <c r="B29" s="1" t="s">
        <v>31</v>
      </c>
      <c r="C29" s="9" t="s">
        <v>2656</v>
      </c>
      <c r="D29" s="1" t="s">
        <v>874</v>
      </c>
      <c r="K29" t="s">
        <v>19</v>
      </c>
      <c r="M29" t="s">
        <v>875</v>
      </c>
      <c r="N29" t="s">
        <v>43</v>
      </c>
    </row>
    <row r="30" ht="16.8" customHeight="1" spans="1:14">
      <c r="A30" s="1" t="s">
        <v>26</v>
      </c>
      <c r="B30" s="1" t="s">
        <v>31</v>
      </c>
      <c r="C30" s="9" t="s">
        <v>2657</v>
      </c>
      <c r="D30" s="1" t="s">
        <v>877</v>
      </c>
      <c r="K30" t="s">
        <v>19</v>
      </c>
      <c r="M30" t="s">
        <v>878</v>
      </c>
      <c r="N30" t="s">
        <v>43</v>
      </c>
    </row>
    <row r="31" ht="16.8" customHeight="1" spans="1:14">
      <c r="A31" s="1" t="s">
        <v>21</v>
      </c>
      <c r="B31" s="1" t="s">
        <v>31</v>
      </c>
      <c r="C31" s="8" t="s">
        <v>2658</v>
      </c>
      <c r="D31" s="1" t="s">
        <v>880</v>
      </c>
      <c r="K31" t="s">
        <v>19</v>
      </c>
      <c r="M31" t="s">
        <v>881</v>
      </c>
      <c r="N31" t="s">
        <v>43</v>
      </c>
    </row>
    <row r="32" ht="16.8" customHeight="1" spans="1:14">
      <c r="A32" s="1" t="s">
        <v>21</v>
      </c>
      <c r="B32" s="1" t="s">
        <v>31</v>
      </c>
      <c r="C32" s="8" t="s">
        <v>2659</v>
      </c>
      <c r="D32" s="1" t="s">
        <v>101</v>
      </c>
      <c r="K32" t="s">
        <v>19</v>
      </c>
      <c r="M32" t="s">
        <v>883</v>
      </c>
      <c r="N32" t="s">
        <v>43</v>
      </c>
    </row>
    <row r="33" ht="16.8" customHeight="1" spans="1:14">
      <c r="A33" s="7" t="s">
        <v>14</v>
      </c>
      <c r="B33" s="1" t="s">
        <v>15</v>
      </c>
      <c r="C33" s="8" t="s">
        <v>2660</v>
      </c>
      <c r="D33" s="7" t="s">
        <v>104</v>
      </c>
      <c r="K33" t="s">
        <v>19</v>
      </c>
      <c r="M33" t="s">
        <v>105</v>
      </c>
      <c r="N33" t="s">
        <v>43</v>
      </c>
    </row>
    <row r="34" ht="16.8" customHeight="1" spans="1:14">
      <c r="A34" s="7" t="s">
        <v>14</v>
      </c>
      <c r="B34" s="1" t="s">
        <v>106</v>
      </c>
      <c r="C34" s="8" t="s">
        <v>2661</v>
      </c>
      <c r="D34" s="7" t="s">
        <v>886</v>
      </c>
      <c r="M34" t="s">
        <v>887</v>
      </c>
      <c r="N34" t="s">
        <v>43</v>
      </c>
    </row>
    <row r="35" ht="16.8" customHeight="1" spans="1:14">
      <c r="A35" s="7" t="s">
        <v>14</v>
      </c>
      <c r="B35" s="1" t="s">
        <v>31</v>
      </c>
      <c r="C35" s="8" t="s">
        <v>2662</v>
      </c>
      <c r="D35" s="7" t="s">
        <v>889</v>
      </c>
      <c r="M35" t="s">
        <v>890</v>
      </c>
      <c r="N35" t="s">
        <v>43</v>
      </c>
    </row>
    <row r="36" ht="16.8" customHeight="1" spans="1:14">
      <c r="A36" s="7" t="s">
        <v>14</v>
      </c>
      <c r="B36" s="1" t="s">
        <v>106</v>
      </c>
      <c r="C36" s="8" t="s">
        <v>2663</v>
      </c>
      <c r="D36" s="7" t="s">
        <v>108</v>
      </c>
      <c r="K36" t="s">
        <v>19</v>
      </c>
      <c r="M36" t="s">
        <v>110</v>
      </c>
      <c r="N36" t="s">
        <v>43</v>
      </c>
    </row>
    <row r="37" spans="1:14">
      <c r="A37" s="10"/>
      <c r="B37" s="10"/>
      <c r="C37" s="10"/>
      <c r="D37" s="10"/>
    </row>
    <row r="38" ht="16.8" customHeight="1" spans="1:14">
      <c r="A38" s="7" t="s">
        <v>14</v>
      </c>
      <c r="B38" s="7" t="s">
        <v>118</v>
      </c>
      <c r="C38" s="11" t="s">
        <v>2664</v>
      </c>
      <c r="D38" s="11" t="s">
        <v>120</v>
      </c>
      <c r="F38" t="s">
        <v>2665</v>
      </c>
      <c r="M38" t="s">
        <v>122</v>
      </c>
    </row>
    <row r="39" ht="16.8" customHeight="1" spans="1:14">
      <c r="A39" s="1" t="s">
        <v>21</v>
      </c>
      <c r="B39" s="7" t="s">
        <v>118</v>
      </c>
      <c r="C39" s="10" t="s">
        <v>2666</v>
      </c>
      <c r="D39" s="10" t="s">
        <v>124</v>
      </c>
      <c r="F39" t="s">
        <v>2667</v>
      </c>
      <c r="M39" t="s">
        <v>126</v>
      </c>
    </row>
    <row r="40" ht="16.8" customHeight="1" spans="1:14">
      <c r="A40" s="1" t="s">
        <v>26</v>
      </c>
      <c r="B40" s="7" t="s">
        <v>118</v>
      </c>
      <c r="C40" s="10" t="s">
        <v>2668</v>
      </c>
      <c r="D40" s="10" t="s">
        <v>128</v>
      </c>
      <c r="M40" t="s">
        <v>129</v>
      </c>
      <c r="N40" t="s">
        <v>130</v>
      </c>
    </row>
    <row r="41" ht="16.8" customHeight="1" spans="1:14">
      <c r="A41" s="1" t="s">
        <v>26</v>
      </c>
      <c r="B41" s="7" t="s">
        <v>118</v>
      </c>
      <c r="C41" s="10" t="s">
        <v>2669</v>
      </c>
      <c r="D41" s="10" t="s">
        <v>132</v>
      </c>
      <c r="M41" t="s">
        <v>133</v>
      </c>
      <c r="N41" t="s">
        <v>130</v>
      </c>
    </row>
    <row r="42" ht="16.8" customHeight="1" spans="1:14">
      <c r="A42" s="1" t="s">
        <v>21</v>
      </c>
      <c r="B42" s="7" t="s">
        <v>118</v>
      </c>
      <c r="C42" s="10" t="s">
        <v>2670</v>
      </c>
      <c r="D42" s="10" t="s">
        <v>135</v>
      </c>
      <c r="M42" t="s">
        <v>136</v>
      </c>
      <c r="N42" t="s">
        <v>130</v>
      </c>
    </row>
    <row r="43" ht="16.8" customHeight="1" spans="1:14">
      <c r="A43" s="1" t="s">
        <v>21</v>
      </c>
      <c r="B43" s="7" t="s">
        <v>118</v>
      </c>
      <c r="C43" s="10" t="s">
        <v>2671</v>
      </c>
      <c r="D43" s="10" t="s">
        <v>138</v>
      </c>
      <c r="M43" t="s">
        <v>139</v>
      </c>
      <c r="N43" t="s">
        <v>130</v>
      </c>
    </row>
    <row r="44" ht="16.8" customHeight="1" spans="1:14">
      <c r="A44" s="10" t="s">
        <v>21</v>
      </c>
      <c r="B44" s="7" t="s">
        <v>118</v>
      </c>
      <c r="C44" s="10" t="s">
        <v>2672</v>
      </c>
      <c r="D44" s="10" t="s">
        <v>141</v>
      </c>
      <c r="M44" t="s">
        <v>142</v>
      </c>
      <c r="N44" t="s">
        <v>130</v>
      </c>
    </row>
    <row r="45" ht="16.8" customHeight="1" spans="1:14">
      <c r="A45" s="7" t="s">
        <v>14</v>
      </c>
      <c r="B45" s="7" t="s">
        <v>515</v>
      </c>
      <c r="C45" s="11" t="s">
        <v>2673</v>
      </c>
      <c r="D45" s="11" t="s">
        <v>899</v>
      </c>
      <c r="F45" t="s">
        <v>2674</v>
      </c>
      <c r="M45" t="s">
        <v>901</v>
      </c>
    </row>
    <row r="46" ht="16.8" customHeight="1" spans="1:14">
      <c r="A46" s="1" t="s">
        <v>21</v>
      </c>
      <c r="B46" s="7" t="s">
        <v>515</v>
      </c>
      <c r="C46" s="10" t="s">
        <v>2675</v>
      </c>
      <c r="D46" s="10" t="s">
        <v>903</v>
      </c>
      <c r="F46" t="s">
        <v>2676</v>
      </c>
      <c r="M46" t="s">
        <v>521</v>
      </c>
    </row>
    <row r="47" ht="16.8" customHeight="1" spans="1:14">
      <c r="A47" s="1" t="s">
        <v>26</v>
      </c>
      <c r="B47" s="7" t="s">
        <v>515</v>
      </c>
      <c r="C47" s="10" t="s">
        <v>2677</v>
      </c>
      <c r="D47" s="10" t="s">
        <v>128</v>
      </c>
      <c r="M47" t="s">
        <v>523</v>
      </c>
      <c r="N47" t="s">
        <v>524</v>
      </c>
    </row>
    <row r="48" ht="16.8" customHeight="1" spans="1:14">
      <c r="A48" s="1" t="s">
        <v>26</v>
      </c>
      <c r="B48" s="7" t="s">
        <v>515</v>
      </c>
      <c r="C48" s="10" t="s">
        <v>2678</v>
      </c>
      <c r="D48" s="10" t="s">
        <v>132</v>
      </c>
      <c r="M48" t="s">
        <v>526</v>
      </c>
      <c r="N48" t="s">
        <v>524</v>
      </c>
    </row>
    <row r="49" ht="16.8" customHeight="1" spans="1:14">
      <c r="A49" s="1" t="s">
        <v>21</v>
      </c>
      <c r="B49" s="7" t="s">
        <v>515</v>
      </c>
      <c r="C49" s="10" t="s">
        <v>2679</v>
      </c>
      <c r="D49" s="10" t="s">
        <v>135</v>
      </c>
      <c r="M49" t="s">
        <v>906</v>
      </c>
      <c r="N49" t="s">
        <v>524</v>
      </c>
    </row>
    <row r="50" ht="16.8" customHeight="1" spans="1:14">
      <c r="A50" s="1" t="s">
        <v>21</v>
      </c>
      <c r="B50" s="7" t="s">
        <v>515</v>
      </c>
      <c r="C50" s="10" t="s">
        <v>2680</v>
      </c>
      <c r="D50" s="10" t="s">
        <v>138</v>
      </c>
      <c r="M50" t="s">
        <v>908</v>
      </c>
      <c r="N50" t="s">
        <v>524</v>
      </c>
    </row>
    <row r="51" ht="16.8" customHeight="1" spans="1:14">
      <c r="A51" s="10" t="s">
        <v>21</v>
      </c>
      <c r="B51" s="7" t="s">
        <v>515</v>
      </c>
      <c r="C51" s="10" t="s">
        <v>2681</v>
      </c>
      <c r="D51" s="10" t="s">
        <v>141</v>
      </c>
      <c r="M51" t="s">
        <v>2682</v>
      </c>
      <c r="N51" t="s">
        <v>524</v>
      </c>
    </row>
    <row r="52" spans="1:14">
      <c r="A52" s="10"/>
      <c r="B52" s="7"/>
      <c r="C52" s="10"/>
      <c r="D52" s="10"/>
    </row>
    <row r="53" ht="16.8" customHeight="1" spans="1:14">
      <c r="A53" s="1" t="s">
        <v>14</v>
      </c>
      <c r="B53" s="1" t="s">
        <v>143</v>
      </c>
      <c r="C53" s="10" t="s">
        <v>2683</v>
      </c>
      <c r="D53" s="10" t="s">
        <v>145</v>
      </c>
      <c r="F53" t="s">
        <v>2684</v>
      </c>
      <c r="M53" t="s">
        <v>147</v>
      </c>
    </row>
    <row r="54" ht="16.8" customHeight="1" spans="1:14">
      <c r="A54" s="1" t="s">
        <v>21</v>
      </c>
      <c r="B54" s="1" t="s">
        <v>143</v>
      </c>
      <c r="C54" s="10" t="s">
        <v>2685</v>
      </c>
      <c r="D54" s="10" t="s">
        <v>2477</v>
      </c>
      <c r="M54" t="s">
        <v>150</v>
      </c>
      <c r="N54" t="s">
        <v>130</v>
      </c>
    </row>
    <row r="55" ht="16.8" customHeight="1" spans="1:14">
      <c r="A55" s="1" t="s">
        <v>21</v>
      </c>
      <c r="B55" s="1" t="s">
        <v>143</v>
      </c>
      <c r="C55" s="10" t="s">
        <v>2686</v>
      </c>
      <c r="D55" s="10" t="s">
        <v>152</v>
      </c>
      <c r="M55" t="s">
        <v>153</v>
      </c>
      <c r="N55" t="s">
        <v>130</v>
      </c>
    </row>
    <row r="56" ht="16.8" customHeight="1" spans="1:14">
      <c r="A56" s="1" t="s">
        <v>14</v>
      </c>
      <c r="B56" s="1" t="s">
        <v>143</v>
      </c>
      <c r="C56" s="10" t="s">
        <v>2687</v>
      </c>
      <c r="D56" s="10" t="s">
        <v>916</v>
      </c>
      <c r="F56" t="s">
        <v>2688</v>
      </c>
      <c r="M56" t="s">
        <v>918</v>
      </c>
    </row>
    <row r="57" ht="16.8" customHeight="1" spans="1:14">
      <c r="A57" s="1" t="s">
        <v>21</v>
      </c>
      <c r="B57" s="1" t="s">
        <v>552</v>
      </c>
      <c r="C57" s="10" t="s">
        <v>2689</v>
      </c>
      <c r="D57" s="10" t="s">
        <v>2480</v>
      </c>
      <c r="M57" t="s">
        <v>557</v>
      </c>
      <c r="N57" t="s">
        <v>524</v>
      </c>
    </row>
    <row r="58" ht="16.8" customHeight="1" spans="1:14">
      <c r="A58" s="1" t="s">
        <v>21</v>
      </c>
      <c r="B58" s="1" t="s">
        <v>552</v>
      </c>
      <c r="C58" s="10" t="s">
        <v>2690</v>
      </c>
      <c r="D58" s="10" t="s">
        <v>2691</v>
      </c>
      <c r="M58" t="s">
        <v>921</v>
      </c>
      <c r="N58" t="s">
        <v>524</v>
      </c>
    </row>
    <row r="59"/>
    <row r="60" ht="16.8" customHeight="1" spans="1:14">
      <c r="A60" t="s">
        <v>222</v>
      </c>
      <c r="B60" t="s">
        <v>223</v>
      </c>
      <c r="C60" t="s">
        <v>2</v>
      </c>
      <c r="D60" t="s">
        <v>3</v>
      </c>
      <c r="F60" t="s">
        <v>5</v>
      </c>
      <c r="J60" t="s">
        <v>9</v>
      </c>
      <c r="K60" t="s">
        <v>10</v>
      </c>
      <c r="M60" t="s">
        <v>4</v>
      </c>
    </row>
    <row r="61" ht="16.8" customHeight="1" spans="1:14">
      <c r="A61" t="s">
        <v>14</v>
      </c>
      <c r="B61" t="s">
        <v>31</v>
      </c>
      <c r="C61" t="s">
        <v>2692</v>
      </c>
      <c r="D61" t="s">
        <v>927</v>
      </c>
      <c r="F61" t="s">
        <v>2639</v>
      </c>
      <c r="K61" t="s">
        <v>19</v>
      </c>
      <c r="M61" t="s">
        <v>227</v>
      </c>
    </row>
    <row r="62" ht="16.8" customHeight="1" spans="1:14">
      <c r="A62" t="s">
        <v>21</v>
      </c>
      <c r="B62" t="s">
        <v>31</v>
      </c>
      <c r="C62" t="s">
        <v>2693</v>
      </c>
      <c r="D62" t="s">
        <v>929</v>
      </c>
      <c r="F62" t="s">
        <v>2641</v>
      </c>
      <c r="K62" t="s">
        <v>19</v>
      </c>
      <c r="M62" t="s">
        <v>231</v>
      </c>
    </row>
    <row r="63" ht="16.8" customHeight="1" spans="1:14">
      <c r="A63" t="s">
        <v>26</v>
      </c>
      <c r="B63" t="s">
        <v>31</v>
      </c>
      <c r="C63" t="s">
        <v>2694</v>
      </c>
      <c r="D63" t="s">
        <v>233</v>
      </c>
      <c r="F63" t="s">
        <v>2643</v>
      </c>
      <c r="K63" t="s">
        <v>19</v>
      </c>
      <c r="M63" t="s">
        <v>235</v>
      </c>
    </row>
    <row r="64" ht="16.8" customHeight="1" spans="1:14">
      <c r="A64" t="s">
        <v>236</v>
      </c>
      <c r="B64" t="s">
        <v>31</v>
      </c>
      <c r="C64" t="s">
        <v>2695</v>
      </c>
      <c r="D64" t="s">
        <v>238</v>
      </c>
      <c r="F64" t="s">
        <v>2696</v>
      </c>
      <c r="K64" t="s">
        <v>19</v>
      </c>
      <c r="M64" t="s">
        <v>240</v>
      </c>
    </row>
    <row r="65" ht="16.8" customHeight="1" spans="1:14">
      <c r="A65" t="s">
        <v>241</v>
      </c>
      <c r="B65" t="s">
        <v>31</v>
      </c>
      <c r="C65" t="s">
        <v>2697</v>
      </c>
      <c r="D65" t="s">
        <v>243</v>
      </c>
      <c r="K65" t="s">
        <v>19</v>
      </c>
      <c r="M65" t="s">
        <v>244</v>
      </c>
      <c r="N65" t="s">
        <v>43</v>
      </c>
    </row>
    <row r="66" ht="16.8" customHeight="1" spans="1:14">
      <c r="A66" t="s">
        <v>241</v>
      </c>
      <c r="B66" t="s">
        <v>31</v>
      </c>
      <c r="C66" t="s">
        <v>2698</v>
      </c>
      <c r="D66" t="s">
        <v>246</v>
      </c>
      <c r="K66" t="s">
        <v>19</v>
      </c>
      <c r="M66" t="s">
        <v>247</v>
      </c>
      <c r="N66" t="s">
        <v>43</v>
      </c>
    </row>
    <row r="67" ht="16.8" customHeight="1" spans="1:14">
      <c r="A67" t="s">
        <v>236</v>
      </c>
      <c r="B67" t="s">
        <v>31</v>
      </c>
      <c r="C67" t="s">
        <v>2699</v>
      </c>
      <c r="D67" t="s">
        <v>249</v>
      </c>
      <c r="F67" t="s">
        <v>2700</v>
      </c>
      <c r="K67" t="s">
        <v>19</v>
      </c>
      <c r="M67" t="s">
        <v>251</v>
      </c>
    </row>
    <row r="68" ht="16.8" customHeight="1" spans="1:14">
      <c r="A68" t="s">
        <v>241</v>
      </c>
      <c r="B68" t="s">
        <v>31</v>
      </c>
      <c r="C68" t="s">
        <v>2701</v>
      </c>
      <c r="D68" t="s">
        <v>253</v>
      </c>
      <c r="K68" t="s">
        <v>19</v>
      </c>
      <c r="M68" t="s">
        <v>254</v>
      </c>
      <c r="N68" t="s">
        <v>43</v>
      </c>
    </row>
    <row r="69" ht="16.8" customHeight="1" spans="1:14">
      <c r="A69" t="s">
        <v>241</v>
      </c>
      <c r="B69" t="s">
        <v>31</v>
      </c>
      <c r="C69" t="s">
        <v>2702</v>
      </c>
      <c r="D69" t="s">
        <v>256</v>
      </c>
      <c r="K69" t="s">
        <v>19</v>
      </c>
      <c r="M69" t="s">
        <v>257</v>
      </c>
      <c r="N69" t="s">
        <v>43</v>
      </c>
    </row>
    <row r="70" ht="16.8" customHeight="1" spans="1:14">
      <c r="A70" t="s">
        <v>236</v>
      </c>
      <c r="B70" t="s">
        <v>31</v>
      </c>
      <c r="C70" t="s">
        <v>2703</v>
      </c>
      <c r="D70" t="s">
        <v>259</v>
      </c>
      <c r="F70" t="s">
        <v>2704</v>
      </c>
      <c r="K70" t="s">
        <v>19</v>
      </c>
      <c r="M70" t="s">
        <v>261</v>
      </c>
    </row>
    <row r="71" ht="16.8" customHeight="1" spans="1:14">
      <c r="A71" t="s">
        <v>241</v>
      </c>
      <c r="B71" t="s">
        <v>31</v>
      </c>
      <c r="C71" t="s">
        <v>2705</v>
      </c>
      <c r="D71" t="s">
        <v>263</v>
      </c>
      <c r="F71" t="s">
        <v>2706</v>
      </c>
      <c r="K71" t="s">
        <v>19</v>
      </c>
      <c r="M71" t="s">
        <v>265</v>
      </c>
    </row>
    <row r="72" ht="16.8" customHeight="1" spans="1:14">
      <c r="A72" t="s">
        <v>266</v>
      </c>
      <c r="B72" t="s">
        <v>31</v>
      </c>
      <c r="C72" t="s">
        <v>2707</v>
      </c>
      <c r="D72" t="s">
        <v>268</v>
      </c>
      <c r="K72" t="s">
        <v>19</v>
      </c>
      <c r="M72" t="s">
        <v>269</v>
      </c>
      <c r="N72" t="s">
        <v>43</v>
      </c>
    </row>
    <row r="73" ht="16.8" customHeight="1" spans="1:14">
      <c r="A73" t="s">
        <v>266</v>
      </c>
      <c r="B73" t="s">
        <v>31</v>
      </c>
      <c r="C73" t="s">
        <v>2708</v>
      </c>
      <c r="D73" t="s">
        <v>271</v>
      </c>
      <c r="K73" t="s">
        <v>19</v>
      </c>
      <c r="M73" t="s">
        <v>272</v>
      </c>
      <c r="N73" t="s">
        <v>43</v>
      </c>
    </row>
    <row r="74" ht="16.8" customHeight="1" spans="1:14">
      <c r="A74" t="s">
        <v>241</v>
      </c>
      <c r="B74" t="s">
        <v>31</v>
      </c>
      <c r="C74" t="s">
        <v>2709</v>
      </c>
      <c r="D74" t="s">
        <v>2710</v>
      </c>
      <c r="K74" t="s">
        <v>19</v>
      </c>
      <c r="M74" t="s">
        <v>275</v>
      </c>
      <c r="N74" t="s">
        <v>43</v>
      </c>
    </row>
    <row r="75" ht="16.8" customHeight="1" spans="1:14">
      <c r="A75" t="s">
        <v>266</v>
      </c>
      <c r="B75" t="s">
        <v>31</v>
      </c>
      <c r="C75" t="s">
        <v>2711</v>
      </c>
      <c r="D75" t="s">
        <v>277</v>
      </c>
      <c r="K75" t="s">
        <v>19</v>
      </c>
      <c r="M75" t="s">
        <v>278</v>
      </c>
      <c r="N75" t="s">
        <v>43</v>
      </c>
    </row>
    <row r="76" ht="16.8" customHeight="1" spans="1:14">
      <c r="A76" t="s">
        <v>241</v>
      </c>
      <c r="B76" t="s">
        <v>31</v>
      </c>
      <c r="C76" t="s">
        <v>2712</v>
      </c>
      <c r="D76" t="s">
        <v>2713</v>
      </c>
      <c r="K76" t="s">
        <v>19</v>
      </c>
      <c r="M76" t="s">
        <v>281</v>
      </c>
      <c r="N76" t="s">
        <v>43</v>
      </c>
    </row>
    <row r="77" ht="16.8" customHeight="1" spans="1:14">
      <c r="A77" t="s">
        <v>266</v>
      </c>
      <c r="B77" t="s">
        <v>31</v>
      </c>
      <c r="C77" t="s">
        <v>2714</v>
      </c>
      <c r="D77" t="s">
        <v>283</v>
      </c>
      <c r="K77" t="s">
        <v>19</v>
      </c>
      <c r="M77" t="s">
        <v>284</v>
      </c>
      <c r="N77" t="s">
        <v>43</v>
      </c>
    </row>
    <row r="78" ht="16.8" customHeight="1" spans="1:14">
      <c r="A78" t="s">
        <v>241</v>
      </c>
      <c r="B78" t="s">
        <v>31</v>
      </c>
      <c r="C78" t="s">
        <v>2715</v>
      </c>
      <c r="D78" t="s">
        <v>2716</v>
      </c>
      <c r="K78" t="s">
        <v>19</v>
      </c>
      <c r="M78" t="s">
        <v>287</v>
      </c>
      <c r="N78" t="s">
        <v>43</v>
      </c>
    </row>
    <row r="79" ht="16.8" customHeight="1" spans="1:14">
      <c r="A79" t="s">
        <v>266</v>
      </c>
      <c r="B79" t="s">
        <v>31</v>
      </c>
      <c r="C79" t="s">
        <v>2717</v>
      </c>
      <c r="D79" t="s">
        <v>289</v>
      </c>
      <c r="K79" t="s">
        <v>19</v>
      </c>
      <c r="M79" t="s">
        <v>290</v>
      </c>
      <c r="N79" t="s">
        <v>43</v>
      </c>
    </row>
    <row r="80" ht="16.8" customHeight="1" spans="1:14">
      <c r="A80" t="s">
        <v>236</v>
      </c>
      <c r="B80" t="s">
        <v>31</v>
      </c>
      <c r="C80" t="s">
        <v>2718</v>
      </c>
      <c r="D80" t="s">
        <v>2719</v>
      </c>
      <c r="K80" t="s">
        <v>19</v>
      </c>
      <c r="M80" t="s">
        <v>293</v>
      </c>
      <c r="N80" t="s">
        <v>43</v>
      </c>
    </row>
    <row r="81" ht="16.8" customHeight="1" spans="1:14">
      <c r="A81" t="s">
        <v>241</v>
      </c>
      <c r="B81" t="s">
        <v>31</v>
      </c>
      <c r="C81" t="s">
        <v>2720</v>
      </c>
      <c r="D81" t="s">
        <v>295</v>
      </c>
      <c r="K81" t="s">
        <v>19</v>
      </c>
      <c r="M81" t="s">
        <v>296</v>
      </c>
      <c r="N81" t="s">
        <v>43</v>
      </c>
    </row>
    <row r="82" ht="16.8" customHeight="1" spans="1:14">
      <c r="A82" t="s">
        <v>236</v>
      </c>
      <c r="B82" t="s">
        <v>31</v>
      </c>
      <c r="C82" t="s">
        <v>2721</v>
      </c>
      <c r="D82" t="s">
        <v>2722</v>
      </c>
      <c r="K82" t="s">
        <v>19</v>
      </c>
      <c r="M82" t="s">
        <v>299</v>
      </c>
      <c r="N82" t="s">
        <v>43</v>
      </c>
    </row>
    <row r="83" ht="16.8" customHeight="1" spans="1:14">
      <c r="A83" t="s">
        <v>241</v>
      </c>
      <c r="B83" t="s">
        <v>31</v>
      </c>
      <c r="C83" t="s">
        <v>2723</v>
      </c>
      <c r="D83" t="s">
        <v>301</v>
      </c>
      <c r="K83" t="s">
        <v>19</v>
      </c>
      <c r="M83" t="s">
        <v>302</v>
      </c>
      <c r="N83" t="s">
        <v>43</v>
      </c>
    </row>
    <row r="84" ht="16.8" customHeight="1" spans="1:14">
      <c r="A84" t="s">
        <v>26</v>
      </c>
      <c r="B84" t="s">
        <v>31</v>
      </c>
      <c r="C84" t="s">
        <v>2724</v>
      </c>
      <c r="D84" t="s">
        <v>304</v>
      </c>
      <c r="F84" t="s">
        <v>2645</v>
      </c>
      <c r="K84" t="s">
        <v>19</v>
      </c>
      <c r="M84" t="s">
        <v>306</v>
      </c>
    </row>
    <row r="85" ht="16.8" customHeight="1" spans="1:14">
      <c r="A85" t="s">
        <v>236</v>
      </c>
      <c r="B85" t="s">
        <v>31</v>
      </c>
      <c r="C85" t="s">
        <v>2725</v>
      </c>
      <c r="D85" t="s">
        <v>238</v>
      </c>
      <c r="F85" t="s">
        <v>2726</v>
      </c>
      <c r="K85" t="s">
        <v>19</v>
      </c>
      <c r="M85" t="s">
        <v>309</v>
      </c>
    </row>
    <row r="86" ht="16.8" customHeight="1" spans="1:14">
      <c r="A86" t="s">
        <v>241</v>
      </c>
      <c r="B86" t="s">
        <v>31</v>
      </c>
      <c r="C86" t="s">
        <v>2727</v>
      </c>
      <c r="D86" t="s">
        <v>243</v>
      </c>
      <c r="K86" t="s">
        <v>19</v>
      </c>
      <c r="M86" t="s">
        <v>311</v>
      </c>
      <c r="N86" t="s">
        <v>43</v>
      </c>
    </row>
    <row r="87" ht="16.8" customHeight="1" spans="1:14">
      <c r="A87" t="s">
        <v>241</v>
      </c>
      <c r="B87" t="s">
        <v>31</v>
      </c>
      <c r="C87" t="s">
        <v>2728</v>
      </c>
      <c r="D87" t="s">
        <v>246</v>
      </c>
      <c r="K87" t="s">
        <v>19</v>
      </c>
      <c r="M87" t="s">
        <v>313</v>
      </c>
      <c r="N87" t="s">
        <v>43</v>
      </c>
    </row>
    <row r="88" ht="16.8" customHeight="1" spans="1:14">
      <c r="A88" t="s">
        <v>236</v>
      </c>
      <c r="B88" t="s">
        <v>31</v>
      </c>
      <c r="C88" t="s">
        <v>2729</v>
      </c>
      <c r="D88" t="s">
        <v>249</v>
      </c>
      <c r="F88" t="s">
        <v>2730</v>
      </c>
      <c r="K88" t="s">
        <v>19</v>
      </c>
      <c r="M88" t="s">
        <v>316</v>
      </c>
    </row>
    <row r="89" ht="16.8" customHeight="1" spans="1:14">
      <c r="A89" t="s">
        <v>241</v>
      </c>
      <c r="B89" t="s">
        <v>31</v>
      </c>
      <c r="C89" t="s">
        <v>2731</v>
      </c>
      <c r="D89" t="s">
        <v>253</v>
      </c>
      <c r="K89" t="s">
        <v>19</v>
      </c>
      <c r="M89" t="s">
        <v>318</v>
      </c>
      <c r="N89" t="s">
        <v>43</v>
      </c>
    </row>
    <row r="90" ht="16.8" customHeight="1" spans="1:14">
      <c r="A90" t="s">
        <v>241</v>
      </c>
      <c r="B90" t="s">
        <v>31</v>
      </c>
      <c r="C90" t="s">
        <v>2732</v>
      </c>
      <c r="D90" t="s">
        <v>256</v>
      </c>
      <c r="K90" t="s">
        <v>19</v>
      </c>
      <c r="M90" t="s">
        <v>320</v>
      </c>
      <c r="N90" t="s">
        <v>43</v>
      </c>
    </row>
    <row r="91" ht="16.8" customHeight="1" spans="1:14">
      <c r="A91" t="s">
        <v>236</v>
      </c>
      <c r="B91" t="s">
        <v>31</v>
      </c>
      <c r="C91" t="s">
        <v>2733</v>
      </c>
      <c r="D91" t="s">
        <v>259</v>
      </c>
      <c r="F91" t="s">
        <v>2734</v>
      </c>
      <c r="K91" t="s">
        <v>19</v>
      </c>
      <c r="M91" t="s">
        <v>323</v>
      </c>
    </row>
    <row r="92" ht="16.8" customHeight="1" spans="1:14">
      <c r="A92" t="s">
        <v>241</v>
      </c>
      <c r="B92" t="s">
        <v>31</v>
      </c>
      <c r="C92" t="s">
        <v>2735</v>
      </c>
      <c r="D92" t="s">
        <v>263</v>
      </c>
      <c r="F92" t="s">
        <v>2736</v>
      </c>
      <c r="K92" t="s">
        <v>19</v>
      </c>
      <c r="M92" t="s">
        <v>326</v>
      </c>
    </row>
    <row r="93" ht="16.8" customHeight="1" spans="1:14">
      <c r="A93" t="s">
        <v>266</v>
      </c>
      <c r="B93" t="s">
        <v>31</v>
      </c>
      <c r="C93" t="s">
        <v>2737</v>
      </c>
      <c r="D93" t="s">
        <v>268</v>
      </c>
      <c r="K93" t="s">
        <v>19</v>
      </c>
      <c r="M93" t="s">
        <v>328</v>
      </c>
      <c r="N93" t="s">
        <v>43</v>
      </c>
    </row>
    <row r="94" ht="16.8" customHeight="1" spans="1:14">
      <c r="A94" t="s">
        <v>266</v>
      </c>
      <c r="B94" t="s">
        <v>31</v>
      </c>
      <c r="C94" t="s">
        <v>2738</v>
      </c>
      <c r="D94" t="s">
        <v>271</v>
      </c>
      <c r="K94" t="s">
        <v>19</v>
      </c>
      <c r="M94" t="s">
        <v>330</v>
      </c>
      <c r="N94" t="s">
        <v>43</v>
      </c>
    </row>
    <row r="95" ht="16.8" customHeight="1" spans="1:14">
      <c r="A95" t="s">
        <v>241</v>
      </c>
      <c r="B95" t="s">
        <v>31</v>
      </c>
      <c r="C95" t="s">
        <v>2739</v>
      </c>
      <c r="D95" t="s">
        <v>2740</v>
      </c>
      <c r="K95" t="s">
        <v>19</v>
      </c>
      <c r="M95" t="s">
        <v>333</v>
      </c>
      <c r="N95" t="s">
        <v>43</v>
      </c>
    </row>
    <row r="96" ht="16.8" customHeight="1" spans="1:14">
      <c r="A96" t="s">
        <v>266</v>
      </c>
      <c r="B96" t="s">
        <v>31</v>
      </c>
      <c r="C96" t="s">
        <v>2741</v>
      </c>
      <c r="D96" t="s">
        <v>277</v>
      </c>
      <c r="K96" t="s">
        <v>19</v>
      </c>
      <c r="M96" t="s">
        <v>335</v>
      </c>
      <c r="N96" t="s">
        <v>43</v>
      </c>
    </row>
    <row r="97" ht="16.8" customHeight="1" spans="1:14">
      <c r="A97" t="s">
        <v>241</v>
      </c>
      <c r="B97" t="s">
        <v>31</v>
      </c>
      <c r="C97" t="s">
        <v>2742</v>
      </c>
      <c r="D97" t="s">
        <v>2743</v>
      </c>
      <c r="K97" t="s">
        <v>19</v>
      </c>
      <c r="M97" t="s">
        <v>338</v>
      </c>
      <c r="N97" t="s">
        <v>43</v>
      </c>
    </row>
    <row r="98" ht="16.8" customHeight="1" spans="1:14">
      <c r="A98" t="s">
        <v>266</v>
      </c>
      <c r="B98" t="s">
        <v>31</v>
      </c>
      <c r="C98" t="s">
        <v>2744</v>
      </c>
      <c r="D98" t="s">
        <v>283</v>
      </c>
      <c r="K98" t="s">
        <v>19</v>
      </c>
      <c r="M98" t="s">
        <v>340</v>
      </c>
      <c r="N98" t="s">
        <v>43</v>
      </c>
    </row>
    <row r="99" ht="16.8" customHeight="1" spans="1:14">
      <c r="A99" t="s">
        <v>241</v>
      </c>
      <c r="B99" t="s">
        <v>31</v>
      </c>
      <c r="C99" t="s">
        <v>2745</v>
      </c>
      <c r="D99" t="s">
        <v>2746</v>
      </c>
      <c r="K99" t="s">
        <v>19</v>
      </c>
      <c r="M99" t="s">
        <v>343</v>
      </c>
      <c r="N99" t="s">
        <v>43</v>
      </c>
    </row>
    <row r="100" ht="16.8" customHeight="1" spans="1:14">
      <c r="A100" t="s">
        <v>266</v>
      </c>
      <c r="B100" t="s">
        <v>31</v>
      </c>
      <c r="C100" t="s">
        <v>2747</v>
      </c>
      <c r="D100" t="s">
        <v>289</v>
      </c>
      <c r="K100" t="s">
        <v>19</v>
      </c>
      <c r="M100" t="s">
        <v>345</v>
      </c>
      <c r="N100" t="s">
        <v>43</v>
      </c>
    </row>
    <row r="101" ht="16.8" customHeight="1" spans="1:14">
      <c r="A101" t="s">
        <v>236</v>
      </c>
      <c r="B101" t="s">
        <v>31</v>
      </c>
      <c r="C101" t="s">
        <v>2748</v>
      </c>
      <c r="D101" t="s">
        <v>2749</v>
      </c>
      <c r="K101" t="s">
        <v>19</v>
      </c>
      <c r="M101" t="s">
        <v>348</v>
      </c>
      <c r="N101" t="s">
        <v>43</v>
      </c>
    </row>
    <row r="102" ht="16.8" customHeight="1" spans="1:14">
      <c r="A102" t="s">
        <v>241</v>
      </c>
      <c r="B102" t="s">
        <v>31</v>
      </c>
      <c r="C102" t="s">
        <v>2750</v>
      </c>
      <c r="D102" t="s">
        <v>295</v>
      </c>
      <c r="K102" t="s">
        <v>19</v>
      </c>
      <c r="M102" t="s">
        <v>350</v>
      </c>
      <c r="N102" t="s">
        <v>43</v>
      </c>
    </row>
    <row r="103" ht="16.8" customHeight="1" spans="1:14">
      <c r="A103" t="s">
        <v>236</v>
      </c>
      <c r="B103" t="s">
        <v>31</v>
      </c>
      <c r="C103" t="s">
        <v>2751</v>
      </c>
      <c r="D103" t="s">
        <v>2752</v>
      </c>
      <c r="K103" t="s">
        <v>19</v>
      </c>
      <c r="M103" t="s">
        <v>353</v>
      </c>
      <c r="N103" t="s">
        <v>43</v>
      </c>
    </row>
    <row r="104" ht="16.8" customHeight="1" spans="1:14">
      <c r="A104" t="s">
        <v>241</v>
      </c>
      <c r="B104" t="s">
        <v>31</v>
      </c>
      <c r="C104" t="s">
        <v>2753</v>
      </c>
      <c r="D104" t="s">
        <v>301</v>
      </c>
      <c r="K104" t="s">
        <v>19</v>
      </c>
      <c r="M104" t="s">
        <v>355</v>
      </c>
      <c r="N104" t="s">
        <v>43</v>
      </c>
    </row>
    <row r="105" ht="16.8" customHeight="1" spans="1:14">
      <c r="A105" t="s">
        <v>21</v>
      </c>
      <c r="B105" t="s">
        <v>31</v>
      </c>
      <c r="C105" t="s">
        <v>2754</v>
      </c>
      <c r="D105" t="s">
        <v>249</v>
      </c>
      <c r="K105" t="s">
        <v>19</v>
      </c>
      <c r="N105" t="s">
        <v>43</v>
      </c>
    </row>
    <row r="106" ht="16.8" customHeight="1" spans="1:14">
      <c r="A106" t="s">
        <v>26</v>
      </c>
      <c r="B106" t="s">
        <v>31</v>
      </c>
      <c r="C106" t="s">
        <v>2755</v>
      </c>
      <c r="D106" t="s">
        <v>358</v>
      </c>
      <c r="K106" t="s">
        <v>19</v>
      </c>
      <c r="N106" t="s">
        <v>43</v>
      </c>
    </row>
    <row r="107" ht="16.8" customHeight="1" spans="1:14">
      <c r="A107" t="s">
        <v>26</v>
      </c>
      <c r="B107" t="s">
        <v>31</v>
      </c>
      <c r="C107" t="s">
        <v>2756</v>
      </c>
      <c r="D107" t="s">
        <v>360</v>
      </c>
      <c r="K107" t="s">
        <v>19</v>
      </c>
      <c r="N107" t="s">
        <v>43</v>
      </c>
    </row>
    <row r="108" ht="16.8" customHeight="1" spans="1:14">
      <c r="A108" t="s">
        <v>21</v>
      </c>
      <c r="B108" t="s">
        <v>31</v>
      </c>
      <c r="C108" t="s">
        <v>2757</v>
      </c>
      <c r="D108" t="s">
        <v>994</v>
      </c>
      <c r="F108" t="s">
        <v>2650</v>
      </c>
      <c r="K108" t="s">
        <v>19</v>
      </c>
      <c r="M108" t="s">
        <v>859</v>
      </c>
    </row>
    <row r="109" ht="16.8" customHeight="1" spans="1:14">
      <c r="A109" t="s">
        <v>26</v>
      </c>
      <c r="B109" t="s">
        <v>31</v>
      </c>
      <c r="C109" t="s">
        <v>2758</v>
      </c>
      <c r="D109" t="s">
        <v>263</v>
      </c>
      <c r="F109" t="s">
        <v>2652</v>
      </c>
      <c r="K109" t="s">
        <v>19</v>
      </c>
      <c r="M109" t="s">
        <v>863</v>
      </c>
    </row>
    <row r="110" ht="16.8" customHeight="1" spans="1:14">
      <c r="A110" t="s">
        <v>236</v>
      </c>
      <c r="B110" t="s">
        <v>31</v>
      </c>
      <c r="C110" t="s">
        <v>2759</v>
      </c>
      <c r="D110" t="s">
        <v>268</v>
      </c>
      <c r="K110" t="s">
        <v>19</v>
      </c>
      <c r="M110" t="s">
        <v>866</v>
      </c>
      <c r="N110" t="s">
        <v>43</v>
      </c>
    </row>
    <row r="111" ht="16.8" customHeight="1" spans="1:14">
      <c r="A111" t="s">
        <v>236</v>
      </c>
      <c r="B111" t="s">
        <v>31</v>
      </c>
      <c r="C111" t="s">
        <v>2760</v>
      </c>
      <c r="D111" t="s">
        <v>271</v>
      </c>
      <c r="K111" t="s">
        <v>19</v>
      </c>
      <c r="M111" t="s">
        <v>869</v>
      </c>
      <c r="N111" t="s">
        <v>43</v>
      </c>
    </row>
    <row r="112" ht="16.8" customHeight="1" spans="1:14">
      <c r="A112" t="s">
        <v>26</v>
      </c>
      <c r="B112" t="s">
        <v>31</v>
      </c>
      <c r="C112" t="s">
        <v>2761</v>
      </c>
      <c r="D112" t="s">
        <v>999</v>
      </c>
      <c r="K112" t="s">
        <v>19</v>
      </c>
      <c r="M112" t="s">
        <v>872</v>
      </c>
      <c r="N112" t="s">
        <v>43</v>
      </c>
    </row>
    <row r="113" ht="16.8" customHeight="1" spans="1:14">
      <c r="A113" t="s">
        <v>26</v>
      </c>
      <c r="B113" t="s">
        <v>31</v>
      </c>
      <c r="C113" t="s">
        <v>2762</v>
      </c>
      <c r="D113" t="s">
        <v>283</v>
      </c>
      <c r="K113" t="s">
        <v>19</v>
      </c>
      <c r="M113" t="s">
        <v>875</v>
      </c>
      <c r="N113" t="s">
        <v>43</v>
      </c>
    </row>
    <row r="114" ht="16.8" customHeight="1" spans="1:14">
      <c r="A114" t="s">
        <v>26</v>
      </c>
      <c r="B114" t="s">
        <v>31</v>
      </c>
      <c r="C114" t="s">
        <v>2763</v>
      </c>
      <c r="D114" t="s">
        <v>289</v>
      </c>
      <c r="K114" t="s">
        <v>19</v>
      </c>
      <c r="M114" t="s">
        <v>878</v>
      </c>
      <c r="N114" t="s">
        <v>43</v>
      </c>
    </row>
    <row r="115" ht="16.8" customHeight="1" spans="1:14">
      <c r="A115" t="s">
        <v>21</v>
      </c>
      <c r="B115" t="s">
        <v>31</v>
      </c>
      <c r="C115" t="s">
        <v>2764</v>
      </c>
      <c r="D115" t="s">
        <v>1003</v>
      </c>
      <c r="K115" t="s">
        <v>19</v>
      </c>
      <c r="M115" t="s">
        <v>881</v>
      </c>
      <c r="N115" t="s">
        <v>43</v>
      </c>
    </row>
    <row r="116" ht="16.8" customHeight="1" spans="1:14">
      <c r="A116" t="s">
        <v>21</v>
      </c>
      <c r="B116" t="s">
        <v>31</v>
      </c>
      <c r="C116" t="s">
        <v>2765</v>
      </c>
      <c r="D116" t="s">
        <v>1005</v>
      </c>
      <c r="K116" t="s">
        <v>19</v>
      </c>
      <c r="M116" t="s">
        <v>883</v>
      </c>
      <c r="N116" t="s">
        <v>43</v>
      </c>
    </row>
    <row r="117" ht="16.8" customHeight="1" spans="1:14">
      <c r="A117" t="s">
        <v>21</v>
      </c>
      <c r="B117" t="s">
        <v>31</v>
      </c>
      <c r="C117" t="s">
        <v>2766</v>
      </c>
      <c r="D117" t="s">
        <v>362</v>
      </c>
      <c r="F117" t="s">
        <v>2767</v>
      </c>
      <c r="K117" t="s">
        <v>19</v>
      </c>
      <c r="M117" t="s">
        <v>364</v>
      </c>
    </row>
    <row r="118" ht="16.8" customHeight="1" spans="1:14">
      <c r="A118" t="s">
        <v>26</v>
      </c>
      <c r="B118" t="s">
        <v>31</v>
      </c>
      <c r="C118" t="s">
        <v>2767</v>
      </c>
      <c r="D118" t="s">
        <v>365</v>
      </c>
      <c r="F118" t="s">
        <v>2768</v>
      </c>
      <c r="K118" t="s">
        <v>19</v>
      </c>
      <c r="M118" t="s">
        <v>367</v>
      </c>
    </row>
    <row r="119" ht="16.8" customHeight="1" spans="1:14">
      <c r="A119" t="s">
        <v>236</v>
      </c>
      <c r="B119" t="s">
        <v>31</v>
      </c>
      <c r="C119" t="s">
        <v>2769</v>
      </c>
      <c r="D119" t="s">
        <v>369</v>
      </c>
      <c r="F119" t="s">
        <v>2770</v>
      </c>
      <c r="K119" t="s">
        <v>19</v>
      </c>
      <c r="M119" t="s">
        <v>371</v>
      </c>
    </row>
    <row r="120" ht="16.8" customHeight="1" spans="1:14">
      <c r="A120" t="s">
        <v>241</v>
      </c>
      <c r="B120" t="s">
        <v>31</v>
      </c>
      <c r="C120" t="s">
        <v>2771</v>
      </c>
      <c r="D120" t="s">
        <v>373</v>
      </c>
      <c r="K120" t="s">
        <v>19</v>
      </c>
      <c r="M120" t="s">
        <v>374</v>
      </c>
      <c r="N120" t="s">
        <v>43</v>
      </c>
    </row>
    <row r="121" ht="16.8" customHeight="1" spans="1:14">
      <c r="A121" t="s">
        <v>241</v>
      </c>
      <c r="B121" t="s">
        <v>31</v>
      </c>
      <c r="C121" t="s">
        <v>2772</v>
      </c>
      <c r="D121" t="s">
        <v>376</v>
      </c>
      <c r="K121" t="s">
        <v>19</v>
      </c>
      <c r="M121" t="s">
        <v>377</v>
      </c>
      <c r="N121" t="s">
        <v>43</v>
      </c>
    </row>
    <row r="122" ht="16.8" customHeight="1" spans="1:14">
      <c r="A122" t="s">
        <v>241</v>
      </c>
      <c r="B122" t="s">
        <v>31</v>
      </c>
      <c r="C122" t="s">
        <v>2773</v>
      </c>
      <c r="D122" t="s">
        <v>379</v>
      </c>
      <c r="K122" t="s">
        <v>19</v>
      </c>
      <c r="M122" t="s">
        <v>380</v>
      </c>
      <c r="N122" t="s">
        <v>43</v>
      </c>
    </row>
    <row r="123" ht="16.8" customHeight="1" spans="1:14">
      <c r="A123" t="s">
        <v>241</v>
      </c>
      <c r="B123" t="s">
        <v>31</v>
      </c>
      <c r="C123" t="s">
        <v>2774</v>
      </c>
      <c r="D123" t="s">
        <v>382</v>
      </c>
      <c r="K123" t="s">
        <v>19</v>
      </c>
      <c r="M123" t="s">
        <v>383</v>
      </c>
      <c r="N123" t="s">
        <v>43</v>
      </c>
    </row>
    <row r="124" ht="16.8" customHeight="1" spans="1:14">
      <c r="A124" t="s">
        <v>236</v>
      </c>
      <c r="B124" t="s">
        <v>31</v>
      </c>
      <c r="C124" t="s">
        <v>2775</v>
      </c>
      <c r="D124" t="s">
        <v>385</v>
      </c>
      <c r="F124" t="s">
        <v>2776</v>
      </c>
      <c r="K124" t="s">
        <v>19</v>
      </c>
      <c r="M124" t="s">
        <v>387</v>
      </c>
    </row>
    <row r="125" ht="16.8" customHeight="1" spans="1:14">
      <c r="A125" t="s">
        <v>241</v>
      </c>
      <c r="B125" t="s">
        <v>31</v>
      </c>
      <c r="C125" t="s">
        <v>2777</v>
      </c>
      <c r="D125" t="s">
        <v>389</v>
      </c>
      <c r="K125" t="s">
        <v>19</v>
      </c>
      <c r="M125" t="s">
        <v>390</v>
      </c>
      <c r="N125" t="s">
        <v>43</v>
      </c>
    </row>
    <row r="126" ht="16.8" customHeight="1" spans="1:14">
      <c r="A126" t="s">
        <v>241</v>
      </c>
      <c r="B126" t="s">
        <v>31</v>
      </c>
      <c r="C126" t="s">
        <v>2778</v>
      </c>
      <c r="D126" t="s">
        <v>392</v>
      </c>
      <c r="K126" t="s">
        <v>19</v>
      </c>
      <c r="M126" t="s">
        <v>393</v>
      </c>
      <c r="N126" t="s">
        <v>43</v>
      </c>
    </row>
    <row r="127" ht="16.8" customHeight="1" spans="1:14">
      <c r="A127" t="s">
        <v>241</v>
      </c>
      <c r="B127" t="s">
        <v>31</v>
      </c>
      <c r="C127" t="s">
        <v>2779</v>
      </c>
      <c r="D127" t="s">
        <v>395</v>
      </c>
      <c r="K127" t="s">
        <v>19</v>
      </c>
      <c r="M127" t="s">
        <v>396</v>
      </c>
      <c r="N127" t="s">
        <v>43</v>
      </c>
    </row>
    <row r="128" ht="16.8" customHeight="1" spans="1:14">
      <c r="A128" t="s">
        <v>241</v>
      </c>
      <c r="B128" t="s">
        <v>31</v>
      </c>
      <c r="C128" t="s">
        <v>2780</v>
      </c>
      <c r="D128" t="s">
        <v>398</v>
      </c>
      <c r="K128" t="s">
        <v>19</v>
      </c>
      <c r="M128" t="s">
        <v>399</v>
      </c>
      <c r="N128" t="s">
        <v>43</v>
      </c>
    </row>
    <row r="129" ht="16.8" customHeight="1" spans="1:14">
      <c r="A129" t="s">
        <v>241</v>
      </c>
      <c r="B129" t="s">
        <v>31</v>
      </c>
      <c r="C129" t="s">
        <v>2781</v>
      </c>
      <c r="D129" t="s">
        <v>401</v>
      </c>
      <c r="K129" t="s">
        <v>19</v>
      </c>
      <c r="M129" t="s">
        <v>402</v>
      </c>
      <c r="N129" t="s">
        <v>43</v>
      </c>
    </row>
    <row r="130" ht="16.8" customHeight="1" spans="1:14">
      <c r="A130" t="s">
        <v>241</v>
      </c>
      <c r="B130" t="s">
        <v>31</v>
      </c>
      <c r="C130" t="s">
        <v>2782</v>
      </c>
      <c r="D130" t="s">
        <v>404</v>
      </c>
      <c r="K130" t="s">
        <v>19</v>
      </c>
      <c r="M130" t="s">
        <v>405</v>
      </c>
      <c r="N130" t="s">
        <v>43</v>
      </c>
    </row>
    <row r="131" ht="16.8" customHeight="1" spans="1:14">
      <c r="A131" t="s">
        <v>241</v>
      </c>
      <c r="B131" t="s">
        <v>31</v>
      </c>
      <c r="C131" t="s">
        <v>2783</v>
      </c>
      <c r="D131" t="s">
        <v>407</v>
      </c>
      <c r="K131" t="s">
        <v>19</v>
      </c>
      <c r="M131" t="s">
        <v>408</v>
      </c>
      <c r="N131" t="s">
        <v>43</v>
      </c>
    </row>
    <row r="132" ht="16.8" customHeight="1" spans="1:14">
      <c r="A132" t="s">
        <v>241</v>
      </c>
      <c r="B132" t="s">
        <v>31</v>
      </c>
      <c r="C132" t="s">
        <v>2784</v>
      </c>
      <c r="D132" t="s">
        <v>410</v>
      </c>
      <c r="K132" t="s">
        <v>19</v>
      </c>
      <c r="M132" t="s">
        <v>411</v>
      </c>
      <c r="N132" t="s">
        <v>43</v>
      </c>
    </row>
    <row r="133" ht="16.8" customHeight="1" spans="1:14">
      <c r="A133" t="s">
        <v>241</v>
      </c>
      <c r="B133" t="s">
        <v>31</v>
      </c>
      <c r="C133" t="s">
        <v>2785</v>
      </c>
      <c r="D133" t="s">
        <v>413</v>
      </c>
      <c r="K133" t="s">
        <v>19</v>
      </c>
      <c r="M133" t="s">
        <v>414</v>
      </c>
      <c r="N133" t="s">
        <v>43</v>
      </c>
    </row>
    <row r="134" ht="16.8" customHeight="1" spans="1:14">
      <c r="A134" t="s">
        <v>241</v>
      </c>
      <c r="B134" t="s">
        <v>31</v>
      </c>
      <c r="C134" t="s">
        <v>2786</v>
      </c>
      <c r="D134" t="s">
        <v>416</v>
      </c>
      <c r="K134" t="s">
        <v>19</v>
      </c>
      <c r="M134" t="s">
        <v>417</v>
      </c>
      <c r="N134" t="s">
        <v>43</v>
      </c>
    </row>
    <row r="135" ht="16.8" customHeight="1" spans="1:14">
      <c r="A135" t="s">
        <v>241</v>
      </c>
      <c r="B135" t="s">
        <v>31</v>
      </c>
      <c r="C135" t="s">
        <v>2787</v>
      </c>
      <c r="D135" t="s">
        <v>419</v>
      </c>
      <c r="K135" t="s">
        <v>19</v>
      </c>
      <c r="M135" t="s">
        <v>420</v>
      </c>
      <c r="N135" t="s">
        <v>43</v>
      </c>
    </row>
    <row r="136" ht="16.8" customHeight="1" spans="1:14">
      <c r="A136" t="s">
        <v>241</v>
      </c>
      <c r="B136" t="s">
        <v>31</v>
      </c>
      <c r="C136" t="s">
        <v>2788</v>
      </c>
      <c r="D136" t="s">
        <v>422</v>
      </c>
      <c r="F136" t="s">
        <v>2789</v>
      </c>
      <c r="K136" t="s">
        <v>19</v>
      </c>
      <c r="M136" t="s">
        <v>424</v>
      </c>
    </row>
    <row r="137" ht="16.8" customHeight="1" spans="1:14">
      <c r="A137" t="s">
        <v>241</v>
      </c>
      <c r="B137" t="s">
        <v>31</v>
      </c>
      <c r="C137" t="s">
        <v>2790</v>
      </c>
      <c r="D137" t="s">
        <v>426</v>
      </c>
      <c r="F137" t="s">
        <v>2791</v>
      </c>
      <c r="K137" t="s">
        <v>19</v>
      </c>
      <c r="M137" t="s">
        <v>428</v>
      </c>
    </row>
    <row r="138" ht="16.8" customHeight="1" spans="1:14">
      <c r="A138" t="s">
        <v>241</v>
      </c>
      <c r="B138" t="s">
        <v>31</v>
      </c>
      <c r="C138" t="s">
        <v>2792</v>
      </c>
      <c r="D138" t="s">
        <v>430</v>
      </c>
      <c r="F138" t="s">
        <v>2793</v>
      </c>
      <c r="K138" t="s">
        <v>19</v>
      </c>
      <c r="M138" t="s">
        <v>432</v>
      </c>
    </row>
    <row r="139" ht="16.8" customHeight="1" spans="1:14">
      <c r="A139" t="s">
        <v>236</v>
      </c>
      <c r="B139" t="s">
        <v>31</v>
      </c>
      <c r="C139" t="s">
        <v>2794</v>
      </c>
      <c r="D139" t="s">
        <v>434</v>
      </c>
      <c r="F139" t="s">
        <v>2795</v>
      </c>
      <c r="K139" t="s">
        <v>19</v>
      </c>
      <c r="M139" t="s">
        <v>436</v>
      </c>
    </row>
    <row r="140" ht="16.8" customHeight="1" spans="1:14">
      <c r="A140" t="s">
        <v>241</v>
      </c>
      <c r="B140" t="s">
        <v>31</v>
      </c>
      <c r="C140" t="s">
        <v>2796</v>
      </c>
      <c r="D140" t="s">
        <v>438</v>
      </c>
      <c r="K140" t="s">
        <v>19</v>
      </c>
      <c r="M140" t="s">
        <v>439</v>
      </c>
      <c r="N140" t="s">
        <v>43</v>
      </c>
    </row>
    <row r="141" ht="16.8" customHeight="1" spans="1:14">
      <c r="A141" t="s">
        <v>241</v>
      </c>
      <c r="B141" t="s">
        <v>31</v>
      </c>
      <c r="C141" t="s">
        <v>2797</v>
      </c>
      <c r="D141" t="s">
        <v>441</v>
      </c>
      <c r="K141" t="s">
        <v>19</v>
      </c>
      <c r="M141" t="s">
        <v>442</v>
      </c>
      <c r="N141" t="s">
        <v>43</v>
      </c>
    </row>
    <row r="142" ht="16.8" customHeight="1" spans="1:14">
      <c r="A142" t="s">
        <v>241</v>
      </c>
      <c r="B142" t="s">
        <v>31</v>
      </c>
      <c r="C142" t="s">
        <v>2798</v>
      </c>
      <c r="D142" t="s">
        <v>444</v>
      </c>
      <c r="K142" t="s">
        <v>19</v>
      </c>
      <c r="M142" t="s">
        <v>445</v>
      </c>
      <c r="N142" t="s">
        <v>43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4"/>
  <sheetViews>
    <sheetView workbookViewId="0">
      <pane xSplit="4" ySplit="1" topLeftCell="E83" activePane="bottomRight" state="frozen"/>
      <selection/>
      <selection pane="topRight"/>
      <selection pane="bottomLeft"/>
      <selection pane="bottomRight" activeCell="I100" sqref="I100"/>
    </sheetView>
  </sheetViews>
  <sheetFormatPr defaultColWidth="9" defaultRowHeight="15" customHeight="1"/>
  <cols>
    <col min="1" max="2" width="8.66071428571429" style="5" customWidth="1"/>
    <col min="3" max="3" width="12.9107142857143" style="5" customWidth="1"/>
    <col min="4" max="4" width="17.75" style="5" customWidth="1"/>
    <col min="5" max="9" width="8.66071428571429" style="5" customWidth="1"/>
    <col min="10" max="10" width="19.8303571428571" style="5" customWidth="1"/>
    <col min="11" max="16384" width="8.66071428571429" style="5" customWidth="1"/>
  </cols>
  <sheetData>
    <row r="1" s="1" customFormat="1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/>
      <c r="O1" s="6"/>
      <c r="P1" t="s">
        <v>13</v>
      </c>
    </row>
    <row r="2" customHeight="1" spans="1:16">
      <c r="A2" s="7" t="s">
        <v>14</v>
      </c>
      <c r="B2" s="1" t="s">
        <v>15</v>
      </c>
      <c r="C2" s="8" t="s">
        <v>2799</v>
      </c>
      <c r="D2" s="7" t="s">
        <v>17</v>
      </c>
      <c r="F2" t="s">
        <v>2800</v>
      </c>
      <c r="H2" s="5">
        <f>H3+H6+H7</f>
        <v>0</v>
      </c>
      <c r="I2" s="5">
        <f>I3+I6+I7</f>
        <v>0</v>
      </c>
      <c r="M2" t="s">
        <v>20</v>
      </c>
    </row>
    <row r="3" customHeight="1" spans="1:16">
      <c r="A3" s="1" t="s">
        <v>21</v>
      </c>
      <c r="B3" s="1" t="s">
        <v>15</v>
      </c>
      <c r="C3" s="8" t="s">
        <v>2801</v>
      </c>
      <c r="D3" s="1" t="s">
        <v>23</v>
      </c>
      <c r="F3" t="s">
        <v>2802</v>
      </c>
      <c r="H3" s="5">
        <f>H4+H5</f>
        <v>0</v>
      </c>
      <c r="I3" s="5">
        <f>I4+I5</f>
        <v>0</v>
      </c>
      <c r="M3" t="s">
        <v>25</v>
      </c>
    </row>
    <row r="4" customHeight="1" spans="1:16">
      <c r="A4" s="1" t="s">
        <v>26</v>
      </c>
      <c r="B4" s="1" t="s">
        <v>15</v>
      </c>
      <c r="C4" s="9" t="s">
        <v>2803</v>
      </c>
      <c r="D4" s="1" t="s">
        <v>822</v>
      </c>
      <c r="H4" s="5">
        <f>H89-H125</f>
        <v>0</v>
      </c>
      <c r="I4" s="5">
        <f>I89-I125</f>
        <v>0</v>
      </c>
      <c r="M4" t="s">
        <v>823</v>
      </c>
      <c r="P4" t="s">
        <v>43</v>
      </c>
    </row>
    <row r="5" customHeight="1" spans="1:16">
      <c r="A5" s="1" t="s">
        <v>26</v>
      </c>
      <c r="B5" s="1" t="s">
        <v>15</v>
      </c>
      <c r="C5" s="9" t="s">
        <v>2804</v>
      </c>
      <c r="D5" s="1" t="s">
        <v>829</v>
      </c>
      <c r="H5" s="5">
        <f>H162-H149</f>
        <v>0</v>
      </c>
      <c r="I5" s="5">
        <f>I162-I149</f>
        <v>0</v>
      </c>
      <c r="M5" t="s">
        <v>830</v>
      </c>
      <c r="P5" t="s">
        <v>43</v>
      </c>
    </row>
    <row r="6" customHeight="1" spans="1:16">
      <c r="A6" s="1" t="s">
        <v>21</v>
      </c>
      <c r="B6" s="1" t="s">
        <v>15</v>
      </c>
      <c r="C6" s="8" t="s">
        <v>2805</v>
      </c>
      <c r="D6" s="1" t="s">
        <v>1046</v>
      </c>
      <c r="H6" s="5">
        <f>H177-H193</f>
        <v>0</v>
      </c>
      <c r="I6" s="5">
        <f>I177-I193</f>
        <v>0</v>
      </c>
      <c r="M6" t="s">
        <v>39</v>
      </c>
      <c r="P6" t="s">
        <v>43</v>
      </c>
    </row>
    <row r="7" customHeight="1" spans="1:16">
      <c r="A7" s="1" t="s">
        <v>21</v>
      </c>
      <c r="B7" s="1" t="s">
        <v>15</v>
      </c>
      <c r="C7" s="8" t="s">
        <v>2806</v>
      </c>
      <c r="D7" s="1" t="s">
        <v>48</v>
      </c>
      <c r="H7" s="5">
        <f>H206+H210</f>
        <v>0</v>
      </c>
      <c r="I7" s="5">
        <f>I206+I210</f>
        <v>0</v>
      </c>
      <c r="M7" t="s">
        <v>49</v>
      </c>
      <c r="P7" t="s">
        <v>43</v>
      </c>
    </row>
    <row r="8" customHeight="1" spans="1:16">
      <c r="A8" s="7" t="s">
        <v>14</v>
      </c>
      <c r="B8" s="1" t="s">
        <v>31</v>
      </c>
      <c r="C8" s="8" t="s">
        <v>2807</v>
      </c>
      <c r="D8" s="7" t="s">
        <v>840</v>
      </c>
      <c r="M8" t="s">
        <v>53</v>
      </c>
      <c r="P8" t="s">
        <v>43</v>
      </c>
    </row>
    <row r="9" customHeight="1" spans="1:16">
      <c r="A9" s="7" t="s">
        <v>14</v>
      </c>
      <c r="B9" s="1" t="s">
        <v>15</v>
      </c>
      <c r="C9" s="8" t="s">
        <v>2808</v>
      </c>
      <c r="D9" s="7" t="s">
        <v>68</v>
      </c>
      <c r="F9" t="s">
        <v>2809</v>
      </c>
      <c r="H9" s="5">
        <f>H2-H8</f>
        <v>0</v>
      </c>
      <c r="I9" s="5">
        <f>I2-I8</f>
        <v>0</v>
      </c>
      <c r="M9" t="s">
        <v>70</v>
      </c>
    </row>
    <row r="10" customHeight="1" spans="1:16">
      <c r="A10" s="7" t="s">
        <v>14</v>
      </c>
      <c r="B10" s="1" t="s">
        <v>31</v>
      </c>
      <c r="C10" s="8" t="s">
        <v>2810</v>
      </c>
      <c r="D10" s="7" t="s">
        <v>72</v>
      </c>
      <c r="M10" t="s">
        <v>73</v>
      </c>
      <c r="P10" t="s">
        <v>43</v>
      </c>
    </row>
    <row r="11" customHeight="1" spans="1:16">
      <c r="A11" s="7" t="s">
        <v>14</v>
      </c>
      <c r="B11" s="1" t="s">
        <v>31</v>
      </c>
      <c r="C11" s="8" t="s">
        <v>2811</v>
      </c>
      <c r="D11" s="7" t="s">
        <v>844</v>
      </c>
      <c r="F11" t="s">
        <v>2812</v>
      </c>
      <c r="H11" s="5">
        <f>H12+H15+H18+H25+H26</f>
        <v>0</v>
      </c>
      <c r="I11" s="5">
        <f>I12+I15+I18+I25+I26</f>
        <v>0</v>
      </c>
      <c r="K11" t="s">
        <v>19</v>
      </c>
      <c r="M11" t="s">
        <v>227</v>
      </c>
    </row>
    <row r="12" customHeight="1" spans="1:16">
      <c r="A12" s="1" t="s">
        <v>21</v>
      </c>
      <c r="B12" s="1" t="s">
        <v>31</v>
      </c>
      <c r="C12" s="8" t="s">
        <v>2813</v>
      </c>
      <c r="D12" s="1" t="s">
        <v>847</v>
      </c>
      <c r="F12" t="s">
        <v>2814</v>
      </c>
      <c r="H12" s="5">
        <f>H13+H14</f>
        <v>0</v>
      </c>
      <c r="I12" s="5">
        <f>I13+I14</f>
        <v>0</v>
      </c>
      <c r="K12" t="s">
        <v>19</v>
      </c>
      <c r="M12" t="s">
        <v>231</v>
      </c>
    </row>
    <row r="13" customHeight="1" spans="1:16">
      <c r="A13" s="1" t="s">
        <v>26</v>
      </c>
      <c r="B13" s="1" t="s">
        <v>31</v>
      </c>
      <c r="C13" s="9" t="s">
        <v>2815</v>
      </c>
      <c r="D13" s="1" t="s">
        <v>83</v>
      </c>
      <c r="F13" t="s">
        <v>2816</v>
      </c>
      <c r="K13" t="s">
        <v>19</v>
      </c>
      <c r="M13" t="s">
        <v>235</v>
      </c>
    </row>
    <row r="14" customHeight="1" spans="1:16">
      <c r="A14" s="1" t="s">
        <v>26</v>
      </c>
      <c r="B14" s="1" t="s">
        <v>31</v>
      </c>
      <c r="C14" s="9" t="s">
        <v>2817</v>
      </c>
      <c r="D14" s="1" t="s">
        <v>852</v>
      </c>
      <c r="F14" t="s">
        <v>2818</v>
      </c>
      <c r="K14" t="s">
        <v>19</v>
      </c>
      <c r="M14" t="s">
        <v>306</v>
      </c>
    </row>
    <row r="15" customHeight="1" spans="1:16">
      <c r="A15" s="1" t="s">
        <v>21</v>
      </c>
      <c r="B15" s="1" t="s">
        <v>31</v>
      </c>
      <c r="C15" s="8" t="s">
        <v>2819</v>
      </c>
      <c r="D15" s="1" t="s">
        <v>92</v>
      </c>
      <c r="F15" t="s">
        <v>2820</v>
      </c>
      <c r="H15" s="5">
        <f>H16+H17</f>
        <v>0</v>
      </c>
      <c r="I15" s="5">
        <f>I16+I17</f>
        <v>0</v>
      </c>
      <c r="K15" t="s">
        <v>19</v>
      </c>
      <c r="M15" t="s">
        <v>364</v>
      </c>
    </row>
    <row r="16" customHeight="1" spans="1:16">
      <c r="A16" s="1" t="s">
        <v>26</v>
      </c>
      <c r="B16" s="1" t="s">
        <v>31</v>
      </c>
      <c r="C16" s="9" t="s">
        <v>2821</v>
      </c>
      <c r="D16" s="1" t="s">
        <v>94</v>
      </c>
      <c r="K16" t="s">
        <v>19</v>
      </c>
      <c r="M16" t="s">
        <v>1063</v>
      </c>
      <c r="P16" t="s">
        <v>43</v>
      </c>
    </row>
    <row r="17" customHeight="1" spans="1:16">
      <c r="A17" s="1" t="s">
        <v>26</v>
      </c>
      <c r="B17" s="1" t="s">
        <v>31</v>
      </c>
      <c r="C17" s="9" t="s">
        <v>2822</v>
      </c>
      <c r="D17" s="1" t="s">
        <v>96</v>
      </c>
      <c r="K17" t="s">
        <v>19</v>
      </c>
      <c r="M17" t="s">
        <v>1065</v>
      </c>
      <c r="P17" t="s">
        <v>43</v>
      </c>
    </row>
    <row r="18" customHeight="1" spans="1:16">
      <c r="A18" s="1" t="s">
        <v>21</v>
      </c>
      <c r="B18" s="1" t="s">
        <v>31</v>
      </c>
      <c r="C18" s="8" t="s">
        <v>2823</v>
      </c>
      <c r="D18" s="1" t="s">
        <v>98</v>
      </c>
      <c r="F18" t="s">
        <v>2824</v>
      </c>
      <c r="H18" s="5">
        <f>H19+H22+H23+H24</f>
        <v>0</v>
      </c>
      <c r="I18" s="5">
        <f>I19+I22+I23+I24</f>
        <v>0</v>
      </c>
      <c r="K18" t="s">
        <v>19</v>
      </c>
      <c r="M18" t="s">
        <v>859</v>
      </c>
    </row>
    <row r="19" customHeight="1" spans="1:16">
      <c r="A19" s="1" t="s">
        <v>26</v>
      </c>
      <c r="B19" s="1" t="s">
        <v>31</v>
      </c>
      <c r="C19" s="9" t="s">
        <v>2825</v>
      </c>
      <c r="D19" s="1" t="s">
        <v>861</v>
      </c>
      <c r="F19" t="s">
        <v>2826</v>
      </c>
      <c r="H19" s="5">
        <f>H20+H21</f>
        <v>0</v>
      </c>
      <c r="I19" s="5">
        <f>I20+I21</f>
        <v>0</v>
      </c>
      <c r="K19" t="s">
        <v>19</v>
      </c>
      <c r="M19" t="s">
        <v>863</v>
      </c>
    </row>
    <row r="20" customHeight="1" spans="1:16">
      <c r="A20" s="1" t="s">
        <v>236</v>
      </c>
      <c r="B20" s="1" t="s">
        <v>31</v>
      </c>
      <c r="C20" s="9" t="s">
        <v>2827</v>
      </c>
      <c r="D20" s="1" t="s">
        <v>865</v>
      </c>
      <c r="K20" t="s">
        <v>19</v>
      </c>
      <c r="M20" t="s">
        <v>866</v>
      </c>
      <c r="P20" t="s">
        <v>43</v>
      </c>
    </row>
    <row r="21" customHeight="1" spans="1:16">
      <c r="A21" s="1" t="s">
        <v>236</v>
      </c>
      <c r="B21" s="1" t="s">
        <v>31</v>
      </c>
      <c r="C21" s="9" t="s">
        <v>2828</v>
      </c>
      <c r="D21" s="1" t="s">
        <v>868</v>
      </c>
      <c r="K21" t="s">
        <v>19</v>
      </c>
      <c r="M21" t="s">
        <v>869</v>
      </c>
      <c r="P21" t="s">
        <v>43</v>
      </c>
    </row>
    <row r="22" customHeight="1" spans="1:16">
      <c r="A22" s="1" t="s">
        <v>26</v>
      </c>
      <c r="B22" s="1" t="s">
        <v>31</v>
      </c>
      <c r="C22" s="9" t="s">
        <v>2829</v>
      </c>
      <c r="D22" s="1" t="s">
        <v>871</v>
      </c>
      <c r="K22" t="s">
        <v>19</v>
      </c>
      <c r="M22" t="s">
        <v>872</v>
      </c>
      <c r="P22" t="s">
        <v>43</v>
      </c>
    </row>
    <row r="23" customHeight="1" spans="1:16">
      <c r="A23" s="1" t="s">
        <v>26</v>
      </c>
      <c r="B23" s="1" t="s">
        <v>31</v>
      </c>
      <c r="C23" s="9" t="s">
        <v>2830</v>
      </c>
      <c r="D23" s="1" t="s">
        <v>874</v>
      </c>
      <c r="K23" t="s">
        <v>19</v>
      </c>
      <c r="M23" t="s">
        <v>875</v>
      </c>
      <c r="P23" t="s">
        <v>43</v>
      </c>
    </row>
    <row r="24" customHeight="1" spans="1:16">
      <c r="A24" s="1" t="s">
        <v>26</v>
      </c>
      <c r="B24" s="1" t="s">
        <v>31</v>
      </c>
      <c r="C24" s="9" t="s">
        <v>2831</v>
      </c>
      <c r="D24" s="1" t="s">
        <v>877</v>
      </c>
      <c r="K24" t="s">
        <v>19</v>
      </c>
      <c r="M24" t="s">
        <v>878</v>
      </c>
      <c r="P24" t="s">
        <v>43</v>
      </c>
    </row>
    <row r="25" customHeight="1" spans="1:16">
      <c r="A25" s="1" t="s">
        <v>21</v>
      </c>
      <c r="B25" s="1" t="s">
        <v>31</v>
      </c>
      <c r="C25" s="8" t="s">
        <v>2832</v>
      </c>
      <c r="D25" s="1" t="s">
        <v>880</v>
      </c>
      <c r="K25" t="s">
        <v>19</v>
      </c>
      <c r="M25" t="s">
        <v>881</v>
      </c>
      <c r="P25" t="s">
        <v>43</v>
      </c>
    </row>
    <row r="26" customHeight="1" spans="1:16">
      <c r="A26" s="1" t="s">
        <v>21</v>
      </c>
      <c r="B26" s="1" t="s">
        <v>31</v>
      </c>
      <c r="C26" s="8" t="s">
        <v>2833</v>
      </c>
      <c r="D26" s="1" t="s">
        <v>101</v>
      </c>
      <c r="K26" t="s">
        <v>19</v>
      </c>
      <c r="M26" t="s">
        <v>883</v>
      </c>
      <c r="P26" t="s">
        <v>43</v>
      </c>
    </row>
    <row r="27" customHeight="1" spans="1:16">
      <c r="A27" s="7" t="s">
        <v>14</v>
      </c>
      <c r="B27" s="1" t="s">
        <v>15</v>
      </c>
      <c r="C27" s="8" t="s">
        <v>2834</v>
      </c>
      <c r="D27" s="7" t="s">
        <v>104</v>
      </c>
      <c r="M27" t="s">
        <v>105</v>
      </c>
      <c r="P27" t="s">
        <v>43</v>
      </c>
    </row>
    <row r="28" customHeight="1" spans="1:16">
      <c r="A28" s="7" t="s">
        <v>14</v>
      </c>
      <c r="B28" s="1" t="s">
        <v>106</v>
      </c>
      <c r="C28" s="8" t="s">
        <v>2835</v>
      </c>
      <c r="D28" s="7" t="s">
        <v>886</v>
      </c>
      <c r="F28" t="s">
        <v>2836</v>
      </c>
      <c r="H28" s="5">
        <f>H9-H10-H11+H27</f>
        <v>0</v>
      </c>
      <c r="I28" s="5">
        <f>I9-I10-I11+I27</f>
        <v>0</v>
      </c>
      <c r="M28" t="s">
        <v>887</v>
      </c>
    </row>
    <row r="29" customHeight="1" spans="1:16">
      <c r="A29" s="7" t="s">
        <v>14</v>
      </c>
      <c r="B29" s="1" t="s">
        <v>31</v>
      </c>
      <c r="C29" s="8" t="s">
        <v>2837</v>
      </c>
      <c r="D29" s="7" t="s">
        <v>889</v>
      </c>
      <c r="M29" t="s">
        <v>890</v>
      </c>
      <c r="P29" t="s">
        <v>43</v>
      </c>
    </row>
    <row r="30" customHeight="1" spans="1:16">
      <c r="A30" s="7" t="s">
        <v>14</v>
      </c>
      <c r="B30" s="1" t="s">
        <v>106</v>
      </c>
      <c r="C30" s="8" t="s">
        <v>2838</v>
      </c>
      <c r="D30" s="7" t="s">
        <v>108</v>
      </c>
      <c r="F30" t="s">
        <v>2839</v>
      </c>
      <c r="H30" s="5">
        <f>H28-H29</f>
        <v>0</v>
      </c>
      <c r="I30" s="5">
        <f>I28-I29</f>
        <v>0</v>
      </c>
      <c r="M30" t="s">
        <v>110</v>
      </c>
    </row>
    <row r="31" customHeight="1" spans="1:16">
      <c r="A31" s="10"/>
      <c r="B31" s="10"/>
      <c r="C31" s="10"/>
      <c r="D31" s="10"/>
    </row>
    <row r="32" customHeight="1" spans="1:16">
      <c r="A32" s="7" t="s">
        <v>14</v>
      </c>
      <c r="B32" s="7" t="s">
        <v>118</v>
      </c>
      <c r="C32" s="11" t="s">
        <v>2840</v>
      </c>
      <c r="D32" s="11" t="s">
        <v>120</v>
      </c>
      <c r="F32" t="s">
        <v>2841</v>
      </c>
      <c r="H32" s="5">
        <f>H33+H40+H41+H45</f>
        <v>0</v>
      </c>
      <c r="I32" s="5">
        <f>I33+I40+I41+I45</f>
        <v>0</v>
      </c>
      <c r="M32" t="s">
        <v>122</v>
      </c>
    </row>
    <row r="33" customHeight="1" spans="1:16">
      <c r="A33" s="1" t="s">
        <v>21</v>
      </c>
      <c r="B33" s="7" t="s">
        <v>118</v>
      </c>
      <c r="C33" s="10" t="s">
        <v>2842</v>
      </c>
      <c r="D33" s="10" t="s">
        <v>124</v>
      </c>
      <c r="F33" t="s">
        <v>2843</v>
      </c>
      <c r="H33" s="5">
        <f>H34+H37</f>
        <v>0</v>
      </c>
      <c r="I33" s="5">
        <f>I34+I37</f>
        <v>0</v>
      </c>
      <c r="M33" t="s">
        <v>126</v>
      </c>
    </row>
    <row r="34" customHeight="1" spans="1:16">
      <c r="A34" s="1" t="s">
        <v>26</v>
      </c>
      <c r="B34" s="7" t="s">
        <v>118</v>
      </c>
      <c r="C34" s="10" t="s">
        <v>2844</v>
      </c>
      <c r="D34" s="10" t="s">
        <v>128</v>
      </c>
      <c r="F34" t="s">
        <v>2845</v>
      </c>
      <c r="H34" s="5">
        <f>H35+H36</f>
        <v>0</v>
      </c>
      <c r="I34" s="5">
        <f>I35+I36</f>
        <v>0</v>
      </c>
      <c r="M34" t="s">
        <v>129</v>
      </c>
    </row>
    <row r="35" customHeight="1" spans="1:16">
      <c r="A35" s="1" t="s">
        <v>236</v>
      </c>
      <c r="B35" s="7" t="s">
        <v>118</v>
      </c>
      <c r="C35" s="10" t="s">
        <v>2846</v>
      </c>
      <c r="D35" s="10" t="s">
        <v>2847</v>
      </c>
      <c r="M35" t="s">
        <v>1091</v>
      </c>
      <c r="P35" t="s">
        <v>130</v>
      </c>
    </row>
    <row r="36" customHeight="1" spans="1:16">
      <c r="A36" s="1" t="s">
        <v>236</v>
      </c>
      <c r="B36" s="7" t="s">
        <v>118</v>
      </c>
      <c r="C36" s="10" t="s">
        <v>2848</v>
      </c>
      <c r="D36" s="10" t="s">
        <v>2849</v>
      </c>
      <c r="M36" t="s">
        <v>1096</v>
      </c>
      <c r="P36" t="s">
        <v>130</v>
      </c>
    </row>
    <row r="37" customHeight="1" spans="1:16">
      <c r="A37" s="1" t="s">
        <v>26</v>
      </c>
      <c r="B37" s="7" t="s">
        <v>118</v>
      </c>
      <c r="C37" s="10" t="s">
        <v>2850</v>
      </c>
      <c r="D37" s="10" t="s">
        <v>132</v>
      </c>
      <c r="F37" t="s">
        <v>2851</v>
      </c>
      <c r="H37" s="5">
        <f>H38+H39</f>
        <v>0</v>
      </c>
      <c r="I37" s="5">
        <f>I38+I39</f>
        <v>0</v>
      </c>
      <c r="M37" t="s">
        <v>133</v>
      </c>
    </row>
    <row r="38" customHeight="1" spans="1:16">
      <c r="A38" s="1" t="s">
        <v>236</v>
      </c>
      <c r="B38" s="7" t="s">
        <v>118</v>
      </c>
      <c r="C38" s="10" t="s">
        <v>2852</v>
      </c>
      <c r="D38" s="10" t="s">
        <v>2853</v>
      </c>
      <c r="M38" t="s">
        <v>2854</v>
      </c>
      <c r="P38" t="s">
        <v>130</v>
      </c>
    </row>
    <row r="39" customHeight="1" spans="1:16">
      <c r="A39" s="1" t="s">
        <v>236</v>
      </c>
      <c r="B39" s="7" t="s">
        <v>118</v>
      </c>
      <c r="C39" s="10" t="s">
        <v>2855</v>
      </c>
      <c r="D39" s="10" t="s">
        <v>2856</v>
      </c>
      <c r="M39" t="s">
        <v>2857</v>
      </c>
      <c r="P39" t="s">
        <v>130</v>
      </c>
    </row>
    <row r="40" customHeight="1" spans="1:16">
      <c r="A40" s="1" t="s">
        <v>21</v>
      </c>
      <c r="B40" s="7" t="s">
        <v>118</v>
      </c>
      <c r="C40" s="10" t="s">
        <v>2858</v>
      </c>
      <c r="D40" s="10" t="s">
        <v>135</v>
      </c>
      <c r="M40" t="s">
        <v>136</v>
      </c>
      <c r="P40" t="s">
        <v>130</v>
      </c>
    </row>
    <row r="41" customHeight="1" spans="1:16">
      <c r="A41" s="1" t="s">
        <v>21</v>
      </c>
      <c r="B41" s="7" t="s">
        <v>118</v>
      </c>
      <c r="C41" s="10" t="s">
        <v>2859</v>
      </c>
      <c r="D41" s="10" t="s">
        <v>138</v>
      </c>
      <c r="F41" t="s">
        <v>2860</v>
      </c>
      <c r="H41" s="5">
        <f>H42+H43+H44</f>
        <v>0</v>
      </c>
      <c r="I41" s="5">
        <f>I42+I43+I44</f>
        <v>0</v>
      </c>
      <c r="M41" t="s">
        <v>139</v>
      </c>
    </row>
    <row r="42" customHeight="1" spans="1:16">
      <c r="A42" s="10" t="s">
        <v>26</v>
      </c>
      <c r="B42" s="7" t="s">
        <v>118</v>
      </c>
      <c r="C42" s="10" t="s">
        <v>2861</v>
      </c>
      <c r="D42" s="10" t="s">
        <v>2862</v>
      </c>
      <c r="M42" t="s">
        <v>2863</v>
      </c>
      <c r="P42" t="s">
        <v>130</v>
      </c>
    </row>
    <row r="43" customHeight="1" spans="1:16">
      <c r="A43" s="10" t="s">
        <v>26</v>
      </c>
      <c r="B43" s="7" t="s">
        <v>118</v>
      </c>
      <c r="C43" s="10" t="s">
        <v>2864</v>
      </c>
      <c r="D43" s="10" t="s">
        <v>2865</v>
      </c>
      <c r="M43" t="s">
        <v>2866</v>
      </c>
      <c r="P43" t="s">
        <v>130</v>
      </c>
    </row>
    <row r="44" customHeight="1" spans="1:16">
      <c r="A44" s="10" t="s">
        <v>26</v>
      </c>
      <c r="B44" s="7" t="s">
        <v>118</v>
      </c>
      <c r="C44" s="10" t="s">
        <v>2867</v>
      </c>
      <c r="D44" s="10" t="s">
        <v>2868</v>
      </c>
      <c r="M44" t="s">
        <v>2869</v>
      </c>
      <c r="P44" t="s">
        <v>130</v>
      </c>
    </row>
    <row r="45" customHeight="1" spans="1:16">
      <c r="A45" s="10" t="s">
        <v>21</v>
      </c>
      <c r="B45" s="7" t="s">
        <v>118</v>
      </c>
      <c r="C45" s="10" t="s">
        <v>2870</v>
      </c>
      <c r="D45" s="10" t="s">
        <v>141</v>
      </c>
      <c r="M45" t="s">
        <v>142</v>
      </c>
      <c r="P45" t="s">
        <v>130</v>
      </c>
    </row>
    <row r="46" customHeight="1" spans="1:16">
      <c r="A46" s="7" t="s">
        <v>14</v>
      </c>
      <c r="B46" s="7" t="s">
        <v>515</v>
      </c>
      <c r="C46" s="11" t="s">
        <v>2871</v>
      </c>
      <c r="D46" s="11" t="s">
        <v>899</v>
      </c>
      <c r="F46" t="s">
        <v>2872</v>
      </c>
      <c r="H46" s="5">
        <f>H47+H54+H55+H59</f>
        <v>0</v>
      </c>
      <c r="I46" s="5">
        <f>I47+I54+I55+I59</f>
        <v>0</v>
      </c>
      <c r="M46" t="s">
        <v>901</v>
      </c>
    </row>
    <row r="47" customHeight="1" spans="1:16">
      <c r="A47" s="1" t="s">
        <v>21</v>
      </c>
      <c r="B47" s="7" t="s">
        <v>515</v>
      </c>
      <c r="C47" s="10" t="s">
        <v>2873</v>
      </c>
      <c r="D47" s="10" t="s">
        <v>903</v>
      </c>
      <c r="F47" t="s">
        <v>2874</v>
      </c>
      <c r="H47" s="5">
        <f>H48+H51</f>
        <v>0</v>
      </c>
      <c r="I47" s="5">
        <f>I48+I51</f>
        <v>0</v>
      </c>
      <c r="M47" t="s">
        <v>521</v>
      </c>
    </row>
    <row r="48" customHeight="1" spans="1:16">
      <c r="A48" s="1" t="s">
        <v>26</v>
      </c>
      <c r="B48" s="7" t="s">
        <v>515</v>
      </c>
      <c r="C48" s="10" t="s">
        <v>2875</v>
      </c>
      <c r="D48" s="10" t="s">
        <v>128</v>
      </c>
      <c r="F48" t="s">
        <v>2876</v>
      </c>
      <c r="H48" s="5">
        <f>H49+H50</f>
        <v>0</v>
      </c>
      <c r="I48" s="5">
        <f>I49+I50</f>
        <v>0</v>
      </c>
      <c r="M48" t="s">
        <v>523</v>
      </c>
    </row>
    <row r="49" customHeight="1" spans="1:16">
      <c r="A49" s="1" t="s">
        <v>236</v>
      </c>
      <c r="B49" s="7" t="s">
        <v>515</v>
      </c>
      <c r="C49" s="10" t="s">
        <v>2877</v>
      </c>
      <c r="D49" s="10" t="s">
        <v>2847</v>
      </c>
      <c r="M49" t="s">
        <v>1106</v>
      </c>
      <c r="P49" t="s">
        <v>524</v>
      </c>
    </row>
    <row r="50" customHeight="1" spans="1:16">
      <c r="A50" s="1" t="s">
        <v>236</v>
      </c>
      <c r="B50" s="7" t="s">
        <v>515</v>
      </c>
      <c r="C50" s="10" t="s">
        <v>2878</v>
      </c>
      <c r="D50" s="10" t="s">
        <v>2849</v>
      </c>
      <c r="M50" t="s">
        <v>1109</v>
      </c>
      <c r="P50" t="s">
        <v>524</v>
      </c>
    </row>
    <row r="51" customHeight="1" spans="1:16">
      <c r="A51" s="1" t="s">
        <v>26</v>
      </c>
      <c r="B51" s="7" t="s">
        <v>515</v>
      </c>
      <c r="C51" s="10" t="s">
        <v>2879</v>
      </c>
      <c r="D51" s="10" t="s">
        <v>132</v>
      </c>
      <c r="F51" t="s">
        <v>2880</v>
      </c>
      <c r="H51" s="5">
        <f>H52+H53</f>
        <v>0</v>
      </c>
      <c r="I51" s="5">
        <f>I52+I53</f>
        <v>0</v>
      </c>
      <c r="M51" t="s">
        <v>526</v>
      </c>
    </row>
    <row r="52" customHeight="1" spans="1:16">
      <c r="A52" s="1" t="s">
        <v>236</v>
      </c>
      <c r="B52" s="7" t="s">
        <v>515</v>
      </c>
      <c r="C52" s="10" t="s">
        <v>2881</v>
      </c>
      <c r="D52" s="10" t="s">
        <v>2853</v>
      </c>
      <c r="M52" t="s">
        <v>2882</v>
      </c>
      <c r="P52" t="s">
        <v>524</v>
      </c>
    </row>
    <row r="53" customHeight="1" spans="1:16">
      <c r="A53" s="1" t="s">
        <v>236</v>
      </c>
      <c r="B53" s="7" t="s">
        <v>515</v>
      </c>
      <c r="C53" s="10" t="s">
        <v>2883</v>
      </c>
      <c r="D53" s="10" t="s">
        <v>2856</v>
      </c>
      <c r="M53" t="s">
        <v>2884</v>
      </c>
      <c r="P53" t="s">
        <v>524</v>
      </c>
    </row>
    <row r="54" customHeight="1" spans="1:16">
      <c r="A54" s="1" t="s">
        <v>21</v>
      </c>
      <c r="B54" s="7" t="s">
        <v>515</v>
      </c>
      <c r="C54" s="10" t="s">
        <v>2885</v>
      </c>
      <c r="D54" s="10" t="s">
        <v>135</v>
      </c>
      <c r="M54" t="s">
        <v>906</v>
      </c>
      <c r="P54" t="s">
        <v>524</v>
      </c>
    </row>
    <row r="55" customHeight="1" spans="1:16">
      <c r="A55" s="1" t="s">
        <v>21</v>
      </c>
      <c r="B55" s="7" t="s">
        <v>515</v>
      </c>
      <c r="C55" s="10" t="s">
        <v>2886</v>
      </c>
      <c r="D55" s="10" t="s">
        <v>138</v>
      </c>
      <c r="F55" t="s">
        <v>2887</v>
      </c>
      <c r="H55" s="5">
        <f>H56+H57+H58</f>
        <v>0</v>
      </c>
      <c r="I55" s="5">
        <f>I56+I57+I58</f>
        <v>0</v>
      </c>
      <c r="M55" t="s">
        <v>908</v>
      </c>
    </row>
    <row r="56" customHeight="1" spans="1:16">
      <c r="A56" s="10" t="s">
        <v>26</v>
      </c>
      <c r="B56" s="7" t="s">
        <v>515</v>
      </c>
      <c r="C56" s="10" t="s">
        <v>2888</v>
      </c>
      <c r="D56" s="10" t="s">
        <v>2862</v>
      </c>
      <c r="M56" t="s">
        <v>2889</v>
      </c>
      <c r="P56" t="s">
        <v>524</v>
      </c>
    </row>
    <row r="57" customHeight="1" spans="1:16">
      <c r="A57" s="10" t="s">
        <v>26</v>
      </c>
      <c r="B57" s="7" t="s">
        <v>515</v>
      </c>
      <c r="C57" s="10" t="s">
        <v>2890</v>
      </c>
      <c r="D57" s="10" t="s">
        <v>2865</v>
      </c>
      <c r="M57" t="s">
        <v>2891</v>
      </c>
      <c r="P57" t="s">
        <v>524</v>
      </c>
    </row>
    <row r="58" customHeight="1" spans="1:16">
      <c r="A58" s="10" t="s">
        <v>26</v>
      </c>
      <c r="B58" s="7" t="s">
        <v>515</v>
      </c>
      <c r="C58" s="10" t="s">
        <v>2892</v>
      </c>
      <c r="D58" s="10" t="s">
        <v>2868</v>
      </c>
      <c r="M58" t="s">
        <v>2893</v>
      </c>
      <c r="P58" t="s">
        <v>524</v>
      </c>
    </row>
    <row r="59" customHeight="1" spans="1:16">
      <c r="A59" s="10" t="s">
        <v>21</v>
      </c>
      <c r="B59" s="7" t="s">
        <v>515</v>
      </c>
      <c r="C59" s="10" t="s">
        <v>2894</v>
      </c>
      <c r="D59" s="10" t="s">
        <v>141</v>
      </c>
      <c r="M59" t="s">
        <v>2682</v>
      </c>
      <c r="P59" t="s">
        <v>524</v>
      </c>
    </row>
    <row r="60" customHeight="1" spans="1:16">
      <c r="A60" s="10"/>
      <c r="B60" s="7"/>
      <c r="C60" s="10"/>
      <c r="D60" s="10"/>
    </row>
    <row r="61" customHeight="1" spans="1:16">
      <c r="A61" s="1" t="s">
        <v>14</v>
      </c>
      <c r="B61" s="1" t="s">
        <v>143</v>
      </c>
      <c r="C61" s="10" t="s">
        <v>2895</v>
      </c>
      <c r="D61" s="10" t="s">
        <v>145</v>
      </c>
      <c r="F61" t="s">
        <v>2896</v>
      </c>
      <c r="H61" s="5">
        <f>H62+H65</f>
        <v>0</v>
      </c>
      <c r="I61" s="5">
        <f>I62+I65</f>
        <v>0</v>
      </c>
      <c r="M61" t="s">
        <v>147</v>
      </c>
    </row>
    <row r="62" customHeight="1" spans="1:16">
      <c r="A62" s="1" t="s">
        <v>21</v>
      </c>
      <c r="B62" s="1" t="s">
        <v>143</v>
      </c>
      <c r="C62" s="10" t="s">
        <v>2897</v>
      </c>
      <c r="D62" s="10" t="s">
        <v>2477</v>
      </c>
      <c r="F62" t="s">
        <v>2898</v>
      </c>
      <c r="H62" s="5">
        <f>H63+H64</f>
        <v>0</v>
      </c>
      <c r="I62" s="5">
        <f>I63+I64</f>
        <v>0</v>
      </c>
      <c r="M62" t="s">
        <v>150</v>
      </c>
    </row>
    <row r="63" customHeight="1" spans="1:16">
      <c r="A63" s="1" t="s">
        <v>26</v>
      </c>
      <c r="B63" s="1" t="s">
        <v>143</v>
      </c>
      <c r="C63" s="10" t="s">
        <v>2899</v>
      </c>
      <c r="D63" s="10" t="s">
        <v>2900</v>
      </c>
      <c r="M63" t="s">
        <v>1580</v>
      </c>
      <c r="P63" t="s">
        <v>130</v>
      </c>
    </row>
    <row r="64" customHeight="1" spans="1:16">
      <c r="A64" s="1" t="s">
        <v>26</v>
      </c>
      <c r="B64" s="1" t="s">
        <v>143</v>
      </c>
      <c r="C64" s="10" t="s">
        <v>2901</v>
      </c>
      <c r="D64" s="10" t="s">
        <v>2902</v>
      </c>
      <c r="M64" t="s">
        <v>2227</v>
      </c>
      <c r="P64" t="s">
        <v>130</v>
      </c>
    </row>
    <row r="65" customHeight="1" spans="1:16">
      <c r="A65" s="1" t="s">
        <v>21</v>
      </c>
      <c r="B65" s="1" t="s">
        <v>143</v>
      </c>
      <c r="C65" s="10" t="s">
        <v>2903</v>
      </c>
      <c r="D65" s="10" t="s">
        <v>152</v>
      </c>
      <c r="M65" t="s">
        <v>153</v>
      </c>
      <c r="P65" t="s">
        <v>130</v>
      </c>
    </row>
    <row r="66" customHeight="1" spans="1:16">
      <c r="A66" s="1" t="s">
        <v>14</v>
      </c>
      <c r="B66" s="1" t="s">
        <v>143</v>
      </c>
      <c r="C66" s="10" t="s">
        <v>2904</v>
      </c>
      <c r="D66" s="10" t="s">
        <v>916</v>
      </c>
      <c r="F66" t="s">
        <v>2905</v>
      </c>
      <c r="H66" s="5">
        <f>H67+H70</f>
        <v>0</v>
      </c>
      <c r="I66" s="5">
        <f>I67+I70</f>
        <v>0</v>
      </c>
      <c r="M66" t="s">
        <v>918</v>
      </c>
    </row>
    <row r="67" customHeight="1" spans="1:16">
      <c r="A67" s="1" t="s">
        <v>21</v>
      </c>
      <c r="B67" s="1" t="s">
        <v>552</v>
      </c>
      <c r="C67" s="10" t="s">
        <v>2906</v>
      </c>
      <c r="D67" s="10" t="s">
        <v>2480</v>
      </c>
      <c r="F67" t="s">
        <v>2907</v>
      </c>
      <c r="H67" s="5">
        <f>H68+H69</f>
        <v>0</v>
      </c>
      <c r="I67" s="5">
        <f>I68+I69</f>
        <v>0</v>
      </c>
      <c r="M67" t="s">
        <v>557</v>
      </c>
    </row>
    <row r="68" customHeight="1" spans="1:16">
      <c r="A68" s="1" t="s">
        <v>26</v>
      </c>
      <c r="B68" s="1" t="s">
        <v>552</v>
      </c>
      <c r="C68" s="10" t="s">
        <v>2908</v>
      </c>
      <c r="D68" s="10" t="s">
        <v>2900</v>
      </c>
      <c r="M68" t="s">
        <v>1593</v>
      </c>
      <c r="P68" t="s">
        <v>524</v>
      </c>
    </row>
    <row r="69" customHeight="1" spans="1:16">
      <c r="A69" s="1" t="s">
        <v>26</v>
      </c>
      <c r="B69" s="1" t="s">
        <v>552</v>
      </c>
      <c r="C69" s="10" t="s">
        <v>2909</v>
      </c>
      <c r="D69" s="10" t="s">
        <v>2902</v>
      </c>
      <c r="M69" t="s">
        <v>1595</v>
      </c>
      <c r="P69" t="s">
        <v>524</v>
      </c>
    </row>
    <row r="70" customHeight="1" spans="1:16">
      <c r="A70" s="1" t="s">
        <v>21</v>
      </c>
      <c r="B70" s="1" t="s">
        <v>552</v>
      </c>
      <c r="C70" s="10" t="s">
        <v>2910</v>
      </c>
      <c r="D70" s="10" t="s">
        <v>2691</v>
      </c>
      <c r="M70" t="s">
        <v>921</v>
      </c>
      <c r="P70" t="s">
        <v>524</v>
      </c>
    </row>
    <row r="71" customHeight="1" spans="1:16">
      <c r="A71" s="1"/>
      <c r="B71" s="1"/>
      <c r="C71" s="10"/>
      <c r="D71" s="10"/>
    </row>
    <row r="72" customHeight="1" spans="1:16">
      <c r="A72" s="7" t="s">
        <v>14</v>
      </c>
      <c r="B72" s="1" t="s">
        <v>118</v>
      </c>
      <c r="C72" s="11" t="s">
        <v>2911</v>
      </c>
      <c r="D72" s="11" t="s">
        <v>1118</v>
      </c>
      <c r="F72" t="s">
        <v>2912</v>
      </c>
      <c r="H72" s="5">
        <f>H73+H74+H75</f>
        <v>0</v>
      </c>
      <c r="I72" s="5">
        <f>I73+I74+I75</f>
        <v>0</v>
      </c>
      <c r="M72" t="s">
        <v>1120</v>
      </c>
    </row>
    <row r="73" customHeight="1" spans="1:16">
      <c r="A73" s="1" t="s">
        <v>21</v>
      </c>
      <c r="B73" s="1" t="s">
        <v>118</v>
      </c>
      <c r="C73" s="10" t="s">
        <v>2913</v>
      </c>
      <c r="D73" s="10" t="s">
        <v>736</v>
      </c>
      <c r="M73" t="s">
        <v>460</v>
      </c>
      <c r="P73" t="s">
        <v>130</v>
      </c>
    </row>
    <row r="74" customHeight="1" spans="1:16">
      <c r="A74" s="1" t="s">
        <v>21</v>
      </c>
      <c r="B74" s="1" t="s">
        <v>118</v>
      </c>
      <c r="C74" s="10" t="s">
        <v>2914</v>
      </c>
      <c r="D74" s="10" t="s">
        <v>738</v>
      </c>
      <c r="M74" t="s">
        <v>466</v>
      </c>
      <c r="P74" t="s">
        <v>130</v>
      </c>
    </row>
    <row r="75" customHeight="1" spans="1:16">
      <c r="A75" s="1" t="s">
        <v>21</v>
      </c>
      <c r="B75" s="1" t="s">
        <v>118</v>
      </c>
      <c r="C75" s="10" t="s">
        <v>2915</v>
      </c>
      <c r="D75" s="10" t="s">
        <v>739</v>
      </c>
      <c r="F75" t="s">
        <v>2916</v>
      </c>
      <c r="H75" s="5">
        <f>H76</f>
        <v>0</v>
      </c>
      <c r="I75" s="5">
        <f>I76</f>
        <v>0</v>
      </c>
      <c r="M75" t="s">
        <v>469</v>
      </c>
    </row>
    <row r="76" customHeight="1" spans="1:16">
      <c r="A76" s="1" t="s">
        <v>26</v>
      </c>
      <c r="B76" s="1" t="s">
        <v>118</v>
      </c>
      <c r="C76" s="10" t="s">
        <v>2916</v>
      </c>
      <c r="D76" s="10" t="s">
        <v>2862</v>
      </c>
      <c r="M76" t="s">
        <v>2917</v>
      </c>
      <c r="P76" t="s">
        <v>130</v>
      </c>
    </row>
    <row r="77" customHeight="1" spans="1:16">
      <c r="A77" s="7" t="s">
        <v>14</v>
      </c>
      <c r="B77" s="1" t="s">
        <v>515</v>
      </c>
      <c r="C77" s="11" t="s">
        <v>2918</v>
      </c>
      <c r="D77" s="11" t="s">
        <v>1123</v>
      </c>
      <c r="F77" t="s">
        <v>2919</v>
      </c>
      <c r="H77" s="5">
        <f>H78+H79+H80</f>
        <v>0</v>
      </c>
      <c r="I77" s="5">
        <f>I78+I79+I80</f>
        <v>0</v>
      </c>
      <c r="M77" t="s">
        <v>1125</v>
      </c>
    </row>
    <row r="78" customHeight="1" spans="1:16">
      <c r="A78" s="1" t="s">
        <v>21</v>
      </c>
      <c r="B78" s="1" t="s">
        <v>515</v>
      </c>
      <c r="C78" s="10" t="s">
        <v>2920</v>
      </c>
      <c r="D78" s="10" t="s">
        <v>736</v>
      </c>
      <c r="M78" t="s">
        <v>532</v>
      </c>
      <c r="P78" t="s">
        <v>524</v>
      </c>
    </row>
    <row r="79" customHeight="1" spans="1:16">
      <c r="A79" s="1" t="s">
        <v>21</v>
      </c>
      <c r="B79" s="1" t="s">
        <v>515</v>
      </c>
      <c r="C79" s="10" t="s">
        <v>2921</v>
      </c>
      <c r="D79" s="10" t="s">
        <v>738</v>
      </c>
      <c r="M79" t="s">
        <v>536</v>
      </c>
      <c r="P79" t="s">
        <v>524</v>
      </c>
    </row>
    <row r="80" customHeight="1" spans="1:16">
      <c r="A80" s="1" t="s">
        <v>21</v>
      </c>
      <c r="B80" s="1" t="s">
        <v>515</v>
      </c>
      <c r="C80" s="10" t="s">
        <v>2922</v>
      </c>
      <c r="D80" s="10" t="s">
        <v>739</v>
      </c>
      <c r="F80" t="s">
        <v>2923</v>
      </c>
      <c r="H80" s="5">
        <f>H81</f>
        <v>0</v>
      </c>
      <c r="I80" s="5">
        <f>I81</f>
        <v>0</v>
      </c>
      <c r="M80" t="s">
        <v>539</v>
      </c>
    </row>
    <row r="81" customHeight="1" spans="1:16">
      <c r="A81" s="1" t="s">
        <v>26</v>
      </c>
      <c r="B81" s="1" t="s">
        <v>515</v>
      </c>
      <c r="C81" s="10" t="s">
        <v>2923</v>
      </c>
      <c r="D81" s="10" t="s">
        <v>2862</v>
      </c>
      <c r="M81" t="s">
        <v>2924</v>
      </c>
      <c r="P81" t="s">
        <v>524</v>
      </c>
    </row>
    <row r="82" customHeight="1" spans="1:16">
      <c r="A82" s="7" t="s">
        <v>14</v>
      </c>
      <c r="B82" s="1" t="s">
        <v>143</v>
      </c>
      <c r="C82" s="11" t="s">
        <v>2925</v>
      </c>
      <c r="D82" s="11" t="s">
        <v>1128</v>
      </c>
      <c r="F82" t="s">
        <v>2926</v>
      </c>
      <c r="H82" s="5">
        <f>H83+H84</f>
        <v>0</v>
      </c>
      <c r="I82" s="5">
        <f>I83+I84</f>
        <v>0</v>
      </c>
      <c r="M82" t="s">
        <v>1130</v>
      </c>
    </row>
    <row r="83" customHeight="1" spans="1:16">
      <c r="A83" s="10" t="s">
        <v>236</v>
      </c>
      <c r="B83" s="10" t="s">
        <v>143</v>
      </c>
      <c r="C83" s="10" t="s">
        <v>2927</v>
      </c>
      <c r="D83" s="10" t="s">
        <v>745</v>
      </c>
      <c r="M83" t="s">
        <v>495</v>
      </c>
      <c r="P83" t="s">
        <v>130</v>
      </c>
    </row>
    <row r="84" customHeight="1" spans="1:16">
      <c r="A84" s="10" t="s">
        <v>236</v>
      </c>
      <c r="B84" s="10" t="s">
        <v>143</v>
      </c>
      <c r="C84" s="10" t="s">
        <v>2928</v>
      </c>
      <c r="D84" s="10" t="s">
        <v>748</v>
      </c>
      <c r="M84" t="s">
        <v>504</v>
      </c>
      <c r="P84" t="s">
        <v>130</v>
      </c>
    </row>
    <row r="85" customHeight="1" spans="1:16">
      <c r="A85" s="7" t="s">
        <v>14</v>
      </c>
      <c r="B85" s="1" t="s">
        <v>552</v>
      </c>
      <c r="C85" s="11" t="s">
        <v>2929</v>
      </c>
      <c r="D85" s="11" t="s">
        <v>1133</v>
      </c>
      <c r="F85" t="s">
        <v>2930</v>
      </c>
      <c r="H85" s="5">
        <f>H86+H87</f>
        <v>0</v>
      </c>
      <c r="I85" s="5">
        <f>I86+I87</f>
        <v>0</v>
      </c>
      <c r="M85" t="s">
        <v>1135</v>
      </c>
    </row>
    <row r="86" customHeight="1" spans="1:16">
      <c r="A86" s="10" t="s">
        <v>236</v>
      </c>
      <c r="B86" s="10" t="s">
        <v>552</v>
      </c>
      <c r="C86" s="10" t="s">
        <v>2931</v>
      </c>
      <c r="D86" s="10" t="s">
        <v>745</v>
      </c>
      <c r="M86" t="s">
        <v>563</v>
      </c>
      <c r="P86" t="s">
        <v>524</v>
      </c>
    </row>
    <row r="87" customHeight="1" spans="1:16">
      <c r="A87" s="10" t="s">
        <v>236</v>
      </c>
      <c r="B87" s="10" t="s">
        <v>552</v>
      </c>
      <c r="C87" s="10" t="s">
        <v>2932</v>
      </c>
      <c r="D87" s="10" t="s">
        <v>748</v>
      </c>
      <c r="M87" t="s">
        <v>569</v>
      </c>
      <c r="P87" t="s">
        <v>524</v>
      </c>
    </row>
    <row r="88" customHeight="1" spans="1:16">
      <c r="A88" s="1"/>
      <c r="B88" s="1"/>
      <c r="C88" s="10"/>
      <c r="D88" s="10"/>
    </row>
    <row r="89" customHeight="1" spans="1:16">
      <c r="A89" s="7" t="s">
        <v>14</v>
      </c>
      <c r="B89" s="7" t="s">
        <v>15</v>
      </c>
      <c r="C89" s="11" t="s">
        <v>2933</v>
      </c>
      <c r="D89" s="11" t="s">
        <v>1138</v>
      </c>
      <c r="E89" s="12"/>
      <c r="F89" s="12" t="s">
        <v>2934</v>
      </c>
      <c r="G89" s="12"/>
      <c r="H89" s="12">
        <f>H90+H115+H121</f>
        <v>0</v>
      </c>
      <c r="I89" s="12">
        <f>I90+I115+I121</f>
        <v>0</v>
      </c>
      <c r="J89" s="12"/>
      <c r="M89" t="s">
        <v>30</v>
      </c>
    </row>
    <row r="90" customHeight="1" spans="1:16">
      <c r="A90" s="7" t="s">
        <v>21</v>
      </c>
      <c r="B90" s="7" t="s">
        <v>15</v>
      </c>
      <c r="C90" s="11" t="s">
        <v>2935</v>
      </c>
      <c r="D90" s="11" t="s">
        <v>1141</v>
      </c>
      <c r="E90" s="12"/>
      <c r="F90" s="12" t="s">
        <v>2936</v>
      </c>
      <c r="G90" s="12"/>
      <c r="H90" s="12">
        <f>H93+H110+H112</f>
        <v>0</v>
      </c>
      <c r="I90" s="12">
        <f>I93+I110+I112</f>
        <v>0</v>
      </c>
      <c r="J90" s="12"/>
      <c r="M90" t="s">
        <v>752</v>
      </c>
    </row>
    <row r="91" customHeight="1" spans="1:16">
      <c r="A91" s="1" t="s">
        <v>26</v>
      </c>
      <c r="B91" s="1" t="s">
        <v>160</v>
      </c>
      <c r="C91" s="10" t="s">
        <v>2937</v>
      </c>
      <c r="D91" s="10" t="s">
        <v>2938</v>
      </c>
      <c r="H91" s="5" t="e">
        <f>H90/H47</f>
        <v>#DIV/0!</v>
      </c>
      <c r="I91" s="5" t="e">
        <f>I90/I47</f>
        <v>#DIV/0!</v>
      </c>
      <c r="J91" s="5" t="s">
        <v>783</v>
      </c>
      <c r="M91" t="s">
        <v>1146</v>
      </c>
      <c r="P91" t="s">
        <v>164</v>
      </c>
    </row>
    <row r="92" customHeight="1" spans="1:16">
      <c r="A92" s="1" t="s">
        <v>26</v>
      </c>
      <c r="B92" s="1" t="s">
        <v>160</v>
      </c>
      <c r="C92" s="10" t="s">
        <v>2939</v>
      </c>
      <c r="D92" s="10" t="s">
        <v>2940</v>
      </c>
      <c r="H92" s="5" t="e">
        <f>(H90-H100-H101-H102-H107-H108-H109)/H47</f>
        <v>#DIV/0!</v>
      </c>
      <c r="I92" s="5" t="e">
        <f>(I90-I100-I101-I102-I107-I108-I109)/I47</f>
        <v>#DIV/0!</v>
      </c>
      <c r="J92" s="5" t="s">
        <v>783</v>
      </c>
      <c r="M92" t="s">
        <v>1202</v>
      </c>
      <c r="P92" t="s">
        <v>164</v>
      </c>
    </row>
    <row r="93" customHeight="1" spans="1:16">
      <c r="A93" s="13" t="s">
        <v>26</v>
      </c>
      <c r="B93" s="13" t="s">
        <v>15</v>
      </c>
      <c r="C93" s="14" t="s">
        <v>2941</v>
      </c>
      <c r="D93" s="14" t="s">
        <v>2942</v>
      </c>
      <c r="E93" s="15"/>
      <c r="F93" s="15" t="s">
        <v>2943</v>
      </c>
      <c r="G93" s="15"/>
      <c r="H93" s="15">
        <f>H96+H103</f>
        <v>0</v>
      </c>
      <c r="I93" s="15">
        <f>I96+I103</f>
        <v>0</v>
      </c>
      <c r="J93" s="15"/>
      <c r="M93" t="s">
        <v>2944</v>
      </c>
    </row>
    <row r="94" customHeight="1" spans="1:16">
      <c r="A94" s="16" t="s">
        <v>236</v>
      </c>
      <c r="B94" s="16" t="s">
        <v>160</v>
      </c>
      <c r="C94" s="17" t="s">
        <v>2945</v>
      </c>
      <c r="D94" s="17" t="s">
        <v>2946</v>
      </c>
      <c r="E94" s="18"/>
      <c r="F94" s="18"/>
      <c r="G94" s="18"/>
      <c r="H94" s="18" t="e">
        <f>H93/H48</f>
        <v>#DIV/0!</v>
      </c>
      <c r="I94" s="18" t="e">
        <f>I93/I48</f>
        <v>#DIV/0!</v>
      </c>
      <c r="J94" s="18" t="s">
        <v>783</v>
      </c>
      <c r="M94" t="s">
        <v>2947</v>
      </c>
      <c r="P94" t="s">
        <v>164</v>
      </c>
    </row>
    <row r="95" customHeight="1" spans="1:16">
      <c r="A95" s="16" t="s">
        <v>236</v>
      </c>
      <c r="B95" s="16" t="s">
        <v>160</v>
      </c>
      <c r="C95" s="17" t="s">
        <v>2948</v>
      </c>
      <c r="D95" s="17" t="s">
        <v>2949</v>
      </c>
      <c r="E95" s="18"/>
      <c r="F95" s="18"/>
      <c r="G95" s="18"/>
      <c r="H95" s="18" t="e">
        <f>(H93-H100-H101-H102)/H48</f>
        <v>#DIV/0!</v>
      </c>
      <c r="I95" s="18" t="e">
        <f>(I93-I100-I101-I102)/I48</f>
        <v>#DIV/0!</v>
      </c>
      <c r="J95" s="18" t="s">
        <v>783</v>
      </c>
      <c r="M95" t="s">
        <v>2950</v>
      </c>
      <c r="P95" t="s">
        <v>164</v>
      </c>
    </row>
    <row r="96" customHeight="1" spans="1:16">
      <c r="A96" s="16" t="s">
        <v>236</v>
      </c>
      <c r="B96" s="16" t="s">
        <v>15</v>
      </c>
      <c r="C96" s="17" t="s">
        <v>2951</v>
      </c>
      <c r="D96" s="17" t="s">
        <v>2952</v>
      </c>
      <c r="E96" s="18"/>
      <c r="F96" s="18" t="s">
        <v>2953</v>
      </c>
      <c r="G96" s="18"/>
      <c r="H96" s="18"/>
      <c r="I96" s="18">
        <f>I98+I100+I101+I102</f>
        <v>0</v>
      </c>
      <c r="J96" s="18"/>
      <c r="M96" t="s">
        <v>2954</v>
      </c>
    </row>
    <row r="97" customHeight="1" spans="1:16">
      <c r="A97" s="1" t="s">
        <v>241</v>
      </c>
      <c r="B97" s="1" t="s">
        <v>160</v>
      </c>
      <c r="C97" s="10" t="s">
        <v>2955</v>
      </c>
      <c r="D97" s="10" t="s">
        <v>2956</v>
      </c>
      <c r="H97" s="5" t="e">
        <f>H96/H49</f>
        <v>#DIV/0!</v>
      </c>
      <c r="I97" s="5" t="e">
        <f>I96/I49</f>
        <v>#DIV/0!</v>
      </c>
      <c r="J97" s="5" t="s">
        <v>783</v>
      </c>
      <c r="M97" t="s">
        <v>2957</v>
      </c>
      <c r="P97" t="s">
        <v>164</v>
      </c>
    </row>
    <row r="98" customHeight="1" spans="1:16">
      <c r="A98" s="1" t="s">
        <v>241</v>
      </c>
      <c r="B98" s="1" t="s">
        <v>15</v>
      </c>
      <c r="C98" s="10" t="s">
        <v>2958</v>
      </c>
      <c r="D98" s="10" t="s">
        <v>2959</v>
      </c>
      <c r="H98" s="5">
        <f>H96-H100-H101-H102</f>
        <v>0</v>
      </c>
      <c r="I98" s="5">
        <f>I49*I99</f>
        <v>0</v>
      </c>
      <c r="J98" s="5" t="s">
        <v>1153</v>
      </c>
      <c r="M98" t="s">
        <v>2960</v>
      </c>
      <c r="P98" t="s">
        <v>43</v>
      </c>
    </row>
    <row r="99" customHeight="1" spans="1:16">
      <c r="A99" s="1" t="s">
        <v>241</v>
      </c>
      <c r="B99" s="1" t="s">
        <v>160</v>
      </c>
      <c r="C99" s="10" t="s">
        <v>2961</v>
      </c>
      <c r="D99" s="10" t="s">
        <v>2962</v>
      </c>
      <c r="H99" s="5" t="e">
        <f>H98/H49</f>
        <v>#DIV/0!</v>
      </c>
      <c r="M99" t="s">
        <v>2963</v>
      </c>
      <c r="P99" t="s">
        <v>164</v>
      </c>
    </row>
    <row r="100" customHeight="1" spans="1:16">
      <c r="A100" s="1" t="s">
        <v>241</v>
      </c>
      <c r="B100" s="1" t="s">
        <v>15</v>
      </c>
      <c r="C100" s="10" t="s">
        <v>2964</v>
      </c>
      <c r="D100" s="10" t="s">
        <v>2965</v>
      </c>
      <c r="M100" t="s">
        <v>2966</v>
      </c>
      <c r="P100" t="s">
        <v>43</v>
      </c>
    </row>
    <row r="101" customHeight="1" spans="1:16">
      <c r="A101" s="1" t="s">
        <v>241</v>
      </c>
      <c r="B101" s="1" t="s">
        <v>15</v>
      </c>
      <c r="C101" s="10" t="s">
        <v>2967</v>
      </c>
      <c r="D101" s="10" t="s">
        <v>2968</v>
      </c>
      <c r="M101" t="s">
        <v>2969</v>
      </c>
      <c r="P101" t="s">
        <v>43</v>
      </c>
    </row>
    <row r="102" customHeight="1" spans="1:16">
      <c r="A102" s="1" t="s">
        <v>241</v>
      </c>
      <c r="B102" s="1" t="s">
        <v>15</v>
      </c>
      <c r="C102" s="10" t="s">
        <v>2970</v>
      </c>
      <c r="D102" s="10" t="s">
        <v>2971</v>
      </c>
      <c r="M102" t="s">
        <v>2972</v>
      </c>
      <c r="P102" t="s">
        <v>43</v>
      </c>
    </row>
    <row r="103" customHeight="1" spans="1:16">
      <c r="A103" s="16" t="s">
        <v>236</v>
      </c>
      <c r="B103" s="16" t="s">
        <v>15</v>
      </c>
      <c r="C103" s="17" t="s">
        <v>2973</v>
      </c>
      <c r="D103" s="17" t="s">
        <v>2974</v>
      </c>
      <c r="E103" s="18"/>
      <c r="F103" s="18" t="s">
        <v>2975</v>
      </c>
      <c r="G103" s="18"/>
      <c r="H103" s="18"/>
      <c r="I103" s="18">
        <f>I105+I107+I108+I109</f>
        <v>0</v>
      </c>
      <c r="J103" s="18"/>
      <c r="M103" t="s">
        <v>2976</v>
      </c>
    </row>
    <row r="104" customHeight="1" spans="1:16">
      <c r="A104" s="1" t="s">
        <v>241</v>
      </c>
      <c r="B104" s="1" t="s">
        <v>160</v>
      </c>
      <c r="C104" s="10" t="s">
        <v>2977</v>
      </c>
      <c r="D104" s="10" t="s">
        <v>2978</v>
      </c>
      <c r="H104" s="5" t="e">
        <f>H103/H50</f>
        <v>#DIV/0!</v>
      </c>
      <c r="I104" s="5" t="e">
        <f>I103/I50</f>
        <v>#DIV/0!</v>
      </c>
      <c r="J104" s="5" t="s">
        <v>783</v>
      </c>
      <c r="M104" t="s">
        <v>2979</v>
      </c>
      <c r="P104" t="s">
        <v>164</v>
      </c>
    </row>
    <row r="105" customHeight="1" spans="1:16">
      <c r="A105" s="1" t="s">
        <v>241</v>
      </c>
      <c r="B105" s="1" t="s">
        <v>15</v>
      </c>
      <c r="C105" s="10" t="s">
        <v>2980</v>
      </c>
      <c r="D105" s="10" t="s">
        <v>2981</v>
      </c>
      <c r="H105" s="5">
        <f>H103-H107-H108-H109</f>
        <v>0</v>
      </c>
      <c r="I105" s="5">
        <f>I50*I106</f>
        <v>0</v>
      </c>
      <c r="J105" s="5" t="s">
        <v>1153</v>
      </c>
      <c r="M105" t="s">
        <v>2982</v>
      </c>
      <c r="P105" t="s">
        <v>43</v>
      </c>
    </row>
    <row r="106" customHeight="1" spans="1:16">
      <c r="A106" s="1" t="s">
        <v>241</v>
      </c>
      <c r="B106" s="1" t="s">
        <v>160</v>
      </c>
      <c r="C106" s="10" t="s">
        <v>2983</v>
      </c>
      <c r="D106" s="10" t="s">
        <v>2984</v>
      </c>
      <c r="H106" s="5" t="e">
        <f>H105/H50</f>
        <v>#DIV/0!</v>
      </c>
      <c r="J106" s="5" t="s">
        <v>783</v>
      </c>
      <c r="M106" t="s">
        <v>2985</v>
      </c>
      <c r="P106" t="s">
        <v>164</v>
      </c>
    </row>
    <row r="107" customHeight="1" spans="1:16">
      <c r="A107" s="1" t="s">
        <v>241</v>
      </c>
      <c r="B107" s="1" t="s">
        <v>15</v>
      </c>
      <c r="C107" s="10" t="s">
        <v>2986</v>
      </c>
      <c r="D107" s="10" t="s">
        <v>2965</v>
      </c>
      <c r="M107" t="s">
        <v>2987</v>
      </c>
      <c r="P107" t="s">
        <v>43</v>
      </c>
    </row>
    <row r="108" customHeight="1" spans="1:16">
      <c r="A108" s="1" t="s">
        <v>241</v>
      </c>
      <c r="B108" s="1" t="s">
        <v>15</v>
      </c>
      <c r="C108" s="10" t="s">
        <v>2988</v>
      </c>
      <c r="D108" s="10" t="s">
        <v>2968</v>
      </c>
      <c r="M108" t="s">
        <v>2989</v>
      </c>
      <c r="P108" t="s">
        <v>43</v>
      </c>
    </row>
    <row r="109" customHeight="1" spans="1:16">
      <c r="A109" s="1" t="s">
        <v>241</v>
      </c>
      <c r="B109" s="1" t="s">
        <v>15</v>
      </c>
      <c r="C109" s="10" t="s">
        <v>2990</v>
      </c>
      <c r="D109" s="10" t="s">
        <v>2971</v>
      </c>
      <c r="M109" t="s">
        <v>2991</v>
      </c>
      <c r="P109" t="s">
        <v>43</v>
      </c>
    </row>
    <row r="110" customHeight="1" spans="1:16">
      <c r="A110" s="13" t="s">
        <v>26</v>
      </c>
      <c r="B110" s="13" t="s">
        <v>15</v>
      </c>
      <c r="C110" s="14" t="s">
        <v>2992</v>
      </c>
      <c r="D110" s="14" t="s">
        <v>2993</v>
      </c>
      <c r="E110" s="15"/>
      <c r="F110" s="15" t="s">
        <v>2994</v>
      </c>
      <c r="G110" s="15"/>
      <c r="H110" s="15"/>
      <c r="I110" s="15">
        <f>I52*I111</f>
        <v>0</v>
      </c>
      <c r="J110" s="15" t="s">
        <v>1173</v>
      </c>
      <c r="M110" t="s">
        <v>2995</v>
      </c>
    </row>
    <row r="111" customHeight="1" spans="1:16">
      <c r="A111" s="1" t="s">
        <v>236</v>
      </c>
      <c r="B111" s="1" t="s">
        <v>160</v>
      </c>
      <c r="C111" s="10" t="s">
        <v>2994</v>
      </c>
      <c r="D111" s="10" t="s">
        <v>2996</v>
      </c>
      <c r="H111" s="5" t="e">
        <f>H110/H52</f>
        <v>#DIV/0!</v>
      </c>
      <c r="J111" s="5" t="s">
        <v>783</v>
      </c>
      <c r="M111" t="s">
        <v>2997</v>
      </c>
      <c r="P111" t="s">
        <v>164</v>
      </c>
    </row>
    <row r="112" customHeight="1" spans="1:16">
      <c r="A112" s="13" t="s">
        <v>26</v>
      </c>
      <c r="B112" s="13" t="s">
        <v>15</v>
      </c>
      <c r="C112" s="14" t="s">
        <v>2998</v>
      </c>
      <c r="D112" s="14" t="s">
        <v>2999</v>
      </c>
      <c r="E112" s="15"/>
      <c r="F112" s="15" t="s">
        <v>3000</v>
      </c>
      <c r="G112" s="15"/>
      <c r="H112" s="15"/>
      <c r="I112" s="15">
        <f>I53*I113</f>
        <v>0</v>
      </c>
      <c r="J112" s="15" t="s">
        <v>1173</v>
      </c>
      <c r="M112" t="s">
        <v>3001</v>
      </c>
    </row>
    <row r="113" customHeight="1" spans="1:16">
      <c r="A113" s="1" t="s">
        <v>236</v>
      </c>
      <c r="B113" s="1" t="s">
        <v>160</v>
      </c>
      <c r="C113" s="10" t="s">
        <v>3000</v>
      </c>
      <c r="D113" s="10" t="s">
        <v>3002</v>
      </c>
      <c r="H113" s="5" t="e">
        <f>H112/H53</f>
        <v>#DIV/0!</v>
      </c>
      <c r="J113" s="5" t="s">
        <v>783</v>
      </c>
      <c r="M113" t="s">
        <v>3003</v>
      </c>
      <c r="P113" t="s">
        <v>164</v>
      </c>
    </row>
    <row r="114" customHeight="1" spans="1:16">
      <c r="A114" s="1"/>
      <c r="B114" s="1"/>
      <c r="C114" s="10"/>
      <c r="D114" s="10"/>
    </row>
    <row r="115" customHeight="1" spans="1:16">
      <c r="A115" s="11" t="s">
        <v>21</v>
      </c>
      <c r="B115" s="11" t="s">
        <v>15</v>
      </c>
      <c r="C115" s="11" t="s">
        <v>3004</v>
      </c>
      <c r="D115" s="11" t="s">
        <v>1231</v>
      </c>
      <c r="F115" t="s">
        <v>3005</v>
      </c>
      <c r="H115" s="5">
        <f>H116+H118</f>
        <v>0</v>
      </c>
      <c r="I115" s="5">
        <f>I116+I118</f>
        <v>0</v>
      </c>
      <c r="M115" t="s">
        <v>1233</v>
      </c>
    </row>
    <row r="116" customHeight="1" spans="1:16">
      <c r="A116" s="7" t="s">
        <v>26</v>
      </c>
      <c r="B116" s="11" t="s">
        <v>15</v>
      </c>
      <c r="C116" s="11" t="s">
        <v>3006</v>
      </c>
      <c r="D116" s="11" t="s">
        <v>1234</v>
      </c>
      <c r="F116" t="s">
        <v>3007</v>
      </c>
      <c r="I116" s="5">
        <f>I78*I117</f>
        <v>0</v>
      </c>
      <c r="J116" s="5" t="s">
        <v>1173</v>
      </c>
      <c r="M116" t="s">
        <v>756</v>
      </c>
    </row>
    <row r="117" customHeight="1" spans="1:16">
      <c r="A117" s="1" t="s">
        <v>236</v>
      </c>
      <c r="B117" s="1" t="s">
        <v>160</v>
      </c>
      <c r="C117" s="10" t="s">
        <v>3007</v>
      </c>
      <c r="D117" s="10" t="s">
        <v>1236</v>
      </c>
      <c r="H117" s="5" t="e">
        <f>H116/H78</f>
        <v>#DIV/0!</v>
      </c>
      <c r="J117" s="5" t="s">
        <v>783</v>
      </c>
      <c r="M117" t="s">
        <v>1237</v>
      </c>
      <c r="P117" t="s">
        <v>164</v>
      </c>
    </row>
    <row r="118" customHeight="1" spans="1:16">
      <c r="A118" s="7" t="s">
        <v>26</v>
      </c>
      <c r="B118" s="11" t="s">
        <v>15</v>
      </c>
      <c r="C118" s="11" t="s">
        <v>3008</v>
      </c>
      <c r="D118" s="11" t="s">
        <v>3009</v>
      </c>
      <c r="F118" t="s">
        <v>3010</v>
      </c>
      <c r="I118" s="5">
        <f>I79*I119</f>
        <v>0</v>
      </c>
      <c r="J118" s="5" t="s">
        <v>1173</v>
      </c>
      <c r="M118" t="s">
        <v>760</v>
      </c>
    </row>
    <row r="119" customHeight="1" spans="1:16">
      <c r="A119" s="1" t="s">
        <v>236</v>
      </c>
      <c r="B119" s="1" t="s">
        <v>160</v>
      </c>
      <c r="C119" s="10" t="s">
        <v>3010</v>
      </c>
      <c r="D119" s="10" t="s">
        <v>3011</v>
      </c>
      <c r="H119" s="5" t="e">
        <f>H118/H79</f>
        <v>#DIV/0!</v>
      </c>
      <c r="J119" s="5" t="s">
        <v>783</v>
      </c>
      <c r="M119" t="s">
        <v>3012</v>
      </c>
      <c r="P119" t="s">
        <v>164</v>
      </c>
    </row>
    <row r="120" customHeight="1" spans="1:16">
      <c r="A120" s="1"/>
      <c r="B120" s="1"/>
      <c r="C120" s="10"/>
      <c r="D120" s="10"/>
    </row>
    <row r="121" customHeight="1" spans="1:16">
      <c r="A121" s="11" t="s">
        <v>21</v>
      </c>
      <c r="B121" s="11" t="s">
        <v>15</v>
      </c>
      <c r="C121" s="11" t="s">
        <v>3013</v>
      </c>
      <c r="D121" s="11" t="s">
        <v>3014</v>
      </c>
      <c r="F121" t="s">
        <v>3015</v>
      </c>
      <c r="H121" s="5">
        <f>H122</f>
        <v>0</v>
      </c>
      <c r="I121" s="5">
        <f>I122</f>
        <v>0</v>
      </c>
      <c r="M121" t="s">
        <v>762</v>
      </c>
    </row>
    <row r="122" customHeight="1" spans="1:16">
      <c r="A122" s="7" t="s">
        <v>26</v>
      </c>
      <c r="B122" s="11" t="s">
        <v>15</v>
      </c>
      <c r="C122" s="11" t="s">
        <v>3015</v>
      </c>
      <c r="D122" s="11" t="s">
        <v>3016</v>
      </c>
      <c r="F122" t="s">
        <v>3017</v>
      </c>
      <c r="I122" s="5">
        <f>I81*I123</f>
        <v>0</v>
      </c>
      <c r="J122" s="5" t="s">
        <v>1173</v>
      </c>
      <c r="M122" t="s">
        <v>3018</v>
      </c>
    </row>
    <row r="123" customHeight="1" spans="1:16">
      <c r="A123" s="1" t="s">
        <v>236</v>
      </c>
      <c r="B123" s="1" t="s">
        <v>160</v>
      </c>
      <c r="C123" s="10" t="s">
        <v>3017</v>
      </c>
      <c r="D123" s="10" t="s">
        <v>3019</v>
      </c>
      <c r="H123" s="5" t="e">
        <f>H122/H81</f>
        <v>#DIV/0!</v>
      </c>
      <c r="J123" s="5" t="s">
        <v>783</v>
      </c>
      <c r="M123" t="s">
        <v>3020</v>
      </c>
      <c r="P123" t="s">
        <v>164</v>
      </c>
    </row>
    <row r="124" customHeight="1" spans="1:16">
      <c r="A124" s="1"/>
      <c r="B124" s="1"/>
      <c r="C124" s="10"/>
      <c r="D124" s="10"/>
    </row>
    <row r="125" customHeight="1" spans="1:16">
      <c r="A125" s="7" t="s">
        <v>14</v>
      </c>
      <c r="B125" s="7" t="s">
        <v>31</v>
      </c>
      <c r="C125" s="11" t="s">
        <v>3021</v>
      </c>
      <c r="D125" s="11" t="s">
        <v>1239</v>
      </c>
      <c r="E125" s="12"/>
      <c r="F125" s="12" t="s">
        <v>3022</v>
      </c>
      <c r="G125" s="12"/>
      <c r="H125" s="12">
        <f>H126+H138+H143+H146</f>
        <v>0</v>
      </c>
      <c r="I125" s="12">
        <f>I126+I138+I143+I146</f>
        <v>0</v>
      </c>
      <c r="J125" s="12"/>
      <c r="M125" t="s">
        <v>827</v>
      </c>
    </row>
    <row r="126" customHeight="1" spans="1:16">
      <c r="A126" s="7" t="s">
        <v>21</v>
      </c>
      <c r="B126" s="7" t="s">
        <v>31</v>
      </c>
      <c r="C126" s="11" t="s">
        <v>3023</v>
      </c>
      <c r="D126" s="11" t="s">
        <v>1242</v>
      </c>
      <c r="E126" s="12"/>
      <c r="F126" s="12" t="s">
        <v>3024</v>
      </c>
      <c r="G126" s="12"/>
      <c r="H126" s="12">
        <f>H127+H133+H135</f>
        <v>0</v>
      </c>
      <c r="I126" s="12">
        <f>I127+I133+I135</f>
        <v>0</v>
      </c>
      <c r="J126" s="12"/>
      <c r="M126" t="s">
        <v>1244</v>
      </c>
    </row>
    <row r="127" customHeight="1" spans="1:16">
      <c r="A127" s="13" t="s">
        <v>26</v>
      </c>
      <c r="B127" s="13" t="s">
        <v>31</v>
      </c>
      <c r="C127" s="14" t="s">
        <v>3025</v>
      </c>
      <c r="D127" s="14" t="s">
        <v>3026</v>
      </c>
      <c r="E127" s="15"/>
      <c r="F127" s="15" t="s">
        <v>3027</v>
      </c>
      <c r="G127" s="15"/>
      <c r="H127" s="15">
        <f>H129+H131</f>
        <v>0</v>
      </c>
      <c r="I127" s="15">
        <f>I129+I131</f>
        <v>0</v>
      </c>
      <c r="J127" s="15"/>
      <c r="M127" t="s">
        <v>1248</v>
      </c>
    </row>
    <row r="128" customHeight="1" spans="1:16">
      <c r="A128" s="1" t="s">
        <v>236</v>
      </c>
      <c r="B128" s="1" t="s">
        <v>160</v>
      </c>
      <c r="C128" s="10" t="s">
        <v>3028</v>
      </c>
      <c r="D128" s="10" t="s">
        <v>3029</v>
      </c>
      <c r="H128" s="5" t="e">
        <f>H127/H48</f>
        <v>#DIV/0!</v>
      </c>
      <c r="I128" s="5" t="e">
        <f>I127/I48</f>
        <v>#DIV/0!</v>
      </c>
      <c r="J128" s="5" t="s">
        <v>783</v>
      </c>
      <c r="M128" t="s">
        <v>1250</v>
      </c>
      <c r="P128" t="s">
        <v>164</v>
      </c>
    </row>
    <row r="129" customHeight="1" spans="1:16">
      <c r="A129" s="1" t="s">
        <v>236</v>
      </c>
      <c r="B129" s="1" t="s">
        <v>31</v>
      </c>
      <c r="C129" s="10" t="s">
        <v>3030</v>
      </c>
      <c r="D129" s="10" t="s">
        <v>3031</v>
      </c>
      <c r="F129" t="s">
        <v>3032</v>
      </c>
      <c r="I129" s="5">
        <f>I49*I130</f>
        <v>0</v>
      </c>
      <c r="J129" s="5" t="s">
        <v>1173</v>
      </c>
      <c r="M129" t="s">
        <v>3033</v>
      </c>
    </row>
    <row r="130" customHeight="1" spans="1:16">
      <c r="A130" s="1" t="s">
        <v>241</v>
      </c>
      <c r="B130" s="1" t="s">
        <v>160</v>
      </c>
      <c r="C130" s="10" t="s">
        <v>3032</v>
      </c>
      <c r="D130" s="10" t="s">
        <v>3034</v>
      </c>
      <c r="H130" s="5" t="e">
        <f>H129/H49</f>
        <v>#DIV/0!</v>
      </c>
      <c r="J130" s="5" t="s">
        <v>783</v>
      </c>
      <c r="M130" t="s">
        <v>3035</v>
      </c>
      <c r="P130" t="s">
        <v>164</v>
      </c>
    </row>
    <row r="131" customHeight="1" spans="1:16">
      <c r="A131" s="1" t="s">
        <v>236</v>
      </c>
      <c r="B131" s="1" t="s">
        <v>31</v>
      </c>
      <c r="C131" s="10" t="s">
        <v>3036</v>
      </c>
      <c r="D131" s="10" t="s">
        <v>3037</v>
      </c>
      <c r="F131" t="s">
        <v>3038</v>
      </c>
      <c r="I131" s="5">
        <f>I50*I132</f>
        <v>0</v>
      </c>
      <c r="J131" s="5" t="s">
        <v>1173</v>
      </c>
      <c r="M131" t="s">
        <v>3039</v>
      </c>
    </row>
    <row r="132" customHeight="1" spans="1:16">
      <c r="A132" s="1" t="s">
        <v>241</v>
      </c>
      <c r="B132" s="1" t="s">
        <v>160</v>
      </c>
      <c r="C132" s="10" t="s">
        <v>3038</v>
      </c>
      <c r="D132" s="10" t="s">
        <v>3040</v>
      </c>
      <c r="H132" s="5" t="e">
        <f>H131/H50</f>
        <v>#DIV/0!</v>
      </c>
      <c r="J132" s="5" t="s">
        <v>783</v>
      </c>
      <c r="M132" t="s">
        <v>3041</v>
      </c>
      <c r="P132" t="s">
        <v>164</v>
      </c>
    </row>
    <row r="133" customHeight="1" spans="1:16">
      <c r="A133" s="13" t="s">
        <v>26</v>
      </c>
      <c r="B133" s="13" t="s">
        <v>31</v>
      </c>
      <c r="C133" s="14" t="s">
        <v>3042</v>
      </c>
      <c r="D133" s="14" t="s">
        <v>3043</v>
      </c>
      <c r="E133" s="15"/>
      <c r="F133" s="15" t="s">
        <v>3044</v>
      </c>
      <c r="G133" s="15"/>
      <c r="H133" s="15"/>
      <c r="I133" s="15">
        <f>I52*I134</f>
        <v>0</v>
      </c>
      <c r="J133" s="15" t="s">
        <v>1173</v>
      </c>
      <c r="M133" t="s">
        <v>1254</v>
      </c>
    </row>
    <row r="134" customHeight="1" spans="1:16">
      <c r="A134" s="1" t="s">
        <v>236</v>
      </c>
      <c r="B134" s="1" t="s">
        <v>160</v>
      </c>
      <c r="C134" s="10" t="s">
        <v>3044</v>
      </c>
      <c r="D134" s="10" t="s">
        <v>3045</v>
      </c>
      <c r="H134" s="5" t="e">
        <f>H133/H52</f>
        <v>#DIV/0!</v>
      </c>
      <c r="J134" s="5" t="s">
        <v>783</v>
      </c>
      <c r="M134" t="s">
        <v>1256</v>
      </c>
      <c r="P134" t="s">
        <v>164</v>
      </c>
    </row>
    <row r="135" customHeight="1" spans="1:16">
      <c r="A135" s="13" t="s">
        <v>26</v>
      </c>
      <c r="B135" s="13" t="s">
        <v>31</v>
      </c>
      <c r="C135" s="14" t="s">
        <v>3046</v>
      </c>
      <c r="D135" s="14" t="s">
        <v>3047</v>
      </c>
      <c r="E135" s="15"/>
      <c r="F135" s="15" t="s">
        <v>3048</v>
      </c>
      <c r="G135" s="15"/>
      <c r="H135" s="15"/>
      <c r="I135" s="15">
        <f>I53*I136</f>
        <v>0</v>
      </c>
      <c r="J135" s="15" t="s">
        <v>1173</v>
      </c>
      <c r="M135" t="s">
        <v>3049</v>
      </c>
    </row>
    <row r="136" customHeight="1" spans="1:16">
      <c r="A136" s="1" t="s">
        <v>236</v>
      </c>
      <c r="B136" s="1" t="s">
        <v>160</v>
      </c>
      <c r="C136" s="10" t="s">
        <v>3048</v>
      </c>
      <c r="D136" s="10" t="s">
        <v>3050</v>
      </c>
      <c r="H136" s="5" t="e">
        <f>H135/H53</f>
        <v>#DIV/0!</v>
      </c>
      <c r="J136" s="5" t="s">
        <v>783</v>
      </c>
      <c r="M136" t="s">
        <v>3051</v>
      </c>
      <c r="P136" t="s">
        <v>164</v>
      </c>
    </row>
    <row r="137" customHeight="1" spans="1:16">
      <c r="A137" s="1"/>
      <c r="B137" s="1"/>
      <c r="C137" s="10"/>
      <c r="D137" s="10"/>
    </row>
    <row r="138" s="12" customFormat="1" customHeight="1" spans="1:16">
      <c r="A138" s="7" t="s">
        <v>21</v>
      </c>
      <c r="B138" s="7" t="s">
        <v>31</v>
      </c>
      <c r="C138" s="11" t="s">
        <v>3052</v>
      </c>
      <c r="D138" s="11" t="s">
        <v>1258</v>
      </c>
      <c r="F138" t="s">
        <v>3053</v>
      </c>
      <c r="H138" s="12">
        <f>H139+H141</f>
        <v>0</v>
      </c>
      <c r="I138" s="12">
        <f>I139+I141</f>
        <v>0</v>
      </c>
      <c r="M138" t="s">
        <v>1260</v>
      </c>
    </row>
    <row r="139" customHeight="1" spans="1:16">
      <c r="A139" s="1" t="s">
        <v>26</v>
      </c>
      <c r="B139" s="1" t="s">
        <v>31</v>
      </c>
      <c r="C139" s="10" t="s">
        <v>3054</v>
      </c>
      <c r="D139" s="10" t="s">
        <v>1261</v>
      </c>
      <c r="F139" t="s">
        <v>3055</v>
      </c>
      <c r="I139" s="5">
        <f>I78*I140</f>
        <v>0</v>
      </c>
      <c r="J139" s="5" t="s">
        <v>1173</v>
      </c>
      <c r="M139" t="s">
        <v>1263</v>
      </c>
    </row>
    <row r="140" customHeight="1" spans="1:16">
      <c r="A140" s="1" t="s">
        <v>236</v>
      </c>
      <c r="B140" s="1" t="s">
        <v>160</v>
      </c>
      <c r="C140" s="10" t="s">
        <v>3055</v>
      </c>
      <c r="D140" s="10" t="s">
        <v>1264</v>
      </c>
      <c r="H140" s="5" t="e">
        <f>H139/H78</f>
        <v>#DIV/0!</v>
      </c>
      <c r="J140" s="5" t="s">
        <v>783</v>
      </c>
      <c r="M140" t="s">
        <v>1265</v>
      </c>
      <c r="P140" t="s">
        <v>164</v>
      </c>
    </row>
    <row r="141" customHeight="1" spans="1:16">
      <c r="A141" s="1" t="s">
        <v>26</v>
      </c>
      <c r="B141" s="1" t="s">
        <v>31</v>
      </c>
      <c r="C141" s="10" t="s">
        <v>3056</v>
      </c>
      <c r="D141" s="10" t="s">
        <v>3057</v>
      </c>
      <c r="F141" t="s">
        <v>3058</v>
      </c>
      <c r="I141" s="5">
        <f>I79*I142</f>
        <v>0</v>
      </c>
      <c r="J141" s="5" t="s">
        <v>1173</v>
      </c>
      <c r="M141" t="s">
        <v>3059</v>
      </c>
    </row>
    <row r="142" customHeight="1" spans="1:16">
      <c r="A142" s="1" t="s">
        <v>236</v>
      </c>
      <c r="B142" s="1" t="s">
        <v>160</v>
      </c>
      <c r="C142" s="10" t="s">
        <v>3058</v>
      </c>
      <c r="D142" s="10" t="s">
        <v>3060</v>
      </c>
      <c r="H142" s="5" t="e">
        <f>H141/H79</f>
        <v>#DIV/0!</v>
      </c>
      <c r="J142" s="5" t="s">
        <v>783</v>
      </c>
      <c r="M142" t="s">
        <v>3061</v>
      </c>
      <c r="P142" t="s">
        <v>164</v>
      </c>
    </row>
    <row r="143" s="12" customFormat="1" customHeight="1" spans="1:16">
      <c r="A143" s="7" t="s">
        <v>21</v>
      </c>
      <c r="B143" s="7" t="s">
        <v>31</v>
      </c>
      <c r="C143" s="11" t="s">
        <v>3062</v>
      </c>
      <c r="D143" s="11" t="s">
        <v>3063</v>
      </c>
      <c r="F143" t="s">
        <v>3064</v>
      </c>
      <c r="H143" s="12">
        <f>H144</f>
        <v>0</v>
      </c>
      <c r="I143" s="12">
        <f>I144</f>
        <v>0</v>
      </c>
      <c r="M143" t="s">
        <v>3065</v>
      </c>
    </row>
    <row r="144" customHeight="1" spans="1:16">
      <c r="A144" s="1" t="s">
        <v>26</v>
      </c>
      <c r="B144" s="1" t="s">
        <v>31</v>
      </c>
      <c r="C144" s="10" t="s">
        <v>3064</v>
      </c>
      <c r="D144" s="10" t="s">
        <v>3066</v>
      </c>
      <c r="F144" t="s">
        <v>3067</v>
      </c>
      <c r="I144" s="5">
        <f>I81*I145</f>
        <v>0</v>
      </c>
      <c r="J144" s="5" t="s">
        <v>1173</v>
      </c>
      <c r="M144" t="s">
        <v>3068</v>
      </c>
    </row>
    <row r="145" customHeight="1" spans="1:16">
      <c r="A145" s="1" t="s">
        <v>236</v>
      </c>
      <c r="B145" s="1" t="s">
        <v>160</v>
      </c>
      <c r="C145" s="10" t="s">
        <v>3067</v>
      </c>
      <c r="D145" s="10" t="s">
        <v>3069</v>
      </c>
      <c r="H145" s="5" t="e">
        <f>H144/H81</f>
        <v>#DIV/0!</v>
      </c>
      <c r="J145" s="5" t="s">
        <v>783</v>
      </c>
      <c r="M145" t="s">
        <v>3070</v>
      </c>
      <c r="P145" t="s">
        <v>164</v>
      </c>
    </row>
    <row r="146" s="12" customFormat="1" customHeight="1" spans="1:16">
      <c r="A146" s="7" t="s">
        <v>21</v>
      </c>
      <c r="B146" s="7" t="s">
        <v>31</v>
      </c>
      <c r="C146" s="11" t="s">
        <v>3071</v>
      </c>
      <c r="D146" s="11" t="s">
        <v>1267</v>
      </c>
      <c r="F146" t="s">
        <v>3072</v>
      </c>
      <c r="H146" s="12">
        <f>H147</f>
        <v>0</v>
      </c>
      <c r="I146" s="12">
        <f>I147</f>
        <v>0</v>
      </c>
      <c r="M146" t="s">
        <v>1269</v>
      </c>
    </row>
    <row r="147" customHeight="1" spans="1:16">
      <c r="A147" s="1" t="s">
        <v>26</v>
      </c>
      <c r="B147" s="1" t="s">
        <v>31</v>
      </c>
      <c r="C147" s="10" t="s">
        <v>3072</v>
      </c>
      <c r="D147" s="10" t="s">
        <v>1996</v>
      </c>
      <c r="M147" t="s">
        <v>1271</v>
      </c>
      <c r="P147" t="s">
        <v>43</v>
      </c>
    </row>
    <row r="148" customHeight="1" spans="1:16">
      <c r="A148" s="1"/>
      <c r="B148" s="1"/>
      <c r="C148" s="10"/>
      <c r="D148" s="10"/>
    </row>
    <row r="149" customHeight="1" spans="1:16">
      <c r="A149" s="7" t="s">
        <v>14</v>
      </c>
      <c r="B149" s="7" t="s">
        <v>31</v>
      </c>
      <c r="C149" s="11" t="s">
        <v>3073</v>
      </c>
      <c r="D149" s="11" t="s">
        <v>1273</v>
      </c>
      <c r="E149" s="12"/>
      <c r="F149" s="12" t="s">
        <v>3074</v>
      </c>
      <c r="G149" s="12"/>
      <c r="H149" s="12">
        <f>H150+H156</f>
        <v>0</v>
      </c>
      <c r="I149" s="12">
        <f>I150+I156</f>
        <v>0</v>
      </c>
      <c r="J149" s="12"/>
      <c r="M149" t="s">
        <v>35</v>
      </c>
    </row>
    <row r="150" customHeight="1" spans="1:16">
      <c r="A150" s="11" t="s">
        <v>21</v>
      </c>
      <c r="B150" s="11" t="s">
        <v>31</v>
      </c>
      <c r="C150" s="11" t="s">
        <v>3075</v>
      </c>
      <c r="D150" s="11" t="s">
        <v>1276</v>
      </c>
      <c r="F150" t="s">
        <v>3076</v>
      </c>
      <c r="H150" s="5">
        <f>H152+H154</f>
        <v>0</v>
      </c>
      <c r="I150" s="5">
        <f>I152+I154</f>
        <v>0</v>
      </c>
      <c r="M150" t="s">
        <v>767</v>
      </c>
    </row>
    <row r="151" customHeight="1" spans="1:16">
      <c r="A151" s="10" t="s">
        <v>26</v>
      </c>
      <c r="B151" s="10" t="s">
        <v>160</v>
      </c>
      <c r="C151" s="10" t="s">
        <v>3077</v>
      </c>
      <c r="D151" s="10" t="s">
        <v>1278</v>
      </c>
      <c r="H151" s="5" t="e">
        <f>H150/H67</f>
        <v>#DIV/0!</v>
      </c>
      <c r="I151" s="5" t="e">
        <f>I150/I67</f>
        <v>#DIV/0!</v>
      </c>
      <c r="J151" s="5" t="s">
        <v>783</v>
      </c>
      <c r="M151" t="s">
        <v>1279</v>
      </c>
      <c r="P151" t="s">
        <v>164</v>
      </c>
    </row>
    <row r="152" s="5" customFormat="1" customHeight="1" spans="1:16">
      <c r="A152" s="10" t="s">
        <v>26</v>
      </c>
      <c r="B152" s="11" t="s">
        <v>31</v>
      </c>
      <c r="C152" s="10" t="s">
        <v>3078</v>
      </c>
      <c r="D152" s="10" t="s">
        <v>3079</v>
      </c>
      <c r="F152" t="s">
        <v>3080</v>
      </c>
      <c r="I152" s="5">
        <f>I68*I153</f>
        <v>0</v>
      </c>
      <c r="J152" s="5" t="s">
        <v>1173</v>
      </c>
      <c r="M152" t="s">
        <v>1686</v>
      </c>
    </row>
    <row r="153" customHeight="1" spans="1:16">
      <c r="A153" s="10" t="s">
        <v>236</v>
      </c>
      <c r="B153" s="10" t="s">
        <v>160</v>
      </c>
      <c r="C153" s="10" t="s">
        <v>3080</v>
      </c>
      <c r="D153" s="10" t="s">
        <v>3081</v>
      </c>
      <c r="H153" s="5" t="e">
        <f>H152/H68</f>
        <v>#DIV/0!</v>
      </c>
      <c r="J153" s="5" t="s">
        <v>783</v>
      </c>
      <c r="M153" t="s">
        <v>1689</v>
      </c>
      <c r="P153" t="s">
        <v>164</v>
      </c>
    </row>
    <row r="154" customHeight="1" spans="1:16">
      <c r="A154" s="10" t="s">
        <v>26</v>
      </c>
      <c r="B154" s="10" t="s">
        <v>31</v>
      </c>
      <c r="C154" s="10" t="s">
        <v>3082</v>
      </c>
      <c r="D154" s="10" t="s">
        <v>3083</v>
      </c>
      <c r="F154" t="s">
        <v>3084</v>
      </c>
      <c r="I154" s="5">
        <f>I69*I155</f>
        <v>0</v>
      </c>
      <c r="J154" s="5" t="s">
        <v>1173</v>
      </c>
      <c r="M154" t="s">
        <v>1699</v>
      </c>
    </row>
    <row r="155" customHeight="1" spans="1:16">
      <c r="A155" s="10" t="s">
        <v>236</v>
      </c>
      <c r="B155" s="10" t="s">
        <v>160</v>
      </c>
      <c r="C155" s="10" t="s">
        <v>3084</v>
      </c>
      <c r="D155" s="10" t="s">
        <v>3085</v>
      </c>
      <c r="H155" s="5" t="e">
        <f>H154/H69</f>
        <v>#DIV/0!</v>
      </c>
      <c r="J155" s="5" t="s">
        <v>783</v>
      </c>
      <c r="M155" t="s">
        <v>1702</v>
      </c>
      <c r="P155" t="s">
        <v>164</v>
      </c>
    </row>
    <row r="156" customHeight="1" spans="1:16">
      <c r="A156" s="7" t="s">
        <v>21</v>
      </c>
      <c r="B156" s="7" t="s">
        <v>31</v>
      </c>
      <c r="C156" s="11" t="s">
        <v>3086</v>
      </c>
      <c r="D156" s="11" t="s">
        <v>2002</v>
      </c>
      <c r="F156" t="s">
        <v>3087</v>
      </c>
      <c r="H156" s="5">
        <f>H157+H159</f>
        <v>0</v>
      </c>
      <c r="I156" s="5">
        <f>I157+I159</f>
        <v>0</v>
      </c>
      <c r="M156" t="s">
        <v>1283</v>
      </c>
    </row>
    <row r="157" customHeight="1" spans="1:16">
      <c r="A157" s="1" t="s">
        <v>26</v>
      </c>
      <c r="B157" s="1" t="s">
        <v>31</v>
      </c>
      <c r="C157" s="10" t="s">
        <v>3088</v>
      </c>
      <c r="D157" s="10" t="s">
        <v>2004</v>
      </c>
      <c r="F157" t="s">
        <v>3089</v>
      </c>
      <c r="I157" s="5">
        <f>I86*I158</f>
        <v>0</v>
      </c>
      <c r="J157" s="5" t="s">
        <v>1173</v>
      </c>
      <c r="M157" t="s">
        <v>771</v>
      </c>
    </row>
    <row r="158" customHeight="1" spans="1:16">
      <c r="A158" s="10" t="s">
        <v>236</v>
      </c>
      <c r="B158" s="1" t="s">
        <v>160</v>
      </c>
      <c r="C158" s="10" t="s">
        <v>3089</v>
      </c>
      <c r="D158" s="10" t="s">
        <v>2006</v>
      </c>
      <c r="H158" s="5" t="e">
        <f>H157/H86</f>
        <v>#DIV/0!</v>
      </c>
      <c r="J158" s="5" t="s">
        <v>783</v>
      </c>
      <c r="M158" t="s">
        <v>1287</v>
      </c>
      <c r="P158" t="s">
        <v>164</v>
      </c>
    </row>
    <row r="159" customHeight="1" spans="1:16">
      <c r="A159" s="1" t="s">
        <v>26</v>
      </c>
      <c r="B159" s="1" t="s">
        <v>31</v>
      </c>
      <c r="C159" s="10" t="s">
        <v>3090</v>
      </c>
      <c r="D159" s="10" t="s">
        <v>3091</v>
      </c>
      <c r="F159" t="s">
        <v>3092</v>
      </c>
      <c r="I159" s="5">
        <f>I87*I160</f>
        <v>0</v>
      </c>
      <c r="J159" s="5" t="s">
        <v>1173</v>
      </c>
      <c r="M159" t="s">
        <v>777</v>
      </c>
    </row>
    <row r="160" customHeight="1" spans="1:16">
      <c r="A160" s="10" t="s">
        <v>236</v>
      </c>
      <c r="B160" s="1" t="s">
        <v>160</v>
      </c>
      <c r="C160" s="10" t="s">
        <v>3092</v>
      </c>
      <c r="D160" s="10" t="s">
        <v>3093</v>
      </c>
      <c r="H160" s="5" t="e">
        <f>H159/H87</f>
        <v>#DIV/0!</v>
      </c>
      <c r="J160" s="5" t="s">
        <v>783</v>
      </c>
      <c r="M160" t="s">
        <v>3094</v>
      </c>
      <c r="P160" t="s">
        <v>164</v>
      </c>
    </row>
    <row r="161" customHeight="1" spans="1:16">
      <c r="A161" s="10"/>
      <c r="B161" s="10"/>
      <c r="C161" s="10"/>
      <c r="D161" s="10"/>
    </row>
    <row r="162" customHeight="1" spans="1:16">
      <c r="A162" s="11" t="s">
        <v>14</v>
      </c>
      <c r="B162" s="11" t="s">
        <v>15</v>
      </c>
      <c r="C162" s="11" t="s">
        <v>3095</v>
      </c>
      <c r="D162" s="11" t="s">
        <v>1289</v>
      </c>
      <c r="F162" t="s">
        <v>3096</v>
      </c>
      <c r="H162" s="5">
        <f>H163+H169+H174</f>
        <v>0</v>
      </c>
      <c r="I162" s="5">
        <f>I163+I169+I174</f>
        <v>0</v>
      </c>
      <c r="M162" t="s">
        <v>834</v>
      </c>
    </row>
    <row r="163" customHeight="1" spans="1:16">
      <c r="A163" s="11" t="s">
        <v>21</v>
      </c>
      <c r="B163" s="11" t="s">
        <v>15</v>
      </c>
      <c r="C163" s="11" t="s">
        <v>3097</v>
      </c>
      <c r="D163" s="11" t="s">
        <v>1292</v>
      </c>
      <c r="F163" t="s">
        <v>3098</v>
      </c>
      <c r="H163" s="5">
        <f>H165+H167</f>
        <v>0</v>
      </c>
      <c r="I163" s="5">
        <f>I165+I167</f>
        <v>0</v>
      </c>
      <c r="M163" t="s">
        <v>1294</v>
      </c>
    </row>
    <row r="164" customHeight="1" spans="1:16">
      <c r="A164" s="10" t="s">
        <v>26</v>
      </c>
      <c r="B164" s="10" t="s">
        <v>160</v>
      </c>
      <c r="C164" s="10" t="s">
        <v>3099</v>
      </c>
      <c r="D164" s="10" t="s">
        <v>1295</v>
      </c>
      <c r="H164" s="5" t="e">
        <f>H163/H67</f>
        <v>#DIV/0!</v>
      </c>
      <c r="I164" s="5" t="e">
        <f>I163/I67</f>
        <v>#DIV/0!</v>
      </c>
      <c r="J164" s="5" t="s">
        <v>783</v>
      </c>
      <c r="M164" t="s">
        <v>1296</v>
      </c>
      <c r="P164" t="s">
        <v>164</v>
      </c>
    </row>
    <row r="165" customHeight="1" spans="1:16">
      <c r="A165" s="10" t="s">
        <v>26</v>
      </c>
      <c r="B165" s="10" t="s">
        <v>15</v>
      </c>
      <c r="C165" s="10" t="s">
        <v>3100</v>
      </c>
      <c r="D165" s="10" t="s">
        <v>3101</v>
      </c>
      <c r="F165" t="s">
        <v>3102</v>
      </c>
      <c r="I165" s="5">
        <f>I68*I166</f>
        <v>0</v>
      </c>
      <c r="J165" s="5" t="s">
        <v>1173</v>
      </c>
      <c r="M165" t="s">
        <v>2284</v>
      </c>
    </row>
    <row r="166" customHeight="1" spans="1:16">
      <c r="A166" s="10" t="s">
        <v>236</v>
      </c>
      <c r="B166" s="10" t="s">
        <v>160</v>
      </c>
      <c r="C166" s="10" t="s">
        <v>3102</v>
      </c>
      <c r="D166" s="10" t="s">
        <v>3103</v>
      </c>
      <c r="H166" s="5" t="e">
        <f>H15/H68</f>
        <v>#DIV/0!</v>
      </c>
      <c r="J166" s="5" t="s">
        <v>783</v>
      </c>
      <c r="M166" t="s">
        <v>2286</v>
      </c>
      <c r="P166" t="s">
        <v>164</v>
      </c>
    </row>
    <row r="167" customHeight="1" spans="1:16">
      <c r="A167" s="10" t="s">
        <v>26</v>
      </c>
      <c r="B167" s="10" t="s">
        <v>15</v>
      </c>
      <c r="C167" s="10" t="s">
        <v>3104</v>
      </c>
      <c r="D167" s="10" t="s">
        <v>3105</v>
      </c>
      <c r="F167" t="s">
        <v>3106</v>
      </c>
      <c r="I167" s="5">
        <f>I69*I168</f>
        <v>0</v>
      </c>
      <c r="J167" s="5" t="s">
        <v>1173</v>
      </c>
      <c r="M167" t="s">
        <v>2290</v>
      </c>
    </row>
    <row r="168" customHeight="1" spans="1:16">
      <c r="A168" s="10" t="s">
        <v>236</v>
      </c>
      <c r="B168" s="10" t="s">
        <v>160</v>
      </c>
      <c r="C168" s="10" t="s">
        <v>3106</v>
      </c>
      <c r="D168" s="10" t="s">
        <v>3107</v>
      </c>
      <c r="H168" s="5" t="e">
        <f>H167/H69</f>
        <v>#DIV/0!</v>
      </c>
      <c r="J168" s="5" t="s">
        <v>783</v>
      </c>
      <c r="M168" t="s">
        <v>2292</v>
      </c>
      <c r="P168" t="s">
        <v>164</v>
      </c>
    </row>
    <row r="169" customHeight="1" spans="1:16">
      <c r="A169" s="11" t="s">
        <v>21</v>
      </c>
      <c r="B169" s="11" t="s">
        <v>15</v>
      </c>
      <c r="C169" s="11" t="s">
        <v>3108</v>
      </c>
      <c r="D169" s="11" t="s">
        <v>1298</v>
      </c>
      <c r="F169" t="s">
        <v>3109</v>
      </c>
      <c r="H169" s="5">
        <f>H170+H172</f>
        <v>0</v>
      </c>
      <c r="I169" s="5">
        <f>I170+I172</f>
        <v>0</v>
      </c>
      <c r="M169" t="s">
        <v>1300</v>
      </c>
    </row>
    <row r="170" customHeight="1" spans="1:16">
      <c r="A170" s="10" t="s">
        <v>26</v>
      </c>
      <c r="B170" s="10" t="s">
        <v>15</v>
      </c>
      <c r="C170" s="10" t="s">
        <v>3110</v>
      </c>
      <c r="D170" s="10" t="s">
        <v>1301</v>
      </c>
      <c r="F170" t="s">
        <v>3111</v>
      </c>
      <c r="I170" s="5">
        <f>I86*I171</f>
        <v>0</v>
      </c>
      <c r="J170" s="5" t="s">
        <v>1173</v>
      </c>
      <c r="M170" t="s">
        <v>1303</v>
      </c>
    </row>
    <row r="171" customHeight="1" spans="1:16">
      <c r="A171" s="10" t="s">
        <v>236</v>
      </c>
      <c r="B171" s="10" t="s">
        <v>160</v>
      </c>
      <c r="C171" s="10" t="s">
        <v>3111</v>
      </c>
      <c r="D171" s="10" t="s">
        <v>1304</v>
      </c>
      <c r="H171" s="5" t="e">
        <f>H170/H86</f>
        <v>#DIV/0!</v>
      </c>
      <c r="J171" s="5" t="s">
        <v>783</v>
      </c>
      <c r="M171" t="s">
        <v>1305</v>
      </c>
      <c r="P171" t="s">
        <v>164</v>
      </c>
    </row>
    <row r="172" customHeight="1" spans="1:16">
      <c r="A172" s="10" t="s">
        <v>26</v>
      </c>
      <c r="B172" s="10" t="s">
        <v>15</v>
      </c>
      <c r="C172" s="10" t="s">
        <v>3112</v>
      </c>
      <c r="D172" s="10" t="s">
        <v>3113</v>
      </c>
      <c r="F172" t="s">
        <v>3114</v>
      </c>
      <c r="I172" s="5">
        <f>I87*I173</f>
        <v>0</v>
      </c>
      <c r="J172" s="5" t="s">
        <v>1173</v>
      </c>
      <c r="M172" t="s">
        <v>3115</v>
      </c>
    </row>
    <row r="173" customHeight="1" spans="1:16">
      <c r="A173" s="10" t="s">
        <v>236</v>
      </c>
      <c r="B173" s="10" t="s">
        <v>160</v>
      </c>
      <c r="C173" s="10" t="s">
        <v>3114</v>
      </c>
      <c r="D173" s="10" t="s">
        <v>3116</v>
      </c>
      <c r="H173" s="5" t="e">
        <f>H172/H87</f>
        <v>#DIV/0!</v>
      </c>
      <c r="J173" s="5" t="s">
        <v>783</v>
      </c>
      <c r="M173" t="s">
        <v>3117</v>
      </c>
      <c r="P173" t="s">
        <v>164</v>
      </c>
    </row>
    <row r="174" customHeight="1" spans="1:16">
      <c r="A174" s="11" t="s">
        <v>21</v>
      </c>
      <c r="B174" s="11" t="s">
        <v>15</v>
      </c>
      <c r="C174" s="11" t="s">
        <v>3118</v>
      </c>
      <c r="D174" s="11" t="s">
        <v>1746</v>
      </c>
      <c r="F174" t="s">
        <v>3119</v>
      </c>
      <c r="H174" s="5">
        <f>H175</f>
        <v>0</v>
      </c>
      <c r="I174" s="5">
        <f>I175</f>
        <v>0</v>
      </c>
      <c r="M174" t="s">
        <v>2016</v>
      </c>
    </row>
    <row r="175" customHeight="1" spans="1:16">
      <c r="A175" s="10" t="s">
        <v>26</v>
      </c>
      <c r="B175" s="10" t="s">
        <v>15</v>
      </c>
      <c r="C175" s="10" t="s">
        <v>3119</v>
      </c>
      <c r="D175" s="10" t="s">
        <v>2017</v>
      </c>
      <c r="M175" t="s">
        <v>2019</v>
      </c>
      <c r="P175" t="s">
        <v>43</v>
      </c>
    </row>
    <row r="176" customHeight="1" spans="1:16">
      <c r="A176" s="10"/>
      <c r="B176" s="10"/>
      <c r="C176" s="10"/>
      <c r="D176" s="10"/>
    </row>
    <row r="177" customHeight="1" spans="1:16">
      <c r="A177" s="11" t="s">
        <v>14</v>
      </c>
      <c r="B177" s="11" t="s">
        <v>15</v>
      </c>
      <c r="C177" s="11" t="s">
        <v>3120</v>
      </c>
      <c r="D177" s="11" t="s">
        <v>1307</v>
      </c>
      <c r="F177" t="s">
        <v>3121</v>
      </c>
      <c r="I177" s="5">
        <f>I178+I183+I184+I185+I186+I189+I190+I191</f>
        <v>0</v>
      </c>
      <c r="M177" t="s">
        <v>42</v>
      </c>
    </row>
    <row r="178" customHeight="1" spans="1:16">
      <c r="A178" s="11" t="s">
        <v>21</v>
      </c>
      <c r="B178" s="11" t="s">
        <v>15</v>
      </c>
      <c r="C178" s="11" t="s">
        <v>3122</v>
      </c>
      <c r="D178" s="11" t="s">
        <v>2032</v>
      </c>
      <c r="F178" t="s">
        <v>3123</v>
      </c>
      <c r="H178" s="5">
        <f>H180+H182</f>
        <v>0</v>
      </c>
      <c r="I178" s="5">
        <f>I180+I182</f>
        <v>0</v>
      </c>
      <c r="M178" t="s">
        <v>1312</v>
      </c>
    </row>
    <row r="179" customHeight="1" spans="1:16">
      <c r="A179" s="10" t="s">
        <v>26</v>
      </c>
      <c r="B179" s="10" t="s">
        <v>160</v>
      </c>
      <c r="C179" s="10" t="s">
        <v>3124</v>
      </c>
      <c r="D179" s="10" t="s">
        <v>2034</v>
      </c>
      <c r="H179" s="5" t="e">
        <f>H178/H54</f>
        <v>#DIV/0!</v>
      </c>
      <c r="I179" s="5" t="e">
        <f>I178/I54</f>
        <v>#DIV/0!</v>
      </c>
      <c r="J179" s="5" t="s">
        <v>783</v>
      </c>
      <c r="M179" t="s">
        <v>1315</v>
      </c>
      <c r="P179" t="s">
        <v>164</v>
      </c>
    </row>
    <row r="180" customHeight="1" spans="1:16">
      <c r="A180" s="10" t="s">
        <v>26</v>
      </c>
      <c r="B180" s="10" t="s">
        <v>15</v>
      </c>
      <c r="C180" s="10" t="s">
        <v>3125</v>
      </c>
      <c r="D180" s="10" t="s">
        <v>3126</v>
      </c>
      <c r="F180" t="s">
        <v>3127</v>
      </c>
      <c r="M180" t="s">
        <v>1319</v>
      </c>
    </row>
    <row r="181" customHeight="1" spans="1:16">
      <c r="A181" s="10" t="s">
        <v>236</v>
      </c>
      <c r="B181" s="10" t="s">
        <v>160</v>
      </c>
      <c r="C181" s="10" t="s">
        <v>3127</v>
      </c>
      <c r="D181" s="10" t="s">
        <v>3128</v>
      </c>
      <c r="H181" s="5" t="e">
        <f>H180/H54</f>
        <v>#DIV/0!</v>
      </c>
      <c r="I181" s="5" t="e">
        <f>I180/I54</f>
        <v>#DIV/0!</v>
      </c>
      <c r="J181" s="5" t="s">
        <v>783</v>
      </c>
      <c r="M181" t="s">
        <v>1322</v>
      </c>
      <c r="P181" t="s">
        <v>164</v>
      </c>
    </row>
    <row r="182" customHeight="1" spans="1:16">
      <c r="A182" s="10" t="s">
        <v>26</v>
      </c>
      <c r="B182" s="10" t="s">
        <v>15</v>
      </c>
      <c r="C182" s="10" t="s">
        <v>3129</v>
      </c>
      <c r="D182" s="10" t="s">
        <v>3130</v>
      </c>
      <c r="M182" t="s">
        <v>1334</v>
      </c>
      <c r="P182" t="s">
        <v>43</v>
      </c>
    </row>
    <row r="183" customHeight="1" spans="1:16">
      <c r="A183" s="11" t="s">
        <v>21</v>
      </c>
      <c r="B183" s="11" t="s">
        <v>15</v>
      </c>
      <c r="C183" s="11" t="s">
        <v>3131</v>
      </c>
      <c r="D183" s="11" t="s">
        <v>3132</v>
      </c>
      <c r="M183" t="s">
        <v>1350</v>
      </c>
      <c r="P183" t="s">
        <v>43</v>
      </c>
    </row>
    <row r="184" customHeight="1" spans="1:16">
      <c r="A184" s="11" t="s">
        <v>21</v>
      </c>
      <c r="B184" s="11" t="s">
        <v>15</v>
      </c>
      <c r="C184" s="11" t="s">
        <v>3133</v>
      </c>
      <c r="D184" s="11" t="s">
        <v>3134</v>
      </c>
      <c r="M184" t="s">
        <v>3135</v>
      </c>
      <c r="P184" t="s">
        <v>43</v>
      </c>
    </row>
    <row r="185" customHeight="1" spans="1:16">
      <c r="A185" s="11" t="s">
        <v>21</v>
      </c>
      <c r="B185" s="11" t="s">
        <v>15</v>
      </c>
      <c r="C185" s="11" t="s">
        <v>3136</v>
      </c>
      <c r="D185" s="11" t="s">
        <v>3137</v>
      </c>
      <c r="M185" t="s">
        <v>1353</v>
      </c>
      <c r="P185" t="s">
        <v>43</v>
      </c>
    </row>
    <row r="186" customHeight="1" spans="1:16">
      <c r="A186" s="11" t="s">
        <v>21</v>
      </c>
      <c r="B186" s="11" t="s">
        <v>15</v>
      </c>
      <c r="C186" s="11" t="s">
        <v>3138</v>
      </c>
      <c r="D186" s="11" t="s">
        <v>3139</v>
      </c>
      <c r="F186" t="s">
        <v>3140</v>
      </c>
      <c r="M186" t="s">
        <v>1759</v>
      </c>
    </row>
    <row r="187" customHeight="1" spans="1:16">
      <c r="A187" s="10" t="s">
        <v>26</v>
      </c>
      <c r="B187" s="10" t="s">
        <v>15</v>
      </c>
      <c r="C187" s="10" t="s">
        <v>3141</v>
      </c>
      <c r="D187" s="10" t="s">
        <v>3142</v>
      </c>
      <c r="M187" t="s">
        <v>1761</v>
      </c>
      <c r="P187" t="s">
        <v>43</v>
      </c>
    </row>
    <row r="188" customHeight="1" spans="1:16">
      <c r="A188" s="10" t="s">
        <v>26</v>
      </c>
      <c r="B188" s="10" t="s">
        <v>15</v>
      </c>
      <c r="C188" s="10" t="s">
        <v>3143</v>
      </c>
      <c r="D188" s="10" t="s">
        <v>3144</v>
      </c>
      <c r="M188" t="s">
        <v>3145</v>
      </c>
      <c r="P188" t="s">
        <v>43</v>
      </c>
    </row>
    <row r="189" customHeight="1" spans="1:16">
      <c r="A189" s="11" t="s">
        <v>21</v>
      </c>
      <c r="B189" s="11" t="s">
        <v>15</v>
      </c>
      <c r="C189" s="11" t="s">
        <v>3146</v>
      </c>
      <c r="D189" s="11" t="s">
        <v>3147</v>
      </c>
      <c r="M189" t="s">
        <v>3148</v>
      </c>
      <c r="P189" t="s">
        <v>43</v>
      </c>
    </row>
    <row r="190" customHeight="1" spans="1:16">
      <c r="A190" s="11" t="s">
        <v>21</v>
      </c>
      <c r="B190" s="11" t="s">
        <v>15</v>
      </c>
      <c r="C190" s="11" t="s">
        <v>3149</v>
      </c>
      <c r="D190" s="11" t="s">
        <v>3150</v>
      </c>
      <c r="M190" t="s">
        <v>1338</v>
      </c>
      <c r="P190" t="s">
        <v>43</v>
      </c>
    </row>
    <row r="191" customHeight="1" spans="1:16">
      <c r="A191" s="11" t="s">
        <v>21</v>
      </c>
      <c r="B191" s="11" t="s">
        <v>15</v>
      </c>
      <c r="C191" s="11" t="s">
        <v>3151</v>
      </c>
      <c r="D191" s="11" t="s">
        <v>1419</v>
      </c>
      <c r="H191" s="5">
        <f>H177-H178-H183-H184-H185-H186-H189-H190</f>
        <v>0</v>
      </c>
      <c r="M191" t="s">
        <v>1356</v>
      </c>
      <c r="P191" t="s">
        <v>43</v>
      </c>
    </row>
    <row r="192" customHeight="1" spans="1:16">
      <c r="A192" s="10"/>
      <c r="B192" s="10"/>
      <c r="C192" s="10"/>
      <c r="D192" s="10"/>
    </row>
    <row r="193" customHeight="1" spans="1:16">
      <c r="A193" s="11" t="s">
        <v>14</v>
      </c>
      <c r="B193" s="11" t="s">
        <v>31</v>
      </c>
      <c r="C193" s="11" t="s">
        <v>3152</v>
      </c>
      <c r="D193" s="11" t="s">
        <v>1358</v>
      </c>
      <c r="F193" t="s">
        <v>3153</v>
      </c>
      <c r="I193" s="5">
        <f>I194+I196+I198+I200+I201+I202+I204</f>
        <v>0</v>
      </c>
      <c r="M193" t="s">
        <v>46</v>
      </c>
    </row>
    <row r="194" customHeight="1" spans="1:16">
      <c r="A194" s="11" t="s">
        <v>21</v>
      </c>
      <c r="B194" s="11" t="s">
        <v>31</v>
      </c>
      <c r="C194" s="11" t="s">
        <v>3154</v>
      </c>
      <c r="D194" s="11" t="s">
        <v>1361</v>
      </c>
      <c r="F194" t="s">
        <v>3155</v>
      </c>
      <c r="I194" s="5">
        <f>I46*I195</f>
        <v>0</v>
      </c>
      <c r="J194" s="5" t="s">
        <v>1173</v>
      </c>
      <c r="M194" t="s">
        <v>1363</v>
      </c>
    </row>
    <row r="195" customHeight="1" spans="1:16">
      <c r="A195" s="10" t="s">
        <v>26</v>
      </c>
      <c r="B195" s="10" t="s">
        <v>160</v>
      </c>
      <c r="C195" s="10" t="s">
        <v>3155</v>
      </c>
      <c r="D195" s="10" t="s">
        <v>1364</v>
      </c>
      <c r="H195" s="5" t="e">
        <f>H194/H46</f>
        <v>#DIV/0!</v>
      </c>
      <c r="J195" s="5" t="s">
        <v>783</v>
      </c>
      <c r="M195" t="s">
        <v>1365</v>
      </c>
      <c r="P195" t="s">
        <v>164</v>
      </c>
    </row>
    <row r="196" customHeight="1" spans="1:16">
      <c r="A196" s="11" t="s">
        <v>21</v>
      </c>
      <c r="B196" s="11" t="s">
        <v>31</v>
      </c>
      <c r="C196" s="11" t="s">
        <v>3156</v>
      </c>
      <c r="D196" s="11" t="s">
        <v>1367</v>
      </c>
      <c r="F196" t="s">
        <v>3157</v>
      </c>
      <c r="I196" s="5">
        <f>I46*I197</f>
        <v>0</v>
      </c>
      <c r="J196" s="5" t="s">
        <v>1173</v>
      </c>
      <c r="M196" t="s">
        <v>1369</v>
      </c>
    </row>
    <row r="197" customHeight="1" spans="1:16">
      <c r="A197" s="10" t="s">
        <v>26</v>
      </c>
      <c r="B197" s="10" t="s">
        <v>160</v>
      </c>
      <c r="C197" s="10" t="s">
        <v>3157</v>
      </c>
      <c r="D197" s="10" t="s">
        <v>1364</v>
      </c>
      <c r="H197" s="5" t="e">
        <f>H196/H46</f>
        <v>#DIV/0!</v>
      </c>
      <c r="J197" s="5" t="s">
        <v>783</v>
      </c>
      <c r="M197" t="s">
        <v>1370</v>
      </c>
      <c r="P197" t="s">
        <v>164</v>
      </c>
    </row>
    <row r="198" customHeight="1" spans="1:16">
      <c r="A198" s="7" t="s">
        <v>21</v>
      </c>
      <c r="B198" s="11" t="s">
        <v>31</v>
      </c>
      <c r="C198" s="11" t="s">
        <v>3158</v>
      </c>
      <c r="D198" s="7" t="s">
        <v>1372</v>
      </c>
      <c r="F198" t="s">
        <v>3159</v>
      </c>
      <c r="I198" s="5">
        <f>I46*I199</f>
        <v>0</v>
      </c>
      <c r="J198" s="5" t="s">
        <v>1173</v>
      </c>
      <c r="M198" t="s">
        <v>1374</v>
      </c>
    </row>
    <row r="199" customHeight="1" spans="1:16">
      <c r="A199" s="1" t="s">
        <v>26</v>
      </c>
      <c r="B199" s="10" t="s">
        <v>160</v>
      </c>
      <c r="C199" s="10" t="s">
        <v>3159</v>
      </c>
      <c r="D199" s="1" t="s">
        <v>1364</v>
      </c>
      <c r="H199" s="5" t="e">
        <f>H198/H46</f>
        <v>#DIV/0!</v>
      </c>
      <c r="J199" s="5" t="s">
        <v>783</v>
      </c>
      <c r="M199" t="s">
        <v>1375</v>
      </c>
      <c r="P199" t="s">
        <v>164</v>
      </c>
    </row>
    <row r="200" customHeight="1" spans="1:16">
      <c r="A200" s="11" t="s">
        <v>21</v>
      </c>
      <c r="B200" s="11" t="s">
        <v>31</v>
      </c>
      <c r="C200" s="11" t="s">
        <v>3160</v>
      </c>
      <c r="D200" s="11" t="s">
        <v>1377</v>
      </c>
      <c r="M200" t="s">
        <v>1378</v>
      </c>
      <c r="P200" t="s">
        <v>43</v>
      </c>
    </row>
    <row r="201" customHeight="1" spans="1:16">
      <c r="A201" s="11" t="s">
        <v>21</v>
      </c>
      <c r="B201" s="11" t="s">
        <v>31</v>
      </c>
      <c r="C201" s="11" t="s">
        <v>3161</v>
      </c>
      <c r="D201" s="11" t="s">
        <v>3162</v>
      </c>
      <c r="M201" t="s">
        <v>3163</v>
      </c>
      <c r="P201" t="s">
        <v>43</v>
      </c>
    </row>
    <row r="202" customHeight="1" spans="1:16">
      <c r="A202" s="11" t="s">
        <v>21</v>
      </c>
      <c r="B202" s="11" t="s">
        <v>31</v>
      </c>
      <c r="C202" s="11" t="s">
        <v>3164</v>
      </c>
      <c r="D202" s="11" t="s">
        <v>2048</v>
      </c>
      <c r="F202" t="s">
        <v>3165</v>
      </c>
      <c r="I202" s="5">
        <f>I46*I203</f>
        <v>0</v>
      </c>
      <c r="J202" s="5" t="s">
        <v>1173</v>
      </c>
      <c r="M202" t="s">
        <v>3166</v>
      </c>
    </row>
    <row r="203" customHeight="1" spans="1:16">
      <c r="A203" s="10" t="s">
        <v>26</v>
      </c>
      <c r="B203" s="10" t="s">
        <v>160</v>
      </c>
      <c r="C203" s="10" t="s">
        <v>3165</v>
      </c>
      <c r="D203" s="10" t="s">
        <v>2510</v>
      </c>
      <c r="H203" s="5" t="e">
        <f>H202/H46</f>
        <v>#DIV/0!</v>
      </c>
      <c r="J203" s="5" t="s">
        <v>783</v>
      </c>
      <c r="M203" t="s">
        <v>3167</v>
      </c>
      <c r="P203" t="s">
        <v>164</v>
      </c>
    </row>
    <row r="204" customHeight="1" spans="1:16">
      <c r="A204" s="11" t="s">
        <v>21</v>
      </c>
      <c r="B204" s="11" t="s">
        <v>31</v>
      </c>
      <c r="C204" s="11" t="s">
        <v>3168</v>
      </c>
      <c r="D204" s="11" t="s">
        <v>1419</v>
      </c>
      <c r="H204" s="5">
        <f>H193-H194-H196-H198-H200-H201-H202</f>
        <v>0</v>
      </c>
      <c r="M204" t="s">
        <v>1420</v>
      </c>
      <c r="P204" t="s">
        <v>43</v>
      </c>
    </row>
    <row r="205" customHeight="1" spans="1:16">
      <c r="A205" s="10"/>
      <c r="B205" s="10"/>
      <c r="C205" s="10"/>
      <c r="D205" s="10"/>
    </row>
    <row r="206" customHeight="1" spans="1:16">
      <c r="A206" s="11" t="s">
        <v>14</v>
      </c>
      <c r="B206" s="11" t="s">
        <v>15</v>
      </c>
      <c r="C206" s="11" t="s">
        <v>3169</v>
      </c>
      <c r="D206" s="11" t="s">
        <v>1422</v>
      </c>
      <c r="F206" t="s">
        <v>3170</v>
      </c>
      <c r="H206" s="5">
        <f>H207+H208</f>
        <v>0</v>
      </c>
      <c r="I206" s="5">
        <f>I207+I208</f>
        <v>0</v>
      </c>
      <c r="M206" t="s">
        <v>1423</v>
      </c>
    </row>
    <row r="207" customHeight="1" spans="1:16">
      <c r="A207" s="10" t="s">
        <v>21</v>
      </c>
      <c r="B207" s="10" t="s">
        <v>15</v>
      </c>
      <c r="C207" s="10" t="s">
        <v>3171</v>
      </c>
      <c r="D207" s="10" t="s">
        <v>3172</v>
      </c>
      <c r="M207" t="s">
        <v>3173</v>
      </c>
      <c r="P207" t="s">
        <v>43</v>
      </c>
    </row>
    <row r="208" customHeight="1" spans="1:16">
      <c r="A208" s="10" t="s">
        <v>21</v>
      </c>
      <c r="B208" s="10" t="s">
        <v>15</v>
      </c>
      <c r="C208" s="10" t="s">
        <v>3174</v>
      </c>
      <c r="D208" s="10" t="s">
        <v>3175</v>
      </c>
      <c r="M208" t="s">
        <v>3176</v>
      </c>
      <c r="P208" t="s">
        <v>43</v>
      </c>
    </row>
    <row r="209" customHeight="1" spans="1:16">
      <c r="A209" s="10"/>
      <c r="B209" s="10"/>
      <c r="C209" s="10"/>
      <c r="D209" s="10"/>
    </row>
    <row r="210" customHeight="1" spans="1:16">
      <c r="A210" s="11" t="s">
        <v>14</v>
      </c>
      <c r="B210" s="11" t="s">
        <v>15</v>
      </c>
      <c r="C210" s="11" t="s">
        <v>3177</v>
      </c>
      <c r="D210" s="11" t="s">
        <v>1425</v>
      </c>
      <c r="M210" t="s">
        <v>1426</v>
      </c>
      <c r="P210" t="s">
        <v>43</v>
      </c>
    </row>
    <row r="211" customHeight="1" spans="1:16">
      <c r="A211" s="10"/>
      <c r="B211" s="10"/>
      <c r="C211" s="10"/>
      <c r="D211" s="10"/>
    </row>
    <row r="213" customHeight="1" spans="1:16">
      <c r="A213" t="s">
        <v>222</v>
      </c>
      <c r="B213" t="s">
        <v>223</v>
      </c>
      <c r="C213" t="s">
        <v>2</v>
      </c>
      <c r="D213" t="s">
        <v>3</v>
      </c>
      <c r="E213" t="s">
        <v>4</v>
      </c>
      <c r="F213" t="s">
        <v>5</v>
      </c>
      <c r="J213" t="s">
        <v>9</v>
      </c>
      <c r="K213" t="s">
        <v>10</v>
      </c>
    </row>
    <row r="214" customHeight="1" spans="1:16">
      <c r="A214" t="s">
        <v>14</v>
      </c>
      <c r="B214" t="s">
        <v>31</v>
      </c>
      <c r="C214" t="s">
        <v>3178</v>
      </c>
      <c r="D214" t="s">
        <v>927</v>
      </c>
      <c r="F214" t="s">
        <v>2812</v>
      </c>
      <c r="K214" t="s">
        <v>19</v>
      </c>
      <c r="M214" t="s">
        <v>227</v>
      </c>
    </row>
    <row r="215" customHeight="1" spans="1:16">
      <c r="A215" t="s">
        <v>21</v>
      </c>
      <c r="B215" t="s">
        <v>31</v>
      </c>
      <c r="C215" t="s">
        <v>3179</v>
      </c>
      <c r="D215" t="s">
        <v>929</v>
      </c>
      <c r="F215" t="s">
        <v>2814</v>
      </c>
      <c r="K215" t="s">
        <v>19</v>
      </c>
      <c r="M215" t="s">
        <v>231</v>
      </c>
    </row>
    <row r="216" customHeight="1" spans="1:16">
      <c r="A216" t="s">
        <v>26</v>
      </c>
      <c r="B216" t="s">
        <v>31</v>
      </c>
      <c r="C216" t="s">
        <v>3180</v>
      </c>
      <c r="D216" t="s">
        <v>233</v>
      </c>
      <c r="F216" t="s">
        <v>2816</v>
      </c>
      <c r="K216" t="s">
        <v>19</v>
      </c>
      <c r="M216" t="s">
        <v>235</v>
      </c>
    </row>
    <row r="217" customHeight="1" spans="1:16">
      <c r="A217" t="s">
        <v>236</v>
      </c>
      <c r="B217" t="s">
        <v>31</v>
      </c>
      <c r="C217" t="s">
        <v>3181</v>
      </c>
      <c r="D217" t="s">
        <v>238</v>
      </c>
      <c r="F217" t="s">
        <v>3182</v>
      </c>
      <c r="K217" t="s">
        <v>19</v>
      </c>
      <c r="M217" t="s">
        <v>240</v>
      </c>
    </row>
    <row r="218" customHeight="1" spans="1:16">
      <c r="A218" t="s">
        <v>241</v>
      </c>
      <c r="B218" t="s">
        <v>31</v>
      </c>
      <c r="C218" t="s">
        <v>3183</v>
      </c>
      <c r="D218" t="s">
        <v>243</v>
      </c>
      <c r="K218" t="s">
        <v>19</v>
      </c>
      <c r="M218" t="s">
        <v>244</v>
      </c>
      <c r="P218" t="s">
        <v>43</v>
      </c>
    </row>
    <row r="219" customHeight="1" spans="1:16">
      <c r="A219" t="s">
        <v>241</v>
      </c>
      <c r="B219" t="s">
        <v>31</v>
      </c>
      <c r="C219" t="s">
        <v>3184</v>
      </c>
      <c r="D219" t="s">
        <v>246</v>
      </c>
      <c r="K219" t="s">
        <v>19</v>
      </c>
      <c r="M219" t="s">
        <v>247</v>
      </c>
      <c r="P219" t="s">
        <v>43</v>
      </c>
    </row>
    <row r="220" customHeight="1" spans="1:16">
      <c r="A220" t="s">
        <v>236</v>
      </c>
      <c r="B220" t="s">
        <v>31</v>
      </c>
      <c r="C220" t="s">
        <v>3185</v>
      </c>
      <c r="D220" t="s">
        <v>249</v>
      </c>
      <c r="F220" t="s">
        <v>3186</v>
      </c>
      <c r="K220" t="s">
        <v>19</v>
      </c>
      <c r="M220" t="s">
        <v>251</v>
      </c>
    </row>
    <row r="221" customHeight="1" spans="1:16">
      <c r="A221" t="s">
        <v>241</v>
      </c>
      <c r="B221" t="s">
        <v>31</v>
      </c>
      <c r="C221" t="s">
        <v>3187</v>
      </c>
      <c r="D221" t="s">
        <v>253</v>
      </c>
      <c r="K221" t="s">
        <v>19</v>
      </c>
      <c r="M221" t="s">
        <v>254</v>
      </c>
      <c r="P221" t="s">
        <v>43</v>
      </c>
    </row>
    <row r="222" customHeight="1" spans="1:16">
      <c r="A222" t="s">
        <v>241</v>
      </c>
      <c r="B222" t="s">
        <v>31</v>
      </c>
      <c r="C222" t="s">
        <v>3188</v>
      </c>
      <c r="D222" t="s">
        <v>256</v>
      </c>
      <c r="K222" t="s">
        <v>19</v>
      </c>
      <c r="M222" t="s">
        <v>257</v>
      </c>
      <c r="P222" t="s">
        <v>43</v>
      </c>
    </row>
    <row r="223" customHeight="1" spans="1:16">
      <c r="A223" t="s">
        <v>236</v>
      </c>
      <c r="B223" t="s">
        <v>31</v>
      </c>
      <c r="C223" t="s">
        <v>3189</v>
      </c>
      <c r="D223" t="s">
        <v>259</v>
      </c>
      <c r="F223" t="s">
        <v>3190</v>
      </c>
      <c r="K223" t="s">
        <v>19</v>
      </c>
      <c r="M223" t="s">
        <v>261</v>
      </c>
    </row>
    <row r="224" customHeight="1" spans="1:16">
      <c r="A224" t="s">
        <v>241</v>
      </c>
      <c r="B224" t="s">
        <v>31</v>
      </c>
      <c r="C224" t="s">
        <v>3191</v>
      </c>
      <c r="D224" t="s">
        <v>263</v>
      </c>
      <c r="F224" t="s">
        <v>3192</v>
      </c>
      <c r="K224" t="s">
        <v>19</v>
      </c>
      <c r="M224" t="s">
        <v>265</v>
      </c>
    </row>
    <row r="225" customHeight="1" spans="1:16">
      <c r="A225" t="s">
        <v>266</v>
      </c>
      <c r="B225" t="s">
        <v>31</v>
      </c>
      <c r="C225" t="s">
        <v>3193</v>
      </c>
      <c r="D225" t="s">
        <v>268</v>
      </c>
      <c r="K225" t="s">
        <v>19</v>
      </c>
      <c r="M225" t="s">
        <v>269</v>
      </c>
      <c r="P225" t="s">
        <v>43</v>
      </c>
    </row>
    <row r="226" customHeight="1" spans="1:16">
      <c r="A226" t="s">
        <v>266</v>
      </c>
      <c r="B226" t="s">
        <v>31</v>
      </c>
      <c r="C226" t="s">
        <v>3194</v>
      </c>
      <c r="D226" t="s">
        <v>271</v>
      </c>
      <c r="K226" t="s">
        <v>19</v>
      </c>
      <c r="M226" t="s">
        <v>272</v>
      </c>
      <c r="P226" t="s">
        <v>43</v>
      </c>
    </row>
    <row r="227" customHeight="1" spans="1:16">
      <c r="A227" t="s">
        <v>241</v>
      </c>
      <c r="B227" t="s">
        <v>31</v>
      </c>
      <c r="C227" t="s">
        <v>3195</v>
      </c>
      <c r="D227" t="s">
        <v>3196</v>
      </c>
      <c r="K227" t="s">
        <v>19</v>
      </c>
      <c r="M227" t="s">
        <v>275</v>
      </c>
      <c r="P227" t="s">
        <v>43</v>
      </c>
    </row>
    <row r="228" customHeight="1" spans="1:16">
      <c r="A228" t="s">
        <v>266</v>
      </c>
      <c r="B228" t="s">
        <v>31</v>
      </c>
      <c r="C228" t="s">
        <v>3197</v>
      </c>
      <c r="D228" t="s">
        <v>277</v>
      </c>
      <c r="K228" t="s">
        <v>19</v>
      </c>
      <c r="M228" t="s">
        <v>278</v>
      </c>
      <c r="P228" t="s">
        <v>43</v>
      </c>
    </row>
    <row r="229" customHeight="1" spans="1:16">
      <c r="A229" t="s">
        <v>241</v>
      </c>
      <c r="B229" t="s">
        <v>31</v>
      </c>
      <c r="C229" t="s">
        <v>3198</v>
      </c>
      <c r="D229" t="s">
        <v>3199</v>
      </c>
      <c r="K229" t="s">
        <v>19</v>
      </c>
      <c r="M229" t="s">
        <v>281</v>
      </c>
      <c r="P229" t="s">
        <v>43</v>
      </c>
    </row>
    <row r="230" customHeight="1" spans="1:16">
      <c r="A230" t="s">
        <v>266</v>
      </c>
      <c r="B230" t="s">
        <v>31</v>
      </c>
      <c r="C230" t="s">
        <v>3200</v>
      </c>
      <c r="D230" t="s">
        <v>283</v>
      </c>
      <c r="K230" t="s">
        <v>19</v>
      </c>
      <c r="M230" t="s">
        <v>284</v>
      </c>
      <c r="P230" t="s">
        <v>43</v>
      </c>
    </row>
    <row r="231" customHeight="1" spans="1:16">
      <c r="A231" t="s">
        <v>241</v>
      </c>
      <c r="B231" t="s">
        <v>31</v>
      </c>
      <c r="C231" t="s">
        <v>3201</v>
      </c>
      <c r="D231" t="s">
        <v>3202</v>
      </c>
      <c r="K231" t="s">
        <v>19</v>
      </c>
      <c r="M231" t="s">
        <v>287</v>
      </c>
      <c r="P231" t="s">
        <v>43</v>
      </c>
    </row>
    <row r="232" customHeight="1" spans="1:16">
      <c r="A232" t="s">
        <v>266</v>
      </c>
      <c r="B232" t="s">
        <v>31</v>
      </c>
      <c r="C232" t="s">
        <v>3203</v>
      </c>
      <c r="D232" t="s">
        <v>289</v>
      </c>
      <c r="K232" t="s">
        <v>19</v>
      </c>
      <c r="M232" t="s">
        <v>290</v>
      </c>
      <c r="P232" t="s">
        <v>43</v>
      </c>
    </row>
    <row r="233" customHeight="1" spans="1:16">
      <c r="A233" t="s">
        <v>236</v>
      </c>
      <c r="B233" t="s">
        <v>31</v>
      </c>
      <c r="C233" t="s">
        <v>3204</v>
      </c>
      <c r="D233" t="s">
        <v>3205</v>
      </c>
      <c r="K233" t="s">
        <v>19</v>
      </c>
      <c r="M233" t="s">
        <v>293</v>
      </c>
      <c r="P233" t="s">
        <v>43</v>
      </c>
    </row>
    <row r="234" customHeight="1" spans="1:16">
      <c r="A234" t="s">
        <v>241</v>
      </c>
      <c r="B234" t="s">
        <v>31</v>
      </c>
      <c r="C234" t="s">
        <v>3206</v>
      </c>
      <c r="D234" t="s">
        <v>295</v>
      </c>
      <c r="K234" t="s">
        <v>19</v>
      </c>
      <c r="M234" t="s">
        <v>296</v>
      </c>
      <c r="P234" t="s">
        <v>43</v>
      </c>
    </row>
    <row r="235" customHeight="1" spans="1:16">
      <c r="A235" t="s">
        <v>236</v>
      </c>
      <c r="B235" t="s">
        <v>31</v>
      </c>
      <c r="C235" t="s">
        <v>3207</v>
      </c>
      <c r="D235" t="s">
        <v>3208</v>
      </c>
      <c r="K235" t="s">
        <v>19</v>
      </c>
      <c r="M235" t="s">
        <v>299</v>
      </c>
      <c r="P235" t="s">
        <v>43</v>
      </c>
    </row>
    <row r="236" customHeight="1" spans="1:16">
      <c r="A236" t="s">
        <v>241</v>
      </c>
      <c r="B236" t="s">
        <v>31</v>
      </c>
      <c r="C236" t="s">
        <v>3209</v>
      </c>
      <c r="D236" t="s">
        <v>301</v>
      </c>
      <c r="K236" t="s">
        <v>19</v>
      </c>
      <c r="M236" t="s">
        <v>302</v>
      </c>
      <c r="P236" t="s">
        <v>43</v>
      </c>
    </row>
    <row r="237" customHeight="1" spans="1:16">
      <c r="A237" t="s">
        <v>26</v>
      </c>
      <c r="B237" t="s">
        <v>31</v>
      </c>
      <c r="C237" t="s">
        <v>3210</v>
      </c>
      <c r="D237" t="s">
        <v>304</v>
      </c>
      <c r="F237" t="s">
        <v>2818</v>
      </c>
      <c r="K237" t="s">
        <v>19</v>
      </c>
      <c r="M237" t="s">
        <v>306</v>
      </c>
    </row>
    <row r="238" customHeight="1" spans="1:16">
      <c r="A238" t="s">
        <v>236</v>
      </c>
      <c r="B238" t="s">
        <v>31</v>
      </c>
      <c r="C238" t="s">
        <v>3211</v>
      </c>
      <c r="D238" t="s">
        <v>238</v>
      </c>
      <c r="F238" t="s">
        <v>3212</v>
      </c>
      <c r="K238" t="s">
        <v>19</v>
      </c>
      <c r="M238" t="s">
        <v>309</v>
      </c>
    </row>
    <row r="239" customHeight="1" spans="1:16">
      <c r="A239" t="s">
        <v>241</v>
      </c>
      <c r="B239" t="s">
        <v>31</v>
      </c>
      <c r="C239" t="s">
        <v>3213</v>
      </c>
      <c r="D239" t="s">
        <v>243</v>
      </c>
      <c r="K239" t="s">
        <v>19</v>
      </c>
      <c r="M239" t="s">
        <v>311</v>
      </c>
      <c r="P239" t="s">
        <v>43</v>
      </c>
    </row>
    <row r="240" customHeight="1" spans="1:16">
      <c r="A240" t="s">
        <v>241</v>
      </c>
      <c r="B240" t="s">
        <v>31</v>
      </c>
      <c r="C240" t="s">
        <v>3214</v>
      </c>
      <c r="D240" t="s">
        <v>246</v>
      </c>
      <c r="K240" t="s">
        <v>19</v>
      </c>
      <c r="M240" t="s">
        <v>313</v>
      </c>
      <c r="P240" t="s">
        <v>43</v>
      </c>
    </row>
    <row r="241" customHeight="1" spans="1:16">
      <c r="A241" t="s">
        <v>236</v>
      </c>
      <c r="B241" t="s">
        <v>31</v>
      </c>
      <c r="C241" t="s">
        <v>3215</v>
      </c>
      <c r="D241" t="s">
        <v>249</v>
      </c>
      <c r="F241" t="s">
        <v>3216</v>
      </c>
      <c r="K241" t="s">
        <v>19</v>
      </c>
      <c r="M241" t="s">
        <v>316</v>
      </c>
    </row>
    <row r="242" customHeight="1" spans="1:16">
      <c r="A242" t="s">
        <v>241</v>
      </c>
      <c r="B242" t="s">
        <v>31</v>
      </c>
      <c r="C242" t="s">
        <v>3217</v>
      </c>
      <c r="D242" t="s">
        <v>253</v>
      </c>
      <c r="K242" t="s">
        <v>19</v>
      </c>
      <c r="M242" t="s">
        <v>318</v>
      </c>
      <c r="P242" t="s">
        <v>43</v>
      </c>
    </row>
    <row r="243" customHeight="1" spans="1:16">
      <c r="A243" t="s">
        <v>241</v>
      </c>
      <c r="B243" t="s">
        <v>31</v>
      </c>
      <c r="C243" t="s">
        <v>3218</v>
      </c>
      <c r="D243" t="s">
        <v>256</v>
      </c>
      <c r="K243" t="s">
        <v>19</v>
      </c>
      <c r="M243" t="s">
        <v>320</v>
      </c>
      <c r="P243" t="s">
        <v>43</v>
      </c>
    </row>
    <row r="244" customHeight="1" spans="1:16">
      <c r="A244" t="s">
        <v>236</v>
      </c>
      <c r="B244" t="s">
        <v>31</v>
      </c>
      <c r="C244" t="s">
        <v>3219</v>
      </c>
      <c r="D244" t="s">
        <v>259</v>
      </c>
      <c r="F244" t="s">
        <v>3220</v>
      </c>
      <c r="K244" t="s">
        <v>19</v>
      </c>
      <c r="M244" t="s">
        <v>323</v>
      </c>
    </row>
    <row r="245" customHeight="1" spans="1:16">
      <c r="A245" t="s">
        <v>241</v>
      </c>
      <c r="B245" t="s">
        <v>31</v>
      </c>
      <c r="C245" t="s">
        <v>3221</v>
      </c>
      <c r="D245" t="s">
        <v>263</v>
      </c>
      <c r="F245" t="s">
        <v>3222</v>
      </c>
      <c r="K245" t="s">
        <v>19</v>
      </c>
      <c r="M245" t="s">
        <v>326</v>
      </c>
    </row>
    <row r="246" customHeight="1" spans="1:16">
      <c r="A246" t="s">
        <v>266</v>
      </c>
      <c r="B246" t="s">
        <v>31</v>
      </c>
      <c r="C246" t="s">
        <v>3223</v>
      </c>
      <c r="D246" t="s">
        <v>268</v>
      </c>
      <c r="K246" t="s">
        <v>19</v>
      </c>
      <c r="M246" t="s">
        <v>328</v>
      </c>
      <c r="P246" t="s">
        <v>43</v>
      </c>
    </row>
    <row r="247" customHeight="1" spans="1:16">
      <c r="A247" t="s">
        <v>266</v>
      </c>
      <c r="B247" t="s">
        <v>31</v>
      </c>
      <c r="C247" t="s">
        <v>3224</v>
      </c>
      <c r="D247" t="s">
        <v>271</v>
      </c>
      <c r="K247" t="s">
        <v>19</v>
      </c>
      <c r="M247" t="s">
        <v>330</v>
      </c>
      <c r="P247" t="s">
        <v>43</v>
      </c>
    </row>
    <row r="248" customHeight="1" spans="1:16">
      <c r="A248" t="s">
        <v>241</v>
      </c>
      <c r="B248" t="s">
        <v>31</v>
      </c>
      <c r="C248" t="s">
        <v>3225</v>
      </c>
      <c r="D248" t="s">
        <v>3226</v>
      </c>
      <c r="K248" t="s">
        <v>19</v>
      </c>
      <c r="M248" t="s">
        <v>333</v>
      </c>
      <c r="P248" t="s">
        <v>43</v>
      </c>
    </row>
    <row r="249" customHeight="1" spans="1:16">
      <c r="A249" t="s">
        <v>266</v>
      </c>
      <c r="B249" t="s">
        <v>31</v>
      </c>
      <c r="C249" t="s">
        <v>3227</v>
      </c>
      <c r="D249" t="s">
        <v>277</v>
      </c>
      <c r="K249" t="s">
        <v>19</v>
      </c>
      <c r="M249" t="s">
        <v>335</v>
      </c>
      <c r="P249" t="s">
        <v>43</v>
      </c>
    </row>
    <row r="250" customHeight="1" spans="1:16">
      <c r="A250" t="s">
        <v>241</v>
      </c>
      <c r="B250" t="s">
        <v>31</v>
      </c>
      <c r="C250" t="s">
        <v>3228</v>
      </c>
      <c r="D250" t="s">
        <v>3229</v>
      </c>
      <c r="K250" t="s">
        <v>19</v>
      </c>
      <c r="M250" t="s">
        <v>338</v>
      </c>
      <c r="P250" t="s">
        <v>43</v>
      </c>
    </row>
    <row r="251" customHeight="1" spans="1:16">
      <c r="A251" t="s">
        <v>266</v>
      </c>
      <c r="B251" t="s">
        <v>31</v>
      </c>
      <c r="C251" t="s">
        <v>3230</v>
      </c>
      <c r="D251" t="s">
        <v>283</v>
      </c>
      <c r="K251" t="s">
        <v>19</v>
      </c>
      <c r="M251" t="s">
        <v>340</v>
      </c>
      <c r="P251" t="s">
        <v>43</v>
      </c>
    </row>
    <row r="252" customHeight="1" spans="1:16">
      <c r="A252" t="s">
        <v>241</v>
      </c>
      <c r="B252" t="s">
        <v>31</v>
      </c>
      <c r="C252" t="s">
        <v>3231</v>
      </c>
      <c r="D252" t="s">
        <v>3232</v>
      </c>
      <c r="K252" t="s">
        <v>19</v>
      </c>
      <c r="M252" t="s">
        <v>343</v>
      </c>
      <c r="P252" t="s">
        <v>43</v>
      </c>
    </row>
    <row r="253" customHeight="1" spans="1:16">
      <c r="A253" t="s">
        <v>266</v>
      </c>
      <c r="B253" t="s">
        <v>31</v>
      </c>
      <c r="C253" t="s">
        <v>3233</v>
      </c>
      <c r="D253" t="s">
        <v>289</v>
      </c>
      <c r="K253" t="s">
        <v>19</v>
      </c>
      <c r="M253" t="s">
        <v>345</v>
      </c>
      <c r="P253" t="s">
        <v>43</v>
      </c>
    </row>
    <row r="254" customHeight="1" spans="1:16">
      <c r="A254" t="s">
        <v>236</v>
      </c>
      <c r="B254" t="s">
        <v>31</v>
      </c>
      <c r="C254" t="s">
        <v>3234</v>
      </c>
      <c r="D254" t="s">
        <v>3235</v>
      </c>
      <c r="K254" t="s">
        <v>19</v>
      </c>
      <c r="M254" t="s">
        <v>348</v>
      </c>
      <c r="P254" t="s">
        <v>43</v>
      </c>
    </row>
    <row r="255" customHeight="1" spans="1:16">
      <c r="A255" t="s">
        <v>241</v>
      </c>
      <c r="B255" t="s">
        <v>31</v>
      </c>
      <c r="C255" t="s">
        <v>3236</v>
      </c>
      <c r="D255" t="s">
        <v>295</v>
      </c>
      <c r="K255" t="s">
        <v>19</v>
      </c>
      <c r="M255" t="s">
        <v>350</v>
      </c>
      <c r="P255" t="s">
        <v>43</v>
      </c>
    </row>
    <row r="256" customHeight="1" spans="1:16">
      <c r="A256" t="s">
        <v>236</v>
      </c>
      <c r="B256" t="s">
        <v>31</v>
      </c>
      <c r="C256" t="s">
        <v>3237</v>
      </c>
      <c r="D256" t="s">
        <v>3238</v>
      </c>
      <c r="K256" t="s">
        <v>19</v>
      </c>
      <c r="M256" t="s">
        <v>353</v>
      </c>
      <c r="P256" t="s">
        <v>43</v>
      </c>
    </row>
    <row r="257" customHeight="1" spans="1:16">
      <c r="A257" t="s">
        <v>241</v>
      </c>
      <c r="B257" t="s">
        <v>31</v>
      </c>
      <c r="C257" t="s">
        <v>3239</v>
      </c>
      <c r="D257" t="s">
        <v>301</v>
      </c>
      <c r="K257" t="s">
        <v>19</v>
      </c>
      <c r="M257" t="s">
        <v>355</v>
      </c>
      <c r="P257" t="s">
        <v>43</v>
      </c>
    </row>
    <row r="258" customHeight="1" spans="1:16">
      <c r="A258" t="s">
        <v>21</v>
      </c>
      <c r="B258" t="s">
        <v>31</v>
      </c>
      <c r="C258" t="s">
        <v>3240</v>
      </c>
      <c r="D258" t="s">
        <v>362</v>
      </c>
      <c r="F258" t="s">
        <v>2820</v>
      </c>
      <c r="K258" t="s">
        <v>19</v>
      </c>
      <c r="M258" t="s">
        <v>364</v>
      </c>
    </row>
    <row r="259" customHeight="1" spans="1:16">
      <c r="A259" t="s">
        <v>26</v>
      </c>
      <c r="B259" t="s">
        <v>31</v>
      </c>
      <c r="C259" t="s">
        <v>3241</v>
      </c>
      <c r="D259" t="s">
        <v>358</v>
      </c>
      <c r="K259" t="s">
        <v>19</v>
      </c>
      <c r="M259" t="s">
        <v>1063</v>
      </c>
      <c r="P259" t="s">
        <v>43</v>
      </c>
    </row>
    <row r="260" customHeight="1" spans="1:16">
      <c r="A260" t="s">
        <v>26</v>
      </c>
      <c r="B260" t="s">
        <v>31</v>
      </c>
      <c r="C260" t="s">
        <v>3242</v>
      </c>
      <c r="D260" t="s">
        <v>360</v>
      </c>
      <c r="K260" t="s">
        <v>19</v>
      </c>
      <c r="M260" t="s">
        <v>1065</v>
      </c>
      <c r="P260" t="s">
        <v>43</v>
      </c>
    </row>
    <row r="261" customHeight="1" spans="1:16">
      <c r="A261" t="s">
        <v>26</v>
      </c>
      <c r="B261" t="s">
        <v>31</v>
      </c>
      <c r="C261" t="s">
        <v>3243</v>
      </c>
      <c r="D261" t="s">
        <v>365</v>
      </c>
      <c r="F261" t="s">
        <v>3244</v>
      </c>
      <c r="K261" t="s">
        <v>19</v>
      </c>
      <c r="M261" t="s">
        <v>367</v>
      </c>
    </row>
    <row r="262" customHeight="1" spans="1:16">
      <c r="A262" t="s">
        <v>236</v>
      </c>
      <c r="B262" t="s">
        <v>31</v>
      </c>
      <c r="C262" t="s">
        <v>3245</v>
      </c>
      <c r="D262" t="s">
        <v>369</v>
      </c>
      <c r="F262" t="s">
        <v>3246</v>
      </c>
      <c r="K262" t="s">
        <v>19</v>
      </c>
      <c r="M262" t="s">
        <v>371</v>
      </c>
    </row>
    <row r="263" customHeight="1" spans="1:16">
      <c r="A263" t="s">
        <v>241</v>
      </c>
      <c r="B263" t="s">
        <v>31</v>
      </c>
      <c r="C263" t="s">
        <v>3247</v>
      </c>
      <c r="D263" t="s">
        <v>373</v>
      </c>
      <c r="K263" t="s">
        <v>19</v>
      </c>
      <c r="M263" t="s">
        <v>374</v>
      </c>
      <c r="P263" t="s">
        <v>43</v>
      </c>
    </row>
    <row r="264" customHeight="1" spans="1:16">
      <c r="A264" t="s">
        <v>241</v>
      </c>
      <c r="B264" t="s">
        <v>31</v>
      </c>
      <c r="C264" t="s">
        <v>3248</v>
      </c>
      <c r="D264" t="s">
        <v>376</v>
      </c>
      <c r="K264" t="s">
        <v>19</v>
      </c>
      <c r="M264" t="s">
        <v>377</v>
      </c>
      <c r="P264" t="s">
        <v>43</v>
      </c>
    </row>
    <row r="265" customHeight="1" spans="1:16">
      <c r="A265" t="s">
        <v>241</v>
      </c>
      <c r="B265" t="s">
        <v>31</v>
      </c>
      <c r="C265" t="s">
        <v>3249</v>
      </c>
      <c r="D265" t="s">
        <v>379</v>
      </c>
      <c r="K265" t="s">
        <v>19</v>
      </c>
      <c r="M265" t="s">
        <v>380</v>
      </c>
      <c r="P265" t="s">
        <v>43</v>
      </c>
    </row>
    <row r="266" customHeight="1" spans="1:16">
      <c r="A266" t="s">
        <v>241</v>
      </c>
      <c r="B266" t="s">
        <v>31</v>
      </c>
      <c r="C266" t="s">
        <v>3250</v>
      </c>
      <c r="D266" t="s">
        <v>382</v>
      </c>
      <c r="K266" t="s">
        <v>19</v>
      </c>
      <c r="M266" t="s">
        <v>383</v>
      </c>
      <c r="P266" t="s">
        <v>43</v>
      </c>
    </row>
    <row r="267" customHeight="1" spans="1:16">
      <c r="A267" t="s">
        <v>236</v>
      </c>
      <c r="B267" t="s">
        <v>31</v>
      </c>
      <c r="C267" t="s">
        <v>3251</v>
      </c>
      <c r="D267" t="s">
        <v>385</v>
      </c>
      <c r="F267" t="s">
        <v>3252</v>
      </c>
      <c r="K267" t="s">
        <v>19</v>
      </c>
      <c r="M267" t="s">
        <v>387</v>
      </c>
    </row>
    <row r="268" customHeight="1" spans="1:16">
      <c r="A268" t="s">
        <v>241</v>
      </c>
      <c r="B268" t="s">
        <v>31</v>
      </c>
      <c r="C268" t="s">
        <v>3253</v>
      </c>
      <c r="D268" t="s">
        <v>389</v>
      </c>
      <c r="K268" t="s">
        <v>19</v>
      </c>
      <c r="M268" t="s">
        <v>390</v>
      </c>
      <c r="P268" t="s">
        <v>43</v>
      </c>
    </row>
    <row r="269" customHeight="1" spans="1:16">
      <c r="A269" t="s">
        <v>241</v>
      </c>
      <c r="B269" t="s">
        <v>31</v>
      </c>
      <c r="C269" t="s">
        <v>3254</v>
      </c>
      <c r="D269" t="s">
        <v>392</v>
      </c>
      <c r="K269" t="s">
        <v>19</v>
      </c>
      <c r="M269" t="s">
        <v>393</v>
      </c>
      <c r="P269" t="s">
        <v>43</v>
      </c>
    </row>
    <row r="270" customHeight="1" spans="1:16">
      <c r="A270" t="s">
        <v>241</v>
      </c>
      <c r="B270" t="s">
        <v>31</v>
      </c>
      <c r="C270" t="s">
        <v>3255</v>
      </c>
      <c r="D270" t="s">
        <v>395</v>
      </c>
      <c r="K270" t="s">
        <v>19</v>
      </c>
      <c r="M270" t="s">
        <v>396</v>
      </c>
      <c r="P270" t="s">
        <v>43</v>
      </c>
    </row>
    <row r="271" customHeight="1" spans="1:16">
      <c r="A271" t="s">
        <v>241</v>
      </c>
      <c r="B271" t="s">
        <v>31</v>
      </c>
      <c r="C271" t="s">
        <v>3256</v>
      </c>
      <c r="D271" t="s">
        <v>398</v>
      </c>
      <c r="K271" t="s">
        <v>19</v>
      </c>
      <c r="M271" t="s">
        <v>399</v>
      </c>
      <c r="P271" t="s">
        <v>43</v>
      </c>
    </row>
    <row r="272" customHeight="1" spans="1:16">
      <c r="A272" t="s">
        <v>241</v>
      </c>
      <c r="B272" t="s">
        <v>31</v>
      </c>
      <c r="C272" t="s">
        <v>3257</v>
      </c>
      <c r="D272" t="s">
        <v>401</v>
      </c>
      <c r="K272" t="s">
        <v>19</v>
      </c>
      <c r="M272" t="s">
        <v>402</v>
      </c>
      <c r="P272" t="s">
        <v>43</v>
      </c>
    </row>
    <row r="273" customHeight="1" spans="1:16">
      <c r="A273" t="s">
        <v>241</v>
      </c>
      <c r="B273" t="s">
        <v>31</v>
      </c>
      <c r="C273" t="s">
        <v>3258</v>
      </c>
      <c r="D273" t="s">
        <v>404</v>
      </c>
      <c r="K273" t="s">
        <v>19</v>
      </c>
      <c r="M273" t="s">
        <v>405</v>
      </c>
      <c r="P273" t="s">
        <v>43</v>
      </c>
    </row>
    <row r="274" customHeight="1" spans="1:16">
      <c r="A274" t="s">
        <v>241</v>
      </c>
      <c r="B274" t="s">
        <v>31</v>
      </c>
      <c r="C274" t="s">
        <v>3259</v>
      </c>
      <c r="D274" t="s">
        <v>407</v>
      </c>
      <c r="K274" t="s">
        <v>19</v>
      </c>
      <c r="M274" t="s">
        <v>408</v>
      </c>
      <c r="P274" t="s">
        <v>43</v>
      </c>
    </row>
    <row r="275" customHeight="1" spans="1:16">
      <c r="A275" t="s">
        <v>241</v>
      </c>
      <c r="B275" t="s">
        <v>31</v>
      </c>
      <c r="C275" t="s">
        <v>3260</v>
      </c>
      <c r="D275" t="s">
        <v>410</v>
      </c>
      <c r="K275" t="s">
        <v>19</v>
      </c>
      <c r="M275" t="s">
        <v>411</v>
      </c>
      <c r="P275" t="s">
        <v>43</v>
      </c>
    </row>
    <row r="276" customHeight="1" spans="1:16">
      <c r="A276" t="s">
        <v>241</v>
      </c>
      <c r="B276" t="s">
        <v>31</v>
      </c>
      <c r="C276" t="s">
        <v>3261</v>
      </c>
      <c r="D276" t="s">
        <v>413</v>
      </c>
      <c r="K276" t="s">
        <v>19</v>
      </c>
      <c r="M276" t="s">
        <v>414</v>
      </c>
      <c r="P276" t="s">
        <v>43</v>
      </c>
    </row>
    <row r="277" customHeight="1" spans="1:16">
      <c r="A277" t="s">
        <v>241</v>
      </c>
      <c r="B277" t="s">
        <v>31</v>
      </c>
      <c r="C277" t="s">
        <v>3262</v>
      </c>
      <c r="D277" t="s">
        <v>416</v>
      </c>
      <c r="K277" t="s">
        <v>19</v>
      </c>
      <c r="M277" t="s">
        <v>417</v>
      </c>
      <c r="P277" t="s">
        <v>43</v>
      </c>
    </row>
    <row r="278" customHeight="1" spans="1:16">
      <c r="A278" t="s">
        <v>241</v>
      </c>
      <c r="B278" t="s">
        <v>31</v>
      </c>
      <c r="C278" t="s">
        <v>3263</v>
      </c>
      <c r="D278" t="s">
        <v>419</v>
      </c>
      <c r="K278" t="s">
        <v>19</v>
      </c>
      <c r="M278" t="s">
        <v>420</v>
      </c>
      <c r="P278" t="s">
        <v>43</v>
      </c>
    </row>
    <row r="279" customHeight="1" spans="1:16">
      <c r="A279" t="s">
        <v>241</v>
      </c>
      <c r="B279" t="s">
        <v>31</v>
      </c>
      <c r="C279" t="s">
        <v>3264</v>
      </c>
      <c r="D279" t="s">
        <v>422</v>
      </c>
      <c r="F279" t="s">
        <v>3265</v>
      </c>
      <c r="K279" t="s">
        <v>19</v>
      </c>
      <c r="M279" t="s">
        <v>424</v>
      </c>
    </row>
    <row r="280" customHeight="1" spans="1:16">
      <c r="A280" t="s">
        <v>241</v>
      </c>
      <c r="B280" t="s">
        <v>31</v>
      </c>
      <c r="C280" t="s">
        <v>3266</v>
      </c>
      <c r="D280" t="s">
        <v>426</v>
      </c>
      <c r="F280" t="s">
        <v>3267</v>
      </c>
      <c r="K280" t="s">
        <v>19</v>
      </c>
      <c r="M280" t="s">
        <v>428</v>
      </c>
    </row>
    <row r="281" customHeight="1" spans="1:16">
      <c r="A281" t="s">
        <v>241</v>
      </c>
      <c r="B281" t="s">
        <v>31</v>
      </c>
      <c r="C281" t="s">
        <v>3268</v>
      </c>
      <c r="D281" t="s">
        <v>430</v>
      </c>
      <c r="F281" t="s">
        <v>3269</v>
      </c>
      <c r="K281" t="s">
        <v>19</v>
      </c>
      <c r="M281" t="s">
        <v>432</v>
      </c>
    </row>
    <row r="282" customHeight="1" spans="1:16">
      <c r="A282" t="s">
        <v>236</v>
      </c>
      <c r="B282" t="s">
        <v>31</v>
      </c>
      <c r="C282" t="s">
        <v>3270</v>
      </c>
      <c r="D282" t="s">
        <v>434</v>
      </c>
      <c r="F282" t="s">
        <v>3271</v>
      </c>
      <c r="K282" t="s">
        <v>19</v>
      </c>
      <c r="M282" t="s">
        <v>436</v>
      </c>
    </row>
    <row r="283" customHeight="1" spans="1:16">
      <c r="A283" t="s">
        <v>241</v>
      </c>
      <c r="B283" t="s">
        <v>31</v>
      </c>
      <c r="C283" t="s">
        <v>3272</v>
      </c>
      <c r="D283" t="s">
        <v>438</v>
      </c>
      <c r="K283" t="s">
        <v>19</v>
      </c>
      <c r="M283" t="s">
        <v>439</v>
      </c>
      <c r="P283" t="s">
        <v>43</v>
      </c>
    </row>
    <row r="284" customHeight="1" spans="1:16">
      <c r="A284" t="s">
        <v>241</v>
      </c>
      <c r="B284" t="s">
        <v>31</v>
      </c>
      <c r="C284" t="s">
        <v>3273</v>
      </c>
      <c r="D284" t="s">
        <v>441</v>
      </c>
      <c r="K284" t="s">
        <v>19</v>
      </c>
      <c r="M284" t="s">
        <v>442</v>
      </c>
      <c r="P284" t="s">
        <v>43</v>
      </c>
    </row>
    <row r="285" customHeight="1" spans="1:16">
      <c r="A285" t="s">
        <v>241</v>
      </c>
      <c r="B285" t="s">
        <v>31</v>
      </c>
      <c r="C285" t="s">
        <v>3274</v>
      </c>
      <c r="D285" t="s">
        <v>444</v>
      </c>
      <c r="K285" t="s">
        <v>19</v>
      </c>
      <c r="M285" t="s">
        <v>445</v>
      </c>
      <c r="P285" t="s">
        <v>43</v>
      </c>
    </row>
    <row r="286" customHeight="1" spans="1:16">
      <c r="A286" t="s">
        <v>21</v>
      </c>
      <c r="B286" t="s">
        <v>31</v>
      </c>
      <c r="C286" t="s">
        <v>3275</v>
      </c>
      <c r="D286" t="s">
        <v>994</v>
      </c>
      <c r="F286" t="s">
        <v>2824</v>
      </c>
      <c r="K286" t="s">
        <v>19</v>
      </c>
      <c r="M286" t="s">
        <v>859</v>
      </c>
    </row>
    <row r="287" customHeight="1" spans="1:16">
      <c r="A287" t="s">
        <v>26</v>
      </c>
      <c r="B287" t="s">
        <v>31</v>
      </c>
      <c r="C287" t="s">
        <v>3276</v>
      </c>
      <c r="D287" t="s">
        <v>263</v>
      </c>
      <c r="F287" t="s">
        <v>2826</v>
      </c>
      <c r="K287" t="s">
        <v>19</v>
      </c>
      <c r="M287" t="s">
        <v>863</v>
      </c>
    </row>
    <row r="288" customHeight="1" spans="1:16">
      <c r="A288" t="s">
        <v>236</v>
      </c>
      <c r="B288" t="s">
        <v>31</v>
      </c>
      <c r="C288" t="s">
        <v>3277</v>
      </c>
      <c r="D288" t="s">
        <v>268</v>
      </c>
      <c r="K288" t="s">
        <v>19</v>
      </c>
      <c r="M288" t="s">
        <v>866</v>
      </c>
      <c r="P288" t="s">
        <v>43</v>
      </c>
    </row>
    <row r="289" customHeight="1" spans="1:16">
      <c r="A289" t="s">
        <v>236</v>
      </c>
      <c r="B289" t="s">
        <v>31</v>
      </c>
      <c r="C289" t="s">
        <v>3278</v>
      </c>
      <c r="D289" t="s">
        <v>271</v>
      </c>
      <c r="K289" t="s">
        <v>19</v>
      </c>
      <c r="M289" t="s">
        <v>869</v>
      </c>
      <c r="P289" t="s">
        <v>43</v>
      </c>
    </row>
    <row r="290" customHeight="1" spans="1:16">
      <c r="A290" t="s">
        <v>26</v>
      </c>
      <c r="B290" t="s">
        <v>31</v>
      </c>
      <c r="C290" t="s">
        <v>3279</v>
      </c>
      <c r="D290" t="s">
        <v>999</v>
      </c>
      <c r="K290" t="s">
        <v>19</v>
      </c>
      <c r="M290" t="s">
        <v>872</v>
      </c>
      <c r="P290" t="s">
        <v>43</v>
      </c>
    </row>
    <row r="291" customHeight="1" spans="1:16">
      <c r="A291" t="s">
        <v>26</v>
      </c>
      <c r="B291" t="s">
        <v>31</v>
      </c>
      <c r="C291" t="s">
        <v>3280</v>
      </c>
      <c r="D291" t="s">
        <v>283</v>
      </c>
      <c r="K291" t="s">
        <v>19</v>
      </c>
      <c r="M291" t="s">
        <v>875</v>
      </c>
      <c r="P291" t="s">
        <v>43</v>
      </c>
    </row>
    <row r="292" customHeight="1" spans="1:16">
      <c r="A292" t="s">
        <v>26</v>
      </c>
      <c r="B292" t="s">
        <v>31</v>
      </c>
      <c r="C292" t="s">
        <v>3281</v>
      </c>
      <c r="D292" t="s">
        <v>289</v>
      </c>
      <c r="K292" t="s">
        <v>19</v>
      </c>
      <c r="M292" t="s">
        <v>878</v>
      </c>
      <c r="P292" t="s">
        <v>43</v>
      </c>
    </row>
    <row r="293" customHeight="1" spans="1:16">
      <c r="A293" t="s">
        <v>21</v>
      </c>
      <c r="B293" t="s">
        <v>31</v>
      </c>
      <c r="C293" t="s">
        <v>3282</v>
      </c>
      <c r="D293" t="s">
        <v>1003</v>
      </c>
      <c r="K293" t="s">
        <v>19</v>
      </c>
      <c r="M293" t="s">
        <v>881</v>
      </c>
      <c r="P293" t="s">
        <v>43</v>
      </c>
    </row>
    <row r="294" customHeight="1" spans="1:16">
      <c r="A294" t="s">
        <v>21</v>
      </c>
      <c r="B294" t="s">
        <v>31</v>
      </c>
      <c r="C294" t="s">
        <v>3283</v>
      </c>
      <c r="D294" t="s">
        <v>1005</v>
      </c>
      <c r="K294" t="s">
        <v>19</v>
      </c>
      <c r="M294" t="s">
        <v>883</v>
      </c>
      <c r="P294" t="s">
        <v>43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41"/>
  <sheetViews>
    <sheetView workbookViewId="0">
      <pane xSplit="4" ySplit="1" topLeftCell="E101" activePane="bottomRight" state="frozen"/>
      <selection/>
      <selection pane="topRight"/>
      <selection pane="bottomLeft"/>
      <selection pane="bottomRight" activeCell="C108" sqref="C108"/>
    </sheetView>
  </sheetViews>
  <sheetFormatPr defaultColWidth="9" defaultRowHeight="15" customHeight="1"/>
  <cols>
    <col min="1" max="2" width="8.66071428571429" style="5" customWidth="1"/>
    <col min="3" max="3" width="10.9107142857143" style="5" customWidth="1"/>
    <col min="4" max="4" width="23.25" style="5" customWidth="1"/>
    <col min="5" max="9" width="8.66071428571429" style="5" customWidth="1"/>
    <col min="10" max="10" width="10.1607142857143" style="5" customWidth="1"/>
    <col min="11" max="16384" width="8.66071428571429" style="5" customWidth="1"/>
  </cols>
  <sheetData>
    <row r="1" s="1" customFormat="1" customHeight="1" spans="1:18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/>
      <c r="O1" s="6"/>
      <c r="R1" t="s">
        <v>13</v>
      </c>
    </row>
    <row r="2" customHeight="1" spans="1:18">
      <c r="A2" s="7" t="s">
        <v>14</v>
      </c>
      <c r="B2" s="1" t="s">
        <v>15</v>
      </c>
      <c r="C2" s="8" t="s">
        <v>3284</v>
      </c>
      <c r="D2" s="7" t="s">
        <v>17</v>
      </c>
      <c r="F2" t="s">
        <v>3285</v>
      </c>
      <c r="H2" s="5">
        <f>H3+H6+H7</f>
        <v>0</v>
      </c>
      <c r="I2" s="5">
        <f>I3+I6+I7</f>
        <v>0</v>
      </c>
      <c r="M2" t="s">
        <v>20</v>
      </c>
    </row>
    <row r="3" customHeight="1" spans="1:18">
      <c r="A3" s="1" t="s">
        <v>21</v>
      </c>
      <c r="B3" s="1" t="s">
        <v>15</v>
      </c>
      <c r="C3" s="8" t="s">
        <v>3286</v>
      </c>
      <c r="D3" s="1" t="s">
        <v>23</v>
      </c>
      <c r="F3" t="s">
        <v>3287</v>
      </c>
      <c r="H3" s="5">
        <f>H4+H5</f>
        <v>0</v>
      </c>
      <c r="I3" s="5">
        <f>I4+I5</f>
        <v>0</v>
      </c>
      <c r="M3" t="s">
        <v>25</v>
      </c>
    </row>
    <row r="4" customHeight="1" spans="1:18">
      <c r="A4" s="1" t="s">
        <v>26</v>
      </c>
      <c r="B4" s="1" t="s">
        <v>15</v>
      </c>
      <c r="C4" s="9" t="s">
        <v>3288</v>
      </c>
      <c r="D4" s="1" t="s">
        <v>822</v>
      </c>
      <c r="H4" s="5">
        <f>H112-H150</f>
        <v>0</v>
      </c>
      <c r="I4" s="5">
        <f>I112-I150</f>
        <v>0</v>
      </c>
      <c r="M4" t="s">
        <v>823</v>
      </c>
      <c r="R4" t="s">
        <v>43</v>
      </c>
    </row>
    <row r="5" customHeight="1" spans="1:18">
      <c r="A5" s="1" t="s">
        <v>26</v>
      </c>
      <c r="B5" s="1" t="s">
        <v>15</v>
      </c>
      <c r="C5" s="9" t="s">
        <v>3289</v>
      </c>
      <c r="D5" s="1" t="s">
        <v>829</v>
      </c>
      <c r="H5" s="5">
        <f>H205-H192</f>
        <v>0</v>
      </c>
      <c r="I5" s="5">
        <f>I205-I192</f>
        <v>0</v>
      </c>
      <c r="M5" t="s">
        <v>830</v>
      </c>
      <c r="R5" t="s">
        <v>43</v>
      </c>
    </row>
    <row r="6" customHeight="1" spans="1:18">
      <c r="A6" s="1" t="s">
        <v>21</v>
      </c>
      <c r="B6" s="1" t="s">
        <v>15</v>
      </c>
      <c r="C6" s="8" t="s">
        <v>3290</v>
      </c>
      <c r="D6" s="1" t="s">
        <v>1046</v>
      </c>
      <c r="H6" s="5">
        <f>H220-H223</f>
        <v>0</v>
      </c>
      <c r="I6" s="5">
        <f>I220-I223</f>
        <v>0</v>
      </c>
      <c r="M6" t="s">
        <v>39</v>
      </c>
      <c r="R6" t="s">
        <v>43</v>
      </c>
    </row>
    <row r="7" customHeight="1" spans="1:18">
      <c r="A7" s="1" t="s">
        <v>21</v>
      </c>
      <c r="B7" s="1" t="s">
        <v>15</v>
      </c>
      <c r="C7" s="8" t="s">
        <v>3291</v>
      </c>
      <c r="D7" s="1" t="s">
        <v>48</v>
      </c>
      <c r="H7" s="5">
        <f>H226+H257</f>
        <v>0</v>
      </c>
      <c r="I7" s="5">
        <f>I226+I257</f>
        <v>0</v>
      </c>
      <c r="M7" t="s">
        <v>49</v>
      </c>
      <c r="R7" t="s">
        <v>43</v>
      </c>
    </row>
    <row r="8" customHeight="1" spans="1:18">
      <c r="A8" s="7" t="s">
        <v>14</v>
      </c>
      <c r="B8" s="1" t="s">
        <v>31</v>
      </c>
      <c r="C8" s="8" t="s">
        <v>3292</v>
      </c>
      <c r="D8" s="7" t="s">
        <v>840</v>
      </c>
      <c r="M8" t="s">
        <v>53</v>
      </c>
      <c r="R8" t="s">
        <v>43</v>
      </c>
    </row>
    <row r="9" customHeight="1" spans="1:18">
      <c r="A9" s="7" t="s">
        <v>14</v>
      </c>
      <c r="B9" s="1" t="s">
        <v>15</v>
      </c>
      <c r="C9" s="8" t="s">
        <v>3293</v>
      </c>
      <c r="D9" s="7" t="s">
        <v>68</v>
      </c>
      <c r="F9" t="s">
        <v>3294</v>
      </c>
      <c r="H9" s="5">
        <f>H2-H8</f>
        <v>0</v>
      </c>
      <c r="I9" s="5">
        <f>I2-I8</f>
        <v>0</v>
      </c>
      <c r="M9" t="s">
        <v>70</v>
      </c>
    </row>
    <row r="10" customHeight="1" spans="1:18">
      <c r="A10" s="7" t="s">
        <v>14</v>
      </c>
      <c r="B10" s="1" t="s">
        <v>31</v>
      </c>
      <c r="C10" s="8" t="s">
        <v>3295</v>
      </c>
      <c r="D10" s="7" t="s">
        <v>72</v>
      </c>
      <c r="M10" t="s">
        <v>73</v>
      </c>
      <c r="R10" t="s">
        <v>43</v>
      </c>
    </row>
    <row r="11" customHeight="1" spans="1:18">
      <c r="A11" s="7" t="s">
        <v>14</v>
      </c>
      <c r="B11" s="1" t="s">
        <v>31</v>
      </c>
      <c r="C11" s="8" t="s">
        <v>3296</v>
      </c>
      <c r="D11" s="7" t="s">
        <v>844</v>
      </c>
      <c r="F11" t="s">
        <v>3297</v>
      </c>
      <c r="H11" s="5">
        <f>H12+H15+H18+H25+H26</f>
        <v>0</v>
      </c>
      <c r="I11" s="5">
        <f>I12+I15+I18+I25+I26</f>
        <v>0</v>
      </c>
      <c r="K11" t="s">
        <v>19</v>
      </c>
      <c r="M11" t="s">
        <v>227</v>
      </c>
    </row>
    <row r="12" customHeight="1" spans="1:18">
      <c r="A12" s="1" t="s">
        <v>21</v>
      </c>
      <c r="B12" s="1" t="s">
        <v>31</v>
      </c>
      <c r="C12" s="8" t="s">
        <v>3298</v>
      </c>
      <c r="D12" s="1" t="s">
        <v>847</v>
      </c>
      <c r="F12" t="s">
        <v>3299</v>
      </c>
      <c r="H12" s="5">
        <f>H13+H14</f>
        <v>0</v>
      </c>
      <c r="I12" s="5">
        <f>I13+I14</f>
        <v>0</v>
      </c>
      <c r="K12" t="s">
        <v>19</v>
      </c>
      <c r="M12" t="s">
        <v>231</v>
      </c>
    </row>
    <row r="13" customHeight="1" spans="1:18">
      <c r="A13" s="1" t="s">
        <v>26</v>
      </c>
      <c r="B13" s="1" t="s">
        <v>31</v>
      </c>
      <c r="C13" s="9" t="s">
        <v>3300</v>
      </c>
      <c r="D13" s="1" t="s">
        <v>83</v>
      </c>
      <c r="F13" t="s">
        <v>3301</v>
      </c>
      <c r="K13" t="s">
        <v>19</v>
      </c>
      <c r="M13" t="s">
        <v>235</v>
      </c>
    </row>
    <row r="14" customHeight="1" spans="1:18">
      <c r="A14" s="1" t="s">
        <v>26</v>
      </c>
      <c r="B14" s="1" t="s">
        <v>31</v>
      </c>
      <c r="C14" s="9" t="s">
        <v>3302</v>
      </c>
      <c r="D14" s="1" t="s">
        <v>852</v>
      </c>
      <c r="F14" t="s">
        <v>3303</v>
      </c>
      <c r="K14" t="s">
        <v>19</v>
      </c>
      <c r="M14" t="s">
        <v>306</v>
      </c>
    </row>
    <row r="15" customHeight="1" spans="1:18">
      <c r="A15" s="1" t="s">
        <v>21</v>
      </c>
      <c r="B15" s="1" t="s">
        <v>31</v>
      </c>
      <c r="C15" s="8" t="s">
        <v>3304</v>
      </c>
      <c r="D15" s="1" t="s">
        <v>92</v>
      </c>
      <c r="F15" t="s">
        <v>3305</v>
      </c>
      <c r="H15" s="5">
        <f>H16+H17</f>
        <v>0</v>
      </c>
      <c r="I15" s="5">
        <f>I16+I17</f>
        <v>0</v>
      </c>
      <c r="K15" t="s">
        <v>19</v>
      </c>
      <c r="M15" t="s">
        <v>364</v>
      </c>
    </row>
    <row r="16" customHeight="1" spans="1:18">
      <c r="A16" s="1" t="s">
        <v>26</v>
      </c>
      <c r="B16" s="1" t="s">
        <v>31</v>
      </c>
      <c r="C16" s="9" t="s">
        <v>3306</v>
      </c>
      <c r="D16" s="1" t="s">
        <v>94</v>
      </c>
      <c r="K16" t="s">
        <v>19</v>
      </c>
      <c r="M16" t="s">
        <v>1063</v>
      </c>
      <c r="R16" t="s">
        <v>43</v>
      </c>
    </row>
    <row r="17" customHeight="1" spans="1:18">
      <c r="A17" s="1" t="s">
        <v>26</v>
      </c>
      <c r="B17" s="1" t="s">
        <v>31</v>
      </c>
      <c r="C17" s="9" t="s">
        <v>3307</v>
      </c>
      <c r="D17" s="1" t="s">
        <v>96</v>
      </c>
      <c r="K17" t="s">
        <v>19</v>
      </c>
      <c r="M17" t="s">
        <v>1065</v>
      </c>
      <c r="R17" t="s">
        <v>43</v>
      </c>
    </row>
    <row r="18" customHeight="1" spans="1:18">
      <c r="A18" s="1" t="s">
        <v>21</v>
      </c>
      <c r="B18" s="1" t="s">
        <v>31</v>
      </c>
      <c r="C18" s="8" t="s">
        <v>3308</v>
      </c>
      <c r="D18" s="1" t="s">
        <v>98</v>
      </c>
      <c r="F18" t="s">
        <v>3309</v>
      </c>
      <c r="H18" s="5">
        <f>H19+H22+H23+H24</f>
        <v>0</v>
      </c>
      <c r="I18" s="5">
        <f>I19+I22+I23+I24</f>
        <v>0</v>
      </c>
      <c r="K18" t="s">
        <v>19</v>
      </c>
      <c r="M18" t="s">
        <v>859</v>
      </c>
    </row>
    <row r="19" customHeight="1" spans="1:18">
      <c r="A19" s="1" t="s">
        <v>26</v>
      </c>
      <c r="B19" s="1" t="s">
        <v>31</v>
      </c>
      <c r="C19" s="9" t="s">
        <v>3310</v>
      </c>
      <c r="D19" s="1" t="s">
        <v>861</v>
      </c>
      <c r="F19" t="s">
        <v>3311</v>
      </c>
      <c r="H19" s="5">
        <f>H20+H21</f>
        <v>0</v>
      </c>
      <c r="I19" s="5">
        <f>I20+I21</f>
        <v>0</v>
      </c>
      <c r="K19" t="s">
        <v>19</v>
      </c>
      <c r="M19" t="s">
        <v>863</v>
      </c>
    </row>
    <row r="20" customHeight="1" spans="1:18">
      <c r="A20" s="1" t="s">
        <v>236</v>
      </c>
      <c r="B20" s="1" t="s">
        <v>31</v>
      </c>
      <c r="C20" s="9" t="s">
        <v>3312</v>
      </c>
      <c r="D20" s="1" t="s">
        <v>865</v>
      </c>
      <c r="K20" t="s">
        <v>19</v>
      </c>
      <c r="M20" t="s">
        <v>866</v>
      </c>
      <c r="R20" t="s">
        <v>43</v>
      </c>
    </row>
    <row r="21" customHeight="1" spans="1:18">
      <c r="A21" s="1" t="s">
        <v>236</v>
      </c>
      <c r="B21" s="1" t="s">
        <v>31</v>
      </c>
      <c r="C21" s="9" t="s">
        <v>3313</v>
      </c>
      <c r="D21" s="1" t="s">
        <v>868</v>
      </c>
      <c r="K21" t="s">
        <v>19</v>
      </c>
      <c r="M21" t="s">
        <v>869</v>
      </c>
      <c r="R21" t="s">
        <v>43</v>
      </c>
    </row>
    <row r="22" customHeight="1" spans="1:18">
      <c r="A22" s="1" t="s">
        <v>26</v>
      </c>
      <c r="B22" s="1" t="s">
        <v>31</v>
      </c>
      <c r="C22" s="9" t="s">
        <v>3314</v>
      </c>
      <c r="D22" s="1" t="s">
        <v>871</v>
      </c>
      <c r="K22" t="s">
        <v>19</v>
      </c>
      <c r="M22" t="s">
        <v>872</v>
      </c>
      <c r="R22" t="s">
        <v>43</v>
      </c>
    </row>
    <row r="23" customHeight="1" spans="1:18">
      <c r="A23" s="1" t="s">
        <v>26</v>
      </c>
      <c r="B23" s="1" t="s">
        <v>31</v>
      </c>
      <c r="C23" s="9" t="s">
        <v>3315</v>
      </c>
      <c r="D23" s="1" t="s">
        <v>874</v>
      </c>
      <c r="K23" t="s">
        <v>19</v>
      </c>
      <c r="M23" t="s">
        <v>875</v>
      </c>
      <c r="R23" t="s">
        <v>43</v>
      </c>
    </row>
    <row r="24" customHeight="1" spans="1:18">
      <c r="A24" s="1" t="s">
        <v>26</v>
      </c>
      <c r="B24" s="1" t="s">
        <v>31</v>
      </c>
      <c r="C24" s="9" t="s">
        <v>3316</v>
      </c>
      <c r="D24" s="1" t="s">
        <v>877</v>
      </c>
      <c r="K24" t="s">
        <v>19</v>
      </c>
      <c r="M24" t="s">
        <v>878</v>
      </c>
      <c r="R24" t="s">
        <v>43</v>
      </c>
    </row>
    <row r="25" customHeight="1" spans="1:18">
      <c r="A25" s="1" t="s">
        <v>21</v>
      </c>
      <c r="B25" s="1" t="s">
        <v>31</v>
      </c>
      <c r="C25" s="8" t="s">
        <v>3317</v>
      </c>
      <c r="D25" s="1" t="s">
        <v>880</v>
      </c>
      <c r="K25" t="s">
        <v>19</v>
      </c>
      <c r="M25" t="s">
        <v>881</v>
      </c>
      <c r="R25" t="s">
        <v>43</v>
      </c>
    </row>
    <row r="26" customHeight="1" spans="1:18">
      <c r="A26" s="1" t="s">
        <v>21</v>
      </c>
      <c r="B26" s="1" t="s">
        <v>31</v>
      </c>
      <c r="C26" s="8" t="s">
        <v>3318</v>
      </c>
      <c r="D26" s="1" t="s">
        <v>101</v>
      </c>
      <c r="K26" t="s">
        <v>19</v>
      </c>
      <c r="M26" t="s">
        <v>883</v>
      </c>
      <c r="R26" t="s">
        <v>43</v>
      </c>
    </row>
    <row r="27" customHeight="1" spans="1:18">
      <c r="A27" s="7" t="s">
        <v>14</v>
      </c>
      <c r="B27" s="1" t="s">
        <v>15</v>
      </c>
      <c r="C27" s="8" t="s">
        <v>3319</v>
      </c>
      <c r="D27" s="7" t="s">
        <v>104</v>
      </c>
      <c r="M27" t="s">
        <v>105</v>
      </c>
      <c r="R27" t="s">
        <v>43</v>
      </c>
    </row>
    <row r="28" customHeight="1" spans="1:18">
      <c r="A28" s="7" t="s">
        <v>14</v>
      </c>
      <c r="B28" s="1" t="s">
        <v>106</v>
      </c>
      <c r="C28" s="8" t="s">
        <v>3320</v>
      </c>
      <c r="D28" s="7" t="s">
        <v>886</v>
      </c>
      <c r="F28" t="s">
        <v>3321</v>
      </c>
      <c r="H28" s="5">
        <f>H9-H10-H11+H27</f>
        <v>0</v>
      </c>
      <c r="I28" s="5">
        <f>I9-I10-I11+I27</f>
        <v>0</v>
      </c>
      <c r="M28" t="s">
        <v>887</v>
      </c>
    </row>
    <row r="29" customHeight="1" spans="1:18">
      <c r="A29" s="7" t="s">
        <v>14</v>
      </c>
      <c r="B29" s="1" t="s">
        <v>31</v>
      </c>
      <c r="C29" s="8" t="s">
        <v>3322</v>
      </c>
      <c r="D29" s="7" t="s">
        <v>889</v>
      </c>
      <c r="M29" t="s">
        <v>890</v>
      </c>
      <c r="R29" t="s">
        <v>43</v>
      </c>
    </row>
    <row r="30" customHeight="1" spans="1:18">
      <c r="A30" s="7" t="s">
        <v>14</v>
      </c>
      <c r="B30" s="1" t="s">
        <v>106</v>
      </c>
      <c r="C30" s="8" t="s">
        <v>3323</v>
      </c>
      <c r="D30" s="7" t="s">
        <v>108</v>
      </c>
      <c r="F30" t="s">
        <v>3324</v>
      </c>
      <c r="H30" s="5">
        <f>H28-H29</f>
        <v>0</v>
      </c>
      <c r="I30" s="5">
        <f>I28-I29</f>
        <v>0</v>
      </c>
      <c r="M30" t="s">
        <v>110</v>
      </c>
    </row>
    <row r="31" customHeight="1" spans="1:18">
      <c r="A31" s="1"/>
      <c r="B31" s="1"/>
      <c r="C31" s="9"/>
      <c r="D31" s="1"/>
    </row>
    <row r="32" customHeight="1" spans="1:18">
      <c r="A32" s="11" t="s">
        <v>14</v>
      </c>
      <c r="B32" s="11" t="s">
        <v>118</v>
      </c>
      <c r="C32" s="11" t="s">
        <v>3325</v>
      </c>
      <c r="D32" s="11" t="s">
        <v>1963</v>
      </c>
      <c r="F32" t="s">
        <v>3326</v>
      </c>
      <c r="H32" s="5">
        <f>H33</f>
        <v>0</v>
      </c>
      <c r="I32" s="5">
        <f>I33</f>
        <v>0</v>
      </c>
      <c r="M32" t="s">
        <v>122</v>
      </c>
    </row>
    <row r="33" customHeight="1" spans="1:18">
      <c r="A33" s="10" t="s">
        <v>21</v>
      </c>
      <c r="B33" s="10" t="s">
        <v>118</v>
      </c>
      <c r="C33" s="10" t="s">
        <v>3326</v>
      </c>
      <c r="D33" s="10" t="s">
        <v>903</v>
      </c>
      <c r="F33" t="s">
        <v>3327</v>
      </c>
      <c r="H33" s="5">
        <f>H34</f>
        <v>0</v>
      </c>
      <c r="I33" s="5">
        <f>I34</f>
        <v>0</v>
      </c>
      <c r="M33" t="s">
        <v>126</v>
      </c>
    </row>
    <row r="34" customHeight="1" spans="1:18">
      <c r="A34" s="10" t="s">
        <v>26</v>
      </c>
      <c r="B34" s="10" t="s">
        <v>118</v>
      </c>
      <c r="C34" s="10" t="s">
        <v>3327</v>
      </c>
      <c r="D34" s="10" t="s">
        <v>132</v>
      </c>
      <c r="M34" t="s">
        <v>133</v>
      </c>
      <c r="R34" t="s">
        <v>130</v>
      </c>
    </row>
    <row r="35" customHeight="1" spans="1:18">
      <c r="A35" s="11" t="s">
        <v>14</v>
      </c>
      <c r="B35" s="11" t="s">
        <v>515</v>
      </c>
      <c r="C35" s="11" t="s">
        <v>3328</v>
      </c>
      <c r="D35" s="11" t="s">
        <v>899</v>
      </c>
      <c r="F35" t="s">
        <v>3329</v>
      </c>
      <c r="H35" s="5">
        <f>H36</f>
        <v>0</v>
      </c>
      <c r="I35" s="5">
        <f>I36</f>
        <v>0</v>
      </c>
      <c r="M35" t="s">
        <v>901</v>
      </c>
    </row>
    <row r="36" customHeight="1" spans="1:18">
      <c r="A36" s="10" t="s">
        <v>21</v>
      </c>
      <c r="B36" s="10" t="s">
        <v>515</v>
      </c>
      <c r="C36" s="10" t="s">
        <v>3329</v>
      </c>
      <c r="D36" s="10" t="s">
        <v>903</v>
      </c>
      <c r="F36" t="s">
        <v>3330</v>
      </c>
      <c r="H36" s="5">
        <f>H37</f>
        <v>0</v>
      </c>
      <c r="I36" s="5">
        <f>I37</f>
        <v>0</v>
      </c>
      <c r="M36" t="s">
        <v>521</v>
      </c>
    </row>
    <row r="37" customHeight="1" spans="1:18">
      <c r="A37" s="10" t="s">
        <v>26</v>
      </c>
      <c r="B37" s="10" t="s">
        <v>515</v>
      </c>
      <c r="C37" s="10" t="s">
        <v>3330</v>
      </c>
      <c r="D37" s="10" t="s">
        <v>132</v>
      </c>
      <c r="M37" t="s">
        <v>526</v>
      </c>
      <c r="R37" t="s">
        <v>524</v>
      </c>
    </row>
    <row r="38" customHeight="1" spans="1:18">
      <c r="A38" s="10"/>
      <c r="B38" s="10"/>
      <c r="C38" s="10"/>
      <c r="D38" s="10"/>
    </row>
    <row r="39" customHeight="1" spans="1:18">
      <c r="A39" s="1" t="s">
        <v>14</v>
      </c>
      <c r="B39" s="1" t="s">
        <v>118</v>
      </c>
      <c r="C39" s="9" t="s">
        <v>3331</v>
      </c>
      <c r="D39" s="10" t="s">
        <v>3332</v>
      </c>
      <c r="F39" t="s">
        <v>3333</v>
      </c>
      <c r="H39" s="5">
        <f>H40+H41</f>
        <v>0</v>
      </c>
      <c r="I39" s="5">
        <f>I40+I41</f>
        <v>0</v>
      </c>
      <c r="M39" t="s">
        <v>453</v>
      </c>
      <c r="N39" s="1"/>
      <c r="O39" s="1"/>
      <c r="P39" s="9"/>
      <c r="Q39" s="10"/>
    </row>
    <row r="40" customHeight="1" spans="1:18">
      <c r="A40" s="10" t="s">
        <v>21</v>
      </c>
      <c r="B40" s="10" t="s">
        <v>118</v>
      </c>
      <c r="C40" s="10" t="s">
        <v>3334</v>
      </c>
      <c r="D40" s="10" t="s">
        <v>3335</v>
      </c>
      <c r="M40" t="s">
        <v>3336</v>
      </c>
      <c r="N40" s="10"/>
      <c r="O40" s="10"/>
      <c r="P40" s="10"/>
      <c r="Q40" s="10"/>
      <c r="R40" t="s">
        <v>130</v>
      </c>
    </row>
    <row r="41" customHeight="1" spans="1:18">
      <c r="A41" s="10" t="s">
        <v>21</v>
      </c>
      <c r="B41" s="10" t="s">
        <v>118</v>
      </c>
      <c r="C41" s="10" t="s">
        <v>3337</v>
      </c>
      <c r="D41" s="10" t="s">
        <v>3338</v>
      </c>
      <c r="M41" t="s">
        <v>3339</v>
      </c>
      <c r="N41" s="10"/>
      <c r="O41" s="10"/>
      <c r="P41" s="10"/>
      <c r="Q41" s="10"/>
      <c r="R41" t="s">
        <v>130</v>
      </c>
    </row>
    <row r="42" customHeight="1" spans="1:18">
      <c r="A42" s="11" t="s">
        <v>14</v>
      </c>
      <c r="B42" s="11" t="s">
        <v>515</v>
      </c>
      <c r="C42" s="10" t="s">
        <v>3340</v>
      </c>
      <c r="D42" s="10" t="s">
        <v>3341</v>
      </c>
      <c r="F42" t="s">
        <v>3342</v>
      </c>
      <c r="H42" s="5">
        <f>H43+H44</f>
        <v>0</v>
      </c>
      <c r="I42" s="5">
        <f>I43+I44</f>
        <v>0</v>
      </c>
      <c r="M42" t="s">
        <v>528</v>
      </c>
      <c r="N42" s="11"/>
      <c r="O42" s="11"/>
      <c r="P42" s="10"/>
      <c r="Q42" s="10"/>
    </row>
    <row r="43" customHeight="1" spans="1:18">
      <c r="A43" s="10" t="s">
        <v>21</v>
      </c>
      <c r="B43" s="10" t="s">
        <v>515</v>
      </c>
      <c r="C43" s="10" t="s">
        <v>3343</v>
      </c>
      <c r="D43" s="10" t="s">
        <v>3335</v>
      </c>
      <c r="M43" t="s">
        <v>3344</v>
      </c>
      <c r="N43" s="10"/>
      <c r="O43" s="10"/>
      <c r="P43" s="10"/>
      <c r="Q43" s="10"/>
      <c r="R43" t="s">
        <v>524</v>
      </c>
    </row>
    <row r="44" customHeight="1" spans="1:18">
      <c r="A44" s="10" t="s">
        <v>21</v>
      </c>
      <c r="B44" s="10" t="s">
        <v>515</v>
      </c>
      <c r="C44" s="10" t="s">
        <v>3345</v>
      </c>
      <c r="D44" s="10" t="s">
        <v>3338</v>
      </c>
      <c r="M44" t="s">
        <v>3346</v>
      </c>
      <c r="N44" s="10"/>
      <c r="O44" s="10"/>
      <c r="P44" s="10"/>
      <c r="Q44" s="10"/>
      <c r="R44" t="s">
        <v>524</v>
      </c>
    </row>
    <row r="45" customHeight="1" spans="1:18">
      <c r="A45" s="10"/>
      <c r="B45" s="10"/>
      <c r="C45" s="10"/>
      <c r="D45" s="10"/>
      <c r="N45" s="10"/>
      <c r="O45" s="10"/>
      <c r="P45" s="10"/>
      <c r="Q45" s="10"/>
    </row>
    <row r="46" customHeight="1" spans="1:18">
      <c r="A46" s="7" t="s">
        <v>14</v>
      </c>
      <c r="B46" s="1" t="s">
        <v>118</v>
      </c>
      <c r="C46" s="11" t="s">
        <v>3347</v>
      </c>
      <c r="D46" s="11" t="s">
        <v>1118</v>
      </c>
      <c r="F46" t="s">
        <v>3348</v>
      </c>
      <c r="H46" s="5">
        <f>H47+H48+H49+H50+H65+H68</f>
        <v>0</v>
      </c>
      <c r="I46" s="5">
        <f>I47+I48+I49+I50+I65+I68</f>
        <v>0</v>
      </c>
      <c r="M46" t="s">
        <v>1120</v>
      </c>
      <c r="N46" s="7"/>
      <c r="O46" s="1"/>
      <c r="P46" s="11"/>
      <c r="Q46" s="11"/>
    </row>
    <row r="47" customHeight="1" spans="1:18">
      <c r="A47" s="10" t="s">
        <v>21</v>
      </c>
      <c r="B47" s="10" t="s">
        <v>118</v>
      </c>
      <c r="C47" s="10" t="s">
        <v>3349</v>
      </c>
      <c r="D47" s="10" t="s">
        <v>736</v>
      </c>
      <c r="M47" t="s">
        <v>460</v>
      </c>
      <c r="N47" s="10"/>
      <c r="O47" s="10"/>
      <c r="P47" s="10"/>
      <c r="Q47" s="10"/>
      <c r="R47" t="s">
        <v>130</v>
      </c>
    </row>
    <row r="48" customHeight="1" spans="1:18">
      <c r="A48" s="10" t="s">
        <v>21</v>
      </c>
      <c r="B48" s="10" t="s">
        <v>118</v>
      </c>
      <c r="C48" s="10" t="s">
        <v>3350</v>
      </c>
      <c r="D48" s="10" t="s">
        <v>737</v>
      </c>
      <c r="M48" t="s">
        <v>463</v>
      </c>
      <c r="N48" s="10"/>
      <c r="O48" s="10"/>
      <c r="P48" s="10"/>
      <c r="Q48" s="10"/>
      <c r="R48" t="s">
        <v>130</v>
      </c>
    </row>
    <row r="49" customHeight="1" spans="1:18">
      <c r="A49" s="10" t="s">
        <v>21</v>
      </c>
      <c r="B49" s="10" t="s">
        <v>118</v>
      </c>
      <c r="C49" s="10" t="s">
        <v>3351</v>
      </c>
      <c r="D49" s="10" t="s">
        <v>738</v>
      </c>
      <c r="M49" t="s">
        <v>466</v>
      </c>
      <c r="N49" s="10"/>
      <c r="O49" s="10"/>
      <c r="P49" s="10"/>
      <c r="Q49" s="10"/>
      <c r="R49" t="s">
        <v>130</v>
      </c>
    </row>
    <row r="50" customHeight="1" spans="1:18">
      <c r="A50" s="10" t="s">
        <v>21</v>
      </c>
      <c r="B50" s="10" t="s">
        <v>118</v>
      </c>
      <c r="C50" s="10" t="s">
        <v>3352</v>
      </c>
      <c r="D50" s="10" t="s">
        <v>739</v>
      </c>
      <c r="F50" t="s">
        <v>3353</v>
      </c>
      <c r="H50" s="5">
        <f>H51+H54+H55+H56+H57+H58+H59+H60+H63+H64</f>
        <v>0</v>
      </c>
      <c r="I50" s="5">
        <f>I51+I54+I55+I56+I57+I58+I59+I60+I63+I64</f>
        <v>0</v>
      </c>
      <c r="M50" t="s">
        <v>469</v>
      </c>
      <c r="N50" s="10"/>
      <c r="O50" s="10"/>
      <c r="P50" s="10"/>
      <c r="Q50" s="10"/>
    </row>
    <row r="51" customHeight="1" spans="1:18">
      <c r="A51" s="10" t="s">
        <v>26</v>
      </c>
      <c r="B51" s="10" t="s">
        <v>118</v>
      </c>
      <c r="C51" s="10" t="s">
        <v>3354</v>
      </c>
      <c r="D51" s="10" t="s">
        <v>3355</v>
      </c>
      <c r="F51" t="s">
        <v>3356</v>
      </c>
      <c r="H51" s="5">
        <f>H52+H53</f>
        <v>0</v>
      </c>
      <c r="I51" s="5">
        <f>I52+I53</f>
        <v>0</v>
      </c>
      <c r="M51" t="s">
        <v>3357</v>
      </c>
      <c r="N51" s="10"/>
      <c r="O51" s="10"/>
      <c r="P51" s="10"/>
      <c r="Q51" s="10"/>
    </row>
    <row r="52" customHeight="1" spans="1:18">
      <c r="A52" s="10" t="s">
        <v>236</v>
      </c>
      <c r="B52" s="10" t="s">
        <v>118</v>
      </c>
      <c r="C52" s="10" t="s">
        <v>3358</v>
      </c>
      <c r="D52" s="10" t="s">
        <v>3359</v>
      </c>
      <c r="M52" t="s">
        <v>3360</v>
      </c>
      <c r="N52" s="10"/>
      <c r="O52" s="10"/>
      <c r="P52" s="10"/>
      <c r="Q52" s="10"/>
      <c r="R52" t="s">
        <v>130</v>
      </c>
    </row>
    <row r="53" customHeight="1" spans="1:18">
      <c r="A53" s="10" t="s">
        <v>236</v>
      </c>
      <c r="B53" s="10" t="s">
        <v>118</v>
      </c>
      <c r="C53" s="10" t="s">
        <v>3361</v>
      </c>
      <c r="D53" s="10" t="s">
        <v>3362</v>
      </c>
      <c r="M53" t="s">
        <v>3363</v>
      </c>
      <c r="N53" s="10"/>
      <c r="O53" s="10"/>
      <c r="P53" s="10"/>
      <c r="Q53" s="10"/>
      <c r="R53" t="s">
        <v>130</v>
      </c>
    </row>
    <row r="54" customHeight="1" spans="1:18">
      <c r="A54" s="10" t="s">
        <v>26</v>
      </c>
      <c r="B54" s="10" t="s">
        <v>118</v>
      </c>
      <c r="C54" s="10" t="s">
        <v>3364</v>
      </c>
      <c r="D54" s="10" t="s">
        <v>3365</v>
      </c>
      <c r="M54" t="s">
        <v>3366</v>
      </c>
      <c r="N54" s="10"/>
      <c r="O54" s="10"/>
      <c r="P54" s="10"/>
      <c r="Q54" s="10"/>
      <c r="R54" t="s">
        <v>130</v>
      </c>
    </row>
    <row r="55" customHeight="1" spans="1:18">
      <c r="A55" s="10" t="s">
        <v>26</v>
      </c>
      <c r="B55" s="10" t="s">
        <v>118</v>
      </c>
      <c r="C55" s="10" t="s">
        <v>3367</v>
      </c>
      <c r="D55" s="10" t="s">
        <v>3368</v>
      </c>
      <c r="M55" t="s">
        <v>3369</v>
      </c>
      <c r="N55" s="10"/>
      <c r="O55" s="10"/>
      <c r="P55" s="10"/>
      <c r="Q55" s="10"/>
      <c r="R55" t="s">
        <v>130</v>
      </c>
    </row>
    <row r="56" customHeight="1" spans="1:18">
      <c r="A56" s="10" t="s">
        <v>26</v>
      </c>
      <c r="B56" s="10" t="s">
        <v>118</v>
      </c>
      <c r="C56" s="10" t="s">
        <v>3370</v>
      </c>
      <c r="D56" s="10" t="s">
        <v>3371</v>
      </c>
      <c r="M56" t="s">
        <v>3372</v>
      </c>
      <c r="N56" s="10"/>
      <c r="O56" s="10"/>
      <c r="P56" s="10"/>
      <c r="Q56" s="10"/>
      <c r="R56" t="s">
        <v>130</v>
      </c>
    </row>
    <row r="57" customHeight="1" spans="1:18">
      <c r="A57" s="10" t="s">
        <v>26</v>
      </c>
      <c r="B57" s="10" t="s">
        <v>118</v>
      </c>
      <c r="C57" s="10" t="s">
        <v>3373</v>
      </c>
      <c r="D57" s="10" t="s">
        <v>3374</v>
      </c>
      <c r="M57" t="s">
        <v>3375</v>
      </c>
      <c r="N57" s="10"/>
      <c r="O57" s="10"/>
      <c r="P57" s="10"/>
      <c r="Q57" s="10"/>
      <c r="R57" t="s">
        <v>130</v>
      </c>
    </row>
    <row r="58" customHeight="1" spans="1:18">
      <c r="A58" s="10" t="s">
        <v>26</v>
      </c>
      <c r="B58" s="10" t="s">
        <v>118</v>
      </c>
      <c r="C58" s="10" t="s">
        <v>3376</v>
      </c>
      <c r="D58" s="10" t="s">
        <v>3377</v>
      </c>
      <c r="M58" t="s">
        <v>3378</v>
      </c>
      <c r="N58" s="10"/>
      <c r="O58" s="10"/>
      <c r="P58" s="10"/>
      <c r="Q58" s="10"/>
      <c r="R58" t="s">
        <v>130</v>
      </c>
    </row>
    <row r="59" customHeight="1" spans="1:18">
      <c r="A59" s="10" t="s">
        <v>26</v>
      </c>
      <c r="B59" s="10" t="s">
        <v>118</v>
      </c>
      <c r="C59" s="10" t="s">
        <v>3379</v>
      </c>
      <c r="D59" s="10" t="s">
        <v>3380</v>
      </c>
      <c r="M59" t="s">
        <v>3381</v>
      </c>
      <c r="N59" s="10"/>
      <c r="O59" s="10"/>
      <c r="P59" s="10"/>
      <c r="Q59" s="10"/>
      <c r="R59" t="s">
        <v>130</v>
      </c>
    </row>
    <row r="60" customHeight="1" spans="1:18">
      <c r="A60" s="10" t="s">
        <v>26</v>
      </c>
      <c r="B60" s="10" t="s">
        <v>118</v>
      </c>
      <c r="C60" s="10" t="s">
        <v>3382</v>
      </c>
      <c r="D60" s="10" t="s">
        <v>3383</v>
      </c>
      <c r="F60" t="s">
        <v>3384</v>
      </c>
      <c r="H60" s="5">
        <f>H61+H62</f>
        <v>0</v>
      </c>
      <c r="I60" s="5">
        <f>I61+I62</f>
        <v>0</v>
      </c>
      <c r="M60" t="s">
        <v>3385</v>
      </c>
      <c r="N60" s="10"/>
      <c r="O60" s="10"/>
      <c r="P60" s="10"/>
      <c r="Q60" s="10"/>
    </row>
    <row r="61" customHeight="1" spans="1:18">
      <c r="A61" s="10" t="s">
        <v>26</v>
      </c>
      <c r="B61" s="10" t="s">
        <v>118</v>
      </c>
      <c r="C61" s="10" t="s">
        <v>3386</v>
      </c>
      <c r="D61" s="10" t="s">
        <v>3359</v>
      </c>
      <c r="M61" t="s">
        <v>3387</v>
      </c>
      <c r="N61" s="10"/>
      <c r="O61" s="10"/>
      <c r="P61" s="10"/>
      <c r="Q61" s="10"/>
      <c r="R61" t="s">
        <v>130</v>
      </c>
    </row>
    <row r="62" customHeight="1" spans="1:18">
      <c r="A62" s="10" t="s">
        <v>26</v>
      </c>
      <c r="B62" s="10" t="s">
        <v>118</v>
      </c>
      <c r="C62" s="10" t="s">
        <v>3388</v>
      </c>
      <c r="D62" s="10" t="s">
        <v>3362</v>
      </c>
      <c r="M62" t="s">
        <v>3389</v>
      </c>
      <c r="N62" s="10"/>
      <c r="O62" s="10"/>
      <c r="P62" s="10"/>
      <c r="Q62" s="10"/>
      <c r="R62" t="s">
        <v>130</v>
      </c>
    </row>
    <row r="63" customHeight="1" spans="1:18">
      <c r="A63" s="10" t="s">
        <v>26</v>
      </c>
      <c r="B63" s="10" t="s">
        <v>118</v>
      </c>
      <c r="C63" s="10" t="s">
        <v>3390</v>
      </c>
      <c r="D63" s="10" t="s">
        <v>2862</v>
      </c>
      <c r="M63" t="s">
        <v>2917</v>
      </c>
      <c r="N63" s="10"/>
      <c r="O63" s="10"/>
      <c r="P63" s="10"/>
      <c r="Q63" s="10"/>
      <c r="R63" t="s">
        <v>130</v>
      </c>
    </row>
    <row r="64" customHeight="1" spans="1:18">
      <c r="A64" s="10" t="s">
        <v>26</v>
      </c>
      <c r="B64" s="10" t="s">
        <v>118</v>
      </c>
      <c r="C64" s="10" t="s">
        <v>3391</v>
      </c>
      <c r="D64" s="10" t="s">
        <v>3392</v>
      </c>
      <c r="M64" t="s">
        <v>3393</v>
      </c>
      <c r="N64" s="10"/>
      <c r="O64" s="10"/>
      <c r="P64" s="10"/>
      <c r="Q64" s="10"/>
      <c r="R64" t="s">
        <v>130</v>
      </c>
    </row>
    <row r="65" customHeight="1" spans="1:18">
      <c r="A65" s="10" t="s">
        <v>21</v>
      </c>
      <c r="B65" s="10" t="s">
        <v>118</v>
      </c>
      <c r="C65" s="10" t="s">
        <v>3394</v>
      </c>
      <c r="D65" s="10" t="s">
        <v>740</v>
      </c>
      <c r="F65" t="s">
        <v>3395</v>
      </c>
      <c r="H65" s="5">
        <f>H66+H67</f>
        <v>0</v>
      </c>
      <c r="I65" s="5">
        <f>I66+I67</f>
        <v>0</v>
      </c>
      <c r="M65" t="s">
        <v>472</v>
      </c>
      <c r="N65" s="10"/>
      <c r="O65" s="10"/>
      <c r="P65" s="10"/>
      <c r="Q65" s="10"/>
    </row>
    <row r="66" customHeight="1" spans="1:18">
      <c r="A66" s="10" t="s">
        <v>26</v>
      </c>
      <c r="B66" s="10" t="s">
        <v>118</v>
      </c>
      <c r="C66" s="10" t="s">
        <v>3396</v>
      </c>
      <c r="D66" s="10" t="s">
        <v>3397</v>
      </c>
      <c r="M66" t="s">
        <v>3398</v>
      </c>
      <c r="N66" s="10"/>
      <c r="O66" s="10"/>
      <c r="P66" s="10"/>
      <c r="Q66" s="10"/>
      <c r="R66" t="s">
        <v>130</v>
      </c>
    </row>
    <row r="67" customHeight="1" spans="1:18">
      <c r="A67" s="10" t="s">
        <v>26</v>
      </c>
      <c r="B67" s="10" t="s">
        <v>118</v>
      </c>
      <c r="C67" s="10" t="s">
        <v>3399</v>
      </c>
      <c r="D67" s="10" t="s">
        <v>3400</v>
      </c>
      <c r="M67" t="s">
        <v>3401</v>
      </c>
      <c r="N67" s="10"/>
      <c r="O67" s="10"/>
      <c r="P67" s="10"/>
      <c r="Q67" s="10"/>
      <c r="R67" t="s">
        <v>130</v>
      </c>
    </row>
    <row r="68" customHeight="1" spans="1:18">
      <c r="A68" s="10" t="s">
        <v>21</v>
      </c>
      <c r="B68" s="10" t="s">
        <v>118</v>
      </c>
      <c r="C68" s="10" t="s">
        <v>3402</v>
      </c>
      <c r="D68" s="10" t="s">
        <v>3403</v>
      </c>
      <c r="F68" t="s">
        <v>3404</v>
      </c>
      <c r="H68" s="5">
        <f>H69+H70</f>
        <v>0</v>
      </c>
      <c r="I68" s="5">
        <f>I69+I70</f>
        <v>0</v>
      </c>
      <c r="M68" t="s">
        <v>475</v>
      </c>
      <c r="N68" s="10"/>
      <c r="O68" s="10"/>
      <c r="P68" s="10"/>
      <c r="Q68" s="10"/>
    </row>
    <row r="69" customHeight="1" spans="1:18">
      <c r="A69" s="10" t="s">
        <v>26</v>
      </c>
      <c r="B69" s="10" t="s">
        <v>118</v>
      </c>
      <c r="C69" s="10" t="s">
        <v>3405</v>
      </c>
      <c r="D69" s="10" t="s">
        <v>3406</v>
      </c>
      <c r="M69" t="s">
        <v>3407</v>
      </c>
      <c r="N69" s="10"/>
      <c r="O69" s="10"/>
      <c r="P69" s="10"/>
      <c r="Q69" s="10"/>
      <c r="R69" t="s">
        <v>130</v>
      </c>
    </row>
    <row r="70" customHeight="1" spans="1:18">
      <c r="A70" s="10" t="s">
        <v>26</v>
      </c>
      <c r="B70" s="10" t="s">
        <v>118</v>
      </c>
      <c r="C70" s="10" t="s">
        <v>3408</v>
      </c>
      <c r="D70" s="10" t="s">
        <v>3409</v>
      </c>
      <c r="M70" t="s">
        <v>3410</v>
      </c>
      <c r="N70" s="10"/>
      <c r="O70" s="10"/>
      <c r="P70" s="10"/>
      <c r="Q70" s="10"/>
      <c r="R70" t="s">
        <v>130</v>
      </c>
    </row>
    <row r="71" customHeight="1" spans="1:18">
      <c r="A71" s="10"/>
      <c r="B71" s="10"/>
      <c r="C71" s="10"/>
      <c r="D71" s="10"/>
    </row>
    <row r="72" customHeight="1" spans="1:18">
      <c r="A72" s="7" t="s">
        <v>14</v>
      </c>
      <c r="B72" s="1" t="s">
        <v>515</v>
      </c>
      <c r="C72" s="11" t="s">
        <v>3411</v>
      </c>
      <c r="D72" s="11" t="s">
        <v>1123</v>
      </c>
      <c r="F72" t="s">
        <v>3412</v>
      </c>
      <c r="H72" s="5">
        <f>H73+H74+H75+H76+H87+H88+H91</f>
        <v>0</v>
      </c>
      <c r="I72" s="5">
        <f>I73+I74+I75+I76+I87+I88+I91</f>
        <v>0</v>
      </c>
      <c r="M72" t="s">
        <v>1125</v>
      </c>
      <c r="N72" s="7"/>
      <c r="O72" s="1"/>
      <c r="P72" s="11"/>
      <c r="Q72" s="11"/>
    </row>
    <row r="73" customHeight="1" spans="1:18">
      <c r="A73" s="11" t="s">
        <v>21</v>
      </c>
      <c r="B73" s="11" t="s">
        <v>515</v>
      </c>
      <c r="C73" s="11" t="s">
        <v>3413</v>
      </c>
      <c r="D73" s="11" t="s">
        <v>736</v>
      </c>
      <c r="M73" t="s">
        <v>532</v>
      </c>
      <c r="N73" s="10"/>
      <c r="O73" s="10"/>
      <c r="P73" s="10"/>
      <c r="Q73" s="10"/>
      <c r="R73" t="s">
        <v>524</v>
      </c>
    </row>
    <row r="74" customHeight="1" spans="1:18">
      <c r="A74" s="11" t="s">
        <v>21</v>
      </c>
      <c r="B74" s="11" t="s">
        <v>515</v>
      </c>
      <c r="C74" s="11" t="s">
        <v>3414</v>
      </c>
      <c r="D74" s="11" t="s">
        <v>737</v>
      </c>
      <c r="M74" t="s">
        <v>534</v>
      </c>
      <c r="N74" s="10"/>
      <c r="O74" s="10"/>
      <c r="P74" s="10"/>
      <c r="Q74" s="10"/>
      <c r="R74" t="s">
        <v>524</v>
      </c>
    </row>
    <row r="75" customHeight="1" spans="1:18">
      <c r="A75" s="11" t="s">
        <v>21</v>
      </c>
      <c r="B75" s="11" t="s">
        <v>515</v>
      </c>
      <c r="C75" s="11" t="s">
        <v>3415</v>
      </c>
      <c r="D75" s="11" t="s">
        <v>738</v>
      </c>
      <c r="M75" t="s">
        <v>536</v>
      </c>
      <c r="N75" s="10"/>
      <c r="O75" s="10"/>
      <c r="P75" s="10"/>
      <c r="Q75" s="10"/>
      <c r="R75" t="s">
        <v>524</v>
      </c>
    </row>
    <row r="76" customHeight="1" spans="1:18">
      <c r="A76" s="11" t="s">
        <v>21</v>
      </c>
      <c r="B76" s="11" t="s">
        <v>515</v>
      </c>
      <c r="C76" s="11" t="s">
        <v>3416</v>
      </c>
      <c r="D76" s="11" t="s">
        <v>739</v>
      </c>
      <c r="F76" t="s">
        <v>3417</v>
      </c>
      <c r="H76" s="5">
        <f>H77+H78+H79+H80+H81+H82+H83+H84+H85+H86</f>
        <v>0</v>
      </c>
      <c r="I76" s="5">
        <f>I77+I78+I79+I80+I81+I82+I83+I84+I85+I86</f>
        <v>0</v>
      </c>
      <c r="M76" t="s">
        <v>539</v>
      </c>
      <c r="N76" s="10"/>
      <c r="O76" s="10"/>
      <c r="P76" s="10"/>
      <c r="Q76" s="10"/>
    </row>
    <row r="77" customHeight="1" spans="1:18">
      <c r="A77" s="10" t="s">
        <v>26</v>
      </c>
      <c r="B77" s="10" t="s">
        <v>515</v>
      </c>
      <c r="C77" s="10" t="s">
        <v>3418</v>
      </c>
      <c r="D77" s="10" t="s">
        <v>3355</v>
      </c>
      <c r="M77" t="s">
        <v>3419</v>
      </c>
      <c r="N77" s="10"/>
      <c r="O77" s="10"/>
      <c r="P77" s="10"/>
      <c r="Q77" s="10"/>
      <c r="R77" t="s">
        <v>524</v>
      </c>
    </row>
    <row r="78" customHeight="1" spans="1:18">
      <c r="A78" s="10" t="s">
        <v>26</v>
      </c>
      <c r="B78" s="10" t="s">
        <v>515</v>
      </c>
      <c r="C78" s="10" t="s">
        <v>3420</v>
      </c>
      <c r="D78" s="10" t="s">
        <v>3365</v>
      </c>
      <c r="M78" t="s">
        <v>3421</v>
      </c>
      <c r="N78" s="10"/>
      <c r="O78" s="10"/>
      <c r="P78" s="10"/>
      <c r="Q78" s="10"/>
      <c r="R78" t="s">
        <v>524</v>
      </c>
    </row>
    <row r="79" customHeight="1" spans="1:18">
      <c r="A79" s="10" t="s">
        <v>26</v>
      </c>
      <c r="B79" s="10" t="s">
        <v>515</v>
      </c>
      <c r="C79" s="10" t="s">
        <v>3422</v>
      </c>
      <c r="D79" s="10" t="s">
        <v>3368</v>
      </c>
      <c r="M79" t="s">
        <v>3423</v>
      </c>
      <c r="N79" s="10"/>
      <c r="O79" s="10"/>
      <c r="P79" s="10"/>
      <c r="Q79" s="10"/>
      <c r="R79" t="s">
        <v>524</v>
      </c>
    </row>
    <row r="80" customHeight="1" spans="1:18">
      <c r="A80" s="10" t="s">
        <v>26</v>
      </c>
      <c r="B80" s="10" t="s">
        <v>515</v>
      </c>
      <c r="C80" s="10" t="s">
        <v>3424</v>
      </c>
      <c r="D80" s="10" t="s">
        <v>3371</v>
      </c>
      <c r="M80" t="s">
        <v>3425</v>
      </c>
      <c r="N80" s="10"/>
      <c r="O80" s="10"/>
      <c r="P80" s="10"/>
      <c r="Q80" s="10"/>
      <c r="R80" t="s">
        <v>524</v>
      </c>
    </row>
    <row r="81" customHeight="1" spans="1:18">
      <c r="A81" s="10" t="s">
        <v>26</v>
      </c>
      <c r="B81" s="10" t="s">
        <v>515</v>
      </c>
      <c r="C81" s="10" t="s">
        <v>3426</v>
      </c>
      <c r="D81" s="10" t="s">
        <v>3374</v>
      </c>
      <c r="M81" t="s">
        <v>3427</v>
      </c>
      <c r="N81" s="10"/>
      <c r="O81" s="10"/>
      <c r="P81" s="10"/>
      <c r="Q81" s="10"/>
      <c r="R81" t="s">
        <v>524</v>
      </c>
    </row>
    <row r="82" customHeight="1" spans="1:18">
      <c r="A82" s="10" t="s">
        <v>26</v>
      </c>
      <c r="B82" s="10" t="s">
        <v>515</v>
      </c>
      <c r="C82" s="10" t="s">
        <v>3428</v>
      </c>
      <c r="D82" s="10" t="s">
        <v>3377</v>
      </c>
      <c r="M82" t="s">
        <v>3429</v>
      </c>
      <c r="N82" s="10"/>
      <c r="O82" s="10"/>
      <c r="P82" s="10"/>
      <c r="Q82" s="10"/>
      <c r="R82" t="s">
        <v>524</v>
      </c>
    </row>
    <row r="83" customHeight="1" spans="1:18">
      <c r="A83" s="10" t="s">
        <v>26</v>
      </c>
      <c r="B83" s="10" t="s">
        <v>515</v>
      </c>
      <c r="C83" s="10" t="s">
        <v>3430</v>
      </c>
      <c r="D83" s="10" t="s">
        <v>3380</v>
      </c>
      <c r="M83" t="s">
        <v>3431</v>
      </c>
      <c r="N83" s="10"/>
      <c r="O83" s="10"/>
      <c r="P83" s="10"/>
      <c r="Q83" s="10"/>
      <c r="R83" t="s">
        <v>524</v>
      </c>
    </row>
    <row r="84" customHeight="1" spans="1:18">
      <c r="A84" s="10" t="s">
        <v>26</v>
      </c>
      <c r="B84" s="10" t="s">
        <v>515</v>
      </c>
      <c r="C84" s="10" t="s">
        <v>3432</v>
      </c>
      <c r="D84" s="10" t="s">
        <v>3433</v>
      </c>
      <c r="M84" t="s">
        <v>3434</v>
      </c>
      <c r="N84" s="10"/>
      <c r="O84" s="10"/>
      <c r="P84" s="10"/>
      <c r="Q84" s="10"/>
      <c r="R84" t="s">
        <v>524</v>
      </c>
    </row>
    <row r="85" customHeight="1" spans="1:18">
      <c r="A85" s="10" t="s">
        <v>26</v>
      </c>
      <c r="B85" s="10" t="s">
        <v>515</v>
      </c>
      <c r="C85" s="10" t="s">
        <v>3435</v>
      </c>
      <c r="D85" s="10" t="s">
        <v>2862</v>
      </c>
      <c r="M85" t="s">
        <v>2924</v>
      </c>
      <c r="N85" s="10"/>
      <c r="O85" s="10"/>
      <c r="P85" s="10"/>
      <c r="Q85" s="10"/>
      <c r="R85" t="s">
        <v>524</v>
      </c>
    </row>
    <row r="86" customHeight="1" spans="1:18">
      <c r="A86" s="10" t="s">
        <v>26</v>
      </c>
      <c r="B86" s="10" t="s">
        <v>515</v>
      </c>
      <c r="C86" s="10" t="s">
        <v>3436</v>
      </c>
      <c r="D86" s="10" t="s">
        <v>3392</v>
      </c>
      <c r="M86" t="s">
        <v>3437</v>
      </c>
      <c r="N86" s="10"/>
      <c r="O86" s="10"/>
      <c r="P86" s="10"/>
      <c r="Q86" s="10"/>
      <c r="R86" t="s">
        <v>524</v>
      </c>
    </row>
    <row r="87" customHeight="1" spans="1:18">
      <c r="A87" s="11" t="s">
        <v>21</v>
      </c>
      <c r="B87" s="11" t="s">
        <v>515</v>
      </c>
      <c r="C87" s="11" t="s">
        <v>3438</v>
      </c>
      <c r="D87" s="11" t="s">
        <v>740</v>
      </c>
      <c r="M87" t="s">
        <v>542</v>
      </c>
      <c r="N87" s="10"/>
      <c r="O87" s="10"/>
      <c r="P87" s="10"/>
      <c r="Q87" s="10"/>
      <c r="R87" t="s">
        <v>524</v>
      </c>
    </row>
    <row r="88" customHeight="1" spans="1:18">
      <c r="A88" s="11" t="s">
        <v>21</v>
      </c>
      <c r="B88" s="11" t="s">
        <v>515</v>
      </c>
      <c r="C88" s="11" t="s">
        <v>3439</v>
      </c>
      <c r="D88" s="11" t="s">
        <v>3403</v>
      </c>
      <c r="F88" t="s">
        <v>3440</v>
      </c>
      <c r="H88" s="5">
        <f>H89+H90</f>
        <v>0</v>
      </c>
      <c r="I88" s="5">
        <f>I89+I90</f>
        <v>0</v>
      </c>
      <c r="M88" t="s">
        <v>547</v>
      </c>
      <c r="N88" s="10"/>
      <c r="O88" s="10"/>
      <c r="P88" s="10"/>
      <c r="Q88" s="10"/>
    </row>
    <row r="89" customHeight="1" spans="1:18">
      <c r="A89" s="10" t="s">
        <v>26</v>
      </c>
      <c r="B89" s="10" t="s">
        <v>515</v>
      </c>
      <c r="C89" s="10" t="s">
        <v>3441</v>
      </c>
      <c r="D89" s="10" t="s">
        <v>3406</v>
      </c>
      <c r="M89" t="s">
        <v>3442</v>
      </c>
      <c r="N89" s="10"/>
      <c r="O89" s="10"/>
      <c r="P89" s="10"/>
      <c r="Q89" s="10"/>
      <c r="R89" t="s">
        <v>524</v>
      </c>
    </row>
    <row r="90" customHeight="1" spans="1:18">
      <c r="A90" s="10" t="s">
        <v>26</v>
      </c>
      <c r="B90" s="10" t="s">
        <v>515</v>
      </c>
      <c r="C90" s="10" t="s">
        <v>3443</v>
      </c>
      <c r="D90" s="10" t="s">
        <v>3409</v>
      </c>
      <c r="M90" t="s">
        <v>3444</v>
      </c>
      <c r="N90" s="10"/>
      <c r="O90" s="10"/>
      <c r="P90" s="10"/>
      <c r="Q90" s="10"/>
      <c r="R90" t="s">
        <v>524</v>
      </c>
    </row>
    <row r="91" customHeight="1" spans="1:18">
      <c r="A91" s="11" t="s">
        <v>21</v>
      </c>
      <c r="B91" s="11" t="s">
        <v>515</v>
      </c>
      <c r="C91" s="11" t="s">
        <v>3445</v>
      </c>
      <c r="D91" s="11" t="s">
        <v>3446</v>
      </c>
      <c r="F91" t="s">
        <v>3447</v>
      </c>
      <c r="H91" s="5">
        <f>H92+H93+H94</f>
        <v>0</v>
      </c>
      <c r="I91" s="5">
        <f>I92+I93+I94</f>
        <v>0</v>
      </c>
      <c r="M91" t="s">
        <v>545</v>
      </c>
      <c r="N91" s="10"/>
      <c r="O91" s="10"/>
      <c r="P91" s="10"/>
      <c r="Q91" s="10"/>
    </row>
    <row r="92" customHeight="1" spans="1:18">
      <c r="A92" s="10" t="s">
        <v>26</v>
      </c>
      <c r="B92" s="10" t="s">
        <v>515</v>
      </c>
      <c r="C92" s="10" t="s">
        <v>3448</v>
      </c>
      <c r="D92" s="10" t="s">
        <v>3449</v>
      </c>
      <c r="M92" t="s">
        <v>3450</v>
      </c>
      <c r="N92" s="10"/>
      <c r="O92" s="10"/>
      <c r="P92" s="10"/>
      <c r="Q92" s="10"/>
      <c r="R92" t="s">
        <v>524</v>
      </c>
    </row>
    <row r="93" customHeight="1" spans="1:18">
      <c r="A93" s="10" t="s">
        <v>26</v>
      </c>
      <c r="B93" s="10" t="s">
        <v>515</v>
      </c>
      <c r="C93" s="10" t="s">
        <v>3451</v>
      </c>
      <c r="D93" s="10" t="s">
        <v>3452</v>
      </c>
      <c r="M93" t="s">
        <v>3453</v>
      </c>
      <c r="N93" s="10"/>
      <c r="O93" s="10"/>
      <c r="P93" s="10"/>
      <c r="Q93" s="10"/>
      <c r="R93" t="s">
        <v>524</v>
      </c>
    </row>
    <row r="94" customHeight="1" spans="1:18">
      <c r="A94" s="10" t="s">
        <v>26</v>
      </c>
      <c r="B94" s="10" t="s">
        <v>515</v>
      </c>
      <c r="C94" s="10" t="s">
        <v>3454</v>
      </c>
      <c r="D94" s="10" t="s">
        <v>3455</v>
      </c>
      <c r="M94" t="s">
        <v>3456</v>
      </c>
      <c r="N94" s="10"/>
      <c r="O94" s="10"/>
      <c r="P94" s="10"/>
      <c r="Q94" s="10"/>
      <c r="R94" t="s">
        <v>524</v>
      </c>
    </row>
    <row r="95" customHeight="1" spans="1:18">
      <c r="A95" s="10"/>
      <c r="B95" s="10"/>
      <c r="C95" s="10"/>
      <c r="D95" s="10"/>
      <c r="N95" s="10"/>
      <c r="O95" s="10"/>
      <c r="P95" s="10"/>
      <c r="Q95" s="10"/>
    </row>
    <row r="96" customHeight="1" spans="1:18">
      <c r="A96" s="7" t="s">
        <v>14</v>
      </c>
      <c r="B96" s="1" t="s">
        <v>143</v>
      </c>
      <c r="C96" s="11" t="s">
        <v>3457</v>
      </c>
      <c r="D96" s="11" t="s">
        <v>1128</v>
      </c>
      <c r="F96" t="s">
        <v>3458</v>
      </c>
      <c r="H96" s="5" t="e">
        <f>H97+#REF!+H100+H101</f>
        <v>#REF!</v>
      </c>
      <c r="I96" s="5" t="e">
        <f>I97+#REF!+I100+I101</f>
        <v>#REF!</v>
      </c>
      <c r="L96" s="7"/>
      <c r="M96" s="1" t="s">
        <v>1130</v>
      </c>
      <c r="N96" s="11"/>
      <c r="O96" s="11"/>
      <c r="P96" s="10"/>
      <c r="Q96" s="10"/>
    </row>
    <row r="97" customHeight="1" spans="1:18">
      <c r="A97" s="10" t="s">
        <v>21</v>
      </c>
      <c r="B97" s="1" t="s">
        <v>143</v>
      </c>
      <c r="C97" s="10" t="s">
        <v>3459</v>
      </c>
      <c r="D97" s="10" t="s">
        <v>745</v>
      </c>
      <c r="L97" s="10"/>
      <c r="M97" s="1" t="s">
        <v>495</v>
      </c>
      <c r="N97" s="10"/>
      <c r="O97" s="10"/>
      <c r="P97" s="10"/>
      <c r="Q97" s="10"/>
      <c r="R97" t="s">
        <v>130</v>
      </c>
    </row>
    <row r="98" customHeight="1" spans="1:18">
      <c r="A98" s="10" t="s">
        <v>26</v>
      </c>
      <c r="B98" s="1" t="s">
        <v>143</v>
      </c>
      <c r="C98" s="10" t="s">
        <v>3460</v>
      </c>
      <c r="D98" s="10" t="s">
        <v>746</v>
      </c>
      <c r="L98" s="10"/>
      <c r="M98" s="10" t="s">
        <v>498</v>
      </c>
      <c r="N98" s="10"/>
      <c r="O98" s="10"/>
      <c r="P98" s="10"/>
      <c r="Q98" s="10"/>
      <c r="R98" t="s">
        <v>130</v>
      </c>
    </row>
    <row r="99" customHeight="1" spans="1:18">
      <c r="A99" s="10" t="s">
        <v>26</v>
      </c>
      <c r="B99" s="1" t="s">
        <v>143</v>
      </c>
      <c r="C99" s="10" t="s">
        <v>3461</v>
      </c>
      <c r="D99" s="10" t="s">
        <v>747</v>
      </c>
      <c r="L99" s="10"/>
      <c r="M99" s="10" t="s">
        <v>501</v>
      </c>
      <c r="N99" s="10"/>
      <c r="O99" s="10"/>
      <c r="P99" s="10"/>
      <c r="Q99" s="10"/>
      <c r="R99" t="s">
        <v>130</v>
      </c>
    </row>
    <row r="100" customHeight="1" spans="1:18">
      <c r="A100" s="10" t="s">
        <v>21</v>
      </c>
      <c r="B100" s="1" t="s">
        <v>143</v>
      </c>
      <c r="C100" s="10" t="s">
        <v>3462</v>
      </c>
      <c r="D100" s="10" t="s">
        <v>748</v>
      </c>
      <c r="L100" s="10"/>
      <c r="M100" s="1" t="s">
        <v>504</v>
      </c>
      <c r="N100" s="10"/>
      <c r="O100" s="10"/>
      <c r="P100" s="10"/>
      <c r="Q100" s="10"/>
      <c r="R100" t="s">
        <v>130</v>
      </c>
    </row>
    <row r="101" customHeight="1" spans="1:18">
      <c r="A101" s="10" t="s">
        <v>21</v>
      </c>
      <c r="B101" s="1" t="s">
        <v>143</v>
      </c>
      <c r="C101" s="10" t="s">
        <v>3463</v>
      </c>
      <c r="D101" s="10" t="s">
        <v>749</v>
      </c>
      <c r="L101" s="10"/>
      <c r="M101" s="1" t="s">
        <v>507</v>
      </c>
      <c r="N101" s="10"/>
      <c r="O101" s="10"/>
      <c r="P101" s="10"/>
      <c r="Q101" s="10"/>
      <c r="R101" t="s">
        <v>130</v>
      </c>
    </row>
    <row r="102" customHeight="1" spans="1:18">
      <c r="A102" s="10" t="s">
        <v>26</v>
      </c>
      <c r="B102" s="1" t="s">
        <v>3464</v>
      </c>
      <c r="C102" s="10" t="s">
        <v>3465</v>
      </c>
      <c r="D102" s="10" t="s">
        <v>3466</v>
      </c>
      <c r="L102" s="10"/>
      <c r="M102" s="1" t="s">
        <v>3467</v>
      </c>
      <c r="N102" s="10"/>
      <c r="O102" s="10"/>
      <c r="P102" s="10"/>
      <c r="Q102" s="10"/>
      <c r="R102" t="s">
        <v>130</v>
      </c>
    </row>
    <row r="103" customHeight="1" spans="1:18">
      <c r="A103" s="10"/>
      <c r="B103" s="10"/>
      <c r="C103" s="10"/>
      <c r="D103" s="10"/>
      <c r="L103" s="10"/>
      <c r="M103" s="10"/>
      <c r="N103" s="10"/>
      <c r="O103" s="10"/>
      <c r="P103" s="10"/>
      <c r="Q103" s="10"/>
    </row>
    <row r="104" customHeight="1" spans="1:18">
      <c r="A104" s="7" t="s">
        <v>14</v>
      </c>
      <c r="B104" s="1" t="s">
        <v>552</v>
      </c>
      <c r="C104" s="11" t="s">
        <v>3468</v>
      </c>
      <c r="D104" s="11" t="s">
        <v>1133</v>
      </c>
      <c r="F104" t="s">
        <v>3469</v>
      </c>
      <c r="H104" s="5">
        <f>H105+H106+H107+H108+H109+H110</f>
        <v>0</v>
      </c>
      <c r="I104" s="5">
        <f>I105+I106+I107+I108+I109+I110</f>
        <v>0</v>
      </c>
      <c r="L104" s="7"/>
      <c r="M104" s="1" t="s">
        <v>1135</v>
      </c>
      <c r="N104" s="11"/>
      <c r="O104" s="11"/>
      <c r="P104" s="10"/>
      <c r="Q104" s="10"/>
    </row>
    <row r="105" customHeight="1" spans="1:18">
      <c r="A105" s="10" t="s">
        <v>21</v>
      </c>
      <c r="B105" s="1" t="s">
        <v>552</v>
      </c>
      <c r="C105" s="10" t="s">
        <v>3470</v>
      </c>
      <c r="D105" s="10" t="s">
        <v>745</v>
      </c>
      <c r="L105" s="10"/>
      <c r="M105" s="1" t="s">
        <v>563</v>
      </c>
      <c r="N105" s="10"/>
      <c r="O105" s="10"/>
      <c r="P105" s="10"/>
      <c r="Q105" s="10"/>
      <c r="R105" t="s">
        <v>524</v>
      </c>
    </row>
    <row r="106" customHeight="1" spans="1:18">
      <c r="A106" s="10" t="s">
        <v>26</v>
      </c>
      <c r="B106" s="1" t="s">
        <v>552</v>
      </c>
      <c r="C106" s="10" t="s">
        <v>3471</v>
      </c>
      <c r="D106" s="10" t="s">
        <v>746</v>
      </c>
      <c r="L106" s="10"/>
      <c r="M106" s="10" t="s">
        <v>565</v>
      </c>
      <c r="N106" s="10"/>
      <c r="O106" s="10"/>
      <c r="P106" s="10"/>
      <c r="Q106" s="10"/>
      <c r="R106" t="s">
        <v>524</v>
      </c>
    </row>
    <row r="107" customHeight="1" spans="1:18">
      <c r="A107" s="10" t="s">
        <v>26</v>
      </c>
      <c r="B107" s="1" t="s">
        <v>552</v>
      </c>
      <c r="C107" s="10" t="s">
        <v>3472</v>
      </c>
      <c r="D107" s="10" t="s">
        <v>747</v>
      </c>
      <c r="L107" s="10"/>
      <c r="M107" s="10" t="s">
        <v>567</v>
      </c>
      <c r="N107" s="10"/>
      <c r="O107" s="10"/>
      <c r="P107" s="10"/>
      <c r="Q107" s="10"/>
      <c r="R107" t="s">
        <v>524</v>
      </c>
    </row>
    <row r="108" customHeight="1" spans="1:18">
      <c r="A108" s="10" t="s">
        <v>21</v>
      </c>
      <c r="B108" s="1" t="s">
        <v>552</v>
      </c>
      <c r="C108" s="10" t="s">
        <v>3473</v>
      </c>
      <c r="D108" s="10" t="s">
        <v>748</v>
      </c>
      <c r="L108" s="10"/>
      <c r="M108" s="1" t="s">
        <v>569</v>
      </c>
      <c r="N108" s="10"/>
      <c r="O108" s="10"/>
      <c r="P108" s="10"/>
      <c r="Q108" s="10"/>
      <c r="R108" t="s">
        <v>524</v>
      </c>
    </row>
    <row r="109" customHeight="1" spans="1:18">
      <c r="A109" s="10" t="s">
        <v>21</v>
      </c>
      <c r="B109" s="1" t="s">
        <v>552</v>
      </c>
      <c r="C109" s="10" t="s">
        <v>3474</v>
      </c>
      <c r="D109" s="10" t="s">
        <v>749</v>
      </c>
      <c r="L109" s="10"/>
      <c r="M109" s="1" t="s">
        <v>571</v>
      </c>
      <c r="N109" s="10"/>
      <c r="O109" s="10"/>
      <c r="P109" s="10"/>
      <c r="Q109" s="10"/>
      <c r="R109" t="s">
        <v>524</v>
      </c>
    </row>
    <row r="110" customHeight="1" spans="1:18">
      <c r="A110" s="1" t="s">
        <v>26</v>
      </c>
      <c r="B110" s="1" t="s">
        <v>552</v>
      </c>
      <c r="C110" s="10" t="s">
        <v>3475</v>
      </c>
      <c r="D110" s="10" t="s">
        <v>3466</v>
      </c>
      <c r="L110" s="10"/>
      <c r="M110" s="1" t="s">
        <v>3476</v>
      </c>
      <c r="N110" s="10"/>
      <c r="O110" s="10"/>
      <c r="P110" s="10"/>
      <c r="Q110" s="10"/>
      <c r="R110" t="s">
        <v>524</v>
      </c>
    </row>
    <row r="111" customHeight="1" spans="1:18">
      <c r="A111" s="10"/>
      <c r="B111" s="1"/>
      <c r="C111" s="10"/>
      <c r="D111" s="10"/>
      <c r="N111" s="10"/>
      <c r="O111" s="10"/>
      <c r="P111" s="10"/>
      <c r="Q111" s="10"/>
    </row>
    <row r="112" s="12" customFormat="1" customHeight="1" spans="1:18">
      <c r="A112" s="7" t="s">
        <v>14</v>
      </c>
      <c r="B112" s="7" t="s">
        <v>15</v>
      </c>
      <c r="C112" s="8" t="s">
        <v>3477</v>
      </c>
      <c r="D112" s="7" t="s">
        <v>1138</v>
      </c>
      <c r="F112" t="s">
        <v>3478</v>
      </c>
      <c r="H112" s="5">
        <f>H113+H116+H128</f>
        <v>0</v>
      </c>
      <c r="I112" s="5">
        <f>I113+I116+I128</f>
        <v>0</v>
      </c>
      <c r="M112" t="s">
        <v>30</v>
      </c>
    </row>
    <row r="113" s="12" customFormat="1" customHeight="1" spans="1:18">
      <c r="A113" s="11" t="s">
        <v>21</v>
      </c>
      <c r="B113" s="11" t="s">
        <v>15</v>
      </c>
      <c r="C113" s="11" t="s">
        <v>3479</v>
      </c>
      <c r="D113" s="11" t="s">
        <v>1141</v>
      </c>
      <c r="F113" t="s">
        <v>3480</v>
      </c>
      <c r="I113" s="5">
        <f>I36*I114</f>
        <v>0</v>
      </c>
      <c r="J113" s="5" t="s">
        <v>1173</v>
      </c>
      <c r="M113" t="s">
        <v>752</v>
      </c>
    </row>
    <row r="114" customHeight="1" spans="1:18">
      <c r="A114" s="10" t="s">
        <v>26</v>
      </c>
      <c r="B114" s="10" t="s">
        <v>160</v>
      </c>
      <c r="C114" s="10" t="s">
        <v>3480</v>
      </c>
      <c r="D114" s="10" t="s">
        <v>1988</v>
      </c>
      <c r="H114" s="5" t="e">
        <f>H113/H36</f>
        <v>#DIV/0!</v>
      </c>
      <c r="J114" s="5" t="s">
        <v>783</v>
      </c>
      <c r="M114" t="s">
        <v>1146</v>
      </c>
      <c r="R114" t="s">
        <v>164</v>
      </c>
    </row>
    <row r="115" customHeight="1" spans="1:18">
      <c r="A115" s="11"/>
      <c r="B115" s="11"/>
      <c r="C115" s="11"/>
      <c r="D115" s="11"/>
    </row>
    <row r="116" customHeight="1" spans="1:18">
      <c r="A116" s="7" t="s">
        <v>21</v>
      </c>
      <c r="B116" s="11" t="s">
        <v>15</v>
      </c>
      <c r="C116" s="11" t="s">
        <v>3481</v>
      </c>
      <c r="D116" s="7" t="s">
        <v>1231</v>
      </c>
      <c r="F116" t="s">
        <v>3482</v>
      </c>
      <c r="H116" s="5">
        <f>H117+H119+H121+H123+H125</f>
        <v>0</v>
      </c>
      <c r="I116" s="5">
        <f>I117+I119+I121+I123+I125</f>
        <v>0</v>
      </c>
      <c r="M116" t="s">
        <v>1233</v>
      </c>
    </row>
    <row r="117" customHeight="1" spans="1:18">
      <c r="A117" s="7" t="s">
        <v>26</v>
      </c>
      <c r="B117" s="10" t="s">
        <v>15</v>
      </c>
      <c r="C117" s="8" t="s">
        <v>3483</v>
      </c>
      <c r="D117" s="7" t="s">
        <v>3484</v>
      </c>
      <c r="F117" t="s">
        <v>3485</v>
      </c>
      <c r="I117" s="5">
        <f>I42*I118</f>
        <v>0</v>
      </c>
      <c r="J117" s="5" t="s">
        <v>1173</v>
      </c>
      <c r="M117" t="s">
        <v>754</v>
      </c>
    </row>
    <row r="118" customHeight="1" spans="1:18">
      <c r="A118" s="1" t="s">
        <v>236</v>
      </c>
      <c r="B118" s="1" t="s">
        <v>160</v>
      </c>
      <c r="C118" s="9" t="s">
        <v>3485</v>
      </c>
      <c r="D118" s="10" t="s">
        <v>3486</v>
      </c>
      <c r="H118" s="5" t="e">
        <f>H117/H42</f>
        <v>#DIV/0!</v>
      </c>
      <c r="J118" s="5" t="s">
        <v>783</v>
      </c>
      <c r="M118" t="s">
        <v>3487</v>
      </c>
      <c r="R118" t="s">
        <v>164</v>
      </c>
    </row>
    <row r="119" customHeight="1" spans="1:18">
      <c r="A119" s="7" t="s">
        <v>26</v>
      </c>
      <c r="B119" s="10" t="s">
        <v>15</v>
      </c>
      <c r="C119" s="8" t="s">
        <v>3488</v>
      </c>
      <c r="D119" s="7" t="s">
        <v>459</v>
      </c>
      <c r="F119" t="s">
        <v>3489</v>
      </c>
      <c r="I119" s="5">
        <f>I73*I120</f>
        <v>0</v>
      </c>
      <c r="J119" s="5" t="s">
        <v>1173</v>
      </c>
      <c r="M119" t="s">
        <v>756</v>
      </c>
    </row>
    <row r="120" customHeight="1" spans="1:18">
      <c r="A120" s="1" t="s">
        <v>236</v>
      </c>
      <c r="B120" s="1" t="s">
        <v>160</v>
      </c>
      <c r="C120" s="9" t="s">
        <v>3489</v>
      </c>
      <c r="D120" s="10" t="s">
        <v>3486</v>
      </c>
      <c r="H120" s="5" t="e">
        <f>H119/H73</f>
        <v>#DIV/0!</v>
      </c>
      <c r="J120" s="5" t="s">
        <v>783</v>
      </c>
      <c r="M120" t="s">
        <v>1237</v>
      </c>
      <c r="R120" t="s">
        <v>164</v>
      </c>
    </row>
    <row r="121" customHeight="1" spans="1:18">
      <c r="A121" s="7" t="s">
        <v>26</v>
      </c>
      <c r="B121" s="10" t="s">
        <v>15</v>
      </c>
      <c r="C121" s="8" t="s">
        <v>3490</v>
      </c>
      <c r="D121" s="7" t="s">
        <v>462</v>
      </c>
      <c r="F121" t="s">
        <v>3491</v>
      </c>
      <c r="I121" s="5">
        <f>I74*I122</f>
        <v>0</v>
      </c>
      <c r="J121" s="5" t="s">
        <v>1173</v>
      </c>
      <c r="M121" t="s">
        <v>758</v>
      </c>
    </row>
    <row r="122" customHeight="1" spans="1:18">
      <c r="A122" s="1" t="s">
        <v>236</v>
      </c>
      <c r="B122" s="1" t="s">
        <v>160</v>
      </c>
      <c r="C122" s="9" t="s">
        <v>3491</v>
      </c>
      <c r="D122" s="10" t="s">
        <v>3486</v>
      </c>
      <c r="H122" s="5" t="e">
        <f>H121/H74</f>
        <v>#DIV/0!</v>
      </c>
      <c r="J122" s="5" t="s">
        <v>783</v>
      </c>
      <c r="M122" t="s">
        <v>3492</v>
      </c>
      <c r="R122" t="s">
        <v>164</v>
      </c>
    </row>
    <row r="123" customHeight="1" spans="1:18">
      <c r="A123" s="7" t="s">
        <v>26</v>
      </c>
      <c r="B123" s="10" t="s">
        <v>15</v>
      </c>
      <c r="C123" s="8" t="s">
        <v>3493</v>
      </c>
      <c r="D123" s="7" t="s">
        <v>465</v>
      </c>
      <c r="F123" t="s">
        <v>3494</v>
      </c>
      <c r="I123" s="5">
        <f>I75*I124</f>
        <v>0</v>
      </c>
      <c r="J123" s="5" t="s">
        <v>1173</v>
      </c>
      <c r="M123" t="s">
        <v>760</v>
      </c>
    </row>
    <row r="124" customHeight="1" spans="1:18">
      <c r="A124" s="1" t="s">
        <v>236</v>
      </c>
      <c r="B124" s="1" t="s">
        <v>160</v>
      </c>
      <c r="C124" s="9" t="s">
        <v>3494</v>
      </c>
      <c r="D124" s="10" t="s">
        <v>3486</v>
      </c>
      <c r="H124" s="5" t="e">
        <f>H123/H75</f>
        <v>#DIV/0!</v>
      </c>
      <c r="J124" s="5" t="s">
        <v>783</v>
      </c>
      <c r="M124" t="s">
        <v>3012</v>
      </c>
      <c r="R124" t="s">
        <v>164</v>
      </c>
    </row>
    <row r="125" customHeight="1" spans="1:18">
      <c r="A125" s="7" t="s">
        <v>26</v>
      </c>
      <c r="B125" s="10" t="s">
        <v>15</v>
      </c>
      <c r="C125" s="8" t="s">
        <v>3495</v>
      </c>
      <c r="D125" s="7" t="s">
        <v>471</v>
      </c>
      <c r="F125" t="s">
        <v>3496</v>
      </c>
      <c r="I125" s="5">
        <f>I87*I126</f>
        <v>0</v>
      </c>
      <c r="J125" s="5" t="s">
        <v>1173</v>
      </c>
      <c r="M125" t="s">
        <v>764</v>
      </c>
    </row>
    <row r="126" customHeight="1" spans="1:18">
      <c r="A126" s="1" t="s">
        <v>236</v>
      </c>
      <c r="B126" s="1" t="s">
        <v>160</v>
      </c>
      <c r="C126" s="9" t="s">
        <v>3496</v>
      </c>
      <c r="D126" s="10" t="s">
        <v>3486</v>
      </c>
      <c r="H126" s="5" t="e">
        <f>H125/H87</f>
        <v>#DIV/0!</v>
      </c>
      <c r="J126" s="5" t="s">
        <v>783</v>
      </c>
      <c r="M126" t="s">
        <v>3497</v>
      </c>
      <c r="R126" t="s">
        <v>164</v>
      </c>
    </row>
    <row r="127" customHeight="1" spans="1:18">
      <c r="A127" s="1"/>
      <c r="B127" s="1"/>
      <c r="C127" s="9"/>
      <c r="D127" s="10"/>
    </row>
    <row r="128" customHeight="1" spans="1:18">
      <c r="A128" s="7" t="s">
        <v>21</v>
      </c>
      <c r="B128" s="11" t="s">
        <v>15</v>
      </c>
      <c r="C128" s="8" t="s">
        <v>3498</v>
      </c>
      <c r="D128" s="7" t="s">
        <v>3499</v>
      </c>
      <c r="F128" t="s">
        <v>3500</v>
      </c>
      <c r="H128" s="5">
        <f>H129+H131+H133+H135+H137+H139+H141+H143+H145+H147</f>
        <v>0</v>
      </c>
      <c r="I128" s="5">
        <f>I129+I131+I133+I135+I137+I139+I141+I143+I145+I147</f>
        <v>0</v>
      </c>
      <c r="M128" t="s">
        <v>762</v>
      </c>
    </row>
    <row r="129" customHeight="1" spans="1:18">
      <c r="A129" s="7" t="s">
        <v>26</v>
      </c>
      <c r="B129" s="10" t="s">
        <v>15</v>
      </c>
      <c r="C129" s="8" t="s">
        <v>3501</v>
      </c>
      <c r="D129" s="7" t="s">
        <v>3355</v>
      </c>
      <c r="F129" t="s">
        <v>3502</v>
      </c>
      <c r="I129" s="5">
        <f>I77*I130</f>
        <v>0</v>
      </c>
      <c r="J129" s="5" t="s">
        <v>1173</v>
      </c>
      <c r="M129" t="s">
        <v>3503</v>
      </c>
    </row>
    <row r="130" customHeight="1" spans="1:18">
      <c r="A130" s="1" t="s">
        <v>236</v>
      </c>
      <c r="B130" s="1" t="s">
        <v>160</v>
      </c>
      <c r="C130" s="9" t="s">
        <v>3502</v>
      </c>
      <c r="D130" s="10" t="s">
        <v>3486</v>
      </c>
      <c r="H130" s="5" t="e">
        <f>H129/H77</f>
        <v>#DIV/0!</v>
      </c>
      <c r="J130" s="5" t="s">
        <v>783</v>
      </c>
      <c r="M130" t="s">
        <v>3504</v>
      </c>
      <c r="R130" t="s">
        <v>164</v>
      </c>
    </row>
    <row r="131" customHeight="1" spans="1:18">
      <c r="A131" s="7" t="s">
        <v>26</v>
      </c>
      <c r="B131" s="10" t="s">
        <v>15</v>
      </c>
      <c r="C131" s="8" t="s">
        <v>3505</v>
      </c>
      <c r="D131" s="7" t="s">
        <v>3365</v>
      </c>
      <c r="F131" t="s">
        <v>3506</v>
      </c>
      <c r="I131" s="5">
        <f>I78*I132</f>
        <v>0</v>
      </c>
      <c r="J131" s="5" t="s">
        <v>1173</v>
      </c>
      <c r="M131" t="s">
        <v>3507</v>
      </c>
    </row>
    <row r="132" customHeight="1" spans="1:18">
      <c r="A132" s="1" t="s">
        <v>236</v>
      </c>
      <c r="B132" s="1" t="s">
        <v>160</v>
      </c>
      <c r="C132" s="9" t="s">
        <v>3506</v>
      </c>
      <c r="D132" s="10" t="s">
        <v>3486</v>
      </c>
      <c r="H132" s="5" t="e">
        <f>H131/H78</f>
        <v>#DIV/0!</v>
      </c>
      <c r="J132" s="5" t="s">
        <v>783</v>
      </c>
      <c r="M132" t="s">
        <v>3508</v>
      </c>
      <c r="R132" t="s">
        <v>164</v>
      </c>
    </row>
    <row r="133" customHeight="1" spans="1:18">
      <c r="A133" s="7" t="s">
        <v>26</v>
      </c>
      <c r="B133" s="10" t="s">
        <v>15</v>
      </c>
      <c r="C133" s="8" t="s">
        <v>3509</v>
      </c>
      <c r="D133" s="7" t="s">
        <v>3368</v>
      </c>
      <c r="F133" t="s">
        <v>3510</v>
      </c>
      <c r="I133" s="5">
        <f>I79*I134</f>
        <v>0</v>
      </c>
      <c r="J133" s="5" t="s">
        <v>1173</v>
      </c>
      <c r="M133" t="s">
        <v>3511</v>
      </c>
    </row>
    <row r="134" customHeight="1" spans="1:18">
      <c r="A134" s="1" t="s">
        <v>236</v>
      </c>
      <c r="B134" s="1" t="s">
        <v>160</v>
      </c>
      <c r="C134" s="9" t="s">
        <v>3510</v>
      </c>
      <c r="D134" s="10" t="s">
        <v>3486</v>
      </c>
      <c r="H134" s="5" t="e">
        <f>H133/H79</f>
        <v>#DIV/0!</v>
      </c>
      <c r="J134" s="5" t="s">
        <v>783</v>
      </c>
      <c r="M134" t="s">
        <v>3512</v>
      </c>
      <c r="R134" t="s">
        <v>164</v>
      </c>
    </row>
    <row r="135" customHeight="1" spans="1:18">
      <c r="A135" s="7" t="s">
        <v>26</v>
      </c>
      <c r="B135" s="10" t="s">
        <v>15</v>
      </c>
      <c r="C135" s="8" t="s">
        <v>3513</v>
      </c>
      <c r="D135" s="7" t="s">
        <v>3371</v>
      </c>
      <c r="F135" t="s">
        <v>3514</v>
      </c>
      <c r="I135" s="5">
        <f>I80*I136</f>
        <v>0</v>
      </c>
      <c r="J135" s="5" t="s">
        <v>1173</v>
      </c>
      <c r="M135" t="s">
        <v>3515</v>
      </c>
    </row>
    <row r="136" customHeight="1" spans="1:18">
      <c r="A136" s="1" t="s">
        <v>236</v>
      </c>
      <c r="B136" s="1" t="s">
        <v>160</v>
      </c>
      <c r="C136" s="9" t="s">
        <v>3514</v>
      </c>
      <c r="D136" s="10" t="s">
        <v>3486</v>
      </c>
      <c r="H136" s="5" t="e">
        <f>H135/H80</f>
        <v>#DIV/0!</v>
      </c>
      <c r="J136" s="5" t="s">
        <v>783</v>
      </c>
      <c r="M136" t="s">
        <v>3516</v>
      </c>
      <c r="R136" t="s">
        <v>164</v>
      </c>
    </row>
    <row r="137" customHeight="1" spans="1:18">
      <c r="A137" s="7" t="s">
        <v>26</v>
      </c>
      <c r="B137" s="10" t="s">
        <v>15</v>
      </c>
      <c r="C137" s="8" t="s">
        <v>3517</v>
      </c>
      <c r="D137" s="7" t="s">
        <v>3374</v>
      </c>
      <c r="F137" t="s">
        <v>3518</v>
      </c>
      <c r="I137" s="5">
        <f>I81*I138</f>
        <v>0</v>
      </c>
      <c r="J137" s="5" t="s">
        <v>1173</v>
      </c>
      <c r="M137" t="s">
        <v>3519</v>
      </c>
    </row>
    <row r="138" customHeight="1" spans="1:18">
      <c r="A138" s="1" t="s">
        <v>236</v>
      </c>
      <c r="B138" s="1" t="s">
        <v>160</v>
      </c>
      <c r="C138" s="9" t="s">
        <v>3518</v>
      </c>
      <c r="D138" s="10" t="s">
        <v>3486</v>
      </c>
      <c r="H138" s="5" t="e">
        <f>H137/H81</f>
        <v>#DIV/0!</v>
      </c>
      <c r="J138" s="5" t="s">
        <v>783</v>
      </c>
      <c r="M138" t="s">
        <v>3520</v>
      </c>
      <c r="R138" t="s">
        <v>164</v>
      </c>
    </row>
    <row r="139" customHeight="1" spans="1:18">
      <c r="A139" s="7" t="s">
        <v>26</v>
      </c>
      <c r="B139" s="10" t="s">
        <v>15</v>
      </c>
      <c r="C139" s="8" t="s">
        <v>3521</v>
      </c>
      <c r="D139" s="7" t="s">
        <v>3377</v>
      </c>
      <c r="F139" t="s">
        <v>3522</v>
      </c>
      <c r="I139" s="5">
        <f>I82*I140</f>
        <v>0</v>
      </c>
      <c r="J139" s="5" t="s">
        <v>1173</v>
      </c>
      <c r="M139" t="s">
        <v>3523</v>
      </c>
    </row>
    <row r="140" customHeight="1" spans="1:18">
      <c r="A140" s="1" t="s">
        <v>236</v>
      </c>
      <c r="B140" s="1" t="s">
        <v>160</v>
      </c>
      <c r="C140" s="9" t="s">
        <v>3522</v>
      </c>
      <c r="D140" s="10" t="s">
        <v>3486</v>
      </c>
      <c r="H140" s="5" t="e">
        <f>H139/H82</f>
        <v>#DIV/0!</v>
      </c>
      <c r="J140" s="5" t="s">
        <v>783</v>
      </c>
      <c r="M140" t="s">
        <v>3524</v>
      </c>
      <c r="R140" t="s">
        <v>164</v>
      </c>
    </row>
    <row r="141" customHeight="1" spans="1:18">
      <c r="A141" s="7" t="s">
        <v>26</v>
      </c>
      <c r="B141" s="10" t="s">
        <v>15</v>
      </c>
      <c r="C141" s="8" t="s">
        <v>3525</v>
      </c>
      <c r="D141" s="7" t="s">
        <v>3380</v>
      </c>
      <c r="F141" t="s">
        <v>3526</v>
      </c>
      <c r="I141" s="5">
        <f>I83*I142</f>
        <v>0</v>
      </c>
      <c r="J141" s="5" t="s">
        <v>1173</v>
      </c>
      <c r="M141" t="s">
        <v>3527</v>
      </c>
    </row>
    <row r="142" customHeight="1" spans="1:18">
      <c r="A142" s="1" t="s">
        <v>236</v>
      </c>
      <c r="B142" s="1" t="s">
        <v>160</v>
      </c>
      <c r="C142" s="9" t="s">
        <v>3526</v>
      </c>
      <c r="D142" s="10" t="s">
        <v>3486</v>
      </c>
      <c r="H142" s="5" t="e">
        <f>H141/H83</f>
        <v>#DIV/0!</v>
      </c>
      <c r="J142" s="5" t="s">
        <v>783</v>
      </c>
      <c r="M142" t="s">
        <v>3528</v>
      </c>
      <c r="R142" t="s">
        <v>164</v>
      </c>
    </row>
    <row r="143" customHeight="1" spans="1:18">
      <c r="A143" s="7" t="s">
        <v>26</v>
      </c>
      <c r="B143" s="10" t="s">
        <v>15</v>
      </c>
      <c r="C143" s="8" t="s">
        <v>3529</v>
      </c>
      <c r="D143" s="7" t="s">
        <v>3383</v>
      </c>
      <c r="F143" t="s">
        <v>3530</v>
      </c>
      <c r="I143" s="5">
        <f>I84*I144</f>
        <v>0</v>
      </c>
      <c r="J143" s="5" t="s">
        <v>1173</v>
      </c>
      <c r="M143" t="s">
        <v>3531</v>
      </c>
    </row>
    <row r="144" customHeight="1" spans="1:18">
      <c r="A144" s="1" t="s">
        <v>236</v>
      </c>
      <c r="B144" s="1" t="s">
        <v>160</v>
      </c>
      <c r="C144" s="9" t="s">
        <v>3530</v>
      </c>
      <c r="D144" s="10" t="s">
        <v>3486</v>
      </c>
      <c r="H144" s="5" t="e">
        <f>H143/H84</f>
        <v>#DIV/0!</v>
      </c>
      <c r="J144" s="5" t="s">
        <v>783</v>
      </c>
      <c r="M144" t="s">
        <v>3532</v>
      </c>
      <c r="R144" t="s">
        <v>164</v>
      </c>
    </row>
    <row r="145" customHeight="1" spans="1:18">
      <c r="A145" s="7" t="s">
        <v>26</v>
      </c>
      <c r="B145" s="10" t="s">
        <v>15</v>
      </c>
      <c r="C145" s="8" t="s">
        <v>3533</v>
      </c>
      <c r="D145" s="7" t="s">
        <v>3534</v>
      </c>
      <c r="F145" t="s">
        <v>3535</v>
      </c>
      <c r="I145" s="5">
        <f>I85*I146</f>
        <v>0</v>
      </c>
      <c r="J145" s="5" t="s">
        <v>1173</v>
      </c>
      <c r="M145" t="s">
        <v>3018</v>
      </c>
    </row>
    <row r="146" customHeight="1" spans="1:18">
      <c r="A146" s="1" t="s">
        <v>236</v>
      </c>
      <c r="B146" s="1" t="s">
        <v>160</v>
      </c>
      <c r="C146" s="9" t="s">
        <v>3535</v>
      </c>
      <c r="D146" s="10" t="s">
        <v>3486</v>
      </c>
      <c r="H146" s="5" t="e">
        <f>H145/H85</f>
        <v>#DIV/0!</v>
      </c>
      <c r="J146" s="5" t="s">
        <v>783</v>
      </c>
      <c r="M146" t="s">
        <v>3020</v>
      </c>
      <c r="R146" t="s">
        <v>164</v>
      </c>
    </row>
    <row r="147" customHeight="1" spans="1:18">
      <c r="A147" s="7" t="s">
        <v>26</v>
      </c>
      <c r="B147" s="10" t="s">
        <v>15</v>
      </c>
      <c r="C147" s="8" t="s">
        <v>3536</v>
      </c>
      <c r="D147" s="7" t="s">
        <v>3392</v>
      </c>
      <c r="F147" t="s">
        <v>3537</v>
      </c>
      <c r="I147" s="5">
        <f>I86*I148</f>
        <v>0</v>
      </c>
      <c r="J147" s="5" t="s">
        <v>1173</v>
      </c>
      <c r="M147" t="s">
        <v>3538</v>
      </c>
    </row>
    <row r="148" customHeight="1" spans="1:18">
      <c r="A148" s="1" t="s">
        <v>236</v>
      </c>
      <c r="B148" s="1" t="s">
        <v>160</v>
      </c>
      <c r="C148" s="9" t="s">
        <v>3537</v>
      </c>
      <c r="D148" s="10" t="s">
        <v>3486</v>
      </c>
      <c r="H148" s="5" t="e">
        <f>H147/H86</f>
        <v>#DIV/0!</v>
      </c>
      <c r="J148" s="5" t="s">
        <v>783</v>
      </c>
      <c r="M148" t="s">
        <v>3539</v>
      </c>
      <c r="R148" t="s">
        <v>164</v>
      </c>
    </row>
    <row r="149" customHeight="1" spans="1:18">
      <c r="A149" s="1"/>
      <c r="B149" s="1"/>
      <c r="C149" s="9"/>
      <c r="D149" s="10"/>
    </row>
    <row r="150" customHeight="1" spans="1:18">
      <c r="A150" s="7" t="s">
        <v>14</v>
      </c>
      <c r="B150" s="7" t="s">
        <v>31</v>
      </c>
      <c r="C150" s="8" t="s">
        <v>3540</v>
      </c>
      <c r="D150" s="7" t="s">
        <v>1239</v>
      </c>
      <c r="F150" t="s">
        <v>3541</v>
      </c>
      <c r="H150" s="5">
        <f>H151+H154+H166</f>
        <v>0</v>
      </c>
      <c r="I150" s="5">
        <f>I151+I154+I166</f>
        <v>0</v>
      </c>
      <c r="M150" t="s">
        <v>827</v>
      </c>
    </row>
    <row r="151" customHeight="1" spans="1:18">
      <c r="A151" s="11" t="s">
        <v>21</v>
      </c>
      <c r="B151" s="11" t="s">
        <v>31</v>
      </c>
      <c r="C151" s="11" t="s">
        <v>3542</v>
      </c>
      <c r="D151" s="11" t="s">
        <v>1242</v>
      </c>
      <c r="F151" t="s">
        <v>3543</v>
      </c>
      <c r="I151" s="5">
        <f>I36*I152</f>
        <v>0</v>
      </c>
      <c r="J151" s="5" t="s">
        <v>1173</v>
      </c>
      <c r="M151" t="s">
        <v>1244</v>
      </c>
    </row>
    <row r="152" customHeight="1" spans="1:18">
      <c r="A152" s="10" t="s">
        <v>26</v>
      </c>
      <c r="B152" s="10" t="s">
        <v>160</v>
      </c>
      <c r="C152" s="10" t="s">
        <v>3543</v>
      </c>
      <c r="D152" s="10" t="s">
        <v>1993</v>
      </c>
      <c r="H152" s="5" t="e">
        <f>H151/H36</f>
        <v>#DIV/0!</v>
      </c>
      <c r="J152" s="5" t="s">
        <v>783</v>
      </c>
      <c r="M152" t="s">
        <v>1248</v>
      </c>
      <c r="R152" t="s">
        <v>164</v>
      </c>
    </row>
    <row r="153" customHeight="1" spans="1:18">
      <c r="A153" s="1"/>
      <c r="B153" s="1"/>
      <c r="C153" s="9"/>
      <c r="D153" s="10"/>
    </row>
    <row r="154" customHeight="1" spans="1:18">
      <c r="A154" s="7" t="s">
        <v>21</v>
      </c>
      <c r="B154" s="7" t="s">
        <v>31</v>
      </c>
      <c r="C154" s="8" t="s">
        <v>3544</v>
      </c>
      <c r="D154" s="11" t="s">
        <v>1258</v>
      </c>
      <c r="E154" s="12"/>
      <c r="F154" s="12" t="s">
        <v>3545</v>
      </c>
      <c r="G154" s="12"/>
      <c r="H154" s="12">
        <f>H155+H157+H159+H161+H163</f>
        <v>0</v>
      </c>
      <c r="I154" s="12">
        <f>I155+I157+I159+I161+I163</f>
        <v>0</v>
      </c>
      <c r="M154" t="s">
        <v>1260</v>
      </c>
    </row>
    <row r="155" customHeight="1" spans="1:18">
      <c r="A155" s="1" t="s">
        <v>26</v>
      </c>
      <c r="B155" s="1" t="s">
        <v>31</v>
      </c>
      <c r="C155" s="9" t="s">
        <v>3546</v>
      </c>
      <c r="D155" s="10" t="s">
        <v>3484</v>
      </c>
      <c r="F155" t="s">
        <v>3547</v>
      </c>
      <c r="H155" s="5">
        <f>H117</f>
        <v>0</v>
      </c>
      <c r="I155" s="5">
        <f>I117</f>
        <v>0</v>
      </c>
      <c r="M155" t="s">
        <v>3548</v>
      </c>
    </row>
    <row r="156" customHeight="1" spans="1:18">
      <c r="A156" s="1" t="s">
        <v>236</v>
      </c>
      <c r="B156" s="1" t="s">
        <v>160</v>
      </c>
      <c r="C156" s="9" t="s">
        <v>3547</v>
      </c>
      <c r="D156" s="10" t="s">
        <v>3549</v>
      </c>
      <c r="H156" s="5" t="e">
        <f>H118</f>
        <v>#DIV/0!</v>
      </c>
      <c r="I156" s="5">
        <f>I118</f>
        <v>0</v>
      </c>
      <c r="M156" t="s">
        <v>3550</v>
      </c>
      <c r="R156" t="s">
        <v>164</v>
      </c>
    </row>
    <row r="157" customHeight="1" spans="1:18">
      <c r="A157" s="1" t="s">
        <v>26</v>
      </c>
      <c r="B157" s="1" t="s">
        <v>31</v>
      </c>
      <c r="C157" s="9" t="s">
        <v>3551</v>
      </c>
      <c r="D157" s="10" t="s">
        <v>459</v>
      </c>
      <c r="F157" t="s">
        <v>3552</v>
      </c>
      <c r="I157" s="5">
        <f>I73*I158</f>
        <v>0</v>
      </c>
      <c r="J157" s="5" t="s">
        <v>1173</v>
      </c>
      <c r="M157" t="s">
        <v>1263</v>
      </c>
    </row>
    <row r="158" customHeight="1" spans="1:18">
      <c r="A158" s="1" t="s">
        <v>236</v>
      </c>
      <c r="B158" s="1" t="s">
        <v>160</v>
      </c>
      <c r="C158" s="9" t="s">
        <v>3552</v>
      </c>
      <c r="D158" s="10" t="s">
        <v>3549</v>
      </c>
      <c r="H158" s="5" t="e">
        <f>H157/H73</f>
        <v>#DIV/0!</v>
      </c>
      <c r="J158" s="5" t="s">
        <v>783</v>
      </c>
      <c r="M158" t="s">
        <v>1265</v>
      </c>
      <c r="R158" t="s">
        <v>164</v>
      </c>
    </row>
    <row r="159" customHeight="1" spans="1:18">
      <c r="A159" s="1" t="s">
        <v>26</v>
      </c>
      <c r="B159" s="1" t="s">
        <v>31</v>
      </c>
      <c r="C159" s="9" t="s">
        <v>3553</v>
      </c>
      <c r="D159" s="10" t="s">
        <v>462</v>
      </c>
      <c r="F159" t="s">
        <v>3554</v>
      </c>
      <c r="I159" s="5">
        <f>I74*I160</f>
        <v>0</v>
      </c>
      <c r="J159" s="5" t="s">
        <v>1173</v>
      </c>
      <c r="M159" t="s">
        <v>3555</v>
      </c>
    </row>
    <row r="160" customHeight="1" spans="1:18">
      <c r="A160" s="1" t="s">
        <v>236</v>
      </c>
      <c r="B160" s="1" t="s">
        <v>160</v>
      </c>
      <c r="C160" s="9" t="s">
        <v>3554</v>
      </c>
      <c r="D160" s="10" t="s">
        <v>3549</v>
      </c>
      <c r="H160" s="5" t="e">
        <f>H159/H74</f>
        <v>#DIV/0!</v>
      </c>
      <c r="J160" s="5" t="s">
        <v>783</v>
      </c>
      <c r="M160" t="s">
        <v>3556</v>
      </c>
      <c r="R160" t="s">
        <v>164</v>
      </c>
    </row>
    <row r="161" customHeight="1" spans="1:18">
      <c r="A161" s="1" t="s">
        <v>26</v>
      </c>
      <c r="B161" s="1" t="s">
        <v>31</v>
      </c>
      <c r="C161" s="9" t="s">
        <v>3557</v>
      </c>
      <c r="D161" s="10" t="s">
        <v>465</v>
      </c>
      <c r="F161" t="s">
        <v>3558</v>
      </c>
      <c r="I161" s="5">
        <f>I75*I162</f>
        <v>0</v>
      </c>
      <c r="J161" s="5" t="s">
        <v>1173</v>
      </c>
      <c r="M161" t="s">
        <v>3059</v>
      </c>
    </row>
    <row r="162" customHeight="1" spans="1:18">
      <c r="A162" s="1" t="s">
        <v>236</v>
      </c>
      <c r="B162" s="1" t="s">
        <v>160</v>
      </c>
      <c r="C162" s="9" t="s">
        <v>3558</v>
      </c>
      <c r="D162" s="10" t="s">
        <v>3549</v>
      </c>
      <c r="H162" s="5" t="e">
        <f>H161/H75</f>
        <v>#DIV/0!</v>
      </c>
      <c r="J162" s="5" t="s">
        <v>783</v>
      </c>
      <c r="M162" t="s">
        <v>3061</v>
      </c>
      <c r="R162" t="s">
        <v>164</v>
      </c>
    </row>
    <row r="163" customHeight="1" spans="1:18">
      <c r="A163" s="1" t="s">
        <v>26</v>
      </c>
      <c r="B163" s="1" t="s">
        <v>31</v>
      </c>
      <c r="C163" s="9" t="s">
        <v>3559</v>
      </c>
      <c r="D163" s="10" t="s">
        <v>471</v>
      </c>
      <c r="F163" t="s">
        <v>3560</v>
      </c>
      <c r="I163" s="5">
        <f>(I87+I94)*I164</f>
        <v>0</v>
      </c>
      <c r="J163" s="5" t="s">
        <v>1173</v>
      </c>
      <c r="M163" t="s">
        <v>3561</v>
      </c>
    </row>
    <row r="164" customHeight="1" spans="1:18">
      <c r="A164" s="1" t="s">
        <v>236</v>
      </c>
      <c r="B164" s="1" t="s">
        <v>160</v>
      </c>
      <c r="C164" s="9" t="s">
        <v>3560</v>
      </c>
      <c r="D164" s="10" t="s">
        <v>3549</v>
      </c>
      <c r="H164" s="5" t="e">
        <f>H163/(H87+H94)</f>
        <v>#DIV/0!</v>
      </c>
      <c r="J164" s="5" t="s">
        <v>783</v>
      </c>
      <c r="M164" t="s">
        <v>3562</v>
      </c>
      <c r="R164" t="s">
        <v>164</v>
      </c>
    </row>
    <row r="165" customHeight="1" spans="1:18">
      <c r="A165" s="1"/>
      <c r="B165" s="1"/>
      <c r="C165" s="9"/>
      <c r="D165" s="10"/>
    </row>
    <row r="166" customHeight="1" spans="1:18">
      <c r="A166" s="7" t="s">
        <v>21</v>
      </c>
      <c r="B166" s="7" t="s">
        <v>31</v>
      </c>
      <c r="C166" s="8" t="s">
        <v>3563</v>
      </c>
      <c r="D166" s="11" t="s">
        <v>3063</v>
      </c>
      <c r="E166" s="12"/>
      <c r="F166" s="12" t="s">
        <v>3564</v>
      </c>
      <c r="G166" s="12"/>
      <c r="H166" s="12">
        <f>H167+H169+H171+H173+H175+H177+H179+H181+H183+H185+H187+H189</f>
        <v>0</v>
      </c>
      <c r="I166" s="12">
        <f>I167+I169+I171+I173+I175+I177+I179+I181+I183+I185+I187+I189</f>
        <v>0</v>
      </c>
      <c r="M166" t="s">
        <v>3065</v>
      </c>
    </row>
    <row r="167" customHeight="1" spans="1:18">
      <c r="A167" s="1" t="s">
        <v>26</v>
      </c>
      <c r="B167" s="1" t="s">
        <v>31</v>
      </c>
      <c r="C167" s="9" t="s">
        <v>3565</v>
      </c>
      <c r="D167" s="10" t="s">
        <v>3355</v>
      </c>
      <c r="F167" t="s">
        <v>3566</v>
      </c>
      <c r="I167" s="5">
        <f>(I77+I92)*I168</f>
        <v>0</v>
      </c>
      <c r="J167" s="5" t="s">
        <v>1173</v>
      </c>
      <c r="M167" t="s">
        <v>3567</v>
      </c>
    </row>
    <row r="168" customHeight="1" spans="1:18">
      <c r="A168" s="1" t="s">
        <v>236</v>
      </c>
      <c r="B168" s="1" t="s">
        <v>160</v>
      </c>
      <c r="C168" s="9" t="s">
        <v>3566</v>
      </c>
      <c r="D168" s="10" t="s">
        <v>3549</v>
      </c>
      <c r="H168" s="5" t="e">
        <f>H167/(H77+H92)</f>
        <v>#DIV/0!</v>
      </c>
      <c r="J168" s="5" t="s">
        <v>783</v>
      </c>
      <c r="M168" t="s">
        <v>3568</v>
      </c>
      <c r="R168" t="s">
        <v>164</v>
      </c>
    </row>
    <row r="169" customHeight="1" spans="1:18">
      <c r="A169" s="1" t="s">
        <v>26</v>
      </c>
      <c r="B169" s="1" t="s">
        <v>31</v>
      </c>
      <c r="C169" s="9" t="s">
        <v>3569</v>
      </c>
      <c r="D169" s="10" t="s">
        <v>3365</v>
      </c>
      <c r="F169" t="s">
        <v>3570</v>
      </c>
      <c r="I169" s="5">
        <f>I78*I170</f>
        <v>0</v>
      </c>
      <c r="J169" s="5" t="s">
        <v>1173</v>
      </c>
      <c r="M169" t="s">
        <v>3571</v>
      </c>
    </row>
    <row r="170" customHeight="1" spans="1:18">
      <c r="A170" s="1" t="s">
        <v>236</v>
      </c>
      <c r="B170" s="1" t="s">
        <v>160</v>
      </c>
      <c r="C170" s="9" t="s">
        <v>3570</v>
      </c>
      <c r="D170" s="10" t="s">
        <v>3549</v>
      </c>
      <c r="H170" s="5" t="e">
        <f>H169/H78</f>
        <v>#DIV/0!</v>
      </c>
      <c r="J170" s="5" t="s">
        <v>783</v>
      </c>
      <c r="M170" t="s">
        <v>3572</v>
      </c>
      <c r="R170" t="s">
        <v>164</v>
      </c>
    </row>
    <row r="171" customHeight="1" spans="1:18">
      <c r="A171" s="1" t="s">
        <v>26</v>
      </c>
      <c r="B171" s="1" t="s">
        <v>31</v>
      </c>
      <c r="C171" s="9" t="s">
        <v>3573</v>
      </c>
      <c r="D171" s="10" t="s">
        <v>3368</v>
      </c>
      <c r="F171" t="s">
        <v>3574</v>
      </c>
      <c r="I171" s="5">
        <f>I79*I172</f>
        <v>0</v>
      </c>
      <c r="J171" s="5" t="s">
        <v>1173</v>
      </c>
      <c r="M171" t="s">
        <v>3575</v>
      </c>
    </row>
    <row r="172" customHeight="1" spans="1:18">
      <c r="A172" s="1" t="s">
        <v>236</v>
      </c>
      <c r="B172" s="1" t="s">
        <v>160</v>
      </c>
      <c r="C172" s="9" t="s">
        <v>3574</v>
      </c>
      <c r="D172" s="10" t="s">
        <v>3549</v>
      </c>
      <c r="H172" s="5" t="e">
        <f>H171/H79</f>
        <v>#DIV/0!</v>
      </c>
      <c r="J172" s="5" t="s">
        <v>783</v>
      </c>
      <c r="M172" t="s">
        <v>3576</v>
      </c>
      <c r="R172" t="s">
        <v>164</v>
      </c>
    </row>
    <row r="173" customHeight="1" spans="1:18">
      <c r="A173" s="1" t="s">
        <v>26</v>
      </c>
      <c r="B173" s="1" t="s">
        <v>31</v>
      </c>
      <c r="C173" s="9" t="s">
        <v>3577</v>
      </c>
      <c r="D173" s="10" t="s">
        <v>3371</v>
      </c>
      <c r="F173" t="s">
        <v>3578</v>
      </c>
      <c r="I173" s="5">
        <f>I80*I174</f>
        <v>0</v>
      </c>
      <c r="J173" s="5" t="s">
        <v>1173</v>
      </c>
      <c r="M173" t="s">
        <v>3579</v>
      </c>
    </row>
    <row r="174" customHeight="1" spans="1:18">
      <c r="A174" s="1" t="s">
        <v>236</v>
      </c>
      <c r="B174" s="1" t="s">
        <v>160</v>
      </c>
      <c r="C174" s="9" t="s">
        <v>3578</v>
      </c>
      <c r="D174" s="10" t="s">
        <v>3549</v>
      </c>
      <c r="H174" s="5" t="e">
        <f>H173/H80</f>
        <v>#DIV/0!</v>
      </c>
      <c r="J174" s="5" t="s">
        <v>783</v>
      </c>
      <c r="M174" t="s">
        <v>3580</v>
      </c>
      <c r="R174" t="s">
        <v>164</v>
      </c>
    </row>
    <row r="175" customHeight="1" spans="1:18">
      <c r="A175" s="1" t="s">
        <v>26</v>
      </c>
      <c r="B175" s="1" t="s">
        <v>31</v>
      </c>
      <c r="C175" s="9" t="s">
        <v>3581</v>
      </c>
      <c r="D175" s="10" t="s">
        <v>3374</v>
      </c>
      <c r="F175" t="s">
        <v>3582</v>
      </c>
      <c r="I175" s="5">
        <f>I81*I176</f>
        <v>0</v>
      </c>
      <c r="J175" s="5" t="s">
        <v>1173</v>
      </c>
      <c r="M175" t="s">
        <v>3583</v>
      </c>
    </row>
    <row r="176" customHeight="1" spans="1:18">
      <c r="A176" s="1" t="s">
        <v>236</v>
      </c>
      <c r="B176" s="1" t="s">
        <v>160</v>
      </c>
      <c r="C176" s="9" t="s">
        <v>3582</v>
      </c>
      <c r="D176" s="10" t="s">
        <v>3549</v>
      </c>
      <c r="H176" s="5" t="e">
        <f>H175/H81</f>
        <v>#DIV/0!</v>
      </c>
      <c r="J176" s="5" t="s">
        <v>783</v>
      </c>
      <c r="M176" t="s">
        <v>3584</v>
      </c>
      <c r="R176" t="s">
        <v>164</v>
      </c>
    </row>
    <row r="177" customHeight="1" spans="1:18">
      <c r="A177" s="1" t="s">
        <v>26</v>
      </c>
      <c r="B177" s="1" t="s">
        <v>31</v>
      </c>
      <c r="C177" s="9" t="s">
        <v>3585</v>
      </c>
      <c r="D177" s="10" t="s">
        <v>3377</v>
      </c>
      <c r="F177" t="s">
        <v>3586</v>
      </c>
      <c r="I177" s="5">
        <f>I82*I178</f>
        <v>0</v>
      </c>
      <c r="J177" s="5" t="s">
        <v>1173</v>
      </c>
      <c r="M177" t="s">
        <v>3587</v>
      </c>
    </row>
    <row r="178" customHeight="1" spans="1:18">
      <c r="A178" s="1" t="s">
        <v>236</v>
      </c>
      <c r="B178" s="1" t="s">
        <v>160</v>
      </c>
      <c r="C178" s="9" t="s">
        <v>3586</v>
      </c>
      <c r="D178" s="10" t="s">
        <v>3549</v>
      </c>
      <c r="H178" s="5" t="e">
        <f>H177/H82</f>
        <v>#DIV/0!</v>
      </c>
      <c r="J178" s="5" t="s">
        <v>783</v>
      </c>
      <c r="M178" t="s">
        <v>3588</v>
      </c>
      <c r="R178" t="s">
        <v>164</v>
      </c>
    </row>
    <row r="179" customHeight="1" spans="1:18">
      <c r="A179" s="1" t="s">
        <v>26</v>
      </c>
      <c r="B179" s="1" t="s">
        <v>31</v>
      </c>
      <c r="C179" s="9" t="s">
        <v>3589</v>
      </c>
      <c r="D179" s="10" t="s">
        <v>3380</v>
      </c>
      <c r="F179" t="s">
        <v>3590</v>
      </c>
      <c r="I179" s="5">
        <f>I83*I180</f>
        <v>0</v>
      </c>
      <c r="J179" s="5" t="s">
        <v>1173</v>
      </c>
      <c r="M179" t="s">
        <v>3591</v>
      </c>
    </row>
    <row r="180" customHeight="1" spans="1:18">
      <c r="A180" s="1" t="s">
        <v>236</v>
      </c>
      <c r="B180" s="1" t="s">
        <v>160</v>
      </c>
      <c r="C180" s="9" t="s">
        <v>3590</v>
      </c>
      <c r="D180" s="10" t="s">
        <v>3549</v>
      </c>
      <c r="H180" s="5" t="e">
        <f>H179/H83</f>
        <v>#DIV/0!</v>
      </c>
      <c r="J180" s="5" t="s">
        <v>783</v>
      </c>
      <c r="M180" t="s">
        <v>3592</v>
      </c>
      <c r="R180" t="s">
        <v>164</v>
      </c>
    </row>
    <row r="181" customHeight="1" spans="1:18">
      <c r="A181" s="1" t="s">
        <v>26</v>
      </c>
      <c r="B181" s="1" t="s">
        <v>31</v>
      </c>
      <c r="C181" s="9" t="s">
        <v>3593</v>
      </c>
      <c r="D181" s="10" t="s">
        <v>3383</v>
      </c>
      <c r="F181" t="s">
        <v>3594</v>
      </c>
      <c r="I181" s="5">
        <f>(I84+I93)*I182</f>
        <v>0</v>
      </c>
      <c r="J181" s="5" t="s">
        <v>1173</v>
      </c>
      <c r="M181" t="s">
        <v>3595</v>
      </c>
    </row>
    <row r="182" customHeight="1" spans="1:18">
      <c r="A182" s="1" t="s">
        <v>236</v>
      </c>
      <c r="B182" s="1" t="s">
        <v>160</v>
      </c>
      <c r="C182" s="9" t="s">
        <v>3594</v>
      </c>
      <c r="D182" s="10" t="s">
        <v>3549</v>
      </c>
      <c r="H182" s="5" t="e">
        <f>H181/(H84+H93)</f>
        <v>#DIV/0!</v>
      </c>
      <c r="J182" s="5" t="s">
        <v>783</v>
      </c>
      <c r="M182" t="s">
        <v>3596</v>
      </c>
      <c r="R182" t="s">
        <v>164</v>
      </c>
    </row>
    <row r="183" customHeight="1" spans="1:18">
      <c r="A183" s="1" t="s">
        <v>26</v>
      </c>
      <c r="B183" s="1" t="s">
        <v>31</v>
      </c>
      <c r="C183" s="9" t="s">
        <v>3597</v>
      </c>
      <c r="D183" s="10" t="s">
        <v>3534</v>
      </c>
      <c r="F183" t="s">
        <v>3598</v>
      </c>
      <c r="I183" s="5">
        <f>I85*I184</f>
        <v>0</v>
      </c>
      <c r="J183" s="5" t="s">
        <v>1173</v>
      </c>
      <c r="M183" t="s">
        <v>3068</v>
      </c>
    </row>
    <row r="184" customHeight="1" spans="1:18">
      <c r="A184" s="1" t="s">
        <v>236</v>
      </c>
      <c r="B184" s="1" t="s">
        <v>160</v>
      </c>
      <c r="C184" s="9" t="s">
        <v>3598</v>
      </c>
      <c r="D184" s="10" t="s">
        <v>3549</v>
      </c>
      <c r="H184" s="5" t="e">
        <f>H183/H85</f>
        <v>#DIV/0!</v>
      </c>
      <c r="J184" s="5" t="s">
        <v>783</v>
      </c>
      <c r="M184" t="s">
        <v>3070</v>
      </c>
      <c r="R184" t="s">
        <v>164</v>
      </c>
    </row>
    <row r="185" customHeight="1" spans="1:18">
      <c r="A185" s="1" t="s">
        <v>26</v>
      </c>
      <c r="B185" s="1" t="s">
        <v>31</v>
      </c>
      <c r="C185" s="9" t="s">
        <v>3599</v>
      </c>
      <c r="D185" s="10" t="s">
        <v>3392</v>
      </c>
      <c r="F185" t="s">
        <v>3600</v>
      </c>
      <c r="I185" s="5">
        <f>I86*I186</f>
        <v>0</v>
      </c>
      <c r="J185" s="5" t="s">
        <v>1173</v>
      </c>
      <c r="M185" t="s">
        <v>3601</v>
      </c>
    </row>
    <row r="186" customHeight="1" spans="1:18">
      <c r="A186" s="1" t="s">
        <v>236</v>
      </c>
      <c r="B186" s="1" t="s">
        <v>160</v>
      </c>
      <c r="C186" s="9" t="s">
        <v>3600</v>
      </c>
      <c r="D186" s="10" t="s">
        <v>3549</v>
      </c>
      <c r="H186" s="5" t="e">
        <f>H185/H86</f>
        <v>#DIV/0!</v>
      </c>
      <c r="J186" s="5" t="s">
        <v>783</v>
      </c>
      <c r="M186" t="s">
        <v>3602</v>
      </c>
      <c r="R186" t="s">
        <v>164</v>
      </c>
    </row>
    <row r="187" customHeight="1" spans="1:18">
      <c r="A187" s="1" t="s">
        <v>26</v>
      </c>
      <c r="B187" s="1" t="s">
        <v>31</v>
      </c>
      <c r="C187" s="9" t="s">
        <v>3603</v>
      </c>
      <c r="D187" s="10" t="s">
        <v>3406</v>
      </c>
      <c r="F187" t="s">
        <v>3604</v>
      </c>
      <c r="I187" s="5">
        <f>I89*I188</f>
        <v>0</v>
      </c>
      <c r="J187" s="5" t="s">
        <v>1173</v>
      </c>
      <c r="M187" t="s">
        <v>3605</v>
      </c>
    </row>
    <row r="188" customHeight="1" spans="1:18">
      <c r="A188" s="1" t="s">
        <v>236</v>
      </c>
      <c r="B188" s="1" t="s">
        <v>160</v>
      </c>
      <c r="C188" s="9" t="s">
        <v>3604</v>
      </c>
      <c r="D188" s="10" t="s">
        <v>3549</v>
      </c>
      <c r="H188" s="5" t="e">
        <f>H187/H89</f>
        <v>#DIV/0!</v>
      </c>
      <c r="J188" s="5" t="s">
        <v>783</v>
      </c>
      <c r="M188" t="s">
        <v>3606</v>
      </c>
      <c r="R188" t="s">
        <v>164</v>
      </c>
    </row>
    <row r="189" customHeight="1" spans="1:18">
      <c r="A189" s="1" t="s">
        <v>26</v>
      </c>
      <c r="B189" s="1" t="s">
        <v>31</v>
      </c>
      <c r="C189" s="9" t="s">
        <v>3607</v>
      </c>
      <c r="D189" s="10" t="s">
        <v>3409</v>
      </c>
      <c r="F189" t="s">
        <v>3608</v>
      </c>
      <c r="I189" s="5">
        <f>I90*I190</f>
        <v>0</v>
      </c>
      <c r="J189" s="5" t="s">
        <v>1173</v>
      </c>
      <c r="M189" t="s">
        <v>3609</v>
      </c>
    </row>
    <row r="190" customHeight="1" spans="1:18">
      <c r="A190" s="1" t="s">
        <v>236</v>
      </c>
      <c r="B190" s="1" t="s">
        <v>160</v>
      </c>
      <c r="C190" s="9" t="s">
        <v>3608</v>
      </c>
      <c r="D190" s="10" t="s">
        <v>3549</v>
      </c>
      <c r="H190" s="5" t="e">
        <f>H189/H90</f>
        <v>#DIV/0!</v>
      </c>
      <c r="J190" s="5" t="s">
        <v>783</v>
      </c>
      <c r="M190" t="s">
        <v>3610</v>
      </c>
      <c r="R190" t="s">
        <v>164</v>
      </c>
    </row>
    <row r="191" customHeight="1" spans="1:18">
      <c r="A191" s="1"/>
      <c r="B191" s="1"/>
      <c r="C191" s="9"/>
      <c r="D191" s="10"/>
    </row>
    <row r="192" customHeight="1" spans="1:18">
      <c r="A192" s="7" t="s">
        <v>14</v>
      </c>
      <c r="B192" s="7" t="s">
        <v>31</v>
      </c>
      <c r="C192" s="8" t="s">
        <v>3611</v>
      </c>
      <c r="D192" s="11" t="s">
        <v>1273</v>
      </c>
      <c r="F192" t="s">
        <v>3612</v>
      </c>
      <c r="H192" s="5">
        <f>H193</f>
        <v>0</v>
      </c>
      <c r="I192" s="5">
        <f>I193</f>
        <v>0</v>
      </c>
      <c r="M192" t="s">
        <v>35</v>
      </c>
    </row>
    <row r="193" customHeight="1" spans="1:18">
      <c r="A193" s="7" t="s">
        <v>21</v>
      </c>
      <c r="B193" s="7" t="s">
        <v>31</v>
      </c>
      <c r="C193" s="8" t="s">
        <v>3612</v>
      </c>
      <c r="D193" s="11" t="s">
        <v>2002</v>
      </c>
      <c r="F193" t="s">
        <v>3613</v>
      </c>
      <c r="H193" s="5">
        <f>H194+H196+H198+H200+H202</f>
        <v>0</v>
      </c>
      <c r="I193" s="5">
        <f>I194+I196+I198+I200+I202</f>
        <v>0</v>
      </c>
      <c r="M193" t="s">
        <v>1283</v>
      </c>
    </row>
    <row r="194" customHeight="1" spans="1:18">
      <c r="A194" s="7" t="s">
        <v>26</v>
      </c>
      <c r="B194" s="7" t="s">
        <v>31</v>
      </c>
      <c r="C194" s="8" t="s">
        <v>3614</v>
      </c>
      <c r="D194" s="11" t="s">
        <v>494</v>
      </c>
      <c r="F194" t="s">
        <v>3615</v>
      </c>
      <c r="I194" s="5">
        <f>I105*I195</f>
        <v>0</v>
      </c>
      <c r="J194" s="5" t="s">
        <v>1173</v>
      </c>
      <c r="M194" t="s">
        <v>771</v>
      </c>
    </row>
    <row r="195" customHeight="1" spans="1:18">
      <c r="A195" s="10" t="s">
        <v>236</v>
      </c>
      <c r="B195" s="10" t="s">
        <v>160</v>
      </c>
      <c r="C195" s="9" t="s">
        <v>3615</v>
      </c>
      <c r="D195" s="10" t="s">
        <v>3616</v>
      </c>
      <c r="H195" s="5" t="e">
        <f>H194/H105</f>
        <v>#DIV/0!</v>
      </c>
      <c r="J195" s="5" t="s">
        <v>783</v>
      </c>
      <c r="M195" t="s">
        <v>1287</v>
      </c>
      <c r="R195" t="s">
        <v>164</v>
      </c>
    </row>
    <row r="196" customHeight="1" spans="1:18">
      <c r="A196" s="7" t="s">
        <v>26</v>
      </c>
      <c r="B196" s="7" t="s">
        <v>31</v>
      </c>
      <c r="C196" s="8" t="s">
        <v>3617</v>
      </c>
      <c r="D196" s="11" t="s">
        <v>497</v>
      </c>
      <c r="F196" t="s">
        <v>3618</v>
      </c>
      <c r="I196" s="5">
        <f>I106*I197</f>
        <v>0</v>
      </c>
      <c r="J196" s="5" t="s">
        <v>1173</v>
      </c>
      <c r="M196" t="s">
        <v>773</v>
      </c>
    </row>
    <row r="197" customHeight="1" spans="1:18">
      <c r="A197" s="10" t="s">
        <v>236</v>
      </c>
      <c r="B197" s="10" t="s">
        <v>160</v>
      </c>
      <c r="C197" s="9" t="s">
        <v>3618</v>
      </c>
      <c r="D197" s="10" t="s">
        <v>3616</v>
      </c>
      <c r="H197" s="5" t="e">
        <f>H196/H106</f>
        <v>#DIV/0!</v>
      </c>
      <c r="J197" s="5" t="s">
        <v>783</v>
      </c>
      <c r="M197" t="s">
        <v>3619</v>
      </c>
      <c r="R197" t="s">
        <v>164</v>
      </c>
    </row>
    <row r="198" customHeight="1" spans="1:18">
      <c r="A198" s="7" t="s">
        <v>26</v>
      </c>
      <c r="B198" s="7" t="s">
        <v>31</v>
      </c>
      <c r="C198" s="8" t="s">
        <v>3620</v>
      </c>
      <c r="D198" s="11" t="s">
        <v>500</v>
      </c>
      <c r="F198" t="s">
        <v>3621</v>
      </c>
      <c r="I198" s="5">
        <f>I107*I199</f>
        <v>0</v>
      </c>
      <c r="J198" s="5" t="s">
        <v>1173</v>
      </c>
      <c r="M198" t="s">
        <v>775</v>
      </c>
    </row>
    <row r="199" customHeight="1" spans="1:18">
      <c r="A199" s="10" t="s">
        <v>236</v>
      </c>
      <c r="B199" s="10" t="s">
        <v>160</v>
      </c>
      <c r="C199" s="9" t="s">
        <v>3621</v>
      </c>
      <c r="D199" s="10" t="s">
        <v>3616</v>
      </c>
      <c r="H199" s="5" t="e">
        <f>H198/H107</f>
        <v>#DIV/0!</v>
      </c>
      <c r="J199" s="5" t="s">
        <v>783</v>
      </c>
      <c r="M199" t="s">
        <v>3622</v>
      </c>
      <c r="R199" t="s">
        <v>164</v>
      </c>
    </row>
    <row r="200" customHeight="1" spans="1:18">
      <c r="A200" s="7" t="s">
        <v>26</v>
      </c>
      <c r="B200" s="7" t="s">
        <v>31</v>
      </c>
      <c r="C200" s="8" t="s">
        <v>3623</v>
      </c>
      <c r="D200" s="11" t="s">
        <v>503</v>
      </c>
      <c r="F200" t="s">
        <v>3624</v>
      </c>
      <c r="I200" s="5">
        <f>I108*I201</f>
        <v>0</v>
      </c>
      <c r="J200" s="5" t="s">
        <v>1173</v>
      </c>
      <c r="M200" t="s">
        <v>777</v>
      </c>
    </row>
    <row r="201" customHeight="1" spans="1:18">
      <c r="A201" s="10" t="s">
        <v>236</v>
      </c>
      <c r="B201" s="10" t="s">
        <v>160</v>
      </c>
      <c r="C201" s="9" t="s">
        <v>3624</v>
      </c>
      <c r="D201" s="10" t="s">
        <v>3616</v>
      </c>
      <c r="H201" s="5" t="e">
        <f>H200/H108</f>
        <v>#DIV/0!</v>
      </c>
      <c r="J201" s="5" t="s">
        <v>783</v>
      </c>
      <c r="M201" t="s">
        <v>3094</v>
      </c>
      <c r="R201" t="s">
        <v>164</v>
      </c>
    </row>
    <row r="202" customHeight="1" spans="1:18">
      <c r="A202" s="7" t="s">
        <v>26</v>
      </c>
      <c r="B202" s="7" t="s">
        <v>31</v>
      </c>
      <c r="C202" s="8" t="s">
        <v>3625</v>
      </c>
      <c r="D202" s="11" t="s">
        <v>506</v>
      </c>
      <c r="F202" t="s">
        <v>3626</v>
      </c>
      <c r="I202" s="5">
        <f>I109*I203</f>
        <v>0</v>
      </c>
      <c r="J202" s="5" t="s">
        <v>1173</v>
      </c>
      <c r="M202" t="s">
        <v>779</v>
      </c>
    </row>
    <row r="203" customHeight="1" spans="1:18">
      <c r="A203" s="10" t="s">
        <v>236</v>
      </c>
      <c r="B203" s="10" t="s">
        <v>160</v>
      </c>
      <c r="C203" s="9" t="s">
        <v>3626</v>
      </c>
      <c r="D203" s="10" t="s">
        <v>3616</v>
      </c>
      <c r="H203" s="5" t="e">
        <f>H202/H109</f>
        <v>#DIV/0!</v>
      </c>
      <c r="J203" s="5" t="s">
        <v>783</v>
      </c>
      <c r="M203" t="s">
        <v>3627</v>
      </c>
      <c r="R203" t="s">
        <v>164</v>
      </c>
    </row>
    <row r="204" customHeight="1" spans="1:18">
      <c r="A204" s="10"/>
      <c r="B204" s="10"/>
      <c r="C204" s="9"/>
      <c r="D204" s="10"/>
    </row>
    <row r="205" customHeight="1" spans="1:18">
      <c r="A205" s="10" t="s">
        <v>14</v>
      </c>
      <c r="B205" s="10" t="s">
        <v>15</v>
      </c>
      <c r="C205" s="9" t="s">
        <v>3628</v>
      </c>
      <c r="D205" s="10" t="s">
        <v>1289</v>
      </c>
      <c r="F205" t="s">
        <v>3629</v>
      </c>
      <c r="H205" s="5">
        <f>H206+H217</f>
        <v>0</v>
      </c>
      <c r="I205" s="5">
        <f>I206+I217</f>
        <v>0</v>
      </c>
      <c r="M205" t="s">
        <v>834</v>
      </c>
    </row>
    <row r="206" customHeight="1" spans="1:18">
      <c r="A206" s="10" t="s">
        <v>21</v>
      </c>
      <c r="B206" s="10" t="s">
        <v>15</v>
      </c>
      <c r="C206" s="9" t="s">
        <v>3630</v>
      </c>
      <c r="D206" s="10" t="s">
        <v>1298</v>
      </c>
      <c r="F206" t="s">
        <v>3631</v>
      </c>
      <c r="H206" s="5">
        <f>H207+H209+H211+H213+H215</f>
        <v>0</v>
      </c>
      <c r="I206" s="5">
        <f>I207+I209+I211+I213+I215</f>
        <v>0</v>
      </c>
      <c r="M206" t="s">
        <v>1300</v>
      </c>
    </row>
    <row r="207" customHeight="1" spans="1:18">
      <c r="A207" s="10" t="s">
        <v>26</v>
      </c>
      <c r="B207" s="10" t="s">
        <v>15</v>
      </c>
      <c r="C207" s="9" t="s">
        <v>3632</v>
      </c>
      <c r="D207" s="10" t="s">
        <v>494</v>
      </c>
      <c r="F207" t="s">
        <v>3633</v>
      </c>
      <c r="I207" s="5">
        <f>I105*I208</f>
        <v>0</v>
      </c>
      <c r="J207" s="5" t="s">
        <v>1173</v>
      </c>
      <c r="M207" t="s">
        <v>3634</v>
      </c>
    </row>
    <row r="208" customHeight="1" spans="1:18">
      <c r="A208" s="10" t="s">
        <v>236</v>
      </c>
      <c r="B208" s="10" t="s">
        <v>160</v>
      </c>
      <c r="C208" s="9" t="s">
        <v>3633</v>
      </c>
      <c r="D208" s="10" t="s">
        <v>3549</v>
      </c>
      <c r="H208" s="5" t="e">
        <f>H207/H105</f>
        <v>#DIV/0!</v>
      </c>
      <c r="J208" s="5" t="s">
        <v>783</v>
      </c>
      <c r="M208" t="s">
        <v>3635</v>
      </c>
      <c r="R208" t="s">
        <v>164</v>
      </c>
    </row>
    <row r="209" customHeight="1" spans="1:18">
      <c r="A209" s="10" t="s">
        <v>26</v>
      </c>
      <c r="B209" s="10" t="s">
        <v>15</v>
      </c>
      <c r="C209" s="9" t="s">
        <v>3636</v>
      </c>
      <c r="D209" s="10" t="s">
        <v>497</v>
      </c>
      <c r="F209" t="s">
        <v>3637</v>
      </c>
      <c r="I209" s="5">
        <f>I106*I210</f>
        <v>0</v>
      </c>
      <c r="J209" s="5" t="s">
        <v>1173</v>
      </c>
      <c r="M209" t="s">
        <v>1303</v>
      </c>
    </row>
    <row r="210" customHeight="1" spans="1:18">
      <c r="A210" s="10" t="s">
        <v>236</v>
      </c>
      <c r="B210" s="10" t="s">
        <v>160</v>
      </c>
      <c r="C210" s="9" t="s">
        <v>3637</v>
      </c>
      <c r="D210" s="10" t="s">
        <v>3549</v>
      </c>
      <c r="H210" s="5" t="e">
        <f>H209/H106</f>
        <v>#DIV/0!</v>
      </c>
      <c r="J210" s="5" t="s">
        <v>783</v>
      </c>
      <c r="M210" t="s">
        <v>1305</v>
      </c>
      <c r="R210" t="s">
        <v>164</v>
      </c>
    </row>
    <row r="211" customHeight="1" spans="1:18">
      <c r="A211" s="10" t="s">
        <v>26</v>
      </c>
      <c r="B211" s="10" t="s">
        <v>15</v>
      </c>
      <c r="C211" s="9" t="s">
        <v>3638</v>
      </c>
      <c r="D211" s="10" t="s">
        <v>500</v>
      </c>
      <c r="F211" t="s">
        <v>3639</v>
      </c>
      <c r="I211" s="5">
        <f>I107*I212</f>
        <v>0</v>
      </c>
      <c r="J211" s="5" t="s">
        <v>1173</v>
      </c>
      <c r="M211" t="s">
        <v>3640</v>
      </c>
    </row>
    <row r="212" customHeight="1" spans="1:18">
      <c r="A212" s="10" t="s">
        <v>236</v>
      </c>
      <c r="B212" s="10" t="s">
        <v>160</v>
      </c>
      <c r="C212" s="9" t="s">
        <v>3639</v>
      </c>
      <c r="D212" s="10" t="s">
        <v>3549</v>
      </c>
      <c r="H212" s="5" t="e">
        <f>H211/H107</f>
        <v>#DIV/0!</v>
      </c>
      <c r="J212" s="5" t="s">
        <v>783</v>
      </c>
      <c r="M212" t="s">
        <v>3641</v>
      </c>
      <c r="R212" t="s">
        <v>164</v>
      </c>
    </row>
    <row r="213" customHeight="1" spans="1:18">
      <c r="A213" s="10" t="s">
        <v>26</v>
      </c>
      <c r="B213" s="10" t="s">
        <v>15</v>
      </c>
      <c r="C213" s="9" t="s">
        <v>3642</v>
      </c>
      <c r="D213" s="10" t="s">
        <v>503</v>
      </c>
      <c r="F213" t="s">
        <v>3643</v>
      </c>
      <c r="I213" s="5">
        <f>I108*I214</f>
        <v>0</v>
      </c>
      <c r="J213" s="5" t="s">
        <v>1173</v>
      </c>
      <c r="M213" t="s">
        <v>3644</v>
      </c>
    </row>
    <row r="214" customHeight="1" spans="1:18">
      <c r="A214" s="10" t="s">
        <v>236</v>
      </c>
      <c r="B214" s="10" t="s">
        <v>160</v>
      </c>
      <c r="C214" s="9" t="s">
        <v>3643</v>
      </c>
      <c r="D214" s="10" t="s">
        <v>3549</v>
      </c>
      <c r="H214" s="5" t="e">
        <f>H213/H108</f>
        <v>#DIV/0!</v>
      </c>
      <c r="J214" s="5" t="s">
        <v>783</v>
      </c>
      <c r="M214" t="s">
        <v>3645</v>
      </c>
      <c r="R214" t="s">
        <v>164</v>
      </c>
    </row>
    <row r="215" customHeight="1" spans="1:18">
      <c r="A215" s="10" t="s">
        <v>26</v>
      </c>
      <c r="B215" s="10" t="s">
        <v>15</v>
      </c>
      <c r="C215" s="9" t="s">
        <v>3646</v>
      </c>
      <c r="D215" s="10" t="s">
        <v>506</v>
      </c>
      <c r="F215" t="s">
        <v>3647</v>
      </c>
      <c r="I215" s="5">
        <f>I109*I216</f>
        <v>0</v>
      </c>
      <c r="J215" s="5" t="s">
        <v>1173</v>
      </c>
      <c r="M215" t="s">
        <v>3115</v>
      </c>
    </row>
    <row r="216" customHeight="1" spans="1:18">
      <c r="A216" s="10" t="s">
        <v>236</v>
      </c>
      <c r="B216" s="10" t="s">
        <v>160</v>
      </c>
      <c r="C216" s="9" t="s">
        <v>3647</v>
      </c>
      <c r="D216" s="10" t="s">
        <v>3549</v>
      </c>
      <c r="H216" s="5" t="e">
        <f>H215/H109</f>
        <v>#DIV/0!</v>
      </c>
      <c r="J216" s="5" t="s">
        <v>783</v>
      </c>
      <c r="M216" t="s">
        <v>3117</v>
      </c>
      <c r="R216" t="s">
        <v>164</v>
      </c>
    </row>
    <row r="217" customHeight="1" spans="1:18">
      <c r="A217" s="10" t="s">
        <v>21</v>
      </c>
      <c r="B217" s="10" t="s">
        <v>15</v>
      </c>
      <c r="C217" s="9" t="s">
        <v>3648</v>
      </c>
      <c r="D217" s="10" t="s">
        <v>3649</v>
      </c>
      <c r="F217" t="s">
        <v>3650</v>
      </c>
      <c r="J217" s="5" t="s">
        <v>1173</v>
      </c>
      <c r="M217" t="s">
        <v>3651</v>
      </c>
    </row>
    <row r="218" customHeight="1" spans="1:18">
      <c r="A218" s="10" t="s">
        <v>26</v>
      </c>
      <c r="B218" s="10" t="s">
        <v>160</v>
      </c>
      <c r="C218" s="9" t="s">
        <v>3650</v>
      </c>
      <c r="D218" s="10" t="s">
        <v>3549</v>
      </c>
      <c r="H218" s="5" t="e">
        <f>H217/H110</f>
        <v>#DIV/0!</v>
      </c>
      <c r="J218" s="5" t="s">
        <v>783</v>
      </c>
      <c r="M218" t="s">
        <v>3652</v>
      </c>
      <c r="R218" t="s">
        <v>164</v>
      </c>
    </row>
    <row r="219" customHeight="1" spans="1:18">
      <c r="A219" s="1"/>
      <c r="B219" s="1"/>
      <c r="C219" s="9"/>
      <c r="D219" s="10"/>
    </row>
    <row r="220" customHeight="1" spans="1:18">
      <c r="A220" s="11" t="s">
        <v>14</v>
      </c>
      <c r="B220" s="11" t="s">
        <v>15</v>
      </c>
      <c r="C220" s="8" t="s">
        <v>3653</v>
      </c>
      <c r="D220" s="11" t="s">
        <v>1307</v>
      </c>
      <c r="F220" t="s">
        <v>3654</v>
      </c>
      <c r="H220" s="5">
        <f>H221</f>
        <v>0</v>
      </c>
      <c r="I220" s="5">
        <f>I221</f>
        <v>0</v>
      </c>
      <c r="M220" t="s">
        <v>42</v>
      </c>
    </row>
    <row r="221" customHeight="1" spans="1:18">
      <c r="A221" s="11" t="s">
        <v>21</v>
      </c>
      <c r="B221" s="11" t="s">
        <v>15</v>
      </c>
      <c r="C221" s="8" t="s">
        <v>3654</v>
      </c>
      <c r="D221" s="11" t="s">
        <v>2498</v>
      </c>
      <c r="M221" t="s">
        <v>1356</v>
      </c>
      <c r="R221" t="s">
        <v>43</v>
      </c>
    </row>
    <row r="222" customHeight="1" spans="1:18">
      <c r="A222" s="1"/>
      <c r="B222" s="1"/>
      <c r="C222" s="9"/>
      <c r="D222" s="1"/>
    </row>
    <row r="223" customHeight="1" spans="1:18">
      <c r="A223" s="11" t="s">
        <v>14</v>
      </c>
      <c r="B223" s="11" t="s">
        <v>31</v>
      </c>
      <c r="C223" s="8" t="s">
        <v>3655</v>
      </c>
      <c r="D223" s="11" t="s">
        <v>1358</v>
      </c>
      <c r="F223" t="s">
        <v>3656</v>
      </c>
      <c r="H223" s="5">
        <f>H224</f>
        <v>0</v>
      </c>
      <c r="I223" s="5">
        <f>I224</f>
        <v>0</v>
      </c>
      <c r="M223" t="s">
        <v>46</v>
      </c>
    </row>
    <row r="224" customHeight="1" spans="1:18">
      <c r="A224" s="11" t="s">
        <v>21</v>
      </c>
      <c r="B224" s="11" t="s">
        <v>31</v>
      </c>
      <c r="C224" s="8" t="s">
        <v>3656</v>
      </c>
      <c r="D224" s="11" t="s">
        <v>3657</v>
      </c>
      <c r="M224" t="s">
        <v>1420</v>
      </c>
      <c r="R224" t="s">
        <v>43</v>
      </c>
    </row>
    <row r="225" customHeight="1" spans="1:18">
      <c r="A225" s="1"/>
      <c r="B225" s="1"/>
      <c r="C225" s="9"/>
      <c r="D225" s="1"/>
    </row>
    <row r="226" customHeight="1" spans="1:18">
      <c r="A226" s="11" t="s">
        <v>14</v>
      </c>
      <c r="B226" s="11" t="s">
        <v>15</v>
      </c>
      <c r="C226" s="8" t="s">
        <v>3658</v>
      </c>
      <c r="D226" s="11" t="s">
        <v>1422</v>
      </c>
      <c r="F226" t="s">
        <v>3659</v>
      </c>
      <c r="H226" s="5">
        <f>H227+H235+H237+H239+H241+H243+H245</f>
        <v>0</v>
      </c>
      <c r="I226" s="5">
        <f>I227+I235+I237+I239+I241+I243+I245</f>
        <v>0</v>
      </c>
      <c r="M226" t="s">
        <v>1423</v>
      </c>
    </row>
    <row r="227" customHeight="1" spans="1:18">
      <c r="A227" s="7" t="s">
        <v>21</v>
      </c>
      <c r="B227" s="7" t="s">
        <v>15</v>
      </c>
      <c r="C227" s="8" t="s">
        <v>3660</v>
      </c>
      <c r="D227" s="7" t="s">
        <v>3661</v>
      </c>
      <c r="F227" t="s">
        <v>3662</v>
      </c>
      <c r="H227" s="5">
        <f>H228+H229+H230+H231+H232+H233+H234</f>
        <v>0</v>
      </c>
      <c r="I227" s="5">
        <f>I228+I229+I230+I231+I232+I233+I234</f>
        <v>0</v>
      </c>
      <c r="M227" t="s">
        <v>3173</v>
      </c>
    </row>
    <row r="228" customHeight="1" spans="1:18">
      <c r="A228" s="1" t="s">
        <v>26</v>
      </c>
      <c r="B228" s="1" t="s">
        <v>15</v>
      </c>
      <c r="C228" s="9" t="s">
        <v>3663</v>
      </c>
      <c r="D228" s="1" t="s">
        <v>3664</v>
      </c>
      <c r="M228" t="s">
        <v>3665</v>
      </c>
      <c r="R228" t="s">
        <v>43</v>
      </c>
    </row>
    <row r="229" customHeight="1" spans="1:18">
      <c r="A229" s="1" t="s">
        <v>26</v>
      </c>
      <c r="B229" s="1" t="s">
        <v>15</v>
      </c>
      <c r="C229" s="9" t="s">
        <v>3666</v>
      </c>
      <c r="D229" s="1" t="s">
        <v>3667</v>
      </c>
      <c r="M229" t="s">
        <v>3668</v>
      </c>
      <c r="R229" t="s">
        <v>43</v>
      </c>
    </row>
    <row r="230" customHeight="1" spans="1:18">
      <c r="A230" s="1" t="s">
        <v>26</v>
      </c>
      <c r="B230" s="1" t="s">
        <v>15</v>
      </c>
      <c r="C230" s="9" t="s">
        <v>3669</v>
      </c>
      <c r="D230" s="1" t="s">
        <v>3670</v>
      </c>
      <c r="M230" t="s">
        <v>3671</v>
      </c>
      <c r="R230" t="s">
        <v>43</v>
      </c>
    </row>
    <row r="231" customHeight="1" spans="1:18">
      <c r="A231" s="1" t="s">
        <v>26</v>
      </c>
      <c r="B231" s="1" t="s">
        <v>15</v>
      </c>
      <c r="C231" s="9" t="s">
        <v>3672</v>
      </c>
      <c r="D231" s="1" t="s">
        <v>3673</v>
      </c>
      <c r="M231" t="s">
        <v>3674</v>
      </c>
      <c r="R231" t="s">
        <v>43</v>
      </c>
    </row>
    <row r="232" customHeight="1" spans="1:18">
      <c r="A232" s="1" t="s">
        <v>26</v>
      </c>
      <c r="B232" s="1" t="s">
        <v>15</v>
      </c>
      <c r="C232" s="9" t="s">
        <v>3675</v>
      </c>
      <c r="D232" s="1" t="s">
        <v>3676</v>
      </c>
      <c r="M232" t="s">
        <v>3677</v>
      </c>
      <c r="R232" t="s">
        <v>43</v>
      </c>
    </row>
    <row r="233" customHeight="1" spans="1:18">
      <c r="A233" s="1" t="s">
        <v>26</v>
      </c>
      <c r="B233" s="1" t="s">
        <v>15</v>
      </c>
      <c r="C233" s="9" t="s">
        <v>3678</v>
      </c>
      <c r="D233" s="1" t="s">
        <v>3679</v>
      </c>
      <c r="M233" t="s">
        <v>3680</v>
      </c>
      <c r="R233" t="s">
        <v>43</v>
      </c>
    </row>
    <row r="234" customHeight="1" spans="1:18">
      <c r="A234" s="1" t="s">
        <v>26</v>
      </c>
      <c r="B234" s="1" t="s">
        <v>15</v>
      </c>
      <c r="C234" s="9" t="s">
        <v>3681</v>
      </c>
      <c r="D234" s="1" t="s">
        <v>3682</v>
      </c>
      <c r="M234" t="s">
        <v>3683</v>
      </c>
      <c r="R234" t="s">
        <v>43</v>
      </c>
    </row>
    <row r="235" customHeight="1" spans="1:18">
      <c r="A235" s="7" t="s">
        <v>21</v>
      </c>
      <c r="B235" s="7" t="s">
        <v>15</v>
      </c>
      <c r="C235" s="8" t="s">
        <v>3684</v>
      </c>
      <c r="D235" s="7" t="s">
        <v>3685</v>
      </c>
      <c r="F235" t="s">
        <v>3686</v>
      </c>
      <c r="M235" t="s">
        <v>3176</v>
      </c>
    </row>
    <row r="236" customHeight="1" spans="1:18">
      <c r="A236" s="1" t="s">
        <v>26</v>
      </c>
      <c r="B236" s="1" t="s">
        <v>160</v>
      </c>
      <c r="C236" s="9" t="s">
        <v>3686</v>
      </c>
      <c r="D236" s="10" t="s">
        <v>3687</v>
      </c>
      <c r="H236" s="5" t="e">
        <f>H235/(H92+H93)</f>
        <v>#DIV/0!</v>
      </c>
      <c r="J236" s="5" t="s">
        <v>783</v>
      </c>
      <c r="M236" t="s">
        <v>3688</v>
      </c>
      <c r="R236" t="s">
        <v>164</v>
      </c>
    </row>
    <row r="237" customHeight="1" spans="1:18">
      <c r="A237" s="7" t="s">
        <v>21</v>
      </c>
      <c r="B237" s="7" t="s">
        <v>15</v>
      </c>
      <c r="C237" s="8" t="s">
        <v>3689</v>
      </c>
      <c r="D237" s="7" t="s">
        <v>3690</v>
      </c>
      <c r="F237" t="s">
        <v>3691</v>
      </c>
      <c r="M237" t="s">
        <v>3692</v>
      </c>
    </row>
    <row r="238" customHeight="1" spans="1:18">
      <c r="A238" s="1" t="s">
        <v>26</v>
      </c>
      <c r="B238" s="1" t="s">
        <v>160</v>
      </c>
      <c r="C238" s="9" t="s">
        <v>3691</v>
      </c>
      <c r="D238" s="10" t="s">
        <v>3687</v>
      </c>
      <c r="H238" s="5" t="e">
        <f>H237/H94</f>
        <v>#DIV/0!</v>
      </c>
      <c r="J238" s="5" t="s">
        <v>783</v>
      </c>
      <c r="M238" t="s">
        <v>3693</v>
      </c>
      <c r="R238" t="s">
        <v>164</v>
      </c>
    </row>
    <row r="239" customHeight="1" spans="1:18">
      <c r="A239" s="7" t="s">
        <v>21</v>
      </c>
      <c r="B239" s="7" t="s">
        <v>15</v>
      </c>
      <c r="C239" s="8" t="s">
        <v>3694</v>
      </c>
      <c r="D239" s="7" t="s">
        <v>3695</v>
      </c>
      <c r="F239" t="s">
        <v>3696</v>
      </c>
      <c r="I239" s="5">
        <f>I89*I240</f>
        <v>0</v>
      </c>
      <c r="J239" s="5" t="s">
        <v>1173</v>
      </c>
      <c r="M239" t="s">
        <v>3697</v>
      </c>
    </row>
    <row r="240" customHeight="1" spans="1:18">
      <c r="A240" s="1" t="s">
        <v>26</v>
      </c>
      <c r="B240" s="1" t="s">
        <v>160</v>
      </c>
      <c r="C240" s="9" t="s">
        <v>3696</v>
      </c>
      <c r="D240" s="10" t="s">
        <v>1340</v>
      </c>
      <c r="H240" s="5" t="e">
        <f>H239/H89</f>
        <v>#DIV/0!</v>
      </c>
      <c r="J240" s="5" t="s">
        <v>783</v>
      </c>
      <c r="M240" t="s">
        <v>3698</v>
      </c>
      <c r="R240" t="s">
        <v>164</v>
      </c>
    </row>
    <row r="241" customHeight="1" spans="1:18">
      <c r="A241" s="7" t="s">
        <v>21</v>
      </c>
      <c r="B241" s="7" t="s">
        <v>15</v>
      </c>
      <c r="C241" s="8" t="s">
        <v>3699</v>
      </c>
      <c r="D241" s="7" t="s">
        <v>3700</v>
      </c>
      <c r="F241" t="s">
        <v>3701</v>
      </c>
      <c r="I241" s="5">
        <f>I90*I242</f>
        <v>0</v>
      </c>
      <c r="J241" s="5" t="s">
        <v>1173</v>
      </c>
      <c r="M241" t="s">
        <v>3702</v>
      </c>
    </row>
    <row r="242" customHeight="1" spans="1:18">
      <c r="A242" s="1" t="s">
        <v>26</v>
      </c>
      <c r="B242" s="1" t="s">
        <v>160</v>
      </c>
      <c r="C242" s="9" t="s">
        <v>3701</v>
      </c>
      <c r="D242" s="10" t="s">
        <v>1340</v>
      </c>
      <c r="H242" s="5" t="e">
        <f>H241/H90</f>
        <v>#DIV/0!</v>
      </c>
      <c r="J242" s="5" t="s">
        <v>783</v>
      </c>
      <c r="M242" t="s">
        <v>3703</v>
      </c>
      <c r="R242" t="s">
        <v>164</v>
      </c>
    </row>
    <row r="243" customHeight="1" spans="1:18">
      <c r="A243" s="7" t="s">
        <v>21</v>
      </c>
      <c r="B243" s="7" t="s">
        <v>15</v>
      </c>
      <c r="C243" s="8" t="s">
        <v>3704</v>
      </c>
      <c r="D243" s="7" t="s">
        <v>3466</v>
      </c>
      <c r="F243" t="s">
        <v>3705</v>
      </c>
      <c r="M243" t="s">
        <v>3706</v>
      </c>
    </row>
    <row r="244" customHeight="1" spans="1:18">
      <c r="A244" s="1" t="s">
        <v>26</v>
      </c>
      <c r="B244" s="1" t="s">
        <v>160</v>
      </c>
      <c r="C244" s="9" t="s">
        <v>3705</v>
      </c>
      <c r="D244" s="10" t="s">
        <v>3707</v>
      </c>
      <c r="H244" s="5" t="e">
        <f>H243/H110</f>
        <v>#DIV/0!</v>
      </c>
      <c r="J244" s="5" t="s">
        <v>783</v>
      </c>
      <c r="M244" t="s">
        <v>3708</v>
      </c>
      <c r="R244" t="s">
        <v>164</v>
      </c>
    </row>
    <row r="245" customHeight="1" spans="1:18">
      <c r="A245" s="7" t="s">
        <v>21</v>
      </c>
      <c r="B245" s="7" t="s">
        <v>15</v>
      </c>
      <c r="C245" s="8" t="s">
        <v>3709</v>
      </c>
      <c r="D245" s="7" t="s">
        <v>3710</v>
      </c>
      <c r="F245" t="s">
        <v>3711</v>
      </c>
      <c r="H245" s="5">
        <f>H246+H251</f>
        <v>0</v>
      </c>
      <c r="I245" s="5">
        <f>I246+I251</f>
        <v>0</v>
      </c>
      <c r="M245" t="s">
        <v>3712</v>
      </c>
    </row>
    <row r="246" customHeight="1" spans="1:18">
      <c r="A246" s="7" t="s">
        <v>26</v>
      </c>
      <c r="B246" s="7" t="s">
        <v>15</v>
      </c>
      <c r="C246" s="8" t="s">
        <v>3713</v>
      </c>
      <c r="D246" s="7" t="s">
        <v>3355</v>
      </c>
      <c r="F246" t="s">
        <v>3714</v>
      </c>
      <c r="I246" s="5">
        <f>I247+I249</f>
        <v>0</v>
      </c>
      <c r="M246" t="s">
        <v>3715</v>
      </c>
    </row>
    <row r="247" customHeight="1" spans="1:18">
      <c r="A247" s="1" t="s">
        <v>236</v>
      </c>
      <c r="B247" s="7" t="s">
        <v>15</v>
      </c>
      <c r="C247" s="9" t="s">
        <v>3716</v>
      </c>
      <c r="D247" s="1" t="s">
        <v>3717</v>
      </c>
      <c r="I247" s="5">
        <f>I78*(I248-I132)</f>
        <v>0</v>
      </c>
      <c r="J247" s="5" t="s">
        <v>1173</v>
      </c>
      <c r="M247" t="s">
        <v>3718</v>
      </c>
      <c r="R247" t="s">
        <v>43</v>
      </c>
    </row>
    <row r="248" customHeight="1" spans="1:18">
      <c r="A248" s="1" t="s">
        <v>236</v>
      </c>
      <c r="B248" s="1" t="s">
        <v>160</v>
      </c>
      <c r="C248" s="9" t="s">
        <v>3719</v>
      </c>
      <c r="D248" s="1" t="s">
        <v>3720</v>
      </c>
      <c r="M248" t="s">
        <v>3721</v>
      </c>
      <c r="R248" t="s">
        <v>164</v>
      </c>
    </row>
    <row r="249" customHeight="1" spans="1:18">
      <c r="A249" s="1" t="s">
        <v>236</v>
      </c>
      <c r="B249" s="7" t="s">
        <v>15</v>
      </c>
      <c r="C249" s="9" t="s">
        <v>3722</v>
      </c>
      <c r="D249" s="1" t="s">
        <v>3723</v>
      </c>
      <c r="I249" s="5">
        <f>I80*(I250-I136)</f>
        <v>0</v>
      </c>
      <c r="J249" s="5" t="s">
        <v>1173</v>
      </c>
      <c r="M249" t="s">
        <v>3724</v>
      </c>
      <c r="R249" t="s">
        <v>43</v>
      </c>
    </row>
    <row r="250" customHeight="1" spans="1:18">
      <c r="A250" s="1" t="s">
        <v>236</v>
      </c>
      <c r="B250" s="1" t="s">
        <v>160</v>
      </c>
      <c r="C250" s="9" t="s">
        <v>3725</v>
      </c>
      <c r="D250" s="1" t="s">
        <v>3720</v>
      </c>
      <c r="M250" t="s">
        <v>3726</v>
      </c>
      <c r="R250" t="s">
        <v>164</v>
      </c>
    </row>
    <row r="251" customHeight="1" spans="1:18">
      <c r="A251" s="7" t="s">
        <v>26</v>
      </c>
      <c r="B251" s="7" t="s">
        <v>15</v>
      </c>
      <c r="C251" s="8" t="s">
        <v>3727</v>
      </c>
      <c r="D251" s="7" t="s">
        <v>474</v>
      </c>
      <c r="F251" t="s">
        <v>3728</v>
      </c>
      <c r="I251" s="5">
        <f>I252+I254</f>
        <v>0</v>
      </c>
      <c r="M251" t="s">
        <v>3729</v>
      </c>
    </row>
    <row r="252" customHeight="1" spans="1:18">
      <c r="A252" s="1" t="s">
        <v>236</v>
      </c>
      <c r="B252" s="7" t="s">
        <v>15</v>
      </c>
      <c r="C252" s="9" t="s">
        <v>3730</v>
      </c>
      <c r="D252" s="1" t="s">
        <v>3731</v>
      </c>
      <c r="I252" s="5">
        <f>I89*(I253-I240)</f>
        <v>0</v>
      </c>
      <c r="J252" s="5" t="s">
        <v>1173</v>
      </c>
      <c r="M252" t="s">
        <v>3732</v>
      </c>
      <c r="R252" t="s">
        <v>43</v>
      </c>
    </row>
    <row r="253" customHeight="1" spans="1:18">
      <c r="A253" s="1" t="s">
        <v>236</v>
      </c>
      <c r="B253" s="1" t="s">
        <v>160</v>
      </c>
      <c r="C253" s="9" t="s">
        <v>3733</v>
      </c>
      <c r="D253" s="1" t="s">
        <v>3720</v>
      </c>
      <c r="M253" t="s">
        <v>3734</v>
      </c>
      <c r="R253" t="s">
        <v>164</v>
      </c>
    </row>
    <row r="254" customHeight="1" spans="1:18">
      <c r="A254" s="1" t="s">
        <v>236</v>
      </c>
      <c r="B254" s="7" t="s">
        <v>15</v>
      </c>
      <c r="C254" s="9" t="s">
        <v>3735</v>
      </c>
      <c r="D254" s="1" t="s">
        <v>3736</v>
      </c>
      <c r="I254" s="5">
        <f>I90*(I255-I242)</f>
        <v>0</v>
      </c>
      <c r="J254" s="5" t="s">
        <v>1173</v>
      </c>
      <c r="M254" t="s">
        <v>3737</v>
      </c>
      <c r="R254" t="s">
        <v>43</v>
      </c>
    </row>
    <row r="255" customHeight="1" spans="1:18">
      <c r="A255" s="1" t="s">
        <v>236</v>
      </c>
      <c r="B255" s="1" t="s">
        <v>160</v>
      </c>
      <c r="C255" s="9" t="s">
        <v>3738</v>
      </c>
      <c r="D255" s="1" t="s">
        <v>3720</v>
      </c>
      <c r="M255" t="s">
        <v>3739</v>
      </c>
      <c r="R255" t="s">
        <v>164</v>
      </c>
    </row>
    <row r="256" customHeight="1" spans="1:18">
      <c r="A256" s="1"/>
      <c r="B256" s="1"/>
      <c r="C256" s="9"/>
      <c r="D256" s="1"/>
    </row>
    <row r="257" customHeight="1" spans="1:18">
      <c r="A257" s="11" t="s">
        <v>14</v>
      </c>
      <c r="B257" s="7" t="s">
        <v>15</v>
      </c>
      <c r="C257" s="11" t="s">
        <v>3740</v>
      </c>
      <c r="D257" s="11" t="s">
        <v>1425</v>
      </c>
      <c r="M257" t="s">
        <v>1426</v>
      </c>
      <c r="R257" t="s">
        <v>43</v>
      </c>
    </row>
    <row r="258" customHeight="1" spans="1:18">
      <c r="A258" s="10"/>
      <c r="B258" s="10"/>
      <c r="C258" s="10"/>
      <c r="D258" s="10"/>
    </row>
    <row r="260" customHeight="1" spans="1:18">
      <c r="A260" t="s">
        <v>222</v>
      </c>
      <c r="B260" t="s">
        <v>223</v>
      </c>
      <c r="C260" t="s">
        <v>2</v>
      </c>
      <c r="D260" t="s">
        <v>3</v>
      </c>
      <c r="E260" t="s">
        <v>4</v>
      </c>
      <c r="F260" t="s">
        <v>5</v>
      </c>
      <c r="J260" t="s">
        <v>9</v>
      </c>
      <c r="K260" t="s">
        <v>10</v>
      </c>
    </row>
    <row r="261" customHeight="1" spans="1:18">
      <c r="A261" t="s">
        <v>14</v>
      </c>
      <c r="B261" t="s">
        <v>31</v>
      </c>
      <c r="C261" t="s">
        <v>3741</v>
      </c>
      <c r="D261" t="s">
        <v>927</v>
      </c>
      <c r="F261" t="s">
        <v>3297</v>
      </c>
      <c r="K261" t="s">
        <v>19</v>
      </c>
      <c r="M261" t="s">
        <v>227</v>
      </c>
    </row>
    <row r="262" customHeight="1" spans="1:18">
      <c r="A262" t="s">
        <v>21</v>
      </c>
      <c r="B262" t="s">
        <v>31</v>
      </c>
      <c r="C262" t="s">
        <v>3742</v>
      </c>
      <c r="D262" t="s">
        <v>929</v>
      </c>
      <c r="F262" t="s">
        <v>3299</v>
      </c>
      <c r="K262" t="s">
        <v>19</v>
      </c>
      <c r="M262" t="s">
        <v>231</v>
      </c>
    </row>
    <row r="263" customHeight="1" spans="1:18">
      <c r="A263" t="s">
        <v>26</v>
      </c>
      <c r="B263" t="s">
        <v>31</v>
      </c>
      <c r="C263" t="s">
        <v>3743</v>
      </c>
      <c r="D263" t="s">
        <v>233</v>
      </c>
      <c r="F263" t="s">
        <v>3301</v>
      </c>
      <c r="K263" t="s">
        <v>19</v>
      </c>
      <c r="M263" t="s">
        <v>235</v>
      </c>
    </row>
    <row r="264" customHeight="1" spans="1:18">
      <c r="A264" t="s">
        <v>236</v>
      </c>
      <c r="B264" t="s">
        <v>31</v>
      </c>
      <c r="C264" t="s">
        <v>3744</v>
      </c>
      <c r="D264" t="s">
        <v>238</v>
      </c>
      <c r="F264" t="s">
        <v>3745</v>
      </c>
      <c r="K264" t="s">
        <v>19</v>
      </c>
      <c r="M264" t="s">
        <v>240</v>
      </c>
    </row>
    <row r="265" customHeight="1" spans="1:18">
      <c r="A265" t="s">
        <v>241</v>
      </c>
      <c r="B265" t="s">
        <v>31</v>
      </c>
      <c r="C265" t="s">
        <v>3746</v>
      </c>
      <c r="D265" t="s">
        <v>243</v>
      </c>
      <c r="K265" t="s">
        <v>19</v>
      </c>
      <c r="M265" t="s">
        <v>244</v>
      </c>
      <c r="R265" t="s">
        <v>43</v>
      </c>
    </row>
    <row r="266" customHeight="1" spans="1:18">
      <c r="A266" t="s">
        <v>241</v>
      </c>
      <c r="B266" t="s">
        <v>31</v>
      </c>
      <c r="C266" t="s">
        <v>3747</v>
      </c>
      <c r="D266" t="s">
        <v>246</v>
      </c>
      <c r="K266" t="s">
        <v>19</v>
      </c>
      <c r="M266" t="s">
        <v>247</v>
      </c>
      <c r="R266" t="s">
        <v>43</v>
      </c>
    </row>
    <row r="267" customHeight="1" spans="1:18">
      <c r="A267" t="s">
        <v>236</v>
      </c>
      <c r="B267" t="s">
        <v>31</v>
      </c>
      <c r="C267" t="s">
        <v>3748</v>
      </c>
      <c r="D267" t="s">
        <v>249</v>
      </c>
      <c r="F267" t="s">
        <v>3749</v>
      </c>
      <c r="K267" t="s">
        <v>19</v>
      </c>
      <c r="M267" t="s">
        <v>251</v>
      </c>
    </row>
    <row r="268" customHeight="1" spans="1:18">
      <c r="A268" t="s">
        <v>241</v>
      </c>
      <c r="B268" t="s">
        <v>31</v>
      </c>
      <c r="C268" t="s">
        <v>3750</v>
      </c>
      <c r="D268" t="s">
        <v>253</v>
      </c>
      <c r="K268" t="s">
        <v>19</v>
      </c>
      <c r="M268" t="s">
        <v>254</v>
      </c>
      <c r="R268" t="s">
        <v>43</v>
      </c>
    </row>
    <row r="269" customHeight="1" spans="1:18">
      <c r="A269" t="s">
        <v>241</v>
      </c>
      <c r="B269" t="s">
        <v>31</v>
      </c>
      <c r="C269" t="s">
        <v>3751</v>
      </c>
      <c r="D269" t="s">
        <v>256</v>
      </c>
      <c r="K269" t="s">
        <v>19</v>
      </c>
      <c r="M269" t="s">
        <v>257</v>
      </c>
      <c r="R269" t="s">
        <v>43</v>
      </c>
    </row>
    <row r="270" customHeight="1" spans="1:18">
      <c r="A270" t="s">
        <v>236</v>
      </c>
      <c r="B270" t="s">
        <v>31</v>
      </c>
      <c r="C270" t="s">
        <v>3752</v>
      </c>
      <c r="D270" t="s">
        <v>259</v>
      </c>
      <c r="F270" t="s">
        <v>3753</v>
      </c>
      <c r="K270" t="s">
        <v>19</v>
      </c>
      <c r="M270" t="s">
        <v>261</v>
      </c>
    </row>
    <row r="271" customHeight="1" spans="1:18">
      <c r="A271" t="s">
        <v>241</v>
      </c>
      <c r="B271" t="s">
        <v>31</v>
      </c>
      <c r="C271" t="s">
        <v>3754</v>
      </c>
      <c r="D271" t="s">
        <v>263</v>
      </c>
      <c r="F271" t="s">
        <v>3755</v>
      </c>
      <c r="K271" t="s">
        <v>19</v>
      </c>
      <c r="M271" t="s">
        <v>265</v>
      </c>
    </row>
    <row r="272" customHeight="1" spans="1:18">
      <c r="A272" t="s">
        <v>266</v>
      </c>
      <c r="B272" t="s">
        <v>31</v>
      </c>
      <c r="C272" t="s">
        <v>3756</v>
      </c>
      <c r="D272" t="s">
        <v>268</v>
      </c>
      <c r="K272" t="s">
        <v>19</v>
      </c>
      <c r="M272" t="s">
        <v>269</v>
      </c>
      <c r="R272" t="s">
        <v>43</v>
      </c>
    </row>
    <row r="273" customHeight="1" spans="1:18">
      <c r="A273" t="s">
        <v>266</v>
      </c>
      <c r="B273" t="s">
        <v>31</v>
      </c>
      <c r="C273" t="s">
        <v>3757</v>
      </c>
      <c r="D273" t="s">
        <v>271</v>
      </c>
      <c r="K273" t="s">
        <v>19</v>
      </c>
      <c r="M273" t="s">
        <v>272</v>
      </c>
      <c r="R273" t="s">
        <v>43</v>
      </c>
    </row>
    <row r="274" customHeight="1" spans="1:18">
      <c r="A274" t="s">
        <v>241</v>
      </c>
      <c r="B274" t="s">
        <v>31</v>
      </c>
      <c r="C274" t="s">
        <v>3758</v>
      </c>
      <c r="D274" t="s">
        <v>3759</v>
      </c>
      <c r="K274" t="s">
        <v>19</v>
      </c>
      <c r="M274" t="s">
        <v>275</v>
      </c>
      <c r="R274" t="s">
        <v>43</v>
      </c>
    </row>
    <row r="275" customHeight="1" spans="1:18">
      <c r="A275" t="s">
        <v>266</v>
      </c>
      <c r="B275" t="s">
        <v>31</v>
      </c>
      <c r="C275" t="s">
        <v>3760</v>
      </c>
      <c r="D275" t="s">
        <v>277</v>
      </c>
      <c r="K275" t="s">
        <v>19</v>
      </c>
      <c r="M275" t="s">
        <v>278</v>
      </c>
      <c r="R275" t="s">
        <v>43</v>
      </c>
    </row>
    <row r="276" customHeight="1" spans="1:18">
      <c r="A276" t="s">
        <v>241</v>
      </c>
      <c r="B276" t="s">
        <v>31</v>
      </c>
      <c r="C276" t="s">
        <v>3761</v>
      </c>
      <c r="D276" t="s">
        <v>3762</v>
      </c>
      <c r="K276" t="s">
        <v>19</v>
      </c>
      <c r="M276" t="s">
        <v>281</v>
      </c>
      <c r="R276" t="s">
        <v>43</v>
      </c>
    </row>
    <row r="277" customHeight="1" spans="1:18">
      <c r="A277" t="s">
        <v>266</v>
      </c>
      <c r="B277" t="s">
        <v>31</v>
      </c>
      <c r="C277" t="s">
        <v>3763</v>
      </c>
      <c r="D277" t="s">
        <v>283</v>
      </c>
      <c r="K277" t="s">
        <v>19</v>
      </c>
      <c r="M277" t="s">
        <v>284</v>
      </c>
      <c r="R277" t="s">
        <v>43</v>
      </c>
    </row>
    <row r="278" customHeight="1" spans="1:18">
      <c r="A278" t="s">
        <v>241</v>
      </c>
      <c r="B278" t="s">
        <v>31</v>
      </c>
      <c r="C278" t="s">
        <v>3764</v>
      </c>
      <c r="D278" t="s">
        <v>3765</v>
      </c>
      <c r="K278" t="s">
        <v>19</v>
      </c>
      <c r="M278" t="s">
        <v>287</v>
      </c>
      <c r="R278" t="s">
        <v>43</v>
      </c>
    </row>
    <row r="279" customHeight="1" spans="1:18">
      <c r="A279" t="s">
        <v>266</v>
      </c>
      <c r="B279" t="s">
        <v>31</v>
      </c>
      <c r="C279" t="s">
        <v>3766</v>
      </c>
      <c r="D279" t="s">
        <v>289</v>
      </c>
      <c r="K279" t="s">
        <v>19</v>
      </c>
      <c r="M279" t="s">
        <v>290</v>
      </c>
      <c r="R279" t="s">
        <v>43</v>
      </c>
    </row>
    <row r="280" customHeight="1" spans="1:18">
      <c r="A280" t="s">
        <v>236</v>
      </c>
      <c r="B280" t="s">
        <v>31</v>
      </c>
      <c r="C280" t="s">
        <v>3767</v>
      </c>
      <c r="D280" t="s">
        <v>3768</v>
      </c>
      <c r="K280" t="s">
        <v>19</v>
      </c>
      <c r="M280" t="s">
        <v>293</v>
      </c>
      <c r="R280" t="s">
        <v>43</v>
      </c>
    </row>
    <row r="281" customHeight="1" spans="1:18">
      <c r="A281" t="s">
        <v>241</v>
      </c>
      <c r="B281" t="s">
        <v>31</v>
      </c>
      <c r="C281" t="s">
        <v>3769</v>
      </c>
      <c r="D281" t="s">
        <v>295</v>
      </c>
      <c r="K281" t="s">
        <v>19</v>
      </c>
      <c r="M281" t="s">
        <v>296</v>
      </c>
      <c r="R281" t="s">
        <v>43</v>
      </c>
    </row>
    <row r="282" customHeight="1" spans="1:18">
      <c r="A282" t="s">
        <v>236</v>
      </c>
      <c r="B282" t="s">
        <v>31</v>
      </c>
      <c r="C282" t="s">
        <v>3770</v>
      </c>
      <c r="D282" t="s">
        <v>3771</v>
      </c>
      <c r="K282" t="s">
        <v>19</v>
      </c>
      <c r="M282" t="s">
        <v>299</v>
      </c>
      <c r="R282" t="s">
        <v>43</v>
      </c>
    </row>
    <row r="283" customHeight="1" spans="1:18">
      <c r="A283" t="s">
        <v>241</v>
      </c>
      <c r="B283" t="s">
        <v>31</v>
      </c>
      <c r="C283" t="s">
        <v>3772</v>
      </c>
      <c r="D283" t="s">
        <v>301</v>
      </c>
      <c r="K283" t="s">
        <v>19</v>
      </c>
      <c r="M283" t="s">
        <v>302</v>
      </c>
      <c r="R283" t="s">
        <v>43</v>
      </c>
    </row>
    <row r="284" customHeight="1" spans="1:18">
      <c r="A284" t="s">
        <v>26</v>
      </c>
      <c r="B284" t="s">
        <v>31</v>
      </c>
      <c r="C284" t="s">
        <v>3773</v>
      </c>
      <c r="D284" t="s">
        <v>304</v>
      </c>
      <c r="F284" t="s">
        <v>3303</v>
      </c>
      <c r="K284" t="s">
        <v>19</v>
      </c>
      <c r="M284" t="s">
        <v>306</v>
      </c>
    </row>
    <row r="285" customHeight="1" spans="1:18">
      <c r="A285" t="s">
        <v>236</v>
      </c>
      <c r="B285" t="s">
        <v>31</v>
      </c>
      <c r="C285" t="s">
        <v>3774</v>
      </c>
      <c r="D285" t="s">
        <v>238</v>
      </c>
      <c r="F285" t="s">
        <v>3775</v>
      </c>
      <c r="K285" t="s">
        <v>19</v>
      </c>
      <c r="M285" t="s">
        <v>309</v>
      </c>
    </row>
    <row r="286" customHeight="1" spans="1:18">
      <c r="A286" t="s">
        <v>241</v>
      </c>
      <c r="B286" t="s">
        <v>31</v>
      </c>
      <c r="C286" t="s">
        <v>3776</v>
      </c>
      <c r="D286" t="s">
        <v>243</v>
      </c>
      <c r="K286" t="s">
        <v>19</v>
      </c>
      <c r="M286" t="s">
        <v>311</v>
      </c>
      <c r="R286" t="s">
        <v>43</v>
      </c>
    </row>
    <row r="287" customHeight="1" spans="1:18">
      <c r="A287" t="s">
        <v>241</v>
      </c>
      <c r="B287" t="s">
        <v>31</v>
      </c>
      <c r="C287" t="s">
        <v>3777</v>
      </c>
      <c r="D287" t="s">
        <v>246</v>
      </c>
      <c r="K287" t="s">
        <v>19</v>
      </c>
      <c r="M287" t="s">
        <v>313</v>
      </c>
      <c r="R287" t="s">
        <v>43</v>
      </c>
    </row>
    <row r="288" customHeight="1" spans="1:18">
      <c r="A288" t="s">
        <v>236</v>
      </c>
      <c r="B288" t="s">
        <v>31</v>
      </c>
      <c r="C288" t="s">
        <v>3778</v>
      </c>
      <c r="D288" t="s">
        <v>249</v>
      </c>
      <c r="F288" t="s">
        <v>3779</v>
      </c>
      <c r="K288" t="s">
        <v>19</v>
      </c>
      <c r="M288" t="s">
        <v>316</v>
      </c>
    </row>
    <row r="289" customHeight="1" spans="1:18">
      <c r="A289" t="s">
        <v>241</v>
      </c>
      <c r="B289" t="s">
        <v>31</v>
      </c>
      <c r="C289" t="s">
        <v>3780</v>
      </c>
      <c r="D289" t="s">
        <v>253</v>
      </c>
      <c r="K289" t="s">
        <v>19</v>
      </c>
      <c r="M289" t="s">
        <v>318</v>
      </c>
      <c r="R289" t="s">
        <v>43</v>
      </c>
    </row>
    <row r="290" customHeight="1" spans="1:18">
      <c r="A290" t="s">
        <v>241</v>
      </c>
      <c r="B290" t="s">
        <v>31</v>
      </c>
      <c r="C290" t="s">
        <v>3781</v>
      </c>
      <c r="D290" t="s">
        <v>256</v>
      </c>
      <c r="K290" t="s">
        <v>19</v>
      </c>
      <c r="M290" t="s">
        <v>320</v>
      </c>
      <c r="R290" t="s">
        <v>43</v>
      </c>
    </row>
    <row r="291" customHeight="1" spans="1:18">
      <c r="A291" t="s">
        <v>236</v>
      </c>
      <c r="B291" t="s">
        <v>31</v>
      </c>
      <c r="C291" t="s">
        <v>3782</v>
      </c>
      <c r="D291" t="s">
        <v>259</v>
      </c>
      <c r="F291" t="s">
        <v>3783</v>
      </c>
      <c r="K291" t="s">
        <v>19</v>
      </c>
      <c r="M291" t="s">
        <v>323</v>
      </c>
    </row>
    <row r="292" customHeight="1" spans="1:18">
      <c r="A292" t="s">
        <v>241</v>
      </c>
      <c r="B292" t="s">
        <v>31</v>
      </c>
      <c r="C292" t="s">
        <v>3784</v>
      </c>
      <c r="D292" t="s">
        <v>263</v>
      </c>
      <c r="F292" t="s">
        <v>3785</v>
      </c>
      <c r="K292" t="s">
        <v>19</v>
      </c>
      <c r="M292" t="s">
        <v>326</v>
      </c>
    </row>
    <row r="293" customHeight="1" spans="1:18">
      <c r="A293" t="s">
        <v>266</v>
      </c>
      <c r="B293" t="s">
        <v>31</v>
      </c>
      <c r="C293" t="s">
        <v>3786</v>
      </c>
      <c r="D293" t="s">
        <v>268</v>
      </c>
      <c r="K293" t="s">
        <v>19</v>
      </c>
      <c r="M293" t="s">
        <v>328</v>
      </c>
      <c r="R293" t="s">
        <v>43</v>
      </c>
    </row>
    <row r="294" customHeight="1" spans="1:18">
      <c r="A294" t="s">
        <v>266</v>
      </c>
      <c r="B294" t="s">
        <v>31</v>
      </c>
      <c r="C294" t="s">
        <v>3787</v>
      </c>
      <c r="D294" t="s">
        <v>271</v>
      </c>
      <c r="K294" t="s">
        <v>19</v>
      </c>
      <c r="M294" t="s">
        <v>330</v>
      </c>
      <c r="R294" t="s">
        <v>43</v>
      </c>
    </row>
    <row r="295" customHeight="1" spans="1:18">
      <c r="A295" t="s">
        <v>241</v>
      </c>
      <c r="B295" t="s">
        <v>31</v>
      </c>
      <c r="C295" t="s">
        <v>3788</v>
      </c>
      <c r="D295" t="s">
        <v>3789</v>
      </c>
      <c r="K295" t="s">
        <v>19</v>
      </c>
      <c r="M295" t="s">
        <v>333</v>
      </c>
      <c r="R295" t="s">
        <v>43</v>
      </c>
    </row>
    <row r="296" customHeight="1" spans="1:18">
      <c r="A296" t="s">
        <v>266</v>
      </c>
      <c r="B296" t="s">
        <v>31</v>
      </c>
      <c r="C296" t="s">
        <v>3790</v>
      </c>
      <c r="D296" t="s">
        <v>277</v>
      </c>
      <c r="K296" t="s">
        <v>19</v>
      </c>
      <c r="M296" t="s">
        <v>335</v>
      </c>
      <c r="R296" t="s">
        <v>43</v>
      </c>
    </row>
    <row r="297" customHeight="1" spans="1:18">
      <c r="A297" t="s">
        <v>241</v>
      </c>
      <c r="B297" t="s">
        <v>31</v>
      </c>
      <c r="C297" t="s">
        <v>3791</v>
      </c>
      <c r="D297" t="s">
        <v>3792</v>
      </c>
      <c r="K297" t="s">
        <v>19</v>
      </c>
      <c r="M297" t="s">
        <v>338</v>
      </c>
      <c r="R297" t="s">
        <v>43</v>
      </c>
    </row>
    <row r="298" customHeight="1" spans="1:18">
      <c r="A298" t="s">
        <v>266</v>
      </c>
      <c r="B298" t="s">
        <v>31</v>
      </c>
      <c r="C298" t="s">
        <v>3793</v>
      </c>
      <c r="D298" t="s">
        <v>283</v>
      </c>
      <c r="K298" t="s">
        <v>19</v>
      </c>
      <c r="M298" t="s">
        <v>340</v>
      </c>
      <c r="R298" t="s">
        <v>43</v>
      </c>
    </row>
    <row r="299" customHeight="1" spans="1:18">
      <c r="A299" t="s">
        <v>241</v>
      </c>
      <c r="B299" t="s">
        <v>31</v>
      </c>
      <c r="C299" t="s">
        <v>3794</v>
      </c>
      <c r="D299" t="s">
        <v>3795</v>
      </c>
      <c r="K299" t="s">
        <v>19</v>
      </c>
      <c r="M299" t="s">
        <v>343</v>
      </c>
      <c r="R299" t="s">
        <v>43</v>
      </c>
    </row>
    <row r="300" customHeight="1" spans="1:18">
      <c r="A300" t="s">
        <v>266</v>
      </c>
      <c r="B300" t="s">
        <v>31</v>
      </c>
      <c r="C300" t="s">
        <v>3796</v>
      </c>
      <c r="D300" t="s">
        <v>289</v>
      </c>
      <c r="K300" t="s">
        <v>19</v>
      </c>
      <c r="M300" t="s">
        <v>345</v>
      </c>
      <c r="R300" t="s">
        <v>43</v>
      </c>
    </row>
    <row r="301" customHeight="1" spans="1:18">
      <c r="A301" t="s">
        <v>236</v>
      </c>
      <c r="B301" t="s">
        <v>31</v>
      </c>
      <c r="C301" t="s">
        <v>3797</v>
      </c>
      <c r="D301" t="s">
        <v>3798</v>
      </c>
      <c r="K301" t="s">
        <v>19</v>
      </c>
      <c r="M301" t="s">
        <v>348</v>
      </c>
      <c r="R301" t="s">
        <v>43</v>
      </c>
    </row>
    <row r="302" customHeight="1" spans="1:18">
      <c r="A302" t="s">
        <v>241</v>
      </c>
      <c r="B302" t="s">
        <v>31</v>
      </c>
      <c r="C302" t="s">
        <v>3799</v>
      </c>
      <c r="D302" t="s">
        <v>295</v>
      </c>
      <c r="K302" t="s">
        <v>19</v>
      </c>
      <c r="M302" t="s">
        <v>350</v>
      </c>
      <c r="R302" t="s">
        <v>43</v>
      </c>
    </row>
    <row r="303" customHeight="1" spans="1:18">
      <c r="A303" t="s">
        <v>236</v>
      </c>
      <c r="B303" t="s">
        <v>31</v>
      </c>
      <c r="C303" t="s">
        <v>3800</v>
      </c>
      <c r="D303" t="s">
        <v>3801</v>
      </c>
      <c r="K303" t="s">
        <v>19</v>
      </c>
      <c r="M303" t="s">
        <v>353</v>
      </c>
      <c r="R303" t="s">
        <v>43</v>
      </c>
    </row>
    <row r="304" customHeight="1" spans="1:18">
      <c r="A304" t="s">
        <v>241</v>
      </c>
      <c r="B304" t="s">
        <v>31</v>
      </c>
      <c r="C304" t="s">
        <v>3802</v>
      </c>
      <c r="D304" t="s">
        <v>301</v>
      </c>
      <c r="K304" t="s">
        <v>19</v>
      </c>
      <c r="M304" t="s">
        <v>355</v>
      </c>
      <c r="R304" t="s">
        <v>43</v>
      </c>
    </row>
    <row r="305" customHeight="1" spans="1:18">
      <c r="A305" t="s">
        <v>21</v>
      </c>
      <c r="B305" t="s">
        <v>31</v>
      </c>
      <c r="C305" t="s">
        <v>3803</v>
      </c>
      <c r="D305" t="s">
        <v>362</v>
      </c>
      <c r="F305" t="s">
        <v>3305</v>
      </c>
      <c r="K305" t="s">
        <v>19</v>
      </c>
      <c r="M305" t="s">
        <v>364</v>
      </c>
    </row>
    <row r="306" customHeight="1" spans="1:18">
      <c r="A306" t="s">
        <v>26</v>
      </c>
      <c r="B306" t="s">
        <v>31</v>
      </c>
      <c r="C306" t="s">
        <v>3804</v>
      </c>
      <c r="D306" t="s">
        <v>358</v>
      </c>
      <c r="K306" t="s">
        <v>19</v>
      </c>
      <c r="M306" t="s">
        <v>1063</v>
      </c>
      <c r="R306" t="s">
        <v>43</v>
      </c>
    </row>
    <row r="307" customHeight="1" spans="1:18">
      <c r="A307" t="s">
        <v>26</v>
      </c>
      <c r="B307" t="s">
        <v>31</v>
      </c>
      <c r="C307" t="s">
        <v>3805</v>
      </c>
      <c r="D307" t="s">
        <v>360</v>
      </c>
      <c r="K307" t="s">
        <v>19</v>
      </c>
      <c r="M307" t="s">
        <v>1065</v>
      </c>
      <c r="R307" t="s">
        <v>43</v>
      </c>
    </row>
    <row r="308" customHeight="1" spans="1:18">
      <c r="A308" t="s">
        <v>26</v>
      </c>
      <c r="B308" t="s">
        <v>31</v>
      </c>
      <c r="C308" t="s">
        <v>3806</v>
      </c>
      <c r="D308" t="s">
        <v>365</v>
      </c>
      <c r="F308" t="s">
        <v>3807</v>
      </c>
      <c r="K308" t="s">
        <v>19</v>
      </c>
      <c r="M308" t="s">
        <v>367</v>
      </c>
    </row>
    <row r="309" customHeight="1" spans="1:18">
      <c r="A309" t="s">
        <v>236</v>
      </c>
      <c r="B309" t="s">
        <v>31</v>
      </c>
      <c r="C309" t="s">
        <v>3808</v>
      </c>
      <c r="D309" t="s">
        <v>369</v>
      </c>
      <c r="F309" t="s">
        <v>3809</v>
      </c>
      <c r="K309" t="s">
        <v>19</v>
      </c>
      <c r="M309" t="s">
        <v>371</v>
      </c>
    </row>
    <row r="310" customHeight="1" spans="1:18">
      <c r="A310" t="s">
        <v>241</v>
      </c>
      <c r="B310" t="s">
        <v>31</v>
      </c>
      <c r="C310" t="s">
        <v>3810</v>
      </c>
      <c r="D310" t="s">
        <v>373</v>
      </c>
      <c r="K310" t="s">
        <v>19</v>
      </c>
      <c r="M310" t="s">
        <v>374</v>
      </c>
      <c r="R310" t="s">
        <v>43</v>
      </c>
    </row>
    <row r="311" customHeight="1" spans="1:18">
      <c r="A311" t="s">
        <v>241</v>
      </c>
      <c r="B311" t="s">
        <v>31</v>
      </c>
      <c r="C311" t="s">
        <v>3811</v>
      </c>
      <c r="D311" t="s">
        <v>376</v>
      </c>
      <c r="K311" t="s">
        <v>19</v>
      </c>
      <c r="M311" t="s">
        <v>377</v>
      </c>
      <c r="R311" t="s">
        <v>43</v>
      </c>
    </row>
    <row r="312" customHeight="1" spans="1:18">
      <c r="A312" t="s">
        <v>241</v>
      </c>
      <c r="B312" t="s">
        <v>31</v>
      </c>
      <c r="C312" t="s">
        <v>3812</v>
      </c>
      <c r="D312" t="s">
        <v>379</v>
      </c>
      <c r="K312" t="s">
        <v>19</v>
      </c>
      <c r="M312" t="s">
        <v>380</v>
      </c>
      <c r="R312" t="s">
        <v>43</v>
      </c>
    </row>
    <row r="313" customHeight="1" spans="1:18">
      <c r="A313" t="s">
        <v>241</v>
      </c>
      <c r="B313" t="s">
        <v>31</v>
      </c>
      <c r="C313" t="s">
        <v>3813</v>
      </c>
      <c r="D313" t="s">
        <v>382</v>
      </c>
      <c r="K313" t="s">
        <v>19</v>
      </c>
      <c r="M313" t="s">
        <v>383</v>
      </c>
      <c r="R313" t="s">
        <v>43</v>
      </c>
    </row>
    <row r="314" customHeight="1" spans="1:18">
      <c r="A314" t="s">
        <v>236</v>
      </c>
      <c r="B314" t="s">
        <v>31</v>
      </c>
      <c r="C314" t="s">
        <v>3814</v>
      </c>
      <c r="D314" t="s">
        <v>385</v>
      </c>
      <c r="F314" t="s">
        <v>3815</v>
      </c>
      <c r="K314" t="s">
        <v>19</v>
      </c>
      <c r="M314" t="s">
        <v>387</v>
      </c>
    </row>
    <row r="315" customHeight="1" spans="1:18">
      <c r="A315" t="s">
        <v>241</v>
      </c>
      <c r="B315" t="s">
        <v>31</v>
      </c>
      <c r="C315" t="s">
        <v>3816</v>
      </c>
      <c r="D315" t="s">
        <v>389</v>
      </c>
      <c r="K315" t="s">
        <v>19</v>
      </c>
      <c r="M315" t="s">
        <v>390</v>
      </c>
      <c r="R315" t="s">
        <v>43</v>
      </c>
    </row>
    <row r="316" customHeight="1" spans="1:18">
      <c r="A316" t="s">
        <v>241</v>
      </c>
      <c r="B316" t="s">
        <v>31</v>
      </c>
      <c r="C316" t="s">
        <v>3817</v>
      </c>
      <c r="D316" t="s">
        <v>392</v>
      </c>
      <c r="K316" t="s">
        <v>19</v>
      </c>
      <c r="M316" t="s">
        <v>393</v>
      </c>
      <c r="R316" t="s">
        <v>43</v>
      </c>
    </row>
    <row r="317" customHeight="1" spans="1:18">
      <c r="A317" t="s">
        <v>241</v>
      </c>
      <c r="B317" t="s">
        <v>31</v>
      </c>
      <c r="C317" t="s">
        <v>3818</v>
      </c>
      <c r="D317" t="s">
        <v>395</v>
      </c>
      <c r="K317" t="s">
        <v>19</v>
      </c>
      <c r="M317" t="s">
        <v>396</v>
      </c>
      <c r="R317" t="s">
        <v>43</v>
      </c>
    </row>
    <row r="318" customHeight="1" spans="1:18">
      <c r="A318" t="s">
        <v>241</v>
      </c>
      <c r="B318" t="s">
        <v>31</v>
      </c>
      <c r="C318" t="s">
        <v>3819</v>
      </c>
      <c r="D318" t="s">
        <v>398</v>
      </c>
      <c r="K318" t="s">
        <v>19</v>
      </c>
      <c r="M318" t="s">
        <v>399</v>
      </c>
      <c r="R318" t="s">
        <v>43</v>
      </c>
    </row>
    <row r="319" customHeight="1" spans="1:18">
      <c r="A319" t="s">
        <v>241</v>
      </c>
      <c r="B319" t="s">
        <v>31</v>
      </c>
      <c r="C319" t="s">
        <v>3820</v>
      </c>
      <c r="D319" t="s">
        <v>401</v>
      </c>
      <c r="K319" t="s">
        <v>19</v>
      </c>
      <c r="M319" t="s">
        <v>402</v>
      </c>
      <c r="R319" t="s">
        <v>43</v>
      </c>
    </row>
    <row r="320" customHeight="1" spans="1:18">
      <c r="A320" t="s">
        <v>241</v>
      </c>
      <c r="B320" t="s">
        <v>31</v>
      </c>
      <c r="C320" t="s">
        <v>3821</v>
      </c>
      <c r="D320" t="s">
        <v>404</v>
      </c>
      <c r="K320" t="s">
        <v>19</v>
      </c>
      <c r="M320" t="s">
        <v>405</v>
      </c>
      <c r="R320" t="s">
        <v>43</v>
      </c>
    </row>
    <row r="321" customHeight="1" spans="1:18">
      <c r="A321" t="s">
        <v>241</v>
      </c>
      <c r="B321" t="s">
        <v>31</v>
      </c>
      <c r="C321" t="s">
        <v>3822</v>
      </c>
      <c r="D321" t="s">
        <v>407</v>
      </c>
      <c r="K321" t="s">
        <v>19</v>
      </c>
      <c r="M321" t="s">
        <v>408</v>
      </c>
      <c r="R321" t="s">
        <v>43</v>
      </c>
    </row>
    <row r="322" customHeight="1" spans="1:18">
      <c r="A322" t="s">
        <v>241</v>
      </c>
      <c r="B322" t="s">
        <v>31</v>
      </c>
      <c r="C322" t="s">
        <v>3823</v>
      </c>
      <c r="D322" t="s">
        <v>410</v>
      </c>
      <c r="K322" t="s">
        <v>19</v>
      </c>
      <c r="M322" t="s">
        <v>411</v>
      </c>
      <c r="R322" t="s">
        <v>43</v>
      </c>
    </row>
    <row r="323" customHeight="1" spans="1:18">
      <c r="A323" t="s">
        <v>241</v>
      </c>
      <c r="B323" t="s">
        <v>31</v>
      </c>
      <c r="C323" t="s">
        <v>3824</v>
      </c>
      <c r="D323" t="s">
        <v>413</v>
      </c>
      <c r="K323" t="s">
        <v>19</v>
      </c>
      <c r="M323" t="s">
        <v>414</v>
      </c>
      <c r="R323" t="s">
        <v>43</v>
      </c>
    </row>
    <row r="324" customHeight="1" spans="1:18">
      <c r="A324" t="s">
        <v>241</v>
      </c>
      <c r="B324" t="s">
        <v>31</v>
      </c>
      <c r="C324" t="s">
        <v>3825</v>
      </c>
      <c r="D324" t="s">
        <v>416</v>
      </c>
      <c r="K324" t="s">
        <v>19</v>
      </c>
      <c r="M324" t="s">
        <v>417</v>
      </c>
      <c r="R324" t="s">
        <v>43</v>
      </c>
    </row>
    <row r="325" customHeight="1" spans="1:18">
      <c r="A325" t="s">
        <v>241</v>
      </c>
      <c r="B325" t="s">
        <v>31</v>
      </c>
      <c r="C325" t="s">
        <v>3826</v>
      </c>
      <c r="D325" t="s">
        <v>419</v>
      </c>
      <c r="K325" t="s">
        <v>19</v>
      </c>
      <c r="M325" t="s">
        <v>420</v>
      </c>
      <c r="R325" t="s">
        <v>43</v>
      </c>
    </row>
    <row r="326" customHeight="1" spans="1:18">
      <c r="A326" t="s">
        <v>241</v>
      </c>
      <c r="B326" t="s">
        <v>31</v>
      </c>
      <c r="C326" t="s">
        <v>3827</v>
      </c>
      <c r="D326" t="s">
        <v>422</v>
      </c>
      <c r="F326" t="s">
        <v>3828</v>
      </c>
      <c r="K326" t="s">
        <v>19</v>
      </c>
      <c r="M326" t="s">
        <v>424</v>
      </c>
    </row>
    <row r="327" customHeight="1" spans="1:18">
      <c r="A327" t="s">
        <v>241</v>
      </c>
      <c r="B327" t="s">
        <v>31</v>
      </c>
      <c r="C327" t="s">
        <v>3829</v>
      </c>
      <c r="D327" t="s">
        <v>426</v>
      </c>
      <c r="F327" t="s">
        <v>3830</v>
      </c>
      <c r="K327" t="s">
        <v>19</v>
      </c>
      <c r="M327" t="s">
        <v>428</v>
      </c>
    </row>
    <row r="328" customHeight="1" spans="1:18">
      <c r="A328" t="s">
        <v>241</v>
      </c>
      <c r="B328" t="s">
        <v>31</v>
      </c>
      <c r="C328" t="s">
        <v>3831</v>
      </c>
      <c r="D328" t="s">
        <v>430</v>
      </c>
      <c r="F328" t="s">
        <v>3832</v>
      </c>
      <c r="K328" t="s">
        <v>19</v>
      </c>
      <c r="M328" t="s">
        <v>432</v>
      </c>
    </row>
    <row r="329" customHeight="1" spans="1:18">
      <c r="A329" t="s">
        <v>236</v>
      </c>
      <c r="B329" t="s">
        <v>31</v>
      </c>
      <c r="C329" t="s">
        <v>3833</v>
      </c>
      <c r="D329" t="s">
        <v>434</v>
      </c>
      <c r="F329" t="s">
        <v>3834</v>
      </c>
      <c r="K329" t="s">
        <v>19</v>
      </c>
      <c r="M329" t="s">
        <v>436</v>
      </c>
    </row>
    <row r="330" customHeight="1" spans="1:18">
      <c r="A330" t="s">
        <v>241</v>
      </c>
      <c r="B330" t="s">
        <v>31</v>
      </c>
      <c r="C330" t="s">
        <v>3835</v>
      </c>
      <c r="D330" t="s">
        <v>438</v>
      </c>
      <c r="K330" t="s">
        <v>19</v>
      </c>
      <c r="M330" t="s">
        <v>439</v>
      </c>
      <c r="R330" t="s">
        <v>43</v>
      </c>
    </row>
    <row r="331" customHeight="1" spans="1:18">
      <c r="A331" t="s">
        <v>241</v>
      </c>
      <c r="B331" t="s">
        <v>31</v>
      </c>
      <c r="C331" t="s">
        <v>3836</v>
      </c>
      <c r="D331" t="s">
        <v>441</v>
      </c>
      <c r="K331" t="s">
        <v>19</v>
      </c>
      <c r="M331" t="s">
        <v>442</v>
      </c>
      <c r="R331" t="s">
        <v>43</v>
      </c>
    </row>
    <row r="332" customHeight="1" spans="1:18">
      <c r="A332" t="s">
        <v>241</v>
      </c>
      <c r="B332" t="s">
        <v>31</v>
      </c>
      <c r="C332" t="s">
        <v>3837</v>
      </c>
      <c r="D332" t="s">
        <v>444</v>
      </c>
      <c r="K332" t="s">
        <v>19</v>
      </c>
      <c r="M332" t="s">
        <v>445</v>
      </c>
      <c r="R332" t="s">
        <v>43</v>
      </c>
    </row>
    <row r="333" customHeight="1" spans="1:18">
      <c r="A333" t="s">
        <v>21</v>
      </c>
      <c r="B333" t="s">
        <v>31</v>
      </c>
      <c r="C333" t="s">
        <v>3838</v>
      </c>
      <c r="D333" t="s">
        <v>994</v>
      </c>
      <c r="F333" t="s">
        <v>3309</v>
      </c>
      <c r="K333" t="s">
        <v>19</v>
      </c>
      <c r="M333" t="s">
        <v>859</v>
      </c>
    </row>
    <row r="334" customHeight="1" spans="1:18">
      <c r="A334" t="s">
        <v>26</v>
      </c>
      <c r="B334" t="s">
        <v>31</v>
      </c>
      <c r="C334" t="s">
        <v>3839</v>
      </c>
      <c r="D334" t="s">
        <v>263</v>
      </c>
      <c r="F334" t="s">
        <v>3311</v>
      </c>
      <c r="K334" t="s">
        <v>19</v>
      </c>
      <c r="M334" t="s">
        <v>863</v>
      </c>
    </row>
    <row r="335" customHeight="1" spans="1:18">
      <c r="A335" t="s">
        <v>236</v>
      </c>
      <c r="B335" t="s">
        <v>31</v>
      </c>
      <c r="C335" t="s">
        <v>3840</v>
      </c>
      <c r="D335" t="s">
        <v>268</v>
      </c>
      <c r="K335" t="s">
        <v>19</v>
      </c>
      <c r="M335" t="s">
        <v>866</v>
      </c>
      <c r="R335" t="s">
        <v>43</v>
      </c>
    </row>
    <row r="336" customHeight="1" spans="1:18">
      <c r="A336" t="s">
        <v>236</v>
      </c>
      <c r="B336" t="s">
        <v>31</v>
      </c>
      <c r="C336" t="s">
        <v>3841</v>
      </c>
      <c r="D336" t="s">
        <v>271</v>
      </c>
      <c r="K336" t="s">
        <v>19</v>
      </c>
      <c r="M336" t="s">
        <v>869</v>
      </c>
      <c r="R336" t="s">
        <v>43</v>
      </c>
    </row>
    <row r="337" customHeight="1" spans="1:18">
      <c r="A337" t="s">
        <v>26</v>
      </c>
      <c r="B337" t="s">
        <v>31</v>
      </c>
      <c r="C337" t="s">
        <v>3842</v>
      </c>
      <c r="D337" t="s">
        <v>999</v>
      </c>
      <c r="K337" t="s">
        <v>19</v>
      </c>
      <c r="M337" t="s">
        <v>872</v>
      </c>
      <c r="R337" t="s">
        <v>43</v>
      </c>
    </row>
    <row r="338" customHeight="1" spans="1:18">
      <c r="A338" t="s">
        <v>26</v>
      </c>
      <c r="B338" t="s">
        <v>31</v>
      </c>
      <c r="C338" t="s">
        <v>3843</v>
      </c>
      <c r="D338" t="s">
        <v>283</v>
      </c>
      <c r="K338" t="s">
        <v>19</v>
      </c>
      <c r="M338" t="s">
        <v>875</v>
      </c>
      <c r="R338" t="s">
        <v>43</v>
      </c>
    </row>
    <row r="339" customHeight="1" spans="1:18">
      <c r="A339" t="s">
        <v>26</v>
      </c>
      <c r="B339" t="s">
        <v>31</v>
      </c>
      <c r="C339" t="s">
        <v>3844</v>
      </c>
      <c r="D339" t="s">
        <v>289</v>
      </c>
      <c r="K339" t="s">
        <v>19</v>
      </c>
      <c r="M339" t="s">
        <v>878</v>
      </c>
      <c r="R339" t="s">
        <v>43</v>
      </c>
    </row>
    <row r="340" customHeight="1" spans="1:18">
      <c r="A340" t="s">
        <v>21</v>
      </c>
      <c r="B340" t="s">
        <v>31</v>
      </c>
      <c r="C340" t="s">
        <v>3845</v>
      </c>
      <c r="D340" t="s">
        <v>1003</v>
      </c>
      <c r="K340" t="s">
        <v>19</v>
      </c>
      <c r="M340" t="s">
        <v>881</v>
      </c>
      <c r="R340" t="s">
        <v>43</v>
      </c>
    </row>
    <row r="341" customHeight="1" spans="1:18">
      <c r="A341" t="s">
        <v>21</v>
      </c>
      <c r="B341" t="s">
        <v>31</v>
      </c>
      <c r="C341" t="s">
        <v>3846</v>
      </c>
      <c r="D341" t="s">
        <v>1005</v>
      </c>
      <c r="K341" t="s">
        <v>19</v>
      </c>
      <c r="M341" t="s">
        <v>883</v>
      </c>
      <c r="R341" t="s">
        <v>43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8"/>
  <sheetViews>
    <sheetView workbookViewId="0">
      <selection activeCell="C2" sqref="C2"/>
    </sheetView>
  </sheetViews>
  <sheetFormatPr defaultColWidth="9" defaultRowHeight="15" customHeight="1"/>
  <cols>
    <col min="3" max="3" width="10.8303571428571" customWidth="1"/>
    <col min="4" max="4" width="17.5" customWidth="1"/>
  </cols>
  <sheetData>
    <row r="1" s="1" customFormat="1" ht="16.8" customHeight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16.8" customHeight="1" spans="1:14">
      <c r="A2" s="7" t="s">
        <v>14</v>
      </c>
      <c r="B2" s="1" t="s">
        <v>15</v>
      </c>
      <c r="C2" s="8" t="s">
        <v>3847</v>
      </c>
      <c r="D2" s="7" t="s">
        <v>17</v>
      </c>
      <c r="F2" t="s">
        <v>3848</v>
      </c>
      <c r="K2" t="s">
        <v>19</v>
      </c>
      <c r="M2" t="s">
        <v>20</v>
      </c>
    </row>
    <row r="3" ht="16.8" customHeight="1" spans="1:14">
      <c r="A3" s="1" t="s">
        <v>21</v>
      </c>
      <c r="B3" s="1" t="s">
        <v>15</v>
      </c>
      <c r="C3" s="8" t="s">
        <v>3849</v>
      </c>
      <c r="D3" s="1" t="s">
        <v>23</v>
      </c>
      <c r="F3" t="s">
        <v>3850</v>
      </c>
      <c r="K3" t="s">
        <v>19</v>
      </c>
      <c r="M3" t="s">
        <v>25</v>
      </c>
    </row>
    <row r="4" ht="16.8" customHeight="1" spans="1:14">
      <c r="A4" s="1" t="s">
        <v>26</v>
      </c>
      <c r="B4" s="1" t="s">
        <v>15</v>
      </c>
      <c r="C4" s="9" t="s">
        <v>3851</v>
      </c>
      <c r="D4" s="1" t="s">
        <v>822</v>
      </c>
      <c r="M4" t="s">
        <v>823</v>
      </c>
      <c r="N4" t="s">
        <v>43</v>
      </c>
    </row>
    <row r="5" ht="16.8" customHeight="1" spans="1:14">
      <c r="A5" s="10" t="s">
        <v>14</v>
      </c>
      <c r="B5" s="10" t="s">
        <v>15</v>
      </c>
      <c r="C5" s="10" t="s">
        <v>3852</v>
      </c>
      <c r="D5" s="10" t="s">
        <v>28</v>
      </c>
      <c r="K5" t="s">
        <v>19</v>
      </c>
      <c r="M5" t="s">
        <v>30</v>
      </c>
      <c r="N5" t="s">
        <v>43</v>
      </c>
    </row>
    <row r="6" ht="16.8" customHeight="1" spans="1:14">
      <c r="A6" s="1" t="s">
        <v>14</v>
      </c>
      <c r="B6" s="1" t="s">
        <v>31</v>
      </c>
      <c r="C6" s="9" t="s">
        <v>3853</v>
      </c>
      <c r="D6" s="1" t="s">
        <v>826</v>
      </c>
      <c r="M6" t="s">
        <v>827</v>
      </c>
      <c r="N6" t="s">
        <v>43</v>
      </c>
    </row>
    <row r="7" ht="16.8" customHeight="1" spans="1:14">
      <c r="A7" s="1" t="s">
        <v>26</v>
      </c>
      <c r="B7" s="1" t="s">
        <v>15</v>
      </c>
      <c r="C7" s="9" t="s">
        <v>3854</v>
      </c>
      <c r="D7" s="1" t="s">
        <v>829</v>
      </c>
      <c r="M7" t="s">
        <v>830</v>
      </c>
      <c r="N7" t="s">
        <v>43</v>
      </c>
    </row>
    <row r="8" ht="16.8" customHeight="1" spans="1:14">
      <c r="A8" s="7" t="s">
        <v>14</v>
      </c>
      <c r="B8" s="1" t="s">
        <v>31</v>
      </c>
      <c r="C8" s="9" t="s">
        <v>3855</v>
      </c>
      <c r="D8" s="1" t="s">
        <v>33</v>
      </c>
      <c r="K8" t="s">
        <v>19</v>
      </c>
      <c r="M8" t="s">
        <v>35</v>
      </c>
      <c r="N8" t="s">
        <v>43</v>
      </c>
    </row>
    <row r="9" ht="16.8" customHeight="1" spans="1:14">
      <c r="A9" s="7" t="s">
        <v>14</v>
      </c>
      <c r="B9" s="1" t="s">
        <v>31</v>
      </c>
      <c r="C9" s="9" t="s">
        <v>3856</v>
      </c>
      <c r="D9" s="1" t="s">
        <v>833</v>
      </c>
      <c r="M9" t="s">
        <v>834</v>
      </c>
      <c r="N9" t="s">
        <v>43</v>
      </c>
    </row>
    <row r="10" ht="16.8" customHeight="1" spans="1:14">
      <c r="A10" s="1" t="s">
        <v>21</v>
      </c>
      <c r="B10" s="1" t="s">
        <v>15</v>
      </c>
      <c r="C10" s="8" t="s">
        <v>3857</v>
      </c>
      <c r="D10" s="1" t="s">
        <v>37</v>
      </c>
      <c r="K10" t="s">
        <v>19</v>
      </c>
      <c r="M10" t="s">
        <v>39</v>
      </c>
      <c r="N10" t="s">
        <v>43</v>
      </c>
    </row>
    <row r="11" ht="16.8" customHeight="1" spans="1:14">
      <c r="A11" s="11" t="s">
        <v>14</v>
      </c>
      <c r="B11" s="11" t="s">
        <v>15</v>
      </c>
      <c r="C11" s="8" t="s">
        <v>3858</v>
      </c>
      <c r="D11" s="1" t="s">
        <v>41</v>
      </c>
      <c r="K11" t="s">
        <v>19</v>
      </c>
      <c r="M11" t="s">
        <v>42</v>
      </c>
      <c r="N11" t="s">
        <v>43</v>
      </c>
    </row>
    <row r="12" ht="16.8" customHeight="1" spans="1:14">
      <c r="A12" s="11" t="s">
        <v>14</v>
      </c>
      <c r="B12" s="11" t="s">
        <v>31</v>
      </c>
      <c r="C12" s="8" t="s">
        <v>3859</v>
      </c>
      <c r="D12" s="1" t="s">
        <v>45</v>
      </c>
      <c r="K12" t="s">
        <v>19</v>
      </c>
      <c r="M12" t="s">
        <v>46</v>
      </c>
      <c r="N12" t="s">
        <v>43</v>
      </c>
    </row>
    <row r="13" ht="16.8" customHeight="1" spans="1:14">
      <c r="A13" s="1" t="s">
        <v>21</v>
      </c>
      <c r="B13" s="1" t="s">
        <v>15</v>
      </c>
      <c r="C13" s="8" t="s">
        <v>3860</v>
      </c>
      <c r="D13" s="1" t="s">
        <v>48</v>
      </c>
      <c r="K13" t="s">
        <v>19</v>
      </c>
      <c r="M13" t="s">
        <v>49</v>
      </c>
      <c r="N13" t="s">
        <v>43</v>
      </c>
    </row>
    <row r="14" ht="16.8" customHeight="1" spans="1:14">
      <c r="A14" s="7" t="s">
        <v>14</v>
      </c>
      <c r="B14" s="1" t="s">
        <v>31</v>
      </c>
      <c r="C14" s="8" t="s">
        <v>3861</v>
      </c>
      <c r="D14" s="7" t="s">
        <v>840</v>
      </c>
      <c r="K14" t="s">
        <v>19</v>
      </c>
      <c r="M14" t="s">
        <v>53</v>
      </c>
      <c r="N14" t="s">
        <v>43</v>
      </c>
    </row>
    <row r="15" ht="16.8" customHeight="1" spans="1:14">
      <c r="A15" s="7" t="s">
        <v>14</v>
      </c>
      <c r="B15" s="1" t="s">
        <v>15</v>
      </c>
      <c r="C15" s="8" t="s">
        <v>3862</v>
      </c>
      <c r="D15" s="7" t="s">
        <v>68</v>
      </c>
      <c r="K15" t="s">
        <v>19</v>
      </c>
      <c r="M15" t="s">
        <v>70</v>
      </c>
      <c r="N15" t="s">
        <v>43</v>
      </c>
    </row>
    <row r="16" ht="16.8" customHeight="1" spans="1:14">
      <c r="A16" s="7" t="s">
        <v>14</v>
      </c>
      <c r="B16" s="1" t="s">
        <v>31</v>
      </c>
      <c r="C16" s="8" t="s">
        <v>3863</v>
      </c>
      <c r="D16" s="7" t="s">
        <v>72</v>
      </c>
      <c r="K16" t="s">
        <v>19</v>
      </c>
      <c r="M16" t="s">
        <v>73</v>
      </c>
      <c r="N16" t="s">
        <v>43</v>
      </c>
    </row>
    <row r="17" ht="16.8" customHeight="1" spans="1:14">
      <c r="A17" s="7" t="s">
        <v>14</v>
      </c>
      <c r="B17" s="1" t="s">
        <v>31</v>
      </c>
      <c r="C17" s="8" t="s">
        <v>3864</v>
      </c>
      <c r="D17" s="7" t="s">
        <v>844</v>
      </c>
      <c r="F17" t="s">
        <v>3865</v>
      </c>
      <c r="K17" t="s">
        <v>19</v>
      </c>
      <c r="M17" t="s">
        <v>227</v>
      </c>
    </row>
    <row r="18" ht="16.8" customHeight="1" spans="1:14">
      <c r="A18" s="1" t="s">
        <v>21</v>
      </c>
      <c r="B18" s="1" t="s">
        <v>31</v>
      </c>
      <c r="C18" s="8" t="s">
        <v>3866</v>
      </c>
      <c r="D18" s="1" t="s">
        <v>847</v>
      </c>
      <c r="F18" t="s">
        <v>3867</v>
      </c>
      <c r="K18" t="s">
        <v>19</v>
      </c>
      <c r="M18" t="s">
        <v>231</v>
      </c>
    </row>
    <row r="19" ht="16.8" customHeight="1" spans="1:14">
      <c r="A19" s="1" t="s">
        <v>26</v>
      </c>
      <c r="B19" s="1" t="s">
        <v>31</v>
      </c>
      <c r="C19" s="9" t="s">
        <v>3868</v>
      </c>
      <c r="D19" s="1" t="s">
        <v>83</v>
      </c>
      <c r="F19" t="s">
        <v>3869</v>
      </c>
      <c r="K19" t="s">
        <v>19</v>
      </c>
      <c r="M19" t="s">
        <v>235</v>
      </c>
    </row>
    <row r="20" ht="16.8" customHeight="1" spans="1:14">
      <c r="A20" s="1" t="s">
        <v>26</v>
      </c>
      <c r="B20" s="1" t="s">
        <v>31</v>
      </c>
      <c r="C20" s="9" t="s">
        <v>3870</v>
      </c>
      <c r="D20" s="1" t="s">
        <v>852</v>
      </c>
      <c r="F20" t="s">
        <v>3871</v>
      </c>
      <c r="K20" t="s">
        <v>19</v>
      </c>
      <c r="M20" t="s">
        <v>306</v>
      </c>
    </row>
    <row r="21" ht="16.8" customHeight="1" spans="1:14">
      <c r="A21" s="1" t="s">
        <v>21</v>
      </c>
      <c r="B21" s="1" t="s">
        <v>31</v>
      </c>
      <c r="C21" s="8" t="s">
        <v>3872</v>
      </c>
      <c r="D21" s="1" t="s">
        <v>92</v>
      </c>
      <c r="K21" t="s">
        <v>19</v>
      </c>
      <c r="N21" t="s">
        <v>43</v>
      </c>
    </row>
    <row r="22" ht="16.8" customHeight="1" spans="1:14">
      <c r="A22" s="1" t="s">
        <v>26</v>
      </c>
      <c r="B22" s="1" t="s">
        <v>31</v>
      </c>
      <c r="C22" s="9" t="s">
        <v>3873</v>
      </c>
      <c r="D22" s="1" t="s">
        <v>94</v>
      </c>
      <c r="K22" t="s">
        <v>19</v>
      </c>
      <c r="N22" t="s">
        <v>43</v>
      </c>
    </row>
    <row r="23" ht="16.8" customHeight="1" spans="1:14">
      <c r="A23" s="1" t="s">
        <v>26</v>
      </c>
      <c r="B23" s="1" t="s">
        <v>31</v>
      </c>
      <c r="C23" s="9" t="s">
        <v>3874</v>
      </c>
      <c r="D23" s="1" t="s">
        <v>96</v>
      </c>
      <c r="K23" t="s">
        <v>19</v>
      </c>
      <c r="N23" t="s">
        <v>43</v>
      </c>
    </row>
    <row r="24" ht="16.8" customHeight="1" spans="1:14">
      <c r="A24" s="1" t="s">
        <v>21</v>
      </c>
      <c r="B24" s="1" t="s">
        <v>31</v>
      </c>
      <c r="C24" s="8" t="s">
        <v>3875</v>
      </c>
      <c r="D24" s="1" t="s">
        <v>98</v>
      </c>
      <c r="F24" t="s">
        <v>3876</v>
      </c>
      <c r="K24" t="s">
        <v>19</v>
      </c>
      <c r="M24" t="s">
        <v>859</v>
      </c>
    </row>
    <row r="25" ht="16.8" customHeight="1" spans="1:14">
      <c r="A25" s="1" t="s">
        <v>26</v>
      </c>
      <c r="B25" s="1" t="s">
        <v>31</v>
      </c>
      <c r="C25" s="9" t="s">
        <v>3877</v>
      </c>
      <c r="D25" s="1" t="s">
        <v>861</v>
      </c>
      <c r="F25" t="s">
        <v>3878</v>
      </c>
      <c r="K25" t="s">
        <v>19</v>
      </c>
      <c r="M25" t="s">
        <v>863</v>
      </c>
    </row>
    <row r="26" ht="16.8" customHeight="1" spans="1:14">
      <c r="A26" s="1" t="s">
        <v>236</v>
      </c>
      <c r="B26" s="1" t="s">
        <v>31</v>
      </c>
      <c r="C26" s="9" t="s">
        <v>3879</v>
      </c>
      <c r="D26" s="1" t="s">
        <v>865</v>
      </c>
      <c r="K26" t="s">
        <v>19</v>
      </c>
      <c r="M26" t="s">
        <v>866</v>
      </c>
      <c r="N26" t="s">
        <v>43</v>
      </c>
    </row>
    <row r="27" ht="16.8" customHeight="1" spans="1:14">
      <c r="A27" s="1" t="s">
        <v>236</v>
      </c>
      <c r="B27" s="1" t="s">
        <v>31</v>
      </c>
      <c r="C27" s="9" t="s">
        <v>3880</v>
      </c>
      <c r="D27" s="1" t="s">
        <v>868</v>
      </c>
      <c r="K27" t="s">
        <v>19</v>
      </c>
      <c r="M27" t="s">
        <v>869</v>
      </c>
      <c r="N27" t="s">
        <v>43</v>
      </c>
    </row>
    <row r="28" ht="16.8" customHeight="1" spans="1:14">
      <c r="A28" s="1" t="s">
        <v>26</v>
      </c>
      <c r="B28" s="1" t="s">
        <v>31</v>
      </c>
      <c r="C28" s="9" t="s">
        <v>3881</v>
      </c>
      <c r="D28" s="1" t="s">
        <v>871</v>
      </c>
      <c r="K28" t="s">
        <v>19</v>
      </c>
      <c r="M28" t="s">
        <v>872</v>
      </c>
      <c r="N28" t="s">
        <v>43</v>
      </c>
    </row>
    <row r="29" ht="16.8" customHeight="1" spans="1:14">
      <c r="A29" s="1" t="s">
        <v>26</v>
      </c>
      <c r="B29" s="1" t="s">
        <v>31</v>
      </c>
      <c r="C29" s="9" t="s">
        <v>3882</v>
      </c>
      <c r="D29" s="1" t="s">
        <v>874</v>
      </c>
      <c r="K29" t="s">
        <v>19</v>
      </c>
      <c r="M29" t="s">
        <v>875</v>
      </c>
      <c r="N29" t="s">
        <v>43</v>
      </c>
    </row>
    <row r="30" ht="16.8" customHeight="1" spans="1:14">
      <c r="A30" s="1" t="s">
        <v>26</v>
      </c>
      <c r="B30" s="1" t="s">
        <v>31</v>
      </c>
      <c r="C30" s="9" t="s">
        <v>3883</v>
      </c>
      <c r="D30" s="1" t="s">
        <v>877</v>
      </c>
      <c r="K30" t="s">
        <v>19</v>
      </c>
      <c r="M30" t="s">
        <v>878</v>
      </c>
      <c r="N30" t="s">
        <v>43</v>
      </c>
    </row>
    <row r="31" ht="16.8" customHeight="1" spans="1:14">
      <c r="A31" s="1" t="s">
        <v>21</v>
      </c>
      <c r="B31" s="1" t="s">
        <v>31</v>
      </c>
      <c r="C31" s="8" t="s">
        <v>3884</v>
      </c>
      <c r="D31" s="1" t="s">
        <v>880</v>
      </c>
      <c r="K31" t="s">
        <v>19</v>
      </c>
      <c r="M31" t="s">
        <v>881</v>
      </c>
      <c r="N31" t="s">
        <v>43</v>
      </c>
    </row>
    <row r="32" ht="16.8" customHeight="1" spans="1:14">
      <c r="A32" s="1" t="s">
        <v>21</v>
      </c>
      <c r="B32" s="1" t="s">
        <v>31</v>
      </c>
      <c r="C32" s="8" t="s">
        <v>3885</v>
      </c>
      <c r="D32" s="1" t="s">
        <v>101</v>
      </c>
      <c r="K32" t="s">
        <v>19</v>
      </c>
      <c r="M32" t="s">
        <v>883</v>
      </c>
      <c r="N32" t="s">
        <v>43</v>
      </c>
    </row>
    <row r="33" ht="16.8" customHeight="1" spans="1:14">
      <c r="A33" s="7" t="s">
        <v>14</v>
      </c>
      <c r="B33" s="1" t="s">
        <v>15</v>
      </c>
      <c r="C33" s="8" t="s">
        <v>3886</v>
      </c>
      <c r="D33" s="7" t="s">
        <v>104</v>
      </c>
      <c r="K33" t="s">
        <v>19</v>
      </c>
      <c r="M33" t="s">
        <v>105</v>
      </c>
      <c r="N33" t="s">
        <v>43</v>
      </c>
    </row>
    <row r="34" ht="16.8" customHeight="1" spans="1:14">
      <c r="A34" s="7" t="s">
        <v>14</v>
      </c>
      <c r="B34" s="1" t="s">
        <v>106</v>
      </c>
      <c r="C34" s="8" t="s">
        <v>3887</v>
      </c>
      <c r="D34" s="7" t="s">
        <v>886</v>
      </c>
      <c r="M34" t="s">
        <v>887</v>
      </c>
      <c r="N34" t="s">
        <v>43</v>
      </c>
    </row>
    <row r="35" ht="16.8" customHeight="1" spans="1:14">
      <c r="A35" s="7" t="s">
        <v>14</v>
      </c>
      <c r="B35" s="1" t="s">
        <v>31</v>
      </c>
      <c r="C35" s="8" t="s">
        <v>3888</v>
      </c>
      <c r="D35" s="7" t="s">
        <v>889</v>
      </c>
      <c r="M35" t="s">
        <v>890</v>
      </c>
      <c r="N35" t="s">
        <v>43</v>
      </c>
    </row>
    <row r="36" ht="16.8" customHeight="1" spans="1:14">
      <c r="A36" s="7" t="s">
        <v>14</v>
      </c>
      <c r="B36" s="1" t="s">
        <v>106</v>
      </c>
      <c r="C36" s="8" t="s">
        <v>3889</v>
      </c>
      <c r="D36" s="7" t="s">
        <v>108</v>
      </c>
      <c r="K36" t="s">
        <v>19</v>
      </c>
      <c r="M36" t="s">
        <v>110</v>
      </c>
      <c r="N36" t="s">
        <v>43</v>
      </c>
    </row>
    <row r="37" spans="1:14">
      <c r="A37" s="10"/>
      <c r="B37" s="10"/>
      <c r="C37" s="10"/>
      <c r="D37" s="10"/>
    </row>
    <row r="38" ht="16.8" customHeight="1" spans="1:14">
      <c r="A38" s="7" t="s">
        <v>14</v>
      </c>
      <c r="B38" s="1" t="s">
        <v>143</v>
      </c>
      <c r="C38" s="11" t="s">
        <v>3890</v>
      </c>
      <c r="D38" s="11" t="s">
        <v>145</v>
      </c>
      <c r="F38" t="s">
        <v>3891</v>
      </c>
      <c r="M38" t="s">
        <v>147</v>
      </c>
    </row>
    <row r="39" ht="16.8" customHeight="1" spans="1:14">
      <c r="A39" s="7" t="s">
        <v>21</v>
      </c>
      <c r="B39" s="1" t="s">
        <v>143</v>
      </c>
      <c r="C39" s="11" t="s">
        <v>3891</v>
      </c>
      <c r="D39" s="11" t="s">
        <v>2477</v>
      </c>
      <c r="M39" t="s">
        <v>150</v>
      </c>
      <c r="N39" t="s">
        <v>130</v>
      </c>
    </row>
    <row r="40" ht="16.8" customHeight="1" spans="1:14">
      <c r="A40" s="7" t="s">
        <v>14</v>
      </c>
      <c r="B40" s="1" t="s">
        <v>552</v>
      </c>
      <c r="C40" s="11" t="s">
        <v>3892</v>
      </c>
      <c r="D40" s="11" t="s">
        <v>916</v>
      </c>
      <c r="F40" t="s">
        <v>3893</v>
      </c>
      <c r="M40" t="s">
        <v>918</v>
      </c>
    </row>
    <row r="41" ht="16.8" customHeight="1" spans="1:14">
      <c r="A41" s="7" t="s">
        <v>21</v>
      </c>
      <c r="B41" s="1" t="s">
        <v>552</v>
      </c>
      <c r="C41" s="11" t="s">
        <v>3893</v>
      </c>
      <c r="D41" s="11" t="s">
        <v>2480</v>
      </c>
      <c r="M41" t="s">
        <v>557</v>
      </c>
      <c r="N41" t="s">
        <v>524</v>
      </c>
    </row>
    <row r="42" spans="1:14">
      <c r="A42" s="10"/>
      <c r="B42" s="10"/>
      <c r="C42" s="10"/>
      <c r="D42" s="10"/>
    </row>
    <row r="43" spans="1:14">
      <c r="A43" s="10"/>
      <c r="B43" s="10"/>
      <c r="C43" s="10"/>
      <c r="D43" s="10"/>
    </row>
    <row r="44" spans="1:14">
      <c r="A44" s="10"/>
      <c r="B44" s="10"/>
      <c r="C44" s="10"/>
      <c r="D44" s="10"/>
    </row>
    <row r="45"/>
    <row r="46" ht="16.8" customHeight="1" spans="1:14">
      <c r="A46" t="s">
        <v>222</v>
      </c>
      <c r="B46" t="s">
        <v>223</v>
      </c>
      <c r="C46" t="s">
        <v>2</v>
      </c>
      <c r="D46" t="s">
        <v>3</v>
      </c>
      <c r="F46" t="s">
        <v>5</v>
      </c>
      <c r="J46" t="s">
        <v>9</v>
      </c>
      <c r="K46" t="s">
        <v>10</v>
      </c>
      <c r="M46" t="s">
        <v>4</v>
      </c>
    </row>
    <row r="47" ht="16.8" customHeight="1" spans="1:14">
      <c r="A47" t="s">
        <v>14</v>
      </c>
      <c r="B47" t="s">
        <v>31</v>
      </c>
      <c r="C47" t="s">
        <v>3894</v>
      </c>
      <c r="D47" t="s">
        <v>927</v>
      </c>
      <c r="F47" t="s">
        <v>3865</v>
      </c>
      <c r="K47" t="s">
        <v>19</v>
      </c>
      <c r="M47" t="s">
        <v>227</v>
      </c>
    </row>
    <row r="48" ht="16.8" customHeight="1" spans="1:14">
      <c r="A48" t="s">
        <v>21</v>
      </c>
      <c r="B48" t="s">
        <v>31</v>
      </c>
      <c r="C48" t="s">
        <v>3895</v>
      </c>
      <c r="D48" t="s">
        <v>929</v>
      </c>
      <c r="F48" t="s">
        <v>3867</v>
      </c>
      <c r="K48" t="s">
        <v>19</v>
      </c>
      <c r="M48" t="s">
        <v>231</v>
      </c>
    </row>
    <row r="49" ht="16.8" customHeight="1" spans="1:14">
      <c r="A49" t="s">
        <v>26</v>
      </c>
      <c r="B49" t="s">
        <v>31</v>
      </c>
      <c r="C49" t="s">
        <v>3896</v>
      </c>
      <c r="D49" t="s">
        <v>233</v>
      </c>
      <c r="F49" t="s">
        <v>3869</v>
      </c>
      <c r="K49" t="s">
        <v>19</v>
      </c>
      <c r="M49" t="s">
        <v>235</v>
      </c>
    </row>
    <row r="50" ht="16.8" customHeight="1" spans="1:14">
      <c r="A50" t="s">
        <v>236</v>
      </c>
      <c r="B50" t="s">
        <v>31</v>
      </c>
      <c r="C50" t="s">
        <v>3897</v>
      </c>
      <c r="D50" t="s">
        <v>238</v>
      </c>
      <c r="F50" t="s">
        <v>3898</v>
      </c>
      <c r="K50" t="s">
        <v>19</v>
      </c>
      <c r="M50" t="s">
        <v>240</v>
      </c>
    </row>
    <row r="51" ht="16.8" customHeight="1" spans="1:14">
      <c r="A51" t="s">
        <v>241</v>
      </c>
      <c r="B51" t="s">
        <v>31</v>
      </c>
      <c r="C51" t="s">
        <v>3899</v>
      </c>
      <c r="D51" t="s">
        <v>243</v>
      </c>
      <c r="K51" t="s">
        <v>19</v>
      </c>
      <c r="M51" t="s">
        <v>244</v>
      </c>
      <c r="N51" t="s">
        <v>43</v>
      </c>
    </row>
    <row r="52" ht="16.8" customHeight="1" spans="1:14">
      <c r="A52" t="s">
        <v>241</v>
      </c>
      <c r="B52" t="s">
        <v>31</v>
      </c>
      <c r="C52" t="s">
        <v>3900</v>
      </c>
      <c r="D52" t="s">
        <v>246</v>
      </c>
      <c r="K52" t="s">
        <v>19</v>
      </c>
      <c r="M52" t="s">
        <v>247</v>
      </c>
      <c r="N52" t="s">
        <v>43</v>
      </c>
    </row>
    <row r="53" ht="16.8" customHeight="1" spans="1:14">
      <c r="A53" t="s">
        <v>236</v>
      </c>
      <c r="B53" t="s">
        <v>31</v>
      </c>
      <c r="C53" t="s">
        <v>3901</v>
      </c>
      <c r="D53" t="s">
        <v>249</v>
      </c>
      <c r="F53" t="s">
        <v>3902</v>
      </c>
      <c r="K53" t="s">
        <v>19</v>
      </c>
      <c r="M53" t="s">
        <v>251</v>
      </c>
    </row>
    <row r="54" ht="16.8" customHeight="1" spans="1:14">
      <c r="A54" t="s">
        <v>241</v>
      </c>
      <c r="B54" t="s">
        <v>31</v>
      </c>
      <c r="C54" t="s">
        <v>3903</v>
      </c>
      <c r="D54" t="s">
        <v>253</v>
      </c>
      <c r="K54" t="s">
        <v>19</v>
      </c>
      <c r="M54" t="s">
        <v>254</v>
      </c>
      <c r="N54" t="s">
        <v>43</v>
      </c>
    </row>
    <row r="55" ht="16.8" customHeight="1" spans="1:14">
      <c r="A55" t="s">
        <v>241</v>
      </c>
      <c r="B55" t="s">
        <v>31</v>
      </c>
      <c r="C55" t="s">
        <v>3904</v>
      </c>
      <c r="D55" t="s">
        <v>256</v>
      </c>
      <c r="K55" t="s">
        <v>19</v>
      </c>
      <c r="M55" t="s">
        <v>257</v>
      </c>
      <c r="N55" t="s">
        <v>43</v>
      </c>
    </row>
    <row r="56" ht="16.8" customHeight="1" spans="1:14">
      <c r="A56" t="s">
        <v>236</v>
      </c>
      <c r="B56" t="s">
        <v>31</v>
      </c>
      <c r="C56" t="s">
        <v>3905</v>
      </c>
      <c r="D56" t="s">
        <v>259</v>
      </c>
      <c r="F56" t="s">
        <v>3906</v>
      </c>
      <c r="K56" t="s">
        <v>19</v>
      </c>
      <c r="M56" t="s">
        <v>261</v>
      </c>
    </row>
    <row r="57" ht="16.8" customHeight="1" spans="1:14">
      <c r="A57" t="s">
        <v>241</v>
      </c>
      <c r="B57" t="s">
        <v>31</v>
      </c>
      <c r="C57" t="s">
        <v>3907</v>
      </c>
      <c r="D57" t="s">
        <v>263</v>
      </c>
      <c r="F57" t="s">
        <v>3908</v>
      </c>
      <c r="K57" t="s">
        <v>19</v>
      </c>
      <c r="M57" t="s">
        <v>265</v>
      </c>
    </row>
    <row r="58" ht="16.8" customHeight="1" spans="1:14">
      <c r="A58" t="s">
        <v>266</v>
      </c>
      <c r="B58" t="s">
        <v>31</v>
      </c>
      <c r="C58" t="s">
        <v>3909</v>
      </c>
      <c r="D58" t="s">
        <v>268</v>
      </c>
      <c r="K58" t="s">
        <v>19</v>
      </c>
      <c r="M58" t="s">
        <v>269</v>
      </c>
      <c r="N58" t="s">
        <v>43</v>
      </c>
    </row>
    <row r="59" ht="16.8" customHeight="1" spans="1:14">
      <c r="A59" t="s">
        <v>266</v>
      </c>
      <c r="B59" t="s">
        <v>31</v>
      </c>
      <c r="C59" t="s">
        <v>3910</v>
      </c>
      <c r="D59" t="s">
        <v>271</v>
      </c>
      <c r="K59" t="s">
        <v>19</v>
      </c>
      <c r="M59" t="s">
        <v>272</v>
      </c>
      <c r="N59" t="s">
        <v>43</v>
      </c>
    </row>
    <row r="60" ht="16.8" customHeight="1" spans="1:14">
      <c r="A60" t="s">
        <v>241</v>
      </c>
      <c r="B60" t="s">
        <v>31</v>
      </c>
      <c r="C60" t="s">
        <v>3911</v>
      </c>
      <c r="D60" t="s">
        <v>3912</v>
      </c>
      <c r="K60" t="s">
        <v>19</v>
      </c>
      <c r="M60" t="s">
        <v>275</v>
      </c>
      <c r="N60" t="s">
        <v>43</v>
      </c>
    </row>
    <row r="61" ht="16.8" customHeight="1" spans="1:14">
      <c r="A61" t="s">
        <v>266</v>
      </c>
      <c r="B61" t="s">
        <v>31</v>
      </c>
      <c r="C61" t="s">
        <v>3913</v>
      </c>
      <c r="D61" t="s">
        <v>277</v>
      </c>
      <c r="K61" t="s">
        <v>19</v>
      </c>
      <c r="M61" t="s">
        <v>278</v>
      </c>
      <c r="N61" t="s">
        <v>43</v>
      </c>
    </row>
    <row r="62" ht="16.8" customHeight="1" spans="1:14">
      <c r="A62" t="s">
        <v>241</v>
      </c>
      <c r="B62" t="s">
        <v>31</v>
      </c>
      <c r="C62" t="s">
        <v>3914</v>
      </c>
      <c r="D62" t="s">
        <v>3915</v>
      </c>
      <c r="K62" t="s">
        <v>19</v>
      </c>
      <c r="M62" t="s">
        <v>281</v>
      </c>
      <c r="N62" t="s">
        <v>43</v>
      </c>
    </row>
    <row r="63" ht="16.8" customHeight="1" spans="1:14">
      <c r="A63" t="s">
        <v>266</v>
      </c>
      <c r="B63" t="s">
        <v>31</v>
      </c>
      <c r="C63" t="s">
        <v>3916</v>
      </c>
      <c r="D63" t="s">
        <v>283</v>
      </c>
      <c r="K63" t="s">
        <v>19</v>
      </c>
      <c r="M63" t="s">
        <v>284</v>
      </c>
      <c r="N63" t="s">
        <v>43</v>
      </c>
    </row>
    <row r="64" ht="16.8" customHeight="1" spans="1:14">
      <c r="A64" t="s">
        <v>241</v>
      </c>
      <c r="B64" t="s">
        <v>31</v>
      </c>
      <c r="C64" t="s">
        <v>3917</v>
      </c>
      <c r="D64" t="s">
        <v>3918</v>
      </c>
      <c r="K64" t="s">
        <v>19</v>
      </c>
      <c r="M64" t="s">
        <v>287</v>
      </c>
      <c r="N64" t="s">
        <v>43</v>
      </c>
    </row>
    <row r="65" ht="16.8" customHeight="1" spans="1:14">
      <c r="A65" t="s">
        <v>266</v>
      </c>
      <c r="B65" t="s">
        <v>31</v>
      </c>
      <c r="C65" t="s">
        <v>3919</v>
      </c>
      <c r="D65" t="s">
        <v>289</v>
      </c>
      <c r="K65" t="s">
        <v>19</v>
      </c>
      <c r="M65" t="s">
        <v>290</v>
      </c>
      <c r="N65" t="s">
        <v>43</v>
      </c>
    </row>
    <row r="66" ht="16.8" customHeight="1" spans="1:14">
      <c r="A66" t="s">
        <v>236</v>
      </c>
      <c r="B66" t="s">
        <v>31</v>
      </c>
      <c r="C66" t="s">
        <v>3920</v>
      </c>
      <c r="D66" t="s">
        <v>3921</v>
      </c>
      <c r="K66" t="s">
        <v>19</v>
      </c>
      <c r="M66" t="s">
        <v>293</v>
      </c>
      <c r="N66" t="s">
        <v>43</v>
      </c>
    </row>
    <row r="67" ht="16.8" customHeight="1" spans="1:14">
      <c r="A67" t="s">
        <v>241</v>
      </c>
      <c r="B67" t="s">
        <v>31</v>
      </c>
      <c r="C67" t="s">
        <v>3922</v>
      </c>
      <c r="D67" t="s">
        <v>295</v>
      </c>
      <c r="K67" t="s">
        <v>19</v>
      </c>
      <c r="M67" t="s">
        <v>296</v>
      </c>
      <c r="N67" t="s">
        <v>43</v>
      </c>
    </row>
    <row r="68" ht="16.8" customHeight="1" spans="1:14">
      <c r="A68" t="s">
        <v>236</v>
      </c>
      <c r="B68" t="s">
        <v>31</v>
      </c>
      <c r="C68" t="s">
        <v>3923</v>
      </c>
      <c r="D68" t="s">
        <v>3924</v>
      </c>
      <c r="K68" t="s">
        <v>19</v>
      </c>
      <c r="M68" t="s">
        <v>299</v>
      </c>
      <c r="N68" t="s">
        <v>43</v>
      </c>
    </row>
    <row r="69" ht="16.8" customHeight="1" spans="1:14">
      <c r="A69" t="s">
        <v>241</v>
      </c>
      <c r="B69" t="s">
        <v>31</v>
      </c>
      <c r="C69" t="s">
        <v>3925</v>
      </c>
      <c r="D69" t="s">
        <v>301</v>
      </c>
      <c r="K69" t="s">
        <v>19</v>
      </c>
      <c r="M69" t="s">
        <v>302</v>
      </c>
      <c r="N69" t="s">
        <v>43</v>
      </c>
    </row>
    <row r="70" ht="16.8" customHeight="1" spans="1:14">
      <c r="A70" t="s">
        <v>26</v>
      </c>
      <c r="B70" t="s">
        <v>31</v>
      </c>
      <c r="C70" t="s">
        <v>3926</v>
      </c>
      <c r="D70" t="s">
        <v>304</v>
      </c>
      <c r="F70" t="s">
        <v>3871</v>
      </c>
      <c r="K70" t="s">
        <v>19</v>
      </c>
      <c r="M70" t="s">
        <v>306</v>
      </c>
    </row>
    <row r="71" ht="16.8" customHeight="1" spans="1:14">
      <c r="A71" t="s">
        <v>236</v>
      </c>
      <c r="B71" t="s">
        <v>31</v>
      </c>
      <c r="C71" t="s">
        <v>3927</v>
      </c>
      <c r="D71" t="s">
        <v>238</v>
      </c>
      <c r="F71" t="s">
        <v>3928</v>
      </c>
      <c r="K71" t="s">
        <v>19</v>
      </c>
      <c r="M71" t="s">
        <v>309</v>
      </c>
    </row>
    <row r="72" ht="16.8" customHeight="1" spans="1:14">
      <c r="A72" t="s">
        <v>241</v>
      </c>
      <c r="B72" t="s">
        <v>31</v>
      </c>
      <c r="C72" t="s">
        <v>3929</v>
      </c>
      <c r="D72" t="s">
        <v>243</v>
      </c>
      <c r="K72" t="s">
        <v>19</v>
      </c>
      <c r="M72" t="s">
        <v>311</v>
      </c>
      <c r="N72" t="s">
        <v>43</v>
      </c>
    </row>
    <row r="73" ht="16.8" customHeight="1" spans="1:14">
      <c r="A73" t="s">
        <v>241</v>
      </c>
      <c r="B73" t="s">
        <v>31</v>
      </c>
      <c r="C73" t="s">
        <v>3930</v>
      </c>
      <c r="D73" t="s">
        <v>246</v>
      </c>
      <c r="K73" t="s">
        <v>19</v>
      </c>
      <c r="M73" t="s">
        <v>313</v>
      </c>
      <c r="N73" t="s">
        <v>43</v>
      </c>
    </row>
    <row r="74" ht="16.8" customHeight="1" spans="1:14">
      <c r="A74" t="s">
        <v>236</v>
      </c>
      <c r="B74" t="s">
        <v>31</v>
      </c>
      <c r="C74" t="s">
        <v>3931</v>
      </c>
      <c r="D74" t="s">
        <v>249</v>
      </c>
      <c r="F74" t="s">
        <v>3932</v>
      </c>
      <c r="K74" t="s">
        <v>19</v>
      </c>
      <c r="M74" t="s">
        <v>316</v>
      </c>
    </row>
    <row r="75" ht="16.8" customHeight="1" spans="1:14">
      <c r="A75" t="s">
        <v>241</v>
      </c>
      <c r="B75" t="s">
        <v>31</v>
      </c>
      <c r="C75" t="s">
        <v>3933</v>
      </c>
      <c r="D75" t="s">
        <v>253</v>
      </c>
      <c r="K75" t="s">
        <v>19</v>
      </c>
      <c r="M75" t="s">
        <v>318</v>
      </c>
      <c r="N75" t="s">
        <v>43</v>
      </c>
    </row>
    <row r="76" ht="16.8" customHeight="1" spans="1:14">
      <c r="A76" t="s">
        <v>241</v>
      </c>
      <c r="B76" t="s">
        <v>31</v>
      </c>
      <c r="C76" t="s">
        <v>3934</v>
      </c>
      <c r="D76" t="s">
        <v>256</v>
      </c>
      <c r="K76" t="s">
        <v>19</v>
      </c>
      <c r="M76" t="s">
        <v>320</v>
      </c>
      <c r="N76" t="s">
        <v>43</v>
      </c>
    </row>
    <row r="77" ht="16.8" customHeight="1" spans="1:14">
      <c r="A77" t="s">
        <v>236</v>
      </c>
      <c r="B77" t="s">
        <v>31</v>
      </c>
      <c r="C77" t="s">
        <v>3935</v>
      </c>
      <c r="D77" t="s">
        <v>259</v>
      </c>
      <c r="F77" t="s">
        <v>3936</v>
      </c>
      <c r="K77" t="s">
        <v>19</v>
      </c>
      <c r="M77" t="s">
        <v>323</v>
      </c>
    </row>
    <row r="78" ht="16.8" customHeight="1" spans="1:14">
      <c r="A78" t="s">
        <v>241</v>
      </c>
      <c r="B78" t="s">
        <v>31</v>
      </c>
      <c r="C78" t="s">
        <v>3937</v>
      </c>
      <c r="D78" t="s">
        <v>263</v>
      </c>
      <c r="F78" t="s">
        <v>3938</v>
      </c>
      <c r="K78" t="s">
        <v>19</v>
      </c>
      <c r="M78" t="s">
        <v>326</v>
      </c>
    </row>
    <row r="79" ht="16.8" customHeight="1" spans="1:14">
      <c r="A79" t="s">
        <v>266</v>
      </c>
      <c r="B79" t="s">
        <v>31</v>
      </c>
      <c r="C79" t="s">
        <v>3939</v>
      </c>
      <c r="D79" t="s">
        <v>268</v>
      </c>
      <c r="K79" t="s">
        <v>19</v>
      </c>
      <c r="M79" t="s">
        <v>328</v>
      </c>
      <c r="N79" t="s">
        <v>43</v>
      </c>
    </row>
    <row r="80" ht="16.8" customHeight="1" spans="1:14">
      <c r="A80" t="s">
        <v>266</v>
      </c>
      <c r="B80" t="s">
        <v>31</v>
      </c>
      <c r="C80" t="s">
        <v>3940</v>
      </c>
      <c r="D80" t="s">
        <v>271</v>
      </c>
      <c r="K80" t="s">
        <v>19</v>
      </c>
      <c r="M80" t="s">
        <v>330</v>
      </c>
      <c r="N80" t="s">
        <v>43</v>
      </c>
    </row>
    <row r="81" ht="16.8" customHeight="1" spans="1:14">
      <c r="A81" t="s">
        <v>241</v>
      </c>
      <c r="B81" t="s">
        <v>31</v>
      </c>
      <c r="C81" t="s">
        <v>3941</v>
      </c>
      <c r="D81" t="s">
        <v>3942</v>
      </c>
      <c r="K81" t="s">
        <v>19</v>
      </c>
      <c r="M81" t="s">
        <v>333</v>
      </c>
      <c r="N81" t="s">
        <v>43</v>
      </c>
    </row>
    <row r="82" ht="16.8" customHeight="1" spans="1:14">
      <c r="A82" t="s">
        <v>266</v>
      </c>
      <c r="B82" t="s">
        <v>31</v>
      </c>
      <c r="C82" t="s">
        <v>3943</v>
      </c>
      <c r="D82" t="s">
        <v>277</v>
      </c>
      <c r="K82" t="s">
        <v>19</v>
      </c>
      <c r="M82" t="s">
        <v>335</v>
      </c>
      <c r="N82" t="s">
        <v>43</v>
      </c>
    </row>
    <row r="83" ht="16.8" customHeight="1" spans="1:14">
      <c r="A83" t="s">
        <v>241</v>
      </c>
      <c r="B83" t="s">
        <v>31</v>
      </c>
      <c r="C83" t="s">
        <v>3944</v>
      </c>
      <c r="D83" t="s">
        <v>3945</v>
      </c>
      <c r="K83" t="s">
        <v>19</v>
      </c>
      <c r="M83" t="s">
        <v>338</v>
      </c>
      <c r="N83" t="s">
        <v>43</v>
      </c>
    </row>
    <row r="84" ht="16.8" customHeight="1" spans="1:14">
      <c r="A84" t="s">
        <v>266</v>
      </c>
      <c r="B84" t="s">
        <v>31</v>
      </c>
      <c r="C84" t="s">
        <v>3946</v>
      </c>
      <c r="D84" t="s">
        <v>283</v>
      </c>
      <c r="K84" t="s">
        <v>19</v>
      </c>
      <c r="M84" t="s">
        <v>340</v>
      </c>
      <c r="N84" t="s">
        <v>43</v>
      </c>
    </row>
    <row r="85" ht="16.8" customHeight="1" spans="1:14">
      <c r="A85" t="s">
        <v>241</v>
      </c>
      <c r="B85" t="s">
        <v>31</v>
      </c>
      <c r="C85" t="s">
        <v>3947</v>
      </c>
      <c r="D85" t="s">
        <v>3948</v>
      </c>
      <c r="K85" t="s">
        <v>19</v>
      </c>
      <c r="M85" t="s">
        <v>343</v>
      </c>
      <c r="N85" t="s">
        <v>43</v>
      </c>
    </row>
    <row r="86" ht="16.8" customHeight="1" spans="1:14">
      <c r="A86" t="s">
        <v>266</v>
      </c>
      <c r="B86" t="s">
        <v>31</v>
      </c>
      <c r="C86" t="s">
        <v>3949</v>
      </c>
      <c r="D86" t="s">
        <v>289</v>
      </c>
      <c r="K86" t="s">
        <v>19</v>
      </c>
      <c r="M86" t="s">
        <v>345</v>
      </c>
      <c r="N86" t="s">
        <v>43</v>
      </c>
    </row>
    <row r="87" ht="16.8" customHeight="1" spans="1:14">
      <c r="A87" t="s">
        <v>236</v>
      </c>
      <c r="B87" t="s">
        <v>31</v>
      </c>
      <c r="C87" t="s">
        <v>3950</v>
      </c>
      <c r="D87" t="s">
        <v>3951</v>
      </c>
      <c r="K87" t="s">
        <v>19</v>
      </c>
      <c r="M87" t="s">
        <v>348</v>
      </c>
      <c r="N87" t="s">
        <v>43</v>
      </c>
    </row>
    <row r="88" ht="16.8" customHeight="1" spans="1:14">
      <c r="A88" t="s">
        <v>241</v>
      </c>
      <c r="B88" t="s">
        <v>31</v>
      </c>
      <c r="C88" t="s">
        <v>3952</v>
      </c>
      <c r="D88" t="s">
        <v>295</v>
      </c>
      <c r="K88" t="s">
        <v>19</v>
      </c>
      <c r="M88" t="s">
        <v>350</v>
      </c>
      <c r="N88" t="s">
        <v>43</v>
      </c>
    </row>
    <row r="89" ht="16.8" customHeight="1" spans="1:14">
      <c r="A89" t="s">
        <v>236</v>
      </c>
      <c r="B89" t="s">
        <v>31</v>
      </c>
      <c r="C89" t="s">
        <v>3953</v>
      </c>
      <c r="D89" t="s">
        <v>3954</v>
      </c>
      <c r="K89" t="s">
        <v>19</v>
      </c>
      <c r="M89" t="s">
        <v>353</v>
      </c>
      <c r="N89" t="s">
        <v>43</v>
      </c>
    </row>
    <row r="90" ht="16.8" customHeight="1" spans="1:14">
      <c r="A90" t="s">
        <v>241</v>
      </c>
      <c r="B90" t="s">
        <v>31</v>
      </c>
      <c r="C90" t="s">
        <v>3955</v>
      </c>
      <c r="D90" t="s">
        <v>301</v>
      </c>
      <c r="K90" t="s">
        <v>19</v>
      </c>
      <c r="M90" t="s">
        <v>355</v>
      </c>
      <c r="N90" t="s">
        <v>43</v>
      </c>
    </row>
    <row r="91" ht="16.8" customHeight="1" spans="1:14">
      <c r="A91" t="s">
        <v>21</v>
      </c>
      <c r="B91" t="s">
        <v>31</v>
      </c>
      <c r="C91" t="s">
        <v>3956</v>
      </c>
      <c r="D91" t="s">
        <v>249</v>
      </c>
      <c r="K91" t="s">
        <v>19</v>
      </c>
      <c r="N91" t="s">
        <v>43</v>
      </c>
    </row>
    <row r="92" ht="16.8" customHeight="1" spans="1:14">
      <c r="A92" t="s">
        <v>26</v>
      </c>
      <c r="B92" t="s">
        <v>31</v>
      </c>
      <c r="C92" t="s">
        <v>3957</v>
      </c>
      <c r="D92" t="s">
        <v>358</v>
      </c>
      <c r="K92" t="s">
        <v>19</v>
      </c>
      <c r="N92" t="s">
        <v>43</v>
      </c>
    </row>
    <row r="93" ht="16.8" customHeight="1" spans="1:14">
      <c r="A93" t="s">
        <v>26</v>
      </c>
      <c r="B93" t="s">
        <v>31</v>
      </c>
      <c r="C93" t="s">
        <v>3958</v>
      </c>
      <c r="D93" t="s">
        <v>360</v>
      </c>
      <c r="K93" t="s">
        <v>19</v>
      </c>
      <c r="N93" t="s">
        <v>43</v>
      </c>
    </row>
    <row r="94" ht="16.8" customHeight="1" spans="1:14">
      <c r="A94" t="s">
        <v>21</v>
      </c>
      <c r="B94" t="s">
        <v>31</v>
      </c>
      <c r="C94" t="s">
        <v>3959</v>
      </c>
      <c r="D94" t="s">
        <v>994</v>
      </c>
      <c r="F94" t="s">
        <v>3876</v>
      </c>
      <c r="K94" t="s">
        <v>19</v>
      </c>
      <c r="M94" t="s">
        <v>859</v>
      </c>
    </row>
    <row r="95" ht="16.8" customHeight="1" spans="1:14">
      <c r="A95" t="s">
        <v>26</v>
      </c>
      <c r="B95" t="s">
        <v>31</v>
      </c>
      <c r="C95" t="s">
        <v>3960</v>
      </c>
      <c r="D95" t="s">
        <v>263</v>
      </c>
      <c r="F95" t="s">
        <v>3878</v>
      </c>
      <c r="K95" t="s">
        <v>19</v>
      </c>
      <c r="M95" t="s">
        <v>863</v>
      </c>
    </row>
    <row r="96" ht="16.8" customHeight="1" spans="1:14">
      <c r="A96" t="s">
        <v>236</v>
      </c>
      <c r="B96" t="s">
        <v>31</v>
      </c>
      <c r="C96" t="s">
        <v>3961</v>
      </c>
      <c r="D96" t="s">
        <v>268</v>
      </c>
      <c r="K96" t="s">
        <v>19</v>
      </c>
      <c r="M96" t="s">
        <v>866</v>
      </c>
      <c r="N96" t="s">
        <v>43</v>
      </c>
    </row>
    <row r="97" ht="16.8" customHeight="1" spans="1:14">
      <c r="A97" t="s">
        <v>236</v>
      </c>
      <c r="B97" t="s">
        <v>31</v>
      </c>
      <c r="C97" t="s">
        <v>3962</v>
      </c>
      <c r="D97" t="s">
        <v>271</v>
      </c>
      <c r="K97" t="s">
        <v>19</v>
      </c>
      <c r="M97" t="s">
        <v>869</v>
      </c>
      <c r="N97" t="s">
        <v>43</v>
      </c>
    </row>
    <row r="98" ht="16.8" customHeight="1" spans="1:14">
      <c r="A98" t="s">
        <v>26</v>
      </c>
      <c r="B98" t="s">
        <v>31</v>
      </c>
      <c r="C98" t="s">
        <v>3963</v>
      </c>
      <c r="D98" t="s">
        <v>999</v>
      </c>
      <c r="K98" t="s">
        <v>19</v>
      </c>
      <c r="M98" t="s">
        <v>872</v>
      </c>
      <c r="N98" t="s">
        <v>43</v>
      </c>
    </row>
    <row r="99" ht="16.8" customHeight="1" spans="1:14">
      <c r="A99" t="s">
        <v>26</v>
      </c>
      <c r="B99" t="s">
        <v>31</v>
      </c>
      <c r="C99" t="s">
        <v>3964</v>
      </c>
      <c r="D99" t="s">
        <v>283</v>
      </c>
      <c r="K99" t="s">
        <v>19</v>
      </c>
      <c r="M99" t="s">
        <v>875</v>
      </c>
      <c r="N99" t="s">
        <v>43</v>
      </c>
    </row>
    <row r="100" ht="16.8" customHeight="1" spans="1:14">
      <c r="A100" t="s">
        <v>26</v>
      </c>
      <c r="B100" t="s">
        <v>31</v>
      </c>
      <c r="C100" t="s">
        <v>3965</v>
      </c>
      <c r="D100" t="s">
        <v>289</v>
      </c>
      <c r="K100" t="s">
        <v>19</v>
      </c>
      <c r="M100" t="s">
        <v>878</v>
      </c>
      <c r="N100" t="s">
        <v>43</v>
      </c>
    </row>
    <row r="101" ht="16.8" customHeight="1" spans="1:14">
      <c r="A101" t="s">
        <v>21</v>
      </c>
      <c r="B101" t="s">
        <v>31</v>
      </c>
      <c r="C101" t="s">
        <v>3966</v>
      </c>
      <c r="D101" t="s">
        <v>1003</v>
      </c>
      <c r="K101" t="s">
        <v>19</v>
      </c>
      <c r="M101" t="s">
        <v>881</v>
      </c>
      <c r="N101" t="s">
        <v>43</v>
      </c>
    </row>
    <row r="102" ht="16.8" customHeight="1" spans="1:14">
      <c r="A102" t="s">
        <v>21</v>
      </c>
      <c r="B102" t="s">
        <v>31</v>
      </c>
      <c r="C102" t="s">
        <v>3967</v>
      </c>
      <c r="D102" t="s">
        <v>1005</v>
      </c>
      <c r="K102" t="s">
        <v>19</v>
      </c>
      <c r="M102" t="s">
        <v>883</v>
      </c>
      <c r="N102" t="s">
        <v>43</v>
      </c>
    </row>
    <row r="103" ht="16.8" customHeight="1" spans="1:14">
      <c r="A103" t="s">
        <v>21</v>
      </c>
      <c r="B103" t="s">
        <v>31</v>
      </c>
      <c r="C103" t="s">
        <v>3968</v>
      </c>
      <c r="D103" t="s">
        <v>362</v>
      </c>
      <c r="F103" t="s">
        <v>3969</v>
      </c>
      <c r="K103" t="s">
        <v>19</v>
      </c>
      <c r="M103" t="s">
        <v>364</v>
      </c>
    </row>
    <row r="104" ht="16.8" customHeight="1" spans="1:14">
      <c r="A104" t="s">
        <v>26</v>
      </c>
      <c r="B104" t="s">
        <v>31</v>
      </c>
      <c r="C104" t="s">
        <v>3969</v>
      </c>
      <c r="D104" t="s">
        <v>365</v>
      </c>
      <c r="F104" t="s">
        <v>3970</v>
      </c>
      <c r="K104" t="s">
        <v>19</v>
      </c>
      <c r="M104" t="s">
        <v>367</v>
      </c>
    </row>
    <row r="105" ht="16.8" customHeight="1" spans="1:14">
      <c r="A105" t="s">
        <v>236</v>
      </c>
      <c r="B105" t="s">
        <v>31</v>
      </c>
      <c r="C105" t="s">
        <v>3971</v>
      </c>
      <c r="D105" t="s">
        <v>369</v>
      </c>
      <c r="F105" t="s">
        <v>3972</v>
      </c>
      <c r="K105" t="s">
        <v>19</v>
      </c>
      <c r="M105" t="s">
        <v>371</v>
      </c>
    </row>
    <row r="106" ht="16.8" customHeight="1" spans="1:14">
      <c r="A106" t="s">
        <v>241</v>
      </c>
      <c r="B106" t="s">
        <v>31</v>
      </c>
      <c r="C106" t="s">
        <v>3973</v>
      </c>
      <c r="D106" t="s">
        <v>373</v>
      </c>
      <c r="K106" t="s">
        <v>19</v>
      </c>
      <c r="M106" t="s">
        <v>374</v>
      </c>
      <c r="N106" t="s">
        <v>43</v>
      </c>
    </row>
    <row r="107" ht="16.8" customHeight="1" spans="1:14">
      <c r="A107" t="s">
        <v>241</v>
      </c>
      <c r="B107" t="s">
        <v>31</v>
      </c>
      <c r="C107" t="s">
        <v>3974</v>
      </c>
      <c r="D107" t="s">
        <v>376</v>
      </c>
      <c r="K107" t="s">
        <v>19</v>
      </c>
      <c r="M107" t="s">
        <v>377</v>
      </c>
      <c r="N107" t="s">
        <v>43</v>
      </c>
    </row>
    <row r="108" ht="16.8" customHeight="1" spans="1:14">
      <c r="A108" t="s">
        <v>241</v>
      </c>
      <c r="B108" t="s">
        <v>31</v>
      </c>
      <c r="C108" t="s">
        <v>3975</v>
      </c>
      <c r="D108" t="s">
        <v>379</v>
      </c>
      <c r="K108" t="s">
        <v>19</v>
      </c>
      <c r="M108" t="s">
        <v>380</v>
      </c>
      <c r="N108" t="s">
        <v>43</v>
      </c>
    </row>
    <row r="109" ht="16.8" customHeight="1" spans="1:14">
      <c r="A109" t="s">
        <v>241</v>
      </c>
      <c r="B109" t="s">
        <v>31</v>
      </c>
      <c r="C109" t="s">
        <v>3976</v>
      </c>
      <c r="D109" t="s">
        <v>382</v>
      </c>
      <c r="K109" t="s">
        <v>19</v>
      </c>
      <c r="M109" t="s">
        <v>383</v>
      </c>
      <c r="N109" t="s">
        <v>43</v>
      </c>
    </row>
    <row r="110" ht="16.8" customHeight="1" spans="1:14">
      <c r="A110" t="s">
        <v>236</v>
      </c>
      <c r="B110" t="s">
        <v>31</v>
      </c>
      <c r="C110" t="s">
        <v>3977</v>
      </c>
      <c r="D110" t="s">
        <v>385</v>
      </c>
      <c r="F110" t="s">
        <v>3978</v>
      </c>
      <c r="K110" t="s">
        <v>19</v>
      </c>
      <c r="M110" t="s">
        <v>387</v>
      </c>
    </row>
    <row r="111" ht="16.8" customHeight="1" spans="1:14">
      <c r="A111" t="s">
        <v>241</v>
      </c>
      <c r="B111" t="s">
        <v>31</v>
      </c>
      <c r="C111" t="s">
        <v>3979</v>
      </c>
      <c r="D111" t="s">
        <v>389</v>
      </c>
      <c r="K111" t="s">
        <v>19</v>
      </c>
      <c r="M111" t="s">
        <v>390</v>
      </c>
      <c r="N111" t="s">
        <v>43</v>
      </c>
    </row>
    <row r="112" ht="16.8" customHeight="1" spans="1:14">
      <c r="A112" t="s">
        <v>241</v>
      </c>
      <c r="B112" t="s">
        <v>31</v>
      </c>
      <c r="C112" t="s">
        <v>3980</v>
      </c>
      <c r="D112" t="s">
        <v>392</v>
      </c>
      <c r="K112" t="s">
        <v>19</v>
      </c>
      <c r="M112" t="s">
        <v>393</v>
      </c>
      <c r="N112" t="s">
        <v>43</v>
      </c>
    </row>
    <row r="113" ht="16.8" customHeight="1" spans="1:14">
      <c r="A113" t="s">
        <v>241</v>
      </c>
      <c r="B113" t="s">
        <v>31</v>
      </c>
      <c r="C113" t="s">
        <v>3981</v>
      </c>
      <c r="D113" t="s">
        <v>395</v>
      </c>
      <c r="K113" t="s">
        <v>19</v>
      </c>
      <c r="M113" t="s">
        <v>396</v>
      </c>
      <c r="N113" t="s">
        <v>43</v>
      </c>
    </row>
    <row r="114" ht="16.8" customHeight="1" spans="1:14">
      <c r="A114" t="s">
        <v>241</v>
      </c>
      <c r="B114" t="s">
        <v>31</v>
      </c>
      <c r="C114" t="s">
        <v>3982</v>
      </c>
      <c r="D114" t="s">
        <v>398</v>
      </c>
      <c r="K114" t="s">
        <v>19</v>
      </c>
      <c r="M114" t="s">
        <v>399</v>
      </c>
      <c r="N114" t="s">
        <v>43</v>
      </c>
    </row>
    <row r="115" ht="16.8" customHeight="1" spans="1:14">
      <c r="A115" t="s">
        <v>241</v>
      </c>
      <c r="B115" t="s">
        <v>31</v>
      </c>
      <c r="C115" t="s">
        <v>3983</v>
      </c>
      <c r="D115" t="s">
        <v>401</v>
      </c>
      <c r="K115" t="s">
        <v>19</v>
      </c>
      <c r="M115" t="s">
        <v>402</v>
      </c>
      <c r="N115" t="s">
        <v>43</v>
      </c>
    </row>
    <row r="116" ht="16.8" customHeight="1" spans="1:14">
      <c r="A116" t="s">
        <v>241</v>
      </c>
      <c r="B116" t="s">
        <v>31</v>
      </c>
      <c r="C116" t="s">
        <v>3984</v>
      </c>
      <c r="D116" t="s">
        <v>404</v>
      </c>
      <c r="K116" t="s">
        <v>19</v>
      </c>
      <c r="M116" t="s">
        <v>405</v>
      </c>
      <c r="N116" t="s">
        <v>43</v>
      </c>
    </row>
    <row r="117" ht="16.8" customHeight="1" spans="1:14">
      <c r="A117" t="s">
        <v>241</v>
      </c>
      <c r="B117" t="s">
        <v>31</v>
      </c>
      <c r="C117" t="s">
        <v>3985</v>
      </c>
      <c r="D117" t="s">
        <v>407</v>
      </c>
      <c r="K117" t="s">
        <v>19</v>
      </c>
      <c r="M117" t="s">
        <v>408</v>
      </c>
      <c r="N117" t="s">
        <v>43</v>
      </c>
    </row>
    <row r="118" ht="16.8" customHeight="1" spans="1:14">
      <c r="A118" t="s">
        <v>241</v>
      </c>
      <c r="B118" t="s">
        <v>31</v>
      </c>
      <c r="C118" t="s">
        <v>3986</v>
      </c>
      <c r="D118" t="s">
        <v>410</v>
      </c>
      <c r="K118" t="s">
        <v>19</v>
      </c>
      <c r="M118" t="s">
        <v>411</v>
      </c>
      <c r="N118" t="s">
        <v>43</v>
      </c>
    </row>
    <row r="119" ht="16.8" customHeight="1" spans="1:14">
      <c r="A119" t="s">
        <v>241</v>
      </c>
      <c r="B119" t="s">
        <v>31</v>
      </c>
      <c r="C119" t="s">
        <v>3987</v>
      </c>
      <c r="D119" t="s">
        <v>413</v>
      </c>
      <c r="K119" t="s">
        <v>19</v>
      </c>
      <c r="M119" t="s">
        <v>414</v>
      </c>
      <c r="N119" t="s">
        <v>43</v>
      </c>
    </row>
    <row r="120" ht="16.8" customHeight="1" spans="1:14">
      <c r="A120" t="s">
        <v>241</v>
      </c>
      <c r="B120" t="s">
        <v>31</v>
      </c>
      <c r="C120" t="s">
        <v>3988</v>
      </c>
      <c r="D120" t="s">
        <v>416</v>
      </c>
      <c r="K120" t="s">
        <v>19</v>
      </c>
      <c r="M120" t="s">
        <v>417</v>
      </c>
      <c r="N120" t="s">
        <v>43</v>
      </c>
    </row>
    <row r="121" ht="16.8" customHeight="1" spans="1:14">
      <c r="A121" t="s">
        <v>241</v>
      </c>
      <c r="B121" t="s">
        <v>31</v>
      </c>
      <c r="C121" t="s">
        <v>3989</v>
      </c>
      <c r="D121" t="s">
        <v>419</v>
      </c>
      <c r="K121" t="s">
        <v>19</v>
      </c>
      <c r="M121" t="s">
        <v>420</v>
      </c>
      <c r="N121" t="s">
        <v>43</v>
      </c>
    </row>
    <row r="122" ht="16.8" customHeight="1" spans="1:14">
      <c r="A122" t="s">
        <v>241</v>
      </c>
      <c r="B122" t="s">
        <v>31</v>
      </c>
      <c r="C122" t="s">
        <v>3990</v>
      </c>
      <c r="D122" t="s">
        <v>422</v>
      </c>
      <c r="F122" t="s">
        <v>3991</v>
      </c>
      <c r="K122" t="s">
        <v>19</v>
      </c>
      <c r="M122" t="s">
        <v>424</v>
      </c>
    </row>
    <row r="123" ht="16.8" customHeight="1" spans="1:14">
      <c r="A123" t="s">
        <v>241</v>
      </c>
      <c r="B123" t="s">
        <v>31</v>
      </c>
      <c r="C123" t="s">
        <v>3992</v>
      </c>
      <c r="D123" t="s">
        <v>426</v>
      </c>
      <c r="F123" t="s">
        <v>3993</v>
      </c>
      <c r="K123" t="s">
        <v>19</v>
      </c>
      <c r="M123" t="s">
        <v>428</v>
      </c>
    </row>
    <row r="124" ht="16.8" customHeight="1" spans="1:14">
      <c r="A124" t="s">
        <v>241</v>
      </c>
      <c r="B124" t="s">
        <v>31</v>
      </c>
      <c r="C124" t="s">
        <v>3994</v>
      </c>
      <c r="D124" t="s">
        <v>430</v>
      </c>
      <c r="F124" t="s">
        <v>3995</v>
      </c>
      <c r="K124" t="s">
        <v>19</v>
      </c>
      <c r="M124" t="s">
        <v>432</v>
      </c>
    </row>
    <row r="125" ht="16.8" customHeight="1" spans="1:14">
      <c r="A125" t="s">
        <v>236</v>
      </c>
      <c r="B125" t="s">
        <v>31</v>
      </c>
      <c r="C125" t="s">
        <v>3996</v>
      </c>
      <c r="D125" t="s">
        <v>434</v>
      </c>
      <c r="F125" t="s">
        <v>3997</v>
      </c>
      <c r="K125" t="s">
        <v>19</v>
      </c>
      <c r="M125" t="s">
        <v>436</v>
      </c>
    </row>
    <row r="126" ht="16.8" customHeight="1" spans="1:14">
      <c r="A126" t="s">
        <v>241</v>
      </c>
      <c r="B126" t="s">
        <v>31</v>
      </c>
      <c r="C126" t="s">
        <v>3998</v>
      </c>
      <c r="D126" t="s">
        <v>438</v>
      </c>
      <c r="K126" t="s">
        <v>19</v>
      </c>
      <c r="M126" t="s">
        <v>439</v>
      </c>
      <c r="N126" t="s">
        <v>43</v>
      </c>
    </row>
    <row r="127" ht="16.8" customHeight="1" spans="1:14">
      <c r="A127" t="s">
        <v>241</v>
      </c>
      <c r="B127" t="s">
        <v>31</v>
      </c>
      <c r="C127" t="s">
        <v>3999</v>
      </c>
      <c r="D127" t="s">
        <v>441</v>
      </c>
      <c r="K127" t="s">
        <v>19</v>
      </c>
      <c r="M127" t="s">
        <v>442</v>
      </c>
      <c r="N127" t="s">
        <v>43</v>
      </c>
    </row>
    <row r="128" ht="16.8" customHeight="1" spans="1:14">
      <c r="A128" t="s">
        <v>241</v>
      </c>
      <c r="B128" t="s">
        <v>31</v>
      </c>
      <c r="C128" t="s">
        <v>4000</v>
      </c>
      <c r="D128" t="s">
        <v>444</v>
      </c>
      <c r="K128" t="s">
        <v>19</v>
      </c>
      <c r="M128" t="s">
        <v>445</v>
      </c>
      <c r="N128" t="s">
        <v>43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6"/>
  <sheetViews>
    <sheetView workbookViewId="0">
      <selection activeCell="A1" sqref="$A1:$XFD1"/>
    </sheetView>
  </sheetViews>
  <sheetFormatPr defaultColWidth="9" defaultRowHeight="15" customHeight="1"/>
  <cols>
    <col min="1" max="2" width="8.66071428571429" style="5" customWidth="1"/>
    <col min="3" max="3" width="9.58035714285714" style="5" customWidth="1"/>
    <col min="4" max="4" width="15.5" style="5" customWidth="1"/>
    <col min="5" max="9" width="8.66071428571429" style="5" customWidth="1"/>
    <col min="10" max="10" width="10.1607142857143" style="5" customWidth="1"/>
    <col min="11" max="16384" width="8.66071428571429" style="5" customWidth="1"/>
  </cols>
  <sheetData>
    <row r="1" s="1" customFormat="1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/>
      <c r="O1" s="6"/>
      <c r="P1" t="s">
        <v>13</v>
      </c>
    </row>
    <row r="2" customHeight="1" spans="1:16">
      <c r="A2" s="7" t="s">
        <v>14</v>
      </c>
      <c r="B2" s="1" t="s">
        <v>15</v>
      </c>
      <c r="C2" s="8" t="s">
        <v>4001</v>
      </c>
      <c r="D2" s="7" t="s">
        <v>17</v>
      </c>
      <c r="F2" t="s">
        <v>4002</v>
      </c>
      <c r="H2" s="5">
        <f>H3+H6+H7</f>
        <v>0</v>
      </c>
      <c r="I2" s="5">
        <f>I3+I6+I7</f>
        <v>0</v>
      </c>
      <c r="M2" t="s">
        <v>20</v>
      </c>
    </row>
    <row r="3" customHeight="1" spans="1:16">
      <c r="A3" s="1" t="s">
        <v>21</v>
      </c>
      <c r="B3" s="1" t="s">
        <v>15</v>
      </c>
      <c r="C3" s="8" t="s">
        <v>4003</v>
      </c>
      <c r="D3" s="1" t="s">
        <v>23</v>
      </c>
      <c r="F3" t="s">
        <v>4004</v>
      </c>
      <c r="H3" s="5">
        <f>H4+H5</f>
        <v>0</v>
      </c>
      <c r="I3" s="5">
        <f>I4+I5</f>
        <v>0</v>
      </c>
      <c r="M3" t="s">
        <v>25</v>
      </c>
    </row>
    <row r="4" customHeight="1" spans="1:16">
      <c r="A4" s="1" t="s">
        <v>26</v>
      </c>
      <c r="B4" s="1" t="s">
        <v>15</v>
      </c>
      <c r="C4" s="9" t="s">
        <v>4005</v>
      </c>
      <c r="D4" s="1" t="s">
        <v>822</v>
      </c>
      <c r="M4" t="s">
        <v>823</v>
      </c>
      <c r="P4" t="s">
        <v>43</v>
      </c>
    </row>
    <row r="5" customHeight="1" spans="1:16">
      <c r="A5" s="1" t="s">
        <v>26</v>
      </c>
      <c r="B5" s="1" t="s">
        <v>15</v>
      </c>
      <c r="C5" s="9" t="s">
        <v>4006</v>
      </c>
      <c r="D5" s="1" t="s">
        <v>829</v>
      </c>
      <c r="H5" s="5">
        <f>H41-H37</f>
        <v>0</v>
      </c>
      <c r="I5" s="5">
        <f>I41-I37</f>
        <v>0</v>
      </c>
      <c r="M5" t="s">
        <v>830</v>
      </c>
      <c r="P5" t="s">
        <v>43</v>
      </c>
    </row>
    <row r="6" customHeight="1" spans="1:16">
      <c r="A6" s="1" t="s">
        <v>21</v>
      </c>
      <c r="B6" s="1" t="s">
        <v>15</v>
      </c>
      <c r="C6" s="8" t="s">
        <v>4007</v>
      </c>
      <c r="D6" s="1" t="s">
        <v>37</v>
      </c>
      <c r="H6" s="5">
        <f>H45-H48</f>
        <v>0</v>
      </c>
      <c r="I6" s="5">
        <f>I45-I48</f>
        <v>0</v>
      </c>
      <c r="M6" t="s">
        <v>39</v>
      </c>
      <c r="P6" t="s">
        <v>43</v>
      </c>
    </row>
    <row r="7" customHeight="1" spans="1:16">
      <c r="A7" s="1" t="s">
        <v>21</v>
      </c>
      <c r="B7" s="1" t="s">
        <v>15</v>
      </c>
      <c r="C7" s="8" t="s">
        <v>4008</v>
      </c>
      <c r="D7" s="1" t="s">
        <v>48</v>
      </c>
      <c r="H7" s="5">
        <f>H51+H53</f>
        <v>0</v>
      </c>
      <c r="I7" s="5">
        <f>I51+I53</f>
        <v>0</v>
      </c>
      <c r="M7" t="s">
        <v>49</v>
      </c>
      <c r="P7" t="s">
        <v>43</v>
      </c>
    </row>
    <row r="8" customHeight="1" spans="1:16">
      <c r="A8" s="7" t="s">
        <v>14</v>
      </c>
      <c r="B8" s="1" t="s">
        <v>31</v>
      </c>
      <c r="C8" s="8" t="s">
        <v>4009</v>
      </c>
      <c r="D8" s="7" t="s">
        <v>840</v>
      </c>
      <c r="M8" t="s">
        <v>53</v>
      </c>
      <c r="P8" t="s">
        <v>43</v>
      </c>
    </row>
    <row r="9" customHeight="1" spans="1:16">
      <c r="A9" s="7" t="s">
        <v>14</v>
      </c>
      <c r="B9" s="1" t="s">
        <v>15</v>
      </c>
      <c r="C9" s="8" t="s">
        <v>4010</v>
      </c>
      <c r="D9" s="7" t="s">
        <v>68</v>
      </c>
      <c r="F9" t="s">
        <v>4011</v>
      </c>
      <c r="H9" s="5">
        <f>H2-H8</f>
        <v>0</v>
      </c>
      <c r="I9" s="5">
        <f>I2-I8</f>
        <v>0</v>
      </c>
      <c r="M9" t="s">
        <v>70</v>
      </c>
    </row>
    <row r="10" customHeight="1" spans="1:16">
      <c r="A10" s="7" t="s">
        <v>14</v>
      </c>
      <c r="B10" s="1" t="s">
        <v>31</v>
      </c>
      <c r="C10" s="8" t="s">
        <v>4012</v>
      </c>
      <c r="D10" s="7" t="s">
        <v>72</v>
      </c>
      <c r="M10" t="s">
        <v>73</v>
      </c>
      <c r="P10" t="s">
        <v>43</v>
      </c>
    </row>
    <row r="11" customHeight="1" spans="1:16">
      <c r="A11" s="7" t="s">
        <v>14</v>
      </c>
      <c r="B11" s="1" t="s">
        <v>31</v>
      </c>
      <c r="C11" s="8" t="s">
        <v>4013</v>
      </c>
      <c r="D11" s="7" t="s">
        <v>844</v>
      </c>
      <c r="F11" t="s">
        <v>4014</v>
      </c>
      <c r="H11" s="5">
        <f>H12+H15+H18+H25+H26</f>
        <v>0</v>
      </c>
      <c r="I11" s="5">
        <f>I12+I15+I18+I25+I26</f>
        <v>0</v>
      </c>
      <c r="K11" t="s">
        <v>19</v>
      </c>
      <c r="M11" t="s">
        <v>227</v>
      </c>
    </row>
    <row r="12" customHeight="1" spans="1:16">
      <c r="A12" s="1" t="s">
        <v>21</v>
      </c>
      <c r="B12" s="1" t="s">
        <v>31</v>
      </c>
      <c r="C12" s="8" t="s">
        <v>4015</v>
      </c>
      <c r="D12" s="1" t="s">
        <v>847</v>
      </c>
      <c r="F12" t="s">
        <v>4016</v>
      </c>
      <c r="H12" s="5">
        <f>H13+H14</f>
        <v>0</v>
      </c>
      <c r="I12" s="5">
        <f>I13+I14</f>
        <v>0</v>
      </c>
      <c r="K12" t="s">
        <v>19</v>
      </c>
      <c r="M12" t="s">
        <v>231</v>
      </c>
    </row>
    <row r="13" customHeight="1" spans="1:16">
      <c r="A13" s="1" t="s">
        <v>26</v>
      </c>
      <c r="B13" s="1" t="s">
        <v>31</v>
      </c>
      <c r="C13" s="9" t="s">
        <v>4017</v>
      </c>
      <c r="D13" s="1" t="s">
        <v>83</v>
      </c>
      <c r="F13" t="s">
        <v>4018</v>
      </c>
      <c r="K13" t="s">
        <v>19</v>
      </c>
      <c r="M13" t="s">
        <v>235</v>
      </c>
    </row>
    <row r="14" customHeight="1" spans="1:16">
      <c r="A14" s="1" t="s">
        <v>26</v>
      </c>
      <c r="B14" s="1" t="s">
        <v>31</v>
      </c>
      <c r="C14" s="9" t="s">
        <v>4019</v>
      </c>
      <c r="D14" s="1" t="s">
        <v>852</v>
      </c>
      <c r="F14" t="s">
        <v>4020</v>
      </c>
      <c r="K14" t="s">
        <v>19</v>
      </c>
      <c r="M14" t="s">
        <v>306</v>
      </c>
    </row>
    <row r="15" customHeight="1" spans="1:16">
      <c r="A15" s="1" t="s">
        <v>21</v>
      </c>
      <c r="B15" s="1" t="s">
        <v>31</v>
      </c>
      <c r="C15" s="8" t="s">
        <v>4021</v>
      </c>
      <c r="D15" s="1" t="s">
        <v>92</v>
      </c>
      <c r="F15" t="s">
        <v>4022</v>
      </c>
      <c r="H15" s="5">
        <f>H16+H17</f>
        <v>0</v>
      </c>
      <c r="I15" s="5">
        <f>I16+I17</f>
        <v>0</v>
      </c>
      <c r="K15" t="s">
        <v>19</v>
      </c>
      <c r="M15" t="s">
        <v>364</v>
      </c>
    </row>
    <row r="16" customHeight="1" spans="1:16">
      <c r="A16" s="1" t="s">
        <v>26</v>
      </c>
      <c r="B16" s="1" t="s">
        <v>31</v>
      </c>
      <c r="C16" s="9" t="s">
        <v>4023</v>
      </c>
      <c r="D16" s="1" t="s">
        <v>94</v>
      </c>
      <c r="K16" t="s">
        <v>19</v>
      </c>
      <c r="M16" t="s">
        <v>1063</v>
      </c>
      <c r="P16" t="s">
        <v>43</v>
      </c>
    </row>
    <row r="17" customHeight="1" spans="1:16">
      <c r="A17" s="1" t="s">
        <v>26</v>
      </c>
      <c r="B17" s="1" t="s">
        <v>31</v>
      </c>
      <c r="C17" s="9" t="s">
        <v>4024</v>
      </c>
      <c r="D17" s="1" t="s">
        <v>96</v>
      </c>
      <c r="K17" t="s">
        <v>19</v>
      </c>
      <c r="M17" t="s">
        <v>1065</v>
      </c>
      <c r="P17" t="s">
        <v>43</v>
      </c>
    </row>
    <row r="18" customHeight="1" spans="1:16">
      <c r="A18" s="1" t="s">
        <v>21</v>
      </c>
      <c r="B18" s="1" t="s">
        <v>31</v>
      </c>
      <c r="C18" s="8" t="s">
        <v>4025</v>
      </c>
      <c r="D18" s="1" t="s">
        <v>98</v>
      </c>
      <c r="F18" t="s">
        <v>4026</v>
      </c>
      <c r="H18" s="5">
        <f>H19+H22+H23+H24</f>
        <v>0</v>
      </c>
      <c r="I18" s="5">
        <f>I19+I22+I23+I24</f>
        <v>0</v>
      </c>
      <c r="K18" t="s">
        <v>19</v>
      </c>
      <c r="M18" t="s">
        <v>859</v>
      </c>
    </row>
    <row r="19" customHeight="1" spans="1:16">
      <c r="A19" s="1" t="s">
        <v>26</v>
      </c>
      <c r="B19" s="1" t="s">
        <v>31</v>
      </c>
      <c r="C19" s="9" t="s">
        <v>4027</v>
      </c>
      <c r="D19" s="1" t="s">
        <v>861</v>
      </c>
      <c r="F19" t="s">
        <v>4028</v>
      </c>
      <c r="H19" s="5">
        <f>H20+H21</f>
        <v>0</v>
      </c>
      <c r="I19" s="5">
        <f>I20+I21</f>
        <v>0</v>
      </c>
      <c r="K19" t="s">
        <v>19</v>
      </c>
      <c r="M19" t="s">
        <v>863</v>
      </c>
    </row>
    <row r="20" customHeight="1" spans="1:16">
      <c r="A20" s="1" t="s">
        <v>236</v>
      </c>
      <c r="B20" s="1" t="s">
        <v>31</v>
      </c>
      <c r="C20" s="9" t="s">
        <v>4029</v>
      </c>
      <c r="D20" s="1" t="s">
        <v>865</v>
      </c>
      <c r="K20" t="s">
        <v>19</v>
      </c>
      <c r="M20" t="s">
        <v>866</v>
      </c>
      <c r="P20" t="s">
        <v>43</v>
      </c>
    </row>
    <row r="21" customHeight="1" spans="1:16">
      <c r="A21" s="1" t="s">
        <v>236</v>
      </c>
      <c r="B21" s="1" t="s">
        <v>31</v>
      </c>
      <c r="C21" s="9" t="s">
        <v>4030</v>
      </c>
      <c r="D21" s="1" t="s">
        <v>868</v>
      </c>
      <c r="K21" t="s">
        <v>19</v>
      </c>
      <c r="M21" t="s">
        <v>869</v>
      </c>
      <c r="P21" t="s">
        <v>43</v>
      </c>
    </row>
    <row r="22" customHeight="1" spans="1:16">
      <c r="A22" s="1" t="s">
        <v>26</v>
      </c>
      <c r="B22" s="1" t="s">
        <v>31</v>
      </c>
      <c r="C22" s="9" t="s">
        <v>4031</v>
      </c>
      <c r="D22" s="1" t="s">
        <v>871</v>
      </c>
      <c r="K22" t="s">
        <v>19</v>
      </c>
      <c r="M22" t="s">
        <v>872</v>
      </c>
      <c r="P22" t="s">
        <v>43</v>
      </c>
    </row>
    <row r="23" customHeight="1" spans="1:16">
      <c r="A23" s="1" t="s">
        <v>26</v>
      </c>
      <c r="B23" s="1" t="s">
        <v>31</v>
      </c>
      <c r="C23" s="9" t="s">
        <v>4032</v>
      </c>
      <c r="D23" s="1" t="s">
        <v>874</v>
      </c>
      <c r="K23" t="s">
        <v>19</v>
      </c>
      <c r="M23" t="s">
        <v>875</v>
      </c>
      <c r="P23" t="s">
        <v>43</v>
      </c>
    </row>
    <row r="24" customHeight="1" spans="1:16">
      <c r="A24" s="1" t="s">
        <v>26</v>
      </c>
      <c r="B24" s="1" t="s">
        <v>31</v>
      </c>
      <c r="C24" s="9" t="s">
        <v>4033</v>
      </c>
      <c r="D24" s="1" t="s">
        <v>877</v>
      </c>
      <c r="K24" t="s">
        <v>19</v>
      </c>
      <c r="M24" t="s">
        <v>878</v>
      </c>
      <c r="P24" t="s">
        <v>43</v>
      </c>
    </row>
    <row r="25" customHeight="1" spans="1:16">
      <c r="A25" s="1" t="s">
        <v>21</v>
      </c>
      <c r="B25" s="1" t="s">
        <v>31</v>
      </c>
      <c r="C25" s="8" t="s">
        <v>4034</v>
      </c>
      <c r="D25" s="1" t="s">
        <v>880</v>
      </c>
      <c r="K25" t="s">
        <v>19</v>
      </c>
      <c r="M25" t="s">
        <v>881</v>
      </c>
      <c r="P25" t="s">
        <v>43</v>
      </c>
    </row>
    <row r="26" customHeight="1" spans="1:16">
      <c r="A26" s="1" t="s">
        <v>21</v>
      </c>
      <c r="B26" s="1" t="s">
        <v>31</v>
      </c>
      <c r="C26" s="8" t="s">
        <v>4035</v>
      </c>
      <c r="D26" s="1" t="s">
        <v>101</v>
      </c>
      <c r="K26" t="s">
        <v>19</v>
      </c>
      <c r="M26" t="s">
        <v>883</v>
      </c>
      <c r="P26" t="s">
        <v>43</v>
      </c>
    </row>
    <row r="27" customHeight="1" spans="1:16">
      <c r="A27" s="7" t="s">
        <v>14</v>
      </c>
      <c r="B27" s="1" t="s">
        <v>15</v>
      </c>
      <c r="C27" s="8" t="s">
        <v>4036</v>
      </c>
      <c r="D27" s="7" t="s">
        <v>104</v>
      </c>
      <c r="M27" t="s">
        <v>105</v>
      </c>
      <c r="P27" t="s">
        <v>43</v>
      </c>
    </row>
    <row r="28" customHeight="1" spans="1:16">
      <c r="A28" s="7" t="s">
        <v>14</v>
      </c>
      <c r="B28" s="1" t="s">
        <v>106</v>
      </c>
      <c r="C28" s="8" t="s">
        <v>4037</v>
      </c>
      <c r="D28" s="7" t="s">
        <v>886</v>
      </c>
      <c r="F28" t="s">
        <v>4038</v>
      </c>
      <c r="H28" s="5">
        <f>H9-H10-H11+H27</f>
        <v>0</v>
      </c>
      <c r="I28" s="5">
        <f>I9-I10-I11+I27</f>
        <v>0</v>
      </c>
      <c r="M28" t="s">
        <v>887</v>
      </c>
    </row>
    <row r="29" customHeight="1" spans="1:16">
      <c r="A29" s="7" t="s">
        <v>14</v>
      </c>
      <c r="B29" s="1" t="s">
        <v>31</v>
      </c>
      <c r="C29" s="8" t="s">
        <v>4039</v>
      </c>
      <c r="D29" s="7" t="s">
        <v>889</v>
      </c>
      <c r="M29" t="s">
        <v>890</v>
      </c>
      <c r="P29" t="s">
        <v>43</v>
      </c>
    </row>
    <row r="30" customHeight="1" spans="1:16">
      <c r="A30" s="7" t="s">
        <v>14</v>
      </c>
      <c r="B30" s="1" t="s">
        <v>106</v>
      </c>
      <c r="C30" s="8" t="s">
        <v>4040</v>
      </c>
      <c r="D30" s="7" t="s">
        <v>108</v>
      </c>
      <c r="F30" t="s">
        <v>4041</v>
      </c>
      <c r="H30" s="5">
        <f>H28-H29</f>
        <v>0</v>
      </c>
      <c r="I30" s="5">
        <f>I28-I29</f>
        <v>0</v>
      </c>
      <c r="M30" t="s">
        <v>110</v>
      </c>
    </row>
    <row r="31" customHeight="1" spans="1:16">
      <c r="A31" s="10"/>
      <c r="B31" s="10"/>
      <c r="C31" s="10"/>
      <c r="D31" s="10"/>
    </row>
    <row r="32" customHeight="1" spans="1:16">
      <c r="A32" s="7" t="s">
        <v>14</v>
      </c>
      <c r="B32" s="1" t="s">
        <v>143</v>
      </c>
      <c r="C32" s="11" t="s">
        <v>4042</v>
      </c>
      <c r="D32" s="11" t="s">
        <v>145</v>
      </c>
      <c r="F32" t="s">
        <v>4043</v>
      </c>
      <c r="H32" s="5">
        <f>H33</f>
        <v>0</v>
      </c>
      <c r="I32" s="5">
        <f>I33</f>
        <v>0</v>
      </c>
      <c r="M32" t="s">
        <v>147</v>
      </c>
    </row>
    <row r="33" customHeight="1" spans="1:16">
      <c r="A33" s="7" t="s">
        <v>21</v>
      </c>
      <c r="B33" s="1" t="s">
        <v>143</v>
      </c>
      <c r="C33" s="11" t="s">
        <v>4043</v>
      </c>
      <c r="D33" s="11" t="s">
        <v>2477</v>
      </c>
      <c r="M33" t="s">
        <v>150</v>
      </c>
      <c r="P33" t="s">
        <v>130</v>
      </c>
    </row>
    <row r="34" customHeight="1" spans="1:16">
      <c r="A34" s="7" t="s">
        <v>14</v>
      </c>
      <c r="B34" s="1" t="s">
        <v>552</v>
      </c>
      <c r="C34" s="11" t="s">
        <v>4044</v>
      </c>
      <c r="D34" s="11" t="s">
        <v>916</v>
      </c>
      <c r="F34" t="s">
        <v>4045</v>
      </c>
      <c r="H34" s="5">
        <f>H35</f>
        <v>0</v>
      </c>
      <c r="I34" s="5">
        <f>I35</f>
        <v>0</v>
      </c>
      <c r="M34" t="s">
        <v>918</v>
      </c>
    </row>
    <row r="35" customHeight="1" spans="1:16">
      <c r="A35" s="7" t="s">
        <v>21</v>
      </c>
      <c r="B35" s="1" t="s">
        <v>552</v>
      </c>
      <c r="C35" s="11" t="s">
        <v>4045</v>
      </c>
      <c r="D35" s="11" t="s">
        <v>2480</v>
      </c>
      <c r="M35" t="s">
        <v>557</v>
      </c>
      <c r="P35" t="s">
        <v>524</v>
      </c>
    </row>
    <row r="36" customHeight="1" spans="1:16">
      <c r="A36" s="10"/>
      <c r="B36" s="10"/>
      <c r="C36" s="10"/>
      <c r="D36" s="10"/>
    </row>
    <row r="37" customHeight="1" spans="1:16">
      <c r="A37" s="11" t="s">
        <v>14</v>
      </c>
      <c r="B37" s="11" t="s">
        <v>31</v>
      </c>
      <c r="C37" s="11" t="s">
        <v>4046</v>
      </c>
      <c r="D37" s="11" t="s">
        <v>1273</v>
      </c>
      <c r="F37" t="s">
        <v>4047</v>
      </c>
      <c r="H37" s="5">
        <f>H38</f>
        <v>0</v>
      </c>
      <c r="I37" s="5">
        <f>I38</f>
        <v>0</v>
      </c>
      <c r="M37" t="s">
        <v>35</v>
      </c>
    </row>
    <row r="38" customHeight="1" spans="1:16">
      <c r="A38" s="11" t="s">
        <v>21</v>
      </c>
      <c r="B38" s="11" t="s">
        <v>31</v>
      </c>
      <c r="C38" s="11" t="s">
        <v>4047</v>
      </c>
      <c r="D38" s="11" t="s">
        <v>1276</v>
      </c>
      <c r="F38" t="s">
        <v>4048</v>
      </c>
      <c r="I38" s="5">
        <f>I35*I39</f>
        <v>0</v>
      </c>
      <c r="J38" s="5" t="s">
        <v>1173</v>
      </c>
      <c r="M38" t="s">
        <v>767</v>
      </c>
    </row>
    <row r="39" customHeight="1" spans="1:16">
      <c r="A39" s="10" t="s">
        <v>26</v>
      </c>
      <c r="B39" s="10" t="s">
        <v>160</v>
      </c>
      <c r="C39" s="10" t="s">
        <v>4048</v>
      </c>
      <c r="D39" s="10" t="s">
        <v>1278</v>
      </c>
      <c r="H39" s="5" t="e">
        <f>H38/H35</f>
        <v>#DIV/0!</v>
      </c>
      <c r="J39" s="5" t="s">
        <v>783</v>
      </c>
      <c r="M39" t="s">
        <v>1279</v>
      </c>
      <c r="P39" t="s">
        <v>164</v>
      </c>
    </row>
    <row r="40" customHeight="1" spans="1:16">
      <c r="A40" s="10"/>
      <c r="B40" s="10"/>
      <c r="C40" s="10"/>
      <c r="D40" s="10"/>
    </row>
    <row r="41" customHeight="1" spans="1:16">
      <c r="A41" s="11" t="s">
        <v>14</v>
      </c>
      <c r="B41" s="11" t="s">
        <v>15</v>
      </c>
      <c r="C41" s="11" t="s">
        <v>4049</v>
      </c>
      <c r="D41" s="11" t="s">
        <v>1289</v>
      </c>
      <c r="F41" t="s">
        <v>4050</v>
      </c>
      <c r="H41" s="5">
        <f>H42</f>
        <v>0</v>
      </c>
      <c r="I41" s="5">
        <f>I42</f>
        <v>0</v>
      </c>
      <c r="M41" t="s">
        <v>834</v>
      </c>
    </row>
    <row r="42" customHeight="1" spans="1:16">
      <c r="A42" s="11" t="s">
        <v>21</v>
      </c>
      <c r="B42" s="11" t="s">
        <v>15</v>
      </c>
      <c r="C42" s="11" t="s">
        <v>4050</v>
      </c>
      <c r="D42" s="11" t="s">
        <v>1292</v>
      </c>
      <c r="F42" t="s">
        <v>4051</v>
      </c>
      <c r="I42" s="5">
        <f>I35*I43</f>
        <v>0</v>
      </c>
      <c r="J42" s="5" t="s">
        <v>1173</v>
      </c>
      <c r="M42" t="s">
        <v>1294</v>
      </c>
    </row>
    <row r="43" customHeight="1" spans="1:16">
      <c r="A43" s="10" t="s">
        <v>26</v>
      </c>
      <c r="B43" s="10" t="s">
        <v>160</v>
      </c>
      <c r="C43" s="10" t="s">
        <v>4051</v>
      </c>
      <c r="D43" s="10" t="s">
        <v>1295</v>
      </c>
      <c r="H43" s="5" t="e">
        <f>H42/H35</f>
        <v>#DIV/0!</v>
      </c>
      <c r="J43" s="5" t="s">
        <v>783</v>
      </c>
      <c r="M43" t="s">
        <v>1296</v>
      </c>
      <c r="P43" t="s">
        <v>164</v>
      </c>
    </row>
    <row r="44" customHeight="1" spans="1:16">
      <c r="A44" s="10"/>
      <c r="B44" s="10"/>
      <c r="C44" s="10"/>
      <c r="D44" s="10"/>
    </row>
    <row r="45" customHeight="1" spans="1:16">
      <c r="A45" s="11" t="s">
        <v>14</v>
      </c>
      <c r="B45" s="11" t="s">
        <v>15</v>
      </c>
      <c r="C45" s="8" t="s">
        <v>4052</v>
      </c>
      <c r="D45" s="11" t="s">
        <v>1307</v>
      </c>
      <c r="F45" t="s">
        <v>4053</v>
      </c>
      <c r="H45" s="5">
        <f>H46</f>
        <v>0</v>
      </c>
      <c r="I45" s="5">
        <f>I46</f>
        <v>0</v>
      </c>
      <c r="M45" t="s">
        <v>42</v>
      </c>
    </row>
    <row r="46" customHeight="1" spans="1:16">
      <c r="A46" s="11" t="s">
        <v>21</v>
      </c>
      <c r="B46" s="11" t="s">
        <v>15</v>
      </c>
      <c r="C46" s="8" t="s">
        <v>4053</v>
      </c>
      <c r="D46" s="11" t="s">
        <v>2498</v>
      </c>
      <c r="M46" t="s">
        <v>1356</v>
      </c>
      <c r="P46" t="s">
        <v>43</v>
      </c>
    </row>
    <row r="47" customHeight="1" spans="1:16">
      <c r="A47" s="1"/>
      <c r="B47" s="1"/>
      <c r="C47" s="9"/>
      <c r="D47" s="1"/>
    </row>
    <row r="48" customHeight="1" spans="1:16">
      <c r="A48" s="11" t="s">
        <v>14</v>
      </c>
      <c r="B48" s="11" t="s">
        <v>31</v>
      </c>
      <c r="C48" s="8" t="s">
        <v>4054</v>
      </c>
      <c r="D48" s="11" t="s">
        <v>1358</v>
      </c>
      <c r="F48" t="s">
        <v>4055</v>
      </c>
      <c r="H48" s="5">
        <f>H49</f>
        <v>0</v>
      </c>
      <c r="I48" s="5">
        <f>I49</f>
        <v>0</v>
      </c>
      <c r="M48" t="s">
        <v>46</v>
      </c>
    </row>
    <row r="49" customHeight="1" spans="1:16">
      <c r="A49" s="11" t="s">
        <v>21</v>
      </c>
      <c r="B49" s="11" t="s">
        <v>31</v>
      </c>
      <c r="C49" s="8" t="s">
        <v>4055</v>
      </c>
      <c r="D49" s="11" t="s">
        <v>3657</v>
      </c>
      <c r="M49" t="s">
        <v>1420</v>
      </c>
      <c r="P49" t="s">
        <v>43</v>
      </c>
    </row>
    <row r="50" customHeight="1" spans="1:16">
      <c r="A50" s="10"/>
      <c r="B50" s="10"/>
      <c r="C50" s="10"/>
      <c r="D50" s="10"/>
    </row>
    <row r="51" customHeight="1" spans="1:16">
      <c r="A51" s="11" t="s">
        <v>14</v>
      </c>
      <c r="B51" s="11" t="s">
        <v>15</v>
      </c>
      <c r="C51" s="11" t="s">
        <v>4056</v>
      </c>
      <c r="D51" s="11" t="s">
        <v>1422</v>
      </c>
      <c r="M51" t="s">
        <v>1423</v>
      </c>
      <c r="P51" t="s">
        <v>43</v>
      </c>
    </row>
    <row r="52" customHeight="1" spans="1:16">
      <c r="A52" s="10"/>
      <c r="B52" s="10"/>
      <c r="C52" s="10"/>
      <c r="D52" s="10"/>
    </row>
    <row r="53" customHeight="1" spans="1:16">
      <c r="A53" s="11" t="s">
        <v>14</v>
      </c>
      <c r="B53" s="11" t="s">
        <v>15</v>
      </c>
      <c r="C53" s="11" t="s">
        <v>4057</v>
      </c>
      <c r="D53" s="11" t="s">
        <v>1425</v>
      </c>
      <c r="M53" t="s">
        <v>1426</v>
      </c>
      <c r="P53" t="s">
        <v>43</v>
      </c>
    </row>
    <row r="55" customHeight="1" spans="1:16">
      <c r="A55" t="s">
        <v>222</v>
      </c>
      <c r="B55" t="s">
        <v>223</v>
      </c>
      <c r="C55" t="s">
        <v>2</v>
      </c>
      <c r="D55" t="s">
        <v>3</v>
      </c>
      <c r="E55" t="s">
        <v>4</v>
      </c>
      <c r="F55" t="s">
        <v>5</v>
      </c>
      <c r="J55" t="s">
        <v>9</v>
      </c>
      <c r="K55" t="s">
        <v>10</v>
      </c>
    </row>
    <row r="56" customHeight="1" spans="1:16">
      <c r="A56" t="s">
        <v>14</v>
      </c>
      <c r="B56" t="s">
        <v>31</v>
      </c>
      <c r="C56" t="s">
        <v>4058</v>
      </c>
      <c r="D56" t="s">
        <v>927</v>
      </c>
      <c r="F56" t="s">
        <v>4014</v>
      </c>
      <c r="K56" t="s">
        <v>19</v>
      </c>
      <c r="M56" t="s">
        <v>227</v>
      </c>
    </row>
    <row r="57" customHeight="1" spans="1:16">
      <c r="A57" t="s">
        <v>21</v>
      </c>
      <c r="B57" t="s">
        <v>31</v>
      </c>
      <c r="C57" t="s">
        <v>4059</v>
      </c>
      <c r="D57" t="s">
        <v>929</v>
      </c>
      <c r="F57" t="s">
        <v>4016</v>
      </c>
      <c r="K57" t="s">
        <v>19</v>
      </c>
      <c r="M57" t="s">
        <v>231</v>
      </c>
    </row>
    <row r="58" customHeight="1" spans="1:16">
      <c r="A58" t="s">
        <v>26</v>
      </c>
      <c r="B58" t="s">
        <v>31</v>
      </c>
      <c r="C58" t="s">
        <v>4060</v>
      </c>
      <c r="D58" t="s">
        <v>233</v>
      </c>
      <c r="F58" t="s">
        <v>4018</v>
      </c>
      <c r="K58" t="s">
        <v>19</v>
      </c>
      <c r="M58" t="s">
        <v>235</v>
      </c>
    </row>
    <row r="59" customHeight="1" spans="1:16">
      <c r="A59" t="s">
        <v>236</v>
      </c>
      <c r="B59" t="s">
        <v>31</v>
      </c>
      <c r="C59" t="s">
        <v>4061</v>
      </c>
      <c r="D59" t="s">
        <v>238</v>
      </c>
      <c r="F59" t="s">
        <v>4062</v>
      </c>
      <c r="K59" t="s">
        <v>19</v>
      </c>
      <c r="M59" t="s">
        <v>240</v>
      </c>
    </row>
    <row r="60" customHeight="1" spans="1:16">
      <c r="A60" t="s">
        <v>241</v>
      </c>
      <c r="B60" t="s">
        <v>31</v>
      </c>
      <c r="C60" t="s">
        <v>4063</v>
      </c>
      <c r="D60" t="s">
        <v>243</v>
      </c>
      <c r="K60" t="s">
        <v>19</v>
      </c>
      <c r="M60" t="s">
        <v>244</v>
      </c>
      <c r="P60" t="s">
        <v>43</v>
      </c>
    </row>
    <row r="61" customHeight="1" spans="1:16">
      <c r="A61" t="s">
        <v>241</v>
      </c>
      <c r="B61" t="s">
        <v>31</v>
      </c>
      <c r="C61" t="s">
        <v>4064</v>
      </c>
      <c r="D61" t="s">
        <v>246</v>
      </c>
      <c r="K61" t="s">
        <v>19</v>
      </c>
      <c r="M61" t="s">
        <v>247</v>
      </c>
      <c r="P61" t="s">
        <v>43</v>
      </c>
    </row>
    <row r="62" customHeight="1" spans="1:16">
      <c r="A62" t="s">
        <v>236</v>
      </c>
      <c r="B62" t="s">
        <v>31</v>
      </c>
      <c r="C62" t="s">
        <v>4065</v>
      </c>
      <c r="D62" t="s">
        <v>249</v>
      </c>
      <c r="F62" t="s">
        <v>4066</v>
      </c>
      <c r="K62" t="s">
        <v>19</v>
      </c>
      <c r="M62" t="s">
        <v>251</v>
      </c>
    </row>
    <row r="63" customHeight="1" spans="1:16">
      <c r="A63" t="s">
        <v>241</v>
      </c>
      <c r="B63" t="s">
        <v>31</v>
      </c>
      <c r="C63" t="s">
        <v>4067</v>
      </c>
      <c r="D63" t="s">
        <v>253</v>
      </c>
      <c r="K63" t="s">
        <v>19</v>
      </c>
      <c r="M63" t="s">
        <v>254</v>
      </c>
      <c r="P63" t="s">
        <v>43</v>
      </c>
    </row>
    <row r="64" customHeight="1" spans="1:16">
      <c r="A64" t="s">
        <v>241</v>
      </c>
      <c r="B64" t="s">
        <v>31</v>
      </c>
      <c r="C64" t="s">
        <v>4068</v>
      </c>
      <c r="D64" t="s">
        <v>256</v>
      </c>
      <c r="K64" t="s">
        <v>19</v>
      </c>
      <c r="M64" t="s">
        <v>257</v>
      </c>
      <c r="P64" t="s">
        <v>43</v>
      </c>
    </row>
    <row r="65" customHeight="1" spans="1:16">
      <c r="A65" t="s">
        <v>236</v>
      </c>
      <c r="B65" t="s">
        <v>31</v>
      </c>
      <c r="C65" t="s">
        <v>4069</v>
      </c>
      <c r="D65" t="s">
        <v>259</v>
      </c>
      <c r="F65" t="s">
        <v>4070</v>
      </c>
      <c r="K65" t="s">
        <v>19</v>
      </c>
      <c r="M65" t="s">
        <v>261</v>
      </c>
    </row>
    <row r="66" customHeight="1" spans="1:16">
      <c r="A66" t="s">
        <v>241</v>
      </c>
      <c r="B66" t="s">
        <v>31</v>
      </c>
      <c r="C66" t="s">
        <v>4071</v>
      </c>
      <c r="D66" t="s">
        <v>263</v>
      </c>
      <c r="F66" t="s">
        <v>4072</v>
      </c>
      <c r="K66" t="s">
        <v>19</v>
      </c>
      <c r="M66" t="s">
        <v>265</v>
      </c>
    </row>
    <row r="67" customHeight="1" spans="1:16">
      <c r="A67" t="s">
        <v>266</v>
      </c>
      <c r="B67" t="s">
        <v>31</v>
      </c>
      <c r="C67" t="s">
        <v>4073</v>
      </c>
      <c r="D67" t="s">
        <v>268</v>
      </c>
      <c r="K67" t="s">
        <v>19</v>
      </c>
      <c r="M67" t="s">
        <v>269</v>
      </c>
      <c r="P67" t="s">
        <v>43</v>
      </c>
    </row>
    <row r="68" customHeight="1" spans="1:16">
      <c r="A68" t="s">
        <v>266</v>
      </c>
      <c r="B68" t="s">
        <v>31</v>
      </c>
      <c r="C68" t="s">
        <v>4074</v>
      </c>
      <c r="D68" t="s">
        <v>271</v>
      </c>
      <c r="K68" t="s">
        <v>19</v>
      </c>
      <c r="M68" t="s">
        <v>272</v>
      </c>
      <c r="P68" t="s">
        <v>43</v>
      </c>
    </row>
    <row r="69" customHeight="1" spans="1:16">
      <c r="A69" t="s">
        <v>241</v>
      </c>
      <c r="B69" t="s">
        <v>31</v>
      </c>
      <c r="C69" t="s">
        <v>4075</v>
      </c>
      <c r="D69" t="s">
        <v>4076</v>
      </c>
      <c r="K69" t="s">
        <v>19</v>
      </c>
      <c r="M69" t="s">
        <v>275</v>
      </c>
      <c r="P69" t="s">
        <v>43</v>
      </c>
    </row>
    <row r="70" customHeight="1" spans="1:16">
      <c r="A70" t="s">
        <v>266</v>
      </c>
      <c r="B70" t="s">
        <v>31</v>
      </c>
      <c r="C70" t="s">
        <v>4077</v>
      </c>
      <c r="D70" t="s">
        <v>277</v>
      </c>
      <c r="K70" t="s">
        <v>19</v>
      </c>
      <c r="M70" t="s">
        <v>278</v>
      </c>
      <c r="P70" t="s">
        <v>43</v>
      </c>
    </row>
    <row r="71" customHeight="1" spans="1:16">
      <c r="A71" t="s">
        <v>241</v>
      </c>
      <c r="B71" t="s">
        <v>31</v>
      </c>
      <c r="C71" t="s">
        <v>4078</v>
      </c>
      <c r="D71" t="s">
        <v>4079</v>
      </c>
      <c r="K71" t="s">
        <v>19</v>
      </c>
      <c r="M71" t="s">
        <v>281</v>
      </c>
      <c r="P71" t="s">
        <v>43</v>
      </c>
    </row>
    <row r="72" customHeight="1" spans="1:16">
      <c r="A72" t="s">
        <v>266</v>
      </c>
      <c r="B72" t="s">
        <v>31</v>
      </c>
      <c r="C72" t="s">
        <v>4080</v>
      </c>
      <c r="D72" t="s">
        <v>283</v>
      </c>
      <c r="K72" t="s">
        <v>19</v>
      </c>
      <c r="M72" t="s">
        <v>284</v>
      </c>
      <c r="P72" t="s">
        <v>43</v>
      </c>
    </row>
    <row r="73" customHeight="1" spans="1:16">
      <c r="A73" t="s">
        <v>241</v>
      </c>
      <c r="B73" t="s">
        <v>31</v>
      </c>
      <c r="C73" t="s">
        <v>4081</v>
      </c>
      <c r="D73" t="s">
        <v>4082</v>
      </c>
      <c r="K73" t="s">
        <v>19</v>
      </c>
      <c r="M73" t="s">
        <v>287</v>
      </c>
      <c r="P73" t="s">
        <v>43</v>
      </c>
    </row>
    <row r="74" customHeight="1" spans="1:16">
      <c r="A74" t="s">
        <v>266</v>
      </c>
      <c r="B74" t="s">
        <v>31</v>
      </c>
      <c r="C74" t="s">
        <v>4083</v>
      </c>
      <c r="D74" t="s">
        <v>289</v>
      </c>
      <c r="K74" t="s">
        <v>19</v>
      </c>
      <c r="M74" t="s">
        <v>290</v>
      </c>
      <c r="P74" t="s">
        <v>43</v>
      </c>
    </row>
    <row r="75" customHeight="1" spans="1:16">
      <c r="A75" t="s">
        <v>236</v>
      </c>
      <c r="B75" t="s">
        <v>31</v>
      </c>
      <c r="C75" t="s">
        <v>4084</v>
      </c>
      <c r="D75" t="s">
        <v>4085</v>
      </c>
      <c r="K75" t="s">
        <v>19</v>
      </c>
      <c r="M75" t="s">
        <v>293</v>
      </c>
      <c r="P75" t="s">
        <v>43</v>
      </c>
    </row>
    <row r="76" customHeight="1" spans="1:16">
      <c r="A76" t="s">
        <v>241</v>
      </c>
      <c r="B76" t="s">
        <v>31</v>
      </c>
      <c r="C76" t="s">
        <v>4086</v>
      </c>
      <c r="D76" t="s">
        <v>295</v>
      </c>
      <c r="K76" t="s">
        <v>19</v>
      </c>
      <c r="M76" t="s">
        <v>296</v>
      </c>
      <c r="P76" t="s">
        <v>43</v>
      </c>
    </row>
    <row r="77" customHeight="1" spans="1:16">
      <c r="A77" t="s">
        <v>236</v>
      </c>
      <c r="B77" t="s">
        <v>31</v>
      </c>
      <c r="C77" t="s">
        <v>4087</v>
      </c>
      <c r="D77" t="s">
        <v>4088</v>
      </c>
      <c r="K77" t="s">
        <v>19</v>
      </c>
      <c r="M77" t="s">
        <v>299</v>
      </c>
      <c r="P77" t="s">
        <v>43</v>
      </c>
    </row>
    <row r="78" customHeight="1" spans="1:16">
      <c r="A78" t="s">
        <v>241</v>
      </c>
      <c r="B78" t="s">
        <v>31</v>
      </c>
      <c r="C78" t="s">
        <v>4089</v>
      </c>
      <c r="D78" t="s">
        <v>301</v>
      </c>
      <c r="K78" t="s">
        <v>19</v>
      </c>
      <c r="M78" t="s">
        <v>302</v>
      </c>
      <c r="P78" t="s">
        <v>43</v>
      </c>
    </row>
    <row r="79" customHeight="1" spans="1:16">
      <c r="A79" t="s">
        <v>26</v>
      </c>
      <c r="B79" t="s">
        <v>31</v>
      </c>
      <c r="C79" t="s">
        <v>4090</v>
      </c>
      <c r="D79" t="s">
        <v>304</v>
      </c>
      <c r="F79" t="s">
        <v>4020</v>
      </c>
      <c r="K79" t="s">
        <v>19</v>
      </c>
      <c r="M79" t="s">
        <v>306</v>
      </c>
    </row>
    <row r="80" customHeight="1" spans="1:16">
      <c r="A80" t="s">
        <v>236</v>
      </c>
      <c r="B80" t="s">
        <v>31</v>
      </c>
      <c r="C80" t="s">
        <v>4091</v>
      </c>
      <c r="D80" t="s">
        <v>238</v>
      </c>
      <c r="F80" t="s">
        <v>4092</v>
      </c>
      <c r="K80" t="s">
        <v>19</v>
      </c>
      <c r="M80" t="s">
        <v>309</v>
      </c>
    </row>
    <row r="81" customHeight="1" spans="1:16">
      <c r="A81" t="s">
        <v>241</v>
      </c>
      <c r="B81" t="s">
        <v>31</v>
      </c>
      <c r="C81" t="s">
        <v>4093</v>
      </c>
      <c r="D81" t="s">
        <v>243</v>
      </c>
      <c r="K81" t="s">
        <v>19</v>
      </c>
      <c r="M81" t="s">
        <v>311</v>
      </c>
      <c r="P81" t="s">
        <v>43</v>
      </c>
    </row>
    <row r="82" customHeight="1" spans="1:16">
      <c r="A82" t="s">
        <v>241</v>
      </c>
      <c r="B82" t="s">
        <v>31</v>
      </c>
      <c r="C82" t="s">
        <v>4094</v>
      </c>
      <c r="D82" t="s">
        <v>246</v>
      </c>
      <c r="K82" t="s">
        <v>19</v>
      </c>
      <c r="M82" t="s">
        <v>313</v>
      </c>
      <c r="P82" t="s">
        <v>43</v>
      </c>
    </row>
    <row r="83" customHeight="1" spans="1:16">
      <c r="A83" t="s">
        <v>236</v>
      </c>
      <c r="B83" t="s">
        <v>31</v>
      </c>
      <c r="C83" t="s">
        <v>4095</v>
      </c>
      <c r="D83" t="s">
        <v>249</v>
      </c>
      <c r="F83" t="s">
        <v>4096</v>
      </c>
      <c r="K83" t="s">
        <v>19</v>
      </c>
      <c r="M83" t="s">
        <v>316</v>
      </c>
    </row>
    <row r="84" customHeight="1" spans="1:16">
      <c r="A84" t="s">
        <v>241</v>
      </c>
      <c r="B84" t="s">
        <v>31</v>
      </c>
      <c r="C84" t="s">
        <v>4097</v>
      </c>
      <c r="D84" t="s">
        <v>253</v>
      </c>
      <c r="K84" t="s">
        <v>19</v>
      </c>
      <c r="M84" t="s">
        <v>318</v>
      </c>
      <c r="P84" t="s">
        <v>43</v>
      </c>
    </row>
    <row r="85" customHeight="1" spans="1:16">
      <c r="A85" t="s">
        <v>241</v>
      </c>
      <c r="B85" t="s">
        <v>31</v>
      </c>
      <c r="C85" t="s">
        <v>4098</v>
      </c>
      <c r="D85" t="s">
        <v>256</v>
      </c>
      <c r="K85" t="s">
        <v>19</v>
      </c>
      <c r="M85" t="s">
        <v>320</v>
      </c>
      <c r="P85" t="s">
        <v>43</v>
      </c>
    </row>
    <row r="86" customHeight="1" spans="1:16">
      <c r="A86" t="s">
        <v>236</v>
      </c>
      <c r="B86" t="s">
        <v>31</v>
      </c>
      <c r="C86" t="s">
        <v>4099</v>
      </c>
      <c r="D86" t="s">
        <v>259</v>
      </c>
      <c r="F86" t="s">
        <v>4100</v>
      </c>
      <c r="K86" t="s">
        <v>19</v>
      </c>
      <c r="M86" t="s">
        <v>323</v>
      </c>
    </row>
    <row r="87" customHeight="1" spans="1:16">
      <c r="A87" t="s">
        <v>241</v>
      </c>
      <c r="B87" t="s">
        <v>31</v>
      </c>
      <c r="C87" t="s">
        <v>4101</v>
      </c>
      <c r="D87" t="s">
        <v>263</v>
      </c>
      <c r="F87" t="s">
        <v>4102</v>
      </c>
      <c r="K87" t="s">
        <v>19</v>
      </c>
      <c r="M87" t="s">
        <v>326</v>
      </c>
    </row>
    <row r="88" customHeight="1" spans="1:16">
      <c r="A88" t="s">
        <v>266</v>
      </c>
      <c r="B88" t="s">
        <v>31</v>
      </c>
      <c r="C88" t="s">
        <v>4103</v>
      </c>
      <c r="D88" t="s">
        <v>268</v>
      </c>
      <c r="K88" t="s">
        <v>19</v>
      </c>
      <c r="M88" t="s">
        <v>328</v>
      </c>
      <c r="P88" t="s">
        <v>43</v>
      </c>
    </row>
    <row r="89" customHeight="1" spans="1:16">
      <c r="A89" t="s">
        <v>266</v>
      </c>
      <c r="B89" t="s">
        <v>31</v>
      </c>
      <c r="C89" t="s">
        <v>4104</v>
      </c>
      <c r="D89" t="s">
        <v>271</v>
      </c>
      <c r="K89" t="s">
        <v>19</v>
      </c>
      <c r="M89" t="s">
        <v>330</v>
      </c>
      <c r="P89" t="s">
        <v>43</v>
      </c>
    </row>
    <row r="90" customHeight="1" spans="1:16">
      <c r="A90" t="s">
        <v>241</v>
      </c>
      <c r="B90" t="s">
        <v>31</v>
      </c>
      <c r="C90" t="s">
        <v>4105</v>
      </c>
      <c r="D90" t="s">
        <v>4106</v>
      </c>
      <c r="K90" t="s">
        <v>19</v>
      </c>
      <c r="M90" t="s">
        <v>333</v>
      </c>
      <c r="P90" t="s">
        <v>43</v>
      </c>
    </row>
    <row r="91" customHeight="1" spans="1:16">
      <c r="A91" t="s">
        <v>266</v>
      </c>
      <c r="B91" t="s">
        <v>31</v>
      </c>
      <c r="C91" t="s">
        <v>4107</v>
      </c>
      <c r="D91" t="s">
        <v>277</v>
      </c>
      <c r="K91" t="s">
        <v>19</v>
      </c>
      <c r="M91" t="s">
        <v>335</v>
      </c>
      <c r="P91" t="s">
        <v>43</v>
      </c>
    </row>
    <row r="92" customHeight="1" spans="1:16">
      <c r="A92" t="s">
        <v>241</v>
      </c>
      <c r="B92" t="s">
        <v>31</v>
      </c>
      <c r="C92" t="s">
        <v>4108</v>
      </c>
      <c r="D92" t="s">
        <v>4109</v>
      </c>
      <c r="K92" t="s">
        <v>19</v>
      </c>
      <c r="M92" t="s">
        <v>338</v>
      </c>
      <c r="P92" t="s">
        <v>43</v>
      </c>
    </row>
    <row r="93" customHeight="1" spans="1:16">
      <c r="A93" t="s">
        <v>266</v>
      </c>
      <c r="B93" t="s">
        <v>31</v>
      </c>
      <c r="C93" t="s">
        <v>4110</v>
      </c>
      <c r="D93" t="s">
        <v>283</v>
      </c>
      <c r="K93" t="s">
        <v>19</v>
      </c>
      <c r="M93" t="s">
        <v>340</v>
      </c>
      <c r="P93" t="s">
        <v>43</v>
      </c>
    </row>
    <row r="94" customHeight="1" spans="1:16">
      <c r="A94" t="s">
        <v>241</v>
      </c>
      <c r="B94" t="s">
        <v>31</v>
      </c>
      <c r="C94" t="s">
        <v>4111</v>
      </c>
      <c r="D94" t="s">
        <v>4112</v>
      </c>
      <c r="K94" t="s">
        <v>19</v>
      </c>
      <c r="M94" t="s">
        <v>343</v>
      </c>
      <c r="P94" t="s">
        <v>43</v>
      </c>
    </row>
    <row r="95" customHeight="1" spans="1:16">
      <c r="A95" t="s">
        <v>266</v>
      </c>
      <c r="B95" t="s">
        <v>31</v>
      </c>
      <c r="C95" t="s">
        <v>4113</v>
      </c>
      <c r="D95" t="s">
        <v>289</v>
      </c>
      <c r="K95" t="s">
        <v>19</v>
      </c>
      <c r="M95" t="s">
        <v>345</v>
      </c>
      <c r="P95" t="s">
        <v>43</v>
      </c>
    </row>
    <row r="96" customHeight="1" spans="1:16">
      <c r="A96" t="s">
        <v>236</v>
      </c>
      <c r="B96" t="s">
        <v>31</v>
      </c>
      <c r="C96" t="s">
        <v>4114</v>
      </c>
      <c r="D96" t="s">
        <v>4115</v>
      </c>
      <c r="K96" t="s">
        <v>19</v>
      </c>
      <c r="M96" t="s">
        <v>348</v>
      </c>
      <c r="P96" t="s">
        <v>43</v>
      </c>
    </row>
    <row r="97" customHeight="1" spans="1:16">
      <c r="A97" t="s">
        <v>241</v>
      </c>
      <c r="B97" t="s">
        <v>31</v>
      </c>
      <c r="C97" t="s">
        <v>4116</v>
      </c>
      <c r="D97" t="s">
        <v>295</v>
      </c>
      <c r="K97" t="s">
        <v>19</v>
      </c>
      <c r="M97" t="s">
        <v>350</v>
      </c>
      <c r="P97" t="s">
        <v>43</v>
      </c>
    </row>
    <row r="98" customHeight="1" spans="1:16">
      <c r="A98" t="s">
        <v>236</v>
      </c>
      <c r="B98" t="s">
        <v>31</v>
      </c>
      <c r="C98" t="s">
        <v>4117</v>
      </c>
      <c r="D98" t="s">
        <v>4118</v>
      </c>
      <c r="K98" t="s">
        <v>19</v>
      </c>
      <c r="M98" t="s">
        <v>353</v>
      </c>
      <c r="P98" t="s">
        <v>43</v>
      </c>
    </row>
    <row r="99" customHeight="1" spans="1:16">
      <c r="A99" t="s">
        <v>241</v>
      </c>
      <c r="B99" t="s">
        <v>31</v>
      </c>
      <c r="C99" t="s">
        <v>4119</v>
      </c>
      <c r="D99" t="s">
        <v>301</v>
      </c>
      <c r="K99" t="s">
        <v>19</v>
      </c>
      <c r="M99" t="s">
        <v>355</v>
      </c>
      <c r="P99" t="s">
        <v>43</v>
      </c>
    </row>
    <row r="100" customHeight="1" spans="1:16">
      <c r="A100" t="s">
        <v>21</v>
      </c>
      <c r="B100" t="s">
        <v>31</v>
      </c>
      <c r="C100" t="s">
        <v>4120</v>
      </c>
      <c r="D100" t="s">
        <v>362</v>
      </c>
      <c r="F100" t="s">
        <v>4022</v>
      </c>
      <c r="K100" t="s">
        <v>19</v>
      </c>
      <c r="M100" t="s">
        <v>364</v>
      </c>
    </row>
    <row r="101" customHeight="1" spans="1:16">
      <c r="A101" t="s">
        <v>26</v>
      </c>
      <c r="B101" t="s">
        <v>31</v>
      </c>
      <c r="C101" t="s">
        <v>4121</v>
      </c>
      <c r="D101" t="s">
        <v>358</v>
      </c>
      <c r="K101" t="s">
        <v>19</v>
      </c>
      <c r="M101" t="s">
        <v>1063</v>
      </c>
      <c r="P101" t="s">
        <v>43</v>
      </c>
    </row>
    <row r="102" customHeight="1" spans="1:16">
      <c r="A102" t="s">
        <v>26</v>
      </c>
      <c r="B102" t="s">
        <v>31</v>
      </c>
      <c r="C102" t="s">
        <v>4122</v>
      </c>
      <c r="D102" t="s">
        <v>360</v>
      </c>
      <c r="K102" t="s">
        <v>19</v>
      </c>
      <c r="M102" t="s">
        <v>1065</v>
      </c>
      <c r="P102" t="s">
        <v>43</v>
      </c>
    </row>
    <row r="103" customHeight="1" spans="1:16">
      <c r="A103" t="s">
        <v>26</v>
      </c>
      <c r="B103" t="s">
        <v>31</v>
      </c>
      <c r="C103" t="s">
        <v>4123</v>
      </c>
      <c r="D103" t="s">
        <v>365</v>
      </c>
      <c r="F103" t="s">
        <v>4124</v>
      </c>
      <c r="K103" t="s">
        <v>19</v>
      </c>
      <c r="M103" t="s">
        <v>367</v>
      </c>
    </row>
    <row r="104" customHeight="1" spans="1:16">
      <c r="A104" t="s">
        <v>236</v>
      </c>
      <c r="B104" t="s">
        <v>31</v>
      </c>
      <c r="C104" t="s">
        <v>4125</v>
      </c>
      <c r="D104" t="s">
        <v>369</v>
      </c>
      <c r="F104" t="s">
        <v>4126</v>
      </c>
      <c r="K104" t="s">
        <v>19</v>
      </c>
      <c r="M104" t="s">
        <v>371</v>
      </c>
    </row>
    <row r="105" customHeight="1" spans="1:16">
      <c r="A105" t="s">
        <v>241</v>
      </c>
      <c r="B105" t="s">
        <v>31</v>
      </c>
      <c r="C105" t="s">
        <v>4127</v>
      </c>
      <c r="D105" t="s">
        <v>373</v>
      </c>
      <c r="K105" t="s">
        <v>19</v>
      </c>
      <c r="M105" t="s">
        <v>374</v>
      </c>
      <c r="P105" t="s">
        <v>43</v>
      </c>
    </row>
    <row r="106" customHeight="1" spans="1:16">
      <c r="A106" t="s">
        <v>241</v>
      </c>
      <c r="B106" t="s">
        <v>31</v>
      </c>
      <c r="C106" t="s">
        <v>4128</v>
      </c>
      <c r="D106" t="s">
        <v>376</v>
      </c>
      <c r="K106" t="s">
        <v>19</v>
      </c>
      <c r="M106" t="s">
        <v>377</v>
      </c>
      <c r="P106" t="s">
        <v>43</v>
      </c>
    </row>
    <row r="107" customHeight="1" spans="1:16">
      <c r="A107" t="s">
        <v>241</v>
      </c>
      <c r="B107" t="s">
        <v>31</v>
      </c>
      <c r="C107" t="s">
        <v>4129</v>
      </c>
      <c r="D107" t="s">
        <v>379</v>
      </c>
      <c r="K107" t="s">
        <v>19</v>
      </c>
      <c r="M107" t="s">
        <v>380</v>
      </c>
      <c r="P107" t="s">
        <v>43</v>
      </c>
    </row>
    <row r="108" customHeight="1" spans="1:16">
      <c r="A108" t="s">
        <v>241</v>
      </c>
      <c r="B108" t="s">
        <v>31</v>
      </c>
      <c r="C108" t="s">
        <v>4130</v>
      </c>
      <c r="D108" t="s">
        <v>382</v>
      </c>
      <c r="K108" t="s">
        <v>19</v>
      </c>
      <c r="M108" t="s">
        <v>383</v>
      </c>
      <c r="P108" t="s">
        <v>43</v>
      </c>
    </row>
    <row r="109" customHeight="1" spans="1:16">
      <c r="A109" t="s">
        <v>236</v>
      </c>
      <c r="B109" t="s">
        <v>31</v>
      </c>
      <c r="C109" t="s">
        <v>4131</v>
      </c>
      <c r="D109" t="s">
        <v>385</v>
      </c>
      <c r="F109" t="s">
        <v>4132</v>
      </c>
      <c r="K109" t="s">
        <v>19</v>
      </c>
      <c r="M109" t="s">
        <v>387</v>
      </c>
    </row>
    <row r="110" customHeight="1" spans="1:16">
      <c r="A110" t="s">
        <v>241</v>
      </c>
      <c r="B110" t="s">
        <v>31</v>
      </c>
      <c r="C110" t="s">
        <v>4133</v>
      </c>
      <c r="D110" t="s">
        <v>389</v>
      </c>
      <c r="K110" t="s">
        <v>19</v>
      </c>
      <c r="M110" t="s">
        <v>390</v>
      </c>
      <c r="P110" t="s">
        <v>43</v>
      </c>
    </row>
    <row r="111" customHeight="1" spans="1:16">
      <c r="A111" t="s">
        <v>241</v>
      </c>
      <c r="B111" t="s">
        <v>31</v>
      </c>
      <c r="C111" t="s">
        <v>4134</v>
      </c>
      <c r="D111" t="s">
        <v>392</v>
      </c>
      <c r="K111" t="s">
        <v>19</v>
      </c>
      <c r="M111" t="s">
        <v>393</v>
      </c>
      <c r="P111" t="s">
        <v>43</v>
      </c>
    </row>
    <row r="112" customHeight="1" spans="1:16">
      <c r="A112" t="s">
        <v>241</v>
      </c>
      <c r="B112" t="s">
        <v>31</v>
      </c>
      <c r="C112" t="s">
        <v>4135</v>
      </c>
      <c r="D112" t="s">
        <v>395</v>
      </c>
      <c r="K112" t="s">
        <v>19</v>
      </c>
      <c r="M112" t="s">
        <v>396</v>
      </c>
      <c r="P112" t="s">
        <v>43</v>
      </c>
    </row>
    <row r="113" customHeight="1" spans="1:16">
      <c r="A113" t="s">
        <v>241</v>
      </c>
      <c r="B113" t="s">
        <v>31</v>
      </c>
      <c r="C113" t="s">
        <v>4136</v>
      </c>
      <c r="D113" t="s">
        <v>398</v>
      </c>
      <c r="K113" t="s">
        <v>19</v>
      </c>
      <c r="M113" t="s">
        <v>399</v>
      </c>
      <c r="P113" t="s">
        <v>43</v>
      </c>
    </row>
    <row r="114" customHeight="1" spans="1:16">
      <c r="A114" t="s">
        <v>241</v>
      </c>
      <c r="B114" t="s">
        <v>31</v>
      </c>
      <c r="C114" t="s">
        <v>4137</v>
      </c>
      <c r="D114" t="s">
        <v>401</v>
      </c>
      <c r="K114" t="s">
        <v>19</v>
      </c>
      <c r="M114" t="s">
        <v>402</v>
      </c>
      <c r="P114" t="s">
        <v>43</v>
      </c>
    </row>
    <row r="115" customHeight="1" spans="1:16">
      <c r="A115" t="s">
        <v>241</v>
      </c>
      <c r="B115" t="s">
        <v>31</v>
      </c>
      <c r="C115" t="s">
        <v>4138</v>
      </c>
      <c r="D115" t="s">
        <v>404</v>
      </c>
      <c r="K115" t="s">
        <v>19</v>
      </c>
      <c r="M115" t="s">
        <v>405</v>
      </c>
      <c r="P115" t="s">
        <v>43</v>
      </c>
    </row>
    <row r="116" customHeight="1" spans="1:16">
      <c r="A116" t="s">
        <v>241</v>
      </c>
      <c r="B116" t="s">
        <v>31</v>
      </c>
      <c r="C116" t="s">
        <v>4139</v>
      </c>
      <c r="D116" t="s">
        <v>407</v>
      </c>
      <c r="K116" t="s">
        <v>19</v>
      </c>
      <c r="M116" t="s">
        <v>408</v>
      </c>
      <c r="P116" t="s">
        <v>43</v>
      </c>
    </row>
    <row r="117" customHeight="1" spans="1:16">
      <c r="A117" t="s">
        <v>241</v>
      </c>
      <c r="B117" t="s">
        <v>31</v>
      </c>
      <c r="C117" t="s">
        <v>4140</v>
      </c>
      <c r="D117" t="s">
        <v>410</v>
      </c>
      <c r="K117" t="s">
        <v>19</v>
      </c>
      <c r="M117" t="s">
        <v>411</v>
      </c>
      <c r="P117" t="s">
        <v>43</v>
      </c>
    </row>
    <row r="118" customHeight="1" spans="1:16">
      <c r="A118" t="s">
        <v>241</v>
      </c>
      <c r="B118" t="s">
        <v>31</v>
      </c>
      <c r="C118" t="s">
        <v>4141</v>
      </c>
      <c r="D118" t="s">
        <v>413</v>
      </c>
      <c r="K118" t="s">
        <v>19</v>
      </c>
      <c r="M118" t="s">
        <v>414</v>
      </c>
      <c r="P118" t="s">
        <v>43</v>
      </c>
    </row>
    <row r="119" customHeight="1" spans="1:16">
      <c r="A119" t="s">
        <v>241</v>
      </c>
      <c r="B119" t="s">
        <v>31</v>
      </c>
      <c r="C119" t="s">
        <v>4142</v>
      </c>
      <c r="D119" t="s">
        <v>416</v>
      </c>
      <c r="K119" t="s">
        <v>19</v>
      </c>
      <c r="M119" t="s">
        <v>417</v>
      </c>
      <c r="P119" t="s">
        <v>43</v>
      </c>
    </row>
    <row r="120" customHeight="1" spans="1:16">
      <c r="A120" t="s">
        <v>241</v>
      </c>
      <c r="B120" t="s">
        <v>31</v>
      </c>
      <c r="C120" t="s">
        <v>4143</v>
      </c>
      <c r="D120" t="s">
        <v>419</v>
      </c>
      <c r="K120" t="s">
        <v>19</v>
      </c>
      <c r="M120" t="s">
        <v>420</v>
      </c>
      <c r="P120" t="s">
        <v>43</v>
      </c>
    </row>
    <row r="121" customHeight="1" spans="1:16">
      <c r="A121" t="s">
        <v>241</v>
      </c>
      <c r="B121" t="s">
        <v>31</v>
      </c>
      <c r="C121" t="s">
        <v>4144</v>
      </c>
      <c r="D121" t="s">
        <v>422</v>
      </c>
      <c r="F121" t="s">
        <v>4145</v>
      </c>
      <c r="K121" t="s">
        <v>19</v>
      </c>
      <c r="M121" t="s">
        <v>424</v>
      </c>
    </row>
    <row r="122" customHeight="1" spans="1:16">
      <c r="A122" t="s">
        <v>241</v>
      </c>
      <c r="B122" t="s">
        <v>31</v>
      </c>
      <c r="C122" t="s">
        <v>4146</v>
      </c>
      <c r="D122" t="s">
        <v>426</v>
      </c>
      <c r="F122" t="s">
        <v>4147</v>
      </c>
      <c r="K122" t="s">
        <v>19</v>
      </c>
      <c r="M122" t="s">
        <v>428</v>
      </c>
    </row>
    <row r="123" customHeight="1" spans="1:16">
      <c r="A123" t="s">
        <v>241</v>
      </c>
      <c r="B123" t="s">
        <v>31</v>
      </c>
      <c r="C123" t="s">
        <v>4148</v>
      </c>
      <c r="D123" t="s">
        <v>430</v>
      </c>
      <c r="F123" t="s">
        <v>4149</v>
      </c>
      <c r="K123" t="s">
        <v>19</v>
      </c>
      <c r="M123" t="s">
        <v>432</v>
      </c>
    </row>
    <row r="124" customHeight="1" spans="1:16">
      <c r="A124" t="s">
        <v>236</v>
      </c>
      <c r="B124" t="s">
        <v>31</v>
      </c>
      <c r="C124" t="s">
        <v>4150</v>
      </c>
      <c r="D124" t="s">
        <v>434</v>
      </c>
      <c r="F124" t="s">
        <v>4151</v>
      </c>
      <c r="K124" t="s">
        <v>19</v>
      </c>
      <c r="M124" t="s">
        <v>436</v>
      </c>
    </row>
    <row r="125" customHeight="1" spans="1:16">
      <c r="A125" t="s">
        <v>241</v>
      </c>
      <c r="B125" t="s">
        <v>31</v>
      </c>
      <c r="C125" t="s">
        <v>4152</v>
      </c>
      <c r="D125" t="s">
        <v>438</v>
      </c>
      <c r="K125" t="s">
        <v>19</v>
      </c>
      <c r="M125" t="s">
        <v>439</v>
      </c>
      <c r="P125" t="s">
        <v>43</v>
      </c>
    </row>
    <row r="126" customHeight="1" spans="1:16">
      <c r="A126" t="s">
        <v>241</v>
      </c>
      <c r="B126" t="s">
        <v>31</v>
      </c>
      <c r="C126" t="s">
        <v>4153</v>
      </c>
      <c r="D126" t="s">
        <v>441</v>
      </c>
      <c r="K126" t="s">
        <v>19</v>
      </c>
      <c r="M126" t="s">
        <v>442</v>
      </c>
      <c r="P126" t="s">
        <v>43</v>
      </c>
    </row>
    <row r="127" customHeight="1" spans="1:16">
      <c r="A127" t="s">
        <v>241</v>
      </c>
      <c r="B127" t="s">
        <v>31</v>
      </c>
      <c r="C127" t="s">
        <v>4154</v>
      </c>
      <c r="D127" t="s">
        <v>444</v>
      </c>
      <c r="K127" t="s">
        <v>19</v>
      </c>
      <c r="M127" t="s">
        <v>445</v>
      </c>
      <c r="P127" t="s">
        <v>43</v>
      </c>
    </row>
    <row r="128" customHeight="1" spans="1:16">
      <c r="A128" t="s">
        <v>21</v>
      </c>
      <c r="B128" t="s">
        <v>31</v>
      </c>
      <c r="C128" t="s">
        <v>4155</v>
      </c>
      <c r="D128" t="s">
        <v>994</v>
      </c>
      <c r="F128" t="s">
        <v>4026</v>
      </c>
      <c r="K128" t="s">
        <v>19</v>
      </c>
      <c r="M128" t="s">
        <v>859</v>
      </c>
    </row>
    <row r="129" customHeight="1" spans="1:16">
      <c r="A129" t="s">
        <v>26</v>
      </c>
      <c r="B129" t="s">
        <v>31</v>
      </c>
      <c r="C129" t="s">
        <v>4156</v>
      </c>
      <c r="D129" t="s">
        <v>263</v>
      </c>
      <c r="F129" t="s">
        <v>4028</v>
      </c>
      <c r="K129" t="s">
        <v>19</v>
      </c>
      <c r="M129" t="s">
        <v>863</v>
      </c>
    </row>
    <row r="130" customHeight="1" spans="1:16">
      <c r="A130" t="s">
        <v>236</v>
      </c>
      <c r="B130" t="s">
        <v>31</v>
      </c>
      <c r="C130" t="s">
        <v>4157</v>
      </c>
      <c r="D130" t="s">
        <v>268</v>
      </c>
      <c r="K130" t="s">
        <v>19</v>
      </c>
      <c r="M130" t="s">
        <v>866</v>
      </c>
      <c r="P130" t="s">
        <v>43</v>
      </c>
    </row>
    <row r="131" customHeight="1" spans="1:16">
      <c r="A131" t="s">
        <v>236</v>
      </c>
      <c r="B131" t="s">
        <v>31</v>
      </c>
      <c r="C131" t="s">
        <v>4158</v>
      </c>
      <c r="D131" t="s">
        <v>271</v>
      </c>
      <c r="K131" t="s">
        <v>19</v>
      </c>
      <c r="M131" t="s">
        <v>869</v>
      </c>
      <c r="P131" t="s">
        <v>43</v>
      </c>
    </row>
    <row r="132" customHeight="1" spans="1:16">
      <c r="A132" t="s">
        <v>26</v>
      </c>
      <c r="B132" t="s">
        <v>31</v>
      </c>
      <c r="C132" t="s">
        <v>4159</v>
      </c>
      <c r="D132" t="s">
        <v>999</v>
      </c>
      <c r="K132" t="s">
        <v>19</v>
      </c>
      <c r="M132" t="s">
        <v>872</v>
      </c>
      <c r="P132" t="s">
        <v>43</v>
      </c>
    </row>
    <row r="133" customHeight="1" spans="1:16">
      <c r="A133" t="s">
        <v>26</v>
      </c>
      <c r="B133" t="s">
        <v>31</v>
      </c>
      <c r="C133" t="s">
        <v>4160</v>
      </c>
      <c r="D133" t="s">
        <v>283</v>
      </c>
      <c r="K133" t="s">
        <v>19</v>
      </c>
      <c r="M133" t="s">
        <v>875</v>
      </c>
      <c r="P133" t="s">
        <v>43</v>
      </c>
    </row>
    <row r="134" customHeight="1" spans="1:16">
      <c r="A134" t="s">
        <v>26</v>
      </c>
      <c r="B134" t="s">
        <v>31</v>
      </c>
      <c r="C134" t="s">
        <v>4161</v>
      </c>
      <c r="D134" t="s">
        <v>289</v>
      </c>
      <c r="K134" t="s">
        <v>19</v>
      </c>
      <c r="M134" t="s">
        <v>878</v>
      </c>
      <c r="P134" t="s">
        <v>43</v>
      </c>
    </row>
    <row r="135" customHeight="1" spans="1:16">
      <c r="A135" t="s">
        <v>21</v>
      </c>
      <c r="B135" t="s">
        <v>31</v>
      </c>
      <c r="C135" t="s">
        <v>4162</v>
      </c>
      <c r="D135" t="s">
        <v>1003</v>
      </c>
      <c r="K135" t="s">
        <v>19</v>
      </c>
      <c r="M135" t="s">
        <v>881</v>
      </c>
      <c r="P135" t="s">
        <v>43</v>
      </c>
    </row>
    <row r="136" customHeight="1" spans="1:16">
      <c r="A136" t="s">
        <v>21</v>
      </c>
      <c r="B136" t="s">
        <v>31</v>
      </c>
      <c r="C136" t="s">
        <v>4163</v>
      </c>
      <c r="D136" t="s">
        <v>1005</v>
      </c>
      <c r="K136" t="s">
        <v>19</v>
      </c>
      <c r="M136" t="s">
        <v>883</v>
      </c>
      <c r="P136" t="s">
        <v>43</v>
      </c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3"/>
  <sheetViews>
    <sheetView workbookViewId="0">
      <selection activeCell="A1" sqref="$A1:$XFD1"/>
    </sheetView>
  </sheetViews>
  <sheetFormatPr defaultColWidth="9" defaultRowHeight="15" customHeight="1"/>
  <cols>
    <col min="1" max="2" width="8.66071428571429" style="5" customWidth="1"/>
    <col min="3" max="3" width="11" style="5" customWidth="1"/>
    <col min="4" max="4" width="15.5" style="5" customWidth="1"/>
    <col min="5" max="16384" width="8.66071428571429" style="5" customWidth="1"/>
  </cols>
  <sheetData>
    <row r="1" s="1" customFormat="1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/>
      <c r="O1" s="6"/>
      <c r="P1" t="s">
        <v>13</v>
      </c>
    </row>
    <row r="2" customHeight="1" spans="1:16">
      <c r="A2" s="7" t="s">
        <v>14</v>
      </c>
      <c r="B2" s="1" t="s">
        <v>15</v>
      </c>
      <c r="C2" s="8" t="s">
        <v>4164</v>
      </c>
      <c r="D2" s="7" t="s">
        <v>17</v>
      </c>
      <c r="F2" t="s">
        <v>4165</v>
      </c>
      <c r="H2" s="5">
        <f>H3+H6+H7</f>
        <v>0</v>
      </c>
      <c r="I2" s="5">
        <f>I3+I6+I7</f>
        <v>0</v>
      </c>
      <c r="M2" t="s">
        <v>20</v>
      </c>
    </row>
    <row r="3" customHeight="1" spans="1:16">
      <c r="A3" s="1" t="s">
        <v>21</v>
      </c>
      <c r="B3" s="1" t="s">
        <v>15</v>
      </c>
      <c r="C3" s="8" t="s">
        <v>4166</v>
      </c>
      <c r="D3" s="1" t="s">
        <v>23</v>
      </c>
      <c r="F3" t="s">
        <v>4167</v>
      </c>
      <c r="H3" s="5">
        <f>H4+H5</f>
        <v>0</v>
      </c>
      <c r="I3" s="5">
        <f>I4+I5</f>
        <v>0</v>
      </c>
      <c r="M3" t="s">
        <v>25</v>
      </c>
    </row>
    <row r="4" customHeight="1" spans="1:16">
      <c r="A4" s="1" t="s">
        <v>26</v>
      </c>
      <c r="B4" s="1" t="s">
        <v>15</v>
      </c>
      <c r="C4" s="9" t="s">
        <v>4168</v>
      </c>
      <c r="D4" s="1" t="s">
        <v>822</v>
      </c>
      <c r="M4" t="s">
        <v>823</v>
      </c>
      <c r="P4" t="s">
        <v>43</v>
      </c>
    </row>
    <row r="5" customHeight="1" spans="1:16">
      <c r="A5" s="1" t="s">
        <v>26</v>
      </c>
      <c r="B5" s="1" t="s">
        <v>15</v>
      </c>
      <c r="C5" s="9" t="s">
        <v>4169</v>
      </c>
      <c r="D5" s="1" t="s">
        <v>829</v>
      </c>
      <c r="M5" t="s">
        <v>830</v>
      </c>
      <c r="P5" t="s">
        <v>43</v>
      </c>
    </row>
    <row r="6" customHeight="1" spans="1:16">
      <c r="A6" s="1" t="s">
        <v>21</v>
      </c>
      <c r="B6" s="1" t="s">
        <v>15</v>
      </c>
      <c r="C6" s="8" t="s">
        <v>4170</v>
      </c>
      <c r="D6" s="1" t="s">
        <v>37</v>
      </c>
      <c r="H6" s="5">
        <f>H32-H35</f>
        <v>0</v>
      </c>
      <c r="I6" s="5">
        <f>I32-I35</f>
        <v>0</v>
      </c>
      <c r="M6" t="s">
        <v>39</v>
      </c>
      <c r="P6" t="s">
        <v>43</v>
      </c>
    </row>
    <row r="7" customHeight="1" spans="1:16">
      <c r="A7" s="1" t="s">
        <v>21</v>
      </c>
      <c r="B7" s="1" t="s">
        <v>15</v>
      </c>
      <c r="C7" s="8" t="s">
        <v>4171</v>
      </c>
      <c r="D7" s="1" t="s">
        <v>48</v>
      </c>
      <c r="H7" s="5">
        <f>H38+H40</f>
        <v>0</v>
      </c>
      <c r="I7" s="5">
        <f>I38+I40</f>
        <v>0</v>
      </c>
      <c r="M7" t="s">
        <v>49</v>
      </c>
      <c r="P7" t="s">
        <v>43</v>
      </c>
    </row>
    <row r="8" customHeight="1" spans="1:16">
      <c r="A8" s="7" t="s">
        <v>14</v>
      </c>
      <c r="B8" s="1" t="s">
        <v>31</v>
      </c>
      <c r="C8" s="8" t="s">
        <v>4172</v>
      </c>
      <c r="D8" s="7" t="s">
        <v>840</v>
      </c>
      <c r="M8" t="s">
        <v>53</v>
      </c>
      <c r="P8" t="s">
        <v>43</v>
      </c>
    </row>
    <row r="9" customHeight="1" spans="1:16">
      <c r="A9" s="7" t="s">
        <v>14</v>
      </c>
      <c r="B9" s="1" t="s">
        <v>15</v>
      </c>
      <c r="C9" s="8" t="s">
        <v>4173</v>
      </c>
      <c r="D9" s="7" t="s">
        <v>68</v>
      </c>
      <c r="F9" t="s">
        <v>4174</v>
      </c>
      <c r="H9" s="5">
        <f>H2-H8</f>
        <v>0</v>
      </c>
      <c r="I9" s="5">
        <f>I2-I8</f>
        <v>0</v>
      </c>
      <c r="M9" t="s">
        <v>70</v>
      </c>
    </row>
    <row r="10" customHeight="1" spans="1:16">
      <c r="A10" s="7" t="s">
        <v>14</v>
      </c>
      <c r="B10" s="1" t="s">
        <v>31</v>
      </c>
      <c r="C10" s="8" t="s">
        <v>4175</v>
      </c>
      <c r="D10" s="7" t="s">
        <v>72</v>
      </c>
      <c r="M10" t="s">
        <v>73</v>
      </c>
      <c r="P10" t="s">
        <v>43</v>
      </c>
    </row>
    <row r="11" customHeight="1" spans="1:16">
      <c r="A11" s="7" t="s">
        <v>14</v>
      </c>
      <c r="B11" s="1" t="s">
        <v>31</v>
      </c>
      <c r="C11" s="8" t="s">
        <v>4176</v>
      </c>
      <c r="D11" s="7" t="s">
        <v>844</v>
      </c>
      <c r="F11" t="s">
        <v>4177</v>
      </c>
      <c r="H11" s="5">
        <f>H12+H15+H18+H25+H26</f>
        <v>0</v>
      </c>
      <c r="I11" s="5">
        <f>I12+I15+I18+I25+I26</f>
        <v>0</v>
      </c>
      <c r="K11" t="s">
        <v>19</v>
      </c>
      <c r="M11" t="s">
        <v>227</v>
      </c>
    </row>
    <row r="12" customHeight="1" spans="1:16">
      <c r="A12" s="1" t="s">
        <v>21</v>
      </c>
      <c r="B12" s="1" t="s">
        <v>31</v>
      </c>
      <c r="C12" s="8" t="s">
        <v>4178</v>
      </c>
      <c r="D12" s="1" t="s">
        <v>847</v>
      </c>
      <c r="F12" t="s">
        <v>4179</v>
      </c>
      <c r="H12" s="5">
        <f>H13+H14</f>
        <v>0</v>
      </c>
      <c r="I12" s="5">
        <f>I13+I14</f>
        <v>0</v>
      </c>
      <c r="K12" t="s">
        <v>19</v>
      </c>
      <c r="M12" t="s">
        <v>231</v>
      </c>
    </row>
    <row r="13" customHeight="1" spans="1:16">
      <c r="A13" s="1" t="s">
        <v>26</v>
      </c>
      <c r="B13" s="1" t="s">
        <v>31</v>
      </c>
      <c r="C13" s="9" t="s">
        <v>4180</v>
      </c>
      <c r="D13" s="1" t="s">
        <v>83</v>
      </c>
      <c r="F13" t="s">
        <v>4181</v>
      </c>
      <c r="K13" t="s">
        <v>19</v>
      </c>
      <c r="M13" t="s">
        <v>235</v>
      </c>
    </row>
    <row r="14" customHeight="1" spans="1:16">
      <c r="A14" s="1" t="s">
        <v>26</v>
      </c>
      <c r="B14" s="1" t="s">
        <v>31</v>
      </c>
      <c r="C14" s="9" t="s">
        <v>4182</v>
      </c>
      <c r="D14" s="1" t="s">
        <v>852</v>
      </c>
      <c r="F14" t="s">
        <v>4183</v>
      </c>
      <c r="K14" t="s">
        <v>19</v>
      </c>
      <c r="M14" t="s">
        <v>306</v>
      </c>
    </row>
    <row r="15" customHeight="1" spans="1:16">
      <c r="A15" s="1" t="s">
        <v>21</v>
      </c>
      <c r="B15" s="1" t="s">
        <v>31</v>
      </c>
      <c r="C15" s="8" t="s">
        <v>4184</v>
      </c>
      <c r="D15" s="1" t="s">
        <v>92</v>
      </c>
      <c r="F15" t="s">
        <v>4185</v>
      </c>
      <c r="H15" s="5">
        <f>H16+H17</f>
        <v>0</v>
      </c>
      <c r="I15" s="5">
        <f>I16+I17</f>
        <v>0</v>
      </c>
      <c r="K15" t="s">
        <v>19</v>
      </c>
      <c r="M15" t="s">
        <v>364</v>
      </c>
    </row>
    <row r="16" customHeight="1" spans="1:16">
      <c r="A16" s="1" t="s">
        <v>26</v>
      </c>
      <c r="B16" s="1" t="s">
        <v>31</v>
      </c>
      <c r="C16" s="9" t="s">
        <v>4186</v>
      </c>
      <c r="D16" s="1" t="s">
        <v>94</v>
      </c>
      <c r="K16" t="s">
        <v>19</v>
      </c>
      <c r="M16" t="s">
        <v>1063</v>
      </c>
      <c r="P16" t="s">
        <v>43</v>
      </c>
    </row>
    <row r="17" customHeight="1" spans="1:16">
      <c r="A17" s="1" t="s">
        <v>26</v>
      </c>
      <c r="B17" s="1" t="s">
        <v>31</v>
      </c>
      <c r="C17" s="9" t="s">
        <v>4187</v>
      </c>
      <c r="D17" s="1" t="s">
        <v>96</v>
      </c>
      <c r="K17" t="s">
        <v>19</v>
      </c>
      <c r="M17" t="s">
        <v>1065</v>
      </c>
      <c r="P17" t="s">
        <v>43</v>
      </c>
    </row>
    <row r="18" customHeight="1" spans="1:16">
      <c r="A18" s="1" t="s">
        <v>21</v>
      </c>
      <c r="B18" s="1" t="s">
        <v>31</v>
      </c>
      <c r="C18" s="8" t="s">
        <v>4188</v>
      </c>
      <c r="D18" s="1" t="s">
        <v>98</v>
      </c>
      <c r="F18" t="s">
        <v>4189</v>
      </c>
      <c r="H18" s="5">
        <f>H19+H22+H23+H24</f>
        <v>0</v>
      </c>
      <c r="I18" s="5">
        <f>I19+I22+I23+I24</f>
        <v>0</v>
      </c>
      <c r="K18" t="s">
        <v>19</v>
      </c>
      <c r="M18" t="s">
        <v>859</v>
      </c>
    </row>
    <row r="19" customHeight="1" spans="1:16">
      <c r="A19" s="1" t="s">
        <v>26</v>
      </c>
      <c r="B19" s="1" t="s">
        <v>31</v>
      </c>
      <c r="C19" s="9" t="s">
        <v>4190</v>
      </c>
      <c r="D19" s="1" t="s">
        <v>861</v>
      </c>
      <c r="F19" t="s">
        <v>4191</v>
      </c>
      <c r="H19" s="5">
        <f>H20+H21</f>
        <v>0</v>
      </c>
      <c r="I19" s="5">
        <f>I20+I21</f>
        <v>0</v>
      </c>
      <c r="K19" t="s">
        <v>19</v>
      </c>
      <c r="M19" t="s">
        <v>863</v>
      </c>
    </row>
    <row r="20" customHeight="1" spans="1:16">
      <c r="A20" s="1" t="s">
        <v>236</v>
      </c>
      <c r="B20" s="1" t="s">
        <v>31</v>
      </c>
      <c r="C20" s="9" t="s">
        <v>4192</v>
      </c>
      <c r="D20" s="1" t="s">
        <v>865</v>
      </c>
      <c r="K20" t="s">
        <v>19</v>
      </c>
      <c r="M20" t="s">
        <v>866</v>
      </c>
      <c r="P20" t="s">
        <v>43</v>
      </c>
    </row>
    <row r="21" customHeight="1" spans="1:16">
      <c r="A21" s="1" t="s">
        <v>236</v>
      </c>
      <c r="B21" s="1" t="s">
        <v>31</v>
      </c>
      <c r="C21" s="9" t="s">
        <v>4193</v>
      </c>
      <c r="D21" s="1" t="s">
        <v>868</v>
      </c>
      <c r="K21" t="s">
        <v>19</v>
      </c>
      <c r="M21" t="s">
        <v>869</v>
      </c>
      <c r="P21" t="s">
        <v>43</v>
      </c>
    </row>
    <row r="22" customHeight="1" spans="1:16">
      <c r="A22" s="1" t="s">
        <v>26</v>
      </c>
      <c r="B22" s="1" t="s">
        <v>31</v>
      </c>
      <c r="C22" s="9" t="s">
        <v>4194</v>
      </c>
      <c r="D22" s="1" t="s">
        <v>871</v>
      </c>
      <c r="K22" t="s">
        <v>19</v>
      </c>
      <c r="M22" t="s">
        <v>872</v>
      </c>
      <c r="P22" t="s">
        <v>43</v>
      </c>
    </row>
    <row r="23" customHeight="1" spans="1:16">
      <c r="A23" s="1" t="s">
        <v>26</v>
      </c>
      <c r="B23" s="1" t="s">
        <v>31</v>
      </c>
      <c r="C23" s="9" t="s">
        <v>4195</v>
      </c>
      <c r="D23" s="1" t="s">
        <v>874</v>
      </c>
      <c r="K23" t="s">
        <v>19</v>
      </c>
      <c r="M23" t="s">
        <v>875</v>
      </c>
      <c r="P23" t="s">
        <v>43</v>
      </c>
    </row>
    <row r="24" customHeight="1" spans="1:16">
      <c r="A24" s="1" t="s">
        <v>26</v>
      </c>
      <c r="B24" s="1" t="s">
        <v>31</v>
      </c>
      <c r="C24" s="9" t="s">
        <v>4196</v>
      </c>
      <c r="D24" s="1" t="s">
        <v>877</v>
      </c>
      <c r="K24" t="s">
        <v>19</v>
      </c>
      <c r="M24" t="s">
        <v>878</v>
      </c>
      <c r="P24" t="s">
        <v>43</v>
      </c>
    </row>
    <row r="25" customHeight="1" spans="1:16">
      <c r="A25" s="1" t="s">
        <v>21</v>
      </c>
      <c r="B25" s="1" t="s">
        <v>31</v>
      </c>
      <c r="C25" s="8" t="s">
        <v>4197</v>
      </c>
      <c r="D25" s="1" t="s">
        <v>880</v>
      </c>
      <c r="K25" t="s">
        <v>19</v>
      </c>
      <c r="M25" t="s">
        <v>881</v>
      </c>
      <c r="P25" t="s">
        <v>43</v>
      </c>
    </row>
    <row r="26" customHeight="1" spans="1:16">
      <c r="A26" s="1" t="s">
        <v>21</v>
      </c>
      <c r="B26" s="1" t="s">
        <v>31</v>
      </c>
      <c r="C26" s="8" t="s">
        <v>4198</v>
      </c>
      <c r="D26" s="1" t="s">
        <v>101</v>
      </c>
      <c r="K26" t="s">
        <v>19</v>
      </c>
      <c r="M26" t="s">
        <v>883</v>
      </c>
      <c r="P26" t="s">
        <v>43</v>
      </c>
    </row>
    <row r="27" customHeight="1" spans="1:16">
      <c r="A27" s="7" t="s">
        <v>14</v>
      </c>
      <c r="B27" s="1" t="s">
        <v>15</v>
      </c>
      <c r="C27" s="8" t="s">
        <v>4199</v>
      </c>
      <c r="D27" s="7" t="s">
        <v>104</v>
      </c>
      <c r="M27" t="s">
        <v>105</v>
      </c>
      <c r="P27" t="s">
        <v>43</v>
      </c>
    </row>
    <row r="28" customHeight="1" spans="1:16">
      <c r="A28" s="7" t="s">
        <v>14</v>
      </c>
      <c r="B28" s="1" t="s">
        <v>106</v>
      </c>
      <c r="C28" s="8" t="s">
        <v>4200</v>
      </c>
      <c r="D28" s="7" t="s">
        <v>886</v>
      </c>
      <c r="F28" t="s">
        <v>4201</v>
      </c>
      <c r="H28" s="5">
        <f>H9-H10-H11+H27</f>
        <v>0</v>
      </c>
      <c r="I28" s="5">
        <f>I9-I10-I11+I27</f>
        <v>0</v>
      </c>
      <c r="M28" t="s">
        <v>887</v>
      </c>
    </row>
    <row r="29" customHeight="1" spans="1:16">
      <c r="A29" s="7" t="s">
        <v>14</v>
      </c>
      <c r="B29" s="1" t="s">
        <v>31</v>
      </c>
      <c r="C29" s="8" t="s">
        <v>4202</v>
      </c>
      <c r="D29" s="7" t="s">
        <v>889</v>
      </c>
      <c r="M29" t="s">
        <v>890</v>
      </c>
      <c r="P29" t="s">
        <v>43</v>
      </c>
    </row>
    <row r="30" customHeight="1" spans="1:16">
      <c r="A30" s="7" t="s">
        <v>14</v>
      </c>
      <c r="B30" s="1" t="s">
        <v>106</v>
      </c>
      <c r="C30" s="8" t="s">
        <v>4203</v>
      </c>
      <c r="D30" s="7" t="s">
        <v>108</v>
      </c>
      <c r="F30" t="s">
        <v>4204</v>
      </c>
      <c r="H30" s="5">
        <f>H28-H29</f>
        <v>0</v>
      </c>
      <c r="I30" s="5">
        <f>I28-I29</f>
        <v>0</v>
      </c>
      <c r="M30" t="s">
        <v>110</v>
      </c>
    </row>
    <row r="31" customHeight="1" spans="1:16">
      <c r="A31" s="10"/>
      <c r="B31" s="10"/>
      <c r="C31" s="10"/>
      <c r="D31" s="10"/>
    </row>
    <row r="32" customHeight="1" spans="1:16">
      <c r="A32" s="11" t="s">
        <v>14</v>
      </c>
      <c r="B32" s="11" t="s">
        <v>15</v>
      </c>
      <c r="C32" s="8" t="s">
        <v>4205</v>
      </c>
      <c r="D32" s="11" t="s">
        <v>1307</v>
      </c>
      <c r="F32" t="s">
        <v>4206</v>
      </c>
      <c r="H32" s="5">
        <f>H33</f>
        <v>0</v>
      </c>
      <c r="I32" s="5">
        <f>I33</f>
        <v>0</v>
      </c>
      <c r="M32" t="s">
        <v>42</v>
      </c>
    </row>
    <row r="33" customHeight="1" spans="1:16">
      <c r="A33" s="11" t="s">
        <v>21</v>
      </c>
      <c r="B33" s="11" t="s">
        <v>15</v>
      </c>
      <c r="C33" s="8" t="s">
        <v>4206</v>
      </c>
      <c r="D33" s="11" t="s">
        <v>2498</v>
      </c>
      <c r="M33" t="s">
        <v>1356</v>
      </c>
      <c r="P33" t="s">
        <v>43</v>
      </c>
    </row>
    <row r="34" customHeight="1" spans="1:16">
      <c r="A34" s="1"/>
      <c r="B34" s="1"/>
      <c r="C34" s="9"/>
      <c r="D34" s="1"/>
    </row>
    <row r="35" customHeight="1" spans="1:16">
      <c r="A35" s="11" t="s">
        <v>14</v>
      </c>
      <c r="B35" s="11" t="s">
        <v>31</v>
      </c>
      <c r="C35" s="8" t="s">
        <v>4207</v>
      </c>
      <c r="D35" s="11" t="s">
        <v>1358</v>
      </c>
      <c r="F35" t="s">
        <v>4208</v>
      </c>
      <c r="H35" s="5">
        <f>H36</f>
        <v>0</v>
      </c>
      <c r="I35" s="5">
        <f>I36</f>
        <v>0</v>
      </c>
      <c r="M35" t="s">
        <v>46</v>
      </c>
    </row>
    <row r="36" customHeight="1" spans="1:16">
      <c r="A36" s="11" t="s">
        <v>21</v>
      </c>
      <c r="B36" s="11" t="s">
        <v>31</v>
      </c>
      <c r="C36" s="8" t="s">
        <v>4208</v>
      </c>
      <c r="D36" s="11" t="s">
        <v>3657</v>
      </c>
      <c r="M36" t="s">
        <v>1420</v>
      </c>
      <c r="P36" t="s">
        <v>43</v>
      </c>
    </row>
    <row r="37" customHeight="1" spans="1:16">
      <c r="A37" s="10"/>
      <c r="B37" s="10"/>
      <c r="C37" s="10"/>
      <c r="D37" s="10"/>
    </row>
    <row r="38" customHeight="1" spans="1:16">
      <c r="A38" s="11" t="s">
        <v>14</v>
      </c>
      <c r="B38" s="11" t="s">
        <v>15</v>
      </c>
      <c r="C38" s="11" t="s">
        <v>4209</v>
      </c>
      <c r="D38" s="11" t="s">
        <v>1422</v>
      </c>
      <c r="M38" t="s">
        <v>1423</v>
      </c>
      <c r="P38" t="s">
        <v>43</v>
      </c>
    </row>
    <row r="39" customHeight="1" spans="1:16">
      <c r="A39" s="10"/>
      <c r="B39" s="10"/>
      <c r="C39" s="10"/>
      <c r="D39" s="10"/>
    </row>
    <row r="40" customHeight="1" spans="1:16">
      <c r="A40" s="11" t="s">
        <v>14</v>
      </c>
      <c r="B40" s="11" t="s">
        <v>15</v>
      </c>
      <c r="C40" s="11" t="s">
        <v>4210</v>
      </c>
      <c r="D40" s="11" t="s">
        <v>1425</v>
      </c>
      <c r="M40" t="s">
        <v>1426</v>
      </c>
      <c r="P40" t="s">
        <v>43</v>
      </c>
    </row>
    <row r="42" customHeight="1" spans="1:16">
      <c r="A42" t="s">
        <v>222</v>
      </c>
      <c r="B42" t="s">
        <v>223</v>
      </c>
      <c r="C42" t="s">
        <v>2</v>
      </c>
      <c r="D42" t="s">
        <v>3</v>
      </c>
      <c r="E42" t="s">
        <v>4</v>
      </c>
      <c r="F42" t="s">
        <v>5</v>
      </c>
      <c r="J42" t="s">
        <v>9</v>
      </c>
      <c r="K42" t="s">
        <v>10</v>
      </c>
    </row>
    <row r="43" customHeight="1" spans="1:16">
      <c r="A43" t="s">
        <v>14</v>
      </c>
      <c r="B43" t="s">
        <v>31</v>
      </c>
      <c r="C43" t="s">
        <v>4211</v>
      </c>
      <c r="D43" t="s">
        <v>927</v>
      </c>
      <c r="F43" t="s">
        <v>4177</v>
      </c>
      <c r="K43" t="s">
        <v>19</v>
      </c>
      <c r="M43" t="s">
        <v>227</v>
      </c>
    </row>
    <row r="44" customHeight="1" spans="1:16">
      <c r="A44" t="s">
        <v>21</v>
      </c>
      <c r="B44" t="s">
        <v>31</v>
      </c>
      <c r="C44" t="s">
        <v>4212</v>
      </c>
      <c r="D44" t="s">
        <v>929</v>
      </c>
      <c r="F44" t="s">
        <v>4179</v>
      </c>
      <c r="K44" t="s">
        <v>19</v>
      </c>
      <c r="M44" t="s">
        <v>231</v>
      </c>
    </row>
    <row r="45" customHeight="1" spans="1:16">
      <c r="A45" t="s">
        <v>26</v>
      </c>
      <c r="B45" t="s">
        <v>31</v>
      </c>
      <c r="C45" t="s">
        <v>4213</v>
      </c>
      <c r="D45" t="s">
        <v>233</v>
      </c>
      <c r="F45" t="s">
        <v>4181</v>
      </c>
      <c r="K45" t="s">
        <v>19</v>
      </c>
      <c r="M45" t="s">
        <v>235</v>
      </c>
    </row>
    <row r="46" customHeight="1" spans="1:16">
      <c r="A46" t="s">
        <v>236</v>
      </c>
      <c r="B46" t="s">
        <v>31</v>
      </c>
      <c r="C46" t="s">
        <v>4214</v>
      </c>
      <c r="D46" t="s">
        <v>238</v>
      </c>
      <c r="F46" t="s">
        <v>4215</v>
      </c>
      <c r="K46" t="s">
        <v>19</v>
      </c>
      <c r="M46" t="s">
        <v>240</v>
      </c>
    </row>
    <row r="47" customHeight="1" spans="1:16">
      <c r="A47" t="s">
        <v>241</v>
      </c>
      <c r="B47" t="s">
        <v>31</v>
      </c>
      <c r="C47" t="s">
        <v>4216</v>
      </c>
      <c r="D47" t="s">
        <v>243</v>
      </c>
      <c r="K47" t="s">
        <v>19</v>
      </c>
      <c r="M47" t="s">
        <v>244</v>
      </c>
      <c r="P47" t="s">
        <v>43</v>
      </c>
    </row>
    <row r="48" customHeight="1" spans="1:16">
      <c r="A48" t="s">
        <v>241</v>
      </c>
      <c r="B48" t="s">
        <v>31</v>
      </c>
      <c r="C48" t="s">
        <v>4217</v>
      </c>
      <c r="D48" t="s">
        <v>246</v>
      </c>
      <c r="K48" t="s">
        <v>19</v>
      </c>
      <c r="M48" t="s">
        <v>247</v>
      </c>
      <c r="P48" t="s">
        <v>43</v>
      </c>
    </row>
    <row r="49" customHeight="1" spans="1:16">
      <c r="A49" t="s">
        <v>236</v>
      </c>
      <c r="B49" t="s">
        <v>31</v>
      </c>
      <c r="C49" t="s">
        <v>4218</v>
      </c>
      <c r="D49" t="s">
        <v>249</v>
      </c>
      <c r="F49" t="s">
        <v>4219</v>
      </c>
      <c r="K49" t="s">
        <v>19</v>
      </c>
      <c r="M49" t="s">
        <v>251</v>
      </c>
    </row>
    <row r="50" customHeight="1" spans="1:16">
      <c r="A50" t="s">
        <v>241</v>
      </c>
      <c r="B50" t="s">
        <v>31</v>
      </c>
      <c r="C50" t="s">
        <v>4220</v>
      </c>
      <c r="D50" t="s">
        <v>253</v>
      </c>
      <c r="K50" t="s">
        <v>19</v>
      </c>
      <c r="M50" t="s">
        <v>254</v>
      </c>
      <c r="P50" t="s">
        <v>43</v>
      </c>
    </row>
    <row r="51" customHeight="1" spans="1:16">
      <c r="A51" t="s">
        <v>241</v>
      </c>
      <c r="B51" t="s">
        <v>31</v>
      </c>
      <c r="C51" t="s">
        <v>4221</v>
      </c>
      <c r="D51" t="s">
        <v>256</v>
      </c>
      <c r="K51" t="s">
        <v>19</v>
      </c>
      <c r="M51" t="s">
        <v>257</v>
      </c>
      <c r="P51" t="s">
        <v>43</v>
      </c>
    </row>
    <row r="52" customHeight="1" spans="1:16">
      <c r="A52" t="s">
        <v>236</v>
      </c>
      <c r="B52" t="s">
        <v>31</v>
      </c>
      <c r="C52" t="s">
        <v>4222</v>
      </c>
      <c r="D52" t="s">
        <v>259</v>
      </c>
      <c r="F52" t="s">
        <v>4223</v>
      </c>
      <c r="K52" t="s">
        <v>19</v>
      </c>
      <c r="M52" t="s">
        <v>261</v>
      </c>
    </row>
    <row r="53" customHeight="1" spans="1:16">
      <c r="A53" t="s">
        <v>241</v>
      </c>
      <c r="B53" t="s">
        <v>31</v>
      </c>
      <c r="C53" t="s">
        <v>4224</v>
      </c>
      <c r="D53" t="s">
        <v>263</v>
      </c>
      <c r="F53" t="s">
        <v>4225</v>
      </c>
      <c r="K53" t="s">
        <v>19</v>
      </c>
      <c r="M53" t="s">
        <v>265</v>
      </c>
    </row>
    <row r="54" customHeight="1" spans="1:16">
      <c r="A54" t="s">
        <v>266</v>
      </c>
      <c r="B54" t="s">
        <v>31</v>
      </c>
      <c r="C54" t="s">
        <v>4226</v>
      </c>
      <c r="D54" t="s">
        <v>268</v>
      </c>
      <c r="K54" t="s">
        <v>19</v>
      </c>
      <c r="M54" t="s">
        <v>269</v>
      </c>
      <c r="P54" t="s">
        <v>43</v>
      </c>
    </row>
    <row r="55" customHeight="1" spans="1:16">
      <c r="A55" t="s">
        <v>266</v>
      </c>
      <c r="B55" t="s">
        <v>31</v>
      </c>
      <c r="C55" t="s">
        <v>4227</v>
      </c>
      <c r="D55" t="s">
        <v>271</v>
      </c>
      <c r="K55" t="s">
        <v>19</v>
      </c>
      <c r="M55" t="s">
        <v>272</v>
      </c>
      <c r="P55" t="s">
        <v>43</v>
      </c>
    </row>
    <row r="56" customHeight="1" spans="1:16">
      <c r="A56" t="s">
        <v>241</v>
      </c>
      <c r="B56" t="s">
        <v>31</v>
      </c>
      <c r="C56" t="s">
        <v>4228</v>
      </c>
      <c r="D56" t="s">
        <v>4229</v>
      </c>
      <c r="K56" t="s">
        <v>19</v>
      </c>
      <c r="M56" t="s">
        <v>275</v>
      </c>
      <c r="P56" t="s">
        <v>43</v>
      </c>
    </row>
    <row r="57" customHeight="1" spans="1:16">
      <c r="A57" t="s">
        <v>266</v>
      </c>
      <c r="B57" t="s">
        <v>31</v>
      </c>
      <c r="C57" t="s">
        <v>4230</v>
      </c>
      <c r="D57" t="s">
        <v>277</v>
      </c>
      <c r="K57" t="s">
        <v>19</v>
      </c>
      <c r="M57" t="s">
        <v>278</v>
      </c>
      <c r="P57" t="s">
        <v>43</v>
      </c>
    </row>
    <row r="58" customHeight="1" spans="1:16">
      <c r="A58" t="s">
        <v>241</v>
      </c>
      <c r="B58" t="s">
        <v>31</v>
      </c>
      <c r="C58" t="s">
        <v>4231</v>
      </c>
      <c r="D58" t="s">
        <v>4232</v>
      </c>
      <c r="K58" t="s">
        <v>19</v>
      </c>
      <c r="M58" t="s">
        <v>281</v>
      </c>
      <c r="P58" t="s">
        <v>43</v>
      </c>
    </row>
    <row r="59" customHeight="1" spans="1:16">
      <c r="A59" t="s">
        <v>266</v>
      </c>
      <c r="B59" t="s">
        <v>31</v>
      </c>
      <c r="C59" t="s">
        <v>4233</v>
      </c>
      <c r="D59" t="s">
        <v>283</v>
      </c>
      <c r="K59" t="s">
        <v>19</v>
      </c>
      <c r="M59" t="s">
        <v>284</v>
      </c>
      <c r="P59" t="s">
        <v>43</v>
      </c>
    </row>
    <row r="60" customHeight="1" spans="1:16">
      <c r="A60" t="s">
        <v>241</v>
      </c>
      <c r="B60" t="s">
        <v>31</v>
      </c>
      <c r="C60" t="s">
        <v>4234</v>
      </c>
      <c r="D60" t="s">
        <v>4235</v>
      </c>
      <c r="K60" t="s">
        <v>19</v>
      </c>
      <c r="M60" t="s">
        <v>287</v>
      </c>
      <c r="P60" t="s">
        <v>43</v>
      </c>
    </row>
    <row r="61" customHeight="1" spans="1:16">
      <c r="A61" t="s">
        <v>266</v>
      </c>
      <c r="B61" t="s">
        <v>31</v>
      </c>
      <c r="C61" t="s">
        <v>4236</v>
      </c>
      <c r="D61" t="s">
        <v>289</v>
      </c>
      <c r="K61" t="s">
        <v>19</v>
      </c>
      <c r="M61" t="s">
        <v>290</v>
      </c>
      <c r="P61" t="s">
        <v>43</v>
      </c>
    </row>
    <row r="62" customHeight="1" spans="1:16">
      <c r="A62" t="s">
        <v>236</v>
      </c>
      <c r="B62" t="s">
        <v>31</v>
      </c>
      <c r="C62" t="s">
        <v>4237</v>
      </c>
      <c r="D62" t="s">
        <v>4238</v>
      </c>
      <c r="K62" t="s">
        <v>19</v>
      </c>
      <c r="M62" t="s">
        <v>293</v>
      </c>
      <c r="P62" t="s">
        <v>43</v>
      </c>
    </row>
    <row r="63" customHeight="1" spans="1:16">
      <c r="A63" t="s">
        <v>241</v>
      </c>
      <c r="B63" t="s">
        <v>31</v>
      </c>
      <c r="C63" t="s">
        <v>4239</v>
      </c>
      <c r="D63" t="s">
        <v>295</v>
      </c>
      <c r="K63" t="s">
        <v>19</v>
      </c>
      <c r="M63" t="s">
        <v>296</v>
      </c>
      <c r="P63" t="s">
        <v>43</v>
      </c>
    </row>
    <row r="64" customHeight="1" spans="1:16">
      <c r="A64" t="s">
        <v>236</v>
      </c>
      <c r="B64" t="s">
        <v>31</v>
      </c>
      <c r="C64" t="s">
        <v>4240</v>
      </c>
      <c r="D64" t="s">
        <v>4241</v>
      </c>
      <c r="K64" t="s">
        <v>19</v>
      </c>
      <c r="M64" t="s">
        <v>299</v>
      </c>
      <c r="P64" t="s">
        <v>43</v>
      </c>
    </row>
    <row r="65" customHeight="1" spans="1:16">
      <c r="A65" t="s">
        <v>241</v>
      </c>
      <c r="B65" t="s">
        <v>31</v>
      </c>
      <c r="C65" t="s">
        <v>4242</v>
      </c>
      <c r="D65" t="s">
        <v>301</v>
      </c>
      <c r="K65" t="s">
        <v>19</v>
      </c>
      <c r="M65" t="s">
        <v>302</v>
      </c>
      <c r="P65" t="s">
        <v>43</v>
      </c>
    </row>
    <row r="66" customHeight="1" spans="1:16">
      <c r="A66" t="s">
        <v>26</v>
      </c>
      <c r="B66" t="s">
        <v>31</v>
      </c>
      <c r="C66" t="s">
        <v>4243</v>
      </c>
      <c r="D66" t="s">
        <v>304</v>
      </c>
      <c r="F66" t="s">
        <v>4183</v>
      </c>
      <c r="K66" t="s">
        <v>19</v>
      </c>
      <c r="M66" t="s">
        <v>306</v>
      </c>
    </row>
    <row r="67" customHeight="1" spans="1:16">
      <c r="A67" t="s">
        <v>236</v>
      </c>
      <c r="B67" t="s">
        <v>31</v>
      </c>
      <c r="C67" t="s">
        <v>4244</v>
      </c>
      <c r="D67" t="s">
        <v>238</v>
      </c>
      <c r="F67" t="s">
        <v>4245</v>
      </c>
      <c r="K67" t="s">
        <v>19</v>
      </c>
      <c r="M67" t="s">
        <v>309</v>
      </c>
    </row>
    <row r="68" customHeight="1" spans="1:16">
      <c r="A68" t="s">
        <v>241</v>
      </c>
      <c r="B68" t="s">
        <v>31</v>
      </c>
      <c r="C68" t="s">
        <v>4246</v>
      </c>
      <c r="D68" t="s">
        <v>243</v>
      </c>
      <c r="K68" t="s">
        <v>19</v>
      </c>
      <c r="M68" t="s">
        <v>311</v>
      </c>
      <c r="P68" t="s">
        <v>43</v>
      </c>
    </row>
    <row r="69" customHeight="1" spans="1:16">
      <c r="A69" t="s">
        <v>241</v>
      </c>
      <c r="B69" t="s">
        <v>31</v>
      </c>
      <c r="C69" t="s">
        <v>4247</v>
      </c>
      <c r="D69" t="s">
        <v>246</v>
      </c>
      <c r="K69" t="s">
        <v>19</v>
      </c>
      <c r="M69" t="s">
        <v>313</v>
      </c>
      <c r="P69" t="s">
        <v>43</v>
      </c>
    </row>
    <row r="70" customHeight="1" spans="1:16">
      <c r="A70" t="s">
        <v>236</v>
      </c>
      <c r="B70" t="s">
        <v>31</v>
      </c>
      <c r="C70" t="s">
        <v>4248</v>
      </c>
      <c r="D70" t="s">
        <v>249</v>
      </c>
      <c r="F70" t="s">
        <v>4249</v>
      </c>
      <c r="K70" t="s">
        <v>19</v>
      </c>
      <c r="M70" t="s">
        <v>316</v>
      </c>
    </row>
    <row r="71" customHeight="1" spans="1:16">
      <c r="A71" t="s">
        <v>241</v>
      </c>
      <c r="B71" t="s">
        <v>31</v>
      </c>
      <c r="C71" t="s">
        <v>4250</v>
      </c>
      <c r="D71" t="s">
        <v>253</v>
      </c>
      <c r="K71" t="s">
        <v>19</v>
      </c>
      <c r="M71" t="s">
        <v>318</v>
      </c>
      <c r="P71" t="s">
        <v>43</v>
      </c>
    </row>
    <row r="72" customHeight="1" spans="1:16">
      <c r="A72" t="s">
        <v>241</v>
      </c>
      <c r="B72" t="s">
        <v>31</v>
      </c>
      <c r="C72" t="s">
        <v>4251</v>
      </c>
      <c r="D72" t="s">
        <v>256</v>
      </c>
      <c r="K72" t="s">
        <v>19</v>
      </c>
      <c r="M72" t="s">
        <v>320</v>
      </c>
      <c r="P72" t="s">
        <v>43</v>
      </c>
    </row>
    <row r="73" customHeight="1" spans="1:16">
      <c r="A73" t="s">
        <v>236</v>
      </c>
      <c r="B73" t="s">
        <v>31</v>
      </c>
      <c r="C73" t="s">
        <v>4252</v>
      </c>
      <c r="D73" t="s">
        <v>259</v>
      </c>
      <c r="F73" t="s">
        <v>4253</v>
      </c>
      <c r="K73" t="s">
        <v>19</v>
      </c>
      <c r="M73" t="s">
        <v>323</v>
      </c>
    </row>
    <row r="74" customHeight="1" spans="1:16">
      <c r="A74" t="s">
        <v>241</v>
      </c>
      <c r="B74" t="s">
        <v>31</v>
      </c>
      <c r="C74" t="s">
        <v>4254</v>
      </c>
      <c r="D74" t="s">
        <v>263</v>
      </c>
      <c r="F74" t="s">
        <v>4255</v>
      </c>
      <c r="K74" t="s">
        <v>19</v>
      </c>
      <c r="M74" t="s">
        <v>326</v>
      </c>
    </row>
    <row r="75" customHeight="1" spans="1:16">
      <c r="A75" t="s">
        <v>266</v>
      </c>
      <c r="B75" t="s">
        <v>31</v>
      </c>
      <c r="C75" t="s">
        <v>4256</v>
      </c>
      <c r="D75" t="s">
        <v>268</v>
      </c>
      <c r="K75" t="s">
        <v>19</v>
      </c>
      <c r="M75" t="s">
        <v>328</v>
      </c>
      <c r="P75" t="s">
        <v>43</v>
      </c>
    </row>
    <row r="76" customHeight="1" spans="1:16">
      <c r="A76" t="s">
        <v>266</v>
      </c>
      <c r="B76" t="s">
        <v>31</v>
      </c>
      <c r="C76" t="s">
        <v>4257</v>
      </c>
      <c r="D76" t="s">
        <v>271</v>
      </c>
      <c r="K76" t="s">
        <v>19</v>
      </c>
      <c r="M76" t="s">
        <v>330</v>
      </c>
      <c r="P76" t="s">
        <v>43</v>
      </c>
    </row>
    <row r="77" customHeight="1" spans="1:16">
      <c r="A77" t="s">
        <v>241</v>
      </c>
      <c r="B77" t="s">
        <v>31</v>
      </c>
      <c r="C77" t="s">
        <v>4258</v>
      </c>
      <c r="D77" t="s">
        <v>4259</v>
      </c>
      <c r="K77" t="s">
        <v>19</v>
      </c>
      <c r="M77" t="s">
        <v>333</v>
      </c>
      <c r="P77" t="s">
        <v>43</v>
      </c>
    </row>
    <row r="78" customHeight="1" spans="1:16">
      <c r="A78" t="s">
        <v>266</v>
      </c>
      <c r="B78" t="s">
        <v>31</v>
      </c>
      <c r="C78" t="s">
        <v>4260</v>
      </c>
      <c r="D78" t="s">
        <v>277</v>
      </c>
      <c r="K78" t="s">
        <v>19</v>
      </c>
      <c r="M78" t="s">
        <v>335</v>
      </c>
      <c r="P78" t="s">
        <v>43</v>
      </c>
    </row>
    <row r="79" customHeight="1" spans="1:16">
      <c r="A79" t="s">
        <v>241</v>
      </c>
      <c r="B79" t="s">
        <v>31</v>
      </c>
      <c r="C79" t="s">
        <v>4261</v>
      </c>
      <c r="D79" t="s">
        <v>4262</v>
      </c>
      <c r="K79" t="s">
        <v>19</v>
      </c>
      <c r="M79" t="s">
        <v>338</v>
      </c>
      <c r="P79" t="s">
        <v>43</v>
      </c>
    </row>
    <row r="80" customHeight="1" spans="1:16">
      <c r="A80" t="s">
        <v>266</v>
      </c>
      <c r="B80" t="s">
        <v>31</v>
      </c>
      <c r="C80" t="s">
        <v>4263</v>
      </c>
      <c r="D80" t="s">
        <v>283</v>
      </c>
      <c r="K80" t="s">
        <v>19</v>
      </c>
      <c r="M80" t="s">
        <v>340</v>
      </c>
      <c r="P80" t="s">
        <v>43</v>
      </c>
    </row>
    <row r="81" customHeight="1" spans="1:16">
      <c r="A81" t="s">
        <v>241</v>
      </c>
      <c r="B81" t="s">
        <v>31</v>
      </c>
      <c r="C81" t="s">
        <v>4264</v>
      </c>
      <c r="D81" t="s">
        <v>4265</v>
      </c>
      <c r="K81" t="s">
        <v>19</v>
      </c>
      <c r="M81" t="s">
        <v>343</v>
      </c>
      <c r="P81" t="s">
        <v>43</v>
      </c>
    </row>
    <row r="82" customHeight="1" spans="1:16">
      <c r="A82" t="s">
        <v>266</v>
      </c>
      <c r="B82" t="s">
        <v>31</v>
      </c>
      <c r="C82" t="s">
        <v>4266</v>
      </c>
      <c r="D82" t="s">
        <v>289</v>
      </c>
      <c r="K82" t="s">
        <v>19</v>
      </c>
      <c r="M82" t="s">
        <v>345</v>
      </c>
      <c r="P82" t="s">
        <v>43</v>
      </c>
    </row>
    <row r="83" customHeight="1" spans="1:16">
      <c r="A83" t="s">
        <v>236</v>
      </c>
      <c r="B83" t="s">
        <v>31</v>
      </c>
      <c r="C83" t="s">
        <v>4267</v>
      </c>
      <c r="D83" t="s">
        <v>4268</v>
      </c>
      <c r="K83" t="s">
        <v>19</v>
      </c>
      <c r="M83" t="s">
        <v>348</v>
      </c>
      <c r="P83" t="s">
        <v>43</v>
      </c>
    </row>
    <row r="84" customHeight="1" spans="1:16">
      <c r="A84" t="s">
        <v>241</v>
      </c>
      <c r="B84" t="s">
        <v>31</v>
      </c>
      <c r="C84" t="s">
        <v>4269</v>
      </c>
      <c r="D84" t="s">
        <v>295</v>
      </c>
      <c r="K84" t="s">
        <v>19</v>
      </c>
      <c r="M84" t="s">
        <v>350</v>
      </c>
      <c r="P84" t="s">
        <v>43</v>
      </c>
    </row>
    <row r="85" customHeight="1" spans="1:16">
      <c r="A85" t="s">
        <v>236</v>
      </c>
      <c r="B85" t="s">
        <v>31</v>
      </c>
      <c r="C85" t="s">
        <v>4270</v>
      </c>
      <c r="D85" t="s">
        <v>4271</v>
      </c>
      <c r="K85" t="s">
        <v>19</v>
      </c>
      <c r="M85" t="s">
        <v>353</v>
      </c>
      <c r="P85" t="s">
        <v>43</v>
      </c>
    </row>
    <row r="86" customHeight="1" spans="1:16">
      <c r="A86" t="s">
        <v>241</v>
      </c>
      <c r="B86" t="s">
        <v>31</v>
      </c>
      <c r="C86" t="s">
        <v>4272</v>
      </c>
      <c r="D86" t="s">
        <v>301</v>
      </c>
      <c r="K86" t="s">
        <v>19</v>
      </c>
      <c r="M86" t="s">
        <v>355</v>
      </c>
      <c r="P86" t="s">
        <v>43</v>
      </c>
    </row>
    <row r="87" customHeight="1" spans="1:16">
      <c r="A87" t="s">
        <v>21</v>
      </c>
      <c r="B87" t="s">
        <v>31</v>
      </c>
      <c r="C87" t="s">
        <v>4273</v>
      </c>
      <c r="D87" t="s">
        <v>362</v>
      </c>
      <c r="F87" t="s">
        <v>4185</v>
      </c>
      <c r="K87" t="s">
        <v>19</v>
      </c>
      <c r="M87" t="s">
        <v>364</v>
      </c>
    </row>
    <row r="88" customHeight="1" spans="1:16">
      <c r="A88" t="s">
        <v>26</v>
      </c>
      <c r="B88" t="s">
        <v>31</v>
      </c>
      <c r="C88" t="s">
        <v>4274</v>
      </c>
      <c r="D88" t="s">
        <v>358</v>
      </c>
      <c r="K88" t="s">
        <v>19</v>
      </c>
      <c r="M88" t="s">
        <v>1063</v>
      </c>
      <c r="P88" t="s">
        <v>43</v>
      </c>
    </row>
    <row r="89" customHeight="1" spans="1:16">
      <c r="A89" t="s">
        <v>26</v>
      </c>
      <c r="B89" t="s">
        <v>31</v>
      </c>
      <c r="C89" t="s">
        <v>4275</v>
      </c>
      <c r="D89" t="s">
        <v>360</v>
      </c>
      <c r="K89" t="s">
        <v>19</v>
      </c>
      <c r="M89" t="s">
        <v>1065</v>
      </c>
      <c r="P89" t="s">
        <v>43</v>
      </c>
    </row>
    <row r="90" customHeight="1" spans="1:16">
      <c r="A90" t="s">
        <v>26</v>
      </c>
      <c r="B90" t="s">
        <v>31</v>
      </c>
      <c r="C90" t="s">
        <v>4276</v>
      </c>
      <c r="D90" t="s">
        <v>365</v>
      </c>
      <c r="F90" t="s">
        <v>4277</v>
      </c>
      <c r="K90" t="s">
        <v>19</v>
      </c>
      <c r="M90" t="s">
        <v>367</v>
      </c>
    </row>
    <row r="91" customHeight="1" spans="1:16">
      <c r="A91" t="s">
        <v>236</v>
      </c>
      <c r="B91" t="s">
        <v>31</v>
      </c>
      <c r="C91" t="s">
        <v>4278</v>
      </c>
      <c r="D91" t="s">
        <v>369</v>
      </c>
      <c r="F91" t="s">
        <v>4279</v>
      </c>
      <c r="K91" t="s">
        <v>19</v>
      </c>
      <c r="M91" t="s">
        <v>371</v>
      </c>
    </row>
    <row r="92" customHeight="1" spans="1:16">
      <c r="A92" t="s">
        <v>241</v>
      </c>
      <c r="B92" t="s">
        <v>31</v>
      </c>
      <c r="C92" t="s">
        <v>4280</v>
      </c>
      <c r="D92" t="s">
        <v>373</v>
      </c>
      <c r="K92" t="s">
        <v>19</v>
      </c>
      <c r="M92" t="s">
        <v>374</v>
      </c>
      <c r="P92" t="s">
        <v>43</v>
      </c>
    </row>
    <row r="93" customHeight="1" spans="1:16">
      <c r="A93" t="s">
        <v>241</v>
      </c>
      <c r="B93" t="s">
        <v>31</v>
      </c>
      <c r="C93" t="s">
        <v>4281</v>
      </c>
      <c r="D93" t="s">
        <v>376</v>
      </c>
      <c r="K93" t="s">
        <v>19</v>
      </c>
      <c r="M93" t="s">
        <v>377</v>
      </c>
      <c r="P93" t="s">
        <v>43</v>
      </c>
    </row>
    <row r="94" customHeight="1" spans="1:16">
      <c r="A94" t="s">
        <v>241</v>
      </c>
      <c r="B94" t="s">
        <v>31</v>
      </c>
      <c r="C94" t="s">
        <v>4282</v>
      </c>
      <c r="D94" t="s">
        <v>379</v>
      </c>
      <c r="K94" t="s">
        <v>19</v>
      </c>
      <c r="M94" t="s">
        <v>380</v>
      </c>
      <c r="P94" t="s">
        <v>43</v>
      </c>
    </row>
    <row r="95" customHeight="1" spans="1:16">
      <c r="A95" t="s">
        <v>241</v>
      </c>
      <c r="B95" t="s">
        <v>31</v>
      </c>
      <c r="C95" t="s">
        <v>4283</v>
      </c>
      <c r="D95" t="s">
        <v>382</v>
      </c>
      <c r="K95" t="s">
        <v>19</v>
      </c>
      <c r="M95" t="s">
        <v>383</v>
      </c>
      <c r="P95" t="s">
        <v>43</v>
      </c>
    </row>
    <row r="96" customHeight="1" spans="1:16">
      <c r="A96" t="s">
        <v>236</v>
      </c>
      <c r="B96" t="s">
        <v>31</v>
      </c>
      <c r="C96" t="s">
        <v>4284</v>
      </c>
      <c r="D96" t="s">
        <v>385</v>
      </c>
      <c r="F96" t="s">
        <v>4285</v>
      </c>
      <c r="K96" t="s">
        <v>19</v>
      </c>
      <c r="M96" t="s">
        <v>387</v>
      </c>
    </row>
    <row r="97" customHeight="1" spans="1:16">
      <c r="A97" t="s">
        <v>241</v>
      </c>
      <c r="B97" t="s">
        <v>31</v>
      </c>
      <c r="C97" t="s">
        <v>4286</v>
      </c>
      <c r="D97" t="s">
        <v>389</v>
      </c>
      <c r="K97" t="s">
        <v>19</v>
      </c>
      <c r="M97" t="s">
        <v>390</v>
      </c>
      <c r="P97" t="s">
        <v>43</v>
      </c>
    </row>
    <row r="98" customHeight="1" spans="1:16">
      <c r="A98" t="s">
        <v>241</v>
      </c>
      <c r="B98" t="s">
        <v>31</v>
      </c>
      <c r="C98" t="s">
        <v>4287</v>
      </c>
      <c r="D98" t="s">
        <v>392</v>
      </c>
      <c r="K98" t="s">
        <v>19</v>
      </c>
      <c r="M98" t="s">
        <v>393</v>
      </c>
      <c r="P98" t="s">
        <v>43</v>
      </c>
    </row>
    <row r="99" customHeight="1" spans="1:16">
      <c r="A99" t="s">
        <v>241</v>
      </c>
      <c r="B99" t="s">
        <v>31</v>
      </c>
      <c r="C99" t="s">
        <v>4288</v>
      </c>
      <c r="D99" t="s">
        <v>395</v>
      </c>
      <c r="K99" t="s">
        <v>19</v>
      </c>
      <c r="M99" t="s">
        <v>396</v>
      </c>
      <c r="P99" t="s">
        <v>43</v>
      </c>
    </row>
    <row r="100" customHeight="1" spans="1:16">
      <c r="A100" t="s">
        <v>241</v>
      </c>
      <c r="B100" t="s">
        <v>31</v>
      </c>
      <c r="C100" t="s">
        <v>4289</v>
      </c>
      <c r="D100" t="s">
        <v>398</v>
      </c>
      <c r="K100" t="s">
        <v>19</v>
      </c>
      <c r="M100" t="s">
        <v>399</v>
      </c>
      <c r="P100" t="s">
        <v>43</v>
      </c>
    </row>
    <row r="101" customHeight="1" spans="1:16">
      <c r="A101" t="s">
        <v>241</v>
      </c>
      <c r="B101" t="s">
        <v>31</v>
      </c>
      <c r="C101" t="s">
        <v>4290</v>
      </c>
      <c r="D101" t="s">
        <v>401</v>
      </c>
      <c r="K101" t="s">
        <v>19</v>
      </c>
      <c r="M101" t="s">
        <v>402</v>
      </c>
      <c r="P101" t="s">
        <v>43</v>
      </c>
    </row>
    <row r="102" customHeight="1" spans="1:16">
      <c r="A102" t="s">
        <v>241</v>
      </c>
      <c r="B102" t="s">
        <v>31</v>
      </c>
      <c r="C102" t="s">
        <v>4291</v>
      </c>
      <c r="D102" t="s">
        <v>404</v>
      </c>
      <c r="K102" t="s">
        <v>19</v>
      </c>
      <c r="M102" t="s">
        <v>405</v>
      </c>
      <c r="P102" t="s">
        <v>43</v>
      </c>
    </row>
    <row r="103" customHeight="1" spans="1:16">
      <c r="A103" t="s">
        <v>241</v>
      </c>
      <c r="B103" t="s">
        <v>31</v>
      </c>
      <c r="C103" t="s">
        <v>4292</v>
      </c>
      <c r="D103" t="s">
        <v>407</v>
      </c>
      <c r="K103" t="s">
        <v>19</v>
      </c>
      <c r="M103" t="s">
        <v>408</v>
      </c>
      <c r="P103" t="s">
        <v>43</v>
      </c>
    </row>
    <row r="104" customHeight="1" spans="1:16">
      <c r="A104" t="s">
        <v>241</v>
      </c>
      <c r="B104" t="s">
        <v>31</v>
      </c>
      <c r="C104" t="s">
        <v>4293</v>
      </c>
      <c r="D104" t="s">
        <v>410</v>
      </c>
      <c r="K104" t="s">
        <v>19</v>
      </c>
      <c r="M104" t="s">
        <v>411</v>
      </c>
      <c r="P104" t="s">
        <v>43</v>
      </c>
    </row>
    <row r="105" customHeight="1" spans="1:16">
      <c r="A105" t="s">
        <v>241</v>
      </c>
      <c r="B105" t="s">
        <v>31</v>
      </c>
      <c r="C105" t="s">
        <v>4294</v>
      </c>
      <c r="D105" t="s">
        <v>413</v>
      </c>
      <c r="K105" t="s">
        <v>19</v>
      </c>
      <c r="M105" t="s">
        <v>414</v>
      </c>
      <c r="P105" t="s">
        <v>43</v>
      </c>
    </row>
    <row r="106" customHeight="1" spans="1:16">
      <c r="A106" t="s">
        <v>241</v>
      </c>
      <c r="B106" t="s">
        <v>31</v>
      </c>
      <c r="C106" t="s">
        <v>4295</v>
      </c>
      <c r="D106" t="s">
        <v>416</v>
      </c>
      <c r="K106" t="s">
        <v>19</v>
      </c>
      <c r="M106" t="s">
        <v>417</v>
      </c>
      <c r="P106" t="s">
        <v>43</v>
      </c>
    </row>
    <row r="107" customHeight="1" spans="1:16">
      <c r="A107" t="s">
        <v>241</v>
      </c>
      <c r="B107" t="s">
        <v>31</v>
      </c>
      <c r="C107" t="s">
        <v>4296</v>
      </c>
      <c r="D107" t="s">
        <v>419</v>
      </c>
      <c r="K107" t="s">
        <v>19</v>
      </c>
      <c r="M107" t="s">
        <v>420</v>
      </c>
      <c r="P107" t="s">
        <v>43</v>
      </c>
    </row>
    <row r="108" customHeight="1" spans="1:16">
      <c r="A108" t="s">
        <v>241</v>
      </c>
      <c r="B108" t="s">
        <v>31</v>
      </c>
      <c r="C108" t="s">
        <v>4297</v>
      </c>
      <c r="D108" t="s">
        <v>422</v>
      </c>
      <c r="F108" t="s">
        <v>4298</v>
      </c>
      <c r="K108" t="s">
        <v>19</v>
      </c>
      <c r="M108" t="s">
        <v>424</v>
      </c>
    </row>
    <row r="109" customHeight="1" spans="1:16">
      <c r="A109" t="s">
        <v>241</v>
      </c>
      <c r="B109" t="s">
        <v>31</v>
      </c>
      <c r="C109" t="s">
        <v>4299</v>
      </c>
      <c r="D109" t="s">
        <v>426</v>
      </c>
      <c r="F109" t="s">
        <v>4300</v>
      </c>
      <c r="K109" t="s">
        <v>19</v>
      </c>
      <c r="M109" t="s">
        <v>428</v>
      </c>
    </row>
    <row r="110" customHeight="1" spans="1:16">
      <c r="A110" t="s">
        <v>241</v>
      </c>
      <c r="B110" t="s">
        <v>31</v>
      </c>
      <c r="C110" t="s">
        <v>4301</v>
      </c>
      <c r="D110" t="s">
        <v>430</v>
      </c>
      <c r="F110" t="s">
        <v>4302</v>
      </c>
      <c r="K110" t="s">
        <v>19</v>
      </c>
      <c r="M110" t="s">
        <v>432</v>
      </c>
    </row>
    <row r="111" customHeight="1" spans="1:16">
      <c r="A111" t="s">
        <v>236</v>
      </c>
      <c r="B111" t="s">
        <v>31</v>
      </c>
      <c r="C111" t="s">
        <v>4303</v>
      </c>
      <c r="D111" t="s">
        <v>434</v>
      </c>
      <c r="F111" t="s">
        <v>4304</v>
      </c>
      <c r="K111" t="s">
        <v>19</v>
      </c>
      <c r="M111" t="s">
        <v>436</v>
      </c>
    </row>
    <row r="112" customHeight="1" spans="1:16">
      <c r="A112" t="s">
        <v>241</v>
      </c>
      <c r="B112" t="s">
        <v>31</v>
      </c>
      <c r="C112" t="s">
        <v>4305</v>
      </c>
      <c r="D112" t="s">
        <v>438</v>
      </c>
      <c r="K112" t="s">
        <v>19</v>
      </c>
      <c r="M112" t="s">
        <v>439</v>
      </c>
      <c r="P112" t="s">
        <v>43</v>
      </c>
    </row>
    <row r="113" customHeight="1" spans="1:16">
      <c r="A113" t="s">
        <v>241</v>
      </c>
      <c r="B113" t="s">
        <v>31</v>
      </c>
      <c r="C113" t="s">
        <v>4306</v>
      </c>
      <c r="D113" t="s">
        <v>441</v>
      </c>
      <c r="K113" t="s">
        <v>19</v>
      </c>
      <c r="M113" t="s">
        <v>442</v>
      </c>
      <c r="P113" t="s">
        <v>43</v>
      </c>
    </row>
    <row r="114" customHeight="1" spans="1:16">
      <c r="A114" t="s">
        <v>241</v>
      </c>
      <c r="B114" t="s">
        <v>31</v>
      </c>
      <c r="C114" t="s">
        <v>4307</v>
      </c>
      <c r="D114" t="s">
        <v>444</v>
      </c>
      <c r="K114" t="s">
        <v>19</v>
      </c>
      <c r="M114" t="s">
        <v>445</v>
      </c>
      <c r="P114" t="s">
        <v>43</v>
      </c>
    </row>
    <row r="115" customHeight="1" spans="1:16">
      <c r="A115" t="s">
        <v>21</v>
      </c>
      <c r="B115" t="s">
        <v>31</v>
      </c>
      <c r="C115" t="s">
        <v>4308</v>
      </c>
      <c r="D115" t="s">
        <v>994</v>
      </c>
      <c r="F115" t="s">
        <v>4189</v>
      </c>
      <c r="K115" t="s">
        <v>19</v>
      </c>
      <c r="M115" t="s">
        <v>859</v>
      </c>
    </row>
    <row r="116" customHeight="1" spans="1:16">
      <c r="A116" t="s">
        <v>26</v>
      </c>
      <c r="B116" t="s">
        <v>31</v>
      </c>
      <c r="C116" t="s">
        <v>4309</v>
      </c>
      <c r="D116" t="s">
        <v>263</v>
      </c>
      <c r="F116" t="s">
        <v>4191</v>
      </c>
      <c r="K116" t="s">
        <v>19</v>
      </c>
      <c r="M116" t="s">
        <v>863</v>
      </c>
    </row>
    <row r="117" customHeight="1" spans="1:16">
      <c r="A117" t="s">
        <v>236</v>
      </c>
      <c r="B117" t="s">
        <v>31</v>
      </c>
      <c r="C117" t="s">
        <v>4310</v>
      </c>
      <c r="D117" t="s">
        <v>268</v>
      </c>
      <c r="K117" t="s">
        <v>19</v>
      </c>
      <c r="M117" t="s">
        <v>866</v>
      </c>
      <c r="P117" t="s">
        <v>43</v>
      </c>
    </row>
    <row r="118" customHeight="1" spans="1:16">
      <c r="A118" t="s">
        <v>236</v>
      </c>
      <c r="B118" t="s">
        <v>31</v>
      </c>
      <c r="C118" t="s">
        <v>4311</v>
      </c>
      <c r="D118" t="s">
        <v>271</v>
      </c>
      <c r="K118" t="s">
        <v>19</v>
      </c>
      <c r="M118" t="s">
        <v>869</v>
      </c>
      <c r="P118" t="s">
        <v>43</v>
      </c>
    </row>
    <row r="119" customHeight="1" spans="1:16">
      <c r="A119" t="s">
        <v>26</v>
      </c>
      <c r="B119" t="s">
        <v>31</v>
      </c>
      <c r="C119" t="s">
        <v>4312</v>
      </c>
      <c r="D119" t="s">
        <v>999</v>
      </c>
      <c r="K119" t="s">
        <v>19</v>
      </c>
      <c r="M119" t="s">
        <v>872</v>
      </c>
      <c r="P119" t="s">
        <v>43</v>
      </c>
    </row>
    <row r="120" customHeight="1" spans="1:16">
      <c r="A120" t="s">
        <v>26</v>
      </c>
      <c r="B120" t="s">
        <v>31</v>
      </c>
      <c r="C120" t="s">
        <v>4313</v>
      </c>
      <c r="D120" t="s">
        <v>283</v>
      </c>
      <c r="K120" t="s">
        <v>19</v>
      </c>
      <c r="M120" t="s">
        <v>875</v>
      </c>
      <c r="P120" t="s">
        <v>43</v>
      </c>
    </row>
    <row r="121" customHeight="1" spans="1:16">
      <c r="A121" t="s">
        <v>26</v>
      </c>
      <c r="B121" t="s">
        <v>31</v>
      </c>
      <c r="C121" t="s">
        <v>4314</v>
      </c>
      <c r="D121" t="s">
        <v>289</v>
      </c>
      <c r="K121" t="s">
        <v>19</v>
      </c>
      <c r="M121" t="s">
        <v>878</v>
      </c>
      <c r="P121" t="s">
        <v>43</v>
      </c>
    </row>
    <row r="122" customHeight="1" spans="1:16">
      <c r="A122" t="s">
        <v>21</v>
      </c>
      <c r="B122" t="s">
        <v>31</v>
      </c>
      <c r="C122" t="s">
        <v>4315</v>
      </c>
      <c r="D122" t="s">
        <v>1003</v>
      </c>
      <c r="K122" t="s">
        <v>19</v>
      </c>
      <c r="M122" t="s">
        <v>881</v>
      </c>
      <c r="P122" t="s">
        <v>43</v>
      </c>
    </row>
    <row r="123" customHeight="1" spans="1:16">
      <c r="A123" t="s">
        <v>21</v>
      </c>
      <c r="B123" t="s">
        <v>31</v>
      </c>
      <c r="C123" t="s">
        <v>4316</v>
      </c>
      <c r="D123" t="s">
        <v>1005</v>
      </c>
      <c r="K123" t="s">
        <v>19</v>
      </c>
      <c r="M123" t="s">
        <v>883</v>
      </c>
      <c r="P123" t="s">
        <v>43</v>
      </c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8"/>
  <sheetViews>
    <sheetView workbookViewId="0">
      <selection activeCell="D2" sqref="D2"/>
    </sheetView>
  </sheetViews>
  <sheetFormatPr defaultColWidth="9" defaultRowHeight="16.8"/>
  <cols>
    <col min="3" max="3" width="10.8303571428571" customWidth="1"/>
    <col min="4" max="4" width="17.5" customWidth="1"/>
  </cols>
  <sheetData>
    <row r="1" s="1" customFormat="1" ht="15" customHeight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7" t="s">
        <v>14</v>
      </c>
      <c r="B2" s="1" t="s">
        <v>15</v>
      </c>
      <c r="C2" s="8" t="s">
        <v>4317</v>
      </c>
      <c r="D2" s="7" t="s">
        <v>17</v>
      </c>
      <c r="F2" t="s">
        <v>4318</v>
      </c>
      <c r="K2" t="s">
        <v>19</v>
      </c>
      <c r="M2" t="s">
        <v>20</v>
      </c>
    </row>
    <row r="3" spans="1:14">
      <c r="A3" s="1" t="s">
        <v>21</v>
      </c>
      <c r="B3" s="1" t="s">
        <v>15</v>
      </c>
      <c r="C3" s="8" t="s">
        <v>4319</v>
      </c>
      <c r="D3" s="1" t="s">
        <v>23</v>
      </c>
      <c r="F3" t="s">
        <v>4320</v>
      </c>
      <c r="K3" t="s">
        <v>19</v>
      </c>
      <c r="M3" t="s">
        <v>25</v>
      </c>
    </row>
    <row r="4" spans="1:14">
      <c r="A4" s="1" t="s">
        <v>26</v>
      </c>
      <c r="B4" s="1" t="s">
        <v>15</v>
      </c>
      <c r="C4" s="9" t="s">
        <v>4321</v>
      </c>
      <c r="D4" s="1" t="s">
        <v>822</v>
      </c>
      <c r="M4" t="s">
        <v>823</v>
      </c>
      <c r="N4" t="s">
        <v>43</v>
      </c>
    </row>
    <row r="5" spans="1:14">
      <c r="A5" s="10" t="s">
        <v>14</v>
      </c>
      <c r="B5" s="10" t="s">
        <v>15</v>
      </c>
      <c r="C5" s="10" t="s">
        <v>4322</v>
      </c>
      <c r="D5" s="10" t="s">
        <v>28</v>
      </c>
      <c r="K5" t="s">
        <v>19</v>
      </c>
      <c r="M5" t="s">
        <v>30</v>
      </c>
      <c r="N5" t="s">
        <v>43</v>
      </c>
    </row>
    <row r="6" spans="1:14">
      <c r="A6" s="1" t="s">
        <v>14</v>
      </c>
      <c r="B6" s="1" t="s">
        <v>31</v>
      </c>
      <c r="C6" s="9" t="s">
        <v>4323</v>
      </c>
      <c r="D6" s="1" t="s">
        <v>826</v>
      </c>
      <c r="M6" t="s">
        <v>827</v>
      </c>
      <c r="N6" t="s">
        <v>43</v>
      </c>
    </row>
    <row r="7" spans="1:14">
      <c r="A7" s="1" t="s">
        <v>26</v>
      </c>
      <c r="B7" s="1" t="s">
        <v>15</v>
      </c>
      <c r="C7" s="9" t="s">
        <v>4324</v>
      </c>
      <c r="D7" s="1" t="s">
        <v>829</v>
      </c>
      <c r="M7" t="s">
        <v>830</v>
      </c>
      <c r="N7" t="s">
        <v>43</v>
      </c>
    </row>
    <row r="8" spans="1:14">
      <c r="A8" s="7" t="s">
        <v>14</v>
      </c>
      <c r="B8" s="1" t="s">
        <v>31</v>
      </c>
      <c r="C8" s="9" t="s">
        <v>4325</v>
      </c>
      <c r="D8" s="1" t="s">
        <v>33</v>
      </c>
      <c r="K8" t="s">
        <v>19</v>
      </c>
      <c r="M8" t="s">
        <v>35</v>
      </c>
      <c r="N8" t="s">
        <v>43</v>
      </c>
    </row>
    <row r="9" spans="1:14">
      <c r="A9" s="7" t="s">
        <v>14</v>
      </c>
      <c r="B9" s="1" t="s">
        <v>31</v>
      </c>
      <c r="C9" s="9" t="s">
        <v>4326</v>
      </c>
      <c r="D9" s="1" t="s">
        <v>833</v>
      </c>
      <c r="M9" t="s">
        <v>834</v>
      </c>
      <c r="N9" t="s">
        <v>43</v>
      </c>
    </row>
    <row r="10" spans="1:14">
      <c r="A10" s="1" t="s">
        <v>21</v>
      </c>
      <c r="B10" s="1" t="s">
        <v>15</v>
      </c>
      <c r="C10" s="8" t="s">
        <v>4327</v>
      </c>
      <c r="D10" s="1" t="s">
        <v>37</v>
      </c>
      <c r="K10" t="s">
        <v>19</v>
      </c>
      <c r="M10" t="s">
        <v>39</v>
      </c>
      <c r="N10" t="s">
        <v>43</v>
      </c>
    </row>
    <row r="11" spans="1:14">
      <c r="A11" s="11" t="s">
        <v>14</v>
      </c>
      <c r="B11" s="11" t="s">
        <v>15</v>
      </c>
      <c r="C11" s="8" t="s">
        <v>4328</v>
      </c>
      <c r="D11" s="1" t="s">
        <v>41</v>
      </c>
      <c r="K11" t="s">
        <v>19</v>
      </c>
      <c r="M11" t="s">
        <v>42</v>
      </c>
      <c r="N11" t="s">
        <v>43</v>
      </c>
    </row>
    <row r="12" spans="1:14">
      <c r="A12" s="11" t="s">
        <v>14</v>
      </c>
      <c r="B12" s="11" t="s">
        <v>31</v>
      </c>
      <c r="C12" s="8" t="s">
        <v>4329</v>
      </c>
      <c r="D12" s="1" t="s">
        <v>45</v>
      </c>
      <c r="K12" t="s">
        <v>19</v>
      </c>
      <c r="M12" t="s">
        <v>46</v>
      </c>
      <c r="N12" t="s">
        <v>43</v>
      </c>
    </row>
    <row r="13" spans="1:14">
      <c r="A13" s="1" t="s">
        <v>21</v>
      </c>
      <c r="B13" s="1" t="s">
        <v>15</v>
      </c>
      <c r="C13" s="8" t="s">
        <v>4330</v>
      </c>
      <c r="D13" s="1" t="s">
        <v>48</v>
      </c>
      <c r="K13" t="s">
        <v>19</v>
      </c>
      <c r="M13" t="s">
        <v>49</v>
      </c>
      <c r="N13" t="s">
        <v>43</v>
      </c>
    </row>
    <row r="14" spans="1:14">
      <c r="A14" s="7" t="s">
        <v>14</v>
      </c>
      <c r="B14" s="1" t="s">
        <v>31</v>
      </c>
      <c r="C14" s="8" t="s">
        <v>4331</v>
      </c>
      <c r="D14" s="7" t="s">
        <v>840</v>
      </c>
      <c r="K14" t="s">
        <v>19</v>
      </c>
      <c r="M14" t="s">
        <v>53</v>
      </c>
      <c r="N14" t="s">
        <v>43</v>
      </c>
    </row>
    <row r="15" spans="1:14">
      <c r="A15" s="7" t="s">
        <v>14</v>
      </c>
      <c r="B15" s="1" t="s">
        <v>15</v>
      </c>
      <c r="C15" s="8" t="s">
        <v>4332</v>
      </c>
      <c r="D15" s="7" t="s">
        <v>68</v>
      </c>
      <c r="K15" t="s">
        <v>19</v>
      </c>
      <c r="M15" t="s">
        <v>70</v>
      </c>
      <c r="N15" t="s">
        <v>43</v>
      </c>
    </row>
    <row r="16" spans="1:14">
      <c r="A16" s="7" t="s">
        <v>14</v>
      </c>
      <c r="B16" s="1" t="s">
        <v>31</v>
      </c>
      <c r="C16" s="8" t="s">
        <v>4333</v>
      </c>
      <c r="D16" s="7" t="s">
        <v>72</v>
      </c>
      <c r="K16" t="s">
        <v>19</v>
      </c>
      <c r="M16" t="s">
        <v>73</v>
      </c>
      <c r="N16" t="s">
        <v>43</v>
      </c>
    </row>
    <row r="17" spans="1:14">
      <c r="A17" s="7" t="s">
        <v>14</v>
      </c>
      <c r="B17" s="1" t="s">
        <v>31</v>
      </c>
      <c r="C17" s="8" t="s">
        <v>4334</v>
      </c>
      <c r="D17" s="7" t="s">
        <v>844</v>
      </c>
      <c r="F17" t="s">
        <v>4335</v>
      </c>
      <c r="K17" t="s">
        <v>19</v>
      </c>
      <c r="M17" t="s">
        <v>227</v>
      </c>
    </row>
    <row r="18" spans="1:14">
      <c r="A18" s="1" t="s">
        <v>21</v>
      </c>
      <c r="B18" s="1" t="s">
        <v>31</v>
      </c>
      <c r="C18" s="8" t="s">
        <v>4336</v>
      </c>
      <c r="D18" s="1" t="s">
        <v>847</v>
      </c>
      <c r="F18" t="s">
        <v>4337</v>
      </c>
      <c r="K18" t="s">
        <v>19</v>
      </c>
      <c r="M18" t="s">
        <v>231</v>
      </c>
    </row>
    <row r="19" spans="1:14">
      <c r="A19" s="1" t="s">
        <v>26</v>
      </c>
      <c r="B19" s="1" t="s">
        <v>31</v>
      </c>
      <c r="C19" s="9" t="s">
        <v>4338</v>
      </c>
      <c r="D19" s="1" t="s">
        <v>83</v>
      </c>
      <c r="F19" t="s">
        <v>4339</v>
      </c>
      <c r="K19" t="s">
        <v>19</v>
      </c>
      <c r="M19" t="s">
        <v>235</v>
      </c>
    </row>
    <row r="20" spans="1:14">
      <c r="A20" s="1" t="s">
        <v>26</v>
      </c>
      <c r="B20" s="1" t="s">
        <v>31</v>
      </c>
      <c r="C20" s="9" t="s">
        <v>4340</v>
      </c>
      <c r="D20" s="1" t="s">
        <v>852</v>
      </c>
      <c r="F20" t="s">
        <v>4341</v>
      </c>
      <c r="K20" t="s">
        <v>19</v>
      </c>
      <c r="M20" t="s">
        <v>306</v>
      </c>
    </row>
    <row r="21" spans="1:14">
      <c r="A21" s="1" t="s">
        <v>21</v>
      </c>
      <c r="B21" s="1" t="s">
        <v>31</v>
      </c>
      <c r="C21" s="8" t="s">
        <v>4342</v>
      </c>
      <c r="D21" s="1" t="s">
        <v>92</v>
      </c>
      <c r="K21" t="s">
        <v>19</v>
      </c>
      <c r="N21" t="s">
        <v>43</v>
      </c>
    </row>
    <row r="22" spans="1:14">
      <c r="A22" s="1" t="s">
        <v>26</v>
      </c>
      <c r="B22" s="1" t="s">
        <v>31</v>
      </c>
      <c r="C22" s="9" t="s">
        <v>4343</v>
      </c>
      <c r="D22" s="1" t="s">
        <v>94</v>
      </c>
      <c r="K22" t="s">
        <v>19</v>
      </c>
      <c r="N22" t="s">
        <v>43</v>
      </c>
    </row>
    <row r="23" spans="1:14">
      <c r="A23" s="1" t="s">
        <v>26</v>
      </c>
      <c r="B23" s="1" t="s">
        <v>31</v>
      </c>
      <c r="C23" s="9" t="s">
        <v>4344</v>
      </c>
      <c r="D23" s="1" t="s">
        <v>96</v>
      </c>
      <c r="K23" t="s">
        <v>19</v>
      </c>
      <c r="N23" t="s">
        <v>43</v>
      </c>
    </row>
    <row r="24" spans="1:14">
      <c r="A24" s="1" t="s">
        <v>21</v>
      </c>
      <c r="B24" s="1" t="s">
        <v>31</v>
      </c>
      <c r="C24" s="8" t="s">
        <v>4345</v>
      </c>
      <c r="D24" s="1" t="s">
        <v>98</v>
      </c>
      <c r="F24" t="s">
        <v>4346</v>
      </c>
      <c r="K24" t="s">
        <v>19</v>
      </c>
      <c r="M24" t="s">
        <v>859</v>
      </c>
    </row>
    <row r="25" spans="1:14">
      <c r="A25" s="1" t="s">
        <v>26</v>
      </c>
      <c r="B25" s="1" t="s">
        <v>31</v>
      </c>
      <c r="C25" s="9" t="s">
        <v>4347</v>
      </c>
      <c r="D25" s="1" t="s">
        <v>861</v>
      </c>
      <c r="F25" t="s">
        <v>4348</v>
      </c>
      <c r="K25" t="s">
        <v>19</v>
      </c>
      <c r="M25" t="s">
        <v>863</v>
      </c>
    </row>
    <row r="26" spans="1:14">
      <c r="A26" s="1" t="s">
        <v>236</v>
      </c>
      <c r="B26" s="1" t="s">
        <v>31</v>
      </c>
      <c r="C26" s="9" t="s">
        <v>4349</v>
      </c>
      <c r="D26" s="1" t="s">
        <v>865</v>
      </c>
      <c r="K26" t="s">
        <v>19</v>
      </c>
      <c r="M26" t="s">
        <v>866</v>
      </c>
      <c r="N26" t="s">
        <v>43</v>
      </c>
    </row>
    <row r="27" spans="1:14">
      <c r="A27" s="1" t="s">
        <v>236</v>
      </c>
      <c r="B27" s="1" t="s">
        <v>31</v>
      </c>
      <c r="C27" s="9" t="s">
        <v>4350</v>
      </c>
      <c r="D27" s="1" t="s">
        <v>868</v>
      </c>
      <c r="K27" t="s">
        <v>19</v>
      </c>
      <c r="M27" t="s">
        <v>869</v>
      </c>
      <c r="N27" t="s">
        <v>43</v>
      </c>
    </row>
    <row r="28" spans="1:14">
      <c r="A28" s="1" t="s">
        <v>26</v>
      </c>
      <c r="B28" s="1" t="s">
        <v>31</v>
      </c>
      <c r="C28" s="9" t="s">
        <v>4351</v>
      </c>
      <c r="D28" s="1" t="s">
        <v>871</v>
      </c>
      <c r="K28" t="s">
        <v>19</v>
      </c>
      <c r="M28" t="s">
        <v>872</v>
      </c>
      <c r="N28" t="s">
        <v>43</v>
      </c>
    </row>
    <row r="29" spans="1:14">
      <c r="A29" s="1" t="s">
        <v>26</v>
      </c>
      <c r="B29" s="1" t="s">
        <v>31</v>
      </c>
      <c r="C29" s="9" t="s">
        <v>4352</v>
      </c>
      <c r="D29" s="1" t="s">
        <v>874</v>
      </c>
      <c r="K29" t="s">
        <v>19</v>
      </c>
      <c r="M29" t="s">
        <v>875</v>
      </c>
      <c r="N29" t="s">
        <v>43</v>
      </c>
    </row>
    <row r="30" spans="1:14">
      <c r="A30" s="1" t="s">
        <v>26</v>
      </c>
      <c r="B30" s="1" t="s">
        <v>31</v>
      </c>
      <c r="C30" s="9" t="s">
        <v>4353</v>
      </c>
      <c r="D30" s="1" t="s">
        <v>877</v>
      </c>
      <c r="K30" t="s">
        <v>19</v>
      </c>
      <c r="M30" t="s">
        <v>878</v>
      </c>
      <c r="N30" t="s">
        <v>43</v>
      </c>
    </row>
    <row r="31" spans="1:14">
      <c r="A31" s="1" t="s">
        <v>21</v>
      </c>
      <c r="B31" s="1" t="s">
        <v>31</v>
      </c>
      <c r="C31" s="8" t="s">
        <v>4354</v>
      </c>
      <c r="D31" s="1" t="s">
        <v>880</v>
      </c>
      <c r="K31" t="s">
        <v>19</v>
      </c>
      <c r="M31" t="s">
        <v>881</v>
      </c>
      <c r="N31" t="s">
        <v>43</v>
      </c>
    </row>
    <row r="32" spans="1:14">
      <c r="A32" s="1" t="s">
        <v>21</v>
      </c>
      <c r="B32" s="1" t="s">
        <v>31</v>
      </c>
      <c r="C32" s="8" t="s">
        <v>4355</v>
      </c>
      <c r="D32" s="1" t="s">
        <v>101</v>
      </c>
      <c r="K32" t="s">
        <v>19</v>
      </c>
      <c r="M32" t="s">
        <v>883</v>
      </c>
      <c r="N32" t="s">
        <v>43</v>
      </c>
    </row>
    <row r="33" spans="1:14">
      <c r="A33" s="7" t="s">
        <v>14</v>
      </c>
      <c r="B33" s="1" t="s">
        <v>15</v>
      </c>
      <c r="C33" s="8" t="s">
        <v>4356</v>
      </c>
      <c r="D33" s="7" t="s">
        <v>104</v>
      </c>
      <c r="K33" t="s">
        <v>19</v>
      </c>
      <c r="M33" t="s">
        <v>105</v>
      </c>
      <c r="N33" t="s">
        <v>43</v>
      </c>
    </row>
    <row r="34" spans="1:14">
      <c r="A34" s="7" t="s">
        <v>14</v>
      </c>
      <c r="B34" s="1" t="s">
        <v>106</v>
      </c>
      <c r="C34" s="8" t="s">
        <v>4357</v>
      </c>
      <c r="D34" s="7" t="s">
        <v>886</v>
      </c>
      <c r="M34" t="s">
        <v>887</v>
      </c>
      <c r="N34" t="s">
        <v>43</v>
      </c>
    </row>
    <row r="35" spans="1:14">
      <c r="A35" s="7" t="s">
        <v>14</v>
      </c>
      <c r="B35" s="1" t="s">
        <v>31</v>
      </c>
      <c r="C35" s="8" t="s">
        <v>4358</v>
      </c>
      <c r="D35" s="7" t="s">
        <v>889</v>
      </c>
      <c r="M35" t="s">
        <v>890</v>
      </c>
      <c r="N35" t="s">
        <v>43</v>
      </c>
    </row>
    <row r="36" spans="1:14">
      <c r="A36" s="7" t="s">
        <v>14</v>
      </c>
      <c r="B36" s="1" t="s">
        <v>106</v>
      </c>
      <c r="C36" s="8" t="s">
        <v>4359</v>
      </c>
      <c r="D36" s="7" t="s">
        <v>108</v>
      </c>
      <c r="K36" t="s">
        <v>19</v>
      </c>
      <c r="M36" t="s">
        <v>110</v>
      </c>
      <c r="N36" t="s">
        <v>43</v>
      </c>
    </row>
    <row r="37" spans="1:14">
      <c r="A37" s="10"/>
      <c r="B37" s="10"/>
      <c r="C37" s="10"/>
      <c r="D37" s="10"/>
    </row>
    <row r="38" spans="1:14">
      <c r="A38" s="11"/>
      <c r="B38" s="11"/>
      <c r="C38" s="11"/>
      <c r="D38" s="11"/>
    </row>
    <row r="39" spans="1:14">
      <c r="A39" s="10"/>
      <c r="B39" s="10"/>
      <c r="C39" s="10"/>
      <c r="D39" s="10"/>
    </row>
    <row r="40" spans="1:14">
      <c r="A40" s="10"/>
      <c r="B40" s="10"/>
      <c r="C40" s="10"/>
      <c r="D40" s="10"/>
    </row>
    <row r="41" spans="1:14">
      <c r="A41" s="11"/>
      <c r="B41" s="11"/>
      <c r="C41" s="11"/>
      <c r="D41" s="11"/>
    </row>
    <row r="42" spans="1:14">
      <c r="A42" s="10"/>
      <c r="B42" s="10"/>
      <c r="C42" s="10"/>
      <c r="D42" s="10"/>
    </row>
    <row r="43" spans="1:14">
      <c r="A43" s="10"/>
      <c r="B43" s="10"/>
      <c r="C43" s="10"/>
      <c r="D43" s="10"/>
    </row>
    <row r="44" spans="1:14">
      <c r="A44" s="10"/>
      <c r="B44" s="10"/>
      <c r="C44" s="10"/>
      <c r="D44" s="10"/>
    </row>
    <row r="46" spans="1:14">
      <c r="A46" t="s">
        <v>222</v>
      </c>
      <c r="B46" t="s">
        <v>223</v>
      </c>
      <c r="C46" t="s">
        <v>2</v>
      </c>
      <c r="D46" t="s">
        <v>3</v>
      </c>
      <c r="F46" t="s">
        <v>5</v>
      </c>
      <c r="J46" t="s">
        <v>9</v>
      </c>
      <c r="K46" t="s">
        <v>10</v>
      </c>
      <c r="M46" t="s">
        <v>4</v>
      </c>
    </row>
    <row r="47" spans="1:14">
      <c r="A47" t="s">
        <v>14</v>
      </c>
      <c r="B47" t="s">
        <v>31</v>
      </c>
      <c r="C47" t="s">
        <v>4360</v>
      </c>
      <c r="D47" t="s">
        <v>927</v>
      </c>
      <c r="F47" t="s">
        <v>4335</v>
      </c>
      <c r="K47" t="s">
        <v>19</v>
      </c>
      <c r="M47" t="s">
        <v>227</v>
      </c>
    </row>
    <row r="48" spans="1:14">
      <c r="A48" t="s">
        <v>21</v>
      </c>
      <c r="B48" t="s">
        <v>31</v>
      </c>
      <c r="C48" t="s">
        <v>4361</v>
      </c>
      <c r="D48" t="s">
        <v>929</v>
      </c>
      <c r="F48" t="s">
        <v>4337</v>
      </c>
      <c r="K48" t="s">
        <v>19</v>
      </c>
      <c r="M48" t="s">
        <v>231</v>
      </c>
    </row>
    <row r="49" spans="1:14">
      <c r="A49" t="s">
        <v>26</v>
      </c>
      <c r="B49" t="s">
        <v>31</v>
      </c>
      <c r="C49" t="s">
        <v>4362</v>
      </c>
      <c r="D49" t="s">
        <v>233</v>
      </c>
      <c r="F49" t="s">
        <v>4339</v>
      </c>
      <c r="K49" t="s">
        <v>19</v>
      </c>
      <c r="M49" t="s">
        <v>235</v>
      </c>
    </row>
    <row r="50" spans="1:14">
      <c r="A50" t="s">
        <v>236</v>
      </c>
      <c r="B50" t="s">
        <v>31</v>
      </c>
      <c r="C50" t="s">
        <v>4363</v>
      </c>
      <c r="D50" t="s">
        <v>238</v>
      </c>
      <c r="F50" t="s">
        <v>4364</v>
      </c>
      <c r="K50" t="s">
        <v>19</v>
      </c>
      <c r="M50" t="s">
        <v>240</v>
      </c>
    </row>
    <row r="51" spans="1:14">
      <c r="A51" t="s">
        <v>241</v>
      </c>
      <c r="B51" t="s">
        <v>31</v>
      </c>
      <c r="C51" t="s">
        <v>4365</v>
      </c>
      <c r="D51" t="s">
        <v>243</v>
      </c>
      <c r="K51" t="s">
        <v>19</v>
      </c>
      <c r="M51" t="s">
        <v>244</v>
      </c>
      <c r="N51" t="s">
        <v>43</v>
      </c>
    </row>
    <row r="52" spans="1:14">
      <c r="A52" t="s">
        <v>241</v>
      </c>
      <c r="B52" t="s">
        <v>31</v>
      </c>
      <c r="C52" t="s">
        <v>4366</v>
      </c>
      <c r="D52" t="s">
        <v>246</v>
      </c>
      <c r="K52" t="s">
        <v>19</v>
      </c>
      <c r="M52" t="s">
        <v>247</v>
      </c>
      <c r="N52" t="s">
        <v>43</v>
      </c>
    </row>
    <row r="53" spans="1:14">
      <c r="A53" t="s">
        <v>236</v>
      </c>
      <c r="B53" t="s">
        <v>31</v>
      </c>
      <c r="C53" t="s">
        <v>4367</v>
      </c>
      <c r="D53" t="s">
        <v>249</v>
      </c>
      <c r="F53" t="s">
        <v>4368</v>
      </c>
      <c r="K53" t="s">
        <v>19</v>
      </c>
      <c r="M53" t="s">
        <v>251</v>
      </c>
    </row>
    <row r="54" spans="1:14">
      <c r="A54" t="s">
        <v>241</v>
      </c>
      <c r="B54" t="s">
        <v>31</v>
      </c>
      <c r="C54" t="s">
        <v>4369</v>
      </c>
      <c r="D54" t="s">
        <v>253</v>
      </c>
      <c r="K54" t="s">
        <v>19</v>
      </c>
      <c r="M54" t="s">
        <v>254</v>
      </c>
      <c r="N54" t="s">
        <v>43</v>
      </c>
    </row>
    <row r="55" spans="1:14">
      <c r="A55" t="s">
        <v>241</v>
      </c>
      <c r="B55" t="s">
        <v>31</v>
      </c>
      <c r="C55" t="s">
        <v>4370</v>
      </c>
      <c r="D55" t="s">
        <v>256</v>
      </c>
      <c r="K55" t="s">
        <v>19</v>
      </c>
      <c r="M55" t="s">
        <v>257</v>
      </c>
      <c r="N55" t="s">
        <v>43</v>
      </c>
    </row>
    <row r="56" spans="1:14">
      <c r="A56" t="s">
        <v>236</v>
      </c>
      <c r="B56" t="s">
        <v>31</v>
      </c>
      <c r="C56" t="s">
        <v>4371</v>
      </c>
      <c r="D56" t="s">
        <v>259</v>
      </c>
      <c r="F56" t="s">
        <v>4372</v>
      </c>
      <c r="K56" t="s">
        <v>19</v>
      </c>
      <c r="M56" t="s">
        <v>261</v>
      </c>
    </row>
    <row r="57" spans="1:14">
      <c r="A57" t="s">
        <v>241</v>
      </c>
      <c r="B57" t="s">
        <v>31</v>
      </c>
      <c r="C57" t="s">
        <v>4373</v>
      </c>
      <c r="D57" t="s">
        <v>263</v>
      </c>
      <c r="F57" t="s">
        <v>4374</v>
      </c>
      <c r="K57" t="s">
        <v>19</v>
      </c>
      <c r="M57" t="s">
        <v>265</v>
      </c>
    </row>
    <row r="58" spans="1:14">
      <c r="A58" t="s">
        <v>266</v>
      </c>
      <c r="B58" t="s">
        <v>31</v>
      </c>
      <c r="C58" t="s">
        <v>4375</v>
      </c>
      <c r="D58" t="s">
        <v>268</v>
      </c>
      <c r="K58" t="s">
        <v>19</v>
      </c>
      <c r="M58" t="s">
        <v>269</v>
      </c>
      <c r="N58" t="s">
        <v>43</v>
      </c>
    </row>
    <row r="59" spans="1:14">
      <c r="A59" t="s">
        <v>266</v>
      </c>
      <c r="B59" t="s">
        <v>31</v>
      </c>
      <c r="C59" t="s">
        <v>4376</v>
      </c>
      <c r="D59" t="s">
        <v>271</v>
      </c>
      <c r="K59" t="s">
        <v>19</v>
      </c>
      <c r="M59" t="s">
        <v>272</v>
      </c>
      <c r="N59" t="s">
        <v>43</v>
      </c>
    </row>
    <row r="60" spans="1:14">
      <c r="A60" t="s">
        <v>241</v>
      </c>
      <c r="B60" t="s">
        <v>31</v>
      </c>
      <c r="C60" t="s">
        <v>4377</v>
      </c>
      <c r="D60" t="s">
        <v>4378</v>
      </c>
      <c r="K60" t="s">
        <v>19</v>
      </c>
      <c r="M60" t="s">
        <v>275</v>
      </c>
      <c r="N60" t="s">
        <v>43</v>
      </c>
    </row>
    <row r="61" spans="1:14">
      <c r="A61" t="s">
        <v>266</v>
      </c>
      <c r="B61" t="s">
        <v>31</v>
      </c>
      <c r="C61" t="s">
        <v>4379</v>
      </c>
      <c r="D61" t="s">
        <v>277</v>
      </c>
      <c r="K61" t="s">
        <v>19</v>
      </c>
      <c r="M61" t="s">
        <v>278</v>
      </c>
      <c r="N61" t="s">
        <v>43</v>
      </c>
    </row>
    <row r="62" spans="1:14">
      <c r="A62" t="s">
        <v>241</v>
      </c>
      <c r="B62" t="s">
        <v>31</v>
      </c>
      <c r="C62" t="s">
        <v>4380</v>
      </c>
      <c r="D62" t="s">
        <v>4381</v>
      </c>
      <c r="K62" t="s">
        <v>19</v>
      </c>
      <c r="M62" t="s">
        <v>281</v>
      </c>
      <c r="N62" t="s">
        <v>43</v>
      </c>
    </row>
    <row r="63" spans="1:14">
      <c r="A63" t="s">
        <v>266</v>
      </c>
      <c r="B63" t="s">
        <v>31</v>
      </c>
      <c r="C63" t="s">
        <v>4382</v>
      </c>
      <c r="D63" t="s">
        <v>283</v>
      </c>
      <c r="K63" t="s">
        <v>19</v>
      </c>
      <c r="M63" t="s">
        <v>284</v>
      </c>
      <c r="N63" t="s">
        <v>43</v>
      </c>
    </row>
    <row r="64" spans="1:14">
      <c r="A64" t="s">
        <v>241</v>
      </c>
      <c r="B64" t="s">
        <v>31</v>
      </c>
      <c r="C64" t="s">
        <v>4383</v>
      </c>
      <c r="D64" t="s">
        <v>4384</v>
      </c>
      <c r="K64" t="s">
        <v>19</v>
      </c>
      <c r="M64" t="s">
        <v>287</v>
      </c>
      <c r="N64" t="s">
        <v>43</v>
      </c>
    </row>
    <row r="65" spans="1:14">
      <c r="A65" t="s">
        <v>266</v>
      </c>
      <c r="B65" t="s">
        <v>31</v>
      </c>
      <c r="C65" t="s">
        <v>4385</v>
      </c>
      <c r="D65" t="s">
        <v>289</v>
      </c>
      <c r="K65" t="s">
        <v>19</v>
      </c>
      <c r="M65" t="s">
        <v>290</v>
      </c>
      <c r="N65" t="s">
        <v>43</v>
      </c>
    </row>
    <row r="66" spans="1:14">
      <c r="A66" t="s">
        <v>236</v>
      </c>
      <c r="B66" t="s">
        <v>31</v>
      </c>
      <c r="C66" t="s">
        <v>4386</v>
      </c>
      <c r="D66" t="s">
        <v>4387</v>
      </c>
      <c r="K66" t="s">
        <v>19</v>
      </c>
      <c r="M66" t="s">
        <v>293</v>
      </c>
      <c r="N66" t="s">
        <v>43</v>
      </c>
    </row>
    <row r="67" spans="1:14">
      <c r="A67" t="s">
        <v>241</v>
      </c>
      <c r="B67" t="s">
        <v>31</v>
      </c>
      <c r="C67" t="s">
        <v>4388</v>
      </c>
      <c r="D67" t="s">
        <v>295</v>
      </c>
      <c r="K67" t="s">
        <v>19</v>
      </c>
      <c r="M67" t="s">
        <v>296</v>
      </c>
      <c r="N67" t="s">
        <v>43</v>
      </c>
    </row>
    <row r="68" spans="1:14">
      <c r="A68" t="s">
        <v>236</v>
      </c>
      <c r="B68" t="s">
        <v>31</v>
      </c>
      <c r="C68" t="s">
        <v>4389</v>
      </c>
      <c r="D68" t="s">
        <v>4390</v>
      </c>
      <c r="K68" t="s">
        <v>19</v>
      </c>
      <c r="M68" t="s">
        <v>299</v>
      </c>
      <c r="N68" t="s">
        <v>43</v>
      </c>
    </row>
    <row r="69" spans="1:14">
      <c r="A69" t="s">
        <v>241</v>
      </c>
      <c r="B69" t="s">
        <v>31</v>
      </c>
      <c r="C69" t="s">
        <v>4391</v>
      </c>
      <c r="D69" t="s">
        <v>301</v>
      </c>
      <c r="K69" t="s">
        <v>19</v>
      </c>
      <c r="M69" t="s">
        <v>302</v>
      </c>
      <c r="N69" t="s">
        <v>43</v>
      </c>
    </row>
    <row r="70" spans="1:14">
      <c r="A70" t="s">
        <v>26</v>
      </c>
      <c r="B70" t="s">
        <v>31</v>
      </c>
      <c r="C70" t="s">
        <v>4392</v>
      </c>
      <c r="D70" t="s">
        <v>304</v>
      </c>
      <c r="F70" t="s">
        <v>4341</v>
      </c>
      <c r="K70" t="s">
        <v>19</v>
      </c>
      <c r="M70" t="s">
        <v>306</v>
      </c>
    </row>
    <row r="71" spans="1:14">
      <c r="A71" t="s">
        <v>236</v>
      </c>
      <c r="B71" t="s">
        <v>31</v>
      </c>
      <c r="C71" t="s">
        <v>4393</v>
      </c>
      <c r="D71" t="s">
        <v>238</v>
      </c>
      <c r="F71" t="s">
        <v>4394</v>
      </c>
      <c r="K71" t="s">
        <v>19</v>
      </c>
      <c r="M71" t="s">
        <v>309</v>
      </c>
    </row>
    <row r="72" spans="1:14">
      <c r="A72" t="s">
        <v>241</v>
      </c>
      <c r="B72" t="s">
        <v>31</v>
      </c>
      <c r="C72" t="s">
        <v>4395</v>
      </c>
      <c r="D72" t="s">
        <v>243</v>
      </c>
      <c r="K72" t="s">
        <v>19</v>
      </c>
      <c r="M72" t="s">
        <v>311</v>
      </c>
      <c r="N72" t="s">
        <v>43</v>
      </c>
    </row>
    <row r="73" spans="1:14">
      <c r="A73" t="s">
        <v>241</v>
      </c>
      <c r="B73" t="s">
        <v>31</v>
      </c>
      <c r="C73" t="s">
        <v>4396</v>
      </c>
      <c r="D73" t="s">
        <v>246</v>
      </c>
      <c r="K73" t="s">
        <v>19</v>
      </c>
      <c r="M73" t="s">
        <v>313</v>
      </c>
      <c r="N73" t="s">
        <v>43</v>
      </c>
    </row>
    <row r="74" spans="1:14">
      <c r="A74" t="s">
        <v>236</v>
      </c>
      <c r="B74" t="s">
        <v>31</v>
      </c>
      <c r="C74" t="s">
        <v>4397</v>
      </c>
      <c r="D74" t="s">
        <v>249</v>
      </c>
      <c r="F74" t="s">
        <v>4398</v>
      </c>
      <c r="K74" t="s">
        <v>19</v>
      </c>
      <c r="M74" t="s">
        <v>316</v>
      </c>
    </row>
    <row r="75" spans="1:14">
      <c r="A75" t="s">
        <v>241</v>
      </c>
      <c r="B75" t="s">
        <v>31</v>
      </c>
      <c r="C75" t="s">
        <v>4399</v>
      </c>
      <c r="D75" t="s">
        <v>253</v>
      </c>
      <c r="K75" t="s">
        <v>19</v>
      </c>
      <c r="M75" t="s">
        <v>318</v>
      </c>
      <c r="N75" t="s">
        <v>43</v>
      </c>
    </row>
    <row r="76" spans="1:14">
      <c r="A76" t="s">
        <v>241</v>
      </c>
      <c r="B76" t="s">
        <v>31</v>
      </c>
      <c r="C76" t="s">
        <v>4400</v>
      </c>
      <c r="D76" t="s">
        <v>256</v>
      </c>
      <c r="K76" t="s">
        <v>19</v>
      </c>
      <c r="M76" t="s">
        <v>320</v>
      </c>
      <c r="N76" t="s">
        <v>43</v>
      </c>
    </row>
    <row r="77" spans="1:14">
      <c r="A77" t="s">
        <v>236</v>
      </c>
      <c r="B77" t="s">
        <v>31</v>
      </c>
      <c r="C77" t="s">
        <v>4401</v>
      </c>
      <c r="D77" t="s">
        <v>259</v>
      </c>
      <c r="F77" t="s">
        <v>4402</v>
      </c>
      <c r="K77" t="s">
        <v>19</v>
      </c>
      <c r="M77" t="s">
        <v>323</v>
      </c>
    </row>
    <row r="78" spans="1:14">
      <c r="A78" t="s">
        <v>241</v>
      </c>
      <c r="B78" t="s">
        <v>31</v>
      </c>
      <c r="C78" t="s">
        <v>4403</v>
      </c>
      <c r="D78" t="s">
        <v>263</v>
      </c>
      <c r="F78" t="s">
        <v>4404</v>
      </c>
      <c r="K78" t="s">
        <v>19</v>
      </c>
      <c r="M78" t="s">
        <v>326</v>
      </c>
    </row>
    <row r="79" spans="1:14">
      <c r="A79" t="s">
        <v>266</v>
      </c>
      <c r="B79" t="s">
        <v>31</v>
      </c>
      <c r="C79" t="s">
        <v>4405</v>
      </c>
      <c r="D79" t="s">
        <v>268</v>
      </c>
      <c r="K79" t="s">
        <v>19</v>
      </c>
      <c r="M79" t="s">
        <v>328</v>
      </c>
      <c r="N79" t="s">
        <v>43</v>
      </c>
    </row>
    <row r="80" spans="1:14">
      <c r="A80" t="s">
        <v>266</v>
      </c>
      <c r="B80" t="s">
        <v>31</v>
      </c>
      <c r="C80" t="s">
        <v>4406</v>
      </c>
      <c r="D80" t="s">
        <v>271</v>
      </c>
      <c r="K80" t="s">
        <v>19</v>
      </c>
      <c r="M80" t="s">
        <v>330</v>
      </c>
      <c r="N80" t="s">
        <v>43</v>
      </c>
    </row>
    <row r="81" spans="1:14">
      <c r="A81" t="s">
        <v>241</v>
      </c>
      <c r="B81" t="s">
        <v>31</v>
      </c>
      <c r="C81" t="s">
        <v>4407</v>
      </c>
      <c r="D81" t="s">
        <v>4408</v>
      </c>
      <c r="K81" t="s">
        <v>19</v>
      </c>
      <c r="M81" t="s">
        <v>333</v>
      </c>
      <c r="N81" t="s">
        <v>43</v>
      </c>
    </row>
    <row r="82" spans="1:14">
      <c r="A82" t="s">
        <v>266</v>
      </c>
      <c r="B82" t="s">
        <v>31</v>
      </c>
      <c r="C82" t="s">
        <v>4409</v>
      </c>
      <c r="D82" t="s">
        <v>277</v>
      </c>
      <c r="K82" t="s">
        <v>19</v>
      </c>
      <c r="M82" t="s">
        <v>335</v>
      </c>
      <c r="N82" t="s">
        <v>43</v>
      </c>
    </row>
    <row r="83" spans="1:14">
      <c r="A83" t="s">
        <v>241</v>
      </c>
      <c r="B83" t="s">
        <v>31</v>
      </c>
      <c r="C83" t="s">
        <v>4410</v>
      </c>
      <c r="D83" t="s">
        <v>4411</v>
      </c>
      <c r="K83" t="s">
        <v>19</v>
      </c>
      <c r="M83" t="s">
        <v>338</v>
      </c>
      <c r="N83" t="s">
        <v>43</v>
      </c>
    </row>
    <row r="84" spans="1:14">
      <c r="A84" t="s">
        <v>266</v>
      </c>
      <c r="B84" t="s">
        <v>31</v>
      </c>
      <c r="C84" t="s">
        <v>4412</v>
      </c>
      <c r="D84" t="s">
        <v>283</v>
      </c>
      <c r="K84" t="s">
        <v>19</v>
      </c>
      <c r="M84" t="s">
        <v>340</v>
      </c>
      <c r="N84" t="s">
        <v>43</v>
      </c>
    </row>
    <row r="85" spans="1:14">
      <c r="A85" t="s">
        <v>241</v>
      </c>
      <c r="B85" t="s">
        <v>31</v>
      </c>
      <c r="C85" t="s">
        <v>4413</v>
      </c>
      <c r="D85" t="s">
        <v>4414</v>
      </c>
      <c r="K85" t="s">
        <v>19</v>
      </c>
      <c r="M85" t="s">
        <v>343</v>
      </c>
      <c r="N85" t="s">
        <v>43</v>
      </c>
    </row>
    <row r="86" spans="1:14">
      <c r="A86" t="s">
        <v>266</v>
      </c>
      <c r="B86" t="s">
        <v>31</v>
      </c>
      <c r="C86" t="s">
        <v>4415</v>
      </c>
      <c r="D86" t="s">
        <v>289</v>
      </c>
      <c r="K86" t="s">
        <v>19</v>
      </c>
      <c r="M86" t="s">
        <v>345</v>
      </c>
      <c r="N86" t="s">
        <v>43</v>
      </c>
    </row>
    <row r="87" spans="1:14">
      <c r="A87" t="s">
        <v>236</v>
      </c>
      <c r="B87" t="s">
        <v>31</v>
      </c>
      <c r="C87" t="s">
        <v>4416</v>
      </c>
      <c r="D87" t="s">
        <v>4417</v>
      </c>
      <c r="K87" t="s">
        <v>19</v>
      </c>
      <c r="M87" t="s">
        <v>348</v>
      </c>
      <c r="N87" t="s">
        <v>43</v>
      </c>
    </row>
    <row r="88" spans="1:14">
      <c r="A88" t="s">
        <v>241</v>
      </c>
      <c r="B88" t="s">
        <v>31</v>
      </c>
      <c r="C88" t="s">
        <v>4418</v>
      </c>
      <c r="D88" t="s">
        <v>295</v>
      </c>
      <c r="K88" t="s">
        <v>19</v>
      </c>
      <c r="M88" t="s">
        <v>350</v>
      </c>
      <c r="N88" t="s">
        <v>43</v>
      </c>
    </row>
    <row r="89" spans="1:14">
      <c r="A89" t="s">
        <v>236</v>
      </c>
      <c r="B89" t="s">
        <v>31</v>
      </c>
      <c r="C89" t="s">
        <v>4419</v>
      </c>
      <c r="D89" t="s">
        <v>4420</v>
      </c>
      <c r="K89" t="s">
        <v>19</v>
      </c>
      <c r="M89" t="s">
        <v>353</v>
      </c>
      <c r="N89" t="s">
        <v>43</v>
      </c>
    </row>
    <row r="90" spans="1:14">
      <c r="A90" t="s">
        <v>241</v>
      </c>
      <c r="B90" t="s">
        <v>31</v>
      </c>
      <c r="C90" t="s">
        <v>4421</v>
      </c>
      <c r="D90" t="s">
        <v>301</v>
      </c>
      <c r="K90" t="s">
        <v>19</v>
      </c>
      <c r="M90" t="s">
        <v>355</v>
      </c>
      <c r="N90" t="s">
        <v>43</v>
      </c>
    </row>
    <row r="91" spans="1:14">
      <c r="A91" t="s">
        <v>21</v>
      </c>
      <c r="B91" t="s">
        <v>31</v>
      </c>
      <c r="C91" t="s">
        <v>4422</v>
      </c>
      <c r="D91" t="s">
        <v>249</v>
      </c>
      <c r="K91" t="s">
        <v>19</v>
      </c>
      <c r="N91" t="s">
        <v>43</v>
      </c>
    </row>
    <row r="92" spans="1:14">
      <c r="A92" t="s">
        <v>26</v>
      </c>
      <c r="B92" t="s">
        <v>31</v>
      </c>
      <c r="C92" t="s">
        <v>4423</v>
      </c>
      <c r="D92" t="s">
        <v>358</v>
      </c>
      <c r="K92" t="s">
        <v>19</v>
      </c>
      <c r="N92" t="s">
        <v>43</v>
      </c>
    </row>
    <row r="93" spans="1:14">
      <c r="A93" t="s">
        <v>26</v>
      </c>
      <c r="B93" t="s">
        <v>31</v>
      </c>
      <c r="C93" t="s">
        <v>4424</v>
      </c>
      <c r="D93" t="s">
        <v>360</v>
      </c>
      <c r="K93" t="s">
        <v>19</v>
      </c>
      <c r="N93" t="s">
        <v>43</v>
      </c>
    </row>
    <row r="94" spans="1:14">
      <c r="A94" t="s">
        <v>21</v>
      </c>
      <c r="B94" t="s">
        <v>31</v>
      </c>
      <c r="C94" t="s">
        <v>4425</v>
      </c>
      <c r="D94" t="s">
        <v>994</v>
      </c>
      <c r="F94" t="s">
        <v>4346</v>
      </c>
      <c r="K94" t="s">
        <v>19</v>
      </c>
      <c r="M94" t="s">
        <v>859</v>
      </c>
    </row>
    <row r="95" spans="1:14">
      <c r="A95" t="s">
        <v>26</v>
      </c>
      <c r="B95" t="s">
        <v>31</v>
      </c>
      <c r="C95" t="s">
        <v>4426</v>
      </c>
      <c r="D95" t="s">
        <v>263</v>
      </c>
      <c r="F95" t="s">
        <v>4348</v>
      </c>
      <c r="K95" t="s">
        <v>19</v>
      </c>
      <c r="M95" t="s">
        <v>863</v>
      </c>
    </row>
    <row r="96" spans="1:14">
      <c r="A96" t="s">
        <v>236</v>
      </c>
      <c r="B96" t="s">
        <v>31</v>
      </c>
      <c r="C96" t="s">
        <v>4427</v>
      </c>
      <c r="D96" t="s">
        <v>268</v>
      </c>
      <c r="K96" t="s">
        <v>19</v>
      </c>
      <c r="M96" t="s">
        <v>866</v>
      </c>
      <c r="N96" t="s">
        <v>43</v>
      </c>
    </row>
    <row r="97" spans="1:14">
      <c r="A97" t="s">
        <v>236</v>
      </c>
      <c r="B97" t="s">
        <v>31</v>
      </c>
      <c r="C97" t="s">
        <v>4428</v>
      </c>
      <c r="D97" t="s">
        <v>271</v>
      </c>
      <c r="K97" t="s">
        <v>19</v>
      </c>
      <c r="M97" t="s">
        <v>869</v>
      </c>
      <c r="N97" t="s">
        <v>43</v>
      </c>
    </row>
    <row r="98" spans="1:14">
      <c r="A98" t="s">
        <v>26</v>
      </c>
      <c r="B98" t="s">
        <v>31</v>
      </c>
      <c r="C98" t="s">
        <v>4429</v>
      </c>
      <c r="D98" t="s">
        <v>999</v>
      </c>
      <c r="K98" t="s">
        <v>19</v>
      </c>
      <c r="M98" t="s">
        <v>872</v>
      </c>
      <c r="N98" t="s">
        <v>43</v>
      </c>
    </row>
    <row r="99" spans="1:14">
      <c r="A99" t="s">
        <v>26</v>
      </c>
      <c r="B99" t="s">
        <v>31</v>
      </c>
      <c r="C99" t="s">
        <v>4430</v>
      </c>
      <c r="D99" t="s">
        <v>283</v>
      </c>
      <c r="K99" t="s">
        <v>19</v>
      </c>
      <c r="M99" t="s">
        <v>875</v>
      </c>
      <c r="N99" t="s">
        <v>43</v>
      </c>
    </row>
    <row r="100" spans="1:14">
      <c r="A100" t="s">
        <v>26</v>
      </c>
      <c r="B100" t="s">
        <v>31</v>
      </c>
      <c r="C100" t="s">
        <v>4431</v>
      </c>
      <c r="D100" t="s">
        <v>289</v>
      </c>
      <c r="K100" t="s">
        <v>19</v>
      </c>
      <c r="M100" t="s">
        <v>878</v>
      </c>
      <c r="N100" t="s">
        <v>43</v>
      </c>
    </row>
    <row r="101" spans="1:14">
      <c r="A101" t="s">
        <v>21</v>
      </c>
      <c r="B101" t="s">
        <v>31</v>
      </c>
      <c r="C101" t="s">
        <v>4432</v>
      </c>
      <c r="D101" t="s">
        <v>1003</v>
      </c>
      <c r="K101" t="s">
        <v>19</v>
      </c>
      <c r="M101" t="s">
        <v>881</v>
      </c>
      <c r="N101" t="s">
        <v>43</v>
      </c>
    </row>
    <row r="102" spans="1:14">
      <c r="A102" t="s">
        <v>21</v>
      </c>
      <c r="B102" t="s">
        <v>31</v>
      </c>
      <c r="C102" t="s">
        <v>4433</v>
      </c>
      <c r="D102" t="s">
        <v>1005</v>
      </c>
      <c r="K102" t="s">
        <v>19</v>
      </c>
      <c r="M102" t="s">
        <v>883</v>
      </c>
      <c r="N102" t="s">
        <v>43</v>
      </c>
    </row>
    <row r="103" spans="1:14">
      <c r="A103" t="s">
        <v>21</v>
      </c>
      <c r="B103" t="s">
        <v>31</v>
      </c>
      <c r="C103" t="s">
        <v>4434</v>
      </c>
      <c r="D103" t="s">
        <v>362</v>
      </c>
      <c r="F103" t="s">
        <v>4435</v>
      </c>
      <c r="K103" t="s">
        <v>19</v>
      </c>
      <c r="M103" t="s">
        <v>364</v>
      </c>
    </row>
    <row r="104" spans="1:14">
      <c r="A104" t="s">
        <v>26</v>
      </c>
      <c r="B104" t="s">
        <v>31</v>
      </c>
      <c r="C104" t="s">
        <v>4435</v>
      </c>
      <c r="D104" t="s">
        <v>365</v>
      </c>
      <c r="F104" t="s">
        <v>4436</v>
      </c>
      <c r="K104" t="s">
        <v>19</v>
      </c>
      <c r="M104" t="s">
        <v>367</v>
      </c>
    </row>
    <row r="105" spans="1:14">
      <c r="A105" t="s">
        <v>236</v>
      </c>
      <c r="B105" t="s">
        <v>31</v>
      </c>
      <c r="C105" t="s">
        <v>4437</v>
      </c>
      <c r="D105" t="s">
        <v>369</v>
      </c>
      <c r="F105" t="s">
        <v>4438</v>
      </c>
      <c r="K105" t="s">
        <v>19</v>
      </c>
      <c r="M105" t="s">
        <v>371</v>
      </c>
    </row>
    <row r="106" spans="1:14">
      <c r="A106" t="s">
        <v>241</v>
      </c>
      <c r="B106" t="s">
        <v>31</v>
      </c>
      <c r="C106" t="s">
        <v>4439</v>
      </c>
      <c r="D106" t="s">
        <v>373</v>
      </c>
      <c r="K106" t="s">
        <v>19</v>
      </c>
      <c r="M106" t="s">
        <v>374</v>
      </c>
      <c r="N106" t="s">
        <v>43</v>
      </c>
    </row>
    <row r="107" spans="1:14">
      <c r="A107" t="s">
        <v>241</v>
      </c>
      <c r="B107" t="s">
        <v>31</v>
      </c>
      <c r="C107" t="s">
        <v>4440</v>
      </c>
      <c r="D107" t="s">
        <v>376</v>
      </c>
      <c r="K107" t="s">
        <v>19</v>
      </c>
      <c r="M107" t="s">
        <v>377</v>
      </c>
      <c r="N107" t="s">
        <v>43</v>
      </c>
    </row>
    <row r="108" spans="1:14">
      <c r="A108" t="s">
        <v>241</v>
      </c>
      <c r="B108" t="s">
        <v>31</v>
      </c>
      <c r="C108" t="s">
        <v>4441</v>
      </c>
      <c r="D108" t="s">
        <v>379</v>
      </c>
      <c r="K108" t="s">
        <v>19</v>
      </c>
      <c r="M108" t="s">
        <v>380</v>
      </c>
      <c r="N108" t="s">
        <v>43</v>
      </c>
    </row>
    <row r="109" spans="1:14">
      <c r="A109" t="s">
        <v>241</v>
      </c>
      <c r="B109" t="s">
        <v>31</v>
      </c>
      <c r="C109" t="s">
        <v>4442</v>
      </c>
      <c r="D109" t="s">
        <v>382</v>
      </c>
      <c r="K109" t="s">
        <v>19</v>
      </c>
      <c r="M109" t="s">
        <v>383</v>
      </c>
      <c r="N109" t="s">
        <v>43</v>
      </c>
    </row>
    <row r="110" spans="1:14">
      <c r="A110" t="s">
        <v>236</v>
      </c>
      <c r="B110" t="s">
        <v>31</v>
      </c>
      <c r="C110" t="s">
        <v>4443</v>
      </c>
      <c r="D110" t="s">
        <v>385</v>
      </c>
      <c r="F110" t="s">
        <v>4444</v>
      </c>
      <c r="K110" t="s">
        <v>19</v>
      </c>
      <c r="M110" t="s">
        <v>387</v>
      </c>
    </row>
    <row r="111" spans="1:14">
      <c r="A111" t="s">
        <v>241</v>
      </c>
      <c r="B111" t="s">
        <v>31</v>
      </c>
      <c r="C111" t="s">
        <v>4445</v>
      </c>
      <c r="D111" t="s">
        <v>389</v>
      </c>
      <c r="K111" t="s">
        <v>19</v>
      </c>
      <c r="M111" t="s">
        <v>390</v>
      </c>
      <c r="N111" t="s">
        <v>43</v>
      </c>
    </row>
    <row r="112" spans="1:14">
      <c r="A112" t="s">
        <v>241</v>
      </c>
      <c r="B112" t="s">
        <v>31</v>
      </c>
      <c r="C112" t="s">
        <v>4446</v>
      </c>
      <c r="D112" t="s">
        <v>392</v>
      </c>
      <c r="K112" t="s">
        <v>19</v>
      </c>
      <c r="M112" t="s">
        <v>393</v>
      </c>
      <c r="N112" t="s">
        <v>43</v>
      </c>
    </row>
    <row r="113" spans="1:14">
      <c r="A113" t="s">
        <v>241</v>
      </c>
      <c r="B113" t="s">
        <v>31</v>
      </c>
      <c r="C113" t="s">
        <v>4447</v>
      </c>
      <c r="D113" t="s">
        <v>395</v>
      </c>
      <c r="K113" t="s">
        <v>19</v>
      </c>
      <c r="M113" t="s">
        <v>396</v>
      </c>
      <c r="N113" t="s">
        <v>43</v>
      </c>
    </row>
    <row r="114" spans="1:14">
      <c r="A114" t="s">
        <v>241</v>
      </c>
      <c r="B114" t="s">
        <v>31</v>
      </c>
      <c r="C114" t="s">
        <v>4448</v>
      </c>
      <c r="D114" t="s">
        <v>398</v>
      </c>
      <c r="K114" t="s">
        <v>19</v>
      </c>
      <c r="M114" t="s">
        <v>399</v>
      </c>
      <c r="N114" t="s">
        <v>43</v>
      </c>
    </row>
    <row r="115" spans="1:14">
      <c r="A115" t="s">
        <v>241</v>
      </c>
      <c r="B115" t="s">
        <v>31</v>
      </c>
      <c r="C115" t="s">
        <v>4449</v>
      </c>
      <c r="D115" t="s">
        <v>401</v>
      </c>
      <c r="K115" t="s">
        <v>19</v>
      </c>
      <c r="M115" t="s">
        <v>402</v>
      </c>
      <c r="N115" t="s">
        <v>43</v>
      </c>
    </row>
    <row r="116" spans="1:14">
      <c r="A116" t="s">
        <v>241</v>
      </c>
      <c r="B116" t="s">
        <v>31</v>
      </c>
      <c r="C116" t="s">
        <v>4450</v>
      </c>
      <c r="D116" t="s">
        <v>404</v>
      </c>
      <c r="K116" t="s">
        <v>19</v>
      </c>
      <c r="M116" t="s">
        <v>405</v>
      </c>
      <c r="N116" t="s">
        <v>43</v>
      </c>
    </row>
    <row r="117" spans="1:14">
      <c r="A117" t="s">
        <v>241</v>
      </c>
      <c r="B117" t="s">
        <v>31</v>
      </c>
      <c r="C117" t="s">
        <v>4451</v>
      </c>
      <c r="D117" t="s">
        <v>407</v>
      </c>
      <c r="K117" t="s">
        <v>19</v>
      </c>
      <c r="M117" t="s">
        <v>408</v>
      </c>
      <c r="N117" t="s">
        <v>43</v>
      </c>
    </row>
    <row r="118" spans="1:14">
      <c r="A118" t="s">
        <v>241</v>
      </c>
      <c r="B118" t="s">
        <v>31</v>
      </c>
      <c r="C118" t="s">
        <v>4452</v>
      </c>
      <c r="D118" t="s">
        <v>410</v>
      </c>
      <c r="K118" t="s">
        <v>19</v>
      </c>
      <c r="M118" t="s">
        <v>411</v>
      </c>
      <c r="N118" t="s">
        <v>43</v>
      </c>
    </row>
    <row r="119" spans="1:14">
      <c r="A119" t="s">
        <v>241</v>
      </c>
      <c r="B119" t="s">
        <v>31</v>
      </c>
      <c r="C119" t="s">
        <v>4453</v>
      </c>
      <c r="D119" t="s">
        <v>413</v>
      </c>
      <c r="K119" t="s">
        <v>19</v>
      </c>
      <c r="M119" t="s">
        <v>414</v>
      </c>
      <c r="N119" t="s">
        <v>43</v>
      </c>
    </row>
    <row r="120" spans="1:14">
      <c r="A120" t="s">
        <v>241</v>
      </c>
      <c r="B120" t="s">
        <v>31</v>
      </c>
      <c r="C120" t="s">
        <v>4454</v>
      </c>
      <c r="D120" t="s">
        <v>416</v>
      </c>
      <c r="K120" t="s">
        <v>19</v>
      </c>
      <c r="M120" t="s">
        <v>417</v>
      </c>
      <c r="N120" t="s">
        <v>43</v>
      </c>
    </row>
    <row r="121" spans="1:14">
      <c r="A121" t="s">
        <v>241</v>
      </c>
      <c r="B121" t="s">
        <v>31</v>
      </c>
      <c r="C121" t="s">
        <v>4455</v>
      </c>
      <c r="D121" t="s">
        <v>419</v>
      </c>
      <c r="K121" t="s">
        <v>19</v>
      </c>
      <c r="M121" t="s">
        <v>420</v>
      </c>
      <c r="N121" t="s">
        <v>43</v>
      </c>
    </row>
    <row r="122" spans="1:14">
      <c r="A122" t="s">
        <v>241</v>
      </c>
      <c r="B122" t="s">
        <v>31</v>
      </c>
      <c r="C122" t="s">
        <v>4456</v>
      </c>
      <c r="D122" t="s">
        <v>422</v>
      </c>
      <c r="F122" t="s">
        <v>4457</v>
      </c>
      <c r="K122" t="s">
        <v>19</v>
      </c>
      <c r="M122" t="s">
        <v>424</v>
      </c>
    </row>
    <row r="123" spans="1:14">
      <c r="A123" t="s">
        <v>241</v>
      </c>
      <c r="B123" t="s">
        <v>31</v>
      </c>
      <c r="C123" t="s">
        <v>4458</v>
      </c>
      <c r="D123" t="s">
        <v>426</v>
      </c>
      <c r="F123" t="s">
        <v>4459</v>
      </c>
      <c r="K123" t="s">
        <v>19</v>
      </c>
      <c r="M123" t="s">
        <v>428</v>
      </c>
    </row>
    <row r="124" spans="1:14">
      <c r="A124" t="s">
        <v>241</v>
      </c>
      <c r="B124" t="s">
        <v>31</v>
      </c>
      <c r="C124" t="s">
        <v>4460</v>
      </c>
      <c r="D124" t="s">
        <v>430</v>
      </c>
      <c r="F124" t="s">
        <v>4461</v>
      </c>
      <c r="K124" t="s">
        <v>19</v>
      </c>
      <c r="M124" t="s">
        <v>432</v>
      </c>
    </row>
    <row r="125" spans="1:14">
      <c r="A125" t="s">
        <v>236</v>
      </c>
      <c r="B125" t="s">
        <v>31</v>
      </c>
      <c r="C125" t="s">
        <v>4462</v>
      </c>
      <c r="D125" t="s">
        <v>434</v>
      </c>
      <c r="F125" t="s">
        <v>4463</v>
      </c>
      <c r="K125" t="s">
        <v>19</v>
      </c>
      <c r="M125" t="s">
        <v>436</v>
      </c>
    </row>
    <row r="126" spans="1:14">
      <c r="A126" t="s">
        <v>241</v>
      </c>
      <c r="B126" t="s">
        <v>31</v>
      </c>
      <c r="C126" t="s">
        <v>4464</v>
      </c>
      <c r="D126" t="s">
        <v>438</v>
      </c>
      <c r="K126" t="s">
        <v>19</v>
      </c>
      <c r="M126" t="s">
        <v>439</v>
      </c>
      <c r="N126" t="s">
        <v>43</v>
      </c>
    </row>
    <row r="127" spans="1:14">
      <c r="A127" t="s">
        <v>241</v>
      </c>
      <c r="B127" t="s">
        <v>31</v>
      </c>
      <c r="C127" t="s">
        <v>4465</v>
      </c>
      <c r="D127" t="s">
        <v>441</v>
      </c>
      <c r="K127" t="s">
        <v>19</v>
      </c>
      <c r="M127" t="s">
        <v>442</v>
      </c>
      <c r="N127" t="s">
        <v>43</v>
      </c>
    </row>
    <row r="128" spans="1:14">
      <c r="A128" t="s">
        <v>241</v>
      </c>
      <c r="B128" t="s">
        <v>31</v>
      </c>
      <c r="C128" t="s">
        <v>4466</v>
      </c>
      <c r="D128" t="s">
        <v>444</v>
      </c>
      <c r="K128" t="s">
        <v>19</v>
      </c>
      <c r="M128" t="s">
        <v>445</v>
      </c>
      <c r="N128" t="s">
        <v>43</v>
      </c>
    </row>
  </sheetData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9"/>
  <sheetViews>
    <sheetView workbookViewId="0">
      <selection activeCell="C1" sqref="C1"/>
    </sheetView>
  </sheetViews>
  <sheetFormatPr defaultColWidth="9" defaultRowHeight="16.8"/>
  <cols>
    <col min="3" max="3" width="9.66071428571429" customWidth="1"/>
    <col min="4" max="4" width="15.5" customWidth="1"/>
  </cols>
  <sheetData>
    <row r="1" s="1" customFormat="1" ht="15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/>
      <c r="O1" s="6"/>
      <c r="P1" t="s">
        <v>13</v>
      </c>
    </row>
    <row r="2" ht="15" customHeight="1" spans="1:16">
      <c r="A2" s="7" t="s">
        <v>14</v>
      </c>
      <c r="B2" s="1" t="s">
        <v>15</v>
      </c>
      <c r="C2" s="8" t="s">
        <v>4467</v>
      </c>
      <c r="D2" s="7" t="s">
        <v>17</v>
      </c>
      <c r="E2" s="5"/>
      <c r="F2" s="5" t="s">
        <v>4468</v>
      </c>
      <c r="G2" s="5"/>
      <c r="H2" s="5">
        <f>H3+H6+H7</f>
        <v>0</v>
      </c>
      <c r="I2" s="5">
        <f>I3+I6+I7</f>
        <v>0</v>
      </c>
      <c r="J2" s="5"/>
      <c r="M2" t="s">
        <v>20</v>
      </c>
    </row>
    <row r="3" ht="15" customHeight="1" spans="1:16">
      <c r="A3" s="1" t="s">
        <v>21</v>
      </c>
      <c r="B3" s="1" t="s">
        <v>15</v>
      </c>
      <c r="C3" s="8" t="s">
        <v>4469</v>
      </c>
      <c r="D3" s="1" t="s">
        <v>23</v>
      </c>
      <c r="E3" s="5"/>
      <c r="F3" s="5" t="s">
        <v>4470</v>
      </c>
      <c r="G3" s="5"/>
      <c r="H3" s="5">
        <f>H4+H5</f>
        <v>0</v>
      </c>
      <c r="I3" s="5">
        <f>I4+I5</f>
        <v>0</v>
      </c>
      <c r="J3" s="5"/>
      <c r="M3" t="s">
        <v>25</v>
      </c>
    </row>
    <row r="4" ht="15" customHeight="1" spans="1:16">
      <c r="A4" s="1" t="s">
        <v>26</v>
      </c>
      <c r="B4" s="1" t="s">
        <v>15</v>
      </c>
      <c r="C4" s="9" t="s">
        <v>4471</v>
      </c>
      <c r="D4" s="1" t="s">
        <v>822</v>
      </c>
      <c r="E4" s="5"/>
      <c r="F4" s="5"/>
      <c r="G4" s="5"/>
      <c r="H4" s="5"/>
      <c r="I4" s="5"/>
      <c r="J4" s="5"/>
      <c r="M4" t="s">
        <v>823</v>
      </c>
      <c r="P4" t="s">
        <v>43</v>
      </c>
    </row>
    <row r="5" ht="15" customHeight="1" spans="1:16">
      <c r="A5" s="1" t="s">
        <v>26</v>
      </c>
      <c r="B5" s="1" t="s">
        <v>15</v>
      </c>
      <c r="C5" s="9" t="s">
        <v>4472</v>
      </c>
      <c r="D5" s="1" t="s">
        <v>829</v>
      </c>
      <c r="E5" s="5"/>
      <c r="F5" s="5"/>
      <c r="G5" s="5"/>
      <c r="H5" s="5"/>
      <c r="I5" s="5"/>
      <c r="J5" s="5"/>
      <c r="M5" t="s">
        <v>830</v>
      </c>
      <c r="P5" t="s">
        <v>43</v>
      </c>
    </row>
    <row r="6" ht="15" customHeight="1" spans="1:16">
      <c r="A6" s="1" t="s">
        <v>21</v>
      </c>
      <c r="B6" s="1" t="s">
        <v>15</v>
      </c>
      <c r="C6" s="8" t="s">
        <v>4473</v>
      </c>
      <c r="D6" s="1" t="s">
        <v>37</v>
      </c>
      <c r="E6" s="5"/>
      <c r="F6" s="5"/>
      <c r="G6" s="5"/>
      <c r="H6" s="5">
        <f>H32-H35</f>
        <v>0</v>
      </c>
      <c r="I6" s="5">
        <f>I32-I35</f>
        <v>0</v>
      </c>
      <c r="J6" s="5"/>
      <c r="M6" t="s">
        <v>39</v>
      </c>
      <c r="P6" t="s">
        <v>43</v>
      </c>
    </row>
    <row r="7" ht="15" customHeight="1" spans="1:16">
      <c r="A7" s="1" t="s">
        <v>21</v>
      </c>
      <c r="B7" s="1" t="s">
        <v>15</v>
      </c>
      <c r="C7" s="8" t="s">
        <v>4474</v>
      </c>
      <c r="D7" s="1" t="s">
        <v>48</v>
      </c>
      <c r="E7" s="5"/>
      <c r="F7" s="5"/>
      <c r="G7" s="5"/>
      <c r="H7" s="5">
        <f>H38+H40</f>
        <v>0</v>
      </c>
      <c r="I7" s="5">
        <f>I38+I40</f>
        <v>0</v>
      </c>
      <c r="J7" s="5"/>
      <c r="M7" t="s">
        <v>49</v>
      </c>
      <c r="P7" t="s">
        <v>43</v>
      </c>
    </row>
    <row r="8" ht="15" customHeight="1" spans="1:16">
      <c r="A8" s="7" t="s">
        <v>14</v>
      </c>
      <c r="B8" s="1" t="s">
        <v>31</v>
      </c>
      <c r="C8" s="8" t="s">
        <v>4475</v>
      </c>
      <c r="D8" s="7" t="s">
        <v>840</v>
      </c>
      <c r="E8" s="5"/>
      <c r="F8" s="5"/>
      <c r="G8" s="5"/>
      <c r="H8" s="5"/>
      <c r="I8" s="5"/>
      <c r="J8" s="5"/>
      <c r="M8" t="s">
        <v>53</v>
      </c>
      <c r="P8" t="s">
        <v>43</v>
      </c>
    </row>
    <row r="9" ht="15" customHeight="1" spans="1:16">
      <c r="A9" s="7" t="s">
        <v>14</v>
      </c>
      <c r="B9" s="1" t="s">
        <v>15</v>
      </c>
      <c r="C9" s="8" t="s">
        <v>4476</v>
      </c>
      <c r="D9" s="7" t="s">
        <v>68</v>
      </c>
      <c r="E9" s="5"/>
      <c r="F9" s="5" t="s">
        <v>4477</v>
      </c>
      <c r="G9" s="5"/>
      <c r="H9" s="5">
        <f>H2-H8</f>
        <v>0</v>
      </c>
      <c r="I9" s="5">
        <f>I2-I8</f>
        <v>0</v>
      </c>
      <c r="J9" s="5"/>
      <c r="M9" t="s">
        <v>70</v>
      </c>
    </row>
    <row r="10" ht="15" customHeight="1" spans="1:16">
      <c r="A10" s="7" t="s">
        <v>14</v>
      </c>
      <c r="B10" s="1" t="s">
        <v>31</v>
      </c>
      <c r="C10" s="8" t="s">
        <v>4478</v>
      </c>
      <c r="D10" s="7" t="s">
        <v>72</v>
      </c>
      <c r="E10" s="5"/>
      <c r="F10" s="5"/>
      <c r="G10" s="5"/>
      <c r="H10" s="5"/>
      <c r="I10" s="5"/>
      <c r="J10" s="5"/>
      <c r="M10" t="s">
        <v>73</v>
      </c>
      <c r="P10" t="s">
        <v>43</v>
      </c>
    </row>
    <row r="11" ht="15" customHeight="1" spans="1:16">
      <c r="A11" s="7" t="s">
        <v>14</v>
      </c>
      <c r="B11" s="1" t="s">
        <v>31</v>
      </c>
      <c r="C11" s="8" t="s">
        <v>4479</v>
      </c>
      <c r="D11" s="7" t="s">
        <v>844</v>
      </c>
      <c r="E11" s="5"/>
      <c r="F11" s="5" t="s">
        <v>4480</v>
      </c>
      <c r="G11" s="5"/>
      <c r="H11" s="5">
        <f>H12+H15+H18+H25+H26</f>
        <v>0</v>
      </c>
      <c r="I11" s="5">
        <f>I12+I15+I18+I25+I26</f>
        <v>0</v>
      </c>
      <c r="J11" s="5"/>
      <c r="K11" t="s">
        <v>19</v>
      </c>
      <c r="M11" t="s">
        <v>227</v>
      </c>
    </row>
    <row r="12" ht="15" customHeight="1" spans="1:16">
      <c r="A12" s="1" t="s">
        <v>21</v>
      </c>
      <c r="B12" s="1" t="s">
        <v>31</v>
      </c>
      <c r="C12" s="8" t="s">
        <v>4481</v>
      </c>
      <c r="D12" s="1" t="s">
        <v>847</v>
      </c>
      <c r="E12" s="5"/>
      <c r="F12" s="5" t="s">
        <v>4482</v>
      </c>
      <c r="G12" s="5"/>
      <c r="H12" s="5">
        <f>H13+H14</f>
        <v>0</v>
      </c>
      <c r="I12" s="5">
        <f>I13+I14</f>
        <v>0</v>
      </c>
      <c r="J12" s="5"/>
      <c r="K12" t="s">
        <v>19</v>
      </c>
      <c r="M12" t="s">
        <v>231</v>
      </c>
    </row>
    <row r="13" ht="15" customHeight="1" spans="1:16">
      <c r="A13" s="1" t="s">
        <v>26</v>
      </c>
      <c r="B13" s="1" t="s">
        <v>31</v>
      </c>
      <c r="C13" s="9" t="s">
        <v>4483</v>
      </c>
      <c r="D13" s="1" t="s">
        <v>83</v>
      </c>
      <c r="E13" s="5"/>
      <c r="F13" s="5" t="s">
        <v>4484</v>
      </c>
      <c r="G13" s="5"/>
      <c r="H13" s="5"/>
      <c r="I13" s="5"/>
      <c r="J13" s="5"/>
      <c r="K13" t="s">
        <v>19</v>
      </c>
      <c r="M13" t="s">
        <v>235</v>
      </c>
    </row>
    <row r="14" ht="15" customHeight="1" spans="1:16">
      <c r="A14" s="1" t="s">
        <v>26</v>
      </c>
      <c r="B14" s="1" t="s">
        <v>31</v>
      </c>
      <c r="C14" s="9" t="s">
        <v>4485</v>
      </c>
      <c r="D14" s="1" t="s">
        <v>852</v>
      </c>
      <c r="E14" s="5"/>
      <c r="F14" s="5" t="s">
        <v>4486</v>
      </c>
      <c r="G14" s="5"/>
      <c r="H14" s="5"/>
      <c r="I14" s="5"/>
      <c r="J14" s="5"/>
      <c r="K14" t="s">
        <v>19</v>
      </c>
      <c r="M14" t="s">
        <v>306</v>
      </c>
    </row>
    <row r="15" ht="15" customHeight="1" spans="1:16">
      <c r="A15" s="1" t="s">
        <v>21</v>
      </c>
      <c r="B15" s="1" t="s">
        <v>31</v>
      </c>
      <c r="C15" s="8" t="s">
        <v>4487</v>
      </c>
      <c r="D15" s="1" t="s">
        <v>92</v>
      </c>
      <c r="E15" s="5"/>
      <c r="F15" s="5" t="s">
        <v>4488</v>
      </c>
      <c r="G15" s="5"/>
      <c r="H15" s="5">
        <f>H16+H17</f>
        <v>0</v>
      </c>
      <c r="I15" s="5">
        <f>I16+I17</f>
        <v>0</v>
      </c>
      <c r="J15" s="5"/>
      <c r="K15" t="s">
        <v>19</v>
      </c>
      <c r="M15" t="s">
        <v>364</v>
      </c>
    </row>
    <row r="16" ht="15" customHeight="1" spans="1:16">
      <c r="A16" s="1" t="s">
        <v>26</v>
      </c>
      <c r="B16" s="1" t="s">
        <v>31</v>
      </c>
      <c r="C16" s="9" t="s">
        <v>4489</v>
      </c>
      <c r="D16" s="1" t="s">
        <v>94</v>
      </c>
      <c r="E16" s="5"/>
      <c r="F16" s="5"/>
      <c r="G16" s="5"/>
      <c r="H16" s="5"/>
      <c r="I16" s="5"/>
      <c r="J16" s="5"/>
      <c r="K16" t="s">
        <v>19</v>
      </c>
      <c r="M16" t="s">
        <v>1063</v>
      </c>
      <c r="P16" t="s">
        <v>43</v>
      </c>
    </row>
    <row r="17" ht="15" customHeight="1" spans="1:16">
      <c r="A17" s="1" t="s">
        <v>26</v>
      </c>
      <c r="B17" s="1" t="s">
        <v>31</v>
      </c>
      <c r="C17" s="9" t="s">
        <v>4490</v>
      </c>
      <c r="D17" s="1" t="s">
        <v>96</v>
      </c>
      <c r="E17" s="5"/>
      <c r="F17" s="5"/>
      <c r="G17" s="5"/>
      <c r="H17" s="5"/>
      <c r="I17" s="5"/>
      <c r="J17" s="5"/>
      <c r="K17" t="s">
        <v>19</v>
      </c>
      <c r="M17" t="s">
        <v>1065</v>
      </c>
      <c r="P17" t="s">
        <v>43</v>
      </c>
    </row>
    <row r="18" ht="15" customHeight="1" spans="1:16">
      <c r="A18" s="1" t="s">
        <v>21</v>
      </c>
      <c r="B18" s="1" t="s">
        <v>31</v>
      </c>
      <c r="C18" s="8" t="s">
        <v>4491</v>
      </c>
      <c r="D18" s="1" t="s">
        <v>98</v>
      </c>
      <c r="E18" s="5"/>
      <c r="F18" s="5" t="s">
        <v>4492</v>
      </c>
      <c r="G18" s="5"/>
      <c r="H18" s="5">
        <f>H19+H22+H23+H24</f>
        <v>0</v>
      </c>
      <c r="I18" s="5">
        <f>I19+I22+I23+I24</f>
        <v>0</v>
      </c>
      <c r="J18" s="5"/>
      <c r="K18" t="s">
        <v>19</v>
      </c>
      <c r="M18" t="s">
        <v>859</v>
      </c>
    </row>
    <row r="19" ht="15" customHeight="1" spans="1:16">
      <c r="A19" s="1" t="s">
        <v>26</v>
      </c>
      <c r="B19" s="1" t="s">
        <v>31</v>
      </c>
      <c r="C19" s="9" t="s">
        <v>4493</v>
      </c>
      <c r="D19" s="1" t="s">
        <v>861</v>
      </c>
      <c r="E19" s="5"/>
      <c r="F19" s="5" t="s">
        <v>4494</v>
      </c>
      <c r="G19" s="5"/>
      <c r="H19" s="5">
        <f>H20+H21</f>
        <v>0</v>
      </c>
      <c r="I19" s="5">
        <f>I20+I21</f>
        <v>0</v>
      </c>
      <c r="J19" s="5"/>
      <c r="K19" t="s">
        <v>19</v>
      </c>
      <c r="M19" t="s">
        <v>863</v>
      </c>
    </row>
    <row r="20" ht="15" customHeight="1" spans="1:16">
      <c r="A20" s="1" t="s">
        <v>236</v>
      </c>
      <c r="B20" s="1" t="s">
        <v>31</v>
      </c>
      <c r="C20" s="9" t="s">
        <v>4495</v>
      </c>
      <c r="D20" s="1" t="s">
        <v>865</v>
      </c>
      <c r="E20" s="5"/>
      <c r="F20" s="5"/>
      <c r="G20" s="5"/>
      <c r="H20" s="5"/>
      <c r="I20" s="5"/>
      <c r="J20" s="5"/>
      <c r="K20" t="s">
        <v>19</v>
      </c>
      <c r="M20" t="s">
        <v>866</v>
      </c>
      <c r="P20" t="s">
        <v>43</v>
      </c>
    </row>
    <row r="21" ht="15" customHeight="1" spans="1:16">
      <c r="A21" s="1" t="s">
        <v>236</v>
      </c>
      <c r="B21" s="1" t="s">
        <v>31</v>
      </c>
      <c r="C21" s="9" t="s">
        <v>4496</v>
      </c>
      <c r="D21" s="1" t="s">
        <v>868</v>
      </c>
      <c r="E21" s="5"/>
      <c r="F21" s="5"/>
      <c r="G21" s="5"/>
      <c r="H21" s="5"/>
      <c r="I21" s="5"/>
      <c r="J21" s="5"/>
      <c r="K21" t="s">
        <v>19</v>
      </c>
      <c r="M21" t="s">
        <v>869</v>
      </c>
      <c r="P21" t="s">
        <v>43</v>
      </c>
    </row>
    <row r="22" ht="15" customHeight="1" spans="1:16">
      <c r="A22" s="1" t="s">
        <v>26</v>
      </c>
      <c r="B22" s="1" t="s">
        <v>31</v>
      </c>
      <c r="C22" s="9" t="s">
        <v>4497</v>
      </c>
      <c r="D22" s="1" t="s">
        <v>871</v>
      </c>
      <c r="E22" s="5"/>
      <c r="F22" s="5"/>
      <c r="G22" s="5"/>
      <c r="H22" s="5"/>
      <c r="I22" s="5"/>
      <c r="J22" s="5"/>
      <c r="K22" t="s">
        <v>19</v>
      </c>
      <c r="M22" t="s">
        <v>872</v>
      </c>
      <c r="P22" t="s">
        <v>43</v>
      </c>
    </row>
    <row r="23" ht="15" customHeight="1" spans="1:16">
      <c r="A23" s="1" t="s">
        <v>26</v>
      </c>
      <c r="B23" s="1" t="s">
        <v>31</v>
      </c>
      <c r="C23" s="9" t="s">
        <v>4498</v>
      </c>
      <c r="D23" s="1" t="s">
        <v>874</v>
      </c>
      <c r="E23" s="5"/>
      <c r="F23" s="5"/>
      <c r="G23" s="5"/>
      <c r="H23" s="5"/>
      <c r="I23" s="5"/>
      <c r="J23" s="5"/>
      <c r="K23" t="s">
        <v>19</v>
      </c>
      <c r="M23" t="s">
        <v>875</v>
      </c>
      <c r="P23" t="s">
        <v>43</v>
      </c>
    </row>
    <row r="24" ht="15" customHeight="1" spans="1:16">
      <c r="A24" s="1" t="s">
        <v>26</v>
      </c>
      <c r="B24" s="1" t="s">
        <v>31</v>
      </c>
      <c r="C24" s="9" t="s">
        <v>4499</v>
      </c>
      <c r="D24" s="1" t="s">
        <v>877</v>
      </c>
      <c r="E24" s="5"/>
      <c r="F24" s="5"/>
      <c r="G24" s="5"/>
      <c r="H24" s="5"/>
      <c r="I24" s="5"/>
      <c r="J24" s="5"/>
      <c r="K24" t="s">
        <v>19</v>
      </c>
      <c r="M24" t="s">
        <v>878</v>
      </c>
      <c r="P24" t="s">
        <v>43</v>
      </c>
    </row>
    <row r="25" ht="15" customHeight="1" spans="1:16">
      <c r="A25" s="1" t="s">
        <v>21</v>
      </c>
      <c r="B25" s="1" t="s">
        <v>31</v>
      </c>
      <c r="C25" s="8" t="s">
        <v>4500</v>
      </c>
      <c r="D25" s="1" t="s">
        <v>880</v>
      </c>
      <c r="E25" s="5"/>
      <c r="F25" s="5"/>
      <c r="G25" s="5"/>
      <c r="H25" s="5"/>
      <c r="I25" s="5"/>
      <c r="J25" s="5"/>
      <c r="K25" t="s">
        <v>19</v>
      </c>
      <c r="M25" t="s">
        <v>881</v>
      </c>
      <c r="P25" t="s">
        <v>43</v>
      </c>
    </row>
    <row r="26" ht="15" customHeight="1" spans="1:16">
      <c r="A26" s="1" t="s">
        <v>21</v>
      </c>
      <c r="B26" s="1" t="s">
        <v>31</v>
      </c>
      <c r="C26" s="8" t="s">
        <v>4501</v>
      </c>
      <c r="D26" s="1" t="s">
        <v>101</v>
      </c>
      <c r="E26" s="5"/>
      <c r="F26" s="5"/>
      <c r="G26" s="5"/>
      <c r="H26" s="5"/>
      <c r="I26" s="5"/>
      <c r="J26" s="5"/>
      <c r="K26" t="s">
        <v>19</v>
      </c>
      <c r="M26" t="s">
        <v>883</v>
      </c>
      <c r="P26" t="s">
        <v>43</v>
      </c>
    </row>
    <row r="27" ht="15" customHeight="1" spans="1:16">
      <c r="A27" s="7" t="s">
        <v>14</v>
      </c>
      <c r="B27" s="1" t="s">
        <v>15</v>
      </c>
      <c r="C27" s="8" t="s">
        <v>4502</v>
      </c>
      <c r="D27" s="7" t="s">
        <v>104</v>
      </c>
      <c r="E27" s="5"/>
      <c r="F27" s="5"/>
      <c r="G27" s="5"/>
      <c r="H27" s="5"/>
      <c r="I27" s="5"/>
      <c r="J27" s="5"/>
      <c r="M27" t="s">
        <v>105</v>
      </c>
      <c r="P27" t="s">
        <v>43</v>
      </c>
    </row>
    <row r="28" ht="15" customHeight="1" spans="1:16">
      <c r="A28" s="7" t="s">
        <v>14</v>
      </c>
      <c r="B28" s="1" t="s">
        <v>106</v>
      </c>
      <c r="C28" s="8" t="s">
        <v>4503</v>
      </c>
      <c r="D28" s="7" t="s">
        <v>886</v>
      </c>
      <c r="E28" s="5"/>
      <c r="F28" s="5" t="s">
        <v>4504</v>
      </c>
      <c r="G28" s="5"/>
      <c r="H28" s="5">
        <f>H9-H10-H11+H27</f>
        <v>0</v>
      </c>
      <c r="I28" s="5">
        <f>I9-I10-I11+I27</f>
        <v>0</v>
      </c>
      <c r="J28" s="5"/>
      <c r="M28" t="s">
        <v>887</v>
      </c>
    </row>
    <row r="29" ht="15" customHeight="1" spans="1:16">
      <c r="A29" s="7" t="s">
        <v>14</v>
      </c>
      <c r="B29" s="1" t="s">
        <v>31</v>
      </c>
      <c r="C29" s="8" t="s">
        <v>4505</v>
      </c>
      <c r="D29" s="7" t="s">
        <v>889</v>
      </c>
      <c r="E29" s="5"/>
      <c r="F29" s="5"/>
      <c r="G29" s="5"/>
      <c r="H29" s="5"/>
      <c r="I29" s="5"/>
      <c r="J29" s="5"/>
      <c r="M29" t="s">
        <v>890</v>
      </c>
      <c r="P29" t="s">
        <v>43</v>
      </c>
    </row>
    <row r="30" ht="15" customHeight="1" spans="1:16">
      <c r="A30" s="7" t="s">
        <v>14</v>
      </c>
      <c r="B30" s="1" t="s">
        <v>106</v>
      </c>
      <c r="C30" s="8" t="s">
        <v>4506</v>
      </c>
      <c r="D30" s="7" t="s">
        <v>108</v>
      </c>
      <c r="E30" s="5"/>
      <c r="F30" s="5" t="s">
        <v>4507</v>
      </c>
      <c r="G30" s="5"/>
      <c r="H30" s="5">
        <f>H28-H29</f>
        <v>0</v>
      </c>
      <c r="I30" s="5">
        <f>I28-I29</f>
        <v>0</v>
      </c>
      <c r="J30" s="5"/>
      <c r="M30" t="s">
        <v>110</v>
      </c>
    </row>
    <row r="31" ht="15" customHeight="1" spans="1:16">
      <c r="A31" s="10"/>
      <c r="B31" s="10"/>
      <c r="C31" s="10"/>
      <c r="D31" s="10"/>
      <c r="E31" s="5"/>
      <c r="F31" s="5"/>
      <c r="G31" s="5"/>
      <c r="H31" s="5"/>
      <c r="I31" s="5"/>
      <c r="J31" s="5"/>
    </row>
    <row r="32" ht="15" customHeight="1" spans="1:16">
      <c r="A32" s="11" t="s">
        <v>14</v>
      </c>
      <c r="B32" s="11" t="s">
        <v>15</v>
      </c>
      <c r="C32" s="8" t="s">
        <v>4508</v>
      </c>
      <c r="D32" s="11" t="s">
        <v>1307</v>
      </c>
      <c r="E32" s="5"/>
      <c r="F32" s="5" t="s">
        <v>4509</v>
      </c>
      <c r="G32" s="5"/>
      <c r="H32" s="5">
        <f>H33</f>
        <v>0</v>
      </c>
      <c r="I32" s="5">
        <f>I33</f>
        <v>0</v>
      </c>
      <c r="J32" s="5"/>
      <c r="M32" t="s">
        <v>42</v>
      </c>
    </row>
    <row r="33" ht="15" customHeight="1" spans="1:16">
      <c r="A33" s="11" t="s">
        <v>21</v>
      </c>
      <c r="B33" s="11" t="s">
        <v>15</v>
      </c>
      <c r="C33" s="8" t="s">
        <v>4509</v>
      </c>
      <c r="D33" s="11" t="s">
        <v>2498</v>
      </c>
      <c r="E33" s="5"/>
      <c r="F33" s="5"/>
      <c r="G33" s="5"/>
      <c r="H33" s="5"/>
      <c r="I33" s="5"/>
      <c r="J33" s="5"/>
      <c r="M33" t="s">
        <v>1356</v>
      </c>
      <c r="P33" t="s">
        <v>43</v>
      </c>
    </row>
    <row r="34" ht="15" customHeight="1" spans="1:16">
      <c r="A34" s="1"/>
      <c r="B34" s="1"/>
      <c r="C34" s="9"/>
      <c r="D34" s="1"/>
      <c r="E34" s="5"/>
      <c r="F34" s="5"/>
      <c r="G34" s="5"/>
      <c r="H34" s="5"/>
      <c r="I34" s="5"/>
      <c r="J34" s="5"/>
    </row>
    <row r="35" ht="15" customHeight="1" spans="1:16">
      <c r="A35" s="11" t="s">
        <v>14</v>
      </c>
      <c r="B35" s="11" t="s">
        <v>31</v>
      </c>
      <c r="C35" s="8" t="s">
        <v>4510</v>
      </c>
      <c r="D35" s="11" t="s">
        <v>1358</v>
      </c>
      <c r="E35" s="5"/>
      <c r="F35" s="5" t="s">
        <v>4511</v>
      </c>
      <c r="G35" s="5"/>
      <c r="H35" s="5">
        <f>H36</f>
        <v>0</v>
      </c>
      <c r="I35" s="5">
        <f>I36</f>
        <v>0</v>
      </c>
      <c r="J35" s="5"/>
      <c r="M35" t="s">
        <v>46</v>
      </c>
    </row>
    <row r="36" ht="15" customHeight="1" spans="1:16">
      <c r="A36" s="11" t="s">
        <v>21</v>
      </c>
      <c r="B36" s="11" t="s">
        <v>31</v>
      </c>
      <c r="C36" s="8" t="s">
        <v>4511</v>
      </c>
      <c r="D36" s="11" t="s">
        <v>3657</v>
      </c>
      <c r="E36" s="5"/>
      <c r="F36" s="5"/>
      <c r="G36" s="5"/>
      <c r="H36" s="5"/>
      <c r="I36" s="5"/>
      <c r="J36" s="5"/>
      <c r="M36" t="s">
        <v>1420</v>
      </c>
      <c r="P36" t="s">
        <v>43</v>
      </c>
    </row>
    <row r="37" ht="15" customHeight="1" spans="1:16">
      <c r="A37" s="10"/>
      <c r="B37" s="10"/>
      <c r="C37" s="10"/>
      <c r="D37" s="10"/>
      <c r="E37" s="5"/>
      <c r="F37" s="5"/>
      <c r="G37" s="5"/>
      <c r="H37" s="5"/>
      <c r="I37" s="5"/>
      <c r="J37" s="5"/>
    </row>
    <row r="38" ht="15" customHeight="1" spans="1:16">
      <c r="A38" s="11" t="s">
        <v>14</v>
      </c>
      <c r="B38" s="11" t="s">
        <v>15</v>
      </c>
      <c r="C38" s="11" t="s">
        <v>4512</v>
      </c>
      <c r="D38" s="11" t="s">
        <v>1422</v>
      </c>
      <c r="E38" s="5"/>
      <c r="F38" s="5"/>
      <c r="G38" s="5"/>
      <c r="H38" s="5"/>
      <c r="I38" s="5"/>
      <c r="J38" s="5"/>
      <c r="M38" t="s">
        <v>1423</v>
      </c>
      <c r="P38" t="s">
        <v>43</v>
      </c>
    </row>
    <row r="39" ht="15" customHeight="1" spans="1:16">
      <c r="A39" s="10"/>
      <c r="B39" s="10"/>
      <c r="C39" s="10"/>
      <c r="D39" s="10"/>
      <c r="E39" s="5"/>
      <c r="F39" s="5"/>
      <c r="G39" s="5"/>
      <c r="H39" s="5"/>
      <c r="I39" s="5"/>
      <c r="J39" s="5"/>
    </row>
    <row r="40" ht="15" customHeight="1" spans="1:16">
      <c r="A40" s="11" t="s">
        <v>14</v>
      </c>
      <c r="B40" s="11" t="s">
        <v>15</v>
      </c>
      <c r="C40" s="11" t="s">
        <v>4513</v>
      </c>
      <c r="D40" s="11" t="s">
        <v>1425</v>
      </c>
      <c r="E40" s="5"/>
      <c r="F40" s="5"/>
      <c r="G40" s="5"/>
      <c r="H40" s="5"/>
      <c r="I40" s="5"/>
      <c r="J40" s="5"/>
      <c r="M40" t="s">
        <v>1426</v>
      </c>
      <c r="P40" t="s">
        <v>43</v>
      </c>
    </row>
    <row r="41" spans="1:16">
      <c r="A41" s="11"/>
      <c r="B41" s="11"/>
      <c r="C41" s="8"/>
      <c r="D41" s="11"/>
    </row>
    <row r="42" spans="1:16">
      <c r="A42" s="10"/>
      <c r="B42" s="10"/>
      <c r="C42" s="9"/>
      <c r="D42" s="10"/>
    </row>
    <row r="43" spans="1:16">
      <c r="A43" s="10"/>
      <c r="B43" s="10"/>
      <c r="C43" s="10"/>
      <c r="D43" s="10"/>
    </row>
    <row r="44" spans="1:16">
      <c r="A44" s="11"/>
      <c r="B44" s="11"/>
      <c r="C44" s="8"/>
      <c r="D44" s="11"/>
    </row>
    <row r="45" spans="1:16">
      <c r="A45" s="10"/>
      <c r="B45" s="10"/>
      <c r="C45" s="10"/>
      <c r="D45" s="10"/>
    </row>
    <row r="46" spans="1:16">
      <c r="A46" s="11"/>
      <c r="B46" s="11"/>
      <c r="C46" s="11"/>
      <c r="D46" s="11"/>
    </row>
    <row r="48" spans="1:16">
      <c r="A48" t="s">
        <v>222</v>
      </c>
      <c r="B48" t="s">
        <v>223</v>
      </c>
      <c r="C48" t="s">
        <v>2</v>
      </c>
      <c r="D48" t="s">
        <v>3</v>
      </c>
      <c r="E48" t="s">
        <v>4</v>
      </c>
      <c r="F48" t="s">
        <v>5</v>
      </c>
      <c r="J48" t="s">
        <v>9</v>
      </c>
      <c r="K48" t="s">
        <v>10</v>
      </c>
    </row>
    <row r="49" spans="1:16">
      <c r="A49" t="s">
        <v>14</v>
      </c>
      <c r="B49" t="s">
        <v>31</v>
      </c>
      <c r="C49" t="s">
        <v>4514</v>
      </c>
      <c r="D49" t="s">
        <v>927</v>
      </c>
      <c r="F49" t="s">
        <v>4480</v>
      </c>
      <c r="K49" t="s">
        <v>19</v>
      </c>
      <c r="M49" t="s">
        <v>227</v>
      </c>
    </row>
    <row r="50" spans="1:16">
      <c r="A50" t="s">
        <v>21</v>
      </c>
      <c r="B50" t="s">
        <v>31</v>
      </c>
      <c r="C50" t="s">
        <v>4515</v>
      </c>
      <c r="D50" t="s">
        <v>929</v>
      </c>
      <c r="F50" t="s">
        <v>4482</v>
      </c>
      <c r="K50" t="s">
        <v>19</v>
      </c>
      <c r="M50" t="s">
        <v>231</v>
      </c>
    </row>
    <row r="51" spans="1:16">
      <c r="A51" t="s">
        <v>26</v>
      </c>
      <c r="B51" t="s">
        <v>31</v>
      </c>
      <c r="C51" t="s">
        <v>4516</v>
      </c>
      <c r="D51" t="s">
        <v>233</v>
      </c>
      <c r="F51" t="s">
        <v>4484</v>
      </c>
      <c r="K51" t="s">
        <v>19</v>
      </c>
      <c r="M51" t="s">
        <v>235</v>
      </c>
    </row>
    <row r="52" spans="1:16">
      <c r="A52" t="s">
        <v>236</v>
      </c>
      <c r="B52" t="s">
        <v>31</v>
      </c>
      <c r="C52" t="s">
        <v>4517</v>
      </c>
      <c r="D52" t="s">
        <v>238</v>
      </c>
      <c r="F52" t="s">
        <v>4518</v>
      </c>
      <c r="K52" t="s">
        <v>19</v>
      </c>
      <c r="M52" t="s">
        <v>240</v>
      </c>
    </row>
    <row r="53" spans="1:16">
      <c r="A53" t="s">
        <v>241</v>
      </c>
      <c r="B53" t="s">
        <v>31</v>
      </c>
      <c r="C53" t="s">
        <v>4519</v>
      </c>
      <c r="D53" t="s">
        <v>243</v>
      </c>
      <c r="K53" t="s">
        <v>19</v>
      </c>
      <c r="M53" t="s">
        <v>244</v>
      </c>
      <c r="P53" t="s">
        <v>43</v>
      </c>
    </row>
    <row r="54" spans="1:16">
      <c r="A54" t="s">
        <v>241</v>
      </c>
      <c r="B54" t="s">
        <v>31</v>
      </c>
      <c r="C54" t="s">
        <v>4520</v>
      </c>
      <c r="D54" t="s">
        <v>246</v>
      </c>
      <c r="K54" t="s">
        <v>19</v>
      </c>
      <c r="M54" t="s">
        <v>247</v>
      </c>
      <c r="P54" t="s">
        <v>43</v>
      </c>
    </row>
    <row r="55" spans="1:16">
      <c r="A55" t="s">
        <v>236</v>
      </c>
      <c r="B55" t="s">
        <v>31</v>
      </c>
      <c r="C55" t="s">
        <v>4521</v>
      </c>
      <c r="D55" t="s">
        <v>249</v>
      </c>
      <c r="F55" t="s">
        <v>4522</v>
      </c>
      <c r="K55" t="s">
        <v>19</v>
      </c>
      <c r="M55" t="s">
        <v>251</v>
      </c>
    </row>
    <row r="56" spans="1:16">
      <c r="A56" t="s">
        <v>241</v>
      </c>
      <c r="B56" t="s">
        <v>31</v>
      </c>
      <c r="C56" t="s">
        <v>4523</v>
      </c>
      <c r="D56" t="s">
        <v>253</v>
      </c>
      <c r="K56" t="s">
        <v>19</v>
      </c>
      <c r="M56" t="s">
        <v>254</v>
      </c>
      <c r="P56" t="s">
        <v>43</v>
      </c>
    </row>
    <row r="57" spans="1:16">
      <c r="A57" t="s">
        <v>241</v>
      </c>
      <c r="B57" t="s">
        <v>31</v>
      </c>
      <c r="C57" t="s">
        <v>4524</v>
      </c>
      <c r="D57" t="s">
        <v>256</v>
      </c>
      <c r="K57" t="s">
        <v>19</v>
      </c>
      <c r="M57" t="s">
        <v>257</v>
      </c>
      <c r="P57" t="s">
        <v>43</v>
      </c>
    </row>
    <row r="58" spans="1:16">
      <c r="A58" t="s">
        <v>236</v>
      </c>
      <c r="B58" t="s">
        <v>31</v>
      </c>
      <c r="C58" t="s">
        <v>4525</v>
      </c>
      <c r="D58" t="s">
        <v>259</v>
      </c>
      <c r="F58" t="s">
        <v>4526</v>
      </c>
      <c r="K58" t="s">
        <v>19</v>
      </c>
      <c r="M58" t="s">
        <v>261</v>
      </c>
    </row>
    <row r="59" spans="1:16">
      <c r="A59" t="s">
        <v>241</v>
      </c>
      <c r="B59" t="s">
        <v>31</v>
      </c>
      <c r="C59" t="s">
        <v>4527</v>
      </c>
      <c r="D59" t="s">
        <v>263</v>
      </c>
      <c r="F59" t="s">
        <v>4528</v>
      </c>
      <c r="K59" t="s">
        <v>19</v>
      </c>
      <c r="M59" t="s">
        <v>265</v>
      </c>
    </row>
    <row r="60" spans="1:16">
      <c r="A60" t="s">
        <v>266</v>
      </c>
      <c r="B60" t="s">
        <v>31</v>
      </c>
      <c r="C60" t="s">
        <v>4529</v>
      </c>
      <c r="D60" t="s">
        <v>268</v>
      </c>
      <c r="K60" t="s">
        <v>19</v>
      </c>
      <c r="M60" t="s">
        <v>269</v>
      </c>
      <c r="P60" t="s">
        <v>43</v>
      </c>
    </row>
    <row r="61" spans="1:16">
      <c r="A61" t="s">
        <v>266</v>
      </c>
      <c r="B61" t="s">
        <v>31</v>
      </c>
      <c r="C61" t="s">
        <v>4530</v>
      </c>
      <c r="D61" t="s">
        <v>271</v>
      </c>
      <c r="K61" t="s">
        <v>19</v>
      </c>
      <c r="M61" t="s">
        <v>272</v>
      </c>
      <c r="P61" t="s">
        <v>43</v>
      </c>
    </row>
    <row r="62" spans="1:16">
      <c r="A62" t="s">
        <v>241</v>
      </c>
      <c r="B62" t="s">
        <v>31</v>
      </c>
      <c r="C62" t="s">
        <v>4531</v>
      </c>
      <c r="D62" t="s">
        <v>4532</v>
      </c>
      <c r="K62" t="s">
        <v>19</v>
      </c>
      <c r="M62" t="s">
        <v>275</v>
      </c>
      <c r="P62" t="s">
        <v>43</v>
      </c>
    </row>
    <row r="63" spans="1:16">
      <c r="A63" t="s">
        <v>266</v>
      </c>
      <c r="B63" t="s">
        <v>31</v>
      </c>
      <c r="C63" t="s">
        <v>4533</v>
      </c>
      <c r="D63" t="s">
        <v>277</v>
      </c>
      <c r="K63" t="s">
        <v>19</v>
      </c>
      <c r="M63" t="s">
        <v>278</v>
      </c>
      <c r="P63" t="s">
        <v>43</v>
      </c>
    </row>
    <row r="64" spans="1:16">
      <c r="A64" t="s">
        <v>241</v>
      </c>
      <c r="B64" t="s">
        <v>31</v>
      </c>
      <c r="C64" t="s">
        <v>4534</v>
      </c>
      <c r="D64" t="s">
        <v>4535</v>
      </c>
      <c r="K64" t="s">
        <v>19</v>
      </c>
      <c r="M64" t="s">
        <v>281</v>
      </c>
      <c r="P64" t="s">
        <v>43</v>
      </c>
    </row>
    <row r="65" spans="1:16">
      <c r="A65" t="s">
        <v>266</v>
      </c>
      <c r="B65" t="s">
        <v>31</v>
      </c>
      <c r="C65" t="s">
        <v>4536</v>
      </c>
      <c r="D65" t="s">
        <v>283</v>
      </c>
      <c r="K65" t="s">
        <v>19</v>
      </c>
      <c r="M65" t="s">
        <v>284</v>
      </c>
      <c r="P65" t="s">
        <v>43</v>
      </c>
    </row>
    <row r="66" spans="1:16">
      <c r="A66" t="s">
        <v>241</v>
      </c>
      <c r="B66" t="s">
        <v>31</v>
      </c>
      <c r="C66" t="s">
        <v>4537</v>
      </c>
      <c r="D66" t="s">
        <v>4538</v>
      </c>
      <c r="K66" t="s">
        <v>19</v>
      </c>
      <c r="M66" t="s">
        <v>287</v>
      </c>
      <c r="P66" t="s">
        <v>43</v>
      </c>
    </row>
    <row r="67" spans="1:16">
      <c r="A67" t="s">
        <v>266</v>
      </c>
      <c r="B67" t="s">
        <v>31</v>
      </c>
      <c r="C67" t="s">
        <v>4539</v>
      </c>
      <c r="D67" t="s">
        <v>289</v>
      </c>
      <c r="K67" t="s">
        <v>19</v>
      </c>
      <c r="M67" t="s">
        <v>290</v>
      </c>
      <c r="P67" t="s">
        <v>43</v>
      </c>
    </row>
    <row r="68" spans="1:16">
      <c r="A68" t="s">
        <v>236</v>
      </c>
      <c r="B68" t="s">
        <v>31</v>
      </c>
      <c r="C68" t="s">
        <v>4540</v>
      </c>
      <c r="D68" t="s">
        <v>4541</v>
      </c>
      <c r="K68" t="s">
        <v>19</v>
      </c>
      <c r="M68" t="s">
        <v>293</v>
      </c>
      <c r="P68" t="s">
        <v>43</v>
      </c>
    </row>
    <row r="69" spans="1:16">
      <c r="A69" t="s">
        <v>241</v>
      </c>
      <c r="B69" t="s">
        <v>31</v>
      </c>
      <c r="C69" t="s">
        <v>4542</v>
      </c>
      <c r="D69" t="s">
        <v>295</v>
      </c>
      <c r="K69" t="s">
        <v>19</v>
      </c>
      <c r="M69" t="s">
        <v>296</v>
      </c>
      <c r="P69" t="s">
        <v>43</v>
      </c>
    </row>
    <row r="70" spans="1:16">
      <c r="A70" t="s">
        <v>236</v>
      </c>
      <c r="B70" t="s">
        <v>31</v>
      </c>
      <c r="C70" t="s">
        <v>4543</v>
      </c>
      <c r="D70" t="s">
        <v>4544</v>
      </c>
      <c r="K70" t="s">
        <v>19</v>
      </c>
      <c r="M70" t="s">
        <v>299</v>
      </c>
      <c r="P70" t="s">
        <v>43</v>
      </c>
    </row>
    <row r="71" spans="1:16">
      <c r="A71" t="s">
        <v>241</v>
      </c>
      <c r="B71" t="s">
        <v>31</v>
      </c>
      <c r="C71" t="s">
        <v>4545</v>
      </c>
      <c r="D71" t="s">
        <v>301</v>
      </c>
      <c r="K71" t="s">
        <v>19</v>
      </c>
      <c r="M71" t="s">
        <v>302</v>
      </c>
      <c r="P71" t="s">
        <v>43</v>
      </c>
    </row>
    <row r="72" spans="1:16">
      <c r="A72" t="s">
        <v>26</v>
      </c>
      <c r="B72" t="s">
        <v>31</v>
      </c>
      <c r="C72" t="s">
        <v>4546</v>
      </c>
      <c r="D72" t="s">
        <v>304</v>
      </c>
      <c r="F72" t="s">
        <v>4486</v>
      </c>
      <c r="K72" t="s">
        <v>19</v>
      </c>
      <c r="M72" t="s">
        <v>306</v>
      </c>
    </row>
    <row r="73" spans="1:16">
      <c r="A73" t="s">
        <v>236</v>
      </c>
      <c r="B73" t="s">
        <v>31</v>
      </c>
      <c r="C73" t="s">
        <v>4547</v>
      </c>
      <c r="D73" t="s">
        <v>238</v>
      </c>
      <c r="F73" t="s">
        <v>4548</v>
      </c>
      <c r="K73" t="s">
        <v>19</v>
      </c>
      <c r="M73" t="s">
        <v>309</v>
      </c>
    </row>
    <row r="74" spans="1:16">
      <c r="A74" t="s">
        <v>241</v>
      </c>
      <c r="B74" t="s">
        <v>31</v>
      </c>
      <c r="C74" t="s">
        <v>4549</v>
      </c>
      <c r="D74" t="s">
        <v>243</v>
      </c>
      <c r="K74" t="s">
        <v>19</v>
      </c>
      <c r="M74" t="s">
        <v>311</v>
      </c>
      <c r="P74" t="s">
        <v>43</v>
      </c>
    </row>
    <row r="75" spans="1:16">
      <c r="A75" t="s">
        <v>241</v>
      </c>
      <c r="B75" t="s">
        <v>31</v>
      </c>
      <c r="C75" t="s">
        <v>4550</v>
      </c>
      <c r="D75" t="s">
        <v>246</v>
      </c>
      <c r="K75" t="s">
        <v>19</v>
      </c>
      <c r="M75" t="s">
        <v>313</v>
      </c>
      <c r="P75" t="s">
        <v>43</v>
      </c>
    </row>
    <row r="76" spans="1:16">
      <c r="A76" t="s">
        <v>236</v>
      </c>
      <c r="B76" t="s">
        <v>31</v>
      </c>
      <c r="C76" t="s">
        <v>4551</v>
      </c>
      <c r="D76" t="s">
        <v>249</v>
      </c>
      <c r="F76" t="s">
        <v>4552</v>
      </c>
      <c r="K76" t="s">
        <v>19</v>
      </c>
      <c r="M76" t="s">
        <v>316</v>
      </c>
    </row>
    <row r="77" spans="1:16">
      <c r="A77" t="s">
        <v>241</v>
      </c>
      <c r="B77" t="s">
        <v>31</v>
      </c>
      <c r="C77" t="s">
        <v>4553</v>
      </c>
      <c r="D77" t="s">
        <v>253</v>
      </c>
      <c r="K77" t="s">
        <v>19</v>
      </c>
      <c r="M77" t="s">
        <v>318</v>
      </c>
      <c r="P77" t="s">
        <v>43</v>
      </c>
    </row>
    <row r="78" spans="1:16">
      <c r="A78" t="s">
        <v>241</v>
      </c>
      <c r="B78" t="s">
        <v>31</v>
      </c>
      <c r="C78" t="s">
        <v>4554</v>
      </c>
      <c r="D78" t="s">
        <v>256</v>
      </c>
      <c r="K78" t="s">
        <v>19</v>
      </c>
      <c r="M78" t="s">
        <v>320</v>
      </c>
      <c r="P78" t="s">
        <v>43</v>
      </c>
    </row>
    <row r="79" spans="1:16">
      <c r="A79" t="s">
        <v>236</v>
      </c>
      <c r="B79" t="s">
        <v>31</v>
      </c>
      <c r="C79" t="s">
        <v>4555</v>
      </c>
      <c r="D79" t="s">
        <v>259</v>
      </c>
      <c r="F79" t="s">
        <v>4556</v>
      </c>
      <c r="K79" t="s">
        <v>19</v>
      </c>
      <c r="M79" t="s">
        <v>323</v>
      </c>
    </row>
    <row r="80" spans="1:16">
      <c r="A80" t="s">
        <v>241</v>
      </c>
      <c r="B80" t="s">
        <v>31</v>
      </c>
      <c r="C80" t="s">
        <v>4557</v>
      </c>
      <c r="D80" t="s">
        <v>263</v>
      </c>
      <c r="F80" t="s">
        <v>4558</v>
      </c>
      <c r="K80" t="s">
        <v>19</v>
      </c>
      <c r="M80" t="s">
        <v>326</v>
      </c>
    </row>
    <row r="81" spans="1:16">
      <c r="A81" t="s">
        <v>266</v>
      </c>
      <c r="B81" t="s">
        <v>31</v>
      </c>
      <c r="C81" t="s">
        <v>4559</v>
      </c>
      <c r="D81" t="s">
        <v>268</v>
      </c>
      <c r="K81" t="s">
        <v>19</v>
      </c>
      <c r="M81" t="s">
        <v>328</v>
      </c>
      <c r="P81" t="s">
        <v>43</v>
      </c>
    </row>
    <row r="82" spans="1:16">
      <c r="A82" t="s">
        <v>266</v>
      </c>
      <c r="B82" t="s">
        <v>31</v>
      </c>
      <c r="C82" t="s">
        <v>4560</v>
      </c>
      <c r="D82" t="s">
        <v>271</v>
      </c>
      <c r="K82" t="s">
        <v>19</v>
      </c>
      <c r="M82" t="s">
        <v>330</v>
      </c>
      <c r="P82" t="s">
        <v>43</v>
      </c>
    </row>
    <row r="83" spans="1:16">
      <c r="A83" t="s">
        <v>241</v>
      </c>
      <c r="B83" t="s">
        <v>31</v>
      </c>
      <c r="C83" t="s">
        <v>4561</v>
      </c>
      <c r="D83" t="s">
        <v>4562</v>
      </c>
      <c r="K83" t="s">
        <v>19</v>
      </c>
      <c r="M83" t="s">
        <v>333</v>
      </c>
      <c r="P83" t="s">
        <v>43</v>
      </c>
    </row>
    <row r="84" spans="1:16">
      <c r="A84" t="s">
        <v>266</v>
      </c>
      <c r="B84" t="s">
        <v>31</v>
      </c>
      <c r="C84" t="s">
        <v>4563</v>
      </c>
      <c r="D84" t="s">
        <v>277</v>
      </c>
      <c r="K84" t="s">
        <v>19</v>
      </c>
      <c r="M84" t="s">
        <v>335</v>
      </c>
      <c r="P84" t="s">
        <v>43</v>
      </c>
    </row>
    <row r="85" spans="1:16">
      <c r="A85" t="s">
        <v>241</v>
      </c>
      <c r="B85" t="s">
        <v>31</v>
      </c>
      <c r="C85" t="s">
        <v>4564</v>
      </c>
      <c r="D85" t="s">
        <v>4565</v>
      </c>
      <c r="K85" t="s">
        <v>19</v>
      </c>
      <c r="M85" t="s">
        <v>338</v>
      </c>
      <c r="P85" t="s">
        <v>43</v>
      </c>
    </row>
    <row r="86" spans="1:16">
      <c r="A86" t="s">
        <v>266</v>
      </c>
      <c r="B86" t="s">
        <v>31</v>
      </c>
      <c r="C86" t="s">
        <v>4566</v>
      </c>
      <c r="D86" t="s">
        <v>283</v>
      </c>
      <c r="K86" t="s">
        <v>19</v>
      </c>
      <c r="M86" t="s">
        <v>340</v>
      </c>
      <c r="P86" t="s">
        <v>43</v>
      </c>
    </row>
    <row r="87" spans="1:16">
      <c r="A87" t="s">
        <v>241</v>
      </c>
      <c r="B87" t="s">
        <v>31</v>
      </c>
      <c r="C87" t="s">
        <v>4567</v>
      </c>
      <c r="D87" t="s">
        <v>4568</v>
      </c>
      <c r="K87" t="s">
        <v>19</v>
      </c>
      <c r="M87" t="s">
        <v>343</v>
      </c>
      <c r="P87" t="s">
        <v>43</v>
      </c>
    </row>
    <row r="88" spans="1:16">
      <c r="A88" t="s">
        <v>266</v>
      </c>
      <c r="B88" t="s">
        <v>31</v>
      </c>
      <c r="C88" t="s">
        <v>4569</v>
      </c>
      <c r="D88" t="s">
        <v>289</v>
      </c>
      <c r="K88" t="s">
        <v>19</v>
      </c>
      <c r="M88" t="s">
        <v>345</v>
      </c>
      <c r="P88" t="s">
        <v>43</v>
      </c>
    </row>
    <row r="89" spans="1:16">
      <c r="A89" t="s">
        <v>236</v>
      </c>
      <c r="B89" t="s">
        <v>31</v>
      </c>
      <c r="C89" t="s">
        <v>4570</v>
      </c>
      <c r="D89" t="s">
        <v>4571</v>
      </c>
      <c r="K89" t="s">
        <v>19</v>
      </c>
      <c r="M89" t="s">
        <v>348</v>
      </c>
      <c r="P89" t="s">
        <v>43</v>
      </c>
    </row>
    <row r="90" spans="1:16">
      <c r="A90" t="s">
        <v>241</v>
      </c>
      <c r="B90" t="s">
        <v>31</v>
      </c>
      <c r="C90" t="s">
        <v>4572</v>
      </c>
      <c r="D90" t="s">
        <v>295</v>
      </c>
      <c r="K90" t="s">
        <v>19</v>
      </c>
      <c r="M90" t="s">
        <v>350</v>
      </c>
      <c r="P90" t="s">
        <v>43</v>
      </c>
    </row>
    <row r="91" spans="1:16">
      <c r="A91" t="s">
        <v>236</v>
      </c>
      <c r="B91" t="s">
        <v>31</v>
      </c>
      <c r="C91" t="s">
        <v>4573</v>
      </c>
      <c r="D91" t="s">
        <v>4574</v>
      </c>
      <c r="K91" t="s">
        <v>19</v>
      </c>
      <c r="M91" t="s">
        <v>353</v>
      </c>
      <c r="P91" t="s">
        <v>43</v>
      </c>
    </row>
    <row r="92" spans="1:16">
      <c r="A92" t="s">
        <v>241</v>
      </c>
      <c r="B92" t="s">
        <v>31</v>
      </c>
      <c r="C92" t="s">
        <v>4575</v>
      </c>
      <c r="D92" t="s">
        <v>301</v>
      </c>
      <c r="K92" t="s">
        <v>19</v>
      </c>
      <c r="M92" t="s">
        <v>355</v>
      </c>
      <c r="P92" t="s">
        <v>43</v>
      </c>
    </row>
    <row r="93" spans="1:16">
      <c r="A93" t="s">
        <v>21</v>
      </c>
      <c r="B93" t="s">
        <v>31</v>
      </c>
      <c r="C93" t="s">
        <v>4576</v>
      </c>
      <c r="D93" t="s">
        <v>362</v>
      </c>
      <c r="F93" t="s">
        <v>4488</v>
      </c>
      <c r="K93" t="s">
        <v>19</v>
      </c>
      <c r="M93" t="s">
        <v>364</v>
      </c>
    </row>
    <row r="94" spans="1:16">
      <c r="A94" t="s">
        <v>26</v>
      </c>
      <c r="B94" t="s">
        <v>31</v>
      </c>
      <c r="C94" t="s">
        <v>4577</v>
      </c>
      <c r="D94" t="s">
        <v>358</v>
      </c>
      <c r="K94" t="s">
        <v>19</v>
      </c>
      <c r="M94" t="s">
        <v>1063</v>
      </c>
      <c r="P94" t="s">
        <v>43</v>
      </c>
    </row>
    <row r="95" spans="1:16">
      <c r="A95" t="s">
        <v>26</v>
      </c>
      <c r="B95" t="s">
        <v>31</v>
      </c>
      <c r="C95" t="s">
        <v>4578</v>
      </c>
      <c r="D95" t="s">
        <v>360</v>
      </c>
      <c r="K95" t="s">
        <v>19</v>
      </c>
      <c r="M95" t="s">
        <v>1065</v>
      </c>
      <c r="P95" t="s">
        <v>43</v>
      </c>
    </row>
    <row r="96" spans="1:16">
      <c r="A96" t="s">
        <v>26</v>
      </c>
      <c r="B96" t="s">
        <v>31</v>
      </c>
      <c r="C96" t="s">
        <v>4579</v>
      </c>
      <c r="D96" t="s">
        <v>365</v>
      </c>
      <c r="F96" t="s">
        <v>4580</v>
      </c>
      <c r="K96" t="s">
        <v>19</v>
      </c>
      <c r="M96" t="s">
        <v>367</v>
      </c>
    </row>
    <row r="97" spans="1:16">
      <c r="A97" t="s">
        <v>236</v>
      </c>
      <c r="B97" t="s">
        <v>31</v>
      </c>
      <c r="C97" t="s">
        <v>4581</v>
      </c>
      <c r="D97" t="s">
        <v>369</v>
      </c>
      <c r="F97" t="s">
        <v>4582</v>
      </c>
      <c r="K97" t="s">
        <v>19</v>
      </c>
      <c r="M97" t="s">
        <v>371</v>
      </c>
    </row>
    <row r="98" spans="1:16">
      <c r="A98" t="s">
        <v>241</v>
      </c>
      <c r="B98" t="s">
        <v>31</v>
      </c>
      <c r="C98" t="s">
        <v>4583</v>
      </c>
      <c r="D98" t="s">
        <v>373</v>
      </c>
      <c r="K98" t="s">
        <v>19</v>
      </c>
      <c r="M98" t="s">
        <v>374</v>
      </c>
      <c r="P98" t="s">
        <v>43</v>
      </c>
    </row>
    <row r="99" spans="1:16">
      <c r="A99" t="s">
        <v>241</v>
      </c>
      <c r="B99" t="s">
        <v>31</v>
      </c>
      <c r="C99" t="s">
        <v>4584</v>
      </c>
      <c r="D99" t="s">
        <v>376</v>
      </c>
      <c r="K99" t="s">
        <v>19</v>
      </c>
      <c r="M99" t="s">
        <v>377</v>
      </c>
      <c r="P99" t="s">
        <v>43</v>
      </c>
    </row>
    <row r="100" spans="1:16">
      <c r="A100" t="s">
        <v>241</v>
      </c>
      <c r="B100" t="s">
        <v>31</v>
      </c>
      <c r="C100" t="s">
        <v>4585</v>
      </c>
      <c r="D100" t="s">
        <v>379</v>
      </c>
      <c r="K100" t="s">
        <v>19</v>
      </c>
      <c r="M100" t="s">
        <v>380</v>
      </c>
      <c r="P100" t="s">
        <v>43</v>
      </c>
    </row>
    <row r="101" spans="1:16">
      <c r="A101" t="s">
        <v>241</v>
      </c>
      <c r="B101" t="s">
        <v>31</v>
      </c>
      <c r="C101" t="s">
        <v>4586</v>
      </c>
      <c r="D101" t="s">
        <v>382</v>
      </c>
      <c r="K101" t="s">
        <v>19</v>
      </c>
      <c r="M101" t="s">
        <v>383</v>
      </c>
      <c r="P101" t="s">
        <v>43</v>
      </c>
    </row>
    <row r="102" spans="1:16">
      <c r="A102" t="s">
        <v>236</v>
      </c>
      <c r="B102" t="s">
        <v>31</v>
      </c>
      <c r="C102" t="s">
        <v>4587</v>
      </c>
      <c r="D102" t="s">
        <v>385</v>
      </c>
      <c r="F102" t="s">
        <v>4588</v>
      </c>
      <c r="K102" t="s">
        <v>19</v>
      </c>
      <c r="M102" t="s">
        <v>387</v>
      </c>
    </row>
    <row r="103" spans="1:16">
      <c r="A103" t="s">
        <v>241</v>
      </c>
      <c r="B103" t="s">
        <v>31</v>
      </c>
      <c r="C103" t="s">
        <v>4589</v>
      </c>
      <c r="D103" t="s">
        <v>389</v>
      </c>
      <c r="K103" t="s">
        <v>19</v>
      </c>
      <c r="M103" t="s">
        <v>390</v>
      </c>
      <c r="P103" t="s">
        <v>43</v>
      </c>
    </row>
    <row r="104" spans="1:16">
      <c r="A104" t="s">
        <v>241</v>
      </c>
      <c r="B104" t="s">
        <v>31</v>
      </c>
      <c r="C104" t="s">
        <v>4590</v>
      </c>
      <c r="D104" t="s">
        <v>392</v>
      </c>
      <c r="K104" t="s">
        <v>19</v>
      </c>
      <c r="M104" t="s">
        <v>393</v>
      </c>
      <c r="P104" t="s">
        <v>43</v>
      </c>
    </row>
    <row r="105" spans="1:16">
      <c r="A105" t="s">
        <v>241</v>
      </c>
      <c r="B105" t="s">
        <v>31</v>
      </c>
      <c r="C105" t="s">
        <v>4591</v>
      </c>
      <c r="D105" t="s">
        <v>395</v>
      </c>
      <c r="K105" t="s">
        <v>19</v>
      </c>
      <c r="M105" t="s">
        <v>396</v>
      </c>
      <c r="P105" t="s">
        <v>43</v>
      </c>
    </row>
    <row r="106" spans="1:16">
      <c r="A106" t="s">
        <v>241</v>
      </c>
      <c r="B106" t="s">
        <v>31</v>
      </c>
      <c r="C106" t="s">
        <v>4592</v>
      </c>
      <c r="D106" t="s">
        <v>398</v>
      </c>
      <c r="K106" t="s">
        <v>19</v>
      </c>
      <c r="M106" t="s">
        <v>399</v>
      </c>
      <c r="P106" t="s">
        <v>43</v>
      </c>
    </row>
    <row r="107" spans="1:16">
      <c r="A107" t="s">
        <v>241</v>
      </c>
      <c r="B107" t="s">
        <v>31</v>
      </c>
      <c r="C107" t="s">
        <v>4593</v>
      </c>
      <c r="D107" t="s">
        <v>401</v>
      </c>
      <c r="K107" t="s">
        <v>19</v>
      </c>
      <c r="M107" t="s">
        <v>402</v>
      </c>
      <c r="P107" t="s">
        <v>43</v>
      </c>
    </row>
    <row r="108" spans="1:16">
      <c r="A108" t="s">
        <v>241</v>
      </c>
      <c r="B108" t="s">
        <v>31</v>
      </c>
      <c r="C108" t="s">
        <v>4594</v>
      </c>
      <c r="D108" t="s">
        <v>404</v>
      </c>
      <c r="K108" t="s">
        <v>19</v>
      </c>
      <c r="M108" t="s">
        <v>405</v>
      </c>
      <c r="P108" t="s">
        <v>43</v>
      </c>
    </row>
    <row r="109" spans="1:16">
      <c r="A109" t="s">
        <v>241</v>
      </c>
      <c r="B109" t="s">
        <v>31</v>
      </c>
      <c r="C109" t="s">
        <v>4595</v>
      </c>
      <c r="D109" t="s">
        <v>407</v>
      </c>
      <c r="K109" t="s">
        <v>19</v>
      </c>
      <c r="M109" t="s">
        <v>408</v>
      </c>
      <c r="P109" t="s">
        <v>43</v>
      </c>
    </row>
    <row r="110" spans="1:16">
      <c r="A110" t="s">
        <v>241</v>
      </c>
      <c r="B110" t="s">
        <v>31</v>
      </c>
      <c r="C110" t="s">
        <v>4596</v>
      </c>
      <c r="D110" t="s">
        <v>410</v>
      </c>
      <c r="K110" t="s">
        <v>19</v>
      </c>
      <c r="M110" t="s">
        <v>411</v>
      </c>
      <c r="P110" t="s">
        <v>43</v>
      </c>
    </row>
    <row r="111" spans="1:16">
      <c r="A111" t="s">
        <v>241</v>
      </c>
      <c r="B111" t="s">
        <v>31</v>
      </c>
      <c r="C111" t="s">
        <v>4597</v>
      </c>
      <c r="D111" t="s">
        <v>413</v>
      </c>
      <c r="K111" t="s">
        <v>19</v>
      </c>
      <c r="M111" t="s">
        <v>414</v>
      </c>
      <c r="P111" t="s">
        <v>43</v>
      </c>
    </row>
    <row r="112" spans="1:16">
      <c r="A112" t="s">
        <v>241</v>
      </c>
      <c r="B112" t="s">
        <v>31</v>
      </c>
      <c r="C112" t="s">
        <v>4598</v>
      </c>
      <c r="D112" t="s">
        <v>416</v>
      </c>
      <c r="K112" t="s">
        <v>19</v>
      </c>
      <c r="M112" t="s">
        <v>417</v>
      </c>
      <c r="P112" t="s">
        <v>43</v>
      </c>
    </row>
    <row r="113" spans="1:16">
      <c r="A113" t="s">
        <v>241</v>
      </c>
      <c r="B113" t="s">
        <v>31</v>
      </c>
      <c r="C113" t="s">
        <v>4599</v>
      </c>
      <c r="D113" t="s">
        <v>419</v>
      </c>
      <c r="K113" t="s">
        <v>19</v>
      </c>
      <c r="M113" t="s">
        <v>420</v>
      </c>
      <c r="P113" t="s">
        <v>43</v>
      </c>
    </row>
    <row r="114" spans="1:16">
      <c r="A114" t="s">
        <v>241</v>
      </c>
      <c r="B114" t="s">
        <v>31</v>
      </c>
      <c r="C114" t="s">
        <v>4600</v>
      </c>
      <c r="D114" t="s">
        <v>422</v>
      </c>
      <c r="F114" t="s">
        <v>4601</v>
      </c>
      <c r="K114" t="s">
        <v>19</v>
      </c>
      <c r="M114" t="s">
        <v>424</v>
      </c>
    </row>
    <row r="115" spans="1:16">
      <c r="A115" t="s">
        <v>241</v>
      </c>
      <c r="B115" t="s">
        <v>31</v>
      </c>
      <c r="C115" t="s">
        <v>4602</v>
      </c>
      <c r="D115" t="s">
        <v>426</v>
      </c>
      <c r="F115" t="s">
        <v>4603</v>
      </c>
      <c r="K115" t="s">
        <v>19</v>
      </c>
      <c r="M115" t="s">
        <v>428</v>
      </c>
    </row>
    <row r="116" spans="1:16">
      <c r="A116" t="s">
        <v>241</v>
      </c>
      <c r="B116" t="s">
        <v>31</v>
      </c>
      <c r="C116" t="s">
        <v>4604</v>
      </c>
      <c r="D116" t="s">
        <v>430</v>
      </c>
      <c r="F116" t="s">
        <v>4605</v>
      </c>
      <c r="K116" t="s">
        <v>19</v>
      </c>
      <c r="M116" t="s">
        <v>432</v>
      </c>
    </row>
    <row r="117" spans="1:16">
      <c r="A117" t="s">
        <v>236</v>
      </c>
      <c r="B117" t="s">
        <v>31</v>
      </c>
      <c r="C117" t="s">
        <v>4606</v>
      </c>
      <c r="D117" t="s">
        <v>434</v>
      </c>
      <c r="F117" t="s">
        <v>4607</v>
      </c>
      <c r="K117" t="s">
        <v>19</v>
      </c>
      <c r="M117" t="s">
        <v>436</v>
      </c>
    </row>
    <row r="118" spans="1:16">
      <c r="A118" t="s">
        <v>241</v>
      </c>
      <c r="B118" t="s">
        <v>31</v>
      </c>
      <c r="C118" t="s">
        <v>4608</v>
      </c>
      <c r="D118" t="s">
        <v>438</v>
      </c>
      <c r="K118" t="s">
        <v>19</v>
      </c>
      <c r="M118" t="s">
        <v>439</v>
      </c>
      <c r="P118" t="s">
        <v>43</v>
      </c>
    </row>
    <row r="119" spans="1:16">
      <c r="A119" t="s">
        <v>241</v>
      </c>
      <c r="B119" t="s">
        <v>31</v>
      </c>
      <c r="C119" t="s">
        <v>4609</v>
      </c>
      <c r="D119" t="s">
        <v>441</v>
      </c>
      <c r="K119" t="s">
        <v>19</v>
      </c>
      <c r="M119" t="s">
        <v>442</v>
      </c>
      <c r="P119" t="s">
        <v>43</v>
      </c>
    </row>
    <row r="120" spans="1:16">
      <c r="A120" t="s">
        <v>241</v>
      </c>
      <c r="B120" t="s">
        <v>31</v>
      </c>
      <c r="C120" t="s">
        <v>4610</v>
      </c>
      <c r="D120" t="s">
        <v>444</v>
      </c>
      <c r="K120" t="s">
        <v>19</v>
      </c>
      <c r="M120" t="s">
        <v>445</v>
      </c>
      <c r="P120" t="s">
        <v>43</v>
      </c>
    </row>
    <row r="121" spans="1:16">
      <c r="A121" t="s">
        <v>21</v>
      </c>
      <c r="B121" t="s">
        <v>31</v>
      </c>
      <c r="C121" t="s">
        <v>4611</v>
      </c>
      <c r="D121" t="s">
        <v>994</v>
      </c>
      <c r="F121" t="s">
        <v>4492</v>
      </c>
      <c r="K121" t="s">
        <v>19</v>
      </c>
      <c r="M121" t="s">
        <v>859</v>
      </c>
    </row>
    <row r="122" spans="1:16">
      <c r="A122" t="s">
        <v>26</v>
      </c>
      <c r="B122" t="s">
        <v>31</v>
      </c>
      <c r="C122" t="s">
        <v>4612</v>
      </c>
      <c r="D122" t="s">
        <v>263</v>
      </c>
      <c r="F122" t="s">
        <v>4494</v>
      </c>
      <c r="K122" t="s">
        <v>19</v>
      </c>
      <c r="M122" t="s">
        <v>863</v>
      </c>
    </row>
    <row r="123" spans="1:16">
      <c r="A123" t="s">
        <v>236</v>
      </c>
      <c r="B123" t="s">
        <v>31</v>
      </c>
      <c r="C123" t="s">
        <v>4613</v>
      </c>
      <c r="D123" t="s">
        <v>268</v>
      </c>
      <c r="K123" t="s">
        <v>19</v>
      </c>
      <c r="M123" t="s">
        <v>866</v>
      </c>
      <c r="P123" t="s">
        <v>43</v>
      </c>
    </row>
    <row r="124" spans="1:16">
      <c r="A124" t="s">
        <v>236</v>
      </c>
      <c r="B124" t="s">
        <v>31</v>
      </c>
      <c r="C124" t="s">
        <v>4614</v>
      </c>
      <c r="D124" t="s">
        <v>271</v>
      </c>
      <c r="K124" t="s">
        <v>19</v>
      </c>
      <c r="M124" t="s">
        <v>869</v>
      </c>
      <c r="P124" t="s">
        <v>43</v>
      </c>
    </row>
    <row r="125" spans="1:16">
      <c r="A125" t="s">
        <v>26</v>
      </c>
      <c r="B125" t="s">
        <v>31</v>
      </c>
      <c r="C125" t="s">
        <v>4615</v>
      </c>
      <c r="D125" t="s">
        <v>999</v>
      </c>
      <c r="K125" t="s">
        <v>19</v>
      </c>
      <c r="M125" t="s">
        <v>872</v>
      </c>
      <c r="P125" t="s">
        <v>43</v>
      </c>
    </row>
    <row r="126" spans="1:16">
      <c r="A126" t="s">
        <v>26</v>
      </c>
      <c r="B126" t="s">
        <v>31</v>
      </c>
      <c r="C126" t="s">
        <v>4616</v>
      </c>
      <c r="D126" t="s">
        <v>283</v>
      </c>
      <c r="K126" t="s">
        <v>19</v>
      </c>
      <c r="M126" t="s">
        <v>875</v>
      </c>
      <c r="P126" t="s">
        <v>43</v>
      </c>
    </row>
    <row r="127" spans="1:16">
      <c r="A127" t="s">
        <v>26</v>
      </c>
      <c r="B127" t="s">
        <v>31</v>
      </c>
      <c r="C127" t="s">
        <v>4617</v>
      </c>
      <c r="D127" t="s">
        <v>289</v>
      </c>
      <c r="K127" t="s">
        <v>19</v>
      </c>
      <c r="M127" t="s">
        <v>878</v>
      </c>
      <c r="P127" t="s">
        <v>43</v>
      </c>
    </row>
    <row r="128" spans="1:16">
      <c r="A128" t="s">
        <v>21</v>
      </c>
      <c r="B128" t="s">
        <v>31</v>
      </c>
      <c r="C128" t="s">
        <v>4618</v>
      </c>
      <c r="D128" t="s">
        <v>1003</v>
      </c>
      <c r="K128" t="s">
        <v>19</v>
      </c>
      <c r="M128" t="s">
        <v>881</v>
      </c>
      <c r="P128" t="s">
        <v>43</v>
      </c>
    </row>
    <row r="129" spans="1:16">
      <c r="A129" t="s">
        <v>21</v>
      </c>
      <c r="B129" t="s">
        <v>31</v>
      </c>
      <c r="C129" t="s">
        <v>4619</v>
      </c>
      <c r="D129" t="s">
        <v>1005</v>
      </c>
      <c r="K129" t="s">
        <v>19</v>
      </c>
      <c r="M129" t="s">
        <v>883</v>
      </c>
      <c r="P129" t="s">
        <v>43</v>
      </c>
    </row>
  </sheetData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8"/>
  <sheetViews>
    <sheetView workbookViewId="0">
      <selection activeCell="C2" sqref="C2"/>
    </sheetView>
  </sheetViews>
  <sheetFormatPr defaultColWidth="9" defaultRowHeight="16.8"/>
  <cols>
    <col min="3" max="3" width="10.8303571428571" customWidth="1"/>
    <col min="4" max="4" width="17.5" customWidth="1"/>
  </cols>
  <sheetData>
    <row r="1" s="1" customFormat="1" ht="15" customHeight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7" t="s">
        <v>14</v>
      </c>
      <c r="B2" s="1" t="s">
        <v>15</v>
      </c>
      <c r="C2" s="8" t="s">
        <v>4620</v>
      </c>
      <c r="D2" s="7" t="s">
        <v>17</v>
      </c>
      <c r="F2" t="s">
        <v>4621</v>
      </c>
      <c r="K2" t="s">
        <v>19</v>
      </c>
      <c r="M2" t="s">
        <v>20</v>
      </c>
    </row>
    <row r="3" spans="1:14">
      <c r="A3" s="1" t="s">
        <v>21</v>
      </c>
      <c r="B3" s="1" t="s">
        <v>15</v>
      </c>
      <c r="C3" s="8" t="s">
        <v>4622</v>
      </c>
      <c r="D3" s="1" t="s">
        <v>23</v>
      </c>
      <c r="F3" t="s">
        <v>4623</v>
      </c>
      <c r="K3" t="s">
        <v>19</v>
      </c>
      <c r="M3" t="s">
        <v>25</v>
      </c>
    </row>
    <row r="4" spans="1:14">
      <c r="A4" s="1" t="s">
        <v>26</v>
      </c>
      <c r="B4" s="1" t="s">
        <v>15</v>
      </c>
      <c r="C4" s="9" t="s">
        <v>4624</v>
      </c>
      <c r="D4" s="1" t="s">
        <v>822</v>
      </c>
      <c r="M4" t="s">
        <v>823</v>
      </c>
      <c r="N4" t="s">
        <v>43</v>
      </c>
    </row>
    <row r="5" spans="1:14">
      <c r="A5" s="10" t="s">
        <v>14</v>
      </c>
      <c r="B5" s="10" t="s">
        <v>15</v>
      </c>
      <c r="C5" s="10" t="s">
        <v>4625</v>
      </c>
      <c r="D5" s="10" t="s">
        <v>28</v>
      </c>
      <c r="K5" t="s">
        <v>19</v>
      </c>
      <c r="M5" t="s">
        <v>30</v>
      </c>
      <c r="N5" t="s">
        <v>43</v>
      </c>
    </row>
    <row r="6" spans="1:14">
      <c r="A6" s="1" t="s">
        <v>14</v>
      </c>
      <c r="B6" s="1" t="s">
        <v>31</v>
      </c>
      <c r="C6" s="9" t="s">
        <v>4626</v>
      </c>
      <c r="D6" s="1" t="s">
        <v>826</v>
      </c>
      <c r="M6" t="s">
        <v>827</v>
      </c>
      <c r="N6" t="s">
        <v>43</v>
      </c>
    </row>
    <row r="7" spans="1:14">
      <c r="A7" s="1" t="s">
        <v>26</v>
      </c>
      <c r="B7" s="1" t="s">
        <v>15</v>
      </c>
      <c r="C7" s="9" t="s">
        <v>4627</v>
      </c>
      <c r="D7" s="1" t="s">
        <v>829</v>
      </c>
      <c r="M7" t="s">
        <v>830</v>
      </c>
      <c r="N7" t="s">
        <v>43</v>
      </c>
    </row>
    <row r="8" spans="1:14">
      <c r="A8" s="7" t="s">
        <v>14</v>
      </c>
      <c r="B8" s="1" t="s">
        <v>31</v>
      </c>
      <c r="C8" s="9" t="s">
        <v>4628</v>
      </c>
      <c r="D8" s="1" t="s">
        <v>33</v>
      </c>
      <c r="K8" t="s">
        <v>19</v>
      </c>
      <c r="M8" t="s">
        <v>35</v>
      </c>
      <c r="N8" t="s">
        <v>43</v>
      </c>
    </row>
    <row r="9" spans="1:14">
      <c r="A9" s="7" t="s">
        <v>14</v>
      </c>
      <c r="B9" s="1" t="s">
        <v>31</v>
      </c>
      <c r="C9" s="9" t="s">
        <v>4629</v>
      </c>
      <c r="D9" s="1" t="s">
        <v>833</v>
      </c>
      <c r="M9" t="s">
        <v>834</v>
      </c>
      <c r="N9" t="s">
        <v>43</v>
      </c>
    </row>
    <row r="10" spans="1:14">
      <c r="A10" s="1" t="s">
        <v>21</v>
      </c>
      <c r="B10" s="1" t="s">
        <v>15</v>
      </c>
      <c r="C10" s="8" t="s">
        <v>4630</v>
      </c>
      <c r="D10" s="1" t="s">
        <v>37</v>
      </c>
      <c r="K10" t="s">
        <v>19</v>
      </c>
      <c r="M10" t="s">
        <v>39</v>
      </c>
      <c r="N10" t="s">
        <v>43</v>
      </c>
    </row>
    <row r="11" spans="1:14">
      <c r="A11" s="11" t="s">
        <v>14</v>
      </c>
      <c r="B11" s="11" t="s">
        <v>15</v>
      </c>
      <c r="C11" s="8" t="s">
        <v>4631</v>
      </c>
      <c r="D11" s="1" t="s">
        <v>41</v>
      </c>
      <c r="K11" t="s">
        <v>19</v>
      </c>
      <c r="M11" t="s">
        <v>42</v>
      </c>
      <c r="N11" t="s">
        <v>43</v>
      </c>
    </row>
    <row r="12" spans="1:14">
      <c r="A12" s="11" t="s">
        <v>14</v>
      </c>
      <c r="B12" s="11" t="s">
        <v>31</v>
      </c>
      <c r="C12" s="8" t="s">
        <v>4632</v>
      </c>
      <c r="D12" s="1" t="s">
        <v>45</v>
      </c>
      <c r="K12" t="s">
        <v>19</v>
      </c>
      <c r="M12" t="s">
        <v>46</v>
      </c>
      <c r="N12" t="s">
        <v>43</v>
      </c>
    </row>
    <row r="13" spans="1:14">
      <c r="A13" s="1" t="s">
        <v>21</v>
      </c>
      <c r="B13" s="1" t="s">
        <v>15</v>
      </c>
      <c r="C13" s="8" t="s">
        <v>4633</v>
      </c>
      <c r="D13" s="1" t="s">
        <v>48</v>
      </c>
      <c r="K13" t="s">
        <v>19</v>
      </c>
      <c r="M13" t="s">
        <v>49</v>
      </c>
      <c r="N13" t="s">
        <v>43</v>
      </c>
    </row>
    <row r="14" spans="1:14">
      <c r="A14" s="7" t="s">
        <v>14</v>
      </c>
      <c r="B14" s="1" t="s">
        <v>31</v>
      </c>
      <c r="C14" s="8" t="s">
        <v>4634</v>
      </c>
      <c r="D14" s="7" t="s">
        <v>840</v>
      </c>
      <c r="K14" t="s">
        <v>19</v>
      </c>
      <c r="M14" t="s">
        <v>53</v>
      </c>
      <c r="N14" t="s">
        <v>43</v>
      </c>
    </row>
    <row r="15" spans="1:14">
      <c r="A15" s="7" t="s">
        <v>14</v>
      </c>
      <c r="B15" s="1" t="s">
        <v>15</v>
      </c>
      <c r="C15" s="8" t="s">
        <v>4635</v>
      </c>
      <c r="D15" s="7" t="s">
        <v>68</v>
      </c>
      <c r="K15" t="s">
        <v>19</v>
      </c>
      <c r="M15" t="s">
        <v>70</v>
      </c>
      <c r="N15" t="s">
        <v>43</v>
      </c>
    </row>
    <row r="16" spans="1:14">
      <c r="A16" s="7" t="s">
        <v>14</v>
      </c>
      <c r="B16" s="1" t="s">
        <v>31</v>
      </c>
      <c r="C16" s="8" t="s">
        <v>4636</v>
      </c>
      <c r="D16" s="7" t="s">
        <v>72</v>
      </c>
      <c r="K16" t="s">
        <v>19</v>
      </c>
      <c r="M16" t="s">
        <v>73</v>
      </c>
      <c r="N16" t="s">
        <v>43</v>
      </c>
    </row>
    <row r="17" spans="1:14">
      <c r="A17" s="7" t="s">
        <v>14</v>
      </c>
      <c r="B17" s="1" t="s">
        <v>31</v>
      </c>
      <c r="C17" s="8" t="s">
        <v>4637</v>
      </c>
      <c r="D17" s="7" t="s">
        <v>844</v>
      </c>
      <c r="F17" t="s">
        <v>4638</v>
      </c>
      <c r="K17" t="s">
        <v>19</v>
      </c>
      <c r="M17" t="s">
        <v>227</v>
      </c>
    </row>
    <row r="18" spans="1:14">
      <c r="A18" s="1" t="s">
        <v>21</v>
      </c>
      <c r="B18" s="1" t="s">
        <v>31</v>
      </c>
      <c r="C18" s="8" t="s">
        <v>4639</v>
      </c>
      <c r="D18" s="1" t="s">
        <v>847</v>
      </c>
      <c r="F18" t="s">
        <v>4640</v>
      </c>
      <c r="K18" t="s">
        <v>19</v>
      </c>
      <c r="M18" t="s">
        <v>231</v>
      </c>
    </row>
    <row r="19" spans="1:14">
      <c r="A19" s="1" t="s">
        <v>26</v>
      </c>
      <c r="B19" s="1" t="s">
        <v>31</v>
      </c>
      <c r="C19" s="9" t="s">
        <v>4641</v>
      </c>
      <c r="D19" s="1" t="s">
        <v>83</v>
      </c>
      <c r="F19" t="s">
        <v>4642</v>
      </c>
      <c r="K19" t="s">
        <v>19</v>
      </c>
      <c r="M19" t="s">
        <v>235</v>
      </c>
    </row>
    <row r="20" spans="1:14">
      <c r="A20" s="1" t="s">
        <v>26</v>
      </c>
      <c r="B20" s="1" t="s">
        <v>31</v>
      </c>
      <c r="C20" s="9" t="s">
        <v>4643</v>
      </c>
      <c r="D20" s="1" t="s">
        <v>852</v>
      </c>
      <c r="F20" t="s">
        <v>4644</v>
      </c>
      <c r="K20" t="s">
        <v>19</v>
      </c>
      <c r="M20" t="s">
        <v>306</v>
      </c>
    </row>
    <row r="21" spans="1:14">
      <c r="A21" s="1" t="s">
        <v>21</v>
      </c>
      <c r="B21" s="1" t="s">
        <v>31</v>
      </c>
      <c r="C21" s="8" t="s">
        <v>4645</v>
      </c>
      <c r="D21" s="1" t="s">
        <v>92</v>
      </c>
      <c r="K21" t="s">
        <v>19</v>
      </c>
      <c r="N21" t="s">
        <v>43</v>
      </c>
    </row>
    <row r="22" spans="1:14">
      <c r="A22" s="1" t="s">
        <v>26</v>
      </c>
      <c r="B22" s="1" t="s">
        <v>31</v>
      </c>
      <c r="C22" s="9" t="s">
        <v>4646</v>
      </c>
      <c r="D22" s="1" t="s">
        <v>94</v>
      </c>
      <c r="K22" t="s">
        <v>19</v>
      </c>
      <c r="N22" t="s">
        <v>43</v>
      </c>
    </row>
    <row r="23" spans="1:14">
      <c r="A23" s="1" t="s">
        <v>26</v>
      </c>
      <c r="B23" s="1" t="s">
        <v>31</v>
      </c>
      <c r="C23" s="9" t="s">
        <v>4647</v>
      </c>
      <c r="D23" s="1" t="s">
        <v>96</v>
      </c>
      <c r="K23" t="s">
        <v>19</v>
      </c>
      <c r="N23" t="s">
        <v>43</v>
      </c>
    </row>
    <row r="24" spans="1:14">
      <c r="A24" s="1" t="s">
        <v>21</v>
      </c>
      <c r="B24" s="1" t="s">
        <v>31</v>
      </c>
      <c r="C24" s="8" t="s">
        <v>4648</v>
      </c>
      <c r="D24" s="1" t="s">
        <v>98</v>
      </c>
      <c r="F24" t="s">
        <v>4649</v>
      </c>
      <c r="K24" t="s">
        <v>19</v>
      </c>
      <c r="M24" t="s">
        <v>859</v>
      </c>
    </row>
    <row r="25" spans="1:14">
      <c r="A25" s="1" t="s">
        <v>26</v>
      </c>
      <c r="B25" s="1" t="s">
        <v>31</v>
      </c>
      <c r="C25" s="9" t="s">
        <v>4650</v>
      </c>
      <c r="D25" s="1" t="s">
        <v>861</v>
      </c>
      <c r="F25" t="s">
        <v>4651</v>
      </c>
      <c r="K25" t="s">
        <v>19</v>
      </c>
      <c r="M25" t="s">
        <v>863</v>
      </c>
    </row>
    <row r="26" spans="1:14">
      <c r="A26" s="1" t="s">
        <v>236</v>
      </c>
      <c r="B26" s="1" t="s">
        <v>31</v>
      </c>
      <c r="C26" s="9" t="s">
        <v>4652</v>
      </c>
      <c r="D26" s="1" t="s">
        <v>865</v>
      </c>
      <c r="K26" t="s">
        <v>19</v>
      </c>
      <c r="M26" t="s">
        <v>866</v>
      </c>
      <c r="N26" t="s">
        <v>43</v>
      </c>
    </row>
    <row r="27" spans="1:14">
      <c r="A27" s="1" t="s">
        <v>236</v>
      </c>
      <c r="B27" s="1" t="s">
        <v>31</v>
      </c>
      <c r="C27" s="9" t="s">
        <v>4653</v>
      </c>
      <c r="D27" s="1" t="s">
        <v>868</v>
      </c>
      <c r="K27" t="s">
        <v>19</v>
      </c>
      <c r="M27" t="s">
        <v>869</v>
      </c>
      <c r="N27" t="s">
        <v>43</v>
      </c>
    </row>
    <row r="28" spans="1:14">
      <c r="A28" s="1" t="s">
        <v>26</v>
      </c>
      <c r="B28" s="1" t="s">
        <v>31</v>
      </c>
      <c r="C28" s="9" t="s">
        <v>4654</v>
      </c>
      <c r="D28" s="1" t="s">
        <v>871</v>
      </c>
      <c r="K28" t="s">
        <v>19</v>
      </c>
      <c r="M28" t="s">
        <v>872</v>
      </c>
      <c r="N28" t="s">
        <v>43</v>
      </c>
    </row>
    <row r="29" spans="1:14">
      <c r="A29" s="1" t="s">
        <v>26</v>
      </c>
      <c r="B29" s="1" t="s">
        <v>31</v>
      </c>
      <c r="C29" s="9" t="s">
        <v>4655</v>
      </c>
      <c r="D29" s="1" t="s">
        <v>874</v>
      </c>
      <c r="K29" t="s">
        <v>19</v>
      </c>
      <c r="M29" t="s">
        <v>875</v>
      </c>
      <c r="N29" t="s">
        <v>43</v>
      </c>
    </row>
    <row r="30" spans="1:14">
      <c r="A30" s="1" t="s">
        <v>26</v>
      </c>
      <c r="B30" s="1" t="s">
        <v>31</v>
      </c>
      <c r="C30" s="9" t="s">
        <v>4656</v>
      </c>
      <c r="D30" s="1" t="s">
        <v>877</v>
      </c>
      <c r="K30" t="s">
        <v>19</v>
      </c>
      <c r="M30" t="s">
        <v>878</v>
      </c>
      <c r="N30" t="s">
        <v>43</v>
      </c>
    </row>
    <row r="31" spans="1:14">
      <c r="A31" s="1" t="s">
        <v>21</v>
      </c>
      <c r="B31" s="1" t="s">
        <v>31</v>
      </c>
      <c r="C31" s="8" t="s">
        <v>4657</v>
      </c>
      <c r="D31" s="1" t="s">
        <v>880</v>
      </c>
      <c r="K31" t="s">
        <v>19</v>
      </c>
      <c r="M31" t="s">
        <v>881</v>
      </c>
      <c r="N31" t="s">
        <v>43</v>
      </c>
    </row>
    <row r="32" spans="1:14">
      <c r="A32" s="1" t="s">
        <v>21</v>
      </c>
      <c r="B32" s="1" t="s">
        <v>31</v>
      </c>
      <c r="C32" s="8" t="s">
        <v>4658</v>
      </c>
      <c r="D32" s="1" t="s">
        <v>101</v>
      </c>
      <c r="K32" t="s">
        <v>19</v>
      </c>
      <c r="M32" t="s">
        <v>883</v>
      </c>
      <c r="N32" t="s">
        <v>43</v>
      </c>
    </row>
    <row r="33" spans="1:14">
      <c r="A33" s="7" t="s">
        <v>14</v>
      </c>
      <c r="B33" s="1" t="s">
        <v>15</v>
      </c>
      <c r="C33" s="8" t="s">
        <v>4659</v>
      </c>
      <c r="D33" s="7" t="s">
        <v>104</v>
      </c>
      <c r="K33" t="s">
        <v>19</v>
      </c>
      <c r="M33" t="s">
        <v>105</v>
      </c>
      <c r="N33" t="s">
        <v>43</v>
      </c>
    </row>
    <row r="34" spans="1:14">
      <c r="A34" s="7" t="s">
        <v>14</v>
      </c>
      <c r="B34" s="1" t="s">
        <v>106</v>
      </c>
      <c r="C34" s="8" t="s">
        <v>4660</v>
      </c>
      <c r="D34" s="7" t="s">
        <v>886</v>
      </c>
      <c r="M34" t="s">
        <v>887</v>
      </c>
      <c r="N34" t="s">
        <v>43</v>
      </c>
    </row>
    <row r="35" spans="1:14">
      <c r="A35" s="7" t="s">
        <v>14</v>
      </c>
      <c r="B35" s="1" t="s">
        <v>31</v>
      </c>
      <c r="C35" s="8" t="s">
        <v>4661</v>
      </c>
      <c r="D35" s="7" t="s">
        <v>889</v>
      </c>
      <c r="M35" t="s">
        <v>890</v>
      </c>
      <c r="N35" t="s">
        <v>43</v>
      </c>
    </row>
    <row r="36" spans="1:14">
      <c r="A36" s="7" t="s">
        <v>14</v>
      </c>
      <c r="B36" s="1" t="s">
        <v>106</v>
      </c>
      <c r="C36" s="8" t="s">
        <v>4662</v>
      </c>
      <c r="D36" s="7" t="s">
        <v>108</v>
      </c>
      <c r="K36" t="s">
        <v>19</v>
      </c>
      <c r="M36" t="s">
        <v>110</v>
      </c>
      <c r="N36" t="s">
        <v>43</v>
      </c>
    </row>
    <row r="37" spans="1:14">
      <c r="A37" s="10"/>
      <c r="B37" s="10"/>
      <c r="C37" s="10"/>
      <c r="D37" s="10"/>
    </row>
    <row r="38" spans="1:14">
      <c r="A38" s="11"/>
      <c r="B38" s="11"/>
      <c r="C38" s="11"/>
      <c r="D38" s="11"/>
    </row>
    <row r="39" spans="1:14">
      <c r="A39" s="10"/>
      <c r="B39" s="10"/>
      <c r="C39" s="10"/>
      <c r="D39" s="10"/>
    </row>
    <row r="40" spans="1:14">
      <c r="A40" s="10"/>
      <c r="B40" s="10"/>
      <c r="C40" s="10"/>
      <c r="D40" s="10"/>
    </row>
    <row r="41" spans="1:14">
      <c r="A41" s="11"/>
      <c r="B41" s="11"/>
      <c r="C41" s="11"/>
      <c r="D41" s="11"/>
    </row>
    <row r="42" spans="1:14">
      <c r="A42" s="10"/>
      <c r="B42" s="10"/>
      <c r="C42" s="10"/>
      <c r="D42" s="10"/>
    </row>
    <row r="43" spans="1:14">
      <c r="A43" s="10"/>
      <c r="B43" s="10"/>
      <c r="C43" s="10"/>
      <c r="D43" s="10"/>
    </row>
    <row r="44" spans="1:14">
      <c r="A44" s="10"/>
      <c r="B44" s="10"/>
      <c r="C44" s="10"/>
      <c r="D44" s="10"/>
    </row>
    <row r="46" spans="1:14">
      <c r="A46" t="s">
        <v>222</v>
      </c>
      <c r="B46" t="s">
        <v>223</v>
      </c>
      <c r="C46" t="s">
        <v>2</v>
      </c>
      <c r="D46" t="s">
        <v>3</v>
      </c>
      <c r="F46" t="s">
        <v>5</v>
      </c>
      <c r="J46" t="s">
        <v>9</v>
      </c>
      <c r="K46" t="s">
        <v>10</v>
      </c>
      <c r="M46" t="s">
        <v>4</v>
      </c>
    </row>
    <row r="47" spans="1:14">
      <c r="A47" t="s">
        <v>14</v>
      </c>
      <c r="B47" t="s">
        <v>31</v>
      </c>
      <c r="C47" t="s">
        <v>4663</v>
      </c>
      <c r="D47" t="s">
        <v>927</v>
      </c>
      <c r="F47" t="s">
        <v>4638</v>
      </c>
      <c r="K47" t="s">
        <v>19</v>
      </c>
      <c r="M47" t="s">
        <v>227</v>
      </c>
    </row>
    <row r="48" spans="1:14">
      <c r="A48" t="s">
        <v>21</v>
      </c>
      <c r="B48" t="s">
        <v>31</v>
      </c>
      <c r="C48" t="s">
        <v>4664</v>
      </c>
      <c r="D48" t="s">
        <v>929</v>
      </c>
      <c r="F48" t="s">
        <v>4640</v>
      </c>
      <c r="K48" t="s">
        <v>19</v>
      </c>
      <c r="M48" t="s">
        <v>231</v>
      </c>
    </row>
    <row r="49" spans="1:14">
      <c r="A49" t="s">
        <v>26</v>
      </c>
      <c r="B49" t="s">
        <v>31</v>
      </c>
      <c r="C49" t="s">
        <v>4665</v>
      </c>
      <c r="D49" t="s">
        <v>233</v>
      </c>
      <c r="F49" t="s">
        <v>4642</v>
      </c>
      <c r="K49" t="s">
        <v>19</v>
      </c>
      <c r="M49" t="s">
        <v>235</v>
      </c>
    </row>
    <row r="50" spans="1:14">
      <c r="A50" t="s">
        <v>236</v>
      </c>
      <c r="B50" t="s">
        <v>31</v>
      </c>
      <c r="C50" t="s">
        <v>4666</v>
      </c>
      <c r="D50" t="s">
        <v>238</v>
      </c>
      <c r="F50" t="s">
        <v>4667</v>
      </c>
      <c r="K50" t="s">
        <v>19</v>
      </c>
      <c r="M50" t="s">
        <v>240</v>
      </c>
    </row>
    <row r="51" spans="1:14">
      <c r="A51" t="s">
        <v>241</v>
      </c>
      <c r="B51" t="s">
        <v>31</v>
      </c>
      <c r="C51" t="s">
        <v>4668</v>
      </c>
      <c r="D51" t="s">
        <v>243</v>
      </c>
      <c r="K51" t="s">
        <v>19</v>
      </c>
      <c r="M51" t="s">
        <v>244</v>
      </c>
      <c r="N51" t="s">
        <v>43</v>
      </c>
    </row>
    <row r="52" spans="1:14">
      <c r="A52" t="s">
        <v>241</v>
      </c>
      <c r="B52" t="s">
        <v>31</v>
      </c>
      <c r="C52" t="s">
        <v>4669</v>
      </c>
      <c r="D52" t="s">
        <v>246</v>
      </c>
      <c r="K52" t="s">
        <v>19</v>
      </c>
      <c r="M52" t="s">
        <v>247</v>
      </c>
      <c r="N52" t="s">
        <v>43</v>
      </c>
    </row>
    <row r="53" spans="1:14">
      <c r="A53" t="s">
        <v>236</v>
      </c>
      <c r="B53" t="s">
        <v>31</v>
      </c>
      <c r="C53" t="s">
        <v>4670</v>
      </c>
      <c r="D53" t="s">
        <v>249</v>
      </c>
      <c r="F53" t="s">
        <v>4671</v>
      </c>
      <c r="K53" t="s">
        <v>19</v>
      </c>
      <c r="M53" t="s">
        <v>251</v>
      </c>
    </row>
    <row r="54" spans="1:14">
      <c r="A54" t="s">
        <v>241</v>
      </c>
      <c r="B54" t="s">
        <v>31</v>
      </c>
      <c r="C54" t="s">
        <v>4672</v>
      </c>
      <c r="D54" t="s">
        <v>253</v>
      </c>
      <c r="K54" t="s">
        <v>19</v>
      </c>
      <c r="M54" t="s">
        <v>254</v>
      </c>
      <c r="N54" t="s">
        <v>43</v>
      </c>
    </row>
    <row r="55" spans="1:14">
      <c r="A55" t="s">
        <v>241</v>
      </c>
      <c r="B55" t="s">
        <v>31</v>
      </c>
      <c r="C55" t="s">
        <v>4673</v>
      </c>
      <c r="D55" t="s">
        <v>256</v>
      </c>
      <c r="K55" t="s">
        <v>19</v>
      </c>
      <c r="M55" t="s">
        <v>257</v>
      </c>
      <c r="N55" t="s">
        <v>43</v>
      </c>
    </row>
    <row r="56" spans="1:14">
      <c r="A56" t="s">
        <v>236</v>
      </c>
      <c r="B56" t="s">
        <v>31</v>
      </c>
      <c r="C56" t="s">
        <v>4674</v>
      </c>
      <c r="D56" t="s">
        <v>259</v>
      </c>
      <c r="F56" t="s">
        <v>4675</v>
      </c>
      <c r="K56" t="s">
        <v>19</v>
      </c>
      <c r="M56" t="s">
        <v>261</v>
      </c>
    </row>
    <row r="57" spans="1:14">
      <c r="A57" t="s">
        <v>241</v>
      </c>
      <c r="B57" t="s">
        <v>31</v>
      </c>
      <c r="C57" t="s">
        <v>4676</v>
      </c>
      <c r="D57" t="s">
        <v>263</v>
      </c>
      <c r="F57" t="s">
        <v>4677</v>
      </c>
      <c r="K57" t="s">
        <v>19</v>
      </c>
      <c r="M57" t="s">
        <v>265</v>
      </c>
    </row>
    <row r="58" spans="1:14">
      <c r="A58" t="s">
        <v>266</v>
      </c>
      <c r="B58" t="s">
        <v>31</v>
      </c>
      <c r="C58" t="s">
        <v>4678</v>
      </c>
      <c r="D58" t="s">
        <v>268</v>
      </c>
      <c r="K58" t="s">
        <v>19</v>
      </c>
      <c r="M58" t="s">
        <v>269</v>
      </c>
      <c r="N58" t="s">
        <v>43</v>
      </c>
    </row>
    <row r="59" spans="1:14">
      <c r="A59" t="s">
        <v>266</v>
      </c>
      <c r="B59" t="s">
        <v>31</v>
      </c>
      <c r="C59" t="s">
        <v>4679</v>
      </c>
      <c r="D59" t="s">
        <v>271</v>
      </c>
      <c r="K59" t="s">
        <v>19</v>
      </c>
      <c r="M59" t="s">
        <v>272</v>
      </c>
      <c r="N59" t="s">
        <v>43</v>
      </c>
    </row>
    <row r="60" spans="1:14">
      <c r="A60" t="s">
        <v>241</v>
      </c>
      <c r="B60" t="s">
        <v>31</v>
      </c>
      <c r="C60" t="s">
        <v>4680</v>
      </c>
      <c r="D60" t="s">
        <v>4681</v>
      </c>
      <c r="K60" t="s">
        <v>19</v>
      </c>
      <c r="M60" t="s">
        <v>275</v>
      </c>
      <c r="N60" t="s">
        <v>43</v>
      </c>
    </row>
    <row r="61" spans="1:14">
      <c r="A61" t="s">
        <v>266</v>
      </c>
      <c r="B61" t="s">
        <v>31</v>
      </c>
      <c r="C61" t="s">
        <v>4682</v>
      </c>
      <c r="D61" t="s">
        <v>277</v>
      </c>
      <c r="K61" t="s">
        <v>19</v>
      </c>
      <c r="M61" t="s">
        <v>278</v>
      </c>
      <c r="N61" t="s">
        <v>43</v>
      </c>
    </row>
    <row r="62" spans="1:14">
      <c r="A62" t="s">
        <v>241</v>
      </c>
      <c r="B62" t="s">
        <v>31</v>
      </c>
      <c r="C62" t="s">
        <v>4683</v>
      </c>
      <c r="D62" t="s">
        <v>4684</v>
      </c>
      <c r="K62" t="s">
        <v>19</v>
      </c>
      <c r="M62" t="s">
        <v>281</v>
      </c>
      <c r="N62" t="s">
        <v>43</v>
      </c>
    </row>
    <row r="63" spans="1:14">
      <c r="A63" t="s">
        <v>266</v>
      </c>
      <c r="B63" t="s">
        <v>31</v>
      </c>
      <c r="C63" t="s">
        <v>4685</v>
      </c>
      <c r="D63" t="s">
        <v>283</v>
      </c>
      <c r="K63" t="s">
        <v>19</v>
      </c>
      <c r="M63" t="s">
        <v>284</v>
      </c>
      <c r="N63" t="s">
        <v>43</v>
      </c>
    </row>
    <row r="64" spans="1:14">
      <c r="A64" t="s">
        <v>241</v>
      </c>
      <c r="B64" t="s">
        <v>31</v>
      </c>
      <c r="C64" t="s">
        <v>4686</v>
      </c>
      <c r="D64" t="s">
        <v>4687</v>
      </c>
      <c r="K64" t="s">
        <v>19</v>
      </c>
      <c r="M64" t="s">
        <v>287</v>
      </c>
      <c r="N64" t="s">
        <v>43</v>
      </c>
    </row>
    <row r="65" spans="1:14">
      <c r="A65" t="s">
        <v>266</v>
      </c>
      <c r="B65" t="s">
        <v>31</v>
      </c>
      <c r="C65" t="s">
        <v>4688</v>
      </c>
      <c r="D65" t="s">
        <v>289</v>
      </c>
      <c r="K65" t="s">
        <v>19</v>
      </c>
      <c r="M65" t="s">
        <v>290</v>
      </c>
      <c r="N65" t="s">
        <v>43</v>
      </c>
    </row>
    <row r="66" spans="1:14">
      <c r="A66" t="s">
        <v>236</v>
      </c>
      <c r="B66" t="s">
        <v>31</v>
      </c>
      <c r="C66" t="s">
        <v>4689</v>
      </c>
      <c r="D66" t="s">
        <v>4690</v>
      </c>
      <c r="K66" t="s">
        <v>19</v>
      </c>
      <c r="M66" t="s">
        <v>293</v>
      </c>
      <c r="N66" t="s">
        <v>43</v>
      </c>
    </row>
    <row r="67" spans="1:14">
      <c r="A67" t="s">
        <v>241</v>
      </c>
      <c r="B67" t="s">
        <v>31</v>
      </c>
      <c r="C67" t="s">
        <v>4691</v>
      </c>
      <c r="D67" t="s">
        <v>295</v>
      </c>
      <c r="K67" t="s">
        <v>19</v>
      </c>
      <c r="M67" t="s">
        <v>296</v>
      </c>
      <c r="N67" t="s">
        <v>43</v>
      </c>
    </row>
    <row r="68" spans="1:14">
      <c r="A68" t="s">
        <v>236</v>
      </c>
      <c r="B68" t="s">
        <v>31</v>
      </c>
      <c r="C68" t="s">
        <v>4692</v>
      </c>
      <c r="D68" t="s">
        <v>4693</v>
      </c>
      <c r="K68" t="s">
        <v>19</v>
      </c>
      <c r="M68" t="s">
        <v>299</v>
      </c>
      <c r="N68" t="s">
        <v>43</v>
      </c>
    </row>
    <row r="69" spans="1:14">
      <c r="A69" t="s">
        <v>241</v>
      </c>
      <c r="B69" t="s">
        <v>31</v>
      </c>
      <c r="C69" t="s">
        <v>4694</v>
      </c>
      <c r="D69" t="s">
        <v>301</v>
      </c>
      <c r="K69" t="s">
        <v>19</v>
      </c>
      <c r="M69" t="s">
        <v>302</v>
      </c>
      <c r="N69" t="s">
        <v>43</v>
      </c>
    </row>
    <row r="70" spans="1:14">
      <c r="A70" t="s">
        <v>26</v>
      </c>
      <c r="B70" t="s">
        <v>31</v>
      </c>
      <c r="C70" t="s">
        <v>4695</v>
      </c>
      <c r="D70" t="s">
        <v>304</v>
      </c>
      <c r="F70" t="s">
        <v>4644</v>
      </c>
      <c r="K70" t="s">
        <v>19</v>
      </c>
      <c r="M70" t="s">
        <v>306</v>
      </c>
    </row>
    <row r="71" spans="1:14">
      <c r="A71" t="s">
        <v>236</v>
      </c>
      <c r="B71" t="s">
        <v>31</v>
      </c>
      <c r="C71" t="s">
        <v>4696</v>
      </c>
      <c r="D71" t="s">
        <v>238</v>
      </c>
      <c r="F71" t="s">
        <v>4697</v>
      </c>
      <c r="K71" t="s">
        <v>19</v>
      </c>
      <c r="M71" t="s">
        <v>309</v>
      </c>
    </row>
    <row r="72" spans="1:14">
      <c r="A72" t="s">
        <v>241</v>
      </c>
      <c r="B72" t="s">
        <v>31</v>
      </c>
      <c r="C72" t="s">
        <v>4698</v>
      </c>
      <c r="D72" t="s">
        <v>243</v>
      </c>
      <c r="K72" t="s">
        <v>19</v>
      </c>
      <c r="M72" t="s">
        <v>311</v>
      </c>
      <c r="N72" t="s">
        <v>43</v>
      </c>
    </row>
    <row r="73" spans="1:14">
      <c r="A73" t="s">
        <v>241</v>
      </c>
      <c r="B73" t="s">
        <v>31</v>
      </c>
      <c r="C73" t="s">
        <v>4699</v>
      </c>
      <c r="D73" t="s">
        <v>246</v>
      </c>
      <c r="K73" t="s">
        <v>19</v>
      </c>
      <c r="M73" t="s">
        <v>313</v>
      </c>
      <c r="N73" t="s">
        <v>43</v>
      </c>
    </row>
    <row r="74" spans="1:14">
      <c r="A74" t="s">
        <v>236</v>
      </c>
      <c r="B74" t="s">
        <v>31</v>
      </c>
      <c r="C74" t="s">
        <v>4700</v>
      </c>
      <c r="D74" t="s">
        <v>249</v>
      </c>
      <c r="F74" t="s">
        <v>4701</v>
      </c>
      <c r="K74" t="s">
        <v>19</v>
      </c>
      <c r="M74" t="s">
        <v>316</v>
      </c>
    </row>
    <row r="75" spans="1:14">
      <c r="A75" t="s">
        <v>241</v>
      </c>
      <c r="B75" t="s">
        <v>31</v>
      </c>
      <c r="C75" t="s">
        <v>4702</v>
      </c>
      <c r="D75" t="s">
        <v>253</v>
      </c>
      <c r="K75" t="s">
        <v>19</v>
      </c>
      <c r="M75" t="s">
        <v>318</v>
      </c>
      <c r="N75" t="s">
        <v>43</v>
      </c>
    </row>
    <row r="76" spans="1:14">
      <c r="A76" t="s">
        <v>241</v>
      </c>
      <c r="B76" t="s">
        <v>31</v>
      </c>
      <c r="C76" t="s">
        <v>4703</v>
      </c>
      <c r="D76" t="s">
        <v>256</v>
      </c>
      <c r="K76" t="s">
        <v>19</v>
      </c>
      <c r="M76" t="s">
        <v>320</v>
      </c>
      <c r="N76" t="s">
        <v>43</v>
      </c>
    </row>
    <row r="77" spans="1:14">
      <c r="A77" t="s">
        <v>236</v>
      </c>
      <c r="B77" t="s">
        <v>31</v>
      </c>
      <c r="C77" t="s">
        <v>4704</v>
      </c>
      <c r="D77" t="s">
        <v>259</v>
      </c>
      <c r="F77" t="s">
        <v>4705</v>
      </c>
      <c r="K77" t="s">
        <v>19</v>
      </c>
      <c r="M77" t="s">
        <v>323</v>
      </c>
    </row>
    <row r="78" spans="1:14">
      <c r="A78" t="s">
        <v>241</v>
      </c>
      <c r="B78" t="s">
        <v>31</v>
      </c>
      <c r="C78" t="s">
        <v>4706</v>
      </c>
      <c r="D78" t="s">
        <v>263</v>
      </c>
      <c r="F78" t="s">
        <v>4707</v>
      </c>
      <c r="K78" t="s">
        <v>19</v>
      </c>
      <c r="M78" t="s">
        <v>326</v>
      </c>
    </row>
    <row r="79" spans="1:14">
      <c r="A79" t="s">
        <v>266</v>
      </c>
      <c r="B79" t="s">
        <v>31</v>
      </c>
      <c r="C79" t="s">
        <v>4708</v>
      </c>
      <c r="D79" t="s">
        <v>268</v>
      </c>
      <c r="K79" t="s">
        <v>19</v>
      </c>
      <c r="M79" t="s">
        <v>328</v>
      </c>
      <c r="N79" t="s">
        <v>43</v>
      </c>
    </row>
    <row r="80" spans="1:14">
      <c r="A80" t="s">
        <v>266</v>
      </c>
      <c r="B80" t="s">
        <v>31</v>
      </c>
      <c r="C80" t="s">
        <v>4709</v>
      </c>
      <c r="D80" t="s">
        <v>271</v>
      </c>
      <c r="K80" t="s">
        <v>19</v>
      </c>
      <c r="M80" t="s">
        <v>330</v>
      </c>
      <c r="N80" t="s">
        <v>43</v>
      </c>
    </row>
    <row r="81" spans="1:14">
      <c r="A81" t="s">
        <v>241</v>
      </c>
      <c r="B81" t="s">
        <v>31</v>
      </c>
      <c r="C81" t="s">
        <v>4710</v>
      </c>
      <c r="D81" t="s">
        <v>4711</v>
      </c>
      <c r="K81" t="s">
        <v>19</v>
      </c>
      <c r="M81" t="s">
        <v>333</v>
      </c>
      <c r="N81" t="s">
        <v>43</v>
      </c>
    </row>
    <row r="82" spans="1:14">
      <c r="A82" t="s">
        <v>266</v>
      </c>
      <c r="B82" t="s">
        <v>31</v>
      </c>
      <c r="C82" t="s">
        <v>4712</v>
      </c>
      <c r="D82" t="s">
        <v>277</v>
      </c>
      <c r="K82" t="s">
        <v>19</v>
      </c>
      <c r="M82" t="s">
        <v>335</v>
      </c>
      <c r="N82" t="s">
        <v>43</v>
      </c>
    </row>
    <row r="83" spans="1:14">
      <c r="A83" t="s">
        <v>241</v>
      </c>
      <c r="B83" t="s">
        <v>31</v>
      </c>
      <c r="C83" t="s">
        <v>4713</v>
      </c>
      <c r="D83" t="s">
        <v>4714</v>
      </c>
      <c r="K83" t="s">
        <v>19</v>
      </c>
      <c r="M83" t="s">
        <v>338</v>
      </c>
      <c r="N83" t="s">
        <v>43</v>
      </c>
    </row>
    <row r="84" spans="1:14">
      <c r="A84" t="s">
        <v>266</v>
      </c>
      <c r="B84" t="s">
        <v>31</v>
      </c>
      <c r="C84" t="s">
        <v>4715</v>
      </c>
      <c r="D84" t="s">
        <v>283</v>
      </c>
      <c r="K84" t="s">
        <v>19</v>
      </c>
      <c r="M84" t="s">
        <v>340</v>
      </c>
      <c r="N84" t="s">
        <v>43</v>
      </c>
    </row>
    <row r="85" spans="1:14">
      <c r="A85" t="s">
        <v>241</v>
      </c>
      <c r="B85" t="s">
        <v>31</v>
      </c>
      <c r="C85" t="s">
        <v>4716</v>
      </c>
      <c r="D85" t="s">
        <v>4717</v>
      </c>
      <c r="K85" t="s">
        <v>19</v>
      </c>
      <c r="M85" t="s">
        <v>343</v>
      </c>
      <c r="N85" t="s">
        <v>43</v>
      </c>
    </row>
    <row r="86" spans="1:14">
      <c r="A86" t="s">
        <v>266</v>
      </c>
      <c r="B86" t="s">
        <v>31</v>
      </c>
      <c r="C86" t="s">
        <v>4718</v>
      </c>
      <c r="D86" t="s">
        <v>289</v>
      </c>
      <c r="K86" t="s">
        <v>19</v>
      </c>
      <c r="M86" t="s">
        <v>345</v>
      </c>
      <c r="N86" t="s">
        <v>43</v>
      </c>
    </row>
    <row r="87" spans="1:14">
      <c r="A87" t="s">
        <v>236</v>
      </c>
      <c r="B87" t="s">
        <v>31</v>
      </c>
      <c r="C87" t="s">
        <v>4719</v>
      </c>
      <c r="D87" t="s">
        <v>4720</v>
      </c>
      <c r="K87" t="s">
        <v>19</v>
      </c>
      <c r="M87" t="s">
        <v>348</v>
      </c>
      <c r="N87" t="s">
        <v>43</v>
      </c>
    </row>
    <row r="88" spans="1:14">
      <c r="A88" t="s">
        <v>241</v>
      </c>
      <c r="B88" t="s">
        <v>31</v>
      </c>
      <c r="C88" t="s">
        <v>4721</v>
      </c>
      <c r="D88" t="s">
        <v>295</v>
      </c>
      <c r="K88" t="s">
        <v>19</v>
      </c>
      <c r="M88" t="s">
        <v>350</v>
      </c>
      <c r="N88" t="s">
        <v>43</v>
      </c>
    </row>
    <row r="89" spans="1:14">
      <c r="A89" t="s">
        <v>236</v>
      </c>
      <c r="B89" t="s">
        <v>31</v>
      </c>
      <c r="C89" t="s">
        <v>4722</v>
      </c>
      <c r="D89" t="s">
        <v>4723</v>
      </c>
      <c r="K89" t="s">
        <v>19</v>
      </c>
      <c r="M89" t="s">
        <v>353</v>
      </c>
      <c r="N89" t="s">
        <v>43</v>
      </c>
    </row>
    <row r="90" spans="1:14">
      <c r="A90" t="s">
        <v>241</v>
      </c>
      <c r="B90" t="s">
        <v>31</v>
      </c>
      <c r="C90" t="s">
        <v>4724</v>
      </c>
      <c r="D90" t="s">
        <v>301</v>
      </c>
      <c r="K90" t="s">
        <v>19</v>
      </c>
      <c r="M90" t="s">
        <v>355</v>
      </c>
      <c r="N90" t="s">
        <v>43</v>
      </c>
    </row>
    <row r="91" spans="1:14">
      <c r="A91" t="s">
        <v>21</v>
      </c>
      <c r="B91" t="s">
        <v>31</v>
      </c>
      <c r="C91" t="s">
        <v>4725</v>
      </c>
      <c r="D91" t="s">
        <v>249</v>
      </c>
      <c r="K91" t="s">
        <v>19</v>
      </c>
      <c r="N91" t="s">
        <v>43</v>
      </c>
    </row>
    <row r="92" spans="1:14">
      <c r="A92" t="s">
        <v>26</v>
      </c>
      <c r="B92" t="s">
        <v>31</v>
      </c>
      <c r="C92" t="s">
        <v>4726</v>
      </c>
      <c r="D92" t="s">
        <v>358</v>
      </c>
      <c r="K92" t="s">
        <v>19</v>
      </c>
      <c r="N92" t="s">
        <v>43</v>
      </c>
    </row>
    <row r="93" spans="1:14">
      <c r="A93" t="s">
        <v>26</v>
      </c>
      <c r="B93" t="s">
        <v>31</v>
      </c>
      <c r="C93" t="s">
        <v>4727</v>
      </c>
      <c r="D93" t="s">
        <v>360</v>
      </c>
      <c r="K93" t="s">
        <v>19</v>
      </c>
      <c r="N93" t="s">
        <v>43</v>
      </c>
    </row>
    <row r="94" spans="1:14">
      <c r="A94" t="s">
        <v>21</v>
      </c>
      <c r="B94" t="s">
        <v>31</v>
      </c>
      <c r="C94" t="s">
        <v>4728</v>
      </c>
      <c r="D94" t="s">
        <v>994</v>
      </c>
      <c r="F94" t="s">
        <v>4649</v>
      </c>
      <c r="K94" t="s">
        <v>19</v>
      </c>
      <c r="M94" t="s">
        <v>859</v>
      </c>
    </row>
    <row r="95" spans="1:14">
      <c r="A95" t="s">
        <v>26</v>
      </c>
      <c r="B95" t="s">
        <v>31</v>
      </c>
      <c r="C95" t="s">
        <v>4729</v>
      </c>
      <c r="D95" t="s">
        <v>263</v>
      </c>
      <c r="F95" t="s">
        <v>4651</v>
      </c>
      <c r="K95" t="s">
        <v>19</v>
      </c>
      <c r="M95" t="s">
        <v>863</v>
      </c>
    </row>
    <row r="96" spans="1:14">
      <c r="A96" t="s">
        <v>236</v>
      </c>
      <c r="B96" t="s">
        <v>31</v>
      </c>
      <c r="C96" t="s">
        <v>4730</v>
      </c>
      <c r="D96" t="s">
        <v>268</v>
      </c>
      <c r="K96" t="s">
        <v>19</v>
      </c>
      <c r="M96" t="s">
        <v>866</v>
      </c>
      <c r="N96" t="s">
        <v>43</v>
      </c>
    </row>
    <row r="97" spans="1:14">
      <c r="A97" t="s">
        <v>236</v>
      </c>
      <c r="B97" t="s">
        <v>31</v>
      </c>
      <c r="C97" t="s">
        <v>4731</v>
      </c>
      <c r="D97" t="s">
        <v>271</v>
      </c>
      <c r="K97" t="s">
        <v>19</v>
      </c>
      <c r="M97" t="s">
        <v>869</v>
      </c>
      <c r="N97" t="s">
        <v>43</v>
      </c>
    </row>
    <row r="98" spans="1:14">
      <c r="A98" t="s">
        <v>26</v>
      </c>
      <c r="B98" t="s">
        <v>31</v>
      </c>
      <c r="C98" t="s">
        <v>4732</v>
      </c>
      <c r="D98" t="s">
        <v>999</v>
      </c>
      <c r="K98" t="s">
        <v>19</v>
      </c>
      <c r="M98" t="s">
        <v>872</v>
      </c>
      <c r="N98" t="s">
        <v>43</v>
      </c>
    </row>
    <row r="99" spans="1:14">
      <c r="A99" t="s">
        <v>26</v>
      </c>
      <c r="B99" t="s">
        <v>31</v>
      </c>
      <c r="C99" t="s">
        <v>4733</v>
      </c>
      <c r="D99" t="s">
        <v>283</v>
      </c>
      <c r="K99" t="s">
        <v>19</v>
      </c>
      <c r="M99" t="s">
        <v>875</v>
      </c>
      <c r="N99" t="s">
        <v>43</v>
      </c>
    </row>
    <row r="100" spans="1:14">
      <c r="A100" t="s">
        <v>26</v>
      </c>
      <c r="B100" t="s">
        <v>31</v>
      </c>
      <c r="C100" t="s">
        <v>4734</v>
      </c>
      <c r="D100" t="s">
        <v>289</v>
      </c>
      <c r="K100" t="s">
        <v>19</v>
      </c>
      <c r="M100" t="s">
        <v>878</v>
      </c>
      <c r="N100" t="s">
        <v>43</v>
      </c>
    </row>
    <row r="101" spans="1:14">
      <c r="A101" t="s">
        <v>21</v>
      </c>
      <c r="B101" t="s">
        <v>31</v>
      </c>
      <c r="C101" t="s">
        <v>4735</v>
      </c>
      <c r="D101" t="s">
        <v>1003</v>
      </c>
      <c r="K101" t="s">
        <v>19</v>
      </c>
      <c r="M101" t="s">
        <v>881</v>
      </c>
      <c r="N101" t="s">
        <v>43</v>
      </c>
    </row>
    <row r="102" spans="1:14">
      <c r="A102" t="s">
        <v>21</v>
      </c>
      <c r="B102" t="s">
        <v>31</v>
      </c>
      <c r="C102" t="s">
        <v>4736</v>
      </c>
      <c r="D102" t="s">
        <v>1005</v>
      </c>
      <c r="K102" t="s">
        <v>19</v>
      </c>
      <c r="M102" t="s">
        <v>883</v>
      </c>
      <c r="N102" t="s">
        <v>43</v>
      </c>
    </row>
    <row r="103" spans="1:14">
      <c r="A103" t="s">
        <v>21</v>
      </c>
      <c r="B103" t="s">
        <v>31</v>
      </c>
      <c r="C103" t="s">
        <v>4737</v>
      </c>
      <c r="D103" t="s">
        <v>362</v>
      </c>
      <c r="F103" t="s">
        <v>4738</v>
      </c>
      <c r="K103" t="s">
        <v>19</v>
      </c>
      <c r="M103" t="s">
        <v>364</v>
      </c>
    </row>
    <row r="104" spans="1:14">
      <c r="A104" t="s">
        <v>26</v>
      </c>
      <c r="B104" t="s">
        <v>31</v>
      </c>
      <c r="C104" t="s">
        <v>4738</v>
      </c>
      <c r="D104" t="s">
        <v>365</v>
      </c>
      <c r="F104" t="s">
        <v>4739</v>
      </c>
      <c r="K104" t="s">
        <v>19</v>
      </c>
      <c r="M104" t="s">
        <v>367</v>
      </c>
    </row>
    <row r="105" spans="1:14">
      <c r="A105" t="s">
        <v>236</v>
      </c>
      <c r="B105" t="s">
        <v>31</v>
      </c>
      <c r="C105" t="s">
        <v>4740</v>
      </c>
      <c r="D105" t="s">
        <v>369</v>
      </c>
      <c r="F105" t="s">
        <v>4741</v>
      </c>
      <c r="K105" t="s">
        <v>19</v>
      </c>
      <c r="M105" t="s">
        <v>371</v>
      </c>
    </row>
    <row r="106" spans="1:14">
      <c r="A106" t="s">
        <v>241</v>
      </c>
      <c r="B106" t="s">
        <v>31</v>
      </c>
      <c r="C106" t="s">
        <v>4742</v>
      </c>
      <c r="D106" t="s">
        <v>373</v>
      </c>
      <c r="K106" t="s">
        <v>19</v>
      </c>
      <c r="M106" t="s">
        <v>374</v>
      </c>
      <c r="N106" t="s">
        <v>43</v>
      </c>
    </row>
    <row r="107" spans="1:14">
      <c r="A107" t="s">
        <v>241</v>
      </c>
      <c r="B107" t="s">
        <v>31</v>
      </c>
      <c r="C107" t="s">
        <v>4743</v>
      </c>
      <c r="D107" t="s">
        <v>376</v>
      </c>
      <c r="K107" t="s">
        <v>19</v>
      </c>
      <c r="M107" t="s">
        <v>377</v>
      </c>
      <c r="N107" t="s">
        <v>43</v>
      </c>
    </row>
    <row r="108" spans="1:14">
      <c r="A108" t="s">
        <v>241</v>
      </c>
      <c r="B108" t="s">
        <v>31</v>
      </c>
      <c r="C108" t="s">
        <v>4744</v>
      </c>
      <c r="D108" t="s">
        <v>379</v>
      </c>
      <c r="K108" t="s">
        <v>19</v>
      </c>
      <c r="M108" t="s">
        <v>380</v>
      </c>
      <c r="N108" t="s">
        <v>43</v>
      </c>
    </row>
    <row r="109" spans="1:14">
      <c r="A109" t="s">
        <v>241</v>
      </c>
      <c r="B109" t="s">
        <v>31</v>
      </c>
      <c r="C109" t="s">
        <v>4745</v>
      </c>
      <c r="D109" t="s">
        <v>382</v>
      </c>
      <c r="K109" t="s">
        <v>19</v>
      </c>
      <c r="M109" t="s">
        <v>383</v>
      </c>
      <c r="N109" t="s">
        <v>43</v>
      </c>
    </row>
    <row r="110" spans="1:14">
      <c r="A110" t="s">
        <v>236</v>
      </c>
      <c r="B110" t="s">
        <v>31</v>
      </c>
      <c r="C110" t="s">
        <v>4746</v>
      </c>
      <c r="D110" t="s">
        <v>385</v>
      </c>
      <c r="F110" t="s">
        <v>4747</v>
      </c>
      <c r="K110" t="s">
        <v>19</v>
      </c>
      <c r="M110" t="s">
        <v>387</v>
      </c>
    </row>
    <row r="111" spans="1:14">
      <c r="A111" t="s">
        <v>241</v>
      </c>
      <c r="B111" t="s">
        <v>31</v>
      </c>
      <c r="C111" t="s">
        <v>4748</v>
      </c>
      <c r="D111" t="s">
        <v>389</v>
      </c>
      <c r="K111" t="s">
        <v>19</v>
      </c>
      <c r="M111" t="s">
        <v>390</v>
      </c>
      <c r="N111" t="s">
        <v>43</v>
      </c>
    </row>
    <row r="112" spans="1:14">
      <c r="A112" t="s">
        <v>241</v>
      </c>
      <c r="B112" t="s">
        <v>31</v>
      </c>
      <c r="C112" t="s">
        <v>4749</v>
      </c>
      <c r="D112" t="s">
        <v>392</v>
      </c>
      <c r="K112" t="s">
        <v>19</v>
      </c>
      <c r="M112" t="s">
        <v>393</v>
      </c>
      <c r="N112" t="s">
        <v>43</v>
      </c>
    </row>
    <row r="113" spans="1:14">
      <c r="A113" t="s">
        <v>241</v>
      </c>
      <c r="B113" t="s">
        <v>31</v>
      </c>
      <c r="C113" t="s">
        <v>4750</v>
      </c>
      <c r="D113" t="s">
        <v>395</v>
      </c>
      <c r="K113" t="s">
        <v>19</v>
      </c>
      <c r="M113" t="s">
        <v>396</v>
      </c>
      <c r="N113" t="s">
        <v>43</v>
      </c>
    </row>
    <row r="114" spans="1:14">
      <c r="A114" t="s">
        <v>241</v>
      </c>
      <c r="B114" t="s">
        <v>31</v>
      </c>
      <c r="C114" t="s">
        <v>4751</v>
      </c>
      <c r="D114" t="s">
        <v>398</v>
      </c>
      <c r="K114" t="s">
        <v>19</v>
      </c>
      <c r="M114" t="s">
        <v>399</v>
      </c>
      <c r="N114" t="s">
        <v>43</v>
      </c>
    </row>
    <row r="115" spans="1:14">
      <c r="A115" t="s">
        <v>241</v>
      </c>
      <c r="B115" t="s">
        <v>31</v>
      </c>
      <c r="C115" t="s">
        <v>4752</v>
      </c>
      <c r="D115" t="s">
        <v>401</v>
      </c>
      <c r="K115" t="s">
        <v>19</v>
      </c>
      <c r="M115" t="s">
        <v>402</v>
      </c>
      <c r="N115" t="s">
        <v>43</v>
      </c>
    </row>
    <row r="116" spans="1:14">
      <c r="A116" t="s">
        <v>241</v>
      </c>
      <c r="B116" t="s">
        <v>31</v>
      </c>
      <c r="C116" t="s">
        <v>4753</v>
      </c>
      <c r="D116" t="s">
        <v>404</v>
      </c>
      <c r="K116" t="s">
        <v>19</v>
      </c>
      <c r="M116" t="s">
        <v>405</v>
      </c>
      <c r="N116" t="s">
        <v>43</v>
      </c>
    </row>
    <row r="117" spans="1:14">
      <c r="A117" t="s">
        <v>241</v>
      </c>
      <c r="B117" t="s">
        <v>31</v>
      </c>
      <c r="C117" t="s">
        <v>4754</v>
      </c>
      <c r="D117" t="s">
        <v>407</v>
      </c>
      <c r="K117" t="s">
        <v>19</v>
      </c>
      <c r="M117" t="s">
        <v>408</v>
      </c>
      <c r="N117" t="s">
        <v>43</v>
      </c>
    </row>
    <row r="118" spans="1:14">
      <c r="A118" t="s">
        <v>241</v>
      </c>
      <c r="B118" t="s">
        <v>31</v>
      </c>
      <c r="C118" t="s">
        <v>4755</v>
      </c>
      <c r="D118" t="s">
        <v>410</v>
      </c>
      <c r="K118" t="s">
        <v>19</v>
      </c>
      <c r="M118" t="s">
        <v>411</v>
      </c>
      <c r="N118" t="s">
        <v>43</v>
      </c>
    </row>
    <row r="119" spans="1:14">
      <c r="A119" t="s">
        <v>241</v>
      </c>
      <c r="B119" t="s">
        <v>31</v>
      </c>
      <c r="C119" t="s">
        <v>4756</v>
      </c>
      <c r="D119" t="s">
        <v>413</v>
      </c>
      <c r="K119" t="s">
        <v>19</v>
      </c>
      <c r="M119" t="s">
        <v>414</v>
      </c>
      <c r="N119" t="s">
        <v>43</v>
      </c>
    </row>
    <row r="120" spans="1:14">
      <c r="A120" t="s">
        <v>241</v>
      </c>
      <c r="B120" t="s">
        <v>31</v>
      </c>
      <c r="C120" t="s">
        <v>4757</v>
      </c>
      <c r="D120" t="s">
        <v>416</v>
      </c>
      <c r="K120" t="s">
        <v>19</v>
      </c>
      <c r="M120" t="s">
        <v>417</v>
      </c>
      <c r="N120" t="s">
        <v>43</v>
      </c>
    </row>
    <row r="121" spans="1:14">
      <c r="A121" t="s">
        <v>241</v>
      </c>
      <c r="B121" t="s">
        <v>31</v>
      </c>
      <c r="C121" t="s">
        <v>4758</v>
      </c>
      <c r="D121" t="s">
        <v>419</v>
      </c>
      <c r="K121" t="s">
        <v>19</v>
      </c>
      <c r="M121" t="s">
        <v>420</v>
      </c>
      <c r="N121" t="s">
        <v>43</v>
      </c>
    </row>
    <row r="122" spans="1:14">
      <c r="A122" t="s">
        <v>241</v>
      </c>
      <c r="B122" t="s">
        <v>31</v>
      </c>
      <c r="C122" t="s">
        <v>4759</v>
      </c>
      <c r="D122" t="s">
        <v>422</v>
      </c>
      <c r="F122" t="s">
        <v>4760</v>
      </c>
      <c r="K122" t="s">
        <v>19</v>
      </c>
      <c r="M122" t="s">
        <v>424</v>
      </c>
    </row>
    <row r="123" spans="1:14">
      <c r="A123" t="s">
        <v>241</v>
      </c>
      <c r="B123" t="s">
        <v>31</v>
      </c>
      <c r="C123" t="s">
        <v>4761</v>
      </c>
      <c r="D123" t="s">
        <v>426</v>
      </c>
      <c r="F123" t="s">
        <v>4762</v>
      </c>
      <c r="K123" t="s">
        <v>19</v>
      </c>
      <c r="M123" t="s">
        <v>428</v>
      </c>
    </row>
    <row r="124" spans="1:14">
      <c r="A124" t="s">
        <v>241</v>
      </c>
      <c r="B124" t="s">
        <v>31</v>
      </c>
      <c r="C124" t="s">
        <v>4763</v>
      </c>
      <c r="D124" t="s">
        <v>430</v>
      </c>
      <c r="F124" t="s">
        <v>4764</v>
      </c>
      <c r="K124" t="s">
        <v>19</v>
      </c>
      <c r="M124" t="s">
        <v>432</v>
      </c>
    </row>
    <row r="125" spans="1:14">
      <c r="A125" t="s">
        <v>236</v>
      </c>
      <c r="B125" t="s">
        <v>31</v>
      </c>
      <c r="C125" t="s">
        <v>4765</v>
      </c>
      <c r="D125" t="s">
        <v>434</v>
      </c>
      <c r="F125" t="s">
        <v>4766</v>
      </c>
      <c r="K125" t="s">
        <v>19</v>
      </c>
      <c r="M125" t="s">
        <v>436</v>
      </c>
    </row>
    <row r="126" spans="1:14">
      <c r="A126" t="s">
        <v>241</v>
      </c>
      <c r="B126" t="s">
        <v>31</v>
      </c>
      <c r="C126" t="s">
        <v>4767</v>
      </c>
      <c r="D126" t="s">
        <v>438</v>
      </c>
      <c r="K126" t="s">
        <v>19</v>
      </c>
      <c r="M126" t="s">
        <v>439</v>
      </c>
      <c r="N126" t="s">
        <v>43</v>
      </c>
    </row>
    <row r="127" spans="1:14">
      <c r="A127" t="s">
        <v>241</v>
      </c>
      <c r="B127" t="s">
        <v>31</v>
      </c>
      <c r="C127" t="s">
        <v>4768</v>
      </c>
      <c r="D127" t="s">
        <v>441</v>
      </c>
      <c r="K127" t="s">
        <v>19</v>
      </c>
      <c r="M127" t="s">
        <v>442</v>
      </c>
      <c r="N127" t="s">
        <v>43</v>
      </c>
    </row>
    <row r="128" spans="1:14">
      <c r="A128" t="s">
        <v>241</v>
      </c>
      <c r="B128" t="s">
        <v>31</v>
      </c>
      <c r="C128" t="s">
        <v>4769</v>
      </c>
      <c r="D128" t="s">
        <v>444</v>
      </c>
      <c r="K128" t="s">
        <v>19</v>
      </c>
      <c r="M128" t="s">
        <v>445</v>
      </c>
      <c r="N128" t="s">
        <v>43</v>
      </c>
    </row>
  </sheetData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9"/>
  <sheetViews>
    <sheetView workbookViewId="0">
      <selection activeCell="E13" sqref="E13"/>
    </sheetView>
  </sheetViews>
  <sheetFormatPr defaultColWidth="9" defaultRowHeight="16.8"/>
  <cols>
    <col min="3" max="3" width="11.0803571428571" customWidth="1"/>
    <col min="4" max="4" width="15.5" customWidth="1"/>
    <col min="14" max="15" width="8.66071428571429" customWidth="1"/>
  </cols>
  <sheetData>
    <row r="1" s="1" customFormat="1" ht="15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/>
      <c r="O1" s="6"/>
      <c r="P1" t="s">
        <v>13</v>
      </c>
    </row>
    <row r="2" spans="1:16">
      <c r="A2" s="7" t="s">
        <v>14</v>
      </c>
      <c r="B2" s="1" t="s">
        <v>15</v>
      </c>
      <c r="C2" s="8" t="s">
        <v>4770</v>
      </c>
      <c r="D2" s="7" t="s">
        <v>17</v>
      </c>
      <c r="E2" s="5"/>
      <c r="F2" s="5" t="s">
        <v>4771</v>
      </c>
      <c r="G2" s="5"/>
      <c r="H2" s="5">
        <f>H3+H6+H7</f>
        <v>0</v>
      </c>
      <c r="I2" s="5">
        <f>I3+I6+I7</f>
        <v>0</v>
      </c>
      <c r="J2" s="5"/>
      <c r="M2" t="s">
        <v>20</v>
      </c>
    </row>
    <row r="3" spans="1:16">
      <c r="A3" s="1" t="s">
        <v>21</v>
      </c>
      <c r="B3" s="1" t="s">
        <v>15</v>
      </c>
      <c r="C3" s="8" t="s">
        <v>4772</v>
      </c>
      <c r="D3" s="1" t="s">
        <v>23</v>
      </c>
      <c r="E3" s="5"/>
      <c r="F3" s="5" t="s">
        <v>4773</v>
      </c>
      <c r="G3" s="5"/>
      <c r="H3" s="5">
        <f>H4+H5</f>
        <v>0</v>
      </c>
      <c r="I3" s="5">
        <f>I4+I5</f>
        <v>0</v>
      </c>
      <c r="J3" s="5"/>
      <c r="M3" t="s">
        <v>25</v>
      </c>
    </row>
    <row r="4" spans="1:16">
      <c r="A4" s="1" t="s">
        <v>26</v>
      </c>
      <c r="B4" s="1" t="s">
        <v>15</v>
      </c>
      <c r="C4" s="9" t="s">
        <v>4774</v>
      </c>
      <c r="D4" s="1" t="s">
        <v>822</v>
      </c>
      <c r="E4" s="5"/>
      <c r="F4" s="5"/>
      <c r="G4" s="5"/>
      <c r="H4" s="5"/>
      <c r="I4" s="5"/>
      <c r="J4" s="5"/>
      <c r="M4" t="s">
        <v>823</v>
      </c>
      <c r="P4" t="s">
        <v>43</v>
      </c>
    </row>
    <row r="5" spans="1:16">
      <c r="A5" s="1" t="s">
        <v>26</v>
      </c>
      <c r="B5" s="1" t="s">
        <v>15</v>
      </c>
      <c r="C5" s="9" t="s">
        <v>4775</v>
      </c>
      <c r="D5" s="1" t="s">
        <v>829</v>
      </c>
      <c r="E5" s="5"/>
      <c r="F5" s="5"/>
      <c r="G5" s="5"/>
      <c r="H5" s="5"/>
      <c r="I5" s="5"/>
      <c r="J5" s="5"/>
      <c r="M5" t="s">
        <v>830</v>
      </c>
      <c r="P5" t="s">
        <v>43</v>
      </c>
    </row>
    <row r="6" spans="1:16">
      <c r="A6" s="1" t="s">
        <v>21</v>
      </c>
      <c r="B6" s="1" t="s">
        <v>15</v>
      </c>
      <c r="C6" s="8" t="s">
        <v>4776</v>
      </c>
      <c r="D6" s="1" t="s">
        <v>37</v>
      </c>
      <c r="E6" s="5"/>
      <c r="F6" s="5"/>
      <c r="G6" s="5"/>
      <c r="H6" s="5">
        <f>H32-H35</f>
        <v>0</v>
      </c>
      <c r="I6" s="5">
        <f>I32-I35</f>
        <v>0</v>
      </c>
      <c r="J6" s="5"/>
      <c r="M6" t="s">
        <v>39</v>
      </c>
      <c r="P6" t="s">
        <v>43</v>
      </c>
    </row>
    <row r="7" spans="1:16">
      <c r="A7" s="1" t="s">
        <v>21</v>
      </c>
      <c r="B7" s="1" t="s">
        <v>15</v>
      </c>
      <c r="C7" s="8" t="s">
        <v>4777</v>
      </c>
      <c r="D7" s="1" t="s">
        <v>48</v>
      </c>
      <c r="E7" s="5"/>
      <c r="F7" s="5"/>
      <c r="G7" s="5"/>
      <c r="H7" s="5">
        <f>H38+H40</f>
        <v>0</v>
      </c>
      <c r="I7" s="5">
        <f>I38+I40</f>
        <v>0</v>
      </c>
      <c r="J7" s="5"/>
      <c r="M7" t="s">
        <v>49</v>
      </c>
      <c r="P7" t="s">
        <v>43</v>
      </c>
    </row>
    <row r="8" spans="1:16">
      <c r="A8" s="7" t="s">
        <v>14</v>
      </c>
      <c r="B8" s="1" t="s">
        <v>31</v>
      </c>
      <c r="C8" s="8" t="s">
        <v>4778</v>
      </c>
      <c r="D8" s="7" t="s">
        <v>840</v>
      </c>
      <c r="E8" s="5"/>
      <c r="F8" s="5"/>
      <c r="G8" s="5"/>
      <c r="H8" s="5"/>
      <c r="I8" s="5"/>
      <c r="J8" s="5"/>
      <c r="M8" t="s">
        <v>53</v>
      </c>
      <c r="P8" t="s">
        <v>43</v>
      </c>
    </row>
    <row r="9" spans="1:16">
      <c r="A9" s="7" t="s">
        <v>14</v>
      </c>
      <c r="B9" s="1" t="s">
        <v>15</v>
      </c>
      <c r="C9" s="8" t="s">
        <v>4779</v>
      </c>
      <c r="D9" s="7" t="s">
        <v>68</v>
      </c>
      <c r="E9" s="5"/>
      <c r="F9" s="5" t="s">
        <v>4780</v>
      </c>
      <c r="G9" s="5"/>
      <c r="H9" s="5">
        <f>H2-H8</f>
        <v>0</v>
      </c>
      <c r="I9" s="5">
        <f>I2-I8</f>
        <v>0</v>
      </c>
      <c r="J9" s="5"/>
      <c r="M9" t="s">
        <v>70</v>
      </c>
    </row>
    <row r="10" spans="1:16">
      <c r="A10" s="7" t="s">
        <v>14</v>
      </c>
      <c r="B10" s="1" t="s">
        <v>31</v>
      </c>
      <c r="C10" s="8" t="s">
        <v>4781</v>
      </c>
      <c r="D10" s="7" t="s">
        <v>72</v>
      </c>
      <c r="E10" s="5"/>
      <c r="F10" s="5"/>
      <c r="G10" s="5"/>
      <c r="H10" s="5"/>
      <c r="I10" s="5"/>
      <c r="J10" s="5"/>
      <c r="M10" t="s">
        <v>73</v>
      </c>
      <c r="P10" t="s">
        <v>43</v>
      </c>
    </row>
    <row r="11" spans="1:16">
      <c r="A11" s="7" t="s">
        <v>14</v>
      </c>
      <c r="B11" s="1" t="s">
        <v>31</v>
      </c>
      <c r="C11" s="8" t="s">
        <v>4782</v>
      </c>
      <c r="D11" s="7" t="s">
        <v>844</v>
      </c>
      <c r="E11" s="5"/>
      <c r="F11" s="5" t="s">
        <v>4783</v>
      </c>
      <c r="G11" s="5"/>
      <c r="H11" s="5">
        <f>H12+H15+H18+H25+H26</f>
        <v>0</v>
      </c>
      <c r="I11" s="5">
        <f>I12+I15+I18+I25+I26</f>
        <v>0</v>
      </c>
      <c r="J11" s="5"/>
      <c r="K11" t="s">
        <v>19</v>
      </c>
      <c r="M11" t="s">
        <v>227</v>
      </c>
    </row>
    <row r="12" spans="1:16">
      <c r="A12" s="1" t="s">
        <v>21</v>
      </c>
      <c r="B12" s="1" t="s">
        <v>31</v>
      </c>
      <c r="C12" s="8" t="s">
        <v>4784</v>
      </c>
      <c r="D12" s="1" t="s">
        <v>847</v>
      </c>
      <c r="E12" s="5"/>
      <c r="F12" s="5" t="s">
        <v>4785</v>
      </c>
      <c r="G12" s="5"/>
      <c r="H12" s="5">
        <f>H13+H14</f>
        <v>0</v>
      </c>
      <c r="I12" s="5">
        <f>I13+I14</f>
        <v>0</v>
      </c>
      <c r="J12" s="5"/>
      <c r="K12" t="s">
        <v>19</v>
      </c>
      <c r="M12" t="s">
        <v>231</v>
      </c>
    </row>
    <row r="13" spans="1:16">
      <c r="A13" s="1" t="s">
        <v>26</v>
      </c>
      <c r="B13" s="1" t="s">
        <v>31</v>
      </c>
      <c r="C13" s="9" t="s">
        <v>4786</v>
      </c>
      <c r="D13" s="1" t="s">
        <v>83</v>
      </c>
      <c r="E13" s="5"/>
      <c r="F13" s="5" t="s">
        <v>4787</v>
      </c>
      <c r="G13" s="5"/>
      <c r="H13" s="5"/>
      <c r="I13" s="5"/>
      <c r="J13" s="5"/>
      <c r="K13" t="s">
        <v>19</v>
      </c>
      <c r="M13" t="s">
        <v>235</v>
      </c>
    </row>
    <row r="14" spans="1:16">
      <c r="A14" s="1" t="s">
        <v>26</v>
      </c>
      <c r="B14" s="1" t="s">
        <v>31</v>
      </c>
      <c r="C14" s="9" t="s">
        <v>4788</v>
      </c>
      <c r="D14" s="1" t="s">
        <v>852</v>
      </c>
      <c r="E14" s="5"/>
      <c r="F14" s="5" t="s">
        <v>4789</v>
      </c>
      <c r="G14" s="5"/>
      <c r="H14" s="5"/>
      <c r="I14" s="5"/>
      <c r="J14" s="5"/>
      <c r="K14" t="s">
        <v>19</v>
      </c>
      <c r="M14" t="s">
        <v>306</v>
      </c>
    </row>
    <row r="15" spans="1:16">
      <c r="A15" s="1" t="s">
        <v>21</v>
      </c>
      <c r="B15" s="1" t="s">
        <v>31</v>
      </c>
      <c r="C15" s="8" t="s">
        <v>4790</v>
      </c>
      <c r="D15" s="1" t="s">
        <v>92</v>
      </c>
      <c r="E15" s="5"/>
      <c r="F15" s="5" t="s">
        <v>4791</v>
      </c>
      <c r="G15" s="5"/>
      <c r="H15" s="5">
        <f>H16+H17</f>
        <v>0</v>
      </c>
      <c r="I15" s="5">
        <f>I16+I17</f>
        <v>0</v>
      </c>
      <c r="J15" s="5"/>
      <c r="K15" t="s">
        <v>19</v>
      </c>
      <c r="M15" t="s">
        <v>364</v>
      </c>
    </row>
    <row r="16" spans="1:16">
      <c r="A16" s="1" t="s">
        <v>26</v>
      </c>
      <c r="B16" s="1" t="s">
        <v>31</v>
      </c>
      <c r="C16" s="9" t="s">
        <v>4792</v>
      </c>
      <c r="D16" s="1" t="s">
        <v>94</v>
      </c>
      <c r="E16" s="5"/>
      <c r="F16" s="5"/>
      <c r="G16" s="5"/>
      <c r="H16" s="5"/>
      <c r="I16" s="5"/>
      <c r="J16" s="5"/>
      <c r="K16" t="s">
        <v>19</v>
      </c>
      <c r="M16" t="s">
        <v>1063</v>
      </c>
      <c r="P16" t="s">
        <v>43</v>
      </c>
    </row>
    <row r="17" spans="1:16">
      <c r="A17" s="1" t="s">
        <v>26</v>
      </c>
      <c r="B17" s="1" t="s">
        <v>31</v>
      </c>
      <c r="C17" s="9" t="s">
        <v>4793</v>
      </c>
      <c r="D17" s="1" t="s">
        <v>96</v>
      </c>
      <c r="E17" s="5"/>
      <c r="F17" s="5"/>
      <c r="G17" s="5"/>
      <c r="H17" s="5"/>
      <c r="I17" s="5"/>
      <c r="J17" s="5"/>
      <c r="K17" t="s">
        <v>19</v>
      </c>
      <c r="M17" t="s">
        <v>1065</v>
      </c>
      <c r="P17" t="s">
        <v>43</v>
      </c>
    </row>
    <row r="18" spans="1:16">
      <c r="A18" s="1" t="s">
        <v>21</v>
      </c>
      <c r="B18" s="1" t="s">
        <v>31</v>
      </c>
      <c r="C18" s="8" t="s">
        <v>4794</v>
      </c>
      <c r="D18" s="1" t="s">
        <v>98</v>
      </c>
      <c r="E18" s="5"/>
      <c r="F18" s="5" t="s">
        <v>4795</v>
      </c>
      <c r="G18" s="5"/>
      <c r="H18" s="5">
        <f>H19+H22+H23+H24</f>
        <v>0</v>
      </c>
      <c r="I18" s="5">
        <f>I19+I22+I23+I24</f>
        <v>0</v>
      </c>
      <c r="J18" s="5"/>
      <c r="K18" t="s">
        <v>19</v>
      </c>
      <c r="M18" t="s">
        <v>859</v>
      </c>
    </row>
    <row r="19" spans="1:16">
      <c r="A19" s="1" t="s">
        <v>26</v>
      </c>
      <c r="B19" s="1" t="s">
        <v>31</v>
      </c>
      <c r="C19" s="9" t="s">
        <v>4796</v>
      </c>
      <c r="D19" s="1" t="s">
        <v>861</v>
      </c>
      <c r="E19" s="5"/>
      <c r="F19" s="5" t="s">
        <v>4797</v>
      </c>
      <c r="G19" s="5"/>
      <c r="H19" s="5">
        <f>H20+H21</f>
        <v>0</v>
      </c>
      <c r="I19" s="5">
        <f>I20+I21</f>
        <v>0</v>
      </c>
      <c r="J19" s="5"/>
      <c r="K19" t="s">
        <v>19</v>
      </c>
      <c r="M19" t="s">
        <v>863</v>
      </c>
    </row>
    <row r="20" spans="1:16">
      <c r="A20" s="1" t="s">
        <v>236</v>
      </c>
      <c r="B20" s="1" t="s">
        <v>31</v>
      </c>
      <c r="C20" s="9" t="s">
        <v>4798</v>
      </c>
      <c r="D20" s="1" t="s">
        <v>865</v>
      </c>
      <c r="E20" s="5"/>
      <c r="F20" s="5"/>
      <c r="G20" s="5"/>
      <c r="H20" s="5"/>
      <c r="I20" s="5"/>
      <c r="J20" s="5"/>
      <c r="K20" t="s">
        <v>19</v>
      </c>
      <c r="M20" t="s">
        <v>866</v>
      </c>
      <c r="P20" t="s">
        <v>43</v>
      </c>
    </row>
    <row r="21" spans="1:16">
      <c r="A21" s="1" t="s">
        <v>236</v>
      </c>
      <c r="B21" s="1" t="s">
        <v>31</v>
      </c>
      <c r="C21" s="9" t="s">
        <v>4799</v>
      </c>
      <c r="D21" s="1" t="s">
        <v>868</v>
      </c>
      <c r="E21" s="5"/>
      <c r="F21" s="5"/>
      <c r="G21" s="5"/>
      <c r="H21" s="5"/>
      <c r="I21" s="5"/>
      <c r="J21" s="5"/>
      <c r="K21" t="s">
        <v>19</v>
      </c>
      <c r="M21" t="s">
        <v>869</v>
      </c>
      <c r="P21" t="s">
        <v>43</v>
      </c>
    </row>
    <row r="22" spans="1:16">
      <c r="A22" s="1" t="s">
        <v>26</v>
      </c>
      <c r="B22" s="1" t="s">
        <v>31</v>
      </c>
      <c r="C22" s="9" t="s">
        <v>4800</v>
      </c>
      <c r="D22" s="1" t="s">
        <v>871</v>
      </c>
      <c r="E22" s="5"/>
      <c r="F22" s="5"/>
      <c r="G22" s="5"/>
      <c r="H22" s="5"/>
      <c r="I22" s="5"/>
      <c r="J22" s="5"/>
      <c r="K22" t="s">
        <v>19</v>
      </c>
      <c r="M22" t="s">
        <v>872</v>
      </c>
      <c r="P22" t="s">
        <v>43</v>
      </c>
    </row>
    <row r="23" spans="1:16">
      <c r="A23" s="1" t="s">
        <v>26</v>
      </c>
      <c r="B23" s="1" t="s">
        <v>31</v>
      </c>
      <c r="C23" s="9" t="s">
        <v>4801</v>
      </c>
      <c r="D23" s="1" t="s">
        <v>874</v>
      </c>
      <c r="E23" s="5"/>
      <c r="F23" s="5"/>
      <c r="G23" s="5"/>
      <c r="H23" s="5"/>
      <c r="I23" s="5"/>
      <c r="J23" s="5"/>
      <c r="K23" t="s">
        <v>19</v>
      </c>
      <c r="M23" t="s">
        <v>875</v>
      </c>
      <c r="P23" t="s">
        <v>43</v>
      </c>
    </row>
    <row r="24" spans="1:16">
      <c r="A24" s="1" t="s">
        <v>26</v>
      </c>
      <c r="B24" s="1" t="s">
        <v>31</v>
      </c>
      <c r="C24" s="9" t="s">
        <v>4802</v>
      </c>
      <c r="D24" s="1" t="s">
        <v>877</v>
      </c>
      <c r="E24" s="5"/>
      <c r="F24" s="5"/>
      <c r="G24" s="5"/>
      <c r="H24" s="5"/>
      <c r="I24" s="5"/>
      <c r="J24" s="5"/>
      <c r="K24" t="s">
        <v>19</v>
      </c>
      <c r="M24" t="s">
        <v>878</v>
      </c>
      <c r="P24" t="s">
        <v>43</v>
      </c>
    </row>
    <row r="25" spans="1:16">
      <c r="A25" s="1" t="s">
        <v>21</v>
      </c>
      <c r="B25" s="1" t="s">
        <v>31</v>
      </c>
      <c r="C25" s="8" t="s">
        <v>4803</v>
      </c>
      <c r="D25" s="1" t="s">
        <v>880</v>
      </c>
      <c r="E25" s="5"/>
      <c r="F25" s="5"/>
      <c r="G25" s="5"/>
      <c r="H25" s="5"/>
      <c r="I25" s="5"/>
      <c r="J25" s="5"/>
      <c r="K25" t="s">
        <v>19</v>
      </c>
      <c r="M25" t="s">
        <v>881</v>
      </c>
      <c r="P25" t="s">
        <v>43</v>
      </c>
    </row>
    <row r="26" spans="1:16">
      <c r="A26" s="1" t="s">
        <v>21</v>
      </c>
      <c r="B26" s="1" t="s">
        <v>31</v>
      </c>
      <c r="C26" s="8" t="s">
        <v>4804</v>
      </c>
      <c r="D26" s="1" t="s">
        <v>101</v>
      </c>
      <c r="E26" s="5"/>
      <c r="F26" s="5"/>
      <c r="G26" s="5"/>
      <c r="H26" s="5"/>
      <c r="I26" s="5"/>
      <c r="J26" s="5"/>
      <c r="K26" t="s">
        <v>19</v>
      </c>
      <c r="M26" t="s">
        <v>883</v>
      </c>
      <c r="P26" t="s">
        <v>43</v>
      </c>
    </row>
    <row r="27" spans="1:16">
      <c r="A27" s="7" t="s">
        <v>14</v>
      </c>
      <c r="B27" s="1" t="s">
        <v>15</v>
      </c>
      <c r="C27" s="8" t="s">
        <v>4805</v>
      </c>
      <c r="D27" s="7" t="s">
        <v>104</v>
      </c>
      <c r="E27" s="5"/>
      <c r="F27" s="5"/>
      <c r="G27" s="5"/>
      <c r="H27" s="5"/>
      <c r="I27" s="5"/>
      <c r="J27" s="5"/>
      <c r="M27" t="s">
        <v>105</v>
      </c>
      <c r="P27" t="s">
        <v>43</v>
      </c>
    </row>
    <row r="28" spans="1:16">
      <c r="A28" s="7" t="s">
        <v>14</v>
      </c>
      <c r="B28" s="1" t="s">
        <v>106</v>
      </c>
      <c r="C28" s="8" t="s">
        <v>4806</v>
      </c>
      <c r="D28" s="7" t="s">
        <v>886</v>
      </c>
      <c r="E28" s="5"/>
      <c r="F28" s="5" t="s">
        <v>4807</v>
      </c>
      <c r="G28" s="5"/>
      <c r="H28" s="5">
        <f>H9-H10-H11+H27</f>
        <v>0</v>
      </c>
      <c r="I28" s="5">
        <f>I9-I10-I11+I27</f>
        <v>0</v>
      </c>
      <c r="J28" s="5"/>
      <c r="M28" t="s">
        <v>887</v>
      </c>
    </row>
    <row r="29" spans="1:16">
      <c r="A29" s="7" t="s">
        <v>14</v>
      </c>
      <c r="B29" s="1" t="s">
        <v>31</v>
      </c>
      <c r="C29" s="8" t="s">
        <v>4808</v>
      </c>
      <c r="D29" s="7" t="s">
        <v>889</v>
      </c>
      <c r="E29" s="5"/>
      <c r="F29" s="5"/>
      <c r="G29" s="5"/>
      <c r="H29" s="5"/>
      <c r="I29" s="5"/>
      <c r="J29" s="5"/>
      <c r="M29" t="s">
        <v>890</v>
      </c>
      <c r="P29" t="s">
        <v>43</v>
      </c>
    </row>
    <row r="30" spans="1:16">
      <c r="A30" s="7" t="s">
        <v>14</v>
      </c>
      <c r="B30" s="1" t="s">
        <v>106</v>
      </c>
      <c r="C30" s="8" t="s">
        <v>4809</v>
      </c>
      <c r="D30" s="7" t="s">
        <v>108</v>
      </c>
      <c r="E30" s="5"/>
      <c r="F30" s="5" t="s">
        <v>4810</v>
      </c>
      <c r="G30" s="5"/>
      <c r="H30" s="5">
        <f>H28-H29</f>
        <v>0</v>
      </c>
      <c r="I30" s="5">
        <f>I28-I29</f>
        <v>0</v>
      </c>
      <c r="J30" s="5"/>
      <c r="M30" t="s">
        <v>110</v>
      </c>
    </row>
    <row r="31" spans="1:16">
      <c r="A31" s="10"/>
      <c r="B31" s="10"/>
      <c r="C31" s="10"/>
      <c r="D31" s="10"/>
      <c r="E31" s="5"/>
      <c r="F31" s="5"/>
      <c r="G31" s="5"/>
      <c r="H31" s="5"/>
      <c r="I31" s="5"/>
      <c r="J31" s="5"/>
    </row>
    <row r="32" spans="1:16">
      <c r="A32" s="11" t="s">
        <v>14</v>
      </c>
      <c r="B32" s="11" t="s">
        <v>15</v>
      </c>
      <c r="C32" s="8" t="s">
        <v>4811</v>
      </c>
      <c r="D32" s="11" t="s">
        <v>1307</v>
      </c>
      <c r="E32" s="5"/>
      <c r="F32" s="5" t="s">
        <v>4812</v>
      </c>
      <c r="G32" s="5"/>
      <c r="H32" s="5">
        <f>H33</f>
        <v>0</v>
      </c>
      <c r="I32" s="5">
        <f>I33</f>
        <v>0</v>
      </c>
      <c r="J32" s="5"/>
      <c r="M32" t="s">
        <v>42</v>
      </c>
    </row>
    <row r="33" spans="1:16">
      <c r="A33" s="11" t="s">
        <v>21</v>
      </c>
      <c r="B33" s="11" t="s">
        <v>15</v>
      </c>
      <c r="C33" s="8" t="s">
        <v>4812</v>
      </c>
      <c r="D33" s="11" t="s">
        <v>2498</v>
      </c>
      <c r="E33" s="5"/>
      <c r="F33" s="5"/>
      <c r="G33" s="5"/>
      <c r="H33" s="5"/>
      <c r="I33" s="5"/>
      <c r="J33" s="5"/>
      <c r="M33" t="s">
        <v>1356</v>
      </c>
      <c r="P33" t="s">
        <v>43</v>
      </c>
    </row>
    <row r="34" spans="1:16">
      <c r="A34" s="1"/>
      <c r="B34" s="1"/>
      <c r="C34" s="9"/>
      <c r="D34" s="1"/>
      <c r="E34" s="5"/>
      <c r="F34" s="5"/>
      <c r="G34" s="5"/>
      <c r="H34" s="5"/>
      <c r="I34" s="5"/>
      <c r="J34" s="5"/>
    </row>
    <row r="35" spans="1:16">
      <c r="A35" s="11" t="s">
        <v>14</v>
      </c>
      <c r="B35" s="11" t="s">
        <v>31</v>
      </c>
      <c r="C35" s="8" t="s">
        <v>4813</v>
      </c>
      <c r="D35" s="11" t="s">
        <v>1358</v>
      </c>
      <c r="E35" s="5"/>
      <c r="F35" s="5" t="s">
        <v>4814</v>
      </c>
      <c r="G35" s="5"/>
      <c r="H35" s="5">
        <f>H36</f>
        <v>0</v>
      </c>
      <c r="I35" s="5">
        <f>I36</f>
        <v>0</v>
      </c>
      <c r="J35" s="5"/>
      <c r="M35" t="s">
        <v>46</v>
      </c>
    </row>
    <row r="36" spans="1:16">
      <c r="A36" s="11" t="s">
        <v>21</v>
      </c>
      <c r="B36" s="11" t="s">
        <v>31</v>
      </c>
      <c r="C36" s="8" t="s">
        <v>4814</v>
      </c>
      <c r="D36" s="11" t="s">
        <v>3657</v>
      </c>
      <c r="E36" s="5"/>
      <c r="F36" s="5"/>
      <c r="G36" s="5"/>
      <c r="H36" s="5"/>
      <c r="I36" s="5"/>
      <c r="J36" s="5"/>
      <c r="M36" t="s">
        <v>1420</v>
      </c>
      <c r="P36" t="s">
        <v>43</v>
      </c>
    </row>
    <row r="37" spans="1:16">
      <c r="A37" s="10"/>
      <c r="B37" s="10"/>
      <c r="C37" s="10"/>
      <c r="D37" s="10"/>
      <c r="E37" s="5"/>
      <c r="F37" s="5"/>
      <c r="G37" s="5"/>
      <c r="H37" s="5"/>
      <c r="I37" s="5"/>
      <c r="J37" s="5"/>
    </row>
    <row r="38" spans="1:16">
      <c r="A38" s="11" t="s">
        <v>14</v>
      </c>
      <c r="B38" s="11" t="s">
        <v>15</v>
      </c>
      <c r="C38" s="11" t="s">
        <v>4815</v>
      </c>
      <c r="D38" s="11" t="s">
        <v>1422</v>
      </c>
      <c r="E38" s="5"/>
      <c r="F38" s="5"/>
      <c r="G38" s="5"/>
      <c r="H38" s="5"/>
      <c r="I38" s="5"/>
      <c r="J38" s="5"/>
      <c r="M38" t="s">
        <v>1423</v>
      </c>
      <c r="P38" t="s">
        <v>43</v>
      </c>
    </row>
    <row r="39" spans="1:16">
      <c r="A39" s="10"/>
      <c r="B39" s="10"/>
      <c r="C39" s="10"/>
      <c r="D39" s="10"/>
      <c r="E39" s="5"/>
      <c r="F39" s="5"/>
      <c r="G39" s="5"/>
      <c r="H39" s="5"/>
      <c r="I39" s="5"/>
      <c r="J39" s="5"/>
    </row>
    <row r="40" spans="1:16">
      <c r="A40" s="11" t="s">
        <v>14</v>
      </c>
      <c r="B40" s="11" t="s">
        <v>15</v>
      </c>
      <c r="C40" s="11" t="s">
        <v>4816</v>
      </c>
      <c r="D40" s="11" t="s">
        <v>1425</v>
      </c>
      <c r="E40" s="5"/>
      <c r="F40" s="5"/>
      <c r="G40" s="5"/>
      <c r="H40" s="5"/>
      <c r="I40" s="5"/>
      <c r="J40" s="5"/>
      <c r="M40" t="s">
        <v>1426</v>
      </c>
      <c r="P40" t="s">
        <v>43</v>
      </c>
    </row>
    <row r="41" spans="1:16">
      <c r="A41" s="11"/>
      <c r="B41" s="11"/>
      <c r="C41" s="8"/>
      <c r="D41" s="11"/>
    </row>
    <row r="42" spans="1:16">
      <c r="A42" s="10"/>
      <c r="B42" s="10"/>
      <c r="C42" s="9"/>
      <c r="D42" s="10"/>
    </row>
    <row r="43" spans="1:16">
      <c r="A43" s="10"/>
      <c r="B43" s="10"/>
      <c r="C43" s="10"/>
      <c r="D43" s="10"/>
    </row>
    <row r="44" spans="1:16">
      <c r="A44" s="11"/>
      <c r="B44" s="11"/>
      <c r="C44" s="8"/>
      <c r="D44" s="11"/>
    </row>
    <row r="45" spans="1:16">
      <c r="A45" s="10"/>
      <c r="B45" s="10"/>
      <c r="C45" s="10"/>
      <c r="D45" s="10"/>
    </row>
    <row r="46" spans="1:16">
      <c r="A46" s="11"/>
      <c r="B46" s="11"/>
      <c r="C46" s="11"/>
      <c r="D46" s="11"/>
    </row>
    <row r="48" spans="1:16">
      <c r="A48" t="s">
        <v>222</v>
      </c>
      <c r="B48" t="s">
        <v>223</v>
      </c>
      <c r="C48" t="s">
        <v>2</v>
      </c>
      <c r="D48" t="s">
        <v>3</v>
      </c>
      <c r="E48" t="s">
        <v>4</v>
      </c>
      <c r="F48" t="s">
        <v>5</v>
      </c>
      <c r="J48" t="s">
        <v>9</v>
      </c>
      <c r="K48" t="s">
        <v>10</v>
      </c>
    </row>
    <row r="49" spans="1:16">
      <c r="A49" t="s">
        <v>14</v>
      </c>
      <c r="B49" t="s">
        <v>31</v>
      </c>
      <c r="C49" t="s">
        <v>4817</v>
      </c>
      <c r="D49" t="s">
        <v>927</v>
      </c>
      <c r="F49" t="s">
        <v>4783</v>
      </c>
      <c r="K49" t="s">
        <v>19</v>
      </c>
      <c r="M49" t="s">
        <v>227</v>
      </c>
    </row>
    <row r="50" spans="1:16">
      <c r="A50" t="s">
        <v>21</v>
      </c>
      <c r="B50" t="s">
        <v>31</v>
      </c>
      <c r="C50" t="s">
        <v>4818</v>
      </c>
      <c r="D50" t="s">
        <v>929</v>
      </c>
      <c r="F50" t="s">
        <v>4785</v>
      </c>
      <c r="K50" t="s">
        <v>19</v>
      </c>
      <c r="M50" t="s">
        <v>231</v>
      </c>
    </row>
    <row r="51" spans="1:16">
      <c r="A51" t="s">
        <v>26</v>
      </c>
      <c r="B51" t="s">
        <v>31</v>
      </c>
      <c r="C51" t="s">
        <v>4819</v>
      </c>
      <c r="D51" t="s">
        <v>233</v>
      </c>
      <c r="F51" t="s">
        <v>4787</v>
      </c>
      <c r="K51" t="s">
        <v>19</v>
      </c>
      <c r="M51" t="s">
        <v>235</v>
      </c>
    </row>
    <row r="52" spans="1:16">
      <c r="A52" t="s">
        <v>236</v>
      </c>
      <c r="B52" t="s">
        <v>31</v>
      </c>
      <c r="C52" t="s">
        <v>4820</v>
      </c>
      <c r="D52" t="s">
        <v>238</v>
      </c>
      <c r="F52" t="s">
        <v>4821</v>
      </c>
      <c r="K52" t="s">
        <v>19</v>
      </c>
      <c r="M52" t="s">
        <v>240</v>
      </c>
    </row>
    <row r="53" spans="1:16">
      <c r="A53" t="s">
        <v>241</v>
      </c>
      <c r="B53" t="s">
        <v>31</v>
      </c>
      <c r="C53" t="s">
        <v>4822</v>
      </c>
      <c r="D53" t="s">
        <v>243</v>
      </c>
      <c r="K53" t="s">
        <v>19</v>
      </c>
      <c r="M53" t="s">
        <v>244</v>
      </c>
      <c r="P53" t="s">
        <v>43</v>
      </c>
    </row>
    <row r="54" spans="1:16">
      <c r="A54" t="s">
        <v>241</v>
      </c>
      <c r="B54" t="s">
        <v>31</v>
      </c>
      <c r="C54" t="s">
        <v>4823</v>
      </c>
      <c r="D54" t="s">
        <v>246</v>
      </c>
      <c r="K54" t="s">
        <v>19</v>
      </c>
      <c r="M54" t="s">
        <v>247</v>
      </c>
      <c r="P54" t="s">
        <v>43</v>
      </c>
    </row>
    <row r="55" spans="1:16">
      <c r="A55" t="s">
        <v>236</v>
      </c>
      <c r="B55" t="s">
        <v>31</v>
      </c>
      <c r="C55" t="s">
        <v>4824</v>
      </c>
      <c r="D55" t="s">
        <v>249</v>
      </c>
      <c r="F55" t="s">
        <v>4825</v>
      </c>
      <c r="K55" t="s">
        <v>19</v>
      </c>
      <c r="M55" t="s">
        <v>251</v>
      </c>
    </row>
    <row r="56" spans="1:16">
      <c r="A56" t="s">
        <v>241</v>
      </c>
      <c r="B56" t="s">
        <v>31</v>
      </c>
      <c r="C56" t="s">
        <v>4826</v>
      </c>
      <c r="D56" t="s">
        <v>253</v>
      </c>
      <c r="K56" t="s">
        <v>19</v>
      </c>
      <c r="M56" t="s">
        <v>254</v>
      </c>
      <c r="P56" t="s">
        <v>43</v>
      </c>
    </row>
    <row r="57" spans="1:16">
      <c r="A57" t="s">
        <v>241</v>
      </c>
      <c r="B57" t="s">
        <v>31</v>
      </c>
      <c r="C57" t="s">
        <v>4827</v>
      </c>
      <c r="D57" t="s">
        <v>256</v>
      </c>
      <c r="K57" t="s">
        <v>19</v>
      </c>
      <c r="M57" t="s">
        <v>257</v>
      </c>
      <c r="P57" t="s">
        <v>43</v>
      </c>
    </row>
    <row r="58" spans="1:16">
      <c r="A58" t="s">
        <v>236</v>
      </c>
      <c r="B58" t="s">
        <v>31</v>
      </c>
      <c r="C58" t="s">
        <v>4828</v>
      </c>
      <c r="D58" t="s">
        <v>259</v>
      </c>
      <c r="F58" t="s">
        <v>4829</v>
      </c>
      <c r="K58" t="s">
        <v>19</v>
      </c>
      <c r="M58" t="s">
        <v>261</v>
      </c>
    </row>
    <row r="59" spans="1:16">
      <c r="A59" t="s">
        <v>241</v>
      </c>
      <c r="B59" t="s">
        <v>31</v>
      </c>
      <c r="C59" t="s">
        <v>4830</v>
      </c>
      <c r="D59" t="s">
        <v>263</v>
      </c>
      <c r="F59" t="s">
        <v>4831</v>
      </c>
      <c r="K59" t="s">
        <v>19</v>
      </c>
      <c r="M59" t="s">
        <v>265</v>
      </c>
    </row>
    <row r="60" spans="1:16">
      <c r="A60" t="s">
        <v>266</v>
      </c>
      <c r="B60" t="s">
        <v>31</v>
      </c>
      <c r="C60" t="s">
        <v>4832</v>
      </c>
      <c r="D60" t="s">
        <v>268</v>
      </c>
      <c r="K60" t="s">
        <v>19</v>
      </c>
      <c r="M60" t="s">
        <v>269</v>
      </c>
      <c r="P60" t="s">
        <v>43</v>
      </c>
    </row>
    <row r="61" spans="1:16">
      <c r="A61" t="s">
        <v>266</v>
      </c>
      <c r="B61" t="s">
        <v>31</v>
      </c>
      <c r="C61" t="s">
        <v>4833</v>
      </c>
      <c r="D61" t="s">
        <v>271</v>
      </c>
      <c r="K61" t="s">
        <v>19</v>
      </c>
      <c r="M61" t="s">
        <v>272</v>
      </c>
      <c r="P61" t="s">
        <v>43</v>
      </c>
    </row>
    <row r="62" spans="1:16">
      <c r="A62" t="s">
        <v>241</v>
      </c>
      <c r="B62" t="s">
        <v>31</v>
      </c>
      <c r="C62" t="s">
        <v>4834</v>
      </c>
      <c r="D62" t="s">
        <v>4835</v>
      </c>
      <c r="K62" t="s">
        <v>19</v>
      </c>
      <c r="M62" t="s">
        <v>275</v>
      </c>
      <c r="P62" t="s">
        <v>43</v>
      </c>
    </row>
    <row r="63" spans="1:16">
      <c r="A63" t="s">
        <v>266</v>
      </c>
      <c r="B63" t="s">
        <v>31</v>
      </c>
      <c r="C63" t="s">
        <v>4836</v>
      </c>
      <c r="D63" t="s">
        <v>277</v>
      </c>
      <c r="K63" t="s">
        <v>19</v>
      </c>
      <c r="M63" t="s">
        <v>278</v>
      </c>
      <c r="P63" t="s">
        <v>43</v>
      </c>
    </row>
    <row r="64" spans="1:16">
      <c r="A64" t="s">
        <v>241</v>
      </c>
      <c r="B64" t="s">
        <v>31</v>
      </c>
      <c r="C64" t="s">
        <v>4837</v>
      </c>
      <c r="D64" t="s">
        <v>4838</v>
      </c>
      <c r="K64" t="s">
        <v>19</v>
      </c>
      <c r="M64" t="s">
        <v>281</v>
      </c>
      <c r="P64" t="s">
        <v>43</v>
      </c>
    </row>
    <row r="65" spans="1:16">
      <c r="A65" t="s">
        <v>266</v>
      </c>
      <c r="B65" t="s">
        <v>31</v>
      </c>
      <c r="C65" t="s">
        <v>4839</v>
      </c>
      <c r="D65" t="s">
        <v>283</v>
      </c>
      <c r="K65" t="s">
        <v>19</v>
      </c>
      <c r="M65" t="s">
        <v>284</v>
      </c>
      <c r="P65" t="s">
        <v>43</v>
      </c>
    </row>
    <row r="66" spans="1:16">
      <c r="A66" t="s">
        <v>241</v>
      </c>
      <c r="B66" t="s">
        <v>31</v>
      </c>
      <c r="C66" t="s">
        <v>4840</v>
      </c>
      <c r="D66" t="s">
        <v>4841</v>
      </c>
      <c r="K66" t="s">
        <v>19</v>
      </c>
      <c r="M66" t="s">
        <v>287</v>
      </c>
      <c r="P66" t="s">
        <v>43</v>
      </c>
    </row>
    <row r="67" spans="1:16">
      <c r="A67" t="s">
        <v>266</v>
      </c>
      <c r="B67" t="s">
        <v>31</v>
      </c>
      <c r="C67" t="s">
        <v>4842</v>
      </c>
      <c r="D67" t="s">
        <v>289</v>
      </c>
      <c r="K67" t="s">
        <v>19</v>
      </c>
      <c r="M67" t="s">
        <v>290</v>
      </c>
      <c r="P67" t="s">
        <v>43</v>
      </c>
    </row>
    <row r="68" spans="1:16">
      <c r="A68" t="s">
        <v>236</v>
      </c>
      <c r="B68" t="s">
        <v>31</v>
      </c>
      <c r="C68" t="s">
        <v>4843</v>
      </c>
      <c r="D68" t="s">
        <v>4844</v>
      </c>
      <c r="K68" t="s">
        <v>19</v>
      </c>
      <c r="M68" t="s">
        <v>293</v>
      </c>
      <c r="P68" t="s">
        <v>43</v>
      </c>
    </row>
    <row r="69" spans="1:16">
      <c r="A69" t="s">
        <v>241</v>
      </c>
      <c r="B69" t="s">
        <v>31</v>
      </c>
      <c r="C69" t="s">
        <v>4845</v>
      </c>
      <c r="D69" t="s">
        <v>295</v>
      </c>
      <c r="K69" t="s">
        <v>19</v>
      </c>
      <c r="M69" t="s">
        <v>296</v>
      </c>
      <c r="P69" t="s">
        <v>43</v>
      </c>
    </row>
    <row r="70" spans="1:16">
      <c r="A70" t="s">
        <v>236</v>
      </c>
      <c r="B70" t="s">
        <v>31</v>
      </c>
      <c r="C70" t="s">
        <v>4846</v>
      </c>
      <c r="D70" t="s">
        <v>4847</v>
      </c>
      <c r="K70" t="s">
        <v>19</v>
      </c>
      <c r="M70" t="s">
        <v>299</v>
      </c>
      <c r="P70" t="s">
        <v>43</v>
      </c>
    </row>
    <row r="71" spans="1:16">
      <c r="A71" t="s">
        <v>241</v>
      </c>
      <c r="B71" t="s">
        <v>31</v>
      </c>
      <c r="C71" t="s">
        <v>4848</v>
      </c>
      <c r="D71" t="s">
        <v>301</v>
      </c>
      <c r="K71" t="s">
        <v>19</v>
      </c>
      <c r="M71" t="s">
        <v>302</v>
      </c>
      <c r="P71" t="s">
        <v>43</v>
      </c>
    </row>
    <row r="72" spans="1:16">
      <c r="A72" t="s">
        <v>26</v>
      </c>
      <c r="B72" t="s">
        <v>31</v>
      </c>
      <c r="C72" t="s">
        <v>4849</v>
      </c>
      <c r="D72" t="s">
        <v>304</v>
      </c>
      <c r="F72" t="s">
        <v>4789</v>
      </c>
      <c r="K72" t="s">
        <v>19</v>
      </c>
      <c r="M72" t="s">
        <v>306</v>
      </c>
    </row>
    <row r="73" spans="1:16">
      <c r="A73" t="s">
        <v>236</v>
      </c>
      <c r="B73" t="s">
        <v>31</v>
      </c>
      <c r="C73" t="s">
        <v>4850</v>
      </c>
      <c r="D73" t="s">
        <v>238</v>
      </c>
      <c r="F73" t="s">
        <v>4851</v>
      </c>
      <c r="K73" t="s">
        <v>19</v>
      </c>
      <c r="M73" t="s">
        <v>309</v>
      </c>
    </row>
    <row r="74" spans="1:16">
      <c r="A74" t="s">
        <v>241</v>
      </c>
      <c r="B74" t="s">
        <v>31</v>
      </c>
      <c r="C74" t="s">
        <v>4852</v>
      </c>
      <c r="D74" t="s">
        <v>243</v>
      </c>
      <c r="K74" t="s">
        <v>19</v>
      </c>
      <c r="M74" t="s">
        <v>311</v>
      </c>
      <c r="P74" t="s">
        <v>43</v>
      </c>
    </row>
    <row r="75" spans="1:16">
      <c r="A75" t="s">
        <v>241</v>
      </c>
      <c r="B75" t="s">
        <v>31</v>
      </c>
      <c r="C75" t="s">
        <v>4853</v>
      </c>
      <c r="D75" t="s">
        <v>246</v>
      </c>
      <c r="K75" t="s">
        <v>19</v>
      </c>
      <c r="M75" t="s">
        <v>313</v>
      </c>
      <c r="P75" t="s">
        <v>43</v>
      </c>
    </row>
    <row r="76" spans="1:16">
      <c r="A76" t="s">
        <v>236</v>
      </c>
      <c r="B76" t="s">
        <v>31</v>
      </c>
      <c r="C76" t="s">
        <v>4854</v>
      </c>
      <c r="D76" t="s">
        <v>249</v>
      </c>
      <c r="F76" t="s">
        <v>4855</v>
      </c>
      <c r="K76" t="s">
        <v>19</v>
      </c>
      <c r="M76" t="s">
        <v>316</v>
      </c>
    </row>
    <row r="77" spans="1:16">
      <c r="A77" t="s">
        <v>241</v>
      </c>
      <c r="B77" t="s">
        <v>31</v>
      </c>
      <c r="C77" t="s">
        <v>4856</v>
      </c>
      <c r="D77" t="s">
        <v>253</v>
      </c>
      <c r="K77" t="s">
        <v>19</v>
      </c>
      <c r="M77" t="s">
        <v>318</v>
      </c>
      <c r="P77" t="s">
        <v>43</v>
      </c>
    </row>
    <row r="78" spans="1:16">
      <c r="A78" t="s">
        <v>241</v>
      </c>
      <c r="B78" t="s">
        <v>31</v>
      </c>
      <c r="C78" t="s">
        <v>4857</v>
      </c>
      <c r="D78" t="s">
        <v>256</v>
      </c>
      <c r="K78" t="s">
        <v>19</v>
      </c>
      <c r="M78" t="s">
        <v>320</v>
      </c>
      <c r="P78" t="s">
        <v>43</v>
      </c>
    </row>
    <row r="79" spans="1:16">
      <c r="A79" t="s">
        <v>236</v>
      </c>
      <c r="B79" t="s">
        <v>31</v>
      </c>
      <c r="C79" t="s">
        <v>4858</v>
      </c>
      <c r="D79" t="s">
        <v>259</v>
      </c>
      <c r="F79" t="s">
        <v>4859</v>
      </c>
      <c r="K79" t="s">
        <v>19</v>
      </c>
      <c r="M79" t="s">
        <v>323</v>
      </c>
    </row>
    <row r="80" spans="1:16">
      <c r="A80" t="s">
        <v>241</v>
      </c>
      <c r="B80" t="s">
        <v>31</v>
      </c>
      <c r="C80" t="s">
        <v>4860</v>
      </c>
      <c r="D80" t="s">
        <v>263</v>
      </c>
      <c r="F80" t="s">
        <v>4861</v>
      </c>
      <c r="K80" t="s">
        <v>19</v>
      </c>
      <c r="M80" t="s">
        <v>326</v>
      </c>
    </row>
    <row r="81" spans="1:16">
      <c r="A81" t="s">
        <v>266</v>
      </c>
      <c r="B81" t="s">
        <v>31</v>
      </c>
      <c r="C81" t="s">
        <v>4862</v>
      </c>
      <c r="D81" t="s">
        <v>268</v>
      </c>
      <c r="K81" t="s">
        <v>19</v>
      </c>
      <c r="M81" t="s">
        <v>328</v>
      </c>
      <c r="P81" t="s">
        <v>43</v>
      </c>
    </row>
    <row r="82" spans="1:16">
      <c r="A82" t="s">
        <v>266</v>
      </c>
      <c r="B82" t="s">
        <v>31</v>
      </c>
      <c r="C82" t="s">
        <v>4863</v>
      </c>
      <c r="D82" t="s">
        <v>271</v>
      </c>
      <c r="K82" t="s">
        <v>19</v>
      </c>
      <c r="M82" t="s">
        <v>330</v>
      </c>
      <c r="P82" t="s">
        <v>43</v>
      </c>
    </row>
    <row r="83" spans="1:16">
      <c r="A83" t="s">
        <v>241</v>
      </c>
      <c r="B83" t="s">
        <v>31</v>
      </c>
      <c r="C83" t="s">
        <v>4864</v>
      </c>
      <c r="D83" t="s">
        <v>4865</v>
      </c>
      <c r="K83" t="s">
        <v>19</v>
      </c>
      <c r="M83" t="s">
        <v>333</v>
      </c>
      <c r="P83" t="s">
        <v>43</v>
      </c>
    </row>
    <row r="84" spans="1:16">
      <c r="A84" t="s">
        <v>266</v>
      </c>
      <c r="B84" t="s">
        <v>31</v>
      </c>
      <c r="C84" t="s">
        <v>4866</v>
      </c>
      <c r="D84" t="s">
        <v>277</v>
      </c>
      <c r="K84" t="s">
        <v>19</v>
      </c>
      <c r="M84" t="s">
        <v>335</v>
      </c>
      <c r="P84" t="s">
        <v>43</v>
      </c>
    </row>
    <row r="85" spans="1:16">
      <c r="A85" t="s">
        <v>241</v>
      </c>
      <c r="B85" t="s">
        <v>31</v>
      </c>
      <c r="C85" t="s">
        <v>4867</v>
      </c>
      <c r="D85" t="s">
        <v>4868</v>
      </c>
      <c r="K85" t="s">
        <v>19</v>
      </c>
      <c r="M85" t="s">
        <v>338</v>
      </c>
      <c r="P85" t="s">
        <v>43</v>
      </c>
    </row>
    <row r="86" spans="1:16">
      <c r="A86" t="s">
        <v>266</v>
      </c>
      <c r="B86" t="s">
        <v>31</v>
      </c>
      <c r="C86" t="s">
        <v>4869</v>
      </c>
      <c r="D86" t="s">
        <v>283</v>
      </c>
      <c r="K86" t="s">
        <v>19</v>
      </c>
      <c r="M86" t="s">
        <v>340</v>
      </c>
      <c r="P86" t="s">
        <v>43</v>
      </c>
    </row>
    <row r="87" spans="1:16">
      <c r="A87" t="s">
        <v>241</v>
      </c>
      <c r="B87" t="s">
        <v>31</v>
      </c>
      <c r="C87" t="s">
        <v>4870</v>
      </c>
      <c r="D87" t="s">
        <v>4871</v>
      </c>
      <c r="K87" t="s">
        <v>19</v>
      </c>
      <c r="M87" t="s">
        <v>343</v>
      </c>
      <c r="P87" t="s">
        <v>43</v>
      </c>
    </row>
    <row r="88" spans="1:16">
      <c r="A88" t="s">
        <v>266</v>
      </c>
      <c r="B88" t="s">
        <v>31</v>
      </c>
      <c r="C88" t="s">
        <v>4872</v>
      </c>
      <c r="D88" t="s">
        <v>289</v>
      </c>
      <c r="K88" t="s">
        <v>19</v>
      </c>
      <c r="M88" t="s">
        <v>345</v>
      </c>
      <c r="P88" t="s">
        <v>43</v>
      </c>
    </row>
    <row r="89" spans="1:16">
      <c r="A89" t="s">
        <v>236</v>
      </c>
      <c r="B89" t="s">
        <v>31</v>
      </c>
      <c r="C89" t="s">
        <v>4873</v>
      </c>
      <c r="D89" t="s">
        <v>4874</v>
      </c>
      <c r="K89" t="s">
        <v>19</v>
      </c>
      <c r="M89" t="s">
        <v>348</v>
      </c>
      <c r="P89" t="s">
        <v>43</v>
      </c>
    </row>
    <row r="90" spans="1:16">
      <c r="A90" t="s">
        <v>241</v>
      </c>
      <c r="B90" t="s">
        <v>31</v>
      </c>
      <c r="C90" t="s">
        <v>4875</v>
      </c>
      <c r="D90" t="s">
        <v>295</v>
      </c>
      <c r="K90" t="s">
        <v>19</v>
      </c>
      <c r="M90" t="s">
        <v>350</v>
      </c>
      <c r="P90" t="s">
        <v>43</v>
      </c>
    </row>
    <row r="91" spans="1:16">
      <c r="A91" t="s">
        <v>236</v>
      </c>
      <c r="B91" t="s">
        <v>31</v>
      </c>
      <c r="C91" t="s">
        <v>4876</v>
      </c>
      <c r="D91" t="s">
        <v>4877</v>
      </c>
      <c r="K91" t="s">
        <v>19</v>
      </c>
      <c r="M91" t="s">
        <v>353</v>
      </c>
      <c r="P91" t="s">
        <v>43</v>
      </c>
    </row>
    <row r="92" spans="1:16">
      <c r="A92" t="s">
        <v>241</v>
      </c>
      <c r="B92" t="s">
        <v>31</v>
      </c>
      <c r="C92" t="s">
        <v>4878</v>
      </c>
      <c r="D92" t="s">
        <v>301</v>
      </c>
      <c r="K92" t="s">
        <v>19</v>
      </c>
      <c r="M92" t="s">
        <v>355</v>
      </c>
      <c r="P92" t="s">
        <v>43</v>
      </c>
    </row>
    <row r="93" spans="1:16">
      <c r="A93" t="s">
        <v>21</v>
      </c>
      <c r="B93" t="s">
        <v>31</v>
      </c>
      <c r="C93" t="s">
        <v>4879</v>
      </c>
      <c r="D93" t="s">
        <v>362</v>
      </c>
      <c r="F93" t="s">
        <v>4791</v>
      </c>
      <c r="K93" t="s">
        <v>19</v>
      </c>
      <c r="M93" t="s">
        <v>364</v>
      </c>
    </row>
    <row r="94" spans="1:16">
      <c r="A94" t="s">
        <v>26</v>
      </c>
      <c r="B94" t="s">
        <v>31</v>
      </c>
      <c r="C94" t="s">
        <v>4880</v>
      </c>
      <c r="D94" t="s">
        <v>358</v>
      </c>
      <c r="K94" t="s">
        <v>19</v>
      </c>
      <c r="M94" t="s">
        <v>1063</v>
      </c>
      <c r="P94" t="s">
        <v>43</v>
      </c>
    </row>
    <row r="95" spans="1:16">
      <c r="A95" t="s">
        <v>26</v>
      </c>
      <c r="B95" t="s">
        <v>31</v>
      </c>
      <c r="C95" t="s">
        <v>4881</v>
      </c>
      <c r="D95" t="s">
        <v>360</v>
      </c>
      <c r="K95" t="s">
        <v>19</v>
      </c>
      <c r="M95" t="s">
        <v>1065</v>
      </c>
      <c r="P95" t="s">
        <v>43</v>
      </c>
    </row>
    <row r="96" spans="1:16">
      <c r="A96" t="s">
        <v>26</v>
      </c>
      <c r="B96" t="s">
        <v>31</v>
      </c>
      <c r="C96" t="s">
        <v>4882</v>
      </c>
      <c r="D96" t="s">
        <v>365</v>
      </c>
      <c r="F96" t="s">
        <v>4883</v>
      </c>
      <c r="K96" t="s">
        <v>19</v>
      </c>
      <c r="M96" t="s">
        <v>367</v>
      </c>
    </row>
    <row r="97" spans="1:16">
      <c r="A97" t="s">
        <v>236</v>
      </c>
      <c r="B97" t="s">
        <v>31</v>
      </c>
      <c r="C97" t="s">
        <v>4884</v>
      </c>
      <c r="D97" t="s">
        <v>369</v>
      </c>
      <c r="F97" t="s">
        <v>4885</v>
      </c>
      <c r="K97" t="s">
        <v>19</v>
      </c>
      <c r="M97" t="s">
        <v>371</v>
      </c>
    </row>
    <row r="98" spans="1:16">
      <c r="A98" t="s">
        <v>241</v>
      </c>
      <c r="B98" t="s">
        <v>31</v>
      </c>
      <c r="C98" t="s">
        <v>4886</v>
      </c>
      <c r="D98" t="s">
        <v>373</v>
      </c>
      <c r="K98" t="s">
        <v>19</v>
      </c>
      <c r="M98" t="s">
        <v>374</v>
      </c>
      <c r="P98" t="s">
        <v>43</v>
      </c>
    </row>
    <row r="99" spans="1:16">
      <c r="A99" t="s">
        <v>241</v>
      </c>
      <c r="B99" t="s">
        <v>31</v>
      </c>
      <c r="C99" t="s">
        <v>4887</v>
      </c>
      <c r="D99" t="s">
        <v>376</v>
      </c>
      <c r="K99" t="s">
        <v>19</v>
      </c>
      <c r="M99" t="s">
        <v>377</v>
      </c>
      <c r="P99" t="s">
        <v>43</v>
      </c>
    </row>
    <row r="100" spans="1:16">
      <c r="A100" t="s">
        <v>241</v>
      </c>
      <c r="B100" t="s">
        <v>31</v>
      </c>
      <c r="C100" t="s">
        <v>4888</v>
      </c>
      <c r="D100" t="s">
        <v>379</v>
      </c>
      <c r="K100" t="s">
        <v>19</v>
      </c>
      <c r="M100" t="s">
        <v>380</v>
      </c>
      <c r="P100" t="s">
        <v>43</v>
      </c>
    </row>
    <row r="101" spans="1:16">
      <c r="A101" t="s">
        <v>241</v>
      </c>
      <c r="B101" t="s">
        <v>31</v>
      </c>
      <c r="C101" t="s">
        <v>4889</v>
      </c>
      <c r="D101" t="s">
        <v>382</v>
      </c>
      <c r="K101" t="s">
        <v>19</v>
      </c>
      <c r="M101" t="s">
        <v>383</v>
      </c>
      <c r="P101" t="s">
        <v>43</v>
      </c>
    </row>
    <row r="102" spans="1:16">
      <c r="A102" t="s">
        <v>236</v>
      </c>
      <c r="B102" t="s">
        <v>31</v>
      </c>
      <c r="C102" t="s">
        <v>4890</v>
      </c>
      <c r="D102" t="s">
        <v>385</v>
      </c>
      <c r="F102" t="s">
        <v>4891</v>
      </c>
      <c r="K102" t="s">
        <v>19</v>
      </c>
      <c r="M102" t="s">
        <v>387</v>
      </c>
    </row>
    <row r="103" spans="1:16">
      <c r="A103" t="s">
        <v>241</v>
      </c>
      <c r="B103" t="s">
        <v>31</v>
      </c>
      <c r="C103" t="s">
        <v>4892</v>
      </c>
      <c r="D103" t="s">
        <v>389</v>
      </c>
      <c r="K103" t="s">
        <v>19</v>
      </c>
      <c r="M103" t="s">
        <v>390</v>
      </c>
      <c r="P103" t="s">
        <v>43</v>
      </c>
    </row>
    <row r="104" spans="1:16">
      <c r="A104" t="s">
        <v>241</v>
      </c>
      <c r="B104" t="s">
        <v>31</v>
      </c>
      <c r="C104" t="s">
        <v>4893</v>
      </c>
      <c r="D104" t="s">
        <v>392</v>
      </c>
      <c r="K104" t="s">
        <v>19</v>
      </c>
      <c r="M104" t="s">
        <v>393</v>
      </c>
      <c r="P104" t="s">
        <v>43</v>
      </c>
    </row>
    <row r="105" spans="1:16">
      <c r="A105" t="s">
        <v>241</v>
      </c>
      <c r="B105" t="s">
        <v>31</v>
      </c>
      <c r="C105" t="s">
        <v>4894</v>
      </c>
      <c r="D105" t="s">
        <v>395</v>
      </c>
      <c r="K105" t="s">
        <v>19</v>
      </c>
      <c r="M105" t="s">
        <v>396</v>
      </c>
      <c r="P105" t="s">
        <v>43</v>
      </c>
    </row>
    <row r="106" spans="1:16">
      <c r="A106" t="s">
        <v>241</v>
      </c>
      <c r="B106" t="s">
        <v>31</v>
      </c>
      <c r="C106" t="s">
        <v>4895</v>
      </c>
      <c r="D106" t="s">
        <v>398</v>
      </c>
      <c r="K106" t="s">
        <v>19</v>
      </c>
      <c r="M106" t="s">
        <v>399</v>
      </c>
      <c r="P106" t="s">
        <v>43</v>
      </c>
    </row>
    <row r="107" spans="1:16">
      <c r="A107" t="s">
        <v>241</v>
      </c>
      <c r="B107" t="s">
        <v>31</v>
      </c>
      <c r="C107" t="s">
        <v>4896</v>
      </c>
      <c r="D107" t="s">
        <v>401</v>
      </c>
      <c r="K107" t="s">
        <v>19</v>
      </c>
      <c r="M107" t="s">
        <v>402</v>
      </c>
      <c r="P107" t="s">
        <v>43</v>
      </c>
    </row>
    <row r="108" spans="1:16">
      <c r="A108" t="s">
        <v>241</v>
      </c>
      <c r="B108" t="s">
        <v>31</v>
      </c>
      <c r="C108" t="s">
        <v>4897</v>
      </c>
      <c r="D108" t="s">
        <v>404</v>
      </c>
      <c r="K108" t="s">
        <v>19</v>
      </c>
      <c r="M108" t="s">
        <v>405</v>
      </c>
      <c r="P108" t="s">
        <v>43</v>
      </c>
    </row>
    <row r="109" spans="1:16">
      <c r="A109" t="s">
        <v>241</v>
      </c>
      <c r="B109" t="s">
        <v>31</v>
      </c>
      <c r="C109" t="s">
        <v>4898</v>
      </c>
      <c r="D109" t="s">
        <v>407</v>
      </c>
      <c r="K109" t="s">
        <v>19</v>
      </c>
      <c r="M109" t="s">
        <v>408</v>
      </c>
      <c r="P109" t="s">
        <v>43</v>
      </c>
    </row>
    <row r="110" spans="1:16">
      <c r="A110" t="s">
        <v>241</v>
      </c>
      <c r="B110" t="s">
        <v>31</v>
      </c>
      <c r="C110" t="s">
        <v>4899</v>
      </c>
      <c r="D110" t="s">
        <v>410</v>
      </c>
      <c r="K110" t="s">
        <v>19</v>
      </c>
      <c r="M110" t="s">
        <v>411</v>
      </c>
      <c r="P110" t="s">
        <v>43</v>
      </c>
    </row>
    <row r="111" spans="1:16">
      <c r="A111" t="s">
        <v>241</v>
      </c>
      <c r="B111" t="s">
        <v>31</v>
      </c>
      <c r="C111" t="s">
        <v>4900</v>
      </c>
      <c r="D111" t="s">
        <v>413</v>
      </c>
      <c r="K111" t="s">
        <v>19</v>
      </c>
      <c r="M111" t="s">
        <v>414</v>
      </c>
      <c r="P111" t="s">
        <v>43</v>
      </c>
    </row>
    <row r="112" spans="1:16">
      <c r="A112" t="s">
        <v>241</v>
      </c>
      <c r="B112" t="s">
        <v>31</v>
      </c>
      <c r="C112" t="s">
        <v>4901</v>
      </c>
      <c r="D112" t="s">
        <v>416</v>
      </c>
      <c r="K112" t="s">
        <v>19</v>
      </c>
      <c r="M112" t="s">
        <v>417</v>
      </c>
      <c r="P112" t="s">
        <v>43</v>
      </c>
    </row>
    <row r="113" spans="1:16">
      <c r="A113" t="s">
        <v>241</v>
      </c>
      <c r="B113" t="s">
        <v>31</v>
      </c>
      <c r="C113" t="s">
        <v>4902</v>
      </c>
      <c r="D113" t="s">
        <v>419</v>
      </c>
      <c r="K113" t="s">
        <v>19</v>
      </c>
      <c r="M113" t="s">
        <v>420</v>
      </c>
      <c r="P113" t="s">
        <v>43</v>
      </c>
    </row>
    <row r="114" spans="1:16">
      <c r="A114" t="s">
        <v>241</v>
      </c>
      <c r="B114" t="s">
        <v>31</v>
      </c>
      <c r="C114" t="s">
        <v>4903</v>
      </c>
      <c r="D114" t="s">
        <v>422</v>
      </c>
      <c r="F114" t="s">
        <v>4904</v>
      </c>
      <c r="K114" t="s">
        <v>19</v>
      </c>
      <c r="M114" t="s">
        <v>424</v>
      </c>
    </row>
    <row r="115" spans="1:16">
      <c r="A115" t="s">
        <v>241</v>
      </c>
      <c r="B115" t="s">
        <v>31</v>
      </c>
      <c r="C115" t="s">
        <v>4905</v>
      </c>
      <c r="D115" t="s">
        <v>426</v>
      </c>
      <c r="F115" t="s">
        <v>4906</v>
      </c>
      <c r="K115" t="s">
        <v>19</v>
      </c>
      <c r="M115" t="s">
        <v>428</v>
      </c>
    </row>
    <row r="116" spans="1:16">
      <c r="A116" t="s">
        <v>241</v>
      </c>
      <c r="B116" t="s">
        <v>31</v>
      </c>
      <c r="C116" t="s">
        <v>4907</v>
      </c>
      <c r="D116" t="s">
        <v>430</v>
      </c>
      <c r="F116" t="s">
        <v>4908</v>
      </c>
      <c r="K116" t="s">
        <v>19</v>
      </c>
      <c r="M116" t="s">
        <v>432</v>
      </c>
    </row>
    <row r="117" spans="1:16">
      <c r="A117" t="s">
        <v>236</v>
      </c>
      <c r="B117" t="s">
        <v>31</v>
      </c>
      <c r="C117" t="s">
        <v>4909</v>
      </c>
      <c r="D117" t="s">
        <v>434</v>
      </c>
      <c r="F117" t="s">
        <v>4910</v>
      </c>
      <c r="K117" t="s">
        <v>19</v>
      </c>
      <c r="M117" t="s">
        <v>436</v>
      </c>
    </row>
    <row r="118" spans="1:16">
      <c r="A118" t="s">
        <v>241</v>
      </c>
      <c r="B118" t="s">
        <v>31</v>
      </c>
      <c r="C118" t="s">
        <v>4911</v>
      </c>
      <c r="D118" t="s">
        <v>438</v>
      </c>
      <c r="K118" t="s">
        <v>19</v>
      </c>
      <c r="M118" t="s">
        <v>439</v>
      </c>
      <c r="P118" t="s">
        <v>43</v>
      </c>
    </row>
    <row r="119" spans="1:16">
      <c r="A119" t="s">
        <v>241</v>
      </c>
      <c r="B119" t="s">
        <v>31</v>
      </c>
      <c r="C119" t="s">
        <v>4912</v>
      </c>
      <c r="D119" t="s">
        <v>441</v>
      </c>
      <c r="K119" t="s">
        <v>19</v>
      </c>
      <c r="M119" t="s">
        <v>442</v>
      </c>
      <c r="P119" t="s">
        <v>43</v>
      </c>
    </row>
    <row r="120" spans="1:16">
      <c r="A120" t="s">
        <v>241</v>
      </c>
      <c r="B120" t="s">
        <v>31</v>
      </c>
      <c r="C120" t="s">
        <v>4913</v>
      </c>
      <c r="D120" t="s">
        <v>444</v>
      </c>
      <c r="K120" t="s">
        <v>19</v>
      </c>
      <c r="M120" t="s">
        <v>445</v>
      </c>
      <c r="P120" t="s">
        <v>43</v>
      </c>
    </row>
    <row r="121" spans="1:16">
      <c r="A121" t="s">
        <v>21</v>
      </c>
      <c r="B121" t="s">
        <v>31</v>
      </c>
      <c r="C121" t="s">
        <v>4914</v>
      </c>
      <c r="D121" t="s">
        <v>994</v>
      </c>
      <c r="F121" t="s">
        <v>4795</v>
      </c>
      <c r="K121" t="s">
        <v>19</v>
      </c>
      <c r="M121" t="s">
        <v>859</v>
      </c>
    </row>
    <row r="122" spans="1:16">
      <c r="A122" t="s">
        <v>26</v>
      </c>
      <c r="B122" t="s">
        <v>31</v>
      </c>
      <c r="C122" t="s">
        <v>4915</v>
      </c>
      <c r="D122" t="s">
        <v>263</v>
      </c>
      <c r="F122" t="s">
        <v>4797</v>
      </c>
      <c r="K122" t="s">
        <v>19</v>
      </c>
      <c r="M122" t="s">
        <v>863</v>
      </c>
    </row>
    <row r="123" spans="1:16">
      <c r="A123" t="s">
        <v>236</v>
      </c>
      <c r="B123" t="s">
        <v>31</v>
      </c>
      <c r="C123" t="s">
        <v>4916</v>
      </c>
      <c r="D123" t="s">
        <v>268</v>
      </c>
      <c r="K123" t="s">
        <v>19</v>
      </c>
      <c r="M123" t="s">
        <v>866</v>
      </c>
      <c r="P123" t="s">
        <v>43</v>
      </c>
    </row>
    <row r="124" spans="1:16">
      <c r="A124" t="s">
        <v>236</v>
      </c>
      <c r="B124" t="s">
        <v>31</v>
      </c>
      <c r="C124" t="s">
        <v>4917</v>
      </c>
      <c r="D124" t="s">
        <v>271</v>
      </c>
      <c r="K124" t="s">
        <v>19</v>
      </c>
      <c r="M124" t="s">
        <v>869</v>
      </c>
      <c r="P124" t="s">
        <v>43</v>
      </c>
    </row>
    <row r="125" spans="1:16">
      <c r="A125" t="s">
        <v>26</v>
      </c>
      <c r="B125" t="s">
        <v>31</v>
      </c>
      <c r="C125" t="s">
        <v>4918</v>
      </c>
      <c r="D125" t="s">
        <v>999</v>
      </c>
      <c r="K125" t="s">
        <v>19</v>
      </c>
      <c r="M125" t="s">
        <v>872</v>
      </c>
      <c r="P125" t="s">
        <v>43</v>
      </c>
    </row>
    <row r="126" spans="1:16">
      <c r="A126" t="s">
        <v>26</v>
      </c>
      <c r="B126" t="s">
        <v>31</v>
      </c>
      <c r="C126" t="s">
        <v>4919</v>
      </c>
      <c r="D126" t="s">
        <v>283</v>
      </c>
      <c r="K126" t="s">
        <v>19</v>
      </c>
      <c r="M126" t="s">
        <v>875</v>
      </c>
      <c r="P126" t="s">
        <v>43</v>
      </c>
    </row>
    <row r="127" spans="1:16">
      <c r="A127" t="s">
        <v>26</v>
      </c>
      <c r="B127" t="s">
        <v>31</v>
      </c>
      <c r="C127" t="s">
        <v>4920</v>
      </c>
      <c r="D127" t="s">
        <v>289</v>
      </c>
      <c r="K127" t="s">
        <v>19</v>
      </c>
      <c r="M127" t="s">
        <v>878</v>
      </c>
      <c r="P127" t="s">
        <v>43</v>
      </c>
    </row>
    <row r="128" spans="1:16">
      <c r="A128" t="s">
        <v>21</v>
      </c>
      <c r="B128" t="s">
        <v>31</v>
      </c>
      <c r="C128" t="s">
        <v>4921</v>
      </c>
      <c r="D128" t="s">
        <v>1003</v>
      </c>
      <c r="K128" t="s">
        <v>19</v>
      </c>
      <c r="M128" t="s">
        <v>881</v>
      </c>
      <c r="P128" t="s">
        <v>43</v>
      </c>
    </row>
    <row r="129" spans="1:16">
      <c r="A129" t="s">
        <v>21</v>
      </c>
      <c r="B129" t="s">
        <v>31</v>
      </c>
      <c r="C129" t="s">
        <v>4922</v>
      </c>
      <c r="D129" t="s">
        <v>1005</v>
      </c>
      <c r="K129" t="s">
        <v>19</v>
      </c>
      <c r="M129" t="s">
        <v>883</v>
      </c>
      <c r="P129" t="s">
        <v>43</v>
      </c>
    </row>
  </sheetData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8"/>
  <sheetViews>
    <sheetView workbookViewId="0">
      <selection activeCell="F9" sqref="F9"/>
    </sheetView>
  </sheetViews>
  <sheetFormatPr defaultColWidth="9" defaultRowHeight="16.8"/>
  <cols>
    <col min="3" max="3" width="10.8303571428571" customWidth="1"/>
    <col min="4" max="4" width="17.5" customWidth="1"/>
  </cols>
  <sheetData>
    <row r="1" s="1" customFormat="1" ht="15" customHeight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7" t="s">
        <v>14</v>
      </c>
      <c r="B2" s="1" t="s">
        <v>15</v>
      </c>
      <c r="C2" s="8" t="s">
        <v>4923</v>
      </c>
      <c r="D2" s="7" t="s">
        <v>17</v>
      </c>
      <c r="F2" t="s">
        <v>4924</v>
      </c>
      <c r="K2" t="s">
        <v>19</v>
      </c>
      <c r="M2" t="s">
        <v>20</v>
      </c>
    </row>
    <row r="3" spans="1:14">
      <c r="A3" s="1" t="s">
        <v>21</v>
      </c>
      <c r="B3" s="1" t="s">
        <v>15</v>
      </c>
      <c r="C3" s="8" t="s">
        <v>4925</v>
      </c>
      <c r="D3" s="1" t="s">
        <v>23</v>
      </c>
      <c r="F3" t="s">
        <v>4926</v>
      </c>
      <c r="K3" t="s">
        <v>19</v>
      </c>
      <c r="M3" t="s">
        <v>25</v>
      </c>
    </row>
    <row r="4" spans="1:14">
      <c r="A4" s="1" t="s">
        <v>26</v>
      </c>
      <c r="B4" s="1" t="s">
        <v>15</v>
      </c>
      <c r="C4" s="9" t="s">
        <v>4927</v>
      </c>
      <c r="D4" s="1" t="s">
        <v>822</v>
      </c>
      <c r="M4" t="s">
        <v>823</v>
      </c>
      <c r="N4" t="s">
        <v>43</v>
      </c>
    </row>
    <row r="5" spans="1:14">
      <c r="A5" s="10" t="s">
        <v>14</v>
      </c>
      <c r="B5" s="10" t="s">
        <v>15</v>
      </c>
      <c r="C5" s="10" t="s">
        <v>4928</v>
      </c>
      <c r="D5" s="10" t="s">
        <v>28</v>
      </c>
      <c r="K5" t="s">
        <v>19</v>
      </c>
      <c r="M5" t="s">
        <v>30</v>
      </c>
      <c r="N5" t="s">
        <v>43</v>
      </c>
    </row>
    <row r="6" spans="1:14">
      <c r="A6" s="1" t="s">
        <v>14</v>
      </c>
      <c r="B6" s="1" t="s">
        <v>31</v>
      </c>
      <c r="C6" s="9" t="s">
        <v>4929</v>
      </c>
      <c r="D6" s="1" t="s">
        <v>826</v>
      </c>
      <c r="M6" t="s">
        <v>827</v>
      </c>
      <c r="N6" t="s">
        <v>43</v>
      </c>
    </row>
    <row r="7" spans="1:14">
      <c r="A7" s="1" t="s">
        <v>26</v>
      </c>
      <c r="B7" s="1" t="s">
        <v>15</v>
      </c>
      <c r="C7" s="9" t="s">
        <v>4930</v>
      </c>
      <c r="D7" s="1" t="s">
        <v>829</v>
      </c>
      <c r="M7" t="s">
        <v>830</v>
      </c>
      <c r="N7" t="s">
        <v>43</v>
      </c>
    </row>
    <row r="8" spans="1:14">
      <c r="A8" s="7" t="s">
        <v>14</v>
      </c>
      <c r="B8" s="1" t="s">
        <v>31</v>
      </c>
      <c r="C8" s="9" t="s">
        <v>4931</v>
      </c>
      <c r="D8" s="1" t="s">
        <v>33</v>
      </c>
      <c r="K8" t="s">
        <v>19</v>
      </c>
      <c r="M8" t="s">
        <v>35</v>
      </c>
      <c r="N8" t="s">
        <v>43</v>
      </c>
    </row>
    <row r="9" spans="1:14">
      <c r="A9" s="7" t="s">
        <v>14</v>
      </c>
      <c r="B9" s="1" t="s">
        <v>31</v>
      </c>
      <c r="C9" s="9" t="s">
        <v>4932</v>
      </c>
      <c r="D9" s="1" t="s">
        <v>833</v>
      </c>
      <c r="M9" t="s">
        <v>834</v>
      </c>
      <c r="N9" t="s">
        <v>43</v>
      </c>
    </row>
    <row r="10" spans="1:14">
      <c r="A10" s="1" t="s">
        <v>21</v>
      </c>
      <c r="B10" s="1" t="s">
        <v>15</v>
      </c>
      <c r="C10" s="8" t="s">
        <v>4933</v>
      </c>
      <c r="D10" s="1" t="s">
        <v>37</v>
      </c>
      <c r="K10" t="s">
        <v>19</v>
      </c>
      <c r="M10" t="s">
        <v>39</v>
      </c>
      <c r="N10" t="s">
        <v>43</v>
      </c>
    </row>
    <row r="11" spans="1:14">
      <c r="A11" s="11" t="s">
        <v>14</v>
      </c>
      <c r="B11" s="11" t="s">
        <v>15</v>
      </c>
      <c r="C11" s="8" t="s">
        <v>4934</v>
      </c>
      <c r="D11" s="1" t="s">
        <v>41</v>
      </c>
      <c r="K11" t="s">
        <v>19</v>
      </c>
      <c r="M11" t="s">
        <v>42</v>
      </c>
      <c r="N11" t="s">
        <v>43</v>
      </c>
    </row>
    <row r="12" spans="1:14">
      <c r="A12" s="11" t="s">
        <v>14</v>
      </c>
      <c r="B12" s="11" t="s">
        <v>31</v>
      </c>
      <c r="C12" s="8" t="s">
        <v>4935</v>
      </c>
      <c r="D12" s="1" t="s">
        <v>45</v>
      </c>
      <c r="K12" t="s">
        <v>19</v>
      </c>
      <c r="M12" t="s">
        <v>46</v>
      </c>
      <c r="N12" t="s">
        <v>43</v>
      </c>
    </row>
    <row r="13" spans="1:14">
      <c r="A13" s="1" t="s">
        <v>21</v>
      </c>
      <c r="B13" s="1" t="s">
        <v>15</v>
      </c>
      <c r="C13" s="8" t="s">
        <v>4936</v>
      </c>
      <c r="D13" s="1" t="s">
        <v>48</v>
      </c>
      <c r="K13" t="s">
        <v>19</v>
      </c>
      <c r="M13" t="s">
        <v>49</v>
      </c>
      <c r="N13" t="s">
        <v>43</v>
      </c>
    </row>
    <row r="14" spans="1:14">
      <c r="A14" s="7" t="s">
        <v>14</v>
      </c>
      <c r="B14" s="1" t="s">
        <v>31</v>
      </c>
      <c r="C14" s="8" t="s">
        <v>4937</v>
      </c>
      <c r="D14" s="7" t="s">
        <v>840</v>
      </c>
      <c r="K14" t="s">
        <v>19</v>
      </c>
      <c r="M14" t="s">
        <v>53</v>
      </c>
      <c r="N14" t="s">
        <v>43</v>
      </c>
    </row>
    <row r="15" spans="1:14">
      <c r="A15" s="7" t="s">
        <v>14</v>
      </c>
      <c r="B15" s="1" t="s">
        <v>15</v>
      </c>
      <c r="C15" s="8" t="s">
        <v>4938</v>
      </c>
      <c r="D15" s="7" t="s">
        <v>68</v>
      </c>
      <c r="K15" t="s">
        <v>19</v>
      </c>
      <c r="M15" t="s">
        <v>70</v>
      </c>
      <c r="N15" t="s">
        <v>43</v>
      </c>
    </row>
    <row r="16" spans="1:14">
      <c r="A16" s="7" t="s">
        <v>14</v>
      </c>
      <c r="B16" s="1" t="s">
        <v>31</v>
      </c>
      <c r="C16" s="8" t="s">
        <v>4939</v>
      </c>
      <c r="D16" s="7" t="s">
        <v>72</v>
      </c>
      <c r="K16" t="s">
        <v>19</v>
      </c>
      <c r="M16" t="s">
        <v>73</v>
      </c>
      <c r="N16" t="s">
        <v>43</v>
      </c>
    </row>
    <row r="17" spans="1:14">
      <c r="A17" s="7" t="s">
        <v>14</v>
      </c>
      <c r="B17" s="1" t="s">
        <v>31</v>
      </c>
      <c r="C17" s="8" t="s">
        <v>4940</v>
      </c>
      <c r="D17" s="7" t="s">
        <v>844</v>
      </c>
      <c r="F17" t="s">
        <v>4941</v>
      </c>
      <c r="K17" t="s">
        <v>19</v>
      </c>
      <c r="M17" t="s">
        <v>227</v>
      </c>
    </row>
    <row r="18" spans="1:14">
      <c r="A18" s="1" t="s">
        <v>21</v>
      </c>
      <c r="B18" s="1" t="s">
        <v>31</v>
      </c>
      <c r="C18" s="8" t="s">
        <v>4942</v>
      </c>
      <c r="D18" s="1" t="s">
        <v>847</v>
      </c>
      <c r="F18" t="s">
        <v>4943</v>
      </c>
      <c r="K18" t="s">
        <v>19</v>
      </c>
      <c r="M18" t="s">
        <v>231</v>
      </c>
    </row>
    <row r="19" spans="1:14">
      <c r="A19" s="1" t="s">
        <v>26</v>
      </c>
      <c r="B19" s="1" t="s">
        <v>31</v>
      </c>
      <c r="C19" s="9" t="s">
        <v>4944</v>
      </c>
      <c r="D19" s="1" t="s">
        <v>83</v>
      </c>
      <c r="F19" t="s">
        <v>4945</v>
      </c>
      <c r="K19" t="s">
        <v>19</v>
      </c>
      <c r="M19" t="s">
        <v>235</v>
      </c>
    </row>
    <row r="20" spans="1:14">
      <c r="A20" s="1" t="s">
        <v>26</v>
      </c>
      <c r="B20" s="1" t="s">
        <v>31</v>
      </c>
      <c r="C20" s="9" t="s">
        <v>4946</v>
      </c>
      <c r="D20" s="1" t="s">
        <v>852</v>
      </c>
      <c r="F20" t="s">
        <v>4947</v>
      </c>
      <c r="K20" t="s">
        <v>19</v>
      </c>
      <c r="M20" t="s">
        <v>306</v>
      </c>
    </row>
    <row r="21" spans="1:14">
      <c r="A21" s="1" t="s">
        <v>21</v>
      </c>
      <c r="B21" s="1" t="s">
        <v>31</v>
      </c>
      <c r="C21" s="8" t="s">
        <v>4948</v>
      </c>
      <c r="D21" s="1" t="s">
        <v>92</v>
      </c>
      <c r="K21" t="s">
        <v>19</v>
      </c>
      <c r="N21" t="s">
        <v>43</v>
      </c>
    </row>
    <row r="22" spans="1:14">
      <c r="A22" s="1" t="s">
        <v>26</v>
      </c>
      <c r="B22" s="1" t="s">
        <v>31</v>
      </c>
      <c r="C22" s="9" t="s">
        <v>4949</v>
      </c>
      <c r="D22" s="1" t="s">
        <v>94</v>
      </c>
      <c r="K22" t="s">
        <v>19</v>
      </c>
      <c r="N22" t="s">
        <v>43</v>
      </c>
    </row>
    <row r="23" spans="1:14">
      <c r="A23" s="1" t="s">
        <v>26</v>
      </c>
      <c r="B23" s="1" t="s">
        <v>31</v>
      </c>
      <c r="C23" s="9" t="s">
        <v>4950</v>
      </c>
      <c r="D23" s="1" t="s">
        <v>96</v>
      </c>
      <c r="K23" t="s">
        <v>19</v>
      </c>
      <c r="N23" t="s">
        <v>43</v>
      </c>
    </row>
    <row r="24" spans="1:14">
      <c r="A24" s="1" t="s">
        <v>21</v>
      </c>
      <c r="B24" s="1" t="s">
        <v>31</v>
      </c>
      <c r="C24" s="8" t="s">
        <v>4951</v>
      </c>
      <c r="D24" s="1" t="s">
        <v>98</v>
      </c>
      <c r="F24" t="s">
        <v>4952</v>
      </c>
      <c r="K24" t="s">
        <v>19</v>
      </c>
      <c r="M24" t="s">
        <v>859</v>
      </c>
    </row>
    <row r="25" spans="1:14">
      <c r="A25" s="1" t="s">
        <v>26</v>
      </c>
      <c r="B25" s="1" t="s">
        <v>31</v>
      </c>
      <c r="C25" s="9" t="s">
        <v>4953</v>
      </c>
      <c r="D25" s="1" t="s">
        <v>861</v>
      </c>
      <c r="F25" t="s">
        <v>4954</v>
      </c>
      <c r="K25" t="s">
        <v>19</v>
      </c>
      <c r="M25" t="s">
        <v>863</v>
      </c>
    </row>
    <row r="26" spans="1:14">
      <c r="A26" s="1" t="s">
        <v>236</v>
      </c>
      <c r="B26" s="1" t="s">
        <v>31</v>
      </c>
      <c r="C26" s="9" t="s">
        <v>4955</v>
      </c>
      <c r="D26" s="1" t="s">
        <v>865</v>
      </c>
      <c r="K26" t="s">
        <v>19</v>
      </c>
      <c r="M26" t="s">
        <v>866</v>
      </c>
      <c r="N26" t="s">
        <v>43</v>
      </c>
    </row>
    <row r="27" spans="1:14">
      <c r="A27" s="1" t="s">
        <v>236</v>
      </c>
      <c r="B27" s="1" t="s">
        <v>31</v>
      </c>
      <c r="C27" s="9" t="s">
        <v>4956</v>
      </c>
      <c r="D27" s="1" t="s">
        <v>868</v>
      </c>
      <c r="K27" t="s">
        <v>19</v>
      </c>
      <c r="M27" t="s">
        <v>869</v>
      </c>
      <c r="N27" t="s">
        <v>43</v>
      </c>
    </row>
    <row r="28" spans="1:14">
      <c r="A28" s="1" t="s">
        <v>26</v>
      </c>
      <c r="B28" s="1" t="s">
        <v>31</v>
      </c>
      <c r="C28" s="9" t="s">
        <v>4957</v>
      </c>
      <c r="D28" s="1" t="s">
        <v>871</v>
      </c>
      <c r="K28" t="s">
        <v>19</v>
      </c>
      <c r="M28" t="s">
        <v>872</v>
      </c>
      <c r="N28" t="s">
        <v>43</v>
      </c>
    </row>
    <row r="29" spans="1:14">
      <c r="A29" s="1" t="s">
        <v>26</v>
      </c>
      <c r="B29" s="1" t="s">
        <v>31</v>
      </c>
      <c r="C29" s="9" t="s">
        <v>4958</v>
      </c>
      <c r="D29" s="1" t="s">
        <v>874</v>
      </c>
      <c r="K29" t="s">
        <v>19</v>
      </c>
      <c r="M29" t="s">
        <v>875</v>
      </c>
      <c r="N29" t="s">
        <v>43</v>
      </c>
    </row>
    <row r="30" spans="1:14">
      <c r="A30" s="1" t="s">
        <v>26</v>
      </c>
      <c r="B30" s="1" t="s">
        <v>31</v>
      </c>
      <c r="C30" s="9" t="s">
        <v>4959</v>
      </c>
      <c r="D30" s="1" t="s">
        <v>877</v>
      </c>
      <c r="K30" t="s">
        <v>19</v>
      </c>
      <c r="M30" t="s">
        <v>878</v>
      </c>
      <c r="N30" t="s">
        <v>43</v>
      </c>
    </row>
    <row r="31" spans="1:14">
      <c r="A31" s="1" t="s">
        <v>21</v>
      </c>
      <c r="B31" s="1" t="s">
        <v>31</v>
      </c>
      <c r="C31" s="8" t="s">
        <v>4960</v>
      </c>
      <c r="D31" s="1" t="s">
        <v>880</v>
      </c>
      <c r="K31" t="s">
        <v>19</v>
      </c>
      <c r="M31" t="s">
        <v>881</v>
      </c>
      <c r="N31" t="s">
        <v>43</v>
      </c>
    </row>
    <row r="32" spans="1:14">
      <c r="A32" s="1" t="s">
        <v>21</v>
      </c>
      <c r="B32" s="1" t="s">
        <v>31</v>
      </c>
      <c r="C32" s="8" t="s">
        <v>4961</v>
      </c>
      <c r="D32" s="1" t="s">
        <v>101</v>
      </c>
      <c r="K32" t="s">
        <v>19</v>
      </c>
      <c r="M32" t="s">
        <v>883</v>
      </c>
      <c r="N32" t="s">
        <v>43</v>
      </c>
    </row>
    <row r="33" spans="1:14">
      <c r="A33" s="7" t="s">
        <v>14</v>
      </c>
      <c r="B33" s="1" t="s">
        <v>15</v>
      </c>
      <c r="C33" s="8" t="s">
        <v>4962</v>
      </c>
      <c r="D33" s="7" t="s">
        <v>104</v>
      </c>
      <c r="K33" t="s">
        <v>19</v>
      </c>
      <c r="M33" t="s">
        <v>105</v>
      </c>
      <c r="N33" t="s">
        <v>43</v>
      </c>
    </row>
    <row r="34" spans="1:14">
      <c r="A34" s="7" t="s">
        <v>14</v>
      </c>
      <c r="B34" s="1" t="s">
        <v>106</v>
      </c>
      <c r="C34" s="8" t="s">
        <v>4963</v>
      </c>
      <c r="D34" s="7" t="s">
        <v>886</v>
      </c>
      <c r="M34" t="s">
        <v>887</v>
      </c>
      <c r="N34" t="s">
        <v>43</v>
      </c>
    </row>
    <row r="35" spans="1:14">
      <c r="A35" s="7" t="s">
        <v>14</v>
      </c>
      <c r="B35" s="1" t="s">
        <v>31</v>
      </c>
      <c r="C35" s="8" t="s">
        <v>4964</v>
      </c>
      <c r="D35" s="7" t="s">
        <v>889</v>
      </c>
      <c r="M35" t="s">
        <v>890</v>
      </c>
      <c r="N35" t="s">
        <v>43</v>
      </c>
    </row>
    <row r="36" spans="1:14">
      <c r="A36" s="7" t="s">
        <v>14</v>
      </c>
      <c r="B36" s="1" t="s">
        <v>106</v>
      </c>
      <c r="C36" s="8" t="s">
        <v>4965</v>
      </c>
      <c r="D36" s="7" t="s">
        <v>108</v>
      </c>
      <c r="K36" t="s">
        <v>19</v>
      </c>
      <c r="M36" t="s">
        <v>110</v>
      </c>
      <c r="N36" t="s">
        <v>43</v>
      </c>
    </row>
    <row r="37" spans="1:14">
      <c r="A37" s="10"/>
      <c r="B37" s="10"/>
      <c r="C37" s="10"/>
      <c r="D37" s="10"/>
    </row>
    <row r="38" spans="1:14">
      <c r="A38" s="11" t="s">
        <v>14</v>
      </c>
      <c r="B38" s="11" t="s">
        <v>118</v>
      </c>
      <c r="C38" s="11" t="s">
        <v>4966</v>
      </c>
      <c r="D38" s="11" t="s">
        <v>1963</v>
      </c>
      <c r="F38" t="s">
        <v>4967</v>
      </c>
      <c r="M38" t="s">
        <v>122</v>
      </c>
    </row>
    <row r="39" spans="1:14">
      <c r="A39" s="10" t="s">
        <v>21</v>
      </c>
      <c r="B39" s="10" t="s">
        <v>118</v>
      </c>
      <c r="C39" s="10" t="s">
        <v>4967</v>
      </c>
      <c r="D39" s="10" t="s">
        <v>903</v>
      </c>
      <c r="F39" t="s">
        <v>4968</v>
      </c>
      <c r="M39" t="s">
        <v>126</v>
      </c>
    </row>
    <row r="40" spans="1:14">
      <c r="A40" s="10" t="s">
        <v>26</v>
      </c>
      <c r="B40" s="10" t="s">
        <v>118</v>
      </c>
      <c r="C40" s="10" t="s">
        <v>4968</v>
      </c>
      <c r="D40" s="10" t="s">
        <v>132</v>
      </c>
      <c r="M40" t="s">
        <v>133</v>
      </c>
      <c r="N40" t="s">
        <v>130</v>
      </c>
    </row>
    <row r="41" spans="1:14">
      <c r="A41" s="11" t="s">
        <v>14</v>
      </c>
      <c r="B41" s="11" t="s">
        <v>515</v>
      </c>
      <c r="C41" s="11" t="s">
        <v>4969</v>
      </c>
      <c r="D41" s="11" t="s">
        <v>899</v>
      </c>
      <c r="F41" t="s">
        <v>4970</v>
      </c>
      <c r="M41" t="s">
        <v>901</v>
      </c>
    </row>
    <row r="42" spans="1:14">
      <c r="A42" s="10" t="s">
        <v>21</v>
      </c>
      <c r="B42" s="10" t="s">
        <v>515</v>
      </c>
      <c r="C42" s="10" t="s">
        <v>4970</v>
      </c>
      <c r="D42" s="10" t="s">
        <v>903</v>
      </c>
      <c r="F42" t="s">
        <v>4971</v>
      </c>
      <c r="M42" t="s">
        <v>521</v>
      </c>
    </row>
    <row r="43" spans="1:14">
      <c r="A43" s="10" t="s">
        <v>26</v>
      </c>
      <c r="B43" s="10" t="s">
        <v>515</v>
      </c>
      <c r="C43" s="10" t="s">
        <v>4971</v>
      </c>
      <c r="D43" s="10" t="s">
        <v>132</v>
      </c>
      <c r="M43" t="s">
        <v>526</v>
      </c>
      <c r="N43" t="s">
        <v>524</v>
      </c>
    </row>
    <row r="44" spans="1:14">
      <c r="A44" s="10"/>
      <c r="B44" s="10"/>
      <c r="C44" s="10"/>
      <c r="D44" s="10"/>
    </row>
    <row r="46" spans="1:14">
      <c r="A46" t="s">
        <v>222</v>
      </c>
      <c r="B46" t="s">
        <v>223</v>
      </c>
      <c r="C46" t="s">
        <v>2</v>
      </c>
      <c r="D46" t="s">
        <v>3</v>
      </c>
      <c r="F46" t="s">
        <v>5</v>
      </c>
      <c r="J46" t="s">
        <v>9</v>
      </c>
      <c r="K46" t="s">
        <v>10</v>
      </c>
      <c r="M46" t="s">
        <v>4</v>
      </c>
    </row>
    <row r="47" spans="1:14">
      <c r="A47" t="s">
        <v>14</v>
      </c>
      <c r="B47" t="s">
        <v>31</v>
      </c>
      <c r="C47" t="s">
        <v>4972</v>
      </c>
      <c r="D47" t="s">
        <v>927</v>
      </c>
      <c r="F47" t="s">
        <v>4941</v>
      </c>
      <c r="K47" t="s">
        <v>19</v>
      </c>
      <c r="M47" t="s">
        <v>227</v>
      </c>
    </row>
    <row r="48" spans="1:14">
      <c r="A48" t="s">
        <v>21</v>
      </c>
      <c r="B48" t="s">
        <v>31</v>
      </c>
      <c r="C48" t="s">
        <v>4973</v>
      </c>
      <c r="D48" t="s">
        <v>929</v>
      </c>
      <c r="F48" t="s">
        <v>4943</v>
      </c>
      <c r="K48" t="s">
        <v>19</v>
      </c>
      <c r="M48" t="s">
        <v>231</v>
      </c>
    </row>
    <row r="49" spans="1:14">
      <c r="A49" t="s">
        <v>26</v>
      </c>
      <c r="B49" t="s">
        <v>31</v>
      </c>
      <c r="C49" t="s">
        <v>4974</v>
      </c>
      <c r="D49" t="s">
        <v>233</v>
      </c>
      <c r="F49" t="s">
        <v>4945</v>
      </c>
      <c r="K49" t="s">
        <v>19</v>
      </c>
      <c r="M49" t="s">
        <v>235</v>
      </c>
    </row>
    <row r="50" spans="1:14">
      <c r="A50" t="s">
        <v>236</v>
      </c>
      <c r="B50" t="s">
        <v>31</v>
      </c>
      <c r="C50" t="s">
        <v>4975</v>
      </c>
      <c r="D50" t="s">
        <v>238</v>
      </c>
      <c r="F50" t="s">
        <v>4976</v>
      </c>
      <c r="K50" t="s">
        <v>19</v>
      </c>
      <c r="M50" t="s">
        <v>240</v>
      </c>
    </row>
    <row r="51" spans="1:14">
      <c r="A51" t="s">
        <v>241</v>
      </c>
      <c r="B51" t="s">
        <v>31</v>
      </c>
      <c r="C51" t="s">
        <v>4977</v>
      </c>
      <c r="D51" t="s">
        <v>243</v>
      </c>
      <c r="K51" t="s">
        <v>19</v>
      </c>
      <c r="M51" t="s">
        <v>244</v>
      </c>
      <c r="N51" t="s">
        <v>43</v>
      </c>
    </row>
    <row r="52" spans="1:14">
      <c r="A52" t="s">
        <v>241</v>
      </c>
      <c r="B52" t="s">
        <v>31</v>
      </c>
      <c r="C52" t="s">
        <v>4978</v>
      </c>
      <c r="D52" t="s">
        <v>246</v>
      </c>
      <c r="K52" t="s">
        <v>19</v>
      </c>
      <c r="M52" t="s">
        <v>247</v>
      </c>
      <c r="N52" t="s">
        <v>43</v>
      </c>
    </row>
    <row r="53" spans="1:14">
      <c r="A53" t="s">
        <v>236</v>
      </c>
      <c r="B53" t="s">
        <v>31</v>
      </c>
      <c r="C53" t="s">
        <v>4979</v>
      </c>
      <c r="D53" t="s">
        <v>249</v>
      </c>
      <c r="F53" t="s">
        <v>4980</v>
      </c>
      <c r="K53" t="s">
        <v>19</v>
      </c>
      <c r="M53" t="s">
        <v>251</v>
      </c>
    </row>
    <row r="54" spans="1:14">
      <c r="A54" t="s">
        <v>241</v>
      </c>
      <c r="B54" t="s">
        <v>31</v>
      </c>
      <c r="C54" t="s">
        <v>4981</v>
      </c>
      <c r="D54" t="s">
        <v>253</v>
      </c>
      <c r="K54" t="s">
        <v>19</v>
      </c>
      <c r="M54" t="s">
        <v>254</v>
      </c>
      <c r="N54" t="s">
        <v>43</v>
      </c>
    </row>
    <row r="55" spans="1:14">
      <c r="A55" t="s">
        <v>241</v>
      </c>
      <c r="B55" t="s">
        <v>31</v>
      </c>
      <c r="C55" t="s">
        <v>4982</v>
      </c>
      <c r="D55" t="s">
        <v>256</v>
      </c>
      <c r="K55" t="s">
        <v>19</v>
      </c>
      <c r="M55" t="s">
        <v>257</v>
      </c>
      <c r="N55" t="s">
        <v>43</v>
      </c>
    </row>
    <row r="56" spans="1:14">
      <c r="A56" t="s">
        <v>236</v>
      </c>
      <c r="B56" t="s">
        <v>31</v>
      </c>
      <c r="C56" t="s">
        <v>4983</v>
      </c>
      <c r="D56" t="s">
        <v>259</v>
      </c>
      <c r="F56" t="s">
        <v>4984</v>
      </c>
      <c r="K56" t="s">
        <v>19</v>
      </c>
      <c r="M56" t="s">
        <v>261</v>
      </c>
    </row>
    <row r="57" spans="1:14">
      <c r="A57" t="s">
        <v>241</v>
      </c>
      <c r="B57" t="s">
        <v>31</v>
      </c>
      <c r="C57" t="s">
        <v>4985</v>
      </c>
      <c r="D57" t="s">
        <v>263</v>
      </c>
      <c r="F57" t="s">
        <v>4986</v>
      </c>
      <c r="K57" t="s">
        <v>19</v>
      </c>
      <c r="M57" t="s">
        <v>265</v>
      </c>
    </row>
    <row r="58" spans="1:14">
      <c r="A58" t="s">
        <v>266</v>
      </c>
      <c r="B58" t="s">
        <v>31</v>
      </c>
      <c r="C58" t="s">
        <v>4987</v>
      </c>
      <c r="D58" t="s">
        <v>268</v>
      </c>
      <c r="K58" t="s">
        <v>19</v>
      </c>
      <c r="M58" t="s">
        <v>269</v>
      </c>
      <c r="N58" t="s">
        <v>43</v>
      </c>
    </row>
    <row r="59" spans="1:14">
      <c r="A59" t="s">
        <v>266</v>
      </c>
      <c r="B59" t="s">
        <v>31</v>
      </c>
      <c r="C59" t="s">
        <v>4988</v>
      </c>
      <c r="D59" t="s">
        <v>271</v>
      </c>
      <c r="K59" t="s">
        <v>19</v>
      </c>
      <c r="M59" t="s">
        <v>272</v>
      </c>
      <c r="N59" t="s">
        <v>43</v>
      </c>
    </row>
    <row r="60" spans="1:14">
      <c r="A60" t="s">
        <v>241</v>
      </c>
      <c r="B60" t="s">
        <v>31</v>
      </c>
      <c r="C60" t="s">
        <v>4989</v>
      </c>
      <c r="D60" t="s">
        <v>4990</v>
      </c>
      <c r="K60" t="s">
        <v>19</v>
      </c>
      <c r="M60" t="s">
        <v>275</v>
      </c>
      <c r="N60" t="s">
        <v>43</v>
      </c>
    </row>
    <row r="61" spans="1:14">
      <c r="A61" t="s">
        <v>266</v>
      </c>
      <c r="B61" t="s">
        <v>31</v>
      </c>
      <c r="C61" t="s">
        <v>4991</v>
      </c>
      <c r="D61" t="s">
        <v>277</v>
      </c>
      <c r="K61" t="s">
        <v>19</v>
      </c>
      <c r="M61" t="s">
        <v>278</v>
      </c>
      <c r="N61" t="s">
        <v>43</v>
      </c>
    </row>
    <row r="62" spans="1:14">
      <c r="A62" t="s">
        <v>241</v>
      </c>
      <c r="B62" t="s">
        <v>31</v>
      </c>
      <c r="C62" t="s">
        <v>4992</v>
      </c>
      <c r="D62" t="s">
        <v>4993</v>
      </c>
      <c r="K62" t="s">
        <v>19</v>
      </c>
      <c r="M62" t="s">
        <v>281</v>
      </c>
      <c r="N62" t="s">
        <v>43</v>
      </c>
    </row>
    <row r="63" spans="1:14">
      <c r="A63" t="s">
        <v>266</v>
      </c>
      <c r="B63" t="s">
        <v>31</v>
      </c>
      <c r="C63" t="s">
        <v>4994</v>
      </c>
      <c r="D63" t="s">
        <v>283</v>
      </c>
      <c r="K63" t="s">
        <v>19</v>
      </c>
      <c r="M63" t="s">
        <v>284</v>
      </c>
      <c r="N63" t="s">
        <v>43</v>
      </c>
    </row>
    <row r="64" spans="1:14">
      <c r="A64" t="s">
        <v>241</v>
      </c>
      <c r="B64" t="s">
        <v>31</v>
      </c>
      <c r="C64" t="s">
        <v>4995</v>
      </c>
      <c r="D64" t="s">
        <v>4996</v>
      </c>
      <c r="K64" t="s">
        <v>19</v>
      </c>
      <c r="M64" t="s">
        <v>287</v>
      </c>
      <c r="N64" t="s">
        <v>43</v>
      </c>
    </row>
    <row r="65" spans="1:14">
      <c r="A65" t="s">
        <v>266</v>
      </c>
      <c r="B65" t="s">
        <v>31</v>
      </c>
      <c r="C65" t="s">
        <v>4997</v>
      </c>
      <c r="D65" t="s">
        <v>289</v>
      </c>
      <c r="K65" t="s">
        <v>19</v>
      </c>
      <c r="M65" t="s">
        <v>290</v>
      </c>
      <c r="N65" t="s">
        <v>43</v>
      </c>
    </row>
    <row r="66" spans="1:14">
      <c r="A66" t="s">
        <v>236</v>
      </c>
      <c r="B66" t="s">
        <v>31</v>
      </c>
      <c r="C66" t="s">
        <v>4998</v>
      </c>
      <c r="D66" t="s">
        <v>4999</v>
      </c>
      <c r="K66" t="s">
        <v>19</v>
      </c>
      <c r="M66" t="s">
        <v>293</v>
      </c>
      <c r="N66" t="s">
        <v>43</v>
      </c>
    </row>
    <row r="67" spans="1:14">
      <c r="A67" t="s">
        <v>241</v>
      </c>
      <c r="B67" t="s">
        <v>31</v>
      </c>
      <c r="C67" t="s">
        <v>5000</v>
      </c>
      <c r="D67" t="s">
        <v>295</v>
      </c>
      <c r="K67" t="s">
        <v>19</v>
      </c>
      <c r="M67" t="s">
        <v>296</v>
      </c>
      <c r="N67" t="s">
        <v>43</v>
      </c>
    </row>
    <row r="68" spans="1:14">
      <c r="A68" t="s">
        <v>236</v>
      </c>
      <c r="B68" t="s">
        <v>31</v>
      </c>
      <c r="C68" t="s">
        <v>5001</v>
      </c>
      <c r="D68" t="s">
        <v>5002</v>
      </c>
      <c r="K68" t="s">
        <v>19</v>
      </c>
      <c r="M68" t="s">
        <v>299</v>
      </c>
      <c r="N68" t="s">
        <v>43</v>
      </c>
    </row>
    <row r="69" spans="1:14">
      <c r="A69" t="s">
        <v>241</v>
      </c>
      <c r="B69" t="s">
        <v>31</v>
      </c>
      <c r="C69" t="s">
        <v>5003</v>
      </c>
      <c r="D69" t="s">
        <v>301</v>
      </c>
      <c r="K69" t="s">
        <v>19</v>
      </c>
      <c r="M69" t="s">
        <v>302</v>
      </c>
      <c r="N69" t="s">
        <v>43</v>
      </c>
    </row>
    <row r="70" spans="1:14">
      <c r="A70" t="s">
        <v>26</v>
      </c>
      <c r="B70" t="s">
        <v>31</v>
      </c>
      <c r="C70" t="s">
        <v>5004</v>
      </c>
      <c r="D70" t="s">
        <v>304</v>
      </c>
      <c r="F70" t="s">
        <v>4947</v>
      </c>
      <c r="K70" t="s">
        <v>19</v>
      </c>
      <c r="M70" t="s">
        <v>306</v>
      </c>
    </row>
    <row r="71" spans="1:14">
      <c r="A71" t="s">
        <v>236</v>
      </c>
      <c r="B71" t="s">
        <v>31</v>
      </c>
      <c r="C71" t="s">
        <v>5005</v>
      </c>
      <c r="D71" t="s">
        <v>238</v>
      </c>
      <c r="F71" t="s">
        <v>5006</v>
      </c>
      <c r="K71" t="s">
        <v>19</v>
      </c>
      <c r="M71" t="s">
        <v>309</v>
      </c>
    </row>
    <row r="72" spans="1:14">
      <c r="A72" t="s">
        <v>241</v>
      </c>
      <c r="B72" t="s">
        <v>31</v>
      </c>
      <c r="C72" t="s">
        <v>5007</v>
      </c>
      <c r="D72" t="s">
        <v>243</v>
      </c>
      <c r="K72" t="s">
        <v>19</v>
      </c>
      <c r="M72" t="s">
        <v>311</v>
      </c>
      <c r="N72" t="s">
        <v>43</v>
      </c>
    </row>
    <row r="73" spans="1:14">
      <c r="A73" t="s">
        <v>241</v>
      </c>
      <c r="B73" t="s">
        <v>31</v>
      </c>
      <c r="C73" t="s">
        <v>5008</v>
      </c>
      <c r="D73" t="s">
        <v>246</v>
      </c>
      <c r="K73" t="s">
        <v>19</v>
      </c>
      <c r="M73" t="s">
        <v>313</v>
      </c>
      <c r="N73" t="s">
        <v>43</v>
      </c>
    </row>
    <row r="74" spans="1:14">
      <c r="A74" t="s">
        <v>236</v>
      </c>
      <c r="B74" t="s">
        <v>31</v>
      </c>
      <c r="C74" t="s">
        <v>5009</v>
      </c>
      <c r="D74" t="s">
        <v>249</v>
      </c>
      <c r="F74" t="s">
        <v>5010</v>
      </c>
      <c r="K74" t="s">
        <v>19</v>
      </c>
      <c r="M74" t="s">
        <v>316</v>
      </c>
    </row>
    <row r="75" spans="1:14">
      <c r="A75" t="s">
        <v>241</v>
      </c>
      <c r="B75" t="s">
        <v>31</v>
      </c>
      <c r="C75" t="s">
        <v>5011</v>
      </c>
      <c r="D75" t="s">
        <v>253</v>
      </c>
      <c r="K75" t="s">
        <v>19</v>
      </c>
      <c r="M75" t="s">
        <v>318</v>
      </c>
      <c r="N75" t="s">
        <v>43</v>
      </c>
    </row>
    <row r="76" spans="1:14">
      <c r="A76" t="s">
        <v>241</v>
      </c>
      <c r="B76" t="s">
        <v>31</v>
      </c>
      <c r="C76" t="s">
        <v>5012</v>
      </c>
      <c r="D76" t="s">
        <v>256</v>
      </c>
      <c r="K76" t="s">
        <v>19</v>
      </c>
      <c r="M76" t="s">
        <v>320</v>
      </c>
      <c r="N76" t="s">
        <v>43</v>
      </c>
    </row>
    <row r="77" spans="1:14">
      <c r="A77" t="s">
        <v>236</v>
      </c>
      <c r="B77" t="s">
        <v>31</v>
      </c>
      <c r="C77" t="s">
        <v>5013</v>
      </c>
      <c r="D77" t="s">
        <v>259</v>
      </c>
      <c r="F77" t="s">
        <v>5014</v>
      </c>
      <c r="K77" t="s">
        <v>19</v>
      </c>
      <c r="M77" t="s">
        <v>323</v>
      </c>
    </row>
    <row r="78" spans="1:14">
      <c r="A78" t="s">
        <v>241</v>
      </c>
      <c r="B78" t="s">
        <v>31</v>
      </c>
      <c r="C78" t="s">
        <v>5015</v>
      </c>
      <c r="D78" t="s">
        <v>263</v>
      </c>
      <c r="F78" t="s">
        <v>5016</v>
      </c>
      <c r="K78" t="s">
        <v>19</v>
      </c>
      <c r="M78" t="s">
        <v>326</v>
      </c>
    </row>
    <row r="79" spans="1:14">
      <c r="A79" t="s">
        <v>266</v>
      </c>
      <c r="B79" t="s">
        <v>31</v>
      </c>
      <c r="C79" t="s">
        <v>5017</v>
      </c>
      <c r="D79" t="s">
        <v>268</v>
      </c>
      <c r="K79" t="s">
        <v>19</v>
      </c>
      <c r="M79" t="s">
        <v>328</v>
      </c>
      <c r="N79" t="s">
        <v>43</v>
      </c>
    </row>
    <row r="80" spans="1:14">
      <c r="A80" t="s">
        <v>266</v>
      </c>
      <c r="B80" t="s">
        <v>31</v>
      </c>
      <c r="C80" t="s">
        <v>5018</v>
      </c>
      <c r="D80" t="s">
        <v>271</v>
      </c>
      <c r="K80" t="s">
        <v>19</v>
      </c>
      <c r="M80" t="s">
        <v>330</v>
      </c>
      <c r="N80" t="s">
        <v>43</v>
      </c>
    </row>
    <row r="81" spans="1:14">
      <c r="A81" t="s">
        <v>241</v>
      </c>
      <c r="B81" t="s">
        <v>31</v>
      </c>
      <c r="C81" t="s">
        <v>5019</v>
      </c>
      <c r="D81" t="s">
        <v>5020</v>
      </c>
      <c r="K81" t="s">
        <v>19</v>
      </c>
      <c r="M81" t="s">
        <v>333</v>
      </c>
      <c r="N81" t="s">
        <v>43</v>
      </c>
    </row>
    <row r="82" spans="1:14">
      <c r="A82" t="s">
        <v>266</v>
      </c>
      <c r="B82" t="s">
        <v>31</v>
      </c>
      <c r="C82" t="s">
        <v>5021</v>
      </c>
      <c r="D82" t="s">
        <v>277</v>
      </c>
      <c r="K82" t="s">
        <v>19</v>
      </c>
      <c r="M82" t="s">
        <v>335</v>
      </c>
      <c r="N82" t="s">
        <v>43</v>
      </c>
    </row>
    <row r="83" spans="1:14">
      <c r="A83" t="s">
        <v>241</v>
      </c>
      <c r="B83" t="s">
        <v>31</v>
      </c>
      <c r="C83" t="s">
        <v>5022</v>
      </c>
      <c r="D83" t="s">
        <v>5023</v>
      </c>
      <c r="K83" t="s">
        <v>19</v>
      </c>
      <c r="M83" t="s">
        <v>338</v>
      </c>
      <c r="N83" t="s">
        <v>43</v>
      </c>
    </row>
    <row r="84" spans="1:14">
      <c r="A84" t="s">
        <v>266</v>
      </c>
      <c r="B84" t="s">
        <v>31</v>
      </c>
      <c r="C84" t="s">
        <v>5024</v>
      </c>
      <c r="D84" t="s">
        <v>283</v>
      </c>
      <c r="K84" t="s">
        <v>19</v>
      </c>
      <c r="M84" t="s">
        <v>340</v>
      </c>
      <c r="N84" t="s">
        <v>43</v>
      </c>
    </row>
    <row r="85" spans="1:14">
      <c r="A85" t="s">
        <v>241</v>
      </c>
      <c r="B85" t="s">
        <v>31</v>
      </c>
      <c r="C85" t="s">
        <v>5025</v>
      </c>
      <c r="D85" t="s">
        <v>5026</v>
      </c>
      <c r="K85" t="s">
        <v>19</v>
      </c>
      <c r="M85" t="s">
        <v>343</v>
      </c>
      <c r="N85" t="s">
        <v>43</v>
      </c>
    </row>
    <row r="86" spans="1:14">
      <c r="A86" t="s">
        <v>266</v>
      </c>
      <c r="B86" t="s">
        <v>31</v>
      </c>
      <c r="C86" t="s">
        <v>5027</v>
      </c>
      <c r="D86" t="s">
        <v>289</v>
      </c>
      <c r="K86" t="s">
        <v>19</v>
      </c>
      <c r="M86" t="s">
        <v>345</v>
      </c>
      <c r="N86" t="s">
        <v>43</v>
      </c>
    </row>
    <row r="87" spans="1:14">
      <c r="A87" t="s">
        <v>236</v>
      </c>
      <c r="B87" t="s">
        <v>31</v>
      </c>
      <c r="C87" t="s">
        <v>5028</v>
      </c>
      <c r="D87" t="s">
        <v>5029</v>
      </c>
      <c r="K87" t="s">
        <v>19</v>
      </c>
      <c r="M87" t="s">
        <v>348</v>
      </c>
      <c r="N87" t="s">
        <v>43</v>
      </c>
    </row>
    <row r="88" spans="1:14">
      <c r="A88" t="s">
        <v>241</v>
      </c>
      <c r="B88" t="s">
        <v>31</v>
      </c>
      <c r="C88" t="s">
        <v>5030</v>
      </c>
      <c r="D88" t="s">
        <v>295</v>
      </c>
      <c r="K88" t="s">
        <v>19</v>
      </c>
      <c r="M88" t="s">
        <v>350</v>
      </c>
      <c r="N88" t="s">
        <v>43</v>
      </c>
    </row>
    <row r="89" spans="1:14">
      <c r="A89" t="s">
        <v>236</v>
      </c>
      <c r="B89" t="s">
        <v>31</v>
      </c>
      <c r="C89" t="s">
        <v>5031</v>
      </c>
      <c r="D89" t="s">
        <v>5032</v>
      </c>
      <c r="K89" t="s">
        <v>19</v>
      </c>
      <c r="M89" t="s">
        <v>353</v>
      </c>
      <c r="N89" t="s">
        <v>43</v>
      </c>
    </row>
    <row r="90" spans="1:14">
      <c r="A90" t="s">
        <v>241</v>
      </c>
      <c r="B90" t="s">
        <v>31</v>
      </c>
      <c r="C90" t="s">
        <v>5033</v>
      </c>
      <c r="D90" t="s">
        <v>301</v>
      </c>
      <c r="K90" t="s">
        <v>19</v>
      </c>
      <c r="M90" t="s">
        <v>355</v>
      </c>
      <c r="N90" t="s">
        <v>43</v>
      </c>
    </row>
    <row r="91" spans="1:14">
      <c r="A91" t="s">
        <v>21</v>
      </c>
      <c r="B91" t="s">
        <v>31</v>
      </c>
      <c r="C91" t="s">
        <v>5034</v>
      </c>
      <c r="D91" t="s">
        <v>249</v>
      </c>
      <c r="K91" t="s">
        <v>19</v>
      </c>
      <c r="N91" t="s">
        <v>43</v>
      </c>
    </row>
    <row r="92" spans="1:14">
      <c r="A92" t="s">
        <v>26</v>
      </c>
      <c r="B92" t="s">
        <v>31</v>
      </c>
      <c r="C92" t="s">
        <v>5035</v>
      </c>
      <c r="D92" t="s">
        <v>358</v>
      </c>
      <c r="K92" t="s">
        <v>19</v>
      </c>
      <c r="N92" t="s">
        <v>43</v>
      </c>
    </row>
    <row r="93" spans="1:14">
      <c r="A93" t="s">
        <v>26</v>
      </c>
      <c r="B93" t="s">
        <v>31</v>
      </c>
      <c r="C93" t="s">
        <v>5036</v>
      </c>
      <c r="D93" t="s">
        <v>360</v>
      </c>
      <c r="K93" t="s">
        <v>19</v>
      </c>
      <c r="N93" t="s">
        <v>43</v>
      </c>
    </row>
    <row r="94" spans="1:14">
      <c r="A94" t="s">
        <v>21</v>
      </c>
      <c r="B94" t="s">
        <v>31</v>
      </c>
      <c r="C94" t="s">
        <v>5037</v>
      </c>
      <c r="D94" t="s">
        <v>994</v>
      </c>
      <c r="F94" t="s">
        <v>4952</v>
      </c>
      <c r="K94" t="s">
        <v>19</v>
      </c>
      <c r="M94" t="s">
        <v>859</v>
      </c>
    </row>
    <row r="95" spans="1:14">
      <c r="A95" t="s">
        <v>26</v>
      </c>
      <c r="B95" t="s">
        <v>31</v>
      </c>
      <c r="C95" t="s">
        <v>5038</v>
      </c>
      <c r="D95" t="s">
        <v>263</v>
      </c>
      <c r="F95" t="s">
        <v>4954</v>
      </c>
      <c r="K95" t="s">
        <v>19</v>
      </c>
      <c r="M95" t="s">
        <v>863</v>
      </c>
    </row>
    <row r="96" spans="1:14">
      <c r="A96" t="s">
        <v>236</v>
      </c>
      <c r="B96" t="s">
        <v>31</v>
      </c>
      <c r="C96" t="s">
        <v>5039</v>
      </c>
      <c r="D96" t="s">
        <v>268</v>
      </c>
      <c r="K96" t="s">
        <v>19</v>
      </c>
      <c r="M96" t="s">
        <v>866</v>
      </c>
      <c r="N96" t="s">
        <v>43</v>
      </c>
    </row>
    <row r="97" spans="1:14">
      <c r="A97" t="s">
        <v>236</v>
      </c>
      <c r="B97" t="s">
        <v>31</v>
      </c>
      <c r="C97" t="s">
        <v>5040</v>
      </c>
      <c r="D97" t="s">
        <v>271</v>
      </c>
      <c r="K97" t="s">
        <v>19</v>
      </c>
      <c r="M97" t="s">
        <v>869</v>
      </c>
      <c r="N97" t="s">
        <v>43</v>
      </c>
    </row>
    <row r="98" spans="1:14">
      <c r="A98" t="s">
        <v>26</v>
      </c>
      <c r="B98" t="s">
        <v>31</v>
      </c>
      <c r="C98" t="s">
        <v>5041</v>
      </c>
      <c r="D98" t="s">
        <v>999</v>
      </c>
      <c r="K98" t="s">
        <v>19</v>
      </c>
      <c r="M98" t="s">
        <v>872</v>
      </c>
      <c r="N98" t="s">
        <v>43</v>
      </c>
    </row>
    <row r="99" spans="1:14">
      <c r="A99" t="s">
        <v>26</v>
      </c>
      <c r="B99" t="s">
        <v>31</v>
      </c>
      <c r="C99" t="s">
        <v>5042</v>
      </c>
      <c r="D99" t="s">
        <v>283</v>
      </c>
      <c r="K99" t="s">
        <v>19</v>
      </c>
      <c r="M99" t="s">
        <v>875</v>
      </c>
      <c r="N99" t="s">
        <v>43</v>
      </c>
    </row>
    <row r="100" spans="1:14">
      <c r="A100" t="s">
        <v>26</v>
      </c>
      <c r="B100" t="s">
        <v>31</v>
      </c>
      <c r="C100" t="s">
        <v>5043</v>
      </c>
      <c r="D100" t="s">
        <v>289</v>
      </c>
      <c r="K100" t="s">
        <v>19</v>
      </c>
      <c r="M100" t="s">
        <v>878</v>
      </c>
      <c r="N100" t="s">
        <v>43</v>
      </c>
    </row>
    <row r="101" spans="1:14">
      <c r="A101" t="s">
        <v>21</v>
      </c>
      <c r="B101" t="s">
        <v>31</v>
      </c>
      <c r="C101" t="s">
        <v>5044</v>
      </c>
      <c r="D101" t="s">
        <v>1003</v>
      </c>
      <c r="K101" t="s">
        <v>19</v>
      </c>
      <c r="M101" t="s">
        <v>881</v>
      </c>
      <c r="N101" t="s">
        <v>43</v>
      </c>
    </row>
    <row r="102" spans="1:14">
      <c r="A102" t="s">
        <v>21</v>
      </c>
      <c r="B102" t="s">
        <v>31</v>
      </c>
      <c r="C102" t="s">
        <v>5045</v>
      </c>
      <c r="D102" t="s">
        <v>1005</v>
      </c>
      <c r="K102" t="s">
        <v>19</v>
      </c>
      <c r="M102" t="s">
        <v>883</v>
      </c>
      <c r="N102" t="s">
        <v>43</v>
      </c>
    </row>
    <row r="103" spans="1:14">
      <c r="A103" t="s">
        <v>21</v>
      </c>
      <c r="B103" t="s">
        <v>31</v>
      </c>
      <c r="C103" t="s">
        <v>5046</v>
      </c>
      <c r="D103" t="s">
        <v>362</v>
      </c>
      <c r="F103" t="s">
        <v>5047</v>
      </c>
      <c r="K103" t="s">
        <v>19</v>
      </c>
      <c r="M103" t="s">
        <v>364</v>
      </c>
    </row>
    <row r="104" spans="1:14">
      <c r="A104" t="s">
        <v>26</v>
      </c>
      <c r="B104" t="s">
        <v>31</v>
      </c>
      <c r="C104" t="s">
        <v>5047</v>
      </c>
      <c r="D104" t="s">
        <v>365</v>
      </c>
      <c r="F104" t="s">
        <v>5048</v>
      </c>
      <c r="K104" t="s">
        <v>19</v>
      </c>
      <c r="M104" t="s">
        <v>367</v>
      </c>
    </row>
    <row r="105" spans="1:14">
      <c r="A105" t="s">
        <v>236</v>
      </c>
      <c r="B105" t="s">
        <v>31</v>
      </c>
      <c r="C105" t="s">
        <v>5049</v>
      </c>
      <c r="D105" t="s">
        <v>369</v>
      </c>
      <c r="F105" t="s">
        <v>5050</v>
      </c>
      <c r="K105" t="s">
        <v>19</v>
      </c>
      <c r="M105" t="s">
        <v>371</v>
      </c>
    </row>
    <row r="106" spans="1:14">
      <c r="A106" t="s">
        <v>241</v>
      </c>
      <c r="B106" t="s">
        <v>31</v>
      </c>
      <c r="C106" t="s">
        <v>5051</v>
      </c>
      <c r="D106" t="s">
        <v>373</v>
      </c>
      <c r="K106" t="s">
        <v>19</v>
      </c>
      <c r="M106" t="s">
        <v>374</v>
      </c>
      <c r="N106" t="s">
        <v>43</v>
      </c>
    </row>
    <row r="107" spans="1:14">
      <c r="A107" t="s">
        <v>241</v>
      </c>
      <c r="B107" t="s">
        <v>31</v>
      </c>
      <c r="C107" t="s">
        <v>5052</v>
      </c>
      <c r="D107" t="s">
        <v>376</v>
      </c>
      <c r="K107" t="s">
        <v>19</v>
      </c>
      <c r="M107" t="s">
        <v>377</v>
      </c>
      <c r="N107" t="s">
        <v>43</v>
      </c>
    </row>
    <row r="108" spans="1:14">
      <c r="A108" t="s">
        <v>241</v>
      </c>
      <c r="B108" t="s">
        <v>31</v>
      </c>
      <c r="C108" t="s">
        <v>5053</v>
      </c>
      <c r="D108" t="s">
        <v>379</v>
      </c>
      <c r="K108" t="s">
        <v>19</v>
      </c>
      <c r="M108" t="s">
        <v>380</v>
      </c>
      <c r="N108" t="s">
        <v>43</v>
      </c>
    </row>
    <row r="109" spans="1:14">
      <c r="A109" t="s">
        <v>241</v>
      </c>
      <c r="B109" t="s">
        <v>31</v>
      </c>
      <c r="C109" t="s">
        <v>5054</v>
      </c>
      <c r="D109" t="s">
        <v>382</v>
      </c>
      <c r="K109" t="s">
        <v>19</v>
      </c>
      <c r="M109" t="s">
        <v>383</v>
      </c>
      <c r="N109" t="s">
        <v>43</v>
      </c>
    </row>
    <row r="110" spans="1:14">
      <c r="A110" t="s">
        <v>236</v>
      </c>
      <c r="B110" t="s">
        <v>31</v>
      </c>
      <c r="C110" t="s">
        <v>5055</v>
      </c>
      <c r="D110" t="s">
        <v>385</v>
      </c>
      <c r="F110" t="s">
        <v>5056</v>
      </c>
      <c r="K110" t="s">
        <v>19</v>
      </c>
      <c r="M110" t="s">
        <v>387</v>
      </c>
    </row>
    <row r="111" spans="1:14">
      <c r="A111" t="s">
        <v>241</v>
      </c>
      <c r="B111" t="s">
        <v>31</v>
      </c>
      <c r="C111" t="s">
        <v>5057</v>
      </c>
      <c r="D111" t="s">
        <v>389</v>
      </c>
      <c r="K111" t="s">
        <v>19</v>
      </c>
      <c r="M111" t="s">
        <v>390</v>
      </c>
      <c r="N111" t="s">
        <v>43</v>
      </c>
    </row>
    <row r="112" spans="1:14">
      <c r="A112" t="s">
        <v>241</v>
      </c>
      <c r="B112" t="s">
        <v>31</v>
      </c>
      <c r="C112" t="s">
        <v>5058</v>
      </c>
      <c r="D112" t="s">
        <v>392</v>
      </c>
      <c r="K112" t="s">
        <v>19</v>
      </c>
      <c r="M112" t="s">
        <v>393</v>
      </c>
      <c r="N112" t="s">
        <v>43</v>
      </c>
    </row>
    <row r="113" spans="1:14">
      <c r="A113" t="s">
        <v>241</v>
      </c>
      <c r="B113" t="s">
        <v>31</v>
      </c>
      <c r="C113" t="s">
        <v>5059</v>
      </c>
      <c r="D113" t="s">
        <v>395</v>
      </c>
      <c r="K113" t="s">
        <v>19</v>
      </c>
      <c r="M113" t="s">
        <v>396</v>
      </c>
      <c r="N113" t="s">
        <v>43</v>
      </c>
    </row>
    <row r="114" spans="1:14">
      <c r="A114" t="s">
        <v>241</v>
      </c>
      <c r="B114" t="s">
        <v>31</v>
      </c>
      <c r="C114" t="s">
        <v>5060</v>
      </c>
      <c r="D114" t="s">
        <v>398</v>
      </c>
      <c r="K114" t="s">
        <v>19</v>
      </c>
      <c r="M114" t="s">
        <v>399</v>
      </c>
      <c r="N114" t="s">
        <v>43</v>
      </c>
    </row>
    <row r="115" spans="1:14">
      <c r="A115" t="s">
        <v>241</v>
      </c>
      <c r="B115" t="s">
        <v>31</v>
      </c>
      <c r="C115" t="s">
        <v>5061</v>
      </c>
      <c r="D115" t="s">
        <v>401</v>
      </c>
      <c r="K115" t="s">
        <v>19</v>
      </c>
      <c r="M115" t="s">
        <v>402</v>
      </c>
      <c r="N115" t="s">
        <v>43</v>
      </c>
    </row>
    <row r="116" spans="1:14">
      <c r="A116" t="s">
        <v>241</v>
      </c>
      <c r="B116" t="s">
        <v>31</v>
      </c>
      <c r="C116" t="s">
        <v>5062</v>
      </c>
      <c r="D116" t="s">
        <v>404</v>
      </c>
      <c r="K116" t="s">
        <v>19</v>
      </c>
      <c r="M116" t="s">
        <v>405</v>
      </c>
      <c r="N116" t="s">
        <v>43</v>
      </c>
    </row>
    <row r="117" spans="1:14">
      <c r="A117" t="s">
        <v>241</v>
      </c>
      <c r="B117" t="s">
        <v>31</v>
      </c>
      <c r="C117" t="s">
        <v>5063</v>
      </c>
      <c r="D117" t="s">
        <v>407</v>
      </c>
      <c r="K117" t="s">
        <v>19</v>
      </c>
      <c r="M117" t="s">
        <v>408</v>
      </c>
      <c r="N117" t="s">
        <v>43</v>
      </c>
    </row>
    <row r="118" spans="1:14">
      <c r="A118" t="s">
        <v>241</v>
      </c>
      <c r="B118" t="s">
        <v>31</v>
      </c>
      <c r="C118" t="s">
        <v>5064</v>
      </c>
      <c r="D118" t="s">
        <v>410</v>
      </c>
      <c r="K118" t="s">
        <v>19</v>
      </c>
      <c r="M118" t="s">
        <v>411</v>
      </c>
      <c r="N118" t="s">
        <v>43</v>
      </c>
    </row>
    <row r="119" spans="1:14">
      <c r="A119" t="s">
        <v>241</v>
      </c>
      <c r="B119" t="s">
        <v>31</v>
      </c>
      <c r="C119" t="s">
        <v>5065</v>
      </c>
      <c r="D119" t="s">
        <v>413</v>
      </c>
      <c r="K119" t="s">
        <v>19</v>
      </c>
      <c r="M119" t="s">
        <v>414</v>
      </c>
      <c r="N119" t="s">
        <v>43</v>
      </c>
    </row>
    <row r="120" spans="1:14">
      <c r="A120" t="s">
        <v>241</v>
      </c>
      <c r="B120" t="s">
        <v>31</v>
      </c>
      <c r="C120" t="s">
        <v>5066</v>
      </c>
      <c r="D120" t="s">
        <v>416</v>
      </c>
      <c r="K120" t="s">
        <v>19</v>
      </c>
      <c r="M120" t="s">
        <v>417</v>
      </c>
      <c r="N120" t="s">
        <v>43</v>
      </c>
    </row>
    <row r="121" spans="1:14">
      <c r="A121" t="s">
        <v>241</v>
      </c>
      <c r="B121" t="s">
        <v>31</v>
      </c>
      <c r="C121" t="s">
        <v>5067</v>
      </c>
      <c r="D121" t="s">
        <v>419</v>
      </c>
      <c r="K121" t="s">
        <v>19</v>
      </c>
      <c r="M121" t="s">
        <v>420</v>
      </c>
      <c r="N121" t="s">
        <v>43</v>
      </c>
    </row>
    <row r="122" spans="1:14">
      <c r="A122" t="s">
        <v>241</v>
      </c>
      <c r="B122" t="s">
        <v>31</v>
      </c>
      <c r="C122" t="s">
        <v>5068</v>
      </c>
      <c r="D122" t="s">
        <v>422</v>
      </c>
      <c r="F122" t="s">
        <v>5069</v>
      </c>
      <c r="K122" t="s">
        <v>19</v>
      </c>
      <c r="M122" t="s">
        <v>424</v>
      </c>
    </row>
    <row r="123" spans="1:14">
      <c r="A123" t="s">
        <v>241</v>
      </c>
      <c r="B123" t="s">
        <v>31</v>
      </c>
      <c r="C123" t="s">
        <v>5070</v>
      </c>
      <c r="D123" t="s">
        <v>426</v>
      </c>
      <c r="F123" t="s">
        <v>5071</v>
      </c>
      <c r="K123" t="s">
        <v>19</v>
      </c>
      <c r="M123" t="s">
        <v>428</v>
      </c>
    </row>
    <row r="124" spans="1:14">
      <c r="A124" t="s">
        <v>241</v>
      </c>
      <c r="B124" t="s">
        <v>31</v>
      </c>
      <c r="C124" t="s">
        <v>5072</v>
      </c>
      <c r="D124" t="s">
        <v>430</v>
      </c>
      <c r="F124" t="s">
        <v>5073</v>
      </c>
      <c r="K124" t="s">
        <v>19</v>
      </c>
      <c r="M124" t="s">
        <v>432</v>
      </c>
    </row>
    <row r="125" spans="1:14">
      <c r="A125" t="s">
        <v>236</v>
      </c>
      <c r="B125" t="s">
        <v>31</v>
      </c>
      <c r="C125" t="s">
        <v>5074</v>
      </c>
      <c r="D125" t="s">
        <v>434</v>
      </c>
      <c r="F125" t="s">
        <v>5075</v>
      </c>
      <c r="K125" t="s">
        <v>19</v>
      </c>
      <c r="M125" t="s">
        <v>436</v>
      </c>
    </row>
    <row r="126" spans="1:14">
      <c r="A126" t="s">
        <v>241</v>
      </c>
      <c r="B126" t="s">
        <v>31</v>
      </c>
      <c r="C126" t="s">
        <v>5076</v>
      </c>
      <c r="D126" t="s">
        <v>438</v>
      </c>
      <c r="K126" t="s">
        <v>19</v>
      </c>
      <c r="M126" t="s">
        <v>439</v>
      </c>
      <c r="N126" t="s">
        <v>43</v>
      </c>
    </row>
    <row r="127" spans="1:14">
      <c r="A127" t="s">
        <v>241</v>
      </c>
      <c r="B127" t="s">
        <v>31</v>
      </c>
      <c r="C127" t="s">
        <v>5077</v>
      </c>
      <c r="D127" t="s">
        <v>441</v>
      </c>
      <c r="K127" t="s">
        <v>19</v>
      </c>
      <c r="M127" t="s">
        <v>442</v>
      </c>
      <c r="N127" t="s">
        <v>43</v>
      </c>
    </row>
    <row r="128" spans="1:14">
      <c r="A128" t="s">
        <v>241</v>
      </c>
      <c r="B128" t="s">
        <v>31</v>
      </c>
      <c r="C128" t="s">
        <v>5078</v>
      </c>
      <c r="D128" t="s">
        <v>444</v>
      </c>
      <c r="K128" t="s">
        <v>19</v>
      </c>
      <c r="M128" t="s">
        <v>445</v>
      </c>
      <c r="N128" t="s">
        <v>43</v>
      </c>
    </row>
  </sheetData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8"/>
  <sheetViews>
    <sheetView workbookViewId="0">
      <pane xSplit="4" ySplit="1" topLeftCell="E2" activePane="bottomRight" state="frozen"/>
      <selection/>
      <selection pane="topRight"/>
      <selection pane="bottomLeft"/>
      <selection pane="bottomRight" activeCell="C18" sqref="C18"/>
    </sheetView>
  </sheetViews>
  <sheetFormatPr defaultColWidth="9" defaultRowHeight="15" customHeight="1"/>
  <cols>
    <col min="1" max="2" width="8.66071428571429" style="5" customWidth="1"/>
    <col min="3" max="3" width="11" style="5" customWidth="1"/>
    <col min="4" max="4" width="17.5" style="5" customWidth="1"/>
    <col min="5" max="9" width="8.66071428571429" style="5" customWidth="1"/>
    <col min="10" max="10" width="10.1607142857143" style="5" customWidth="1"/>
    <col min="11" max="16384" width="8.66071428571429" style="5" customWidth="1"/>
  </cols>
  <sheetData>
    <row r="1" s="1" customFormat="1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/>
      <c r="O1" s="6"/>
      <c r="P1" t="s">
        <v>13</v>
      </c>
    </row>
    <row r="2" customHeight="1" spans="1:16">
      <c r="A2" s="7" t="s">
        <v>14</v>
      </c>
      <c r="B2" s="1" t="s">
        <v>15</v>
      </c>
      <c r="C2" s="8" t="s">
        <v>5079</v>
      </c>
      <c r="D2" s="7" t="s">
        <v>17</v>
      </c>
      <c r="F2" t="s">
        <v>5080</v>
      </c>
      <c r="H2" s="5">
        <f>H3+H6+H7</f>
        <v>0</v>
      </c>
      <c r="I2" s="5">
        <f>I3+I6+I7</f>
        <v>0</v>
      </c>
      <c r="M2" t="s">
        <v>20</v>
      </c>
    </row>
    <row r="3" customHeight="1" spans="1:16">
      <c r="A3" s="1" t="s">
        <v>21</v>
      </c>
      <c r="B3" s="1" t="s">
        <v>15</v>
      </c>
      <c r="C3" s="8" t="s">
        <v>5081</v>
      </c>
      <c r="D3" s="1" t="s">
        <v>23</v>
      </c>
      <c r="F3" t="s">
        <v>5082</v>
      </c>
      <c r="H3" s="5">
        <f>H4+H5</f>
        <v>0</v>
      </c>
      <c r="I3" s="5">
        <f>I4+I5</f>
        <v>0</v>
      </c>
      <c r="M3" t="s">
        <v>25</v>
      </c>
    </row>
    <row r="4" customHeight="1" spans="1:16">
      <c r="A4" s="1" t="s">
        <v>26</v>
      </c>
      <c r="B4" s="1" t="s">
        <v>15</v>
      </c>
      <c r="C4" s="9" t="s">
        <v>5083</v>
      </c>
      <c r="D4" s="1" t="s">
        <v>822</v>
      </c>
      <c r="H4" s="5">
        <f>H60-H72</f>
        <v>0</v>
      </c>
      <c r="I4" s="5">
        <f>I60-I72</f>
        <v>0</v>
      </c>
      <c r="M4" t="s">
        <v>823</v>
      </c>
      <c r="P4" t="s">
        <v>43</v>
      </c>
    </row>
    <row r="5" customHeight="1" spans="1:16">
      <c r="A5" s="1" t="s">
        <v>26</v>
      </c>
      <c r="B5" s="1" t="s">
        <v>15</v>
      </c>
      <c r="C5" s="9" t="s">
        <v>5084</v>
      </c>
      <c r="D5" s="1" t="s">
        <v>829</v>
      </c>
      <c r="H5" s="5">
        <f>H82-H75</f>
        <v>0</v>
      </c>
      <c r="I5" s="5">
        <f>I82-I75</f>
        <v>0</v>
      </c>
      <c r="M5" t="s">
        <v>830</v>
      </c>
      <c r="P5" t="s">
        <v>43</v>
      </c>
    </row>
    <row r="6" customHeight="1" spans="1:16">
      <c r="A6" s="1" t="s">
        <v>21</v>
      </c>
      <c r="B6" s="1" t="s">
        <v>15</v>
      </c>
      <c r="C6" s="8" t="s">
        <v>5085</v>
      </c>
      <c r="D6" s="1" t="s">
        <v>37</v>
      </c>
      <c r="H6" s="5">
        <f>H85-H88</f>
        <v>0</v>
      </c>
      <c r="I6" s="5">
        <f>I85-I88</f>
        <v>0</v>
      </c>
      <c r="M6" t="s">
        <v>39</v>
      </c>
      <c r="P6" t="s">
        <v>43</v>
      </c>
    </row>
    <row r="7" customHeight="1" spans="1:16">
      <c r="A7" s="1" t="s">
        <v>21</v>
      </c>
      <c r="B7" s="1" t="s">
        <v>15</v>
      </c>
      <c r="C7" s="8" t="s">
        <v>5086</v>
      </c>
      <c r="D7" s="1" t="s">
        <v>48</v>
      </c>
      <c r="H7" s="5">
        <f>H91+H95</f>
        <v>0</v>
      </c>
      <c r="I7" s="5">
        <f>I91+I95</f>
        <v>0</v>
      </c>
      <c r="M7" t="s">
        <v>49</v>
      </c>
      <c r="P7" t="s">
        <v>43</v>
      </c>
    </row>
    <row r="8" customHeight="1" spans="1:16">
      <c r="A8" s="7" t="s">
        <v>14</v>
      </c>
      <c r="B8" s="1" t="s">
        <v>31</v>
      </c>
      <c r="C8" s="8" t="s">
        <v>5087</v>
      </c>
      <c r="D8" s="7" t="s">
        <v>840</v>
      </c>
      <c r="M8" t="s">
        <v>53</v>
      </c>
      <c r="P8" t="s">
        <v>43</v>
      </c>
    </row>
    <row r="9" customHeight="1" spans="1:16">
      <c r="A9" s="7" t="s">
        <v>14</v>
      </c>
      <c r="B9" s="1" t="s">
        <v>15</v>
      </c>
      <c r="C9" s="8" t="s">
        <v>5088</v>
      </c>
      <c r="D9" s="7" t="s">
        <v>68</v>
      </c>
      <c r="F9" t="s">
        <v>5089</v>
      </c>
      <c r="H9" s="5">
        <f>H2-H8</f>
        <v>0</v>
      </c>
      <c r="I9" s="5">
        <f>I2-I8</f>
        <v>0</v>
      </c>
      <c r="M9" t="s">
        <v>70</v>
      </c>
    </row>
    <row r="10" customHeight="1" spans="1:16">
      <c r="A10" s="7" t="s">
        <v>14</v>
      </c>
      <c r="B10" s="1" t="s">
        <v>31</v>
      </c>
      <c r="C10" s="8" t="s">
        <v>5090</v>
      </c>
      <c r="D10" s="7" t="s">
        <v>72</v>
      </c>
      <c r="M10" t="s">
        <v>73</v>
      </c>
      <c r="P10" t="s">
        <v>43</v>
      </c>
    </row>
    <row r="11" customHeight="1" spans="1:16">
      <c r="A11" s="7" t="s">
        <v>14</v>
      </c>
      <c r="B11" s="1" t="s">
        <v>31</v>
      </c>
      <c r="C11" s="8" t="s">
        <v>5091</v>
      </c>
      <c r="D11" s="7" t="s">
        <v>844</v>
      </c>
      <c r="F11" t="s">
        <v>5092</v>
      </c>
      <c r="H11" s="5">
        <f>H12+H15+H18+H25+H26</f>
        <v>0</v>
      </c>
      <c r="I11" s="5">
        <f>I12+I15+I18+I25+I26</f>
        <v>0</v>
      </c>
      <c r="K11" t="s">
        <v>19</v>
      </c>
      <c r="M11" t="s">
        <v>227</v>
      </c>
    </row>
    <row r="12" customHeight="1" spans="1:16">
      <c r="A12" s="1" t="s">
        <v>21</v>
      </c>
      <c r="B12" s="1" t="s">
        <v>31</v>
      </c>
      <c r="C12" s="8" t="s">
        <v>5093</v>
      </c>
      <c r="D12" s="1" t="s">
        <v>847</v>
      </c>
      <c r="F12" t="s">
        <v>5094</v>
      </c>
      <c r="H12" s="5">
        <f>H13+H14</f>
        <v>0</v>
      </c>
      <c r="I12" s="5">
        <f>I13+I14</f>
        <v>0</v>
      </c>
      <c r="K12" t="s">
        <v>19</v>
      </c>
      <c r="M12" t="s">
        <v>231</v>
      </c>
    </row>
    <row r="13" customHeight="1" spans="1:16">
      <c r="A13" s="1" t="s">
        <v>26</v>
      </c>
      <c r="B13" s="1" t="s">
        <v>31</v>
      </c>
      <c r="C13" s="9" t="s">
        <v>5095</v>
      </c>
      <c r="D13" s="1" t="s">
        <v>83</v>
      </c>
      <c r="F13" t="s">
        <v>5096</v>
      </c>
      <c r="K13" t="s">
        <v>19</v>
      </c>
      <c r="M13" t="s">
        <v>235</v>
      </c>
    </row>
    <row r="14" customHeight="1" spans="1:16">
      <c r="A14" s="1" t="s">
        <v>26</v>
      </c>
      <c r="B14" s="1" t="s">
        <v>31</v>
      </c>
      <c r="C14" s="9" t="s">
        <v>5097</v>
      </c>
      <c r="D14" s="1" t="s">
        <v>852</v>
      </c>
      <c r="F14" t="s">
        <v>5098</v>
      </c>
      <c r="K14" t="s">
        <v>19</v>
      </c>
      <c r="M14" t="s">
        <v>306</v>
      </c>
    </row>
    <row r="15" customHeight="1" spans="1:16">
      <c r="A15" s="1" t="s">
        <v>21</v>
      </c>
      <c r="B15" s="1" t="s">
        <v>31</v>
      </c>
      <c r="C15" s="8" t="s">
        <v>5099</v>
      </c>
      <c r="D15" s="1" t="s">
        <v>92</v>
      </c>
      <c r="F15" t="s">
        <v>5100</v>
      </c>
      <c r="H15" s="5">
        <f>H16+H17</f>
        <v>0</v>
      </c>
      <c r="I15" s="5">
        <f>I16+I17</f>
        <v>0</v>
      </c>
      <c r="K15" t="s">
        <v>19</v>
      </c>
      <c r="M15" t="s">
        <v>364</v>
      </c>
    </row>
    <row r="16" customHeight="1" spans="1:16">
      <c r="A16" s="1" t="s">
        <v>26</v>
      </c>
      <c r="B16" s="1" t="s">
        <v>31</v>
      </c>
      <c r="C16" s="9" t="s">
        <v>5101</v>
      </c>
      <c r="D16" s="1" t="s">
        <v>94</v>
      </c>
      <c r="K16" t="s">
        <v>19</v>
      </c>
      <c r="M16" t="s">
        <v>1063</v>
      </c>
      <c r="P16" t="s">
        <v>43</v>
      </c>
    </row>
    <row r="17" customHeight="1" spans="1:16">
      <c r="A17" s="1" t="s">
        <v>26</v>
      </c>
      <c r="B17" s="1" t="s">
        <v>31</v>
      </c>
      <c r="C17" s="9" t="s">
        <v>5102</v>
      </c>
      <c r="D17" s="1" t="s">
        <v>96</v>
      </c>
      <c r="K17" t="s">
        <v>19</v>
      </c>
      <c r="M17" t="s">
        <v>1065</v>
      </c>
      <c r="P17" t="s">
        <v>43</v>
      </c>
    </row>
    <row r="18" customHeight="1" spans="1:16">
      <c r="A18" s="1" t="s">
        <v>21</v>
      </c>
      <c r="B18" s="1" t="s">
        <v>31</v>
      </c>
      <c r="C18" s="8" t="s">
        <v>5103</v>
      </c>
      <c r="D18" s="1" t="s">
        <v>98</v>
      </c>
      <c r="F18" t="s">
        <v>5104</v>
      </c>
      <c r="H18" s="5">
        <f>H19+H22+H23+H24</f>
        <v>0</v>
      </c>
      <c r="I18" s="5">
        <f>I19+I22+I23+I24</f>
        <v>0</v>
      </c>
      <c r="K18" t="s">
        <v>19</v>
      </c>
      <c r="M18" t="s">
        <v>859</v>
      </c>
    </row>
    <row r="19" customHeight="1" spans="1:16">
      <c r="A19" s="1" t="s">
        <v>26</v>
      </c>
      <c r="B19" s="1" t="s">
        <v>31</v>
      </c>
      <c r="C19" s="9" t="s">
        <v>5105</v>
      </c>
      <c r="D19" s="1" t="s">
        <v>861</v>
      </c>
      <c r="F19" t="s">
        <v>5106</v>
      </c>
      <c r="H19" s="5">
        <f>H20+H21</f>
        <v>0</v>
      </c>
      <c r="I19" s="5">
        <f>I20+I21</f>
        <v>0</v>
      </c>
      <c r="K19" t="s">
        <v>19</v>
      </c>
      <c r="M19" t="s">
        <v>863</v>
      </c>
    </row>
    <row r="20" customHeight="1" spans="1:16">
      <c r="A20" s="1" t="s">
        <v>236</v>
      </c>
      <c r="B20" s="1" t="s">
        <v>31</v>
      </c>
      <c r="C20" s="9" t="s">
        <v>5107</v>
      </c>
      <c r="D20" s="1" t="s">
        <v>865</v>
      </c>
      <c r="K20" t="s">
        <v>19</v>
      </c>
      <c r="M20" t="s">
        <v>866</v>
      </c>
      <c r="P20" t="s">
        <v>43</v>
      </c>
    </row>
    <row r="21" customHeight="1" spans="1:16">
      <c r="A21" s="1" t="s">
        <v>236</v>
      </c>
      <c r="B21" s="1" t="s">
        <v>31</v>
      </c>
      <c r="C21" s="9" t="s">
        <v>5108</v>
      </c>
      <c r="D21" s="1" t="s">
        <v>868</v>
      </c>
      <c r="K21" t="s">
        <v>19</v>
      </c>
      <c r="M21" t="s">
        <v>869</v>
      </c>
      <c r="P21" t="s">
        <v>43</v>
      </c>
    </row>
    <row r="22" customHeight="1" spans="1:16">
      <c r="A22" s="1" t="s">
        <v>26</v>
      </c>
      <c r="B22" s="1" t="s">
        <v>31</v>
      </c>
      <c r="C22" s="9" t="s">
        <v>5109</v>
      </c>
      <c r="D22" s="1" t="s">
        <v>871</v>
      </c>
      <c r="K22" t="s">
        <v>19</v>
      </c>
      <c r="M22" t="s">
        <v>872</v>
      </c>
      <c r="P22" t="s">
        <v>43</v>
      </c>
    </row>
    <row r="23" customHeight="1" spans="1:16">
      <c r="A23" s="1" t="s">
        <v>26</v>
      </c>
      <c r="B23" s="1" t="s">
        <v>31</v>
      </c>
      <c r="C23" s="9" t="s">
        <v>5110</v>
      </c>
      <c r="D23" s="1" t="s">
        <v>874</v>
      </c>
      <c r="K23" t="s">
        <v>19</v>
      </c>
      <c r="M23" t="s">
        <v>875</v>
      </c>
      <c r="P23" t="s">
        <v>43</v>
      </c>
    </row>
    <row r="24" customHeight="1" spans="1:16">
      <c r="A24" s="1" t="s">
        <v>26</v>
      </c>
      <c r="B24" s="1" t="s">
        <v>31</v>
      </c>
      <c r="C24" s="9" t="s">
        <v>5111</v>
      </c>
      <c r="D24" s="1" t="s">
        <v>877</v>
      </c>
      <c r="K24" t="s">
        <v>19</v>
      </c>
      <c r="M24" t="s">
        <v>878</v>
      </c>
      <c r="P24" t="s">
        <v>43</v>
      </c>
    </row>
    <row r="25" customHeight="1" spans="1:16">
      <c r="A25" s="1" t="s">
        <v>21</v>
      </c>
      <c r="B25" s="1" t="s">
        <v>31</v>
      </c>
      <c r="C25" s="8" t="s">
        <v>5112</v>
      </c>
      <c r="D25" s="1" t="s">
        <v>880</v>
      </c>
      <c r="K25" t="s">
        <v>19</v>
      </c>
      <c r="M25" t="s">
        <v>881</v>
      </c>
      <c r="P25" t="s">
        <v>43</v>
      </c>
    </row>
    <row r="26" customHeight="1" spans="1:16">
      <c r="A26" s="1" t="s">
        <v>21</v>
      </c>
      <c r="B26" s="1" t="s">
        <v>31</v>
      </c>
      <c r="C26" s="8" t="s">
        <v>5113</v>
      </c>
      <c r="D26" s="1" t="s">
        <v>101</v>
      </c>
      <c r="K26" t="s">
        <v>19</v>
      </c>
      <c r="M26" t="s">
        <v>883</v>
      </c>
      <c r="P26" t="s">
        <v>43</v>
      </c>
    </row>
    <row r="27" customHeight="1" spans="1:16">
      <c r="A27" s="7" t="s">
        <v>14</v>
      </c>
      <c r="B27" s="1" t="s">
        <v>15</v>
      </c>
      <c r="C27" s="8" t="s">
        <v>5114</v>
      </c>
      <c r="D27" s="7" t="s">
        <v>104</v>
      </c>
      <c r="M27" t="s">
        <v>105</v>
      </c>
      <c r="P27" t="s">
        <v>43</v>
      </c>
    </row>
    <row r="28" customHeight="1" spans="1:16">
      <c r="A28" s="7" t="s">
        <v>14</v>
      </c>
      <c r="B28" s="1" t="s">
        <v>106</v>
      </c>
      <c r="C28" s="8" t="s">
        <v>5115</v>
      </c>
      <c r="D28" s="7" t="s">
        <v>886</v>
      </c>
      <c r="F28" t="s">
        <v>5116</v>
      </c>
      <c r="H28" s="5">
        <f>H9-H10-H11+H27</f>
        <v>0</v>
      </c>
      <c r="I28" s="5">
        <f>I9-I10-I11+I27</f>
        <v>0</v>
      </c>
      <c r="M28" t="s">
        <v>887</v>
      </c>
    </row>
    <row r="29" customHeight="1" spans="1:16">
      <c r="A29" s="7" t="s">
        <v>14</v>
      </c>
      <c r="B29" s="1" t="s">
        <v>31</v>
      </c>
      <c r="C29" s="8" t="s">
        <v>5117</v>
      </c>
      <c r="D29" s="7" t="s">
        <v>889</v>
      </c>
      <c r="M29" t="s">
        <v>890</v>
      </c>
      <c r="P29" t="s">
        <v>43</v>
      </c>
    </row>
    <row r="30" customHeight="1" spans="1:16">
      <c r="A30" s="7" t="s">
        <v>14</v>
      </c>
      <c r="B30" s="1" t="s">
        <v>106</v>
      </c>
      <c r="C30" s="8" t="s">
        <v>5118</v>
      </c>
      <c r="D30" s="7" t="s">
        <v>108</v>
      </c>
      <c r="F30" t="s">
        <v>5119</v>
      </c>
      <c r="H30" s="5">
        <f>H28-H29</f>
        <v>0</v>
      </c>
      <c r="I30" s="5">
        <f>I28-I29</f>
        <v>0</v>
      </c>
      <c r="M30" t="s">
        <v>110</v>
      </c>
    </row>
    <row r="31" customHeight="1" spans="1:16">
      <c r="A31" s="10"/>
      <c r="B31" s="10"/>
      <c r="C31" s="10"/>
      <c r="D31" s="10"/>
    </row>
    <row r="32" customHeight="1" spans="1:16">
      <c r="A32" s="11" t="s">
        <v>14</v>
      </c>
      <c r="B32" s="11" t="s">
        <v>118</v>
      </c>
      <c r="C32" s="11" t="s">
        <v>5120</v>
      </c>
      <c r="D32" s="11" t="s">
        <v>1963</v>
      </c>
      <c r="F32" t="s">
        <v>5121</v>
      </c>
      <c r="H32" s="5">
        <f>H33</f>
        <v>0</v>
      </c>
      <c r="I32" s="5">
        <f>I33</f>
        <v>0</v>
      </c>
      <c r="M32" t="s">
        <v>122</v>
      </c>
    </row>
    <row r="33" customHeight="1" spans="1:16">
      <c r="A33" s="10" t="s">
        <v>21</v>
      </c>
      <c r="B33" s="10" t="s">
        <v>118</v>
      </c>
      <c r="C33" s="10" t="s">
        <v>5121</v>
      </c>
      <c r="D33" s="10" t="s">
        <v>903</v>
      </c>
      <c r="F33" t="s">
        <v>5122</v>
      </c>
      <c r="H33" s="5">
        <f>H34</f>
        <v>0</v>
      </c>
      <c r="I33" s="5">
        <f>I34</f>
        <v>0</v>
      </c>
      <c r="M33" t="s">
        <v>126</v>
      </c>
    </row>
    <row r="34" customHeight="1" spans="1:16">
      <c r="A34" s="10" t="s">
        <v>26</v>
      </c>
      <c r="B34" s="10" t="s">
        <v>118</v>
      </c>
      <c r="C34" s="10" t="s">
        <v>5122</v>
      </c>
      <c r="D34" s="10" t="s">
        <v>132</v>
      </c>
      <c r="M34" t="s">
        <v>133</v>
      </c>
      <c r="P34" t="s">
        <v>130</v>
      </c>
    </row>
    <row r="35" customHeight="1" spans="1:16">
      <c r="A35" s="11" t="s">
        <v>14</v>
      </c>
      <c r="B35" s="11" t="s">
        <v>515</v>
      </c>
      <c r="C35" s="11" t="s">
        <v>5123</v>
      </c>
      <c r="D35" s="11" t="s">
        <v>899</v>
      </c>
      <c r="F35" t="s">
        <v>5124</v>
      </c>
      <c r="H35" s="5">
        <f>H36</f>
        <v>0</v>
      </c>
      <c r="I35" s="5">
        <f>I36</f>
        <v>0</v>
      </c>
      <c r="M35" t="s">
        <v>901</v>
      </c>
    </row>
    <row r="36" customHeight="1" spans="1:16">
      <c r="A36" s="10" t="s">
        <v>21</v>
      </c>
      <c r="B36" s="10" t="s">
        <v>515</v>
      </c>
      <c r="C36" s="10" t="s">
        <v>5124</v>
      </c>
      <c r="D36" s="10" t="s">
        <v>903</v>
      </c>
      <c r="F36" t="s">
        <v>5125</v>
      </c>
      <c r="H36" s="5">
        <f>H37</f>
        <v>0</v>
      </c>
      <c r="I36" s="5">
        <f>I37</f>
        <v>0</v>
      </c>
      <c r="M36" t="s">
        <v>521</v>
      </c>
    </row>
    <row r="37" customHeight="1" spans="1:16">
      <c r="A37" s="10" t="s">
        <v>26</v>
      </c>
      <c r="B37" s="10" t="s">
        <v>515</v>
      </c>
      <c r="C37" s="10" t="s">
        <v>5125</v>
      </c>
      <c r="D37" s="10" t="s">
        <v>132</v>
      </c>
      <c r="M37" t="s">
        <v>526</v>
      </c>
      <c r="P37" t="s">
        <v>524</v>
      </c>
    </row>
    <row r="38" customHeight="1" spans="1:16">
      <c r="A38" s="10"/>
      <c r="B38" s="10"/>
      <c r="C38" s="10"/>
      <c r="D38" s="10"/>
    </row>
    <row r="39" customHeight="1" spans="1:16">
      <c r="A39" s="7" t="s">
        <v>14</v>
      </c>
      <c r="B39" s="7" t="s">
        <v>118</v>
      </c>
      <c r="C39" s="8" t="s">
        <v>5126</v>
      </c>
      <c r="D39" s="11" t="s">
        <v>3332</v>
      </c>
      <c r="E39" s="12"/>
      <c r="F39" s="12" t="s">
        <v>5127</v>
      </c>
      <c r="G39" s="12"/>
      <c r="H39" s="12">
        <f>H40+H41</f>
        <v>0</v>
      </c>
      <c r="I39" s="12">
        <f>I40+I41</f>
        <v>0</v>
      </c>
      <c r="M39" t="s">
        <v>453</v>
      </c>
    </row>
    <row r="40" customHeight="1" spans="1:16">
      <c r="A40" s="10" t="s">
        <v>21</v>
      </c>
      <c r="B40" s="10" t="s">
        <v>118</v>
      </c>
      <c r="C40" s="10" t="s">
        <v>5128</v>
      </c>
      <c r="D40" s="10" t="s">
        <v>3335</v>
      </c>
      <c r="M40" t="s">
        <v>3336</v>
      </c>
      <c r="P40" t="s">
        <v>130</v>
      </c>
    </row>
    <row r="41" customHeight="1" spans="1:16">
      <c r="A41" s="10" t="s">
        <v>21</v>
      </c>
      <c r="B41" s="10" t="s">
        <v>118</v>
      </c>
      <c r="C41" s="10" t="s">
        <v>5129</v>
      </c>
      <c r="D41" s="10" t="s">
        <v>3338</v>
      </c>
      <c r="M41" t="s">
        <v>3339</v>
      </c>
      <c r="P41" t="s">
        <v>130</v>
      </c>
    </row>
    <row r="42" customHeight="1" spans="1:16">
      <c r="A42" s="11" t="s">
        <v>14</v>
      </c>
      <c r="B42" s="11" t="s">
        <v>515</v>
      </c>
      <c r="C42" s="11" t="s">
        <v>5130</v>
      </c>
      <c r="D42" s="11" t="s">
        <v>3341</v>
      </c>
      <c r="E42" s="12"/>
      <c r="F42" s="12" t="s">
        <v>5131</v>
      </c>
      <c r="G42" s="12"/>
      <c r="H42" s="12">
        <f>H43+H44</f>
        <v>0</v>
      </c>
      <c r="I42" s="12">
        <f>I43+I44</f>
        <v>0</v>
      </c>
      <c r="M42" t="s">
        <v>528</v>
      </c>
    </row>
    <row r="43" customHeight="1" spans="1:16">
      <c r="A43" s="10" t="s">
        <v>21</v>
      </c>
      <c r="B43" s="10" t="s">
        <v>515</v>
      </c>
      <c r="C43" s="10" t="s">
        <v>5132</v>
      </c>
      <c r="D43" s="10" t="s">
        <v>3335</v>
      </c>
      <c r="M43" t="s">
        <v>3344</v>
      </c>
      <c r="P43" t="s">
        <v>524</v>
      </c>
    </row>
    <row r="44" customHeight="1" spans="1:16">
      <c r="A44" s="10" t="s">
        <v>21</v>
      </c>
      <c r="B44" s="10" t="s">
        <v>515</v>
      </c>
      <c r="C44" s="10" t="s">
        <v>5133</v>
      </c>
      <c r="D44" s="10" t="s">
        <v>3338</v>
      </c>
      <c r="M44" t="s">
        <v>3346</v>
      </c>
      <c r="P44" t="s">
        <v>524</v>
      </c>
    </row>
    <row r="45" customHeight="1" spans="1:16">
      <c r="A45" s="10"/>
      <c r="B45" s="10"/>
      <c r="C45" s="10"/>
      <c r="D45" s="10"/>
    </row>
    <row r="46" customHeight="1" spans="1:16">
      <c r="A46" s="7" t="s">
        <v>14</v>
      </c>
      <c r="B46" s="7" t="s">
        <v>118</v>
      </c>
      <c r="C46" s="11" t="s">
        <v>5134</v>
      </c>
      <c r="D46" s="11" t="s">
        <v>1118</v>
      </c>
      <c r="E46" s="12"/>
      <c r="F46" s="12" t="s">
        <v>5135</v>
      </c>
      <c r="G46" s="12"/>
      <c r="H46" s="12">
        <f>H47+H48</f>
        <v>0</v>
      </c>
      <c r="I46" s="12">
        <f>I47+I48</f>
        <v>0</v>
      </c>
      <c r="M46" t="s">
        <v>1120</v>
      </c>
    </row>
    <row r="47" customHeight="1" spans="1:16">
      <c r="A47" s="10" t="s">
        <v>21</v>
      </c>
      <c r="B47" s="10" t="s">
        <v>118</v>
      </c>
      <c r="C47" s="10" t="s">
        <v>5136</v>
      </c>
      <c r="D47" s="10" t="s">
        <v>736</v>
      </c>
      <c r="M47" t="s">
        <v>460</v>
      </c>
      <c r="P47" t="s">
        <v>130</v>
      </c>
    </row>
    <row r="48" customHeight="1" spans="1:16">
      <c r="A48" s="10" t="s">
        <v>21</v>
      </c>
      <c r="B48" s="10" t="s">
        <v>118</v>
      </c>
      <c r="C48" s="10" t="s">
        <v>5137</v>
      </c>
      <c r="D48" s="10" t="s">
        <v>737</v>
      </c>
      <c r="M48" t="s">
        <v>463</v>
      </c>
      <c r="P48" t="s">
        <v>130</v>
      </c>
    </row>
    <row r="49" customHeight="1" spans="1:16">
      <c r="A49" s="7" t="s">
        <v>14</v>
      </c>
      <c r="B49" s="7" t="s">
        <v>515</v>
      </c>
      <c r="C49" s="11" t="s">
        <v>5138</v>
      </c>
      <c r="D49" s="11" t="s">
        <v>1123</v>
      </c>
      <c r="E49" s="12"/>
      <c r="F49" s="12" t="s">
        <v>5139</v>
      </c>
      <c r="G49" s="12"/>
      <c r="H49" s="12">
        <f>H50+H51</f>
        <v>0</v>
      </c>
      <c r="I49" s="12">
        <f>I50+I51</f>
        <v>0</v>
      </c>
      <c r="M49" t="s">
        <v>1125</v>
      </c>
    </row>
    <row r="50" customHeight="1" spans="1:16">
      <c r="A50" s="10" t="s">
        <v>21</v>
      </c>
      <c r="B50" s="10" t="s">
        <v>515</v>
      </c>
      <c r="C50" s="10" t="s">
        <v>5140</v>
      </c>
      <c r="D50" s="10" t="s">
        <v>736</v>
      </c>
      <c r="M50" t="s">
        <v>532</v>
      </c>
      <c r="P50" t="s">
        <v>524</v>
      </c>
    </row>
    <row r="51" customHeight="1" spans="1:16">
      <c r="A51" s="10" t="s">
        <v>21</v>
      </c>
      <c r="B51" s="10" t="s">
        <v>515</v>
      </c>
      <c r="C51" s="10" t="s">
        <v>5141</v>
      </c>
      <c r="D51" s="10" t="s">
        <v>737</v>
      </c>
      <c r="M51" t="s">
        <v>534</v>
      </c>
      <c r="P51" t="s">
        <v>524</v>
      </c>
    </row>
    <row r="52" customHeight="1" spans="1:16">
      <c r="A52" s="10"/>
      <c r="B52" s="10"/>
      <c r="C52" s="10"/>
      <c r="D52" s="10"/>
    </row>
    <row r="53" customHeight="1" spans="1:16">
      <c r="A53" s="7" t="s">
        <v>14</v>
      </c>
      <c r="B53" s="7" t="s">
        <v>143</v>
      </c>
      <c r="C53" s="11" t="s">
        <v>5142</v>
      </c>
      <c r="D53" s="11" t="s">
        <v>1128</v>
      </c>
      <c r="E53" s="12"/>
      <c r="F53" s="12" t="s">
        <v>5143</v>
      </c>
      <c r="G53" s="12"/>
      <c r="H53" s="12">
        <f>H54+H55</f>
        <v>0</v>
      </c>
      <c r="I53" s="12">
        <f>I54+I55</f>
        <v>0</v>
      </c>
    </row>
    <row r="54" customHeight="1" spans="1:16">
      <c r="A54" s="1" t="s">
        <v>21</v>
      </c>
      <c r="B54" s="1" t="s">
        <v>143</v>
      </c>
      <c r="C54" s="10" t="s">
        <v>5144</v>
      </c>
      <c r="D54" s="10" t="s">
        <v>744</v>
      </c>
      <c r="P54" t="s">
        <v>130</v>
      </c>
    </row>
    <row r="55" customHeight="1" spans="1:16">
      <c r="A55" s="10" t="s">
        <v>21</v>
      </c>
      <c r="B55" s="1" t="s">
        <v>143</v>
      </c>
      <c r="C55" s="10" t="s">
        <v>5145</v>
      </c>
      <c r="D55" s="10" t="s">
        <v>745</v>
      </c>
      <c r="P55" t="s">
        <v>130</v>
      </c>
    </row>
    <row r="56" customHeight="1" spans="1:16">
      <c r="A56" s="7" t="s">
        <v>14</v>
      </c>
      <c r="B56" s="7" t="s">
        <v>552</v>
      </c>
      <c r="C56" s="11" t="s">
        <v>5146</v>
      </c>
      <c r="D56" s="11" t="s">
        <v>1133</v>
      </c>
      <c r="E56" s="12"/>
      <c r="F56" s="12" t="s">
        <v>5147</v>
      </c>
      <c r="G56" s="12"/>
      <c r="H56" s="12">
        <f>H57+H58</f>
        <v>0</v>
      </c>
      <c r="I56" s="12">
        <f>I57+I58</f>
        <v>0</v>
      </c>
    </row>
    <row r="57" customHeight="1" spans="1:16">
      <c r="A57" s="1" t="s">
        <v>21</v>
      </c>
      <c r="B57" s="1" t="s">
        <v>552</v>
      </c>
      <c r="C57" s="10" t="s">
        <v>5148</v>
      </c>
      <c r="D57" s="10" t="s">
        <v>744</v>
      </c>
      <c r="P57" t="s">
        <v>524</v>
      </c>
    </row>
    <row r="58" customHeight="1" spans="1:16">
      <c r="A58" s="10" t="s">
        <v>21</v>
      </c>
      <c r="B58" s="1" t="s">
        <v>552</v>
      </c>
      <c r="C58" s="10" t="s">
        <v>5149</v>
      </c>
      <c r="D58" s="10" t="s">
        <v>745</v>
      </c>
      <c r="P58" t="s">
        <v>524</v>
      </c>
    </row>
    <row r="59" customHeight="1" spans="1:16">
      <c r="A59" s="10"/>
      <c r="B59" s="10"/>
      <c r="C59" s="10"/>
      <c r="D59" s="10"/>
    </row>
    <row r="60" customHeight="1" spans="1:16">
      <c r="A60" s="11" t="s">
        <v>14</v>
      </c>
      <c r="B60" s="11" t="s">
        <v>15</v>
      </c>
      <c r="C60" s="11" t="s">
        <v>5150</v>
      </c>
      <c r="D60" s="11" t="s">
        <v>1138</v>
      </c>
      <c r="F60" t="s">
        <v>5151</v>
      </c>
      <c r="H60" s="5">
        <f>H61+H64</f>
        <v>0</v>
      </c>
      <c r="I60" s="5">
        <f>I61+I64</f>
        <v>0</v>
      </c>
      <c r="M60" t="s">
        <v>30</v>
      </c>
    </row>
    <row r="61" customHeight="1" spans="1:16">
      <c r="A61" s="11" t="s">
        <v>21</v>
      </c>
      <c r="B61" s="11" t="s">
        <v>15</v>
      </c>
      <c r="C61" s="11" t="s">
        <v>5152</v>
      </c>
      <c r="D61" s="11" t="s">
        <v>1141</v>
      </c>
      <c r="F61" t="s">
        <v>5153</v>
      </c>
      <c r="I61" s="5">
        <f>I36*I62</f>
        <v>0</v>
      </c>
      <c r="J61" s="5" t="s">
        <v>1173</v>
      </c>
      <c r="M61" t="s">
        <v>752</v>
      </c>
    </row>
    <row r="62" customHeight="1" spans="1:16">
      <c r="A62" s="10" t="s">
        <v>26</v>
      </c>
      <c r="B62" s="10" t="s">
        <v>160</v>
      </c>
      <c r="C62" s="10" t="s">
        <v>5153</v>
      </c>
      <c r="D62" s="10" t="s">
        <v>1988</v>
      </c>
      <c r="H62" s="5" t="e">
        <f>H61/H36</f>
        <v>#DIV/0!</v>
      </c>
      <c r="J62" s="5" t="s">
        <v>783</v>
      </c>
      <c r="M62" t="s">
        <v>1146</v>
      </c>
      <c r="P62" t="s">
        <v>164</v>
      </c>
    </row>
    <row r="63" customHeight="1" spans="1:16">
      <c r="A63" s="10"/>
      <c r="B63" s="10"/>
      <c r="C63" s="10"/>
      <c r="D63" s="10"/>
    </row>
    <row r="64" customHeight="1" spans="1:16">
      <c r="A64" s="11" t="s">
        <v>21</v>
      </c>
      <c r="B64" s="11" t="s">
        <v>15</v>
      </c>
      <c r="C64" s="11" t="s">
        <v>5154</v>
      </c>
      <c r="D64" s="11" t="s">
        <v>1231</v>
      </c>
      <c r="F64" t="s">
        <v>5155</v>
      </c>
      <c r="H64" s="5">
        <f>H65+H67+H69</f>
        <v>0</v>
      </c>
      <c r="I64" s="5">
        <f>I65+I67+I69</f>
        <v>0</v>
      </c>
      <c r="M64" t="s">
        <v>1233</v>
      </c>
    </row>
    <row r="65" customHeight="1" spans="1:16">
      <c r="A65" s="7" t="s">
        <v>26</v>
      </c>
      <c r="B65" s="11" t="s">
        <v>15</v>
      </c>
      <c r="C65" s="11" t="s">
        <v>5156</v>
      </c>
      <c r="D65" s="11" t="s">
        <v>3484</v>
      </c>
      <c r="F65" t="s">
        <v>5157</v>
      </c>
      <c r="I65" s="5">
        <f>I42*I66</f>
        <v>0</v>
      </c>
      <c r="J65" s="5" t="s">
        <v>1173</v>
      </c>
      <c r="M65" t="s">
        <v>754</v>
      </c>
    </row>
    <row r="66" customHeight="1" spans="1:16">
      <c r="A66" s="1" t="s">
        <v>236</v>
      </c>
      <c r="B66" s="1" t="s">
        <v>160</v>
      </c>
      <c r="C66" s="10" t="s">
        <v>5157</v>
      </c>
      <c r="D66" s="10" t="s">
        <v>3486</v>
      </c>
      <c r="H66" s="5" t="e">
        <f>H65/H42</f>
        <v>#DIV/0!</v>
      </c>
      <c r="J66" s="5" t="s">
        <v>783</v>
      </c>
      <c r="M66" t="s">
        <v>3487</v>
      </c>
      <c r="P66" t="s">
        <v>164</v>
      </c>
    </row>
    <row r="67" customHeight="1" spans="1:16">
      <c r="A67" s="7" t="s">
        <v>26</v>
      </c>
      <c r="B67" s="11" t="s">
        <v>15</v>
      </c>
      <c r="C67" s="11" t="s">
        <v>5158</v>
      </c>
      <c r="D67" s="11" t="s">
        <v>459</v>
      </c>
      <c r="F67" t="s">
        <v>5159</v>
      </c>
      <c r="I67" s="5">
        <f>I50*I68</f>
        <v>0</v>
      </c>
      <c r="J67" s="5" t="s">
        <v>1173</v>
      </c>
      <c r="M67" t="s">
        <v>756</v>
      </c>
    </row>
    <row r="68" customHeight="1" spans="1:16">
      <c r="A68" s="1" t="s">
        <v>236</v>
      </c>
      <c r="B68" s="1" t="s">
        <v>160</v>
      </c>
      <c r="C68" s="10" t="s">
        <v>5159</v>
      </c>
      <c r="D68" s="10" t="s">
        <v>3486</v>
      </c>
      <c r="H68" s="5" t="e">
        <f>H67/H50</f>
        <v>#DIV/0!</v>
      </c>
      <c r="J68" s="5" t="s">
        <v>783</v>
      </c>
      <c r="M68" t="s">
        <v>1237</v>
      </c>
      <c r="P68" t="s">
        <v>164</v>
      </c>
    </row>
    <row r="69" customHeight="1" spans="1:16">
      <c r="A69" s="7" t="s">
        <v>26</v>
      </c>
      <c r="B69" s="11" t="s">
        <v>15</v>
      </c>
      <c r="C69" s="11" t="s">
        <v>5160</v>
      </c>
      <c r="D69" s="11" t="s">
        <v>462</v>
      </c>
      <c r="F69" t="s">
        <v>5161</v>
      </c>
      <c r="I69" s="5">
        <f>I51*I70</f>
        <v>0</v>
      </c>
      <c r="J69" s="5" t="s">
        <v>1173</v>
      </c>
      <c r="M69" t="s">
        <v>758</v>
      </c>
    </row>
    <row r="70" customHeight="1" spans="1:16">
      <c r="A70" s="1" t="s">
        <v>236</v>
      </c>
      <c r="B70" s="1" t="s">
        <v>160</v>
      </c>
      <c r="C70" s="10" t="s">
        <v>5161</v>
      </c>
      <c r="D70" s="10" t="s">
        <v>3486</v>
      </c>
      <c r="H70" s="5" t="e">
        <f>H69/H51</f>
        <v>#DIV/0!</v>
      </c>
      <c r="J70" s="5" t="s">
        <v>783</v>
      </c>
      <c r="M70" t="s">
        <v>3492</v>
      </c>
      <c r="P70" t="s">
        <v>164</v>
      </c>
    </row>
    <row r="71" customHeight="1" spans="1:16">
      <c r="A71" s="1"/>
      <c r="B71" s="1"/>
      <c r="C71" s="10"/>
      <c r="D71" s="10"/>
    </row>
    <row r="72" customHeight="1" spans="1:16">
      <c r="A72" s="7" t="s">
        <v>14</v>
      </c>
      <c r="B72" s="7" t="s">
        <v>31</v>
      </c>
      <c r="C72" s="8" t="s">
        <v>5162</v>
      </c>
      <c r="D72" s="7" t="s">
        <v>1239</v>
      </c>
      <c r="F72" t="s">
        <v>5163</v>
      </c>
      <c r="H72" s="5">
        <f>H73</f>
        <v>0</v>
      </c>
      <c r="I72" s="5">
        <f>I73</f>
        <v>0</v>
      </c>
      <c r="M72" t="s">
        <v>827</v>
      </c>
    </row>
    <row r="73" customHeight="1" spans="1:16">
      <c r="A73" s="11" t="s">
        <v>21</v>
      </c>
      <c r="B73" s="11" t="s">
        <v>31</v>
      </c>
      <c r="C73" s="11" t="s">
        <v>5163</v>
      </c>
      <c r="D73" s="11" t="s">
        <v>5164</v>
      </c>
      <c r="M73" t="s">
        <v>5165</v>
      </c>
      <c r="P73" t="s">
        <v>43</v>
      </c>
    </row>
    <row r="74" customHeight="1" spans="1:16">
      <c r="A74" s="10"/>
      <c r="B74" s="10"/>
      <c r="C74" s="10"/>
      <c r="D74" s="10"/>
    </row>
    <row r="75" customHeight="1" spans="1:16">
      <c r="A75" s="7" t="s">
        <v>14</v>
      </c>
      <c r="B75" s="7" t="s">
        <v>31</v>
      </c>
      <c r="C75" s="8" t="s">
        <v>5166</v>
      </c>
      <c r="D75" s="11" t="s">
        <v>1273</v>
      </c>
      <c r="F75" t="s">
        <v>5167</v>
      </c>
      <c r="H75" s="5">
        <f>H76</f>
        <v>0</v>
      </c>
      <c r="I75" s="5">
        <f>I76</f>
        <v>0</v>
      </c>
      <c r="M75" t="s">
        <v>35</v>
      </c>
    </row>
    <row r="76" customHeight="1" spans="1:16">
      <c r="A76" s="7" t="s">
        <v>14</v>
      </c>
      <c r="B76" s="7" t="s">
        <v>31</v>
      </c>
      <c r="C76" s="11" t="s">
        <v>5167</v>
      </c>
      <c r="D76" s="11" t="s">
        <v>2002</v>
      </c>
      <c r="F76" t="s">
        <v>5168</v>
      </c>
      <c r="H76" s="5">
        <f>H77+H79</f>
        <v>0</v>
      </c>
      <c r="I76" s="5">
        <f>I77+I79</f>
        <v>0</v>
      </c>
      <c r="M76" t="s">
        <v>1283</v>
      </c>
    </row>
    <row r="77" customHeight="1" spans="1:16">
      <c r="A77" s="7" t="s">
        <v>21</v>
      </c>
      <c r="B77" s="7" t="s">
        <v>31</v>
      </c>
      <c r="C77" s="11" t="s">
        <v>5169</v>
      </c>
      <c r="D77" s="11" t="s">
        <v>744</v>
      </c>
      <c r="F77" t="s">
        <v>5170</v>
      </c>
      <c r="I77" s="5">
        <f>I57*I78</f>
        <v>0</v>
      </c>
      <c r="J77" s="5" t="s">
        <v>1173</v>
      </c>
      <c r="M77" t="s">
        <v>769</v>
      </c>
    </row>
    <row r="78" customHeight="1" spans="1:16">
      <c r="A78" s="1" t="s">
        <v>26</v>
      </c>
      <c r="B78" s="1" t="s">
        <v>160</v>
      </c>
      <c r="C78" s="10" t="s">
        <v>5170</v>
      </c>
      <c r="D78" s="10" t="s">
        <v>3707</v>
      </c>
      <c r="H78" s="5" t="e">
        <f>H77/H57</f>
        <v>#DIV/0!</v>
      </c>
      <c r="J78" s="5" t="s">
        <v>783</v>
      </c>
      <c r="M78" t="s">
        <v>5171</v>
      </c>
      <c r="P78" t="s">
        <v>164</v>
      </c>
    </row>
    <row r="79" customHeight="1" spans="1:16">
      <c r="A79" s="7" t="s">
        <v>21</v>
      </c>
      <c r="B79" s="7" t="s">
        <v>31</v>
      </c>
      <c r="C79" s="11" t="s">
        <v>5172</v>
      </c>
      <c r="D79" s="11" t="s">
        <v>745</v>
      </c>
      <c r="F79" t="s">
        <v>5173</v>
      </c>
      <c r="I79" s="5">
        <f>I58*I80</f>
        <v>0</v>
      </c>
      <c r="J79" s="5" t="s">
        <v>1173</v>
      </c>
      <c r="M79" t="s">
        <v>771</v>
      </c>
    </row>
    <row r="80" customHeight="1" spans="1:16">
      <c r="A80" s="1" t="s">
        <v>26</v>
      </c>
      <c r="B80" s="1" t="s">
        <v>160</v>
      </c>
      <c r="C80" s="10" t="s">
        <v>5173</v>
      </c>
      <c r="D80" s="10" t="s">
        <v>3707</v>
      </c>
      <c r="H80" s="5" t="e">
        <f>H79/H58</f>
        <v>#DIV/0!</v>
      </c>
      <c r="J80" s="5" t="s">
        <v>783</v>
      </c>
      <c r="M80" t="s">
        <v>1287</v>
      </c>
      <c r="P80" t="s">
        <v>164</v>
      </c>
    </row>
    <row r="81" customHeight="1" spans="1:16">
      <c r="A81" s="10"/>
      <c r="B81" s="10"/>
      <c r="C81" s="10"/>
      <c r="D81" s="10"/>
    </row>
    <row r="82" customHeight="1" spans="1:16">
      <c r="A82" s="7" t="s">
        <v>14</v>
      </c>
      <c r="B82" s="7" t="s">
        <v>31</v>
      </c>
      <c r="C82" s="8" t="s">
        <v>5174</v>
      </c>
      <c r="D82" s="7" t="s">
        <v>1289</v>
      </c>
      <c r="F82" t="s">
        <v>5175</v>
      </c>
      <c r="H82" s="5">
        <f>H83</f>
        <v>0</v>
      </c>
      <c r="I82" s="5">
        <f>I83</f>
        <v>0</v>
      </c>
      <c r="M82" t="s">
        <v>834</v>
      </c>
    </row>
    <row r="83" customHeight="1" spans="1:16">
      <c r="A83" s="11" t="s">
        <v>21</v>
      </c>
      <c r="B83" s="11" t="s">
        <v>31</v>
      </c>
      <c r="C83" s="11" t="s">
        <v>5175</v>
      </c>
      <c r="D83" s="11" t="s">
        <v>5176</v>
      </c>
      <c r="M83" t="s">
        <v>5177</v>
      </c>
      <c r="P83" t="s">
        <v>43</v>
      </c>
    </row>
    <row r="84" customHeight="1" spans="1:16">
      <c r="A84" s="10"/>
      <c r="B84" s="10"/>
      <c r="C84" s="10"/>
      <c r="D84" s="10"/>
    </row>
    <row r="85" customHeight="1" spans="1:16">
      <c r="A85" s="11" t="s">
        <v>14</v>
      </c>
      <c r="B85" s="11" t="s">
        <v>15</v>
      </c>
      <c r="C85" s="8" t="s">
        <v>5178</v>
      </c>
      <c r="D85" s="11" t="s">
        <v>1307</v>
      </c>
      <c r="F85" t="s">
        <v>5179</v>
      </c>
      <c r="H85" s="5">
        <f>H86</f>
        <v>0</v>
      </c>
      <c r="I85" s="5">
        <f>I86</f>
        <v>0</v>
      </c>
      <c r="M85" t="s">
        <v>42</v>
      </c>
    </row>
    <row r="86" customHeight="1" spans="1:16">
      <c r="A86" s="11" t="s">
        <v>21</v>
      </c>
      <c r="B86" s="11" t="s">
        <v>15</v>
      </c>
      <c r="C86" s="8" t="s">
        <v>5179</v>
      </c>
      <c r="D86" s="11" t="s">
        <v>2498</v>
      </c>
      <c r="M86" t="s">
        <v>1356</v>
      </c>
      <c r="P86" t="s">
        <v>43</v>
      </c>
    </row>
    <row r="87" customHeight="1" spans="1:16">
      <c r="A87" s="1"/>
      <c r="B87" s="1"/>
      <c r="C87" s="9"/>
      <c r="D87" s="1"/>
    </row>
    <row r="88" customHeight="1" spans="1:16">
      <c r="A88" s="11" t="s">
        <v>14</v>
      </c>
      <c r="B88" s="11" t="s">
        <v>31</v>
      </c>
      <c r="C88" s="8" t="s">
        <v>5180</v>
      </c>
      <c r="D88" s="11" t="s">
        <v>1358</v>
      </c>
      <c r="F88" t="s">
        <v>5181</v>
      </c>
      <c r="H88" s="5">
        <f>H89</f>
        <v>0</v>
      </c>
      <c r="I88" s="5">
        <f>I89</f>
        <v>0</v>
      </c>
      <c r="M88" t="s">
        <v>46</v>
      </c>
    </row>
    <row r="89" customHeight="1" spans="1:16">
      <c r="A89" s="11" t="s">
        <v>21</v>
      </c>
      <c r="B89" s="11" t="s">
        <v>31</v>
      </c>
      <c r="C89" s="8" t="s">
        <v>5181</v>
      </c>
      <c r="D89" s="11" t="s">
        <v>3657</v>
      </c>
      <c r="M89" t="s">
        <v>1420</v>
      </c>
      <c r="P89" t="s">
        <v>43</v>
      </c>
    </row>
    <row r="90" customHeight="1" spans="1:16">
      <c r="A90" s="10"/>
      <c r="B90" s="10"/>
      <c r="C90" s="10"/>
      <c r="D90" s="10"/>
    </row>
    <row r="91" customHeight="1" spans="1:16">
      <c r="A91" s="11" t="s">
        <v>14</v>
      </c>
      <c r="B91" s="11" t="s">
        <v>15</v>
      </c>
      <c r="C91" s="8" t="s">
        <v>5182</v>
      </c>
      <c r="D91" s="11" t="s">
        <v>1422</v>
      </c>
      <c r="F91" t="s">
        <v>5183</v>
      </c>
      <c r="H91" s="5">
        <f>H92+H93</f>
        <v>0</v>
      </c>
      <c r="I91" s="5">
        <f>I92+I93</f>
        <v>0</v>
      </c>
      <c r="M91" t="s">
        <v>1423</v>
      </c>
    </row>
    <row r="92" customHeight="1" spans="1:16">
      <c r="A92" s="10" t="s">
        <v>21</v>
      </c>
      <c r="B92" s="10" t="s">
        <v>15</v>
      </c>
      <c r="C92" s="10" t="s">
        <v>5184</v>
      </c>
      <c r="D92" s="10" t="s">
        <v>5185</v>
      </c>
      <c r="H92" s="5">
        <f>B02金融市场!H246*-1</f>
        <v>0</v>
      </c>
      <c r="I92" s="5">
        <f>B02金融市场!I246*-1</f>
        <v>0</v>
      </c>
      <c r="M92" t="s">
        <v>3173</v>
      </c>
      <c r="P92" t="s">
        <v>43</v>
      </c>
    </row>
    <row r="93" customHeight="1" spans="1:16">
      <c r="A93" s="10" t="s">
        <v>21</v>
      </c>
      <c r="B93" s="10" t="s">
        <v>15</v>
      </c>
      <c r="C93" s="10" t="s">
        <v>5186</v>
      </c>
      <c r="D93" s="10" t="s">
        <v>5187</v>
      </c>
      <c r="H93" s="5">
        <f>B02金融市场!H251*-1</f>
        <v>0</v>
      </c>
      <c r="I93" s="5">
        <f>B02金融市场!I251*-1</f>
        <v>0</v>
      </c>
      <c r="M93" t="s">
        <v>3176</v>
      </c>
      <c r="P93" t="s">
        <v>43</v>
      </c>
    </row>
    <row r="94" customHeight="1" spans="1:16">
      <c r="A94" s="10"/>
      <c r="B94" s="10"/>
      <c r="C94" s="10"/>
      <c r="D94" s="10"/>
    </row>
    <row r="95" customHeight="1" spans="1:16">
      <c r="A95" s="11" t="s">
        <v>14</v>
      </c>
      <c r="B95" s="7" t="s">
        <v>15</v>
      </c>
      <c r="C95" s="11" t="s">
        <v>5188</v>
      </c>
      <c r="D95" s="11" t="s">
        <v>1425</v>
      </c>
      <c r="M95" t="s">
        <v>1426</v>
      </c>
      <c r="P95" t="s">
        <v>43</v>
      </c>
    </row>
    <row r="97" customHeight="1" spans="1:16">
      <c r="A97" t="s">
        <v>222</v>
      </c>
      <c r="B97" t="s">
        <v>223</v>
      </c>
      <c r="C97" t="s">
        <v>2</v>
      </c>
      <c r="D97" t="s">
        <v>3</v>
      </c>
      <c r="E97" t="s">
        <v>4</v>
      </c>
      <c r="F97" t="s">
        <v>5</v>
      </c>
      <c r="J97" t="s">
        <v>9</v>
      </c>
      <c r="K97" t="s">
        <v>10</v>
      </c>
    </row>
    <row r="98" customHeight="1" spans="1:16">
      <c r="A98" t="s">
        <v>14</v>
      </c>
      <c r="B98" t="s">
        <v>31</v>
      </c>
      <c r="C98" t="s">
        <v>5189</v>
      </c>
      <c r="D98" t="s">
        <v>927</v>
      </c>
      <c r="F98" t="s">
        <v>5092</v>
      </c>
      <c r="K98" t="s">
        <v>19</v>
      </c>
      <c r="M98" t="s">
        <v>227</v>
      </c>
    </row>
    <row r="99" customHeight="1" spans="1:16">
      <c r="A99" t="s">
        <v>21</v>
      </c>
      <c r="B99" t="s">
        <v>31</v>
      </c>
      <c r="C99" t="s">
        <v>5190</v>
      </c>
      <c r="D99" t="s">
        <v>929</v>
      </c>
      <c r="F99" t="s">
        <v>5094</v>
      </c>
      <c r="K99" t="s">
        <v>19</v>
      </c>
      <c r="M99" t="s">
        <v>231</v>
      </c>
    </row>
    <row r="100" customHeight="1" spans="1:16">
      <c r="A100" t="s">
        <v>26</v>
      </c>
      <c r="B100" t="s">
        <v>31</v>
      </c>
      <c r="C100" t="s">
        <v>5191</v>
      </c>
      <c r="D100" t="s">
        <v>233</v>
      </c>
      <c r="F100" t="s">
        <v>5096</v>
      </c>
      <c r="K100" t="s">
        <v>19</v>
      </c>
      <c r="M100" t="s">
        <v>235</v>
      </c>
    </row>
    <row r="101" customHeight="1" spans="1:16">
      <c r="A101" t="s">
        <v>236</v>
      </c>
      <c r="B101" t="s">
        <v>31</v>
      </c>
      <c r="C101" t="s">
        <v>5192</v>
      </c>
      <c r="D101" t="s">
        <v>238</v>
      </c>
      <c r="F101" t="s">
        <v>5193</v>
      </c>
      <c r="K101" t="s">
        <v>19</v>
      </c>
      <c r="M101" t="s">
        <v>240</v>
      </c>
    </row>
    <row r="102" customHeight="1" spans="1:16">
      <c r="A102" t="s">
        <v>241</v>
      </c>
      <c r="B102" t="s">
        <v>31</v>
      </c>
      <c r="C102" t="s">
        <v>5194</v>
      </c>
      <c r="D102" t="s">
        <v>243</v>
      </c>
      <c r="K102" t="s">
        <v>19</v>
      </c>
      <c r="M102" t="s">
        <v>244</v>
      </c>
      <c r="P102" t="s">
        <v>43</v>
      </c>
    </row>
    <row r="103" customHeight="1" spans="1:16">
      <c r="A103" t="s">
        <v>241</v>
      </c>
      <c r="B103" t="s">
        <v>31</v>
      </c>
      <c r="C103" t="s">
        <v>5195</v>
      </c>
      <c r="D103" t="s">
        <v>246</v>
      </c>
      <c r="K103" t="s">
        <v>19</v>
      </c>
      <c r="M103" t="s">
        <v>247</v>
      </c>
      <c r="P103" t="s">
        <v>43</v>
      </c>
    </row>
    <row r="104" customHeight="1" spans="1:16">
      <c r="A104" t="s">
        <v>236</v>
      </c>
      <c r="B104" t="s">
        <v>31</v>
      </c>
      <c r="C104" t="s">
        <v>5196</v>
      </c>
      <c r="D104" t="s">
        <v>249</v>
      </c>
      <c r="F104" t="s">
        <v>5197</v>
      </c>
      <c r="K104" t="s">
        <v>19</v>
      </c>
      <c r="M104" t="s">
        <v>251</v>
      </c>
    </row>
    <row r="105" customHeight="1" spans="1:16">
      <c r="A105" t="s">
        <v>241</v>
      </c>
      <c r="B105" t="s">
        <v>31</v>
      </c>
      <c r="C105" t="s">
        <v>5198</v>
      </c>
      <c r="D105" t="s">
        <v>253</v>
      </c>
      <c r="K105" t="s">
        <v>19</v>
      </c>
      <c r="M105" t="s">
        <v>254</v>
      </c>
      <c r="P105" t="s">
        <v>43</v>
      </c>
    </row>
    <row r="106" customHeight="1" spans="1:16">
      <c r="A106" t="s">
        <v>241</v>
      </c>
      <c r="B106" t="s">
        <v>31</v>
      </c>
      <c r="C106" t="s">
        <v>5199</v>
      </c>
      <c r="D106" t="s">
        <v>256</v>
      </c>
      <c r="K106" t="s">
        <v>19</v>
      </c>
      <c r="M106" t="s">
        <v>257</v>
      </c>
      <c r="P106" t="s">
        <v>43</v>
      </c>
    </row>
    <row r="107" customHeight="1" spans="1:16">
      <c r="A107" t="s">
        <v>236</v>
      </c>
      <c r="B107" t="s">
        <v>31</v>
      </c>
      <c r="C107" t="s">
        <v>5200</v>
      </c>
      <c r="D107" t="s">
        <v>259</v>
      </c>
      <c r="F107" t="s">
        <v>5201</v>
      </c>
      <c r="K107" t="s">
        <v>19</v>
      </c>
      <c r="M107" t="s">
        <v>261</v>
      </c>
    </row>
    <row r="108" customHeight="1" spans="1:16">
      <c r="A108" t="s">
        <v>241</v>
      </c>
      <c r="B108" t="s">
        <v>31</v>
      </c>
      <c r="C108" t="s">
        <v>5202</v>
      </c>
      <c r="D108" t="s">
        <v>263</v>
      </c>
      <c r="F108" t="s">
        <v>5203</v>
      </c>
      <c r="K108" t="s">
        <v>19</v>
      </c>
      <c r="M108" t="s">
        <v>265</v>
      </c>
    </row>
    <row r="109" customHeight="1" spans="1:16">
      <c r="A109" t="s">
        <v>266</v>
      </c>
      <c r="B109" t="s">
        <v>31</v>
      </c>
      <c r="C109" t="s">
        <v>5204</v>
      </c>
      <c r="D109" t="s">
        <v>268</v>
      </c>
      <c r="K109" t="s">
        <v>19</v>
      </c>
      <c r="M109" t="s">
        <v>269</v>
      </c>
      <c r="P109" t="s">
        <v>43</v>
      </c>
    </row>
    <row r="110" customHeight="1" spans="1:16">
      <c r="A110" t="s">
        <v>266</v>
      </c>
      <c r="B110" t="s">
        <v>31</v>
      </c>
      <c r="C110" t="s">
        <v>5205</v>
      </c>
      <c r="D110" t="s">
        <v>271</v>
      </c>
      <c r="K110" t="s">
        <v>19</v>
      </c>
      <c r="M110" t="s">
        <v>272</v>
      </c>
      <c r="P110" t="s">
        <v>43</v>
      </c>
    </row>
    <row r="111" customHeight="1" spans="1:16">
      <c r="A111" t="s">
        <v>241</v>
      </c>
      <c r="B111" t="s">
        <v>31</v>
      </c>
      <c r="C111" t="s">
        <v>5206</v>
      </c>
      <c r="D111" t="s">
        <v>5207</v>
      </c>
      <c r="K111" t="s">
        <v>19</v>
      </c>
      <c r="M111" t="s">
        <v>275</v>
      </c>
      <c r="P111" t="s">
        <v>43</v>
      </c>
    </row>
    <row r="112" customHeight="1" spans="1:16">
      <c r="A112" t="s">
        <v>266</v>
      </c>
      <c r="B112" t="s">
        <v>31</v>
      </c>
      <c r="C112" t="s">
        <v>5208</v>
      </c>
      <c r="D112" t="s">
        <v>277</v>
      </c>
      <c r="K112" t="s">
        <v>19</v>
      </c>
      <c r="M112" t="s">
        <v>278</v>
      </c>
      <c r="P112" t="s">
        <v>43</v>
      </c>
    </row>
    <row r="113" customHeight="1" spans="1:16">
      <c r="A113" t="s">
        <v>241</v>
      </c>
      <c r="B113" t="s">
        <v>31</v>
      </c>
      <c r="C113" t="s">
        <v>5209</v>
      </c>
      <c r="D113" t="s">
        <v>5210</v>
      </c>
      <c r="K113" t="s">
        <v>19</v>
      </c>
      <c r="M113" t="s">
        <v>281</v>
      </c>
      <c r="P113" t="s">
        <v>43</v>
      </c>
    </row>
    <row r="114" customHeight="1" spans="1:16">
      <c r="A114" t="s">
        <v>266</v>
      </c>
      <c r="B114" t="s">
        <v>31</v>
      </c>
      <c r="C114" t="s">
        <v>5211</v>
      </c>
      <c r="D114" t="s">
        <v>283</v>
      </c>
      <c r="K114" t="s">
        <v>19</v>
      </c>
      <c r="M114" t="s">
        <v>284</v>
      </c>
      <c r="P114" t="s">
        <v>43</v>
      </c>
    </row>
    <row r="115" customHeight="1" spans="1:16">
      <c r="A115" t="s">
        <v>241</v>
      </c>
      <c r="B115" t="s">
        <v>31</v>
      </c>
      <c r="C115" t="s">
        <v>5212</v>
      </c>
      <c r="D115" t="s">
        <v>5213</v>
      </c>
      <c r="K115" t="s">
        <v>19</v>
      </c>
      <c r="M115" t="s">
        <v>287</v>
      </c>
      <c r="P115" t="s">
        <v>43</v>
      </c>
    </row>
    <row r="116" customHeight="1" spans="1:16">
      <c r="A116" t="s">
        <v>266</v>
      </c>
      <c r="B116" t="s">
        <v>31</v>
      </c>
      <c r="C116" t="s">
        <v>5214</v>
      </c>
      <c r="D116" t="s">
        <v>289</v>
      </c>
      <c r="K116" t="s">
        <v>19</v>
      </c>
      <c r="M116" t="s">
        <v>290</v>
      </c>
      <c r="P116" t="s">
        <v>43</v>
      </c>
    </row>
    <row r="117" customHeight="1" spans="1:16">
      <c r="A117" t="s">
        <v>236</v>
      </c>
      <c r="B117" t="s">
        <v>31</v>
      </c>
      <c r="C117" t="s">
        <v>5215</v>
      </c>
      <c r="D117" t="s">
        <v>5216</v>
      </c>
      <c r="K117" t="s">
        <v>19</v>
      </c>
      <c r="M117" t="s">
        <v>293</v>
      </c>
      <c r="P117" t="s">
        <v>43</v>
      </c>
    </row>
    <row r="118" customHeight="1" spans="1:16">
      <c r="A118" t="s">
        <v>241</v>
      </c>
      <c r="B118" t="s">
        <v>31</v>
      </c>
      <c r="C118" t="s">
        <v>5217</v>
      </c>
      <c r="D118" t="s">
        <v>295</v>
      </c>
      <c r="K118" t="s">
        <v>19</v>
      </c>
      <c r="M118" t="s">
        <v>296</v>
      </c>
      <c r="P118" t="s">
        <v>43</v>
      </c>
    </row>
    <row r="119" customHeight="1" spans="1:16">
      <c r="A119" t="s">
        <v>236</v>
      </c>
      <c r="B119" t="s">
        <v>31</v>
      </c>
      <c r="C119" t="s">
        <v>5218</v>
      </c>
      <c r="D119" t="s">
        <v>5219</v>
      </c>
      <c r="K119" t="s">
        <v>19</v>
      </c>
      <c r="M119" t="s">
        <v>299</v>
      </c>
      <c r="P119" t="s">
        <v>43</v>
      </c>
    </row>
    <row r="120" customHeight="1" spans="1:16">
      <c r="A120" t="s">
        <v>241</v>
      </c>
      <c r="B120" t="s">
        <v>31</v>
      </c>
      <c r="C120" t="s">
        <v>5220</v>
      </c>
      <c r="D120" t="s">
        <v>301</v>
      </c>
      <c r="K120" t="s">
        <v>19</v>
      </c>
      <c r="M120" t="s">
        <v>302</v>
      </c>
      <c r="P120" t="s">
        <v>43</v>
      </c>
    </row>
    <row r="121" customHeight="1" spans="1:16">
      <c r="A121" t="s">
        <v>26</v>
      </c>
      <c r="B121" t="s">
        <v>31</v>
      </c>
      <c r="C121" t="s">
        <v>5221</v>
      </c>
      <c r="D121" t="s">
        <v>304</v>
      </c>
      <c r="F121" t="s">
        <v>5098</v>
      </c>
      <c r="K121" t="s">
        <v>19</v>
      </c>
      <c r="M121" t="s">
        <v>306</v>
      </c>
    </row>
    <row r="122" customHeight="1" spans="1:16">
      <c r="A122" t="s">
        <v>236</v>
      </c>
      <c r="B122" t="s">
        <v>31</v>
      </c>
      <c r="C122" t="s">
        <v>5222</v>
      </c>
      <c r="D122" t="s">
        <v>238</v>
      </c>
      <c r="F122" t="s">
        <v>5223</v>
      </c>
      <c r="K122" t="s">
        <v>19</v>
      </c>
      <c r="M122" t="s">
        <v>309</v>
      </c>
    </row>
    <row r="123" customHeight="1" spans="1:16">
      <c r="A123" t="s">
        <v>241</v>
      </c>
      <c r="B123" t="s">
        <v>31</v>
      </c>
      <c r="C123" t="s">
        <v>5224</v>
      </c>
      <c r="D123" t="s">
        <v>243</v>
      </c>
      <c r="K123" t="s">
        <v>19</v>
      </c>
      <c r="M123" t="s">
        <v>311</v>
      </c>
      <c r="P123" t="s">
        <v>43</v>
      </c>
    </row>
    <row r="124" customHeight="1" spans="1:16">
      <c r="A124" t="s">
        <v>241</v>
      </c>
      <c r="B124" t="s">
        <v>31</v>
      </c>
      <c r="C124" t="s">
        <v>5225</v>
      </c>
      <c r="D124" t="s">
        <v>246</v>
      </c>
      <c r="K124" t="s">
        <v>19</v>
      </c>
      <c r="M124" t="s">
        <v>313</v>
      </c>
      <c r="P124" t="s">
        <v>43</v>
      </c>
    </row>
    <row r="125" customHeight="1" spans="1:16">
      <c r="A125" t="s">
        <v>236</v>
      </c>
      <c r="B125" t="s">
        <v>31</v>
      </c>
      <c r="C125" t="s">
        <v>5226</v>
      </c>
      <c r="D125" t="s">
        <v>249</v>
      </c>
      <c r="F125" t="s">
        <v>5227</v>
      </c>
      <c r="K125" t="s">
        <v>19</v>
      </c>
      <c r="M125" t="s">
        <v>316</v>
      </c>
    </row>
    <row r="126" customHeight="1" spans="1:16">
      <c r="A126" t="s">
        <v>241</v>
      </c>
      <c r="B126" t="s">
        <v>31</v>
      </c>
      <c r="C126" t="s">
        <v>5228</v>
      </c>
      <c r="D126" t="s">
        <v>253</v>
      </c>
      <c r="K126" t="s">
        <v>19</v>
      </c>
      <c r="M126" t="s">
        <v>318</v>
      </c>
      <c r="P126" t="s">
        <v>43</v>
      </c>
    </row>
    <row r="127" customHeight="1" spans="1:16">
      <c r="A127" t="s">
        <v>241</v>
      </c>
      <c r="B127" t="s">
        <v>31</v>
      </c>
      <c r="C127" t="s">
        <v>5229</v>
      </c>
      <c r="D127" t="s">
        <v>256</v>
      </c>
      <c r="K127" t="s">
        <v>19</v>
      </c>
      <c r="M127" t="s">
        <v>320</v>
      </c>
      <c r="P127" t="s">
        <v>43</v>
      </c>
    </row>
    <row r="128" customHeight="1" spans="1:16">
      <c r="A128" t="s">
        <v>236</v>
      </c>
      <c r="B128" t="s">
        <v>31</v>
      </c>
      <c r="C128" t="s">
        <v>5230</v>
      </c>
      <c r="D128" t="s">
        <v>259</v>
      </c>
      <c r="F128" t="s">
        <v>5231</v>
      </c>
      <c r="K128" t="s">
        <v>19</v>
      </c>
      <c r="M128" t="s">
        <v>323</v>
      </c>
    </row>
    <row r="129" customHeight="1" spans="1:16">
      <c r="A129" t="s">
        <v>241</v>
      </c>
      <c r="B129" t="s">
        <v>31</v>
      </c>
      <c r="C129" t="s">
        <v>5232</v>
      </c>
      <c r="D129" t="s">
        <v>263</v>
      </c>
      <c r="F129" t="s">
        <v>5233</v>
      </c>
      <c r="K129" t="s">
        <v>19</v>
      </c>
      <c r="M129" t="s">
        <v>326</v>
      </c>
    </row>
    <row r="130" customHeight="1" spans="1:16">
      <c r="A130" t="s">
        <v>266</v>
      </c>
      <c r="B130" t="s">
        <v>31</v>
      </c>
      <c r="C130" t="s">
        <v>5234</v>
      </c>
      <c r="D130" t="s">
        <v>268</v>
      </c>
      <c r="K130" t="s">
        <v>19</v>
      </c>
      <c r="M130" t="s">
        <v>328</v>
      </c>
      <c r="P130" t="s">
        <v>43</v>
      </c>
    </row>
    <row r="131" customHeight="1" spans="1:16">
      <c r="A131" t="s">
        <v>266</v>
      </c>
      <c r="B131" t="s">
        <v>31</v>
      </c>
      <c r="C131" t="s">
        <v>5235</v>
      </c>
      <c r="D131" t="s">
        <v>271</v>
      </c>
      <c r="K131" t="s">
        <v>19</v>
      </c>
      <c r="M131" t="s">
        <v>330</v>
      </c>
      <c r="P131" t="s">
        <v>43</v>
      </c>
    </row>
    <row r="132" customHeight="1" spans="1:16">
      <c r="A132" t="s">
        <v>241</v>
      </c>
      <c r="B132" t="s">
        <v>31</v>
      </c>
      <c r="C132" t="s">
        <v>5236</v>
      </c>
      <c r="D132" t="s">
        <v>5237</v>
      </c>
      <c r="K132" t="s">
        <v>19</v>
      </c>
      <c r="M132" t="s">
        <v>333</v>
      </c>
      <c r="P132" t="s">
        <v>43</v>
      </c>
    </row>
    <row r="133" customHeight="1" spans="1:16">
      <c r="A133" t="s">
        <v>266</v>
      </c>
      <c r="B133" t="s">
        <v>31</v>
      </c>
      <c r="C133" t="s">
        <v>5238</v>
      </c>
      <c r="D133" t="s">
        <v>277</v>
      </c>
      <c r="K133" t="s">
        <v>19</v>
      </c>
      <c r="M133" t="s">
        <v>335</v>
      </c>
      <c r="P133" t="s">
        <v>43</v>
      </c>
    </row>
    <row r="134" customHeight="1" spans="1:16">
      <c r="A134" t="s">
        <v>241</v>
      </c>
      <c r="B134" t="s">
        <v>31</v>
      </c>
      <c r="C134" t="s">
        <v>5239</v>
      </c>
      <c r="D134" t="s">
        <v>5240</v>
      </c>
      <c r="K134" t="s">
        <v>19</v>
      </c>
      <c r="M134" t="s">
        <v>338</v>
      </c>
      <c r="P134" t="s">
        <v>43</v>
      </c>
    </row>
    <row r="135" customHeight="1" spans="1:16">
      <c r="A135" t="s">
        <v>266</v>
      </c>
      <c r="B135" t="s">
        <v>31</v>
      </c>
      <c r="C135" t="s">
        <v>5241</v>
      </c>
      <c r="D135" t="s">
        <v>283</v>
      </c>
      <c r="K135" t="s">
        <v>19</v>
      </c>
      <c r="M135" t="s">
        <v>340</v>
      </c>
      <c r="P135" t="s">
        <v>43</v>
      </c>
    </row>
    <row r="136" customHeight="1" spans="1:16">
      <c r="A136" t="s">
        <v>241</v>
      </c>
      <c r="B136" t="s">
        <v>31</v>
      </c>
      <c r="C136" t="s">
        <v>5242</v>
      </c>
      <c r="D136" t="s">
        <v>5243</v>
      </c>
      <c r="K136" t="s">
        <v>19</v>
      </c>
      <c r="M136" t="s">
        <v>343</v>
      </c>
      <c r="P136" t="s">
        <v>43</v>
      </c>
    </row>
    <row r="137" customHeight="1" spans="1:16">
      <c r="A137" t="s">
        <v>266</v>
      </c>
      <c r="B137" t="s">
        <v>31</v>
      </c>
      <c r="C137" t="s">
        <v>5244</v>
      </c>
      <c r="D137" t="s">
        <v>289</v>
      </c>
      <c r="K137" t="s">
        <v>19</v>
      </c>
      <c r="M137" t="s">
        <v>345</v>
      </c>
      <c r="P137" t="s">
        <v>43</v>
      </c>
    </row>
    <row r="138" customHeight="1" spans="1:16">
      <c r="A138" t="s">
        <v>236</v>
      </c>
      <c r="B138" t="s">
        <v>31</v>
      </c>
      <c r="C138" t="s">
        <v>5245</v>
      </c>
      <c r="D138" t="s">
        <v>5246</v>
      </c>
      <c r="K138" t="s">
        <v>19</v>
      </c>
      <c r="M138" t="s">
        <v>348</v>
      </c>
      <c r="P138" t="s">
        <v>43</v>
      </c>
    </row>
    <row r="139" customHeight="1" spans="1:16">
      <c r="A139" t="s">
        <v>241</v>
      </c>
      <c r="B139" t="s">
        <v>31</v>
      </c>
      <c r="C139" t="s">
        <v>5247</v>
      </c>
      <c r="D139" t="s">
        <v>295</v>
      </c>
      <c r="K139" t="s">
        <v>19</v>
      </c>
      <c r="M139" t="s">
        <v>350</v>
      </c>
      <c r="P139" t="s">
        <v>43</v>
      </c>
    </row>
    <row r="140" customHeight="1" spans="1:16">
      <c r="A140" t="s">
        <v>236</v>
      </c>
      <c r="B140" t="s">
        <v>31</v>
      </c>
      <c r="C140" t="s">
        <v>5248</v>
      </c>
      <c r="D140" t="s">
        <v>5249</v>
      </c>
      <c r="K140" t="s">
        <v>19</v>
      </c>
      <c r="M140" t="s">
        <v>353</v>
      </c>
      <c r="P140" t="s">
        <v>43</v>
      </c>
    </row>
    <row r="141" customHeight="1" spans="1:16">
      <c r="A141" t="s">
        <v>241</v>
      </c>
      <c r="B141" t="s">
        <v>31</v>
      </c>
      <c r="C141" t="s">
        <v>5250</v>
      </c>
      <c r="D141" t="s">
        <v>301</v>
      </c>
      <c r="K141" t="s">
        <v>19</v>
      </c>
      <c r="M141" t="s">
        <v>355</v>
      </c>
      <c r="P141" t="s">
        <v>43</v>
      </c>
    </row>
    <row r="142" customHeight="1" spans="1:16">
      <c r="A142" t="s">
        <v>21</v>
      </c>
      <c r="B142" t="s">
        <v>31</v>
      </c>
      <c r="C142" t="s">
        <v>5251</v>
      </c>
      <c r="D142" t="s">
        <v>362</v>
      </c>
      <c r="F142" t="s">
        <v>5100</v>
      </c>
      <c r="K142" t="s">
        <v>19</v>
      </c>
      <c r="M142" t="s">
        <v>364</v>
      </c>
    </row>
    <row r="143" customHeight="1" spans="1:16">
      <c r="A143" t="s">
        <v>26</v>
      </c>
      <c r="B143" t="s">
        <v>31</v>
      </c>
      <c r="C143" t="s">
        <v>5252</v>
      </c>
      <c r="D143" t="s">
        <v>358</v>
      </c>
      <c r="K143" t="s">
        <v>19</v>
      </c>
      <c r="M143" t="s">
        <v>1063</v>
      </c>
      <c r="P143" t="s">
        <v>43</v>
      </c>
    </row>
    <row r="144" customHeight="1" spans="1:16">
      <c r="A144" t="s">
        <v>26</v>
      </c>
      <c r="B144" t="s">
        <v>31</v>
      </c>
      <c r="C144" t="s">
        <v>5253</v>
      </c>
      <c r="D144" t="s">
        <v>360</v>
      </c>
      <c r="K144" t="s">
        <v>19</v>
      </c>
      <c r="M144" t="s">
        <v>1065</v>
      </c>
      <c r="P144" t="s">
        <v>43</v>
      </c>
    </row>
    <row r="145" customHeight="1" spans="1:16">
      <c r="A145" t="s">
        <v>26</v>
      </c>
      <c r="B145" t="s">
        <v>31</v>
      </c>
      <c r="C145" t="s">
        <v>5254</v>
      </c>
      <c r="D145" t="s">
        <v>365</v>
      </c>
      <c r="F145" t="s">
        <v>5255</v>
      </c>
      <c r="K145" t="s">
        <v>19</v>
      </c>
      <c r="M145" t="s">
        <v>367</v>
      </c>
    </row>
    <row r="146" customHeight="1" spans="1:16">
      <c r="A146" t="s">
        <v>236</v>
      </c>
      <c r="B146" t="s">
        <v>31</v>
      </c>
      <c r="C146" t="s">
        <v>5256</v>
      </c>
      <c r="D146" t="s">
        <v>369</v>
      </c>
      <c r="F146" t="s">
        <v>5257</v>
      </c>
      <c r="K146" t="s">
        <v>19</v>
      </c>
      <c r="M146" t="s">
        <v>371</v>
      </c>
    </row>
    <row r="147" customHeight="1" spans="1:16">
      <c r="A147" t="s">
        <v>241</v>
      </c>
      <c r="B147" t="s">
        <v>31</v>
      </c>
      <c r="C147" t="s">
        <v>5258</v>
      </c>
      <c r="D147" t="s">
        <v>373</v>
      </c>
      <c r="K147" t="s">
        <v>19</v>
      </c>
      <c r="M147" t="s">
        <v>374</v>
      </c>
      <c r="P147" t="s">
        <v>43</v>
      </c>
    </row>
    <row r="148" customHeight="1" spans="1:16">
      <c r="A148" t="s">
        <v>241</v>
      </c>
      <c r="B148" t="s">
        <v>31</v>
      </c>
      <c r="C148" t="s">
        <v>5259</v>
      </c>
      <c r="D148" t="s">
        <v>376</v>
      </c>
      <c r="K148" t="s">
        <v>19</v>
      </c>
      <c r="M148" t="s">
        <v>377</v>
      </c>
      <c r="P148" t="s">
        <v>43</v>
      </c>
    </row>
    <row r="149" customHeight="1" spans="1:16">
      <c r="A149" t="s">
        <v>241</v>
      </c>
      <c r="B149" t="s">
        <v>31</v>
      </c>
      <c r="C149" t="s">
        <v>5260</v>
      </c>
      <c r="D149" t="s">
        <v>379</v>
      </c>
      <c r="K149" t="s">
        <v>19</v>
      </c>
      <c r="M149" t="s">
        <v>380</v>
      </c>
      <c r="P149" t="s">
        <v>43</v>
      </c>
    </row>
    <row r="150" customHeight="1" spans="1:16">
      <c r="A150" t="s">
        <v>241</v>
      </c>
      <c r="B150" t="s">
        <v>31</v>
      </c>
      <c r="C150" t="s">
        <v>5261</v>
      </c>
      <c r="D150" t="s">
        <v>382</v>
      </c>
      <c r="K150" t="s">
        <v>19</v>
      </c>
      <c r="M150" t="s">
        <v>383</v>
      </c>
      <c r="P150" t="s">
        <v>43</v>
      </c>
    </row>
    <row r="151" customHeight="1" spans="1:16">
      <c r="A151" t="s">
        <v>236</v>
      </c>
      <c r="B151" t="s">
        <v>31</v>
      </c>
      <c r="C151" t="s">
        <v>5262</v>
      </c>
      <c r="D151" t="s">
        <v>385</v>
      </c>
      <c r="F151" t="s">
        <v>5263</v>
      </c>
      <c r="K151" t="s">
        <v>19</v>
      </c>
      <c r="M151" t="s">
        <v>387</v>
      </c>
    </row>
    <row r="152" customHeight="1" spans="1:16">
      <c r="A152" t="s">
        <v>241</v>
      </c>
      <c r="B152" t="s">
        <v>31</v>
      </c>
      <c r="C152" t="s">
        <v>5264</v>
      </c>
      <c r="D152" t="s">
        <v>389</v>
      </c>
      <c r="K152" t="s">
        <v>19</v>
      </c>
      <c r="M152" t="s">
        <v>390</v>
      </c>
      <c r="P152" t="s">
        <v>43</v>
      </c>
    </row>
    <row r="153" customHeight="1" spans="1:16">
      <c r="A153" t="s">
        <v>241</v>
      </c>
      <c r="B153" t="s">
        <v>31</v>
      </c>
      <c r="C153" t="s">
        <v>5265</v>
      </c>
      <c r="D153" t="s">
        <v>392</v>
      </c>
      <c r="K153" t="s">
        <v>19</v>
      </c>
      <c r="M153" t="s">
        <v>393</v>
      </c>
      <c r="P153" t="s">
        <v>43</v>
      </c>
    </row>
    <row r="154" customHeight="1" spans="1:16">
      <c r="A154" t="s">
        <v>241</v>
      </c>
      <c r="B154" t="s">
        <v>31</v>
      </c>
      <c r="C154" t="s">
        <v>5266</v>
      </c>
      <c r="D154" t="s">
        <v>395</v>
      </c>
      <c r="K154" t="s">
        <v>19</v>
      </c>
      <c r="M154" t="s">
        <v>396</v>
      </c>
      <c r="P154" t="s">
        <v>43</v>
      </c>
    </row>
    <row r="155" customHeight="1" spans="1:16">
      <c r="A155" t="s">
        <v>241</v>
      </c>
      <c r="B155" t="s">
        <v>31</v>
      </c>
      <c r="C155" t="s">
        <v>5267</v>
      </c>
      <c r="D155" t="s">
        <v>398</v>
      </c>
      <c r="K155" t="s">
        <v>19</v>
      </c>
      <c r="M155" t="s">
        <v>399</v>
      </c>
      <c r="P155" t="s">
        <v>43</v>
      </c>
    </row>
    <row r="156" customHeight="1" spans="1:16">
      <c r="A156" t="s">
        <v>241</v>
      </c>
      <c r="B156" t="s">
        <v>31</v>
      </c>
      <c r="C156" t="s">
        <v>5268</v>
      </c>
      <c r="D156" t="s">
        <v>401</v>
      </c>
      <c r="K156" t="s">
        <v>19</v>
      </c>
      <c r="M156" t="s">
        <v>402</v>
      </c>
      <c r="P156" t="s">
        <v>43</v>
      </c>
    </row>
    <row r="157" customHeight="1" spans="1:16">
      <c r="A157" t="s">
        <v>241</v>
      </c>
      <c r="B157" t="s">
        <v>31</v>
      </c>
      <c r="C157" t="s">
        <v>5269</v>
      </c>
      <c r="D157" t="s">
        <v>404</v>
      </c>
      <c r="K157" t="s">
        <v>19</v>
      </c>
      <c r="M157" t="s">
        <v>405</v>
      </c>
      <c r="P157" t="s">
        <v>43</v>
      </c>
    </row>
    <row r="158" customHeight="1" spans="1:16">
      <c r="A158" t="s">
        <v>241</v>
      </c>
      <c r="B158" t="s">
        <v>31</v>
      </c>
      <c r="C158" t="s">
        <v>5270</v>
      </c>
      <c r="D158" t="s">
        <v>407</v>
      </c>
      <c r="K158" t="s">
        <v>19</v>
      </c>
      <c r="M158" t="s">
        <v>408</v>
      </c>
      <c r="P158" t="s">
        <v>43</v>
      </c>
    </row>
    <row r="159" customHeight="1" spans="1:16">
      <c r="A159" t="s">
        <v>241</v>
      </c>
      <c r="B159" t="s">
        <v>31</v>
      </c>
      <c r="C159" t="s">
        <v>5271</v>
      </c>
      <c r="D159" t="s">
        <v>410</v>
      </c>
      <c r="K159" t="s">
        <v>19</v>
      </c>
      <c r="M159" t="s">
        <v>411</v>
      </c>
      <c r="P159" t="s">
        <v>43</v>
      </c>
    </row>
    <row r="160" customHeight="1" spans="1:16">
      <c r="A160" t="s">
        <v>241</v>
      </c>
      <c r="B160" t="s">
        <v>31</v>
      </c>
      <c r="C160" t="s">
        <v>5272</v>
      </c>
      <c r="D160" t="s">
        <v>413</v>
      </c>
      <c r="K160" t="s">
        <v>19</v>
      </c>
      <c r="M160" t="s">
        <v>414</v>
      </c>
      <c r="P160" t="s">
        <v>43</v>
      </c>
    </row>
    <row r="161" customHeight="1" spans="1:16">
      <c r="A161" t="s">
        <v>241</v>
      </c>
      <c r="B161" t="s">
        <v>31</v>
      </c>
      <c r="C161" t="s">
        <v>5273</v>
      </c>
      <c r="D161" t="s">
        <v>416</v>
      </c>
      <c r="K161" t="s">
        <v>19</v>
      </c>
      <c r="M161" t="s">
        <v>417</v>
      </c>
      <c r="P161" t="s">
        <v>43</v>
      </c>
    </row>
    <row r="162" customHeight="1" spans="1:16">
      <c r="A162" t="s">
        <v>241</v>
      </c>
      <c r="B162" t="s">
        <v>31</v>
      </c>
      <c r="C162" t="s">
        <v>5274</v>
      </c>
      <c r="D162" t="s">
        <v>419</v>
      </c>
      <c r="K162" t="s">
        <v>19</v>
      </c>
      <c r="M162" t="s">
        <v>420</v>
      </c>
      <c r="P162" t="s">
        <v>43</v>
      </c>
    </row>
    <row r="163" customHeight="1" spans="1:16">
      <c r="A163" t="s">
        <v>241</v>
      </c>
      <c r="B163" t="s">
        <v>31</v>
      </c>
      <c r="C163" t="s">
        <v>5275</v>
      </c>
      <c r="D163" t="s">
        <v>422</v>
      </c>
      <c r="F163" t="s">
        <v>5276</v>
      </c>
      <c r="K163" t="s">
        <v>19</v>
      </c>
      <c r="M163" t="s">
        <v>424</v>
      </c>
    </row>
    <row r="164" customHeight="1" spans="1:16">
      <c r="A164" t="s">
        <v>241</v>
      </c>
      <c r="B164" t="s">
        <v>31</v>
      </c>
      <c r="C164" t="s">
        <v>5277</v>
      </c>
      <c r="D164" t="s">
        <v>426</v>
      </c>
      <c r="F164" t="s">
        <v>5278</v>
      </c>
      <c r="K164" t="s">
        <v>19</v>
      </c>
      <c r="M164" t="s">
        <v>428</v>
      </c>
    </row>
    <row r="165" customHeight="1" spans="1:16">
      <c r="A165" t="s">
        <v>241</v>
      </c>
      <c r="B165" t="s">
        <v>31</v>
      </c>
      <c r="C165" t="s">
        <v>5279</v>
      </c>
      <c r="D165" t="s">
        <v>430</v>
      </c>
      <c r="F165" t="s">
        <v>5280</v>
      </c>
      <c r="K165" t="s">
        <v>19</v>
      </c>
      <c r="M165" t="s">
        <v>432</v>
      </c>
    </row>
    <row r="166" customHeight="1" spans="1:16">
      <c r="A166" t="s">
        <v>236</v>
      </c>
      <c r="B166" t="s">
        <v>31</v>
      </c>
      <c r="C166" t="s">
        <v>5281</v>
      </c>
      <c r="D166" t="s">
        <v>434</v>
      </c>
      <c r="F166" t="s">
        <v>5282</v>
      </c>
      <c r="K166" t="s">
        <v>19</v>
      </c>
      <c r="M166" t="s">
        <v>436</v>
      </c>
    </row>
    <row r="167" customHeight="1" spans="1:16">
      <c r="A167" t="s">
        <v>241</v>
      </c>
      <c r="B167" t="s">
        <v>31</v>
      </c>
      <c r="C167" t="s">
        <v>5283</v>
      </c>
      <c r="D167" t="s">
        <v>438</v>
      </c>
      <c r="K167" t="s">
        <v>19</v>
      </c>
      <c r="M167" t="s">
        <v>439</v>
      </c>
      <c r="P167" t="s">
        <v>43</v>
      </c>
    </row>
    <row r="168" customHeight="1" spans="1:16">
      <c r="A168" t="s">
        <v>241</v>
      </c>
      <c r="B168" t="s">
        <v>31</v>
      </c>
      <c r="C168" t="s">
        <v>5284</v>
      </c>
      <c r="D168" t="s">
        <v>441</v>
      </c>
      <c r="K168" t="s">
        <v>19</v>
      </c>
      <c r="M168" t="s">
        <v>442</v>
      </c>
      <c r="P168" t="s">
        <v>43</v>
      </c>
    </row>
    <row r="169" customHeight="1" spans="1:16">
      <c r="A169" t="s">
        <v>241</v>
      </c>
      <c r="B169" t="s">
        <v>31</v>
      </c>
      <c r="C169" t="s">
        <v>5285</v>
      </c>
      <c r="D169" t="s">
        <v>444</v>
      </c>
      <c r="K169" t="s">
        <v>19</v>
      </c>
      <c r="M169" t="s">
        <v>445</v>
      </c>
      <c r="P169" t="s">
        <v>43</v>
      </c>
    </row>
    <row r="170" customHeight="1" spans="1:16">
      <c r="A170" t="s">
        <v>21</v>
      </c>
      <c r="B170" t="s">
        <v>31</v>
      </c>
      <c r="C170" t="s">
        <v>5286</v>
      </c>
      <c r="D170" t="s">
        <v>994</v>
      </c>
      <c r="F170" t="s">
        <v>5104</v>
      </c>
      <c r="K170" t="s">
        <v>19</v>
      </c>
      <c r="M170" t="s">
        <v>859</v>
      </c>
    </row>
    <row r="171" customHeight="1" spans="1:16">
      <c r="A171" t="s">
        <v>26</v>
      </c>
      <c r="B171" t="s">
        <v>31</v>
      </c>
      <c r="C171" t="s">
        <v>5287</v>
      </c>
      <c r="D171" t="s">
        <v>263</v>
      </c>
      <c r="F171" t="s">
        <v>5106</v>
      </c>
      <c r="K171" t="s">
        <v>19</v>
      </c>
      <c r="M171" t="s">
        <v>863</v>
      </c>
    </row>
    <row r="172" customHeight="1" spans="1:16">
      <c r="A172" t="s">
        <v>236</v>
      </c>
      <c r="B172" t="s">
        <v>31</v>
      </c>
      <c r="C172" t="s">
        <v>5288</v>
      </c>
      <c r="D172" t="s">
        <v>268</v>
      </c>
      <c r="K172" t="s">
        <v>19</v>
      </c>
      <c r="M172" t="s">
        <v>866</v>
      </c>
      <c r="P172" t="s">
        <v>43</v>
      </c>
    </row>
    <row r="173" customHeight="1" spans="1:16">
      <c r="A173" t="s">
        <v>236</v>
      </c>
      <c r="B173" t="s">
        <v>31</v>
      </c>
      <c r="C173" t="s">
        <v>5289</v>
      </c>
      <c r="D173" t="s">
        <v>271</v>
      </c>
      <c r="K173" t="s">
        <v>19</v>
      </c>
      <c r="M173" t="s">
        <v>869</v>
      </c>
      <c r="P173" t="s">
        <v>43</v>
      </c>
    </row>
    <row r="174" customHeight="1" spans="1:16">
      <c r="A174" t="s">
        <v>26</v>
      </c>
      <c r="B174" t="s">
        <v>31</v>
      </c>
      <c r="C174" t="s">
        <v>5290</v>
      </c>
      <c r="D174" t="s">
        <v>999</v>
      </c>
      <c r="K174" t="s">
        <v>19</v>
      </c>
      <c r="M174" t="s">
        <v>872</v>
      </c>
      <c r="P174" t="s">
        <v>43</v>
      </c>
    </row>
    <row r="175" customHeight="1" spans="1:16">
      <c r="A175" t="s">
        <v>26</v>
      </c>
      <c r="B175" t="s">
        <v>31</v>
      </c>
      <c r="C175" t="s">
        <v>5291</v>
      </c>
      <c r="D175" t="s">
        <v>283</v>
      </c>
      <c r="K175" t="s">
        <v>19</v>
      </c>
      <c r="M175" t="s">
        <v>875</v>
      </c>
      <c r="P175" t="s">
        <v>43</v>
      </c>
    </row>
    <row r="176" customHeight="1" spans="1:16">
      <c r="A176" t="s">
        <v>26</v>
      </c>
      <c r="B176" t="s">
        <v>31</v>
      </c>
      <c r="C176" t="s">
        <v>5292</v>
      </c>
      <c r="D176" t="s">
        <v>289</v>
      </c>
      <c r="K176" t="s">
        <v>19</v>
      </c>
      <c r="M176" t="s">
        <v>878</v>
      </c>
      <c r="P176" t="s">
        <v>43</v>
      </c>
    </row>
    <row r="177" customHeight="1" spans="1:16">
      <c r="A177" t="s">
        <v>21</v>
      </c>
      <c r="B177" t="s">
        <v>31</v>
      </c>
      <c r="C177" t="s">
        <v>5293</v>
      </c>
      <c r="D177" t="s">
        <v>1003</v>
      </c>
      <c r="K177" t="s">
        <v>19</v>
      </c>
      <c r="M177" t="s">
        <v>881</v>
      </c>
      <c r="P177" t="s">
        <v>43</v>
      </c>
    </row>
    <row r="178" customHeight="1" spans="1:16">
      <c r="A178" t="s">
        <v>21</v>
      </c>
      <c r="B178" t="s">
        <v>31</v>
      </c>
      <c r="C178" t="s">
        <v>5294</v>
      </c>
      <c r="D178" t="s">
        <v>1005</v>
      </c>
      <c r="K178" t="s">
        <v>19</v>
      </c>
      <c r="M178" t="s">
        <v>883</v>
      </c>
      <c r="P178" t="s">
        <v>43</v>
      </c>
    </row>
  </sheetData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workbookViewId="0">
      <selection activeCell="E13" sqref="E13"/>
    </sheetView>
  </sheetViews>
  <sheetFormatPr defaultColWidth="9" defaultRowHeight="16.8" outlineLevelCol="7"/>
  <sheetData>
    <row r="1" s="1" customFormat="1" ht="15" customHeight="1" spans="1:8">
      <c r="A1" s="2"/>
      <c r="B1" s="2"/>
      <c r="C1" s="2"/>
      <c r="D1" s="2"/>
      <c r="E1" s="3"/>
      <c r="F1" s="4"/>
      <c r="G1" s="4"/>
      <c r="H1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AA业务状况表</vt:lpstr>
      <vt:lpstr>AA资产负债表（余额）</vt:lpstr>
      <vt:lpstr>AA资产负债表（日均）</vt:lpstr>
      <vt:lpstr>AA资产质量表</vt:lpstr>
      <vt:lpstr>AA利息净收入表</vt:lpstr>
      <vt:lpstr>A个金群</vt:lpstr>
      <vt:lpstr>A01泛微粒贷</vt:lpstr>
      <vt:lpstr>A02微账户</vt:lpstr>
      <vt:lpstr>A03汽车金融</vt:lpstr>
      <vt:lpstr>A04财富</vt:lpstr>
      <vt:lpstr>A05小鹅</vt:lpstr>
      <vt:lpstr>B企金群</vt:lpstr>
      <vt:lpstr>B01企业金融</vt:lpstr>
      <vt:lpstr>B02金融市场</vt:lpstr>
      <vt:lpstr>C数字金融</vt:lpstr>
      <vt:lpstr>C01国内业务</vt:lpstr>
      <vt:lpstr>C02国内研发</vt:lpstr>
      <vt:lpstr>D国际业务</vt:lpstr>
      <vt:lpstr>D01国际业务</vt:lpstr>
      <vt:lpstr>E小鹅导流</vt:lpstr>
      <vt:lpstr>E01小鹅导流</vt:lpstr>
      <vt:lpstr>F司库及其他</vt:lpstr>
      <vt:lpstr>F01司库及其他</vt:lpstr>
      <vt:lpstr>AB微众科技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binzhao(赵斌)</dc:creator>
  <cp:lastModifiedBy>HHH</cp:lastModifiedBy>
  <dcterms:created xsi:type="dcterms:W3CDTF">2015-06-06T18:19:00Z</dcterms:created>
  <dcterms:modified xsi:type="dcterms:W3CDTF">2026-06-16T15:13:27Z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9CC7CE9A76388BC9CAEB2F6A552944DC_42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