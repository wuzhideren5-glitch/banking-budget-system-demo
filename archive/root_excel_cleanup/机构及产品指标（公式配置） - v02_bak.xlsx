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00" firstSheet="5" activeTab="7"/>
  </bookViews>
  <sheets>
    <sheet name="AA业务状况表" sheetId="8" r:id="rId1"/>
    <sheet name="AA资产负债表（余额）" sheetId="3" r:id="rId2"/>
    <sheet name="AA资产负债表（日均）" sheetId="4" r:id="rId3"/>
    <sheet name="AA资产质量表" sheetId="5" r:id="rId4"/>
    <sheet name="AA利息净收入表" sheetId="6" r:id="rId5"/>
    <sheet name="A个金群" sheetId="7" r:id="rId6"/>
    <sheet name="A01泛微粒贷" sheetId="9" r:id="rId7"/>
    <sheet name="A02微账户" sheetId="10" r:id="rId8"/>
    <sheet name="A03汽车金融" sheetId="11" r:id="rId9"/>
    <sheet name="A04财富" sheetId="12" r:id="rId10"/>
    <sheet name="A05小鹅" sheetId="13" r:id="rId11"/>
    <sheet name="B企金群" sheetId="14" r:id="rId12"/>
    <sheet name="B01企业金融" sheetId="15" r:id="rId13"/>
    <sheet name="B02金融市场" sheetId="16" r:id="rId14"/>
    <sheet name="C数字金融" sheetId="17" r:id="rId15"/>
    <sheet name="C01国内业务" sheetId="18" r:id="rId16"/>
    <sheet name="C02国内研发" sheetId="19" r:id="rId17"/>
    <sheet name="D国际业务" sheetId="20" r:id="rId18"/>
    <sheet name="D01国际业务" sheetId="21" r:id="rId19"/>
    <sheet name="E小鹅导流" sheetId="22" r:id="rId20"/>
    <sheet name="E01小鹅导流" sheetId="23" r:id="rId21"/>
    <sheet name="F司库及其他" sheetId="24" r:id="rId22"/>
    <sheet name="F01司库及其他" sheetId="25" r:id="rId23"/>
    <sheet name="AB微众科技" sheetId="26" r:id="rId24"/>
  </sheets>
  <definedNames>
    <definedName name="_xlnm._FilterDatabase" localSheetId="7" hidden="1">A02微账户!$A$1:$J$30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<sst xmlns="http://schemas.openxmlformats.org/spreadsheetml/2006/main" count="7395" uniqueCount="2176">
  <si>
    <t>科目层级</t>
  </si>
  <si>
    <t>科目性质</t>
  </si>
  <si>
    <t>科目代码</t>
  </si>
  <si>
    <t>科目名称</t>
  </si>
  <si>
    <t>录入粒度</t>
  </si>
  <si>
    <t>年预算公式</t>
  </si>
  <si>
    <t>年预测公式</t>
  </si>
  <si>
    <t>实际月公式</t>
  </si>
  <si>
    <t>预测月公式</t>
  </si>
  <si>
    <t>公式说明</t>
  </si>
  <si>
    <t>横向汇总</t>
  </si>
  <si>
    <t>纵向汇总</t>
  </si>
  <si>
    <t>逻辑码</t>
  </si>
  <si>
    <t>一级</t>
  </si>
  <si>
    <t>收入</t>
  </si>
  <si>
    <t>AA.01</t>
  </si>
  <si>
    <t>营业收入</t>
  </si>
  <si>
    <t>二级</t>
  </si>
  <si>
    <t>AA.01.01</t>
  </si>
  <si>
    <t xml:space="preserve">  利息净收入</t>
  </si>
  <si>
    <t>三级</t>
  </si>
  <si>
    <t>AA.14</t>
  </si>
  <si>
    <t xml:space="preserve">      利息收入</t>
  </si>
  <si>
    <t>支出</t>
  </si>
  <si>
    <t>AA.16</t>
  </si>
  <si>
    <t xml:space="preserve">      利息支出</t>
  </si>
  <si>
    <t>AA.01.02</t>
  </si>
  <si>
    <t xml:space="preserve">  净手续费收入</t>
  </si>
  <si>
    <t>AA.18</t>
  </si>
  <si>
    <t xml:space="preserve">    手续费收入</t>
  </si>
  <si>
    <t>AA.19</t>
  </si>
  <si>
    <t xml:space="preserve">    手续费支出</t>
  </si>
  <si>
    <t>AA.01.03</t>
  </si>
  <si>
    <t xml:space="preserve">  其他营收</t>
  </si>
  <si>
    <t>AA.02</t>
  </si>
  <si>
    <t>减：资产减值损失</t>
  </si>
  <si>
    <t>AA.28.01</t>
  </si>
  <si>
    <t xml:space="preserve">  贷款减值损失</t>
  </si>
  <si>
    <t>AA.28.01.01</t>
  </si>
  <si>
    <t xml:space="preserve">    实际风险成本</t>
  </si>
  <si>
    <t>AA.28.01.02</t>
  </si>
  <si>
    <t xml:space="preserve">    超额拨备</t>
  </si>
  <si>
    <t>AA.28.02</t>
  </si>
  <si>
    <t xml:space="preserve">  非贷减值损失</t>
  </si>
  <si>
    <t>AA.03</t>
  </si>
  <si>
    <t>净收入</t>
  </si>
  <si>
    <t>AA.04</t>
  </si>
  <si>
    <t>减：税金及附加</t>
  </si>
  <si>
    <t>AA.29</t>
  </si>
  <si>
    <t>减：业务及管理费</t>
  </si>
  <si>
    <t>AA.29.01</t>
  </si>
  <si>
    <t xml:space="preserve">  人力费用</t>
  </si>
  <si>
    <t>AA.29.01.01</t>
  </si>
  <si>
    <t xml:space="preserve">    常规人力</t>
  </si>
  <si>
    <t>AA.29.01.02</t>
  </si>
  <si>
    <t xml:space="preserve">    利润分享</t>
  </si>
  <si>
    <t>AA.29.01.03</t>
  </si>
  <si>
    <t xml:space="preserve">    专项费用</t>
  </si>
  <si>
    <t>AA.05.02</t>
  </si>
  <si>
    <t xml:space="preserve">  业务费用</t>
  </si>
  <si>
    <t>AA.05.02.01</t>
  </si>
  <si>
    <t xml:space="preserve">    营销费用</t>
  </si>
  <si>
    <t>AA.05.02.02</t>
  </si>
  <si>
    <t xml:space="preserve">    运营费用</t>
  </si>
  <si>
    <t>AA.29.02</t>
  </si>
  <si>
    <t xml:space="preserve">  IT费用</t>
  </si>
  <si>
    <t>AA.29.03</t>
  </si>
  <si>
    <t xml:space="preserve">  日常费用</t>
  </si>
  <si>
    <t>AA.06</t>
  </si>
  <si>
    <t>加：营业外净收入</t>
  </si>
  <si>
    <t>利润</t>
  </si>
  <si>
    <t>AA.09</t>
  </si>
  <si>
    <t>税前利润</t>
  </si>
  <si>
    <t>AA.30</t>
  </si>
  <si>
    <t>减：所得税</t>
  </si>
  <si>
    <t>AA.31</t>
  </si>
  <si>
    <t>净利润</t>
  </si>
  <si>
    <t>资产余额</t>
  </si>
  <si>
    <t>AA.10</t>
  </si>
  <si>
    <t>管理贷款余额</t>
  </si>
  <si>
    <t>AA.10.01</t>
  </si>
  <si>
    <t xml:space="preserve">  自持余额</t>
  </si>
  <si>
    <t>AA.10.01.01</t>
  </si>
  <si>
    <t xml:space="preserve">    一般贷款</t>
  </si>
  <si>
    <t>AA.10.01.02</t>
  </si>
  <si>
    <t xml:space="preserve">    票据融资</t>
  </si>
  <si>
    <t>AA.10.02</t>
  </si>
  <si>
    <t xml:space="preserve">  联贷</t>
  </si>
  <si>
    <t>AA.10.03</t>
  </si>
  <si>
    <t xml:space="preserve">  流转</t>
  </si>
  <si>
    <t>AA.10.04</t>
  </si>
  <si>
    <t xml:space="preserve">  银承保函</t>
  </si>
  <si>
    <t>负债余额</t>
  </si>
  <si>
    <t>AA.12</t>
  </si>
  <si>
    <t>管理资产余额</t>
  </si>
  <si>
    <t>AA.12.01</t>
  </si>
  <si>
    <t xml:space="preserve">  各项存款</t>
  </si>
  <si>
    <t>AA.12.02</t>
  </si>
  <si>
    <t xml:space="preserve">  代销理财</t>
  </si>
  <si>
    <t>AA.12.03</t>
  </si>
  <si>
    <t xml:space="preserve">  商户结算便利应付款</t>
  </si>
  <si>
    <t>AA.12.04</t>
  </si>
  <si>
    <t xml:space="preserve">  存款服务</t>
  </si>
  <si>
    <t>其他</t>
  </si>
  <si>
    <t>AA.45</t>
  </si>
  <si>
    <t>拨备覆盖率</t>
  </si>
  <si>
    <t>AA.46</t>
  </si>
  <si>
    <t>贷款拨备率</t>
  </si>
  <si>
    <t>AA.47</t>
  </si>
  <si>
    <t>资产减值准备</t>
  </si>
  <si>
    <t>AA.47.01</t>
  </si>
  <si>
    <t xml:space="preserve">  贷款减值准备</t>
  </si>
  <si>
    <t>AA.47.01.01</t>
  </si>
  <si>
    <t>AA.47.02</t>
  </si>
  <si>
    <t xml:space="preserve">  非贷减值准备</t>
  </si>
  <si>
    <t>AA.54</t>
  </si>
  <si>
    <t>年初资产减值准备</t>
  </si>
  <si>
    <t>AA.54.01</t>
  </si>
  <si>
    <t xml:space="preserve">  年初贷款减值准备</t>
  </si>
  <si>
    <t>AA.54.02</t>
  </si>
  <si>
    <t xml:space="preserve">  年初非贷减值准备</t>
  </si>
  <si>
    <t>AA.48</t>
  </si>
  <si>
    <t>贷款风险成本率</t>
  </si>
  <si>
    <t>AA.38</t>
  </si>
  <si>
    <t xml:space="preserve">  实际风险成本率</t>
  </si>
  <si>
    <t>AA.48.01</t>
  </si>
  <si>
    <t xml:space="preserve">  超额风险成本率</t>
  </si>
  <si>
    <t>AA.49</t>
  </si>
  <si>
    <t>财务指标</t>
  </si>
  <si>
    <t>AA.49.01</t>
  </si>
  <si>
    <t>手续费净收入占比</t>
  </si>
  <si>
    <t>AA.49.02</t>
  </si>
  <si>
    <t>非息收入占比</t>
  </si>
  <si>
    <t>AA.49.03</t>
  </si>
  <si>
    <t>ROA</t>
  </si>
  <si>
    <t>AA.49.04</t>
  </si>
  <si>
    <t>ROAE</t>
  </si>
  <si>
    <t>AA.49.05</t>
  </si>
  <si>
    <t>成本收入比</t>
  </si>
  <si>
    <t>AA.32</t>
  </si>
  <si>
    <t>总资产</t>
  </si>
  <si>
    <t xml:space="preserve">  各项贷款</t>
  </si>
  <si>
    <t>AA.22</t>
  </si>
  <si>
    <t xml:space="preserve">  存放央行</t>
  </si>
  <si>
    <t>AA.32.01</t>
  </si>
  <si>
    <t xml:space="preserve">  同业资产</t>
  </si>
  <si>
    <t>AA.24.01</t>
  </si>
  <si>
    <t xml:space="preserve">    存放同业</t>
  </si>
  <si>
    <t>AA.24.02</t>
  </si>
  <si>
    <t xml:space="preserve">    拆放同业</t>
  </si>
  <si>
    <t>AA.24.03</t>
  </si>
  <si>
    <t xml:space="preserve">    买入返售</t>
  </si>
  <si>
    <t>AA.24.04</t>
  </si>
  <si>
    <t xml:space="preserve">    债券投资</t>
  </si>
  <si>
    <t>AA.24.05</t>
  </si>
  <si>
    <t xml:space="preserve">    同业存单投资</t>
  </si>
  <si>
    <t>AA.24.06</t>
  </si>
  <si>
    <t xml:space="preserve">    基金</t>
  </si>
  <si>
    <t>AA.32.02</t>
  </si>
  <si>
    <t xml:space="preserve">  减值准备</t>
  </si>
  <si>
    <t>AA.32.03</t>
  </si>
  <si>
    <t xml:space="preserve">  其他资产</t>
  </si>
  <si>
    <t>AA.33</t>
  </si>
  <si>
    <t>总负债</t>
  </si>
  <si>
    <t>AA.33.01</t>
  </si>
  <si>
    <t xml:space="preserve">  同业负债</t>
  </si>
  <si>
    <t>AA.26.01</t>
  </si>
  <si>
    <t xml:space="preserve">    向央行借款</t>
  </si>
  <si>
    <t>AA.26.02</t>
  </si>
  <si>
    <t xml:space="preserve">    同业存放</t>
  </si>
  <si>
    <t>AA.26.03</t>
  </si>
  <si>
    <t xml:space="preserve">    同业拆入</t>
  </si>
  <si>
    <t>AA.26.04</t>
  </si>
  <si>
    <t xml:space="preserve">    转贷款</t>
  </si>
  <si>
    <t>AA.26.05</t>
  </si>
  <si>
    <t xml:space="preserve">    卖出回购</t>
  </si>
  <si>
    <t>AA.26.06</t>
  </si>
  <si>
    <t xml:space="preserve">    发行同业存单</t>
  </si>
  <si>
    <t>AA.33.02</t>
  </si>
  <si>
    <t xml:space="preserve">  其他负债</t>
  </si>
  <si>
    <t>AA.34</t>
  </si>
  <si>
    <t>所有者权益</t>
  </si>
  <si>
    <t>资产日均</t>
  </si>
  <si>
    <t>AA.35</t>
  </si>
  <si>
    <t>AA.11.01</t>
  </si>
  <si>
    <t>AA.11.01.01</t>
  </si>
  <si>
    <t>AA.11.01.02</t>
  </si>
  <si>
    <t>AA.23</t>
  </si>
  <si>
    <t>AA.35.01</t>
  </si>
  <si>
    <t>AA.25.01</t>
  </si>
  <si>
    <t>AA.25.02</t>
  </si>
  <si>
    <t>AA.25.03</t>
  </si>
  <si>
    <t>AA.25.04</t>
  </si>
  <si>
    <t xml:space="preserve">    债券投资（AC和OCI）</t>
  </si>
  <si>
    <t>AA.25.05</t>
  </si>
  <si>
    <t xml:space="preserve">    同业存单投资（AC和OCI）</t>
  </si>
  <si>
    <t>AA.25.07</t>
  </si>
  <si>
    <t xml:space="preserve">    PL债券和同业存单</t>
  </si>
  <si>
    <t>AA.25.06</t>
  </si>
  <si>
    <t>AA.35.02</t>
  </si>
  <si>
    <t>AA.35.03</t>
  </si>
  <si>
    <t>负债日均</t>
  </si>
  <si>
    <t>AA.36</t>
  </si>
  <si>
    <t>AA.13.01</t>
  </si>
  <si>
    <t>AA.36.01</t>
  </si>
  <si>
    <t>AA.27.01</t>
  </si>
  <si>
    <t>AA.27.02</t>
  </si>
  <si>
    <t>AA.27.03</t>
  </si>
  <si>
    <t>AA.27.04</t>
  </si>
  <si>
    <t>AA.27.05</t>
  </si>
  <si>
    <t>AA.27.06</t>
  </si>
  <si>
    <t>AA.36.02</t>
  </si>
  <si>
    <t>AA.37</t>
  </si>
  <si>
    <t>风险成本率</t>
  </si>
  <si>
    <t>AA.38.01</t>
  </si>
  <si>
    <t xml:space="preserve">  泛微粒贷</t>
  </si>
  <si>
    <t>AA.38.01.01</t>
  </si>
  <si>
    <t xml:space="preserve">    微粒贷</t>
  </si>
  <si>
    <t>AA.38.01.02</t>
  </si>
  <si>
    <t xml:space="preserve">    分付</t>
  </si>
  <si>
    <t>AA.38.02</t>
  </si>
  <si>
    <t xml:space="preserve">  汽车金融</t>
  </si>
  <si>
    <t>AA.38.03</t>
  </si>
  <si>
    <t xml:space="preserve">  财富</t>
  </si>
  <si>
    <t>AA.38.04</t>
  </si>
  <si>
    <t xml:space="preserve">  小鹅</t>
  </si>
  <si>
    <t>AA.38.05</t>
  </si>
  <si>
    <t xml:space="preserve">  企业金融</t>
  </si>
  <si>
    <t>AA.38.05.01</t>
  </si>
  <si>
    <t>风险成本</t>
  </si>
  <si>
    <t>AA.39</t>
  </si>
  <si>
    <t>不良贷款率</t>
  </si>
  <si>
    <t>AA.39.01</t>
  </si>
  <si>
    <t>AA.39.01.01</t>
  </si>
  <si>
    <t>AA.39.01.02</t>
  </si>
  <si>
    <t>AA.39.02</t>
  </si>
  <si>
    <t>AA.39.03</t>
  </si>
  <si>
    <t>AA.39.04</t>
  </si>
  <si>
    <t>AA.39.05</t>
  </si>
  <si>
    <t>AA.39.05.01</t>
  </si>
  <si>
    <t>AA.40</t>
  </si>
  <si>
    <t>不良贷款余额</t>
  </si>
  <si>
    <t>AA.40.01</t>
  </si>
  <si>
    <t>AA.40.01.01</t>
  </si>
  <si>
    <t>AA.40.01.02</t>
  </si>
  <si>
    <t>AA.40.02</t>
  </si>
  <si>
    <t>AA.40.03</t>
  </si>
  <si>
    <t>AA.40.04</t>
  </si>
  <si>
    <t>AA.40.05</t>
  </si>
  <si>
    <t>AA.40.05.01</t>
  </si>
  <si>
    <t>AA.41</t>
  </si>
  <si>
    <t>不良贷款原值余额</t>
  </si>
  <si>
    <t>AA.41.01</t>
  </si>
  <si>
    <t>AA.41.01.01</t>
  </si>
  <si>
    <t>AA.41.01.02</t>
  </si>
  <si>
    <t>AA.41.02</t>
  </si>
  <si>
    <t>AA.41.03</t>
  </si>
  <si>
    <t>AA.41.04</t>
  </si>
  <si>
    <t>AA.41.05</t>
  </si>
  <si>
    <t>AA.41.05.01</t>
  </si>
  <si>
    <t>AA.42</t>
  </si>
  <si>
    <t>年初不良贷款原值余额</t>
  </si>
  <si>
    <t>AA.42.01</t>
  </si>
  <si>
    <t>AA.42.01.01</t>
  </si>
  <si>
    <t>AA.42.01.02</t>
  </si>
  <si>
    <t>AA.42.02</t>
  </si>
  <si>
    <t>AA.42.03</t>
  </si>
  <si>
    <t>AA.42.04</t>
  </si>
  <si>
    <t>AA.42.05</t>
  </si>
  <si>
    <t>AA.42.05.01</t>
  </si>
  <si>
    <t>AA.43</t>
  </si>
  <si>
    <t>核销净额</t>
  </si>
  <si>
    <t>AA.43.01</t>
  </si>
  <si>
    <t>AA.43.01.01</t>
  </si>
  <si>
    <t>AA.43.01.02</t>
  </si>
  <si>
    <t>AA.43.02</t>
  </si>
  <si>
    <t>AA.43.03</t>
  </si>
  <si>
    <t>AA.43.04</t>
  </si>
  <si>
    <t>AA.43.05</t>
  </si>
  <si>
    <t>AA.43.05.01</t>
  </si>
  <si>
    <t>AA.44</t>
  </si>
  <si>
    <t>代偿和转让</t>
  </si>
  <si>
    <t>AA.44.01</t>
  </si>
  <si>
    <t>微粒贷保险代偿金额</t>
  </si>
  <si>
    <t>AA.44.01.01</t>
  </si>
  <si>
    <t xml:space="preserve">  微粒贷保险代偿净额</t>
  </si>
  <si>
    <t>AA.44.02</t>
  </si>
  <si>
    <t>汽金代偿金代偿金额</t>
  </si>
  <si>
    <t>AA.44.03</t>
  </si>
  <si>
    <t>企金担保代偿金额</t>
  </si>
  <si>
    <t>AA.44.04</t>
  </si>
  <si>
    <t>企金保险代偿金额</t>
  </si>
  <si>
    <t>AA.44.05</t>
  </si>
  <si>
    <t>企金不良转让金额</t>
  </si>
  <si>
    <t>AA.44.05.01</t>
  </si>
  <si>
    <t>企金不良转让净额</t>
  </si>
  <si>
    <t>AA.50</t>
  </si>
  <si>
    <t>生息资产日均规模</t>
  </si>
  <si>
    <t xml:space="preserve">  存放同业</t>
  </si>
  <si>
    <t xml:space="preserve">  拆放同业</t>
  </si>
  <si>
    <t xml:space="preserve">  买入返售</t>
  </si>
  <si>
    <t xml:space="preserve">  债券投资</t>
  </si>
  <si>
    <t xml:space="preserve">  同业存单投资</t>
  </si>
  <si>
    <t>AA.51</t>
  </si>
  <si>
    <t>付息负债日均规模</t>
  </si>
  <si>
    <t xml:space="preserve">  向央行借款</t>
  </si>
  <si>
    <t xml:space="preserve">  同业存放</t>
  </si>
  <si>
    <t xml:space="preserve">  同业拆入</t>
  </si>
  <si>
    <t xml:space="preserve">  转贷款</t>
  </si>
  <si>
    <t xml:space="preserve">  卖出回购</t>
  </si>
  <si>
    <t xml:space="preserve">  发行同业存单</t>
  </si>
  <si>
    <t>生息资产利息收入</t>
  </si>
  <si>
    <t>AA.14.01</t>
  </si>
  <si>
    <t>AA.14.02.01</t>
  </si>
  <si>
    <t>AA.14.02.02</t>
  </si>
  <si>
    <t>AA.14.02.03</t>
  </si>
  <si>
    <t>AA.14.02.04</t>
  </si>
  <si>
    <t>AA.14.03</t>
  </si>
  <si>
    <t>AA.14.02.05</t>
  </si>
  <si>
    <t>付息负债利息支出</t>
  </si>
  <si>
    <t>AA.16.01</t>
  </si>
  <si>
    <t>AA.16.02.01</t>
  </si>
  <si>
    <t>AA.16.02.02</t>
  </si>
  <si>
    <t>AA.16.02.03</t>
  </si>
  <si>
    <t>AA.16.02.04</t>
  </si>
  <si>
    <t>AA.16.02.05</t>
  </si>
  <si>
    <t>AA.16.02.06</t>
  </si>
  <si>
    <t>AA.52</t>
  </si>
  <si>
    <t>生息资产收息率</t>
  </si>
  <si>
    <t>率年化指标</t>
  </si>
  <si>
    <t>AA.52.01</t>
  </si>
  <si>
    <t>AA.52.02</t>
  </si>
  <si>
    <t>AA.52.03</t>
  </si>
  <si>
    <t>AA.52.04</t>
  </si>
  <si>
    <t>AA.52.05</t>
  </si>
  <si>
    <t>AA.52.06</t>
  </si>
  <si>
    <t>AA.52.07</t>
  </si>
  <si>
    <t>AA.53</t>
  </si>
  <si>
    <t>付息负债付息率</t>
  </si>
  <si>
    <t>AA.53.01</t>
  </si>
  <si>
    <t>AA.53.02</t>
  </si>
  <si>
    <t>AA.53.03</t>
  </si>
  <si>
    <t>AA.53.04</t>
  </si>
  <si>
    <t>AA.53.05</t>
  </si>
  <si>
    <t>AA.53.06</t>
  </si>
  <si>
    <t>AA.53.07</t>
  </si>
  <si>
    <t>A.01</t>
  </si>
  <si>
    <t>A.01.01</t>
  </si>
  <si>
    <t>A.01.01.01</t>
  </si>
  <si>
    <t xml:space="preserve">    资产业务</t>
  </si>
  <si>
    <t>A.14</t>
  </si>
  <si>
    <t>A.15</t>
  </si>
  <si>
    <t xml:space="preserve">      FTP成本</t>
  </si>
  <si>
    <t>A.01.01.02</t>
  </si>
  <si>
    <t xml:space="preserve">    负债业务</t>
  </si>
  <si>
    <t>A.16</t>
  </si>
  <si>
    <t>A.17</t>
  </si>
  <si>
    <t xml:space="preserve">      FTP收入</t>
  </si>
  <si>
    <t>A.01.02</t>
  </si>
  <si>
    <t>A.18</t>
  </si>
  <si>
    <t>A.19</t>
  </si>
  <si>
    <t>A.01.03</t>
  </si>
  <si>
    <t>A.02</t>
  </si>
  <si>
    <t>减：风险成本</t>
  </si>
  <si>
    <t>A.03</t>
  </si>
  <si>
    <t>A.04</t>
  </si>
  <si>
    <t>A.05</t>
  </si>
  <si>
    <t>减：直接费用</t>
  </si>
  <si>
    <t>A.05.01</t>
  </si>
  <si>
    <t xml:space="preserve">  人力费用（不含IT）</t>
  </si>
  <si>
    <t>A.05.01.01</t>
  </si>
  <si>
    <t>A.05.01.02</t>
  </si>
  <si>
    <t xml:space="preserve">    特别人力</t>
  </si>
  <si>
    <t>A.05.02</t>
  </si>
  <si>
    <t>A.05.02.01</t>
  </si>
  <si>
    <t>A.05.02.02</t>
  </si>
  <si>
    <t>A.05.03</t>
  </si>
  <si>
    <t>A.05.03.01</t>
  </si>
  <si>
    <t xml:space="preserve">    IT人力</t>
  </si>
  <si>
    <t>四级</t>
  </si>
  <si>
    <t>A.05.03.01.01</t>
  </si>
  <si>
    <t xml:space="preserve">      IT常规人力</t>
  </si>
  <si>
    <t>A.05.03.01.02</t>
  </si>
  <si>
    <t xml:space="preserve">      IT特别人力</t>
  </si>
  <si>
    <t>A.05.03.02</t>
  </si>
  <si>
    <t xml:space="preserve">    科技费用</t>
  </si>
  <si>
    <t>A.05.03.03</t>
  </si>
  <si>
    <t xml:space="preserve">    IT职场</t>
  </si>
  <si>
    <t>A.05.03.04</t>
  </si>
  <si>
    <t xml:space="preserve">    IT日常</t>
  </si>
  <si>
    <t>A.05.04</t>
  </si>
  <si>
    <t xml:space="preserve">  职场费用</t>
  </si>
  <si>
    <t>A.05.05</t>
  </si>
  <si>
    <t>A.06</t>
  </si>
  <si>
    <t>A.07</t>
  </si>
  <si>
    <t>分摊前利润</t>
  </si>
  <si>
    <t>A.08</t>
  </si>
  <si>
    <t>减：固定管理费</t>
  </si>
  <si>
    <t>A.09</t>
  </si>
  <si>
    <t>A.10</t>
  </si>
  <si>
    <t>A.10.01</t>
  </si>
  <si>
    <t>A.10.01.01</t>
  </si>
  <si>
    <t>A.10.02</t>
  </si>
  <si>
    <t>A.10.03</t>
  </si>
  <si>
    <t>A.11</t>
  </si>
  <si>
    <t>管理贷款日均</t>
  </si>
  <si>
    <t>A.11.01</t>
  </si>
  <si>
    <t xml:space="preserve">  自持</t>
  </si>
  <si>
    <t>A.11.01.01</t>
  </si>
  <si>
    <t>A.11.02</t>
  </si>
  <si>
    <t>A.11.03</t>
  </si>
  <si>
    <t>A.12</t>
  </si>
  <si>
    <t>A.12.01</t>
  </si>
  <si>
    <t>A.12.02</t>
  </si>
  <si>
    <t>A.12.03</t>
  </si>
  <si>
    <t>A.12.04</t>
  </si>
  <si>
    <t>A.13</t>
  </si>
  <si>
    <t>管理资产日均</t>
  </si>
  <si>
    <t>A.13.01</t>
  </si>
  <si>
    <t>A.13.02</t>
  </si>
  <si>
    <t>A.13.03</t>
  </si>
  <si>
    <t>A.13.04</t>
  </si>
  <si>
    <t>A01.01</t>
  </si>
  <si>
    <t>A01.01.01</t>
  </si>
  <si>
    <t>A01.01.01.01</t>
  </si>
  <si>
    <t>A01.01.01.02</t>
  </si>
  <si>
    <t>A01.01.02</t>
  </si>
  <si>
    <t xml:space="preserve">  手续费净收入</t>
  </si>
  <si>
    <t>A01.01.03</t>
  </si>
  <si>
    <t>A01.02</t>
  </si>
  <si>
    <t>A01.03</t>
  </si>
  <si>
    <t>A01.04</t>
  </si>
  <si>
    <t>A01.05</t>
  </si>
  <si>
    <t>A01.05.01</t>
  </si>
  <si>
    <t>A01.05.01.01</t>
  </si>
  <si>
    <t>A01.05.01.02</t>
  </si>
  <si>
    <t>A01.05.02</t>
  </si>
  <si>
    <t>A01.05.02.01</t>
  </si>
  <si>
    <t>A01.05.02.02</t>
  </si>
  <si>
    <t>A01.05.03</t>
  </si>
  <si>
    <t>A01.05.03.01</t>
  </si>
  <si>
    <t>A01.05.03.01.01</t>
  </si>
  <si>
    <t>A01.05.03.01.02</t>
  </si>
  <si>
    <t>A01.05.03.02</t>
  </si>
  <si>
    <t>A01.05.03.03</t>
  </si>
  <si>
    <t>A01.05.03.04</t>
  </si>
  <si>
    <t>A01.05.04</t>
  </si>
  <si>
    <t>A01.05.05</t>
  </si>
  <si>
    <t>A01.06</t>
  </si>
  <si>
    <t>A01.07</t>
  </si>
  <si>
    <t>A01.08</t>
  </si>
  <si>
    <t>A01.09</t>
  </si>
  <si>
    <t>A01.10</t>
  </si>
  <si>
    <t>A01.10.01</t>
  </si>
  <si>
    <t>A01.10.01.01</t>
  </si>
  <si>
    <t>A01.10.01.01.01</t>
  </si>
  <si>
    <t xml:space="preserve">      微粒贷</t>
  </si>
  <si>
    <t>五级</t>
  </si>
  <si>
    <t>A01.10.01.01.01.01</t>
  </si>
  <si>
    <t xml:space="preserve">        其中：分期</t>
  </si>
  <si>
    <t>A01.10.01.01.02</t>
  </si>
  <si>
    <t xml:space="preserve">      分付</t>
  </si>
  <si>
    <t>A01.10.02</t>
  </si>
  <si>
    <t>A01.10.03</t>
  </si>
  <si>
    <t>A01.11</t>
  </si>
  <si>
    <t>A01.11.01</t>
  </si>
  <si>
    <t>A01.11.01.01</t>
  </si>
  <si>
    <t>A01.11.01.01.01</t>
  </si>
  <si>
    <t>A01.11.01.01.01.01</t>
  </si>
  <si>
    <t>A01.11.01.01.02</t>
  </si>
  <si>
    <t>A01.11.02</t>
  </si>
  <si>
    <t>A01.11.03</t>
  </si>
  <si>
    <t>A01.12</t>
  </si>
  <si>
    <t>A01.12.01</t>
  </si>
  <si>
    <t xml:space="preserve">  存款</t>
  </si>
  <si>
    <t>A01.13</t>
  </si>
  <si>
    <t>A01.13.01</t>
  </si>
  <si>
    <t>A01.24</t>
  </si>
  <si>
    <t>同业资产余额</t>
  </si>
  <si>
    <t>A01.24.01</t>
  </si>
  <si>
    <t xml:space="preserve">  存放同业余额</t>
  </si>
  <si>
    <t>A01.25</t>
  </si>
  <si>
    <t>同业资产日均</t>
  </si>
  <si>
    <t>A01.25.01</t>
  </si>
  <si>
    <t xml:space="preserve">  存放同业日均</t>
  </si>
  <si>
    <t>A01.26</t>
  </si>
  <si>
    <t>同业负债余额</t>
  </si>
  <si>
    <t>A01.26.02</t>
  </si>
  <si>
    <t xml:space="preserve">  同业存放余额</t>
  </si>
  <si>
    <t>A01.27</t>
  </si>
  <si>
    <t>同业负债日均</t>
  </si>
  <si>
    <t>A01.27.02</t>
  </si>
  <si>
    <t xml:space="preserve">  同业存放日均</t>
  </si>
  <si>
    <t>A01.14</t>
  </si>
  <si>
    <t>利息收入</t>
  </si>
  <si>
    <t>A01.14.01</t>
  </si>
  <si>
    <t xml:space="preserve">  贷款利息收入</t>
  </si>
  <si>
    <t>A01.14.01.01</t>
  </si>
  <si>
    <t xml:space="preserve">    微粒贷利息收入</t>
  </si>
  <si>
    <t>A01.14.01.01.01</t>
  </si>
  <si>
    <t xml:space="preserve">      微粒贷收息率</t>
  </si>
  <si>
    <t>A01.14.01.01.02</t>
  </si>
  <si>
    <t xml:space="preserve">      微粒贷利息收入（渠道费、清仓回购前）</t>
  </si>
  <si>
    <t>收支月化指标（仅预测月）</t>
  </si>
  <si>
    <t>A01.14.01.01.02.01</t>
  </si>
  <si>
    <t xml:space="preserve">        微粒贷平均利率（渠道费、清仓回购前）</t>
  </si>
  <si>
    <t>A01.14.01.01.02.02</t>
  </si>
  <si>
    <t xml:space="preserve">        微粒贷平均财务利率</t>
  </si>
  <si>
    <t>A01.14.01.01.02.03</t>
  </si>
  <si>
    <t xml:space="preserve">        微粒贷逾期90+占比</t>
  </si>
  <si>
    <t>A01.14.01.01.02.04</t>
  </si>
  <si>
    <t xml:space="preserve">        微粒贷财务利率调整幅度</t>
  </si>
  <si>
    <t>A01.14.01.01.02.05</t>
  </si>
  <si>
    <t xml:space="preserve">        微粒贷自营联贷差异</t>
  </si>
  <si>
    <t>A01.14.01.01.03</t>
  </si>
  <si>
    <t xml:space="preserve">      微粒贷自营腾讯渠道费</t>
  </si>
  <si>
    <t>收支月化指标</t>
  </si>
  <si>
    <t>A01.14.01.01.03.01</t>
  </si>
  <si>
    <t xml:space="preserve">        微粒贷自营腾讯渠道费率</t>
  </si>
  <si>
    <t>A01.14.01.01.03.02</t>
  </si>
  <si>
    <t xml:space="preserve">        微粒贷合同渠道费率</t>
  </si>
  <si>
    <t>A01.14.01.01.03.03</t>
  </si>
  <si>
    <t xml:space="preserve">        微粒贷免收渠道费占比</t>
  </si>
  <si>
    <t>A01.14.01.01.03.04</t>
  </si>
  <si>
    <t xml:space="preserve">        AA+同业存单收益率</t>
  </si>
  <si>
    <t>A01.14.01.01.04</t>
  </si>
  <si>
    <t xml:space="preserve">      微粒贷电信分期渠道费</t>
  </si>
  <si>
    <t>A01.14.01.01.04.01</t>
  </si>
  <si>
    <t xml:space="preserve">        微粒贷电信分期渠道费率</t>
  </si>
  <si>
    <t>A01.14.01.01.05</t>
  </si>
  <si>
    <t xml:space="preserve">      微粒贷清仓回购利息收入</t>
  </si>
  <si>
    <t>A01.14.01.01.06</t>
  </si>
  <si>
    <t xml:space="preserve">      微粒贷清仓回购腾讯渠道费</t>
  </si>
  <si>
    <t>A01.14.01.02</t>
  </si>
  <si>
    <t xml:space="preserve">    分付利息收入</t>
  </si>
  <si>
    <t>A01.14.01.02.01</t>
  </si>
  <si>
    <t xml:space="preserve">      分付收息率</t>
  </si>
  <si>
    <t>A01.14.01.02.02</t>
  </si>
  <si>
    <t xml:space="preserve">      分付利息收入（渠道费前）</t>
  </si>
  <si>
    <t>A01.14.01.02.02.01</t>
  </si>
  <si>
    <t xml:space="preserve">        分付对客利率</t>
  </si>
  <si>
    <t>A01.14.01.02.02.02</t>
  </si>
  <si>
    <t xml:space="preserve">        分付平均利率（渠道费前）</t>
  </si>
  <si>
    <t>率年化指标（仅实际月）</t>
  </si>
  <si>
    <t>A01.14.01.02.03</t>
  </si>
  <si>
    <t xml:space="preserve">      分付腾讯渠道费</t>
  </si>
  <si>
    <t>A01.14.01.02.03.01</t>
  </si>
  <si>
    <t xml:space="preserve">        分付腾讯渠道费率</t>
  </si>
  <si>
    <t>A01.14.01.02.03.02</t>
  </si>
  <si>
    <t xml:space="preserve">        分付腾讯合同渠道费率</t>
  </si>
  <si>
    <t>A01.14.01.02.03.03</t>
  </si>
  <si>
    <t xml:space="preserve">        分付实收利息比例</t>
  </si>
  <si>
    <t>A01.14.02</t>
  </si>
  <si>
    <t xml:space="preserve">  金融机构往来利息收入</t>
  </si>
  <si>
    <t>A01.14.02.02</t>
  </si>
  <si>
    <t xml:space="preserve">    存放同业利息收入</t>
  </si>
  <si>
    <t>A01.14.02.02.01</t>
  </si>
  <si>
    <t xml:space="preserve">      存放同业收息率</t>
  </si>
  <si>
    <t>A01.15</t>
  </si>
  <si>
    <t>FTP成本</t>
  </si>
  <si>
    <t>A01.15.01</t>
  </si>
  <si>
    <t xml:space="preserve">  贷款FTP成本</t>
  </si>
  <si>
    <t>A01.15.01.01</t>
  </si>
  <si>
    <t xml:space="preserve">    微粒贷FTP成本</t>
  </si>
  <si>
    <t>A01.15.01.01.01</t>
  </si>
  <si>
    <t xml:space="preserve">      微粒贷FTP</t>
  </si>
  <si>
    <t>A01.15.01.02</t>
  </si>
  <si>
    <t xml:space="preserve">    分付FTP成本</t>
  </si>
  <si>
    <t>A01.15.01.02.01</t>
  </si>
  <si>
    <t xml:space="preserve">      分付FTP</t>
  </si>
  <si>
    <t>A01.15.02</t>
  </si>
  <si>
    <t xml:space="preserve">  金融机构往来FTP成本</t>
  </si>
  <si>
    <t>A01.15.02.02</t>
  </si>
  <si>
    <t xml:space="preserve">    存放同业FTP成本</t>
  </si>
  <si>
    <t>A01.15.02.02.01</t>
  </si>
  <si>
    <t xml:space="preserve">      存放同业FTP</t>
  </si>
  <si>
    <t>A01.15.99</t>
  </si>
  <si>
    <t xml:space="preserve">  其他FTP成本</t>
  </si>
  <si>
    <t>A01.15.99.01</t>
  </si>
  <si>
    <t xml:space="preserve">    流动性备付</t>
  </si>
  <si>
    <t>A01.16</t>
  </si>
  <si>
    <t>利息支出</t>
  </si>
  <si>
    <t>A01.16.01</t>
  </si>
  <si>
    <t xml:space="preserve">  存款利息支出</t>
  </si>
  <si>
    <t>A01.16.01.01</t>
  </si>
  <si>
    <t xml:space="preserve">    存款付息率</t>
  </si>
  <si>
    <t>A01.16.02</t>
  </si>
  <si>
    <t>金融机构往来利息支出</t>
  </si>
  <si>
    <t>A01.16.02.02</t>
  </si>
  <si>
    <t xml:space="preserve">  同业存放利息支出</t>
  </si>
  <si>
    <t>A01.16.02.02.01</t>
  </si>
  <si>
    <t xml:space="preserve">    同业存放付息率</t>
  </si>
  <si>
    <t>A01.17</t>
  </si>
  <si>
    <t>FTP收入</t>
  </si>
  <si>
    <t>A01.17.01</t>
  </si>
  <si>
    <t xml:space="preserve">  存款FTP收入</t>
  </si>
  <si>
    <t>A01.17.01.01</t>
  </si>
  <si>
    <t xml:space="preserve">    存款FTP</t>
  </si>
  <si>
    <t>A01.17.02</t>
  </si>
  <si>
    <t xml:space="preserve">  金融机构往来FTP收入</t>
  </si>
  <si>
    <t>A01.17.02.02</t>
  </si>
  <si>
    <t xml:space="preserve">    同业存放FTP收入</t>
  </si>
  <si>
    <t>A01.17.02.02.01</t>
  </si>
  <si>
    <t xml:space="preserve">      同业存放FTP</t>
  </si>
  <si>
    <t>A01.18</t>
  </si>
  <si>
    <t>手续费收入</t>
  </si>
  <si>
    <t>A01.18.01</t>
  </si>
  <si>
    <t xml:space="preserve">  微粒贷联贷分成收入</t>
  </si>
  <si>
    <t>A01.18.01.01</t>
  </si>
  <si>
    <t xml:space="preserve">    微粒贷联贷总收益率</t>
  </si>
  <si>
    <t>A01.18.01.02</t>
  </si>
  <si>
    <t xml:space="preserve">    微粒贷联贷平台费收入</t>
  </si>
  <si>
    <t>A01.18.01.02.01</t>
  </si>
  <si>
    <t xml:space="preserve">      微粒贷联贷收益率</t>
  </si>
  <si>
    <t>A01.18.01.02.02</t>
  </si>
  <si>
    <t xml:space="preserve">      微粒贷联贷平均财务利率</t>
  </si>
  <si>
    <t>A01.18.01.02.03</t>
  </si>
  <si>
    <t xml:space="preserve">      平台费率</t>
  </si>
  <si>
    <t>A01.18.01.02.04</t>
  </si>
  <si>
    <t xml:space="preserve">      折扣率</t>
  </si>
  <si>
    <t>A01.18.01.03</t>
  </si>
  <si>
    <t xml:space="preserve">    微粒贷信托收益</t>
  </si>
  <si>
    <t>A01.18.06</t>
  </si>
  <si>
    <t xml:space="preserve">  微粒贷同业催收费收入</t>
  </si>
  <si>
    <t>A01.18.06.01</t>
  </si>
  <si>
    <t xml:space="preserve">    收益率</t>
  </si>
  <si>
    <t>A01.18.06.02.01</t>
  </si>
  <si>
    <t xml:space="preserve">      规模占比</t>
  </si>
  <si>
    <t>A01.18.06.02.02</t>
  </si>
  <si>
    <t xml:space="preserve">      系数</t>
  </si>
  <si>
    <t>A01.18.02</t>
  </si>
  <si>
    <t xml:space="preserve">  微粒贷资产流转收入</t>
  </si>
  <si>
    <t>A01.18.04</t>
  </si>
  <si>
    <t xml:space="preserve">  微粒贷导流收入</t>
  </si>
  <si>
    <t>A01.18.99</t>
  </si>
  <si>
    <t xml:space="preserve">  结算便利等其他</t>
  </si>
  <si>
    <t>A01.19</t>
  </si>
  <si>
    <t>手续费支出</t>
  </si>
  <si>
    <t>A01.19.01</t>
  </si>
  <si>
    <t xml:space="preserve">  催收费</t>
  </si>
  <si>
    <t>A01.19.01.01</t>
  </si>
  <si>
    <t xml:space="preserve">    费率</t>
  </si>
  <si>
    <t>A01.19.02</t>
  </si>
  <si>
    <t xml:space="preserve">  征信费</t>
  </si>
  <si>
    <t>A01.19.02.01</t>
  </si>
  <si>
    <t>A01.19.03</t>
  </si>
  <si>
    <t xml:space="preserve">  清算费</t>
  </si>
  <si>
    <t>A01.19.03.01</t>
  </si>
  <si>
    <t>A01.19.04</t>
  </si>
  <si>
    <t xml:space="preserve">  代偿保费</t>
  </si>
  <si>
    <t>A01.19.06</t>
  </si>
  <si>
    <t xml:space="preserve">  微粒贷联贷腾讯渠道费</t>
  </si>
  <si>
    <t>A01.19.06.01</t>
  </si>
  <si>
    <t xml:space="preserve">    微粒贷联贷总渠道费率</t>
  </si>
  <si>
    <t>A01.19.06.02</t>
  </si>
  <si>
    <t xml:space="preserve">    微粒贷联贷平台费收入渠道费</t>
  </si>
  <si>
    <t>A01.19.06.02.01</t>
  </si>
  <si>
    <t xml:space="preserve">      微粒贷联贷渠道费率</t>
  </si>
  <si>
    <t>A01.19.06.02.02</t>
  </si>
  <si>
    <t xml:space="preserve">      微粒贷联贷逾期90+占比</t>
  </si>
  <si>
    <t>A01.19.06.02.03</t>
  </si>
  <si>
    <t xml:space="preserve">      微粒贷联贷免收渠道费占比</t>
  </si>
  <si>
    <t>A01.19.06.03</t>
  </si>
  <si>
    <t xml:space="preserve">    微粒贷信托收益渠道费</t>
  </si>
  <si>
    <t>A01.19.07</t>
  </si>
  <si>
    <t xml:space="preserve">  微粒贷流转腾讯渠道费</t>
  </si>
  <si>
    <t>A01.19.08</t>
  </si>
  <si>
    <t xml:space="preserve">  微粒贷导流腾讯渠道费</t>
  </si>
  <si>
    <t>A01.19.08.01</t>
  </si>
  <si>
    <t xml:space="preserve">    微粒贷导流合同渠道费率</t>
  </si>
  <si>
    <t>A01.19.08.02</t>
  </si>
  <si>
    <t xml:space="preserve">    系数</t>
  </si>
  <si>
    <t>A01.19.09</t>
  </si>
  <si>
    <t xml:space="preserve">  微粒贷电信分期渠道费</t>
  </si>
  <si>
    <t>A01.19.99</t>
  </si>
  <si>
    <t xml:space="preserve">  其他</t>
  </si>
  <si>
    <t>A01.20</t>
  </si>
  <si>
    <t>其他外部营收</t>
  </si>
  <si>
    <t>A01.21</t>
  </si>
  <si>
    <t>内部营业净收入</t>
  </si>
  <si>
    <t>A02.01</t>
  </si>
  <si>
    <t>A02.01.01</t>
  </si>
  <si>
    <t>A02.01.01.01</t>
  </si>
  <si>
    <t>A02.01.01.02</t>
  </si>
  <si>
    <t>A02.01.02</t>
  </si>
  <si>
    <t>A02.01.03</t>
  </si>
  <si>
    <t>A02.02</t>
  </si>
  <si>
    <t>A02.03</t>
  </si>
  <si>
    <t>A02.04</t>
  </si>
  <si>
    <t>A02.05</t>
  </si>
  <si>
    <t>A02.05.01</t>
  </si>
  <si>
    <t>A02.05.01.01</t>
  </si>
  <si>
    <t>A02.05.01.02</t>
  </si>
  <si>
    <t>A02.05.02</t>
  </si>
  <si>
    <t>A02.05.02.01</t>
  </si>
  <si>
    <t>A02.05.02.02</t>
  </si>
  <si>
    <t>A02.05.03</t>
  </si>
  <si>
    <t>A02.05.03.01</t>
  </si>
  <si>
    <t>A02.05.03.01.01</t>
  </si>
  <si>
    <t>A02.05.03.01.02</t>
  </si>
  <si>
    <t>A02.05.03.02</t>
  </si>
  <si>
    <t>A02.05.03.03</t>
  </si>
  <si>
    <t>A02.05.03.04</t>
  </si>
  <si>
    <t>A02.05.04</t>
  </si>
  <si>
    <t>A02.05.05</t>
  </si>
  <si>
    <t>A02.06</t>
  </si>
  <si>
    <t>A02.07</t>
  </si>
  <si>
    <t>A02.08</t>
  </si>
  <si>
    <t>A02.09</t>
  </si>
  <si>
    <t>A02.12</t>
  </si>
  <si>
    <t>A02.12.01</t>
  </si>
  <si>
    <t xml:space="preserve">  零钱+</t>
  </si>
  <si>
    <t>A02.12.01.01</t>
  </si>
  <si>
    <t xml:space="preserve">    经营部分</t>
  </si>
  <si>
    <t>A02.1201.02</t>
  </si>
  <si>
    <t xml:space="preserve">    流动性专项备付</t>
  </si>
  <si>
    <t>A02.12.02</t>
  </si>
  <si>
    <t xml:space="preserve">  零钱通</t>
  </si>
  <si>
    <t>A02.12.03</t>
  </si>
  <si>
    <t>A02.12.04</t>
  </si>
  <si>
    <t>A02.13</t>
  </si>
  <si>
    <t>A02.13.01</t>
  </si>
  <si>
    <t>A02.13.01.01</t>
  </si>
  <si>
    <t>A02.13.01.02</t>
  </si>
  <si>
    <t>A02.13.02</t>
  </si>
  <si>
    <t>A02.13.03</t>
  </si>
  <si>
    <t>A02.13.04</t>
  </si>
  <si>
    <t>A02.24</t>
  </si>
  <si>
    <t>A02.24.01</t>
  </si>
  <si>
    <t>A02.25</t>
  </si>
  <si>
    <t>A02.25.01</t>
  </si>
  <si>
    <t>A02.26</t>
  </si>
  <si>
    <t>A02.26.02</t>
  </si>
  <si>
    <t>A02.27</t>
  </si>
  <si>
    <t>A02.27.02</t>
  </si>
  <si>
    <t>A02.14</t>
  </si>
  <si>
    <t>A02.14.02</t>
  </si>
  <si>
    <t>A02.14.02.02</t>
  </si>
  <si>
    <t>A02.14.02.02.01</t>
  </si>
  <si>
    <t>A02.15</t>
  </si>
  <si>
    <t>A02.15.02</t>
  </si>
  <si>
    <t>A02.15.02.02</t>
  </si>
  <si>
    <t>A02.15.02.02.01</t>
  </si>
  <si>
    <t>A02.15.99</t>
  </si>
  <si>
    <t>A02.15.99.01</t>
  </si>
  <si>
    <t xml:space="preserve">    商户结算便利服务FTP成本</t>
  </si>
  <si>
    <t>A02.15.99.02</t>
  </si>
  <si>
    <t xml:space="preserve">    数字人民FTP成本</t>
  </si>
  <si>
    <t>A02.16</t>
  </si>
  <si>
    <t>A02.16.01</t>
  </si>
  <si>
    <t>A02.16.01.01</t>
  </si>
  <si>
    <t xml:space="preserve">    零钱+利息支出</t>
  </si>
  <si>
    <t>A02.16.01.01.01</t>
  </si>
  <si>
    <t xml:space="preserve">      零钱+付息率</t>
  </si>
  <si>
    <t>A02.16.01.01.02</t>
  </si>
  <si>
    <t xml:space="preserve">      零钱+腾讯渠道费</t>
  </si>
  <si>
    <t>A02.16.01.01.02.01</t>
  </si>
  <si>
    <t xml:space="preserve">        零钱+腾讯渠道费率</t>
  </si>
  <si>
    <t>A02.16.01.01.03</t>
  </si>
  <si>
    <t xml:space="preserve">      零钱+对客利息支出</t>
  </si>
  <si>
    <t>A02.16.01.01.03.01</t>
  </si>
  <si>
    <t xml:space="preserve">        零钱+对客付息率</t>
  </si>
  <si>
    <t>A02.16.01.01.04</t>
  </si>
  <si>
    <t xml:space="preserve">      经营部分利息支出</t>
  </si>
  <si>
    <t>A02.16.01.01.04.01</t>
  </si>
  <si>
    <t xml:space="preserve">        经营部分付息率</t>
  </si>
  <si>
    <t>A02.16.01.01.04.02</t>
  </si>
  <si>
    <t xml:space="preserve">        经营部分对客利息支出</t>
  </si>
  <si>
    <t>A02.16.01.01.04.03</t>
  </si>
  <si>
    <t xml:space="preserve">        经营部分对客付息率</t>
  </si>
  <si>
    <t>A02.16.01.01.04.04</t>
  </si>
  <si>
    <t xml:space="preserve">        经营部分腾讯渠道费</t>
  </si>
  <si>
    <t>A02.16.01.01.04.05</t>
  </si>
  <si>
    <t xml:space="preserve">        经营部分腾讯渠道费率</t>
  </si>
  <si>
    <t>A02.16.01.01.05</t>
  </si>
  <si>
    <t xml:space="preserve">      流动性专项备付利息支出</t>
  </si>
  <si>
    <t>A02.16.01.01.05.01</t>
  </si>
  <si>
    <t xml:space="preserve">        专项备付付息率</t>
  </si>
  <si>
    <t>A02.16.01.01.05.02</t>
  </si>
  <si>
    <t xml:space="preserve">        专项备付对客利息支出</t>
  </si>
  <si>
    <t>A02.16.01.01.05.03</t>
  </si>
  <si>
    <t xml:space="preserve">        专项备付对客付息率</t>
  </si>
  <si>
    <t>A02.16.01.01.05.04</t>
  </si>
  <si>
    <t xml:space="preserve">        专项备付腾讯渠道费</t>
  </si>
  <si>
    <t>A02.16.01.01.05.05</t>
  </si>
  <si>
    <t xml:space="preserve">        专项备付腾讯渠道费率</t>
  </si>
  <si>
    <t>A02.16.01.02</t>
  </si>
  <si>
    <t xml:space="preserve">    WE卡存款利息支出</t>
  </si>
  <si>
    <t>A02.16.01.02.01</t>
  </si>
  <si>
    <t xml:space="preserve">      WE卡存款余额</t>
  </si>
  <si>
    <t>A02.16.01.02.02</t>
  </si>
  <si>
    <t xml:space="preserve">      WE卡存款日均</t>
  </si>
  <si>
    <t>A02.16.01.02.03</t>
  </si>
  <si>
    <t xml:space="preserve">      WE卡存款付息率</t>
  </si>
  <si>
    <t>A02.16.01.03</t>
  </si>
  <si>
    <t xml:space="preserve">    数字人民币存款利息支出</t>
  </si>
  <si>
    <t>A02.16.01.03.01</t>
  </si>
  <si>
    <t xml:space="preserve">      数字人民存款币余额</t>
  </si>
  <si>
    <t>A02.16.01.03.02</t>
  </si>
  <si>
    <t xml:space="preserve">      数字人民币存款日均</t>
  </si>
  <si>
    <t>A02.16.01.03.03</t>
  </si>
  <si>
    <t xml:space="preserve">      数字人民币存款付息率</t>
  </si>
  <si>
    <t>A02.16.02</t>
  </si>
  <si>
    <t>A02.16.02.02</t>
  </si>
  <si>
    <t>A02.16.02.02.01</t>
  </si>
  <si>
    <t xml:space="preserve">    零钱+FTP收入</t>
  </si>
  <si>
    <t>A01.17.01.01.01</t>
  </si>
  <si>
    <t xml:space="preserve">      零钱+FTP</t>
  </si>
  <si>
    <t>A01.17.01.01.02</t>
  </si>
  <si>
    <t xml:space="preserve">      零钱+FTP点差</t>
  </si>
  <si>
    <t>A01.17.01.01.03</t>
  </si>
  <si>
    <t xml:space="preserve">      经营部分FTP收入</t>
  </si>
  <si>
    <t>A01.17.01.01.03.01</t>
  </si>
  <si>
    <t xml:space="preserve">        经营部分FTP</t>
  </si>
  <si>
    <t>A01.17.01.01.03.02</t>
  </si>
  <si>
    <t xml:space="preserve">        经营部分FTP点差</t>
  </si>
  <si>
    <t>A01.17.01.01.04</t>
  </si>
  <si>
    <t xml:space="preserve">      流动性专项备付FTP收入</t>
  </si>
  <si>
    <t>A01.17.01.01.04.01</t>
  </si>
  <si>
    <t xml:space="preserve">        专项备付FTP</t>
  </si>
  <si>
    <t>A01.17.01.01.04.02</t>
  </si>
  <si>
    <t xml:space="preserve">        专项备付FTP点差</t>
  </si>
  <si>
    <t>A01.17.01.02</t>
  </si>
  <si>
    <t xml:space="preserve">    WE卡存款FTP收入</t>
  </si>
  <si>
    <t>A01.17.01.02.01</t>
  </si>
  <si>
    <t xml:space="preserve">      WE卡存款FTP</t>
  </si>
  <si>
    <t>A01.17.01.03</t>
  </si>
  <si>
    <t xml:space="preserve">    数字人民币存款FTP收入</t>
  </si>
  <si>
    <t>A01.17.01.03.01</t>
  </si>
  <si>
    <t xml:space="preserve">      数字人民币存款FTP</t>
  </si>
  <si>
    <t>A01.17.99</t>
  </si>
  <si>
    <t xml:space="preserve">  其他FTP收入</t>
  </si>
  <si>
    <t>A01.17.99.01</t>
  </si>
  <si>
    <t xml:space="preserve">    商户结算便利应付款FTP收入</t>
  </si>
  <si>
    <t>A01.17.99.01.01</t>
  </si>
  <si>
    <t xml:space="preserve">      商户结算便利应付款FTP</t>
  </si>
  <si>
    <t>A01.17.99.02</t>
  </si>
  <si>
    <t xml:space="preserve">    零钱通净申购款FTP收入</t>
  </si>
  <si>
    <t>A02.18</t>
  </si>
  <si>
    <t>A02.18.05</t>
  </si>
  <si>
    <t xml:space="preserve">  零钱通收入</t>
  </si>
  <si>
    <t>A02.18.05.01</t>
  </si>
  <si>
    <t xml:space="preserve">    零钱通收益率</t>
  </si>
  <si>
    <t>A02.18.99</t>
  </si>
  <si>
    <t>A02.19</t>
  </si>
  <si>
    <t>A02.19.10</t>
  </si>
  <si>
    <t xml:space="preserve">  零钱通腾讯渠道费</t>
  </si>
  <si>
    <t>A02.19.10.01</t>
  </si>
  <si>
    <t xml:space="preserve">    零钱通腾讯渠道费率</t>
  </si>
  <si>
    <t>A02.19.11</t>
  </si>
  <si>
    <t xml:space="preserve">  商户结算便利应付款腾讯渠道费</t>
  </si>
  <si>
    <t>A02.19.99</t>
  </si>
  <si>
    <t>A02.20</t>
  </si>
  <si>
    <t>A02.21</t>
  </si>
  <si>
    <t>A02.99</t>
  </si>
  <si>
    <t>微账户参数</t>
  </si>
  <si>
    <t>A02.99.01</t>
  </si>
  <si>
    <t xml:space="preserve">  AA+同业存单收益率</t>
  </si>
  <si>
    <t>A02.99.02</t>
  </si>
  <si>
    <t xml:space="preserve">  各项贷款（不含票据）/微账户</t>
  </si>
  <si>
    <t>A02.99.03</t>
  </si>
  <si>
    <t xml:space="preserve">  法定存款准备金率</t>
  </si>
  <si>
    <t>A02.99.04</t>
  </si>
  <si>
    <t xml:space="preserve">  同业资产收益率（不含存放央行）</t>
  </si>
  <si>
    <t>A02.99.04.01</t>
  </si>
  <si>
    <t xml:space="preserve">    同业利息收入</t>
  </si>
  <si>
    <t>A02.99.04.02</t>
  </si>
  <si>
    <t xml:space="preserve">    同业日均规模</t>
  </si>
  <si>
    <t>A02.99.05</t>
  </si>
  <si>
    <t xml:space="preserve">  存放同业比例</t>
  </si>
  <si>
    <t>A02.99.06</t>
  </si>
  <si>
    <t xml:space="preserve">  存放同业利率</t>
  </si>
  <si>
    <t>A02.99.07</t>
  </si>
  <si>
    <t xml:space="preserve">  微账户存款对客挂牌利率</t>
  </si>
  <si>
    <t>A02.99.08</t>
  </si>
  <si>
    <t xml:space="preserve">  法定存款准备金利率</t>
  </si>
  <si>
    <t>A02.99.09</t>
  </si>
  <si>
    <t xml:space="preserve">  超额存款准备金利率</t>
  </si>
  <si>
    <t>A03.01</t>
  </si>
  <si>
    <t>A03.01.01</t>
  </si>
  <si>
    <t>A03.01.01.01</t>
  </si>
  <si>
    <t>A03.01.01.02</t>
  </si>
  <si>
    <t>A03.01.02</t>
  </si>
  <si>
    <t>A03.01.03</t>
  </si>
  <si>
    <t>A03.02</t>
  </si>
  <si>
    <t>A03.03</t>
  </si>
  <si>
    <t>A03.04</t>
  </si>
  <si>
    <t>A03.05</t>
  </si>
  <si>
    <t>A03.05.01</t>
  </si>
  <si>
    <t>A03.05.01.01</t>
  </si>
  <si>
    <t>A03.05.01.02</t>
  </si>
  <si>
    <t>A03.05.02</t>
  </si>
  <si>
    <t>A03.05.02.01</t>
  </si>
  <si>
    <t>A03.05.02.02</t>
  </si>
  <si>
    <t>A03.05.03</t>
  </si>
  <si>
    <t>A03.05.03.01</t>
  </si>
  <si>
    <t>A03.05.03.01.01</t>
  </si>
  <si>
    <t>A03.05.03.01.02</t>
  </si>
  <si>
    <t>A03.05.03.02</t>
  </si>
  <si>
    <t>A03.05.03.03</t>
  </si>
  <si>
    <t>A03.05.03.04</t>
  </si>
  <si>
    <t>A03.05.04</t>
  </si>
  <si>
    <t>A03.05.05</t>
  </si>
  <si>
    <t>A03.06</t>
  </si>
  <si>
    <t>A03.07</t>
  </si>
  <si>
    <t>A03.08</t>
  </si>
  <si>
    <t>A03.09</t>
  </si>
  <si>
    <t>A03.10</t>
  </si>
  <si>
    <t>管理贷款</t>
  </si>
  <si>
    <t>A03.10.01</t>
  </si>
  <si>
    <t>A03.10.01.01</t>
  </si>
  <si>
    <t>A03.10.02</t>
  </si>
  <si>
    <t>A03.10.03</t>
  </si>
  <si>
    <t>A03.11</t>
  </si>
  <si>
    <t>A03.11.01</t>
  </si>
  <si>
    <t>A03.11.01.01</t>
  </si>
  <si>
    <t>A03.11.02</t>
  </si>
  <si>
    <t>A03.11.03</t>
  </si>
  <si>
    <t>A03.12</t>
  </si>
  <si>
    <t>A03.12.01</t>
  </si>
  <si>
    <t>A03.13</t>
  </si>
  <si>
    <t>A03.13.01</t>
  </si>
  <si>
    <t>A03.26</t>
  </si>
  <si>
    <t>A03.26.02</t>
  </si>
  <si>
    <t xml:space="preserve">      同业存放余额</t>
  </si>
  <si>
    <t>A03.27</t>
  </si>
  <si>
    <t>A03.27.02</t>
  </si>
  <si>
    <t xml:space="preserve">      同业存放日均</t>
  </si>
  <si>
    <t>A03.14</t>
  </si>
  <si>
    <t>A03.14.01</t>
  </si>
  <si>
    <t>A03.14.01.01</t>
  </si>
  <si>
    <t xml:space="preserve">    贷款收息率</t>
  </si>
  <si>
    <t>A03.15</t>
  </si>
  <si>
    <t>A03.15.01</t>
  </si>
  <si>
    <t>A03.15.01.01</t>
  </si>
  <si>
    <t xml:space="preserve">    贷款FTP</t>
  </si>
  <si>
    <t>A03.15.99</t>
  </si>
  <si>
    <t>A03.15.99.01</t>
  </si>
  <si>
    <t xml:space="preserve">    流动性备付FTP成本</t>
  </si>
  <si>
    <t>A03.16</t>
  </si>
  <si>
    <t>A03.16.01</t>
  </si>
  <si>
    <t>A03.16.01.01</t>
  </si>
  <si>
    <t>A03.16.02</t>
  </si>
  <si>
    <t xml:space="preserve">  金融机构往来利息支出</t>
  </si>
  <si>
    <t>A03.16.02.02</t>
  </si>
  <si>
    <t xml:space="preserve">    同业存放利息支出</t>
  </si>
  <si>
    <t>A03.16.02.02.01</t>
  </si>
  <si>
    <t xml:space="preserve">      同业存放付息率</t>
  </si>
  <si>
    <t>A03.17</t>
  </si>
  <si>
    <t>A03.17.01</t>
  </si>
  <si>
    <t>A03.17.01.01</t>
  </si>
  <si>
    <t>A03.17.02</t>
  </si>
  <si>
    <t>A03.17.02.02</t>
  </si>
  <si>
    <t>A03.17.02.02.01</t>
  </si>
  <si>
    <t>A03.17.99</t>
  </si>
  <si>
    <t>A03.17.99.01</t>
  </si>
  <si>
    <t xml:space="preserve">    应付款FTP收入</t>
  </si>
  <si>
    <t>A03.17.99.01.01</t>
  </si>
  <si>
    <t xml:space="preserve">      应付款余额</t>
  </si>
  <si>
    <t>A03.17.99.01.02</t>
  </si>
  <si>
    <t xml:space="preserve">      应付款日均</t>
  </si>
  <si>
    <t>A03.17.99.01.03</t>
  </si>
  <si>
    <t xml:space="preserve">      应付款FTP</t>
  </si>
  <si>
    <t>A03.18</t>
  </si>
  <si>
    <t>A03.18.01</t>
  </si>
  <si>
    <t xml:space="preserve">  联贷分成收入</t>
  </si>
  <si>
    <t>A03.18.01.01</t>
  </si>
  <si>
    <t xml:space="preserve">    联贷收益率</t>
  </si>
  <si>
    <t>A03.18.07</t>
  </si>
  <si>
    <t xml:space="preserve">  对公平台服务费收入</t>
  </si>
  <si>
    <t>A03.18.99</t>
  </si>
  <si>
    <t>A03.19</t>
  </si>
  <si>
    <t>A03.19.01</t>
  </si>
  <si>
    <t>A03.19.01.01</t>
  </si>
  <si>
    <t>A03.19.02</t>
  </si>
  <si>
    <t>A03.19.02.01</t>
  </si>
  <si>
    <t>A03.19.03</t>
  </si>
  <si>
    <t>A03.19.03.01</t>
  </si>
  <si>
    <t>A03.19.12</t>
  </si>
  <si>
    <t xml:space="preserve">  渠道费</t>
  </si>
  <si>
    <t>A03.19.12.01</t>
  </si>
  <si>
    <t xml:space="preserve">    自持渠道费</t>
  </si>
  <si>
    <t>A03.19.12.01.01</t>
  </si>
  <si>
    <t xml:space="preserve">      自持渠道费率</t>
  </si>
  <si>
    <t xml:space="preserve">    联贷渠道费</t>
  </si>
  <si>
    <t xml:space="preserve">      联贷渠道费率</t>
  </si>
  <si>
    <t>A03.19.99</t>
  </si>
  <si>
    <t>A03.20</t>
  </si>
  <si>
    <t>A03.21</t>
  </si>
  <si>
    <t>A04.01</t>
  </si>
  <si>
    <t>A04.01.01</t>
  </si>
  <si>
    <t>A04.01.01.01</t>
  </si>
  <si>
    <t>A04.01.01.02</t>
  </si>
  <si>
    <t>A04.01.02</t>
  </si>
  <si>
    <t>A04.01.03</t>
  </si>
  <si>
    <t>A04.02</t>
  </si>
  <si>
    <t>A04.03</t>
  </si>
  <si>
    <t>A04.04</t>
  </si>
  <si>
    <t>A04.05</t>
  </si>
  <si>
    <t>A04.05.01</t>
  </si>
  <si>
    <t>A04.05.01.01</t>
  </si>
  <si>
    <t>A04.05.01.02</t>
  </si>
  <si>
    <t>A04.05.02</t>
  </si>
  <si>
    <t>A04.05.02.01</t>
  </si>
  <si>
    <t>A04.05.02.02</t>
  </si>
  <si>
    <t>A04.05.03</t>
  </si>
  <si>
    <t>A04.05.03.01</t>
  </si>
  <si>
    <t>A04.05.03.01.01</t>
  </si>
  <si>
    <t>A04.05.03.01.02</t>
  </si>
  <si>
    <t>A04.05.03.02</t>
  </si>
  <si>
    <t>A04.05.03.03</t>
  </si>
  <si>
    <t>A04.05.03.04</t>
  </si>
  <si>
    <t>A04.05.04</t>
  </si>
  <si>
    <t>A04.05.05</t>
  </si>
  <si>
    <t>A04.06</t>
  </si>
  <si>
    <t>A04.07</t>
  </si>
  <si>
    <t>A04.08</t>
  </si>
  <si>
    <t>A04.09</t>
  </si>
  <si>
    <t>A04.10</t>
  </si>
  <si>
    <t>A04.10.01</t>
  </si>
  <si>
    <t>A04.10.01.01</t>
  </si>
  <si>
    <t>A04.10.02</t>
  </si>
  <si>
    <t>A04.10.03</t>
  </si>
  <si>
    <t>A04.11</t>
  </si>
  <si>
    <t>A04.11.01</t>
  </si>
  <si>
    <t>A04.11.01.01</t>
  </si>
  <si>
    <t>A04.11.02</t>
  </si>
  <si>
    <t>A04.11.03</t>
  </si>
  <si>
    <t>A04.12</t>
  </si>
  <si>
    <t>A04.12.01</t>
  </si>
  <si>
    <t xml:space="preserve">  财富存款</t>
  </si>
  <si>
    <t>A04.12.01.01</t>
  </si>
  <si>
    <t xml:space="preserve">    活期</t>
  </si>
  <si>
    <t>A04.12.01.02</t>
  </si>
  <si>
    <t xml:space="preserve">    定期</t>
  </si>
  <si>
    <t>A04.12.02</t>
  </si>
  <si>
    <t xml:space="preserve">  财富代销</t>
  </si>
  <si>
    <t>A04.13</t>
  </si>
  <si>
    <t>A04.13.01</t>
  </si>
  <si>
    <t>A04.13.01.01</t>
  </si>
  <si>
    <t>A04.13.01.02</t>
  </si>
  <si>
    <t>A04.13.02</t>
  </si>
  <si>
    <t>A04.24</t>
  </si>
  <si>
    <t>A04.24.01</t>
  </si>
  <si>
    <t>A04.25</t>
  </si>
  <si>
    <t>A04.25.01</t>
  </si>
  <si>
    <t>A04.26</t>
  </si>
  <si>
    <t>A04.26.02</t>
  </si>
  <si>
    <t>A04.27</t>
  </si>
  <si>
    <t>A04.27.02</t>
  </si>
  <si>
    <t>A04.14.02</t>
  </si>
  <si>
    <t>A04.14.02.02</t>
  </si>
  <si>
    <t>A04.14.02.02.01</t>
  </si>
  <si>
    <t>A04.15</t>
  </si>
  <si>
    <t>A04.15.01</t>
  </si>
  <si>
    <t>A04.15.01.01</t>
  </si>
  <si>
    <t>A04.15.02</t>
  </si>
  <si>
    <t>A04.15.02.02</t>
  </si>
  <si>
    <t>A04.15.02.02.01</t>
  </si>
  <si>
    <t>A04.15.99</t>
  </si>
  <si>
    <t>A04.15.99.01</t>
  </si>
  <si>
    <t>A04.16</t>
  </si>
  <si>
    <t>A04.16.01</t>
  </si>
  <si>
    <t>A04.16.01.01</t>
  </si>
  <si>
    <t>A04.16.01.02</t>
  </si>
  <si>
    <t xml:space="preserve">    个人活存利息支出</t>
  </si>
  <si>
    <t>A04.16.01.02.01</t>
  </si>
  <si>
    <t xml:space="preserve">      个人活存付息率</t>
  </si>
  <si>
    <t>A04.16.01.03</t>
  </si>
  <si>
    <t xml:space="preserve">    个人定存利息支出</t>
  </si>
  <si>
    <t>A04.16.01.03.01</t>
  </si>
  <si>
    <t xml:space="preserve">      个人定存付息率</t>
  </si>
  <si>
    <t>A04.16.02</t>
  </si>
  <si>
    <t>A04.16.02.02</t>
  </si>
  <si>
    <t>A04.16.02.02.01</t>
  </si>
  <si>
    <t>A04.17</t>
  </si>
  <si>
    <t>A04.17.01</t>
  </si>
  <si>
    <t>A04.17.01.01</t>
  </si>
  <si>
    <t>A04.17.01.02</t>
  </si>
  <si>
    <t xml:space="preserve">    个人活存FTP收入</t>
  </si>
  <si>
    <t>A04.17.01.02.01</t>
  </si>
  <si>
    <t xml:space="preserve">      个人活存FTP</t>
  </si>
  <si>
    <t>A04.17.01.03</t>
  </si>
  <si>
    <t xml:space="preserve">    个人定存FTP收入</t>
  </si>
  <si>
    <t>A04.17.01.03.01</t>
  </si>
  <si>
    <t xml:space="preserve">      个人定存FTP</t>
  </si>
  <si>
    <t>A04.17.02</t>
  </si>
  <si>
    <t>A04.17.02.02</t>
  </si>
  <si>
    <t>A04.17.02.02.01</t>
  </si>
  <si>
    <t>A04.17.99</t>
  </si>
  <si>
    <t>A04.17.99.01</t>
  </si>
  <si>
    <t>A04.18</t>
  </si>
  <si>
    <t>A04.18.05</t>
  </si>
  <si>
    <t xml:space="preserve">  代销手续费收入</t>
  </si>
  <si>
    <t>A04.18.05.01</t>
  </si>
  <si>
    <t>A04.18.99</t>
  </si>
  <si>
    <t>A04.19</t>
  </si>
  <si>
    <t>A04.19.03</t>
  </si>
  <si>
    <t>A04.19.03.01</t>
  </si>
  <si>
    <t>A04.19.15</t>
  </si>
  <si>
    <t xml:space="preserve">  积分</t>
  </si>
  <si>
    <t>A04.19.15.01</t>
  </si>
  <si>
    <t>A04.19.99</t>
  </si>
  <si>
    <t>A04.20</t>
  </si>
  <si>
    <t>A04.21</t>
  </si>
  <si>
    <t>A05.01</t>
  </si>
  <si>
    <t>A05.01.01</t>
  </si>
  <si>
    <t>A05.01.01.01</t>
  </si>
  <si>
    <t>A05.01.01.02</t>
  </si>
  <si>
    <t>A05.01.02</t>
  </si>
  <si>
    <t>A05.01.03</t>
  </si>
  <si>
    <t>A05.02</t>
  </si>
  <si>
    <t>A05.03</t>
  </si>
  <si>
    <t>A05.04</t>
  </si>
  <si>
    <t>A05.05</t>
  </si>
  <si>
    <t>A05.05.01</t>
  </si>
  <si>
    <t>A05.05.01.01</t>
  </si>
  <si>
    <t>A05.05.01.02</t>
  </si>
  <si>
    <t>A05.05.02</t>
  </si>
  <si>
    <t>A05.05.02.01</t>
  </si>
  <si>
    <t>A05.05.02.02</t>
  </si>
  <si>
    <t>A05.05.03</t>
  </si>
  <si>
    <t>A05.05.03.01</t>
  </si>
  <si>
    <t>A05.05.03.01.01</t>
  </si>
  <si>
    <t>A05.05.03.01.02</t>
  </si>
  <si>
    <t>A05.05.03.02</t>
  </si>
  <si>
    <t>A05.05.03.03</t>
  </si>
  <si>
    <t>A05.05.03.04</t>
  </si>
  <si>
    <t>A05.05.04</t>
  </si>
  <si>
    <t>A05.05.05</t>
  </si>
  <si>
    <t>A05.06</t>
  </si>
  <si>
    <t>A05.07</t>
  </si>
  <si>
    <t>A05.08</t>
  </si>
  <si>
    <t>A05.09</t>
  </si>
  <si>
    <t>A05.10</t>
  </si>
  <si>
    <t>A05.10.01</t>
  </si>
  <si>
    <t>A05.10.01.01</t>
  </si>
  <si>
    <t>A05.10.02</t>
  </si>
  <si>
    <t>A05.10.03</t>
  </si>
  <si>
    <t>A05.11</t>
  </si>
  <si>
    <t>A05.11.01</t>
  </si>
  <si>
    <t>A05.11.01.01</t>
  </si>
  <si>
    <t>A05.11.02</t>
  </si>
  <si>
    <t>A05.11.03</t>
  </si>
  <si>
    <t xml:space="preserve">  存款余额</t>
  </si>
  <si>
    <t xml:space="preserve">  存款日均</t>
  </si>
  <si>
    <t>A05.14</t>
  </si>
  <si>
    <t>A05.14.01</t>
  </si>
  <si>
    <t>A05.14.01.01</t>
  </si>
  <si>
    <t>A05.15</t>
  </si>
  <si>
    <t>A05.15.01</t>
  </si>
  <si>
    <t>A05.15.01.01</t>
  </si>
  <si>
    <t>A05.15.99</t>
  </si>
  <si>
    <t>A05.15.99.01</t>
  </si>
  <si>
    <t>A05.16</t>
  </si>
  <si>
    <t>A05.16.01</t>
  </si>
  <si>
    <t>A05.16.01.01</t>
  </si>
  <si>
    <t>A05.17</t>
  </si>
  <si>
    <t>A05.17.01</t>
  </si>
  <si>
    <t>A05.17.01.01</t>
  </si>
  <si>
    <t>A05.18</t>
  </si>
  <si>
    <t>A05.18.99</t>
  </si>
  <si>
    <t xml:space="preserve">  手续费收入</t>
  </si>
  <si>
    <t>A05.19</t>
  </si>
  <si>
    <t>A05.19.01</t>
  </si>
  <si>
    <t>A05.19.01.01</t>
  </si>
  <si>
    <t>A05.19.02</t>
  </si>
  <si>
    <t>A05.19.02.01</t>
  </si>
  <si>
    <t>A05.19.03</t>
  </si>
  <si>
    <t>A05.19.03.01</t>
  </si>
  <si>
    <t>A05.19.13</t>
  </si>
  <si>
    <t>A05.19.13.01</t>
  </si>
  <si>
    <t xml:space="preserve">    渠道费率</t>
  </si>
  <si>
    <t>A05.19.99</t>
  </si>
  <si>
    <t>A05.20</t>
  </si>
  <si>
    <t>A05.21</t>
  </si>
  <si>
    <t>B.01</t>
  </si>
  <si>
    <t>B.01.01</t>
  </si>
  <si>
    <t>B.01.01.01</t>
  </si>
  <si>
    <t>B.14</t>
  </si>
  <si>
    <t>B.15</t>
  </si>
  <si>
    <t>B.01.01.02</t>
  </si>
  <si>
    <t>B.16</t>
  </si>
  <si>
    <t>B.17</t>
  </si>
  <si>
    <t>B.01.02</t>
  </si>
  <si>
    <t>B.18</t>
  </si>
  <si>
    <t>B.19</t>
  </si>
  <si>
    <t>B.01.03</t>
  </si>
  <si>
    <t>B.02</t>
  </si>
  <si>
    <t>B.03</t>
  </si>
  <si>
    <t>B.04</t>
  </si>
  <si>
    <t>B.05</t>
  </si>
  <si>
    <t>B.05.01</t>
  </si>
  <si>
    <t>B.05.01.01</t>
  </si>
  <si>
    <t>B.05.01.02</t>
  </si>
  <si>
    <t>B.05.02</t>
  </si>
  <si>
    <t>B.05.02.01</t>
  </si>
  <si>
    <t>B.05.02.02</t>
  </si>
  <si>
    <t>B.05.03</t>
  </si>
  <si>
    <t>B.05.03.01</t>
  </si>
  <si>
    <t>B.05.03.01.01</t>
  </si>
  <si>
    <t>B.05.03.01.02</t>
  </si>
  <si>
    <t>B.05.03.02</t>
  </si>
  <si>
    <t>B.05.03.03</t>
  </si>
  <si>
    <t>B.05.03.04</t>
  </si>
  <si>
    <t>B.05.04</t>
  </si>
  <si>
    <t>B.05.05</t>
  </si>
  <si>
    <t>B.06</t>
  </si>
  <si>
    <t>B.07</t>
  </si>
  <si>
    <t>B.08</t>
  </si>
  <si>
    <t>B.09</t>
  </si>
  <si>
    <t>B.10</t>
  </si>
  <si>
    <t>B.10.01</t>
  </si>
  <si>
    <t>B.10.01.01</t>
  </si>
  <si>
    <t>B.10.01.02</t>
  </si>
  <si>
    <t>B.10.02</t>
  </si>
  <si>
    <t>B.10.03</t>
  </si>
  <si>
    <t>B.10.04</t>
  </si>
  <si>
    <t>B.11</t>
  </si>
  <si>
    <t>B.11.01</t>
  </si>
  <si>
    <t>B.11.01.01</t>
  </si>
  <si>
    <t>B.11.01.02</t>
  </si>
  <si>
    <t>B.11.02</t>
  </si>
  <si>
    <t>B.11.03</t>
  </si>
  <si>
    <t>B.11.04</t>
  </si>
  <si>
    <t>B.12</t>
  </si>
  <si>
    <t>B.12.01</t>
  </si>
  <si>
    <t>B.12.02</t>
  </si>
  <si>
    <t>B.13</t>
  </si>
  <si>
    <t>B.13.01</t>
  </si>
  <si>
    <t>B.13.02</t>
  </si>
  <si>
    <t xml:space="preserve">  代销理财日均</t>
  </si>
  <si>
    <t>B01.01</t>
  </si>
  <si>
    <t>B01.01.01</t>
  </si>
  <si>
    <t>B01.01.01.01</t>
  </si>
  <si>
    <t>B01.01.01.02</t>
  </si>
  <si>
    <t>B01.01.02</t>
  </si>
  <si>
    <t>B01.01.03</t>
  </si>
  <si>
    <t>B01.02</t>
  </si>
  <si>
    <t>B01.03</t>
  </si>
  <si>
    <t>B01.04</t>
  </si>
  <si>
    <t>B01.05</t>
  </si>
  <si>
    <t>B01.05.01</t>
  </si>
  <si>
    <t>B01.05.01.01</t>
  </si>
  <si>
    <t>B01.05.01.02</t>
  </si>
  <si>
    <t>B01.05.02</t>
  </si>
  <si>
    <t>B01.05.02.01</t>
  </si>
  <si>
    <t>B01.05.02.02</t>
  </si>
  <si>
    <t>B01.05.03</t>
  </si>
  <si>
    <t>B01.05.03.01</t>
  </si>
  <si>
    <t>B01.05.03.01.01</t>
  </si>
  <si>
    <t>B01.05.03.01.02</t>
  </si>
  <si>
    <t>B01.05.03.02</t>
  </si>
  <si>
    <t>B01.05.03.03</t>
  </si>
  <si>
    <t>B01.05.03.04</t>
  </si>
  <si>
    <t>B01.05.04</t>
  </si>
  <si>
    <t>B01.05.05</t>
  </si>
  <si>
    <t>B01.06</t>
  </si>
  <si>
    <t>B01.07</t>
  </si>
  <si>
    <t>B01.08</t>
  </si>
  <si>
    <t>B01.09</t>
  </si>
  <si>
    <t>B01.10</t>
  </si>
  <si>
    <t>B01.10.01</t>
  </si>
  <si>
    <t>B01.10.01.01</t>
  </si>
  <si>
    <t>B01.10.01.01.01</t>
  </si>
  <si>
    <t xml:space="preserve">      常规部分</t>
  </si>
  <si>
    <t>B01.10.01.01.02</t>
  </si>
  <si>
    <t xml:space="preserve">      战略部分</t>
  </si>
  <si>
    <t>B01.10.01.02</t>
  </si>
  <si>
    <t>B01.10.01.02.01</t>
  </si>
  <si>
    <t xml:space="preserve">      票据贴现</t>
  </si>
  <si>
    <t>B01.10.01.02.02</t>
  </si>
  <si>
    <t xml:space="preserve">      贸易融资</t>
  </si>
  <si>
    <t>B01.10.02</t>
  </si>
  <si>
    <t>B01.10.03</t>
  </si>
  <si>
    <t>B01.10.03.01</t>
  </si>
  <si>
    <t xml:space="preserve">    ABS</t>
  </si>
  <si>
    <t>B01.10.03.02</t>
  </si>
  <si>
    <t xml:space="preserve">    ABN</t>
  </si>
  <si>
    <t>B01.10.03.03</t>
  </si>
  <si>
    <t xml:space="preserve">    债转</t>
  </si>
  <si>
    <t>B01.10.04</t>
  </si>
  <si>
    <t>B01.11</t>
  </si>
  <si>
    <t>B01.11.01</t>
  </si>
  <si>
    <t>B01.11.01.01</t>
  </si>
  <si>
    <t>B01.11.01.01.01</t>
  </si>
  <si>
    <t>B01.11.01.01.02</t>
  </si>
  <si>
    <t>B01.11.01.02</t>
  </si>
  <si>
    <t>B01.11.01.02.01</t>
  </si>
  <si>
    <t>B01.11.01.02.02</t>
  </si>
  <si>
    <t>B01.11.02</t>
  </si>
  <si>
    <t>B01.11.03</t>
  </si>
  <si>
    <t>B01.11.03.01</t>
  </si>
  <si>
    <t>B01.11.03.02</t>
  </si>
  <si>
    <t>B01.11.03.03</t>
  </si>
  <si>
    <t>B01.11.04</t>
  </si>
  <si>
    <t>B01.12</t>
  </si>
  <si>
    <t>B01.12.01</t>
  </si>
  <si>
    <t>B01.12.01.01</t>
  </si>
  <si>
    <t xml:space="preserve">    常规存款</t>
  </si>
  <si>
    <t>B01.12.01.02</t>
  </si>
  <si>
    <t xml:space="preserve">    银承保函保证金</t>
  </si>
  <si>
    <t>B01.12.02</t>
  </si>
  <si>
    <t>B01.13</t>
  </si>
  <si>
    <t>B01.13.01</t>
  </si>
  <si>
    <t>B01.13.01.01</t>
  </si>
  <si>
    <t>B01.13.01.02</t>
  </si>
  <si>
    <t>B01.13.02</t>
  </si>
  <si>
    <t>B01.24</t>
  </si>
  <si>
    <t>B01.24.01</t>
  </si>
  <si>
    <t>B01.24.03</t>
  </si>
  <si>
    <t>B01.24.04</t>
  </si>
  <si>
    <t>B01.24.04.09</t>
  </si>
  <si>
    <t>B01.25</t>
  </si>
  <si>
    <t>B01.25.01</t>
  </si>
  <si>
    <t>B01.25.03</t>
  </si>
  <si>
    <t>B01.25.04</t>
  </si>
  <si>
    <t>B01.25.04.09</t>
  </si>
  <si>
    <t>B01.26</t>
  </si>
  <si>
    <t>B01.26.02</t>
  </si>
  <si>
    <t>B01.26.05</t>
  </si>
  <si>
    <t>B01.27</t>
  </si>
  <si>
    <t>B01.27.02</t>
  </si>
  <si>
    <t>B01.27.05</t>
  </si>
  <si>
    <t>B01.14</t>
  </si>
  <si>
    <t>B01.14.01</t>
  </si>
  <si>
    <t>B01.14.01.01</t>
  </si>
  <si>
    <t xml:space="preserve">    贷款账面收息率</t>
  </si>
  <si>
    <t>B01.14.01.02</t>
  </si>
  <si>
    <t xml:space="preserve">    贷款还原收息率</t>
  </si>
  <si>
    <t>B01.14.01.03</t>
  </si>
  <si>
    <t xml:space="preserve">    一般贷款利息收入</t>
  </si>
  <si>
    <t>B01.14.01.03.01</t>
  </si>
  <si>
    <t xml:space="preserve">      一般贷款账面收息率</t>
  </si>
  <si>
    <t>B01.14.01.03.02</t>
  </si>
  <si>
    <t xml:space="preserve">      一般贷款还原收息率</t>
  </si>
  <si>
    <t>B01.14.01.03.03</t>
  </si>
  <si>
    <t xml:space="preserve">      常规部分利息收入</t>
  </si>
  <si>
    <t>B01.14.01.03.03.01</t>
  </si>
  <si>
    <t xml:space="preserve">        常规账面收息率</t>
  </si>
  <si>
    <t>B01.14.01.03.03.02</t>
  </si>
  <si>
    <t xml:space="preserve">        常规还原利息收入</t>
  </si>
  <si>
    <t>B01.14.01.03.03.03</t>
  </si>
  <si>
    <t xml:space="preserve">        常规还原收息率</t>
  </si>
  <si>
    <t>B01.14.01.03.03.04</t>
  </si>
  <si>
    <t xml:space="preserve">        清仓回购利息收入</t>
  </si>
  <si>
    <t>B01.14.01.03.03.05</t>
  </si>
  <si>
    <t xml:space="preserve">        渠道费抵减利息收入</t>
  </si>
  <si>
    <t>B01.14.01.03.03.06</t>
  </si>
  <si>
    <t xml:space="preserve">        增值税回冲</t>
  </si>
  <si>
    <t>B01.14.01.03.04</t>
  </si>
  <si>
    <t xml:space="preserve">      战略部分利息收入</t>
  </si>
  <si>
    <t>B01.14.01.03.04.01</t>
  </si>
  <si>
    <t xml:space="preserve">        战略账面收息率</t>
  </si>
  <si>
    <t>B01.14.01.03.04.02</t>
  </si>
  <si>
    <t xml:space="preserve">        战略还原利息收入</t>
  </si>
  <si>
    <t>B01.14.01.03.04.03</t>
  </si>
  <si>
    <t xml:space="preserve">        战略还原收息率</t>
  </si>
  <si>
    <t>B01.14.01.03.04.04</t>
  </si>
  <si>
    <t>B01.14.01.03.04.05</t>
  </si>
  <si>
    <t>B01.14.01.03.04.06</t>
  </si>
  <si>
    <t>B01.14.01.04</t>
  </si>
  <si>
    <t xml:space="preserve">    票据贴现利息收入</t>
  </si>
  <si>
    <t>B01.14.01.04.01</t>
  </si>
  <si>
    <t xml:space="preserve">      票据贴现收息率</t>
  </si>
  <si>
    <t>B01.14.01.05</t>
  </si>
  <si>
    <t xml:space="preserve">    贸易融资利息收入</t>
  </si>
  <si>
    <t>B01.14.01.05.01</t>
  </si>
  <si>
    <t xml:space="preserve">      贸易融资收息率</t>
  </si>
  <si>
    <t>B01.14.02</t>
  </si>
  <si>
    <t>B01.14.02.02</t>
  </si>
  <si>
    <t>B01.14.02.02.01</t>
  </si>
  <si>
    <t>B01.14.02.04</t>
  </si>
  <si>
    <t xml:space="preserve">    买入返售利息收入</t>
  </si>
  <si>
    <t>B01.14.02.04.01</t>
  </si>
  <si>
    <t xml:space="preserve">      买入返售收息率</t>
  </si>
  <si>
    <t>B01.14.03</t>
  </si>
  <si>
    <t>投资利息收入</t>
  </si>
  <si>
    <t>B01.14.03.09</t>
  </si>
  <si>
    <t xml:space="preserve">  ABS投资利息收入</t>
  </si>
  <si>
    <t>B01.14.03.09.01</t>
  </si>
  <si>
    <t xml:space="preserve">    ABS收息率</t>
  </si>
  <si>
    <t>B01.15</t>
  </si>
  <si>
    <t>B01.15.01</t>
  </si>
  <si>
    <t>B01.15.01.01</t>
  </si>
  <si>
    <t xml:space="preserve">    一般贷款FTP成本</t>
  </si>
  <si>
    <t>B01.15.01.01.01</t>
  </si>
  <si>
    <t xml:space="preserve">      一般贷款FTP</t>
  </si>
  <si>
    <t>B01.15.01.01.02</t>
  </si>
  <si>
    <t xml:space="preserve">      常规部分FTP成本</t>
  </si>
  <si>
    <t>B01.15.01.01.02.01</t>
  </si>
  <si>
    <t xml:space="preserve">        常规部分FTP</t>
  </si>
  <si>
    <t>B01.15.01.01.03</t>
  </si>
  <si>
    <t xml:space="preserve">      战略部分FTP成本</t>
  </si>
  <si>
    <t>B01.15.01.01.03.01</t>
  </si>
  <si>
    <t xml:space="preserve">        战略部分FTP</t>
  </si>
  <si>
    <t>B01.15.01.02</t>
  </si>
  <si>
    <t xml:space="preserve">    票据贴现FTP成本</t>
  </si>
  <si>
    <t>B01.15.01.02.01</t>
  </si>
  <si>
    <t xml:space="preserve">      票据贴现FTP</t>
  </si>
  <si>
    <t>B01.15.01.03</t>
  </si>
  <si>
    <t xml:space="preserve">    贸易融资FTP成本</t>
  </si>
  <si>
    <t>B01.15.01.03.01</t>
  </si>
  <si>
    <t xml:space="preserve">      贸易融资FTP</t>
  </si>
  <si>
    <t>B01.15.02</t>
  </si>
  <si>
    <t>B01.15.02.02</t>
  </si>
  <si>
    <t>B01.15.02.02.01</t>
  </si>
  <si>
    <t>B01.15.02.04</t>
  </si>
  <si>
    <t xml:space="preserve">    买入返售FTP成本</t>
  </si>
  <si>
    <t>B01.15.02.04.01</t>
  </si>
  <si>
    <t xml:space="preserve">      买入返售FTP</t>
  </si>
  <si>
    <t>B01.15.03</t>
  </si>
  <si>
    <t xml:space="preserve">  投资FTP成本</t>
  </si>
  <si>
    <t>B01.15.03.09</t>
  </si>
  <si>
    <t xml:space="preserve">    ABS投资FTP成本</t>
  </si>
  <si>
    <t>B01.15.03.09.01</t>
  </si>
  <si>
    <t xml:space="preserve">      ABS投资FTP</t>
  </si>
  <si>
    <t>B01.15.99</t>
  </si>
  <si>
    <t>B01.15.99.01</t>
  </si>
  <si>
    <t>B01.16</t>
  </si>
  <si>
    <t>B01.16.01</t>
  </si>
  <si>
    <t>B01.16.01.01</t>
  </si>
  <si>
    <t>B01.16.01.02</t>
  </si>
  <si>
    <t xml:space="preserve">    常规存款利息支出</t>
  </si>
  <si>
    <t>B01.16.01.02.01</t>
  </si>
  <si>
    <t xml:space="preserve">      常规存款付息率</t>
  </si>
  <si>
    <t>B01.16.01.03</t>
  </si>
  <si>
    <t xml:space="preserve">    保证金存款利息支出</t>
  </si>
  <si>
    <t>B01.16.01.03.01</t>
  </si>
  <si>
    <t xml:space="preserve">      保证金存款付息率</t>
  </si>
  <si>
    <t>B01.16.02</t>
  </si>
  <si>
    <t>B01.16.02.02</t>
  </si>
  <si>
    <t>B01.16.02.02.01</t>
  </si>
  <si>
    <t>B01.16.02.05</t>
  </si>
  <si>
    <t xml:space="preserve">    卖出回购利息支出</t>
  </si>
  <si>
    <t>B01.16.02.05.01</t>
  </si>
  <si>
    <t xml:space="preserve">      卖出回购付息率</t>
  </si>
  <si>
    <t>B01.17</t>
  </si>
  <si>
    <t>B01.17.01</t>
  </si>
  <si>
    <t>B01.17.01.01</t>
  </si>
  <si>
    <t>B01.17.01.02</t>
  </si>
  <si>
    <t xml:space="preserve">    常规存款FTP收入</t>
  </si>
  <si>
    <t>B01.17.01.02.01</t>
  </si>
  <si>
    <t xml:space="preserve">      常规存款FTP</t>
  </si>
  <si>
    <t>B01.17.01.03</t>
  </si>
  <si>
    <t xml:space="preserve">    保证金存款FTP收入</t>
  </si>
  <si>
    <t>B01.17.01.03.01</t>
  </si>
  <si>
    <t xml:space="preserve">      保证金存款FTP</t>
  </si>
  <si>
    <t>B01.17.02</t>
  </si>
  <si>
    <t>B01.17.02.02</t>
  </si>
  <si>
    <t>B01.17.02.02.01</t>
  </si>
  <si>
    <t>B01.17.02.05</t>
  </si>
  <si>
    <t xml:space="preserve">    卖出回购FTP收入</t>
  </si>
  <si>
    <t>B01.17.02.05.01</t>
  </si>
  <si>
    <t xml:space="preserve">      卖出回购FTP</t>
  </si>
  <si>
    <t>B01.17.99</t>
  </si>
  <si>
    <t>B01.17.99.01</t>
  </si>
  <si>
    <t>B01.18</t>
  </si>
  <si>
    <t>B01.18.01</t>
  </si>
  <si>
    <t>B01.18.01.01</t>
  </si>
  <si>
    <t>B01.18.01.02</t>
  </si>
  <si>
    <t xml:space="preserve">    小微银银收入</t>
  </si>
  <si>
    <t>B01.18.01.02.01</t>
  </si>
  <si>
    <t xml:space="preserve">      小微银银收益率</t>
  </si>
  <si>
    <t>B01.18.01.03</t>
  </si>
  <si>
    <t xml:space="preserve">    冲销金额</t>
  </si>
  <si>
    <t>B01.18.02</t>
  </si>
  <si>
    <t xml:space="preserve">  ABS收入</t>
  </si>
  <si>
    <t>B01.18.03</t>
  </si>
  <si>
    <t xml:space="preserve">  ABN收入</t>
  </si>
  <si>
    <t>B01.18.04</t>
  </si>
  <si>
    <t xml:space="preserve">  流量经营收入</t>
  </si>
  <si>
    <t>B01.18.05</t>
  </si>
  <si>
    <t xml:space="preserve">  企金代销收入</t>
  </si>
  <si>
    <t>B01.18.05.01</t>
  </si>
  <si>
    <t xml:space="preserve">    代销保险</t>
  </si>
  <si>
    <t>B01.18.05.02</t>
  </si>
  <si>
    <t xml:space="preserve">    代销理财</t>
  </si>
  <si>
    <t>B01.18.08</t>
  </si>
  <si>
    <t xml:space="preserve">  银承保函收入</t>
  </si>
  <si>
    <t>B01.18.06</t>
  </si>
  <si>
    <t xml:space="preserve">  催收费收入</t>
  </si>
  <si>
    <t>B01.18.99</t>
  </si>
  <si>
    <t>B01.19</t>
  </si>
  <si>
    <t>B01.19.01</t>
  </si>
  <si>
    <t>B01.19.01.01</t>
  </si>
  <si>
    <t>B01.19.02</t>
  </si>
  <si>
    <t>B01.19.02.01</t>
  </si>
  <si>
    <t>B01.19.03</t>
  </si>
  <si>
    <t>B01.19.03.01</t>
  </si>
  <si>
    <t>B01.19.04</t>
  </si>
  <si>
    <t>B01.19.05</t>
  </si>
  <si>
    <t xml:space="preserve">  担保费用</t>
  </si>
  <si>
    <t>B01.19.14</t>
  </si>
  <si>
    <t>B01.19.14.01</t>
  </si>
  <si>
    <t>B01.19.99</t>
  </si>
  <si>
    <t>B01.20</t>
  </si>
  <si>
    <t>B01.20.01</t>
  </si>
  <si>
    <t xml:space="preserve">  票据转贴现</t>
  </si>
  <si>
    <t>B01.20.02</t>
  </si>
  <si>
    <t xml:space="preserve">  小微激励金</t>
  </si>
  <si>
    <t>B01.21</t>
  </si>
  <si>
    <t>B02.01</t>
  </si>
  <si>
    <t>B02.01.01</t>
  </si>
  <si>
    <t>B02.01.01.01</t>
  </si>
  <si>
    <t>B02.01.01.02</t>
  </si>
  <si>
    <t>B02.01.02</t>
  </si>
  <si>
    <t>B02.01.03</t>
  </si>
  <si>
    <t>B02.02</t>
  </si>
  <si>
    <t>B02.03</t>
  </si>
  <si>
    <t>B02.04</t>
  </si>
  <si>
    <t>B02.05</t>
  </si>
  <si>
    <t>B02.05.01</t>
  </si>
  <si>
    <t>B02.05.01.01</t>
  </si>
  <si>
    <t>B02.05.01.02</t>
  </si>
  <si>
    <t>B02.05.02</t>
  </si>
  <si>
    <t>B02.05.02.01</t>
  </si>
  <si>
    <t>B02.05.02.02</t>
  </si>
  <si>
    <t>B02.05.03</t>
  </si>
  <si>
    <t>B02.05.03.01</t>
  </si>
  <si>
    <t>B02.05.03.01.01</t>
  </si>
  <si>
    <t>B02.05.03.01.02</t>
  </si>
  <si>
    <t>B02.05.03.02</t>
  </si>
  <si>
    <t>B02.05.03.03</t>
  </si>
  <si>
    <t>B02.05.03.04</t>
  </si>
  <si>
    <t>B02.05.04</t>
  </si>
  <si>
    <t>B02.05.05</t>
  </si>
  <si>
    <t>B02.06</t>
  </si>
  <si>
    <t>B02.07</t>
  </si>
  <si>
    <t>B02.08</t>
  </si>
  <si>
    <t>B02.09</t>
  </si>
  <si>
    <t>B02.10</t>
  </si>
  <si>
    <t>B02.10.01</t>
  </si>
  <si>
    <t>B02.10.01.02</t>
  </si>
  <si>
    <t>B02.11</t>
  </si>
  <si>
    <t>B02.11.01</t>
  </si>
  <si>
    <t>B02.11.01.02</t>
  </si>
  <si>
    <t>B02.22</t>
  </si>
  <si>
    <t>存放央行余额</t>
  </si>
  <si>
    <t>B02.22.01</t>
  </si>
  <si>
    <t xml:space="preserve">  法准</t>
  </si>
  <si>
    <t>B02.22.02</t>
  </si>
  <si>
    <t xml:space="preserve">  超备</t>
  </si>
  <si>
    <t>B02.23</t>
  </si>
  <si>
    <t>存放央行日均</t>
  </si>
  <si>
    <t>B02.23.01</t>
  </si>
  <si>
    <t>B02.23.02</t>
  </si>
  <si>
    <t>B02.24</t>
  </si>
  <si>
    <t>B02.24.01</t>
  </si>
  <si>
    <t>B02.24.02</t>
  </si>
  <si>
    <t>B02.24.03</t>
  </si>
  <si>
    <t>B02.24.04</t>
  </si>
  <si>
    <t>B02.24.04.01</t>
  </si>
  <si>
    <t xml:space="preserve">    利率债</t>
  </si>
  <si>
    <t>B02.24.04.01.01</t>
  </si>
  <si>
    <t xml:space="preserve">      AC和OCI</t>
  </si>
  <si>
    <t>B02.24.04.01.02</t>
  </si>
  <si>
    <t xml:space="preserve">      PL</t>
  </si>
  <si>
    <t>B02.24.04.02</t>
  </si>
  <si>
    <t xml:space="preserve">    国债</t>
  </si>
  <si>
    <t>B02.24.04.03</t>
  </si>
  <si>
    <t xml:space="preserve">    政金债</t>
  </si>
  <si>
    <t>B02.24.04.04</t>
  </si>
  <si>
    <t xml:space="preserve">    地方债</t>
  </si>
  <si>
    <t>B02.24.04.05</t>
  </si>
  <si>
    <t xml:space="preserve">    铁道债</t>
  </si>
  <si>
    <t>B02.24.04.06</t>
  </si>
  <si>
    <t xml:space="preserve">    银行债</t>
  </si>
  <si>
    <t>B02.24.04.07</t>
  </si>
  <si>
    <t xml:space="preserve">    非银债</t>
  </si>
  <si>
    <t>B02.24.04.08</t>
  </si>
  <si>
    <t xml:space="preserve">    信用债</t>
  </si>
  <si>
    <t>B02.24.04.08.01</t>
  </si>
  <si>
    <t>B02.24.04.08.02</t>
  </si>
  <si>
    <t>B02.24.04.09</t>
  </si>
  <si>
    <t>B02.24.04.10</t>
  </si>
  <si>
    <t xml:space="preserve">    二级资本债</t>
  </si>
  <si>
    <t>B02.24.05</t>
  </si>
  <si>
    <t>B02.24.05.01</t>
  </si>
  <si>
    <t xml:space="preserve">    AC和OCI</t>
  </si>
  <si>
    <t>B02.24.05.02</t>
  </si>
  <si>
    <t xml:space="preserve">    PL</t>
  </si>
  <si>
    <t>B02.24.06</t>
  </si>
  <si>
    <t xml:space="preserve">  基金投资</t>
  </si>
  <si>
    <t>B02.24.06.01</t>
  </si>
  <si>
    <t xml:space="preserve">    货基</t>
  </si>
  <si>
    <t>B02.24.06.02</t>
  </si>
  <si>
    <t xml:space="preserve">    债基</t>
  </si>
  <si>
    <t>B02.25</t>
  </si>
  <si>
    <t>B02.25.01</t>
  </si>
  <si>
    <t>B02.25.02</t>
  </si>
  <si>
    <t>B02.25.03</t>
  </si>
  <si>
    <t>B02.25.04</t>
  </si>
  <si>
    <t>B02.25.04.01</t>
  </si>
  <si>
    <t>B02.25.04.02</t>
  </si>
  <si>
    <t>B02.25.04.03</t>
  </si>
  <si>
    <t>B02.25.04.04</t>
  </si>
  <si>
    <t>B02.25.04.05</t>
  </si>
  <si>
    <t>B02.25.04.06</t>
  </si>
  <si>
    <t>B02.25.04.07</t>
  </si>
  <si>
    <t>B02.25.04.08</t>
  </si>
  <si>
    <t xml:space="preserve">     信用债</t>
  </si>
  <si>
    <t>B02.25.04.09</t>
  </si>
  <si>
    <t>B02.25.04.10</t>
  </si>
  <si>
    <t>B02.25.05</t>
  </si>
  <si>
    <t>B02.25.06</t>
  </si>
  <si>
    <t>B02.25.06.01</t>
  </si>
  <si>
    <t>B02.25.06.02</t>
  </si>
  <si>
    <t>B02.25.07</t>
  </si>
  <si>
    <t xml:space="preserve">  其他PL资产</t>
  </si>
  <si>
    <t>B02.25.07.01</t>
  </si>
  <si>
    <t xml:space="preserve">    PL利率债</t>
  </si>
  <si>
    <t>B02.25.07.02</t>
  </si>
  <si>
    <t xml:space="preserve">    PL信用债</t>
  </si>
  <si>
    <t>B02.25.07.03</t>
  </si>
  <si>
    <t xml:space="preserve">    PL同业存单投资</t>
  </si>
  <si>
    <t>B02.26</t>
  </si>
  <si>
    <t>B02.26.02</t>
  </si>
  <si>
    <t>B02.26.03</t>
  </si>
  <si>
    <t>B02.26.04</t>
  </si>
  <si>
    <t>B02.26.05</t>
  </si>
  <si>
    <t>B02.26.06</t>
  </si>
  <si>
    <t xml:space="preserve">负债余额 </t>
  </si>
  <si>
    <t>B02.26.07</t>
  </si>
  <si>
    <t xml:space="preserve">  交易性金融负债</t>
  </si>
  <si>
    <t>B02.27</t>
  </si>
  <si>
    <t>B02.27.02</t>
  </si>
  <si>
    <t>B02.27.03</t>
  </si>
  <si>
    <t>B02.27.04</t>
  </si>
  <si>
    <t>B02.27.05</t>
  </si>
  <si>
    <t>B02.27.06</t>
  </si>
  <si>
    <t>B02.27.07</t>
  </si>
  <si>
    <t>B02.14</t>
  </si>
  <si>
    <t>B02.14.01</t>
  </si>
  <si>
    <t>B02.14.01.01</t>
  </si>
  <si>
    <t>B02.14.02</t>
  </si>
  <si>
    <t>B02.14.02.01</t>
  </si>
  <si>
    <t xml:space="preserve">    存放央行</t>
  </si>
  <si>
    <t>B02.14.02.01.01</t>
  </si>
  <si>
    <t xml:space="preserve">      收息率</t>
  </si>
  <si>
    <t>B02.14.02.02</t>
  </si>
  <si>
    <t>B02.14.02.02.01</t>
  </si>
  <si>
    <t>B02.14.02.03</t>
  </si>
  <si>
    <t>B02.14.02.03.01</t>
  </si>
  <si>
    <t>B02.14.02.04</t>
  </si>
  <si>
    <t>B02.14.02.04.01</t>
  </si>
  <si>
    <t>B02.14.02.05</t>
  </si>
  <si>
    <t>B02.14.02.05.01</t>
  </si>
  <si>
    <t>B02.14.03</t>
  </si>
  <si>
    <t xml:space="preserve">  投资利息收入</t>
  </si>
  <si>
    <t>B02.14.03.01</t>
  </si>
  <si>
    <t>B02.14.03.01.01</t>
  </si>
  <si>
    <t>B02.14.03.02</t>
  </si>
  <si>
    <t>B02.14.03.02.01</t>
  </si>
  <si>
    <t>B02.14.03.03</t>
  </si>
  <si>
    <t>B02.14.03.03.01</t>
  </si>
  <si>
    <t>B02.14.03.04</t>
  </si>
  <si>
    <t>B02.14.03.04.01</t>
  </si>
  <si>
    <t>B02.14.03.05</t>
  </si>
  <si>
    <t>B02.14.03.05.01</t>
  </si>
  <si>
    <t>B02.14.03.06</t>
  </si>
  <si>
    <t>B02.14.03.06.01</t>
  </si>
  <si>
    <t>B02.14.03.07</t>
  </si>
  <si>
    <t>B02.14.03.07.01</t>
  </si>
  <si>
    <t>B02.14.03.08</t>
  </si>
  <si>
    <t>B02.14.03.08.01</t>
  </si>
  <si>
    <t>B02.14.03.09</t>
  </si>
  <si>
    <t xml:space="preserve">    ABS投资</t>
  </si>
  <si>
    <t>B02.14.03.09.01</t>
  </si>
  <si>
    <t>B02.14.03.10</t>
  </si>
  <si>
    <t>B02.14.03.10.01</t>
  </si>
  <si>
    <t>B02.15</t>
  </si>
  <si>
    <t>B02.15.01</t>
  </si>
  <si>
    <t>B02.15.01.01</t>
  </si>
  <si>
    <t>B02.15.02</t>
  </si>
  <si>
    <t>B02.15.02.01</t>
  </si>
  <si>
    <t>B02.15.02.01.01</t>
  </si>
  <si>
    <t xml:space="preserve">      FTP</t>
  </si>
  <si>
    <t>B02.15.02.02</t>
  </si>
  <si>
    <t>B02.15.02.02.01</t>
  </si>
  <si>
    <t>B02.15.02.03</t>
  </si>
  <si>
    <t>B02.15.02.03.01</t>
  </si>
  <si>
    <t>B02.15.02.04</t>
  </si>
  <si>
    <t>B02.15.02.04.01</t>
  </si>
  <si>
    <t>B02.15.02.05</t>
  </si>
  <si>
    <t>B02.15.02.05.01</t>
  </si>
  <si>
    <t>B02.15.03</t>
  </si>
  <si>
    <t>B02.15.03.01</t>
  </si>
  <si>
    <t>B02.15.03.01.01</t>
  </si>
  <si>
    <t>B02.15.03.02</t>
  </si>
  <si>
    <t>B02.15.03.02.01</t>
  </si>
  <si>
    <t>B02.15.03.03</t>
  </si>
  <si>
    <t>B02.15.03.03.01</t>
  </si>
  <si>
    <t>B02.15.03.04</t>
  </si>
  <si>
    <t>B02.15.03.04.01</t>
  </si>
  <si>
    <t>B02.15.03.05</t>
  </si>
  <si>
    <t>B02.15.03.05.01</t>
  </si>
  <si>
    <t>B02.15.03.06</t>
  </si>
  <si>
    <t>B02.15.03.06.01</t>
  </si>
  <si>
    <t>B02.15.03.07</t>
  </si>
  <si>
    <t>B02.15.03.07.01</t>
  </si>
  <si>
    <t>B02.15.03.08</t>
  </si>
  <si>
    <t>B02.15.03.08.01</t>
  </si>
  <si>
    <t>B02.15.03.09</t>
  </si>
  <si>
    <t>B02.15.03.09.01</t>
  </si>
  <si>
    <t>B02.15.03.10</t>
  </si>
  <si>
    <t>B02.15.03.10.01</t>
  </si>
  <si>
    <t>B02.15.03.11</t>
  </si>
  <si>
    <t>B02.15.03.11.01</t>
  </si>
  <si>
    <t>B02.15.03.12</t>
  </si>
  <si>
    <t>B02.15.03.12.01</t>
  </si>
  <si>
    <t>B02.16</t>
  </si>
  <si>
    <t>B02.16.02</t>
  </si>
  <si>
    <t>B02.16.02.02</t>
  </si>
  <si>
    <t>B02.16.02.02.01</t>
  </si>
  <si>
    <t xml:space="preserve">      付息率</t>
  </si>
  <si>
    <t>B02.16.02.03</t>
  </si>
  <si>
    <t>B02.16.02.03.01</t>
  </si>
  <si>
    <t>B02.16.02.04</t>
  </si>
  <si>
    <t>B02.16.02.04.01</t>
  </si>
  <si>
    <t>B02.16.02.05</t>
  </si>
  <si>
    <t>B02.16.02.05.01</t>
  </si>
  <si>
    <t>B02.16.02.06</t>
  </si>
  <si>
    <t>B02.16.02.06.01</t>
  </si>
  <si>
    <t>B02.17</t>
  </si>
  <si>
    <t>B02.17.02</t>
  </si>
  <si>
    <t>B02.17.02.01</t>
  </si>
  <si>
    <t>B02.17.02.01.01</t>
  </si>
  <si>
    <t>B02.17.02.02</t>
  </si>
  <si>
    <t>B02.17.02.02.01</t>
  </si>
  <si>
    <t>B02.17.02.03</t>
  </si>
  <si>
    <t>B02.17.02.03.01</t>
  </si>
  <si>
    <t>B02.17.02.04</t>
  </si>
  <si>
    <t>B02.17.02.04.01</t>
  </si>
  <si>
    <t>B02.17.02.05</t>
  </si>
  <si>
    <t>B02.17.02.05.01</t>
  </si>
  <si>
    <t>B02.17.03</t>
  </si>
  <si>
    <t xml:space="preserve">    交易性金融负债</t>
  </si>
  <si>
    <t>B02.17.03.01</t>
  </si>
  <si>
    <t>B02.18</t>
  </si>
  <si>
    <t>B02.18.99</t>
  </si>
  <si>
    <t>B02.19</t>
  </si>
  <si>
    <t>B02.19.99</t>
  </si>
  <si>
    <t xml:space="preserve">  手续费支出</t>
  </si>
  <si>
    <t>B02.20</t>
  </si>
  <si>
    <t>B02.20.01</t>
  </si>
  <si>
    <t xml:space="preserve">  价差+公允价值变动损益</t>
  </si>
  <si>
    <t>B02.20.01.01</t>
  </si>
  <si>
    <t xml:space="preserve">    债券价差</t>
  </si>
  <si>
    <t>B02.20.01.02</t>
  </si>
  <si>
    <t xml:space="preserve">    债券公允价值变动</t>
  </si>
  <si>
    <t>B02.20.01.03</t>
  </si>
  <si>
    <t xml:space="preserve">    同业存单价差</t>
  </si>
  <si>
    <t>B02.20.01.04</t>
  </si>
  <si>
    <t xml:space="preserve">    同业存单公允价值变动</t>
  </si>
  <si>
    <t>B02.20.01.05</t>
  </si>
  <si>
    <t xml:space="preserve">    交易性金融负债价差</t>
  </si>
  <si>
    <t>B02.20.01.06</t>
  </si>
  <si>
    <t xml:space="preserve">    交易性金融负债公允价值变动</t>
  </si>
  <si>
    <t>B02.20.01.99</t>
  </si>
  <si>
    <t xml:space="preserve">    其他</t>
  </si>
  <si>
    <t>B02.20.02</t>
  </si>
  <si>
    <t xml:space="preserve">  PL债券投资利息收入</t>
  </si>
  <si>
    <t>B02.20.02.01</t>
  </si>
  <si>
    <t xml:space="preserve">    收息率</t>
  </si>
  <si>
    <t>B02.20.03</t>
  </si>
  <si>
    <t xml:space="preserve">  PL同业存单投资利息收入</t>
  </si>
  <si>
    <t>B02.20.03.01</t>
  </si>
  <si>
    <t>B02.20.04</t>
  </si>
  <si>
    <t xml:space="preserve">  货基投资</t>
  </si>
  <si>
    <t>B02.20.04.01</t>
  </si>
  <si>
    <t>B02.20.05</t>
  </si>
  <si>
    <t xml:space="preserve">  债基投资</t>
  </si>
  <si>
    <t>B02.20.05.01</t>
  </si>
  <si>
    <t>B02.20.06</t>
  </si>
  <si>
    <t>B02.20.06.01</t>
  </si>
  <si>
    <t xml:space="preserve">    付息率</t>
  </si>
  <si>
    <t>B02.20.99</t>
  </si>
  <si>
    <t xml:space="preserve">  返税收入</t>
  </si>
  <si>
    <t>B02.20.99.01</t>
  </si>
  <si>
    <t>B02.20.99.01.01</t>
  </si>
  <si>
    <t xml:space="preserve">      国债</t>
  </si>
  <si>
    <t>B02.20.99.01.02</t>
  </si>
  <si>
    <t xml:space="preserve">      返税后收益率</t>
  </si>
  <si>
    <t>B02.20.99.01.03</t>
  </si>
  <si>
    <t xml:space="preserve">      地方债</t>
  </si>
  <si>
    <t>B02.20.99.01.04</t>
  </si>
  <si>
    <t>B02.20.99.02</t>
  </si>
  <si>
    <t>B02.20.99.02.01</t>
  </si>
  <si>
    <t xml:space="preserve">      货基</t>
  </si>
  <si>
    <t>B02.20.99.02.02</t>
  </si>
  <si>
    <t>B02.20.99.02.03</t>
  </si>
  <si>
    <t xml:space="preserve">      债基</t>
  </si>
  <si>
    <t>B02.20.99.02.04</t>
  </si>
  <si>
    <t>B02.21</t>
  </si>
  <si>
    <t>C.01</t>
  </si>
  <si>
    <t>C.01.01</t>
  </si>
  <si>
    <t>C.01.01.01</t>
  </si>
  <si>
    <t>C.14</t>
  </si>
  <si>
    <t>C.15</t>
  </si>
  <si>
    <t>C.01.01.02</t>
  </si>
  <si>
    <t>C.16</t>
  </si>
  <si>
    <t>C.17</t>
  </si>
  <si>
    <t>C.01.02</t>
  </si>
  <si>
    <t>C.18</t>
  </si>
  <si>
    <t>C.19</t>
  </si>
  <si>
    <t>C.01.03</t>
  </si>
  <si>
    <t>C.02</t>
  </si>
  <si>
    <t>C.03</t>
  </si>
  <si>
    <t>C.04</t>
  </si>
  <si>
    <t>C.05</t>
  </si>
  <si>
    <t>C.05.01</t>
  </si>
  <si>
    <t>C.05.01.01</t>
  </si>
  <si>
    <t>C.05.01.02</t>
  </si>
  <si>
    <t>C.05.02</t>
  </si>
  <si>
    <t>C.05.02.01</t>
  </si>
  <si>
    <t>C.05.02.02</t>
  </si>
  <si>
    <t>C.05.03</t>
  </si>
  <si>
    <t>C.05.03.01</t>
  </si>
  <si>
    <t>C.05.03.01.01</t>
  </si>
  <si>
    <t>C.05.03.01.02</t>
  </si>
  <si>
    <t>C.05.03.02</t>
  </si>
  <si>
    <t>C.05.03.03</t>
  </si>
  <si>
    <t>C.05.03.04</t>
  </si>
  <si>
    <t>C.05.04</t>
  </si>
  <si>
    <t>C.05.05</t>
  </si>
  <si>
    <t>C.06</t>
  </si>
  <si>
    <t>C.07</t>
  </si>
  <si>
    <t>C.08</t>
  </si>
  <si>
    <t>C.09</t>
  </si>
  <si>
    <t>C.12</t>
  </si>
  <si>
    <t>C.12.01</t>
  </si>
  <si>
    <t>C.13</t>
  </si>
  <si>
    <t>C.13.01</t>
  </si>
  <si>
    <t>C01.01</t>
  </si>
  <si>
    <t>C01.01.01</t>
  </si>
  <si>
    <t>C01.01.01.01</t>
  </si>
  <si>
    <t>C01.01.01.02</t>
  </si>
  <si>
    <t>C01.01.02</t>
  </si>
  <si>
    <t>C01.01.03</t>
  </si>
  <si>
    <t>C01.02</t>
  </si>
  <si>
    <t>C01.03</t>
  </si>
  <si>
    <t>C01.04</t>
  </si>
  <si>
    <t>C01.05</t>
  </si>
  <si>
    <t>C01.05.01</t>
  </si>
  <si>
    <t>C01.05.01.01</t>
  </si>
  <si>
    <t>C01.05.01.02</t>
  </si>
  <si>
    <t>C01.05.02</t>
  </si>
  <si>
    <t>C01.05.02.01</t>
  </si>
  <si>
    <t>C01.05.02.02</t>
  </si>
  <si>
    <t>C01.05.03</t>
  </si>
  <si>
    <t>C01.05.03.01</t>
  </si>
  <si>
    <t>C01.05.03.01.01</t>
  </si>
  <si>
    <t>C01.05.03.01.02</t>
  </si>
  <si>
    <t>C01.05.03.02</t>
  </si>
  <si>
    <t>C01.05.03.03</t>
  </si>
  <si>
    <t>C01.05.03.04</t>
  </si>
  <si>
    <t>C01.05.04</t>
  </si>
  <si>
    <t>C01.05.05</t>
  </si>
  <si>
    <t>C01.06</t>
  </si>
  <si>
    <t>C01.07</t>
  </si>
  <si>
    <t>C01.08</t>
  </si>
  <si>
    <t>C01.09</t>
  </si>
  <si>
    <t>C01.12</t>
  </si>
  <si>
    <t>C01.12.01</t>
  </si>
  <si>
    <t>C01.13</t>
  </si>
  <si>
    <t>C01.13.01</t>
  </si>
  <si>
    <t>C01.16</t>
  </si>
  <si>
    <t>C01.16.01</t>
  </si>
  <si>
    <t>C01.16.01.01</t>
  </si>
  <si>
    <t>C01.17</t>
  </si>
  <si>
    <t>C01.17.01</t>
  </si>
  <si>
    <t>C01.17.01.01</t>
  </si>
  <si>
    <t>C01.18</t>
  </si>
  <si>
    <t>C01.18.99</t>
  </si>
  <si>
    <t>C01.19</t>
  </si>
  <si>
    <t>C01.19.99</t>
  </si>
  <si>
    <t>C01.20</t>
  </si>
  <si>
    <t>C01.21</t>
  </si>
  <si>
    <t>C02.01</t>
  </si>
  <si>
    <t>C02.01.01</t>
  </si>
  <si>
    <t>C02.01.01.01</t>
  </si>
  <si>
    <t>C02.01.01.02</t>
  </si>
  <si>
    <t>C02.01.02</t>
  </si>
  <si>
    <t>C02.01.03</t>
  </si>
  <si>
    <t>C02.02</t>
  </si>
  <si>
    <t>C02.03</t>
  </si>
  <si>
    <t>C02.04</t>
  </si>
  <si>
    <t>C02.05</t>
  </si>
  <si>
    <t>C02.05.01</t>
  </si>
  <si>
    <t>C02.05.01.01</t>
  </si>
  <si>
    <t>C02.05.01.02</t>
  </si>
  <si>
    <t>C02.05.02</t>
  </si>
  <si>
    <t>C02.05.02.01</t>
  </si>
  <si>
    <t>C02.05.02.02</t>
  </si>
  <si>
    <t>C02.05.03</t>
  </si>
  <si>
    <t>C02.05.03.01</t>
  </si>
  <si>
    <t>C02.05.03.01.01</t>
  </si>
  <si>
    <t>C02.05.03.01.02</t>
  </si>
  <si>
    <t>C02.05.03.02</t>
  </si>
  <si>
    <t>C02.05.03.03</t>
  </si>
  <si>
    <t>C02.05.03.04</t>
  </si>
  <si>
    <t>C02.05.04</t>
  </si>
  <si>
    <t>C02.05.05</t>
  </si>
  <si>
    <t>C02.06</t>
  </si>
  <si>
    <t>C02.07</t>
  </si>
  <si>
    <t>C02.08</t>
  </si>
  <si>
    <t>C02.09</t>
  </si>
  <si>
    <t>C02.18</t>
  </si>
  <si>
    <t>C02.18.99</t>
  </si>
  <si>
    <t>C02.19</t>
  </si>
  <si>
    <t>C02.19.99</t>
  </si>
  <si>
    <t>C02.20</t>
  </si>
  <si>
    <t>C02.21</t>
  </si>
  <si>
    <t>D.01</t>
  </si>
  <si>
    <t>D.01.01</t>
  </si>
  <si>
    <t>D.01.01.01</t>
  </si>
  <si>
    <t>D.14</t>
  </si>
  <si>
    <t>D.15</t>
  </si>
  <si>
    <t>D.01.01.02</t>
  </si>
  <si>
    <t>D.16</t>
  </si>
  <si>
    <t>D.17</t>
  </si>
  <si>
    <t>D.01.02</t>
  </si>
  <si>
    <t>D.18</t>
  </si>
  <si>
    <t>D.19</t>
  </si>
  <si>
    <t>D.01.03</t>
  </si>
  <si>
    <t>D.02</t>
  </si>
  <si>
    <t>D.03</t>
  </si>
  <si>
    <t>D.04</t>
  </si>
  <si>
    <t>D.05</t>
  </si>
  <si>
    <t>D.05.01</t>
  </si>
  <si>
    <t>D.05.01.01</t>
  </si>
  <si>
    <t>D.05.01.02</t>
  </si>
  <si>
    <t>D.05.02</t>
  </si>
  <si>
    <t>D.05.02.01</t>
  </si>
  <si>
    <t>D.05.02.02</t>
  </si>
  <si>
    <t>D.05.03</t>
  </si>
  <si>
    <t>D.05.03.01</t>
  </si>
  <si>
    <t>D.05.03.01.01</t>
  </si>
  <si>
    <t>D.05.03.01.02</t>
  </si>
  <si>
    <t>D.05.03.02</t>
  </si>
  <si>
    <t>D.05.03.03</t>
  </si>
  <si>
    <t>D.05.03.04</t>
  </si>
  <si>
    <t>D.05.04</t>
  </si>
  <si>
    <t>D.05.05</t>
  </si>
  <si>
    <t>D.06</t>
  </si>
  <si>
    <t>D.07</t>
  </si>
  <si>
    <t>D.08</t>
  </si>
  <si>
    <t>D.09</t>
  </si>
  <si>
    <t>D01.01</t>
  </si>
  <si>
    <t>D01.01.01</t>
  </si>
  <si>
    <t>D01.01.01.01</t>
  </si>
  <si>
    <t>D01.01.01.02</t>
  </si>
  <si>
    <t>D01.01.02</t>
  </si>
  <si>
    <t>D01.01.03</t>
  </si>
  <si>
    <t>D01.02</t>
  </si>
  <si>
    <t>D01.03</t>
  </si>
  <si>
    <t>D01.04</t>
  </si>
  <si>
    <t>D01.05</t>
  </si>
  <si>
    <t>D01.05.01</t>
  </si>
  <si>
    <t>D01.05.01.01</t>
  </si>
  <si>
    <t>D01.05.01.02</t>
  </si>
  <si>
    <t>D01.05.02</t>
  </si>
  <si>
    <t>D01.05.02.01</t>
  </si>
  <si>
    <t>D01.05.02.02</t>
  </si>
  <si>
    <t>D01.05.03</t>
  </si>
  <si>
    <t>D01.05.03.01</t>
  </si>
  <si>
    <t>D01.05.03.01.01</t>
  </si>
  <si>
    <t>D01.05.03.01.02</t>
  </si>
  <si>
    <t>D01.05.03.02</t>
  </si>
  <si>
    <t>D01.05.03.03</t>
  </si>
  <si>
    <t>D01.05.03.04</t>
  </si>
  <si>
    <t>D01.05.04</t>
  </si>
  <si>
    <t>D01.05.05</t>
  </si>
  <si>
    <t>D01.06</t>
  </si>
  <si>
    <t>D01.07</t>
  </si>
  <si>
    <t>D01.08</t>
  </si>
  <si>
    <t>D01.09</t>
  </si>
  <si>
    <t>D01.18</t>
  </si>
  <si>
    <t>D01.18.99</t>
  </si>
  <si>
    <t>D01.19</t>
  </si>
  <si>
    <t>D01.19.99</t>
  </si>
  <si>
    <t>D01.20</t>
  </si>
  <si>
    <t>D01.21</t>
  </si>
  <si>
    <t>E.01</t>
  </si>
  <si>
    <t>E.01.01</t>
  </si>
  <si>
    <t>E.01.01.01</t>
  </si>
  <si>
    <t>E.14</t>
  </si>
  <si>
    <t>E.15</t>
  </si>
  <si>
    <t>E.01.01.02</t>
  </si>
  <si>
    <t>E.16</t>
  </si>
  <si>
    <t>E.17</t>
  </si>
  <si>
    <t>E.01.02</t>
  </si>
  <si>
    <t>E.18</t>
  </si>
  <si>
    <t>E.19</t>
  </si>
  <si>
    <t>E.01.03</t>
  </si>
  <si>
    <t>E.02</t>
  </si>
  <si>
    <t>E.03</t>
  </si>
  <si>
    <t>E.04</t>
  </si>
  <si>
    <t>E.05</t>
  </si>
  <si>
    <t>E.05.01</t>
  </si>
  <si>
    <t>E.05.01.01</t>
  </si>
  <si>
    <t>E.05.01.02</t>
  </si>
  <si>
    <t>E.05.02</t>
  </si>
  <si>
    <t>E.05.02.01</t>
  </si>
  <si>
    <t>E.05.02.02</t>
  </si>
  <si>
    <t>E.05.03</t>
  </si>
  <si>
    <t>E.05.03.01</t>
  </si>
  <si>
    <t>E.05.03.01.01</t>
  </si>
  <si>
    <t>E.05.03.01.02</t>
  </si>
  <si>
    <t>E.05.03.02</t>
  </si>
  <si>
    <t>E.05.03.03</t>
  </si>
  <si>
    <t>E.05.03.04</t>
  </si>
  <si>
    <t>E.05.04</t>
  </si>
  <si>
    <t>E.05.05</t>
  </si>
  <si>
    <t>E.06</t>
  </si>
  <si>
    <t>E.07</t>
  </si>
  <si>
    <t>E.08</t>
  </si>
  <si>
    <t>E.09</t>
  </si>
  <si>
    <t>E01.01</t>
  </si>
  <si>
    <t>E01.01.01</t>
  </si>
  <si>
    <t>E01.01.01.01</t>
  </si>
  <si>
    <t>E01.01.01.02</t>
  </si>
  <si>
    <t>E01.01.02</t>
  </si>
  <si>
    <t>E01.01.03</t>
  </si>
  <si>
    <t>E01.02</t>
  </si>
  <si>
    <t>E01.03</t>
  </si>
  <si>
    <t>E01.04</t>
  </si>
  <si>
    <t>E01.05</t>
  </si>
  <si>
    <t>E01.05.01</t>
  </si>
  <si>
    <t>E01.05.01.01</t>
  </si>
  <si>
    <t>E01.05.01.02</t>
  </si>
  <si>
    <t>E01.05.02</t>
  </si>
  <si>
    <t>E01.05.02.01</t>
  </si>
  <si>
    <t>E01.05.02.02</t>
  </si>
  <si>
    <t>E01.05.03</t>
  </si>
  <si>
    <t>E01.05.03.01</t>
  </si>
  <si>
    <t>E01.05.03.01.01</t>
  </si>
  <si>
    <t>E01.05.03.01.02</t>
  </si>
  <si>
    <t>E01.05.03.02</t>
  </si>
  <si>
    <t>E01.05.03.03</t>
  </si>
  <si>
    <t>E01.05.03.04</t>
  </si>
  <si>
    <t>E01.05.04</t>
  </si>
  <si>
    <t>E01.05.05</t>
  </si>
  <si>
    <t>E01.06</t>
  </si>
  <si>
    <t>E01.07</t>
  </si>
  <si>
    <t>E01.08</t>
  </si>
  <si>
    <t>E01.09</t>
  </si>
  <si>
    <t>E01.18</t>
  </si>
  <si>
    <t>E01.18.99</t>
  </si>
  <si>
    <t>E01.19</t>
  </si>
  <si>
    <t>E01.19.99</t>
  </si>
  <si>
    <t>E01.20</t>
  </si>
  <si>
    <t>E01.21</t>
  </si>
  <si>
    <t>F.01</t>
  </si>
  <si>
    <t>F.01.01</t>
  </si>
  <si>
    <t>F.01.01.01</t>
  </si>
  <si>
    <t>F.14</t>
  </si>
  <si>
    <t>F.15</t>
  </si>
  <si>
    <t>F.01.01.02</t>
  </si>
  <si>
    <t>F.16</t>
  </si>
  <si>
    <t>F.17</t>
  </si>
  <si>
    <t>F.01.02</t>
  </si>
  <si>
    <t>F.18</t>
  </si>
  <si>
    <t>F.19</t>
  </si>
  <si>
    <t>F.01.03</t>
  </si>
  <si>
    <t>F.02</t>
  </si>
  <si>
    <t>F.03</t>
  </si>
  <si>
    <t>F.04</t>
  </si>
  <si>
    <t>F.05</t>
  </si>
  <si>
    <t>F.05.01</t>
  </si>
  <si>
    <t>F.05.01.01</t>
  </si>
  <si>
    <t>F.05.01.02</t>
  </si>
  <si>
    <t>F.05.02</t>
  </si>
  <si>
    <t>F.05.02.01</t>
  </si>
  <si>
    <t>F.05.02.02</t>
  </si>
  <si>
    <t>F.05.03</t>
  </si>
  <si>
    <t>F.05.03.01</t>
  </si>
  <si>
    <t>F.05.03.01.01</t>
  </si>
  <si>
    <t>F.05.03.01.02</t>
  </si>
  <si>
    <t>F.05.03.02</t>
  </si>
  <si>
    <t>F.05.03.03</t>
  </si>
  <si>
    <t>F.05.03.04</t>
  </si>
  <si>
    <t>F.05.04</t>
  </si>
  <si>
    <t>F.05.05</t>
  </si>
  <si>
    <t>F.06</t>
  </si>
  <si>
    <t>F.07</t>
  </si>
  <si>
    <t>F.08</t>
  </si>
  <si>
    <t>F.09</t>
  </si>
  <si>
    <t>F.10</t>
  </si>
  <si>
    <t>F.10.01</t>
  </si>
  <si>
    <t>F.10.01.02</t>
  </si>
  <si>
    <t>F.11</t>
  </si>
  <si>
    <t>F.11.01</t>
  </si>
  <si>
    <t>F.11.01.02</t>
  </si>
  <si>
    <t>F01.01</t>
  </si>
  <si>
    <t>F01.01.01</t>
  </si>
  <si>
    <t>F01.01.01.01</t>
  </si>
  <si>
    <t>F01.01.01.02</t>
  </si>
  <si>
    <t>F01.01.02</t>
  </si>
  <si>
    <t>F01.01.03</t>
  </si>
  <si>
    <t>F01.02</t>
  </si>
  <si>
    <t>F01.03</t>
  </si>
  <si>
    <t>F01.04</t>
  </si>
  <si>
    <t>F01.05</t>
  </si>
  <si>
    <t>F01.05.01</t>
  </si>
  <si>
    <t>F01.05.01.01</t>
  </si>
  <si>
    <t>F01.05.01.02</t>
  </si>
  <si>
    <t>F01.05.02</t>
  </si>
  <si>
    <t>F01.05.02.01</t>
  </si>
  <si>
    <t>F01.05.02.02</t>
  </si>
  <si>
    <t>F01.05.03</t>
  </si>
  <si>
    <t>F01.05.03.01</t>
  </si>
  <si>
    <t>F01.05.03.01.01</t>
  </si>
  <si>
    <t>F01.05.03.01.02</t>
  </si>
  <si>
    <t>F01.05.03.02</t>
  </si>
  <si>
    <t>F01.05.03.03</t>
  </si>
  <si>
    <t>F01.05.03.04</t>
  </si>
  <si>
    <t>F01.05.04</t>
  </si>
  <si>
    <t>F01.05.05</t>
  </si>
  <si>
    <t>F01.06</t>
  </si>
  <si>
    <t>F01.07</t>
  </si>
  <si>
    <t>F01.08</t>
  </si>
  <si>
    <t>F01.09</t>
  </si>
  <si>
    <t>F01.10</t>
  </si>
  <si>
    <t>F01.10.01</t>
  </si>
  <si>
    <t>F01.10.01.02</t>
  </si>
  <si>
    <t>F01.11</t>
  </si>
  <si>
    <t>F01.11.01</t>
  </si>
  <si>
    <t>F01.11.01.02</t>
  </si>
  <si>
    <t>F01.22</t>
  </si>
  <si>
    <t>F01.22.01</t>
  </si>
  <si>
    <t>F01.22.02</t>
  </si>
  <si>
    <t>F01.23</t>
  </si>
  <si>
    <t>F01.23.01</t>
  </si>
  <si>
    <t>F01.23.02</t>
  </si>
  <si>
    <t>F01.24</t>
  </si>
  <si>
    <t>F01.24.01</t>
  </si>
  <si>
    <t>F01.24.02</t>
  </si>
  <si>
    <t>F01.25</t>
  </si>
  <si>
    <t>F01.25.01</t>
  </si>
  <si>
    <t>F01.25.02</t>
  </si>
  <si>
    <t>B02.26.01</t>
  </si>
  <si>
    <t>B02.27.01</t>
  </si>
  <si>
    <t>F01.14</t>
  </si>
  <si>
    <t>F01.14.01</t>
  </si>
  <si>
    <t>F01.14.01.01</t>
  </si>
  <si>
    <t>F01.14.02</t>
  </si>
  <si>
    <t>F01.14.02.01</t>
  </si>
  <si>
    <t>F01.14.02.01.01</t>
  </si>
  <si>
    <t>F01.14.02.02</t>
  </si>
  <si>
    <t>F01.14.02.02.01</t>
  </si>
  <si>
    <t>F01.14.02.03</t>
  </si>
  <si>
    <t>F01.14.02.03.01</t>
  </si>
  <si>
    <t>F01.15</t>
  </si>
  <si>
    <t>F01.15.04</t>
  </si>
  <si>
    <t xml:space="preserve">  司库FTP成本</t>
  </si>
  <si>
    <t>F01.16</t>
  </si>
  <si>
    <t>F01.16.02</t>
  </si>
  <si>
    <t>F01.16.02.01</t>
  </si>
  <si>
    <t>F01.16.02.01.01</t>
  </si>
  <si>
    <t>F01.16.02.02</t>
  </si>
  <si>
    <t>F01.16.02.02.01</t>
  </si>
  <si>
    <t>F01.17</t>
  </si>
  <si>
    <t>F01.17.04</t>
  </si>
  <si>
    <t xml:space="preserve">  司库FTP收入</t>
  </si>
  <si>
    <t>F01.18</t>
  </si>
  <si>
    <t>F01.18.99</t>
  </si>
  <si>
    <t>F01.19</t>
  </si>
  <si>
    <t>F01.19.99</t>
  </si>
  <si>
    <t>F01.20</t>
  </si>
  <si>
    <t>F01.20.01</t>
  </si>
  <si>
    <t xml:space="preserve">  债券免税收入抵消</t>
  </si>
  <si>
    <t>F01.20.02</t>
  </si>
  <si>
    <t xml:space="preserve">  基金免税收入抵消</t>
  </si>
  <si>
    <t>F01.21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</si>
</sst>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0" xfId="0" applyFont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0" fillId="0" borderId="0" xfId="0" applyFill="1"/>
    <xf numFmtId="49" fontId="4" fillId="0" borderId="0" xfId="0" applyNumberFormat="1" applyFont="1" applyAlignment="1">
      <alignment vertical="center"/>
    </xf>
    <xf numFmtId="0" fontId="1" fillId="3" borderId="0" xfId="0" applyFont="1" applyFill="1" applyAlignment="1">
      <alignment horizontal="left" vertical="center"/>
    </xf>
    <xf numFmtId="49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horizontal="left" vertical="center"/>
    </xf>
    <xf numFmtId="49" fontId="1" fillId="4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NumberFormat="1" applyFont="1" applyAlignment="1">
      <alignment vertical="center"/>
    </xf>
    <xf numFmtId="0" fontId="1" fillId="2" borderId="0" xfId="0" applyNumberFormat="1" applyFont="1" applyFill="1" applyAlignment="1">
      <alignment horizontal="left" vertical="center"/>
    </xf>
    <xf numFmtId="0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NumberFormat="1" applyFont="1"/>
    <xf numFmtId="0" fontId="0" fillId="0" borderId="0" xfId="0" applyNumberFormat="1"/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eetMetadata" Target="metadata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workbookViewId="0">
      <pane xSplit="4" ySplit="1" topLeftCell="E4" activePane="bottomRight" state="frozen"/>
      <selection/>
      <selection pane="topRight"/>
      <selection pane="bottomLeft"/>
      <selection pane="bottomRight" activeCell="J17" sqref="J17"/>
    </sheetView>
  </sheetViews>
  <sheetFormatPr defaultColWidth="9" defaultRowHeight="15" customHeight="1"/>
  <cols>
    <col min="1" max="2" width="8.66071428571429" style="1"/>
    <col min="3" max="3" width="10.1607142857143" style="1" customWidth="1"/>
    <col min="4" max="4" width="16.8303571428571" style="1" customWidth="1"/>
    <col min="5" max="7" width="8.66071428571429" style="1"/>
    <col min="8" max="10" width="8.66071428571429" style="33"/>
    <col min="11" max="16384" width="8.66071428571429" style="1"/>
  </cols>
  <sheetData>
    <row r="1" customHeight="1" spans="1:13">
      <c r="A1" s="2" t="s">
        <v>0</v>
      </c>
      <c r="B1" s="2" t="s">
        <v>1</v>
      </c>
      <c r="C1" s="27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Height="1" spans="1:13">
      <c r="A2" s="8" t="s">
        <v>13</v>
      </c>
      <c r="B2" s="8" t="s">
        <v>14</v>
      </c>
      <c r="C2" s="9" t="s">
        <v>15</v>
      </c>
      <c r="D2" s="8" t="s">
        <v>16</v>
      </c>
    </row>
    <row r="3" customHeight="1" spans="1:13">
      <c r="A3" s="8" t="s">
        <v>17</v>
      </c>
      <c r="B3" s="8" t="s">
        <v>14</v>
      </c>
      <c r="C3" s="9" t="s">
        <v>18</v>
      </c>
      <c r="D3" s="8" t="s">
        <v>19</v>
      </c>
    </row>
    <row r="4" customHeight="1" spans="1:13">
      <c r="A4" s="29" t="s">
        <v>20</v>
      </c>
      <c r="B4" s="1" t="s">
        <v>14</v>
      </c>
      <c r="C4" s="11" t="s">
        <v>21</v>
      </c>
      <c r="D4" s="29" t="s">
        <v>22</v>
      </c>
    </row>
    <row r="5" customHeight="1" spans="1:13">
      <c r="A5" s="29" t="s">
        <v>20</v>
      </c>
      <c r="B5" s="1" t="s">
        <v>23</v>
      </c>
      <c r="C5" s="10" t="s">
        <v>24</v>
      </c>
      <c r="D5" s="29" t="s">
        <v>25</v>
      </c>
    </row>
    <row r="6" customHeight="1" spans="1:13">
      <c r="A6" s="8" t="s">
        <v>17</v>
      </c>
      <c r="B6" s="8" t="s">
        <v>14</v>
      </c>
      <c r="C6" s="9" t="s">
        <v>26</v>
      </c>
      <c r="D6" s="8" t="s">
        <v>27</v>
      </c>
    </row>
    <row r="7" customHeight="1" spans="1:13">
      <c r="A7" s="29" t="s">
        <v>20</v>
      </c>
      <c r="B7" s="1" t="s">
        <v>14</v>
      </c>
      <c r="C7" s="9" t="s">
        <v>28</v>
      </c>
      <c r="D7" s="29" t="s">
        <v>29</v>
      </c>
    </row>
    <row r="8" customHeight="1" spans="1:13">
      <c r="A8" s="29" t="s">
        <v>20</v>
      </c>
      <c r="B8" s="1" t="s">
        <v>23</v>
      </c>
      <c r="C8" s="9" t="s">
        <v>30</v>
      </c>
      <c r="D8" s="29" t="s">
        <v>31</v>
      </c>
    </row>
    <row r="9" customHeight="1" spans="1:13">
      <c r="A9" s="8" t="s">
        <v>17</v>
      </c>
      <c r="B9" s="8" t="s">
        <v>14</v>
      </c>
      <c r="C9" s="9" t="s">
        <v>32</v>
      </c>
      <c r="D9" s="8" t="s">
        <v>33</v>
      </c>
    </row>
    <row r="10" customHeight="1" spans="1:13">
      <c r="A10" s="8" t="s">
        <v>13</v>
      </c>
      <c r="B10" s="8" t="s">
        <v>23</v>
      </c>
      <c r="C10" s="9" t="s">
        <v>34</v>
      </c>
      <c r="D10" s="8" t="s">
        <v>35</v>
      </c>
    </row>
    <row r="11" customHeight="1" spans="1:13">
      <c r="A11" s="8" t="s">
        <v>17</v>
      </c>
      <c r="B11" s="8" t="s">
        <v>23</v>
      </c>
      <c r="C11" s="9" t="s">
        <v>36</v>
      </c>
      <c r="D11" s="8" t="s">
        <v>37</v>
      </c>
    </row>
    <row r="12" customHeight="1" spans="1:13">
      <c r="A12" s="1" t="s">
        <v>20</v>
      </c>
      <c r="B12" s="1" t="s">
        <v>23</v>
      </c>
      <c r="C12" s="9" t="s">
        <v>38</v>
      </c>
      <c r="D12" s="1" t="s">
        <v>39</v>
      </c>
    </row>
    <row r="13" customHeight="1" spans="1:13">
      <c r="A13" s="1" t="s">
        <v>20</v>
      </c>
      <c r="B13" s="1" t="s">
        <v>23</v>
      </c>
      <c r="C13" s="9" t="s">
        <v>40</v>
      </c>
      <c r="D13" s="1" t="s">
        <v>41</v>
      </c>
    </row>
    <row r="14" customHeight="1" spans="1:13">
      <c r="A14" s="8" t="s">
        <v>17</v>
      </c>
      <c r="B14" s="8" t="s">
        <v>23</v>
      </c>
      <c r="C14" s="9" t="s">
        <v>42</v>
      </c>
      <c r="D14" s="8" t="s">
        <v>43</v>
      </c>
    </row>
    <row r="15" customHeight="1" spans="1:13">
      <c r="A15" s="8" t="s">
        <v>13</v>
      </c>
      <c r="B15" s="8" t="s">
        <v>14</v>
      </c>
      <c r="C15" s="9" t="s">
        <v>44</v>
      </c>
      <c r="D15" s="8" t="s">
        <v>45</v>
      </c>
    </row>
    <row r="16" customHeight="1" spans="1:13">
      <c r="A16" s="8" t="s">
        <v>13</v>
      </c>
      <c r="B16" s="8" t="s">
        <v>23</v>
      </c>
      <c r="C16" s="9" t="s">
        <v>46</v>
      </c>
      <c r="D16" s="8" t="s">
        <v>47</v>
      </c>
    </row>
    <row r="17" customHeight="1" spans="1:4">
      <c r="A17" s="8" t="s">
        <v>13</v>
      </c>
      <c r="B17" s="8" t="s">
        <v>23</v>
      </c>
      <c r="C17" s="9" t="s">
        <v>48</v>
      </c>
      <c r="D17" s="8" t="s">
        <v>49</v>
      </c>
    </row>
    <row r="18" customHeight="1" spans="1:4">
      <c r="A18" s="8" t="s">
        <v>17</v>
      </c>
      <c r="B18" s="8" t="s">
        <v>23</v>
      </c>
      <c r="C18" s="8" t="s">
        <v>50</v>
      </c>
      <c r="D18" s="8" t="s">
        <v>51</v>
      </c>
    </row>
    <row r="19" customHeight="1" spans="1:4">
      <c r="A19" s="29" t="s">
        <v>20</v>
      </c>
      <c r="B19" s="29" t="s">
        <v>23</v>
      </c>
      <c r="C19" s="29" t="s">
        <v>52</v>
      </c>
      <c r="D19" s="29" t="s">
        <v>53</v>
      </c>
    </row>
    <row r="20" customHeight="1" spans="1:4">
      <c r="A20" s="29" t="s">
        <v>20</v>
      </c>
      <c r="B20" s="29" t="s">
        <v>23</v>
      </c>
      <c r="C20" s="29" t="s">
        <v>54</v>
      </c>
      <c r="D20" s="29" t="s">
        <v>55</v>
      </c>
    </row>
    <row r="21" customHeight="1" spans="1:4">
      <c r="A21" s="29" t="s">
        <v>20</v>
      </c>
      <c r="B21" s="29" t="s">
        <v>23</v>
      </c>
      <c r="C21" s="29" t="s">
        <v>56</v>
      </c>
      <c r="D21" s="29" t="s">
        <v>57</v>
      </c>
    </row>
    <row r="22" customHeight="1" spans="1:4">
      <c r="A22" s="8" t="s">
        <v>17</v>
      </c>
      <c r="B22" s="8" t="s">
        <v>23</v>
      </c>
      <c r="C22" s="8" t="s">
        <v>58</v>
      </c>
      <c r="D22" s="8" t="s">
        <v>59</v>
      </c>
    </row>
    <row r="23" customHeight="1" spans="1:4">
      <c r="A23" s="29" t="s">
        <v>20</v>
      </c>
      <c r="B23" s="29" t="s">
        <v>23</v>
      </c>
      <c r="C23" s="29" t="s">
        <v>60</v>
      </c>
      <c r="D23" s="29" t="s">
        <v>61</v>
      </c>
    </row>
    <row r="24" customHeight="1" spans="1:4">
      <c r="A24" s="29" t="s">
        <v>20</v>
      </c>
      <c r="B24" s="29" t="s">
        <v>23</v>
      </c>
      <c r="C24" s="29" t="s">
        <v>62</v>
      </c>
      <c r="D24" s="29" t="s">
        <v>63</v>
      </c>
    </row>
    <row r="25" customHeight="1" spans="1:4">
      <c r="A25" s="8" t="s">
        <v>17</v>
      </c>
      <c r="B25" s="8" t="s">
        <v>23</v>
      </c>
      <c r="C25" s="8" t="s">
        <v>64</v>
      </c>
      <c r="D25" s="8" t="s">
        <v>65</v>
      </c>
    </row>
    <row r="26" customHeight="1" spans="1:4">
      <c r="A26" s="8" t="s">
        <v>17</v>
      </c>
      <c r="B26" s="8" t="s">
        <v>23</v>
      </c>
      <c r="C26" s="8" t="s">
        <v>66</v>
      </c>
      <c r="D26" s="8" t="s">
        <v>67</v>
      </c>
    </row>
    <row r="27" customHeight="1" spans="1:4">
      <c r="A27" s="8" t="s">
        <v>13</v>
      </c>
      <c r="B27" s="8" t="s">
        <v>14</v>
      </c>
      <c r="C27" s="8" t="s">
        <v>68</v>
      </c>
      <c r="D27" s="8" t="s">
        <v>69</v>
      </c>
    </row>
    <row r="28" customHeight="1" spans="1:4">
      <c r="A28" s="8" t="s">
        <v>13</v>
      </c>
      <c r="B28" s="8" t="s">
        <v>70</v>
      </c>
      <c r="C28" s="8" t="s">
        <v>71</v>
      </c>
      <c r="D28" s="8" t="s">
        <v>72</v>
      </c>
    </row>
    <row r="29" customHeight="1" spans="1:4">
      <c r="A29" s="8" t="s">
        <v>13</v>
      </c>
      <c r="B29" s="8" t="s">
        <v>23</v>
      </c>
      <c r="C29" s="8" t="s">
        <v>73</v>
      </c>
      <c r="D29" s="8" t="s">
        <v>74</v>
      </c>
    </row>
    <row r="30" customHeight="1" spans="1:4">
      <c r="A30" s="8" t="s">
        <v>13</v>
      </c>
      <c r="B30" s="8" t="s">
        <v>70</v>
      </c>
      <c r="C30" s="8" t="s">
        <v>75</v>
      </c>
      <c r="D30" s="8" t="s">
        <v>76</v>
      </c>
    </row>
    <row r="31" customHeight="1" spans="1:4">
      <c r="A31" s="8"/>
      <c r="B31" s="8"/>
      <c r="C31" s="8"/>
      <c r="D31" s="8"/>
    </row>
    <row r="32" customHeight="1" spans="1:4">
      <c r="A32" s="8" t="s">
        <v>13</v>
      </c>
      <c r="B32" s="8" t="s">
        <v>77</v>
      </c>
      <c r="C32" s="12" t="s">
        <v>78</v>
      </c>
      <c r="D32" s="12" t="s">
        <v>79</v>
      </c>
    </row>
    <row r="33" customHeight="1" spans="1:4">
      <c r="A33" s="1" t="s">
        <v>17</v>
      </c>
      <c r="B33" s="8" t="s">
        <v>77</v>
      </c>
      <c r="C33" s="11" t="s">
        <v>80</v>
      </c>
      <c r="D33" s="11" t="s">
        <v>81</v>
      </c>
    </row>
    <row r="34" customHeight="1" spans="1:4">
      <c r="A34" s="1" t="s">
        <v>20</v>
      </c>
      <c r="B34" s="8" t="s">
        <v>77</v>
      </c>
      <c r="C34" s="11" t="s">
        <v>82</v>
      </c>
      <c r="D34" s="11" t="s">
        <v>83</v>
      </c>
    </row>
    <row r="35" customHeight="1" spans="1:4">
      <c r="A35" s="1" t="s">
        <v>20</v>
      </c>
      <c r="B35" s="8" t="s">
        <v>77</v>
      </c>
      <c r="C35" s="11" t="s">
        <v>84</v>
      </c>
      <c r="D35" s="11" t="s">
        <v>85</v>
      </c>
    </row>
    <row r="36" customHeight="1" spans="1:4">
      <c r="A36" s="1" t="s">
        <v>17</v>
      </c>
      <c r="B36" s="8" t="s">
        <v>77</v>
      </c>
      <c r="C36" s="11" t="s">
        <v>86</v>
      </c>
      <c r="D36" s="11" t="s">
        <v>87</v>
      </c>
    </row>
    <row r="37" customHeight="1" spans="1:4">
      <c r="A37" s="1" t="s">
        <v>17</v>
      </c>
      <c r="B37" s="8" t="s">
        <v>77</v>
      </c>
      <c r="C37" s="11" t="s">
        <v>88</v>
      </c>
      <c r="D37" s="11" t="s">
        <v>89</v>
      </c>
    </row>
    <row r="38" customHeight="1" spans="1:4">
      <c r="A38" s="11" t="s">
        <v>17</v>
      </c>
      <c r="B38" s="8" t="s">
        <v>77</v>
      </c>
      <c r="C38" s="11" t="s">
        <v>90</v>
      </c>
      <c r="D38" s="11" t="s">
        <v>91</v>
      </c>
    </row>
    <row r="39" customHeight="1" spans="1:4">
      <c r="A39" s="11"/>
      <c r="B39" s="8"/>
      <c r="C39" s="11"/>
      <c r="D39" s="11"/>
    </row>
    <row r="40" customHeight="1" spans="1:4">
      <c r="A40" s="29"/>
      <c r="B40" s="29"/>
      <c r="C40" s="29"/>
      <c r="D40" s="8"/>
    </row>
    <row r="41" customHeight="1" spans="1:4">
      <c r="A41" s="11" t="s">
        <v>13</v>
      </c>
      <c r="B41" s="11" t="s">
        <v>92</v>
      </c>
      <c r="C41" s="11" t="s">
        <v>93</v>
      </c>
      <c r="D41" s="11" t="s">
        <v>94</v>
      </c>
    </row>
    <row r="42" customHeight="1" spans="1:4">
      <c r="A42" s="11" t="s">
        <v>17</v>
      </c>
      <c r="B42" s="11" t="s">
        <v>92</v>
      </c>
      <c r="C42" s="11" t="s">
        <v>95</v>
      </c>
      <c r="D42" s="11" t="s">
        <v>96</v>
      </c>
    </row>
    <row r="43" customHeight="1" spans="1:4">
      <c r="A43" s="11" t="s">
        <v>17</v>
      </c>
      <c r="B43" s="11" t="s">
        <v>92</v>
      </c>
      <c r="C43" s="11" t="s">
        <v>97</v>
      </c>
      <c r="D43" s="11" t="s">
        <v>98</v>
      </c>
    </row>
    <row r="44" customHeight="1" spans="1:4">
      <c r="A44" s="11" t="s">
        <v>17</v>
      </c>
      <c r="B44" s="11" t="s">
        <v>92</v>
      </c>
      <c r="C44" s="11" t="s">
        <v>99</v>
      </c>
      <c r="D44" s="11" t="s">
        <v>100</v>
      </c>
    </row>
    <row r="45" customHeight="1" spans="1:4">
      <c r="A45" s="11" t="s">
        <v>17</v>
      </c>
      <c r="B45" s="11" t="s">
        <v>92</v>
      </c>
      <c r="C45" s="11" t="s">
        <v>101</v>
      </c>
      <c r="D45" s="11" t="s">
        <v>102</v>
      </c>
    </row>
    <row r="46" customHeight="1" spans="1:4">
      <c r="A46" s="8"/>
      <c r="B46" s="8"/>
      <c r="C46" s="29"/>
      <c r="D46" s="8"/>
    </row>
    <row r="47" customHeight="1" spans="1:4">
      <c r="A47" s="8" t="s">
        <v>13</v>
      </c>
      <c r="B47" s="8" t="s">
        <v>103</v>
      </c>
      <c r="C47" s="29" t="s">
        <v>104</v>
      </c>
      <c r="D47" s="8" t="s">
        <v>105</v>
      </c>
    </row>
    <row r="48" customHeight="1" spans="1:4">
      <c r="A48" s="8" t="s">
        <v>13</v>
      </c>
      <c r="B48" s="8" t="s">
        <v>103</v>
      </c>
      <c r="C48" s="29" t="s">
        <v>106</v>
      </c>
      <c r="D48" s="8" t="s">
        <v>107</v>
      </c>
    </row>
    <row r="49" customHeight="1" spans="1:4">
      <c r="A49" s="8" t="s">
        <v>13</v>
      </c>
      <c r="B49" s="8" t="s">
        <v>77</v>
      </c>
      <c r="C49" s="29" t="s">
        <v>108</v>
      </c>
      <c r="D49" s="8" t="s">
        <v>109</v>
      </c>
    </row>
    <row r="50" customHeight="1" spans="1:4">
      <c r="A50" s="29" t="s">
        <v>17</v>
      </c>
      <c r="B50" s="29" t="s">
        <v>77</v>
      </c>
      <c r="C50" s="29" t="s">
        <v>110</v>
      </c>
      <c r="D50" s="29" t="s">
        <v>111</v>
      </c>
    </row>
    <row r="51" customHeight="1" spans="1:4">
      <c r="A51" s="29" t="s">
        <v>20</v>
      </c>
      <c r="B51" s="29" t="s">
        <v>77</v>
      </c>
      <c r="C51" s="29" t="s">
        <v>112</v>
      </c>
      <c r="D51" s="29" t="s">
        <v>41</v>
      </c>
    </row>
    <row r="52" customHeight="1" spans="1:4">
      <c r="A52" s="29" t="s">
        <v>17</v>
      </c>
      <c r="B52" s="29" t="s">
        <v>77</v>
      </c>
      <c r="C52" s="29" t="s">
        <v>113</v>
      </c>
      <c r="D52" s="29" t="s">
        <v>114</v>
      </c>
    </row>
    <row r="53" customHeight="1" spans="1:4">
      <c r="A53" s="8" t="s">
        <v>13</v>
      </c>
      <c r="B53" s="8" t="s">
        <v>77</v>
      </c>
      <c r="C53" s="29" t="s">
        <v>115</v>
      </c>
      <c r="D53" s="8" t="s">
        <v>116</v>
      </c>
    </row>
    <row r="54" customHeight="1" spans="1:4">
      <c r="A54" s="29" t="s">
        <v>17</v>
      </c>
      <c r="B54" s="29" t="s">
        <v>77</v>
      </c>
      <c r="C54" s="29" t="s">
        <v>117</v>
      </c>
      <c r="D54" s="29" t="s">
        <v>118</v>
      </c>
    </row>
    <row r="55" customHeight="1" spans="1:4">
      <c r="A55" s="29" t="s">
        <v>17</v>
      </c>
      <c r="B55" s="29" t="s">
        <v>77</v>
      </c>
      <c r="C55" s="29" t="s">
        <v>119</v>
      </c>
      <c r="D55" s="29" t="s">
        <v>120</v>
      </c>
    </row>
    <row r="56" customHeight="1" spans="1:4">
      <c r="A56" s="8" t="s">
        <v>13</v>
      </c>
      <c r="B56" s="8" t="s">
        <v>103</v>
      </c>
      <c r="C56" s="29" t="s">
        <v>121</v>
      </c>
      <c r="D56" s="8" t="s">
        <v>122</v>
      </c>
    </row>
    <row r="57" customHeight="1" spans="1:4">
      <c r="A57" s="29" t="s">
        <v>17</v>
      </c>
      <c r="B57" s="29" t="s">
        <v>103</v>
      </c>
      <c r="C57" s="29" t="s">
        <v>123</v>
      </c>
      <c r="D57" s="29" t="s">
        <v>124</v>
      </c>
    </row>
    <row r="58" customHeight="1" spans="1:4">
      <c r="A58" s="29" t="s">
        <v>17</v>
      </c>
      <c r="B58" s="29" t="s">
        <v>103</v>
      </c>
      <c r="C58" s="29" t="s">
        <v>125</v>
      </c>
      <c r="D58" s="29" t="s">
        <v>126</v>
      </c>
    </row>
    <row r="59" customHeight="1" spans="1:4">
      <c r="A59" s="29"/>
      <c r="B59" s="29"/>
      <c r="C59" s="29"/>
      <c r="D59" s="29"/>
    </row>
    <row r="60" customHeight="1" spans="1:4">
      <c r="A60" s="29" t="s">
        <v>13</v>
      </c>
      <c r="B60" s="29"/>
      <c r="C60" s="29" t="s">
        <v>127</v>
      </c>
      <c r="D60" s="29" t="s">
        <v>128</v>
      </c>
    </row>
    <row r="61" customHeight="1" spans="1:4">
      <c r="A61" s="29" t="s">
        <v>17</v>
      </c>
      <c r="B61" s="29" t="s">
        <v>103</v>
      </c>
      <c r="C61" s="29" t="s">
        <v>129</v>
      </c>
      <c r="D61" s="29" t="s">
        <v>130</v>
      </c>
    </row>
    <row r="62" customHeight="1" spans="1:4">
      <c r="A62" s="29" t="s">
        <v>17</v>
      </c>
      <c r="B62" s="29" t="s">
        <v>103</v>
      </c>
      <c r="C62" s="29" t="s">
        <v>131</v>
      </c>
      <c r="D62" s="29" t="s">
        <v>132</v>
      </c>
    </row>
    <row r="63" customHeight="1" spans="1:4">
      <c r="A63" s="29" t="s">
        <v>17</v>
      </c>
      <c r="B63" s="29" t="s">
        <v>103</v>
      </c>
      <c r="C63" s="29" t="s">
        <v>133</v>
      </c>
      <c r="D63" s="29" t="s">
        <v>134</v>
      </c>
    </row>
    <row r="64" customHeight="1" spans="1:4">
      <c r="A64" s="29" t="s">
        <v>17</v>
      </c>
      <c r="B64" s="29" t="s">
        <v>103</v>
      </c>
      <c r="C64" s="29" t="s">
        <v>135</v>
      </c>
      <c r="D64" s="29" t="s">
        <v>136</v>
      </c>
    </row>
    <row r="65" customHeight="1" spans="1:4">
      <c r="A65" s="29" t="s">
        <v>17</v>
      </c>
      <c r="B65" s="29" t="s">
        <v>103</v>
      </c>
      <c r="C65" s="29" t="s">
        <v>137</v>
      </c>
      <c r="D65" s="29" t="s">
        <v>138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workbookViewId="0">
      <selection activeCell="E16" sqref="E16"/>
    </sheetView>
  </sheetViews>
  <sheetFormatPr defaultColWidth="9" defaultRowHeight="16.8"/>
  <cols>
    <col min="3" max="3" width="8.66071428571429" style="32"/>
    <col min="4" max="4" width="20" customWidth="1"/>
  </cols>
  <sheetData>
    <row r="1" s="1" customFormat="1" ht="15" customHeight="1" spans="1:13">
      <c r="A1" s="2" t="s">
        <v>0</v>
      </c>
      <c r="B1" s="2" t="s">
        <v>1</v>
      </c>
      <c r="C1" s="27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 t="s">
        <v>13</v>
      </c>
      <c r="B2" s="1" t="s">
        <v>77</v>
      </c>
      <c r="C2" s="28" t="s">
        <v>139</v>
      </c>
      <c r="D2" s="1" t="s">
        <v>140</v>
      </c>
    </row>
    <row r="3" spans="1:13">
      <c r="A3" s="1" t="s">
        <v>17</v>
      </c>
      <c r="B3" s="1" t="s">
        <v>77</v>
      </c>
      <c r="C3" s="28" t="s">
        <v>80</v>
      </c>
      <c r="D3" s="1" t="s">
        <v>141</v>
      </c>
    </row>
    <row r="4" spans="1:13">
      <c r="A4" s="1" t="s">
        <v>20</v>
      </c>
      <c r="B4" s="1" t="s">
        <v>77</v>
      </c>
      <c r="C4" s="28" t="s">
        <v>82</v>
      </c>
      <c r="D4" s="1" t="s">
        <v>83</v>
      </c>
    </row>
    <row r="5" spans="1:13">
      <c r="A5" s="1" t="s">
        <v>20</v>
      </c>
      <c r="B5" s="1" t="s">
        <v>77</v>
      </c>
      <c r="C5" s="28" t="s">
        <v>84</v>
      </c>
      <c r="D5" s="1" t="s">
        <v>85</v>
      </c>
    </row>
    <row r="6" spans="1:13">
      <c r="A6" s="1" t="s">
        <v>17</v>
      </c>
      <c r="B6" s="1" t="s">
        <v>77</v>
      </c>
      <c r="C6" s="28" t="s">
        <v>142</v>
      </c>
      <c r="D6" s="1" t="s">
        <v>143</v>
      </c>
    </row>
    <row r="7" spans="1:13">
      <c r="A7" s="1" t="s">
        <v>17</v>
      </c>
      <c r="B7" s="1" t="s">
        <v>77</v>
      </c>
      <c r="C7" s="28" t="s">
        <v>144</v>
      </c>
      <c r="D7" s="1" t="s">
        <v>145</v>
      </c>
    </row>
    <row r="8" spans="1:13">
      <c r="A8" s="1" t="s">
        <v>20</v>
      </c>
      <c r="B8" s="1" t="s">
        <v>77</v>
      </c>
      <c r="C8" s="28" t="s">
        <v>146</v>
      </c>
      <c r="D8" s="1" t="s">
        <v>147</v>
      </c>
    </row>
    <row r="9" spans="1:13">
      <c r="A9" s="1" t="s">
        <v>20</v>
      </c>
      <c r="B9" s="1" t="s">
        <v>77</v>
      </c>
      <c r="C9" s="28" t="s">
        <v>148</v>
      </c>
      <c r="D9" s="1" t="s">
        <v>149</v>
      </c>
    </row>
    <row r="10" spans="1:13">
      <c r="A10" s="1" t="s">
        <v>20</v>
      </c>
      <c r="B10" s="1" t="s">
        <v>77</v>
      </c>
      <c r="C10" s="28" t="s">
        <v>150</v>
      </c>
      <c r="D10" s="1" t="s">
        <v>151</v>
      </c>
    </row>
    <row r="11" spans="1:13">
      <c r="A11" s="1" t="s">
        <v>20</v>
      </c>
      <c r="B11" s="1" t="s">
        <v>77</v>
      </c>
      <c r="C11" s="28" t="s">
        <v>152</v>
      </c>
      <c r="D11" s="1" t="s">
        <v>153</v>
      </c>
    </row>
    <row r="12" spans="1:13">
      <c r="A12" s="1" t="s">
        <v>20</v>
      </c>
      <c r="B12" s="1" t="s">
        <v>77</v>
      </c>
      <c r="C12" s="28" t="s">
        <v>154</v>
      </c>
      <c r="D12" s="1" t="s">
        <v>155</v>
      </c>
    </row>
    <row r="13" spans="1:13">
      <c r="A13" s="1" t="s">
        <v>20</v>
      </c>
      <c r="B13" s="1" t="s">
        <v>77</v>
      </c>
      <c r="C13" s="10" t="s">
        <v>156</v>
      </c>
      <c r="D13" s="1" t="s">
        <v>157</v>
      </c>
    </row>
    <row r="14" spans="1:13">
      <c r="A14" s="1" t="s">
        <v>17</v>
      </c>
      <c r="B14" s="1" t="s">
        <v>77</v>
      </c>
      <c r="C14" s="28" t="s">
        <v>158</v>
      </c>
      <c r="D14" s="1" t="s">
        <v>159</v>
      </c>
    </row>
    <row r="15" spans="1:13">
      <c r="A15" s="1" t="s">
        <v>17</v>
      </c>
      <c r="B15" s="1" t="s">
        <v>77</v>
      </c>
      <c r="C15" s="28" t="s">
        <v>160</v>
      </c>
      <c r="D15" s="1" t="s">
        <v>161</v>
      </c>
    </row>
    <row r="16" spans="1:13">
      <c r="A16" s="1" t="s">
        <v>13</v>
      </c>
      <c r="B16" s="1" t="s">
        <v>92</v>
      </c>
      <c r="C16" s="28" t="s">
        <v>162</v>
      </c>
      <c r="D16" s="1" t="s">
        <v>163</v>
      </c>
    </row>
    <row r="17" spans="1:4">
      <c r="A17" s="1" t="s">
        <v>17</v>
      </c>
      <c r="B17" s="1" t="s">
        <v>92</v>
      </c>
      <c r="C17" s="10" t="s">
        <v>95</v>
      </c>
      <c r="D17" s="1" t="s">
        <v>96</v>
      </c>
    </row>
    <row r="18" spans="1:4">
      <c r="A18" s="1" t="s">
        <v>17</v>
      </c>
      <c r="B18" s="1" t="s">
        <v>92</v>
      </c>
      <c r="C18" s="28" t="s">
        <v>164</v>
      </c>
      <c r="D18" s="1" t="s">
        <v>165</v>
      </c>
    </row>
    <row r="19" spans="1:4">
      <c r="A19" s="1" t="s">
        <v>20</v>
      </c>
      <c r="B19" s="1" t="s">
        <v>92</v>
      </c>
      <c r="C19" s="10" t="s">
        <v>166</v>
      </c>
      <c r="D19" s="1" t="s">
        <v>167</v>
      </c>
    </row>
    <row r="20" spans="1:4">
      <c r="A20" s="1" t="s">
        <v>20</v>
      </c>
      <c r="B20" s="1" t="s">
        <v>92</v>
      </c>
      <c r="C20" s="10" t="s">
        <v>168</v>
      </c>
      <c r="D20" s="1" t="s">
        <v>169</v>
      </c>
    </row>
    <row r="21" spans="1:4">
      <c r="A21" s="1" t="s">
        <v>20</v>
      </c>
      <c r="B21" s="1" t="s">
        <v>92</v>
      </c>
      <c r="C21" s="10" t="s">
        <v>170</v>
      </c>
      <c r="D21" s="1" t="s">
        <v>171</v>
      </c>
    </row>
    <row r="22" spans="1:4">
      <c r="A22" s="1" t="s">
        <v>20</v>
      </c>
      <c r="B22" s="1" t="s">
        <v>92</v>
      </c>
      <c r="C22" s="10" t="s">
        <v>172</v>
      </c>
      <c r="D22" s="1" t="s">
        <v>173</v>
      </c>
    </row>
    <row r="23" spans="1:4">
      <c r="A23" s="1" t="s">
        <v>20</v>
      </c>
      <c r="B23" s="1" t="s">
        <v>92</v>
      </c>
      <c r="C23" s="10" t="s">
        <v>174</v>
      </c>
      <c r="D23" s="1" t="s">
        <v>175</v>
      </c>
    </row>
    <row r="24" spans="1:4">
      <c r="A24" s="1" t="s">
        <v>20</v>
      </c>
      <c r="B24" s="1" t="s">
        <v>92</v>
      </c>
      <c r="C24" s="10" t="s">
        <v>176</v>
      </c>
      <c r="D24" s="1" t="s">
        <v>177</v>
      </c>
    </row>
    <row r="25" spans="1:4">
      <c r="A25" s="1" t="s">
        <v>17</v>
      </c>
      <c r="B25" s="1" t="s">
        <v>92</v>
      </c>
      <c r="C25" s="28" t="s">
        <v>178</v>
      </c>
      <c r="D25" s="1" t="s">
        <v>179</v>
      </c>
    </row>
    <row r="26" spans="1:4">
      <c r="A26" s="1" t="s">
        <v>13</v>
      </c>
      <c r="B26" s="1" t="s">
        <v>92</v>
      </c>
      <c r="C26" s="28" t="s">
        <v>180</v>
      </c>
      <c r="D26" s="1" t="s">
        <v>181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workbookViewId="0">
      <selection activeCell="I29" sqref="I29"/>
    </sheetView>
  </sheetViews>
  <sheetFormatPr defaultColWidth="9" defaultRowHeight="16.8"/>
  <cols>
    <col min="1" max="2" width="8.66071428571429" style="14"/>
    <col min="3" max="3" width="8.5" style="31" customWidth="1"/>
    <col min="4" max="4" width="20" style="14" customWidth="1"/>
    <col min="5" max="16384" width="8.66071428571429" style="14"/>
  </cols>
  <sheetData>
    <row r="1" s="1" customFormat="1" ht="15" customHeight="1" spans="1:13">
      <c r="A1" s="2" t="s">
        <v>0</v>
      </c>
      <c r="B1" s="2" t="s">
        <v>1</v>
      </c>
      <c r="C1" s="27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" t="s">
        <v>13</v>
      </c>
      <c r="B2" s="1" t="s">
        <v>182</v>
      </c>
      <c r="C2" s="28" t="s">
        <v>183</v>
      </c>
      <c r="D2" s="1" t="s">
        <v>140</v>
      </c>
    </row>
    <row r="3" spans="1:13">
      <c r="A3" s="1" t="s">
        <v>17</v>
      </c>
      <c r="B3" s="1" t="s">
        <v>182</v>
      </c>
      <c r="C3" s="28" t="s">
        <v>184</v>
      </c>
      <c r="D3" s="1" t="s">
        <v>141</v>
      </c>
    </row>
    <row r="4" spans="1:13">
      <c r="A4" s="1" t="s">
        <v>20</v>
      </c>
      <c r="B4" s="1" t="s">
        <v>182</v>
      </c>
      <c r="C4" s="28" t="s">
        <v>185</v>
      </c>
      <c r="D4" s="1" t="s">
        <v>83</v>
      </c>
    </row>
    <row r="5" spans="1:13">
      <c r="A5" s="1" t="s">
        <v>20</v>
      </c>
      <c r="B5" s="1" t="s">
        <v>182</v>
      </c>
      <c r="C5" s="28" t="s">
        <v>186</v>
      </c>
      <c r="D5" s="1" t="s">
        <v>85</v>
      </c>
    </row>
    <row r="6" spans="1:13">
      <c r="A6" s="1" t="s">
        <v>17</v>
      </c>
      <c r="B6" s="1" t="s">
        <v>182</v>
      </c>
      <c r="C6" s="28" t="s">
        <v>187</v>
      </c>
      <c r="D6" s="1" t="s">
        <v>143</v>
      </c>
    </row>
    <row r="7" spans="1:13">
      <c r="A7" s="1" t="s">
        <v>17</v>
      </c>
      <c r="B7" s="1" t="s">
        <v>182</v>
      </c>
      <c r="C7" s="28" t="s">
        <v>188</v>
      </c>
      <c r="D7" s="1" t="s">
        <v>145</v>
      </c>
    </row>
    <row r="8" spans="1:13">
      <c r="A8" s="1" t="s">
        <v>20</v>
      </c>
      <c r="B8" s="1" t="s">
        <v>182</v>
      </c>
      <c r="C8" s="28" t="s">
        <v>189</v>
      </c>
      <c r="D8" s="1" t="s">
        <v>147</v>
      </c>
    </row>
    <row r="9" spans="1:13">
      <c r="A9" s="1" t="s">
        <v>20</v>
      </c>
      <c r="B9" s="1" t="s">
        <v>182</v>
      </c>
      <c r="C9" s="28" t="s">
        <v>190</v>
      </c>
      <c r="D9" s="1" t="s">
        <v>149</v>
      </c>
    </row>
    <row r="10" spans="1:13">
      <c r="A10" s="1" t="s">
        <v>20</v>
      </c>
      <c r="B10" s="1" t="s">
        <v>182</v>
      </c>
      <c r="C10" s="28" t="s">
        <v>191</v>
      </c>
      <c r="D10" s="1" t="s">
        <v>151</v>
      </c>
    </row>
    <row r="11" spans="1:13">
      <c r="A11" s="1" t="s">
        <v>20</v>
      </c>
      <c r="B11" s="1" t="s">
        <v>182</v>
      </c>
      <c r="C11" s="28" t="s">
        <v>192</v>
      </c>
      <c r="D11" s="1" t="s">
        <v>193</v>
      </c>
    </row>
    <row r="12" spans="1:13">
      <c r="A12" s="1" t="s">
        <v>20</v>
      </c>
      <c r="B12" s="1" t="s">
        <v>182</v>
      </c>
      <c r="C12" s="28" t="s">
        <v>194</v>
      </c>
      <c r="D12" s="1" t="s">
        <v>195</v>
      </c>
    </row>
    <row r="13" spans="1:13">
      <c r="A13" s="1" t="s">
        <v>20</v>
      </c>
      <c r="B13" s="1" t="s">
        <v>182</v>
      </c>
      <c r="C13" s="28" t="s">
        <v>196</v>
      </c>
      <c r="D13" s="1" t="s">
        <v>197</v>
      </c>
    </row>
    <row r="14" spans="1:13">
      <c r="A14" s="1" t="s">
        <v>20</v>
      </c>
      <c r="B14" s="1" t="s">
        <v>182</v>
      </c>
      <c r="C14" s="10" t="s">
        <v>198</v>
      </c>
      <c r="D14" s="1" t="s">
        <v>157</v>
      </c>
    </row>
    <row r="15" spans="1:13">
      <c r="A15" s="1" t="s">
        <v>17</v>
      </c>
      <c r="B15" s="1" t="s">
        <v>182</v>
      </c>
      <c r="C15" s="28" t="s">
        <v>199</v>
      </c>
      <c r="D15" s="1" t="s">
        <v>159</v>
      </c>
    </row>
    <row r="16" spans="1:13">
      <c r="A16" s="1" t="s">
        <v>17</v>
      </c>
      <c r="B16" s="1" t="s">
        <v>182</v>
      </c>
      <c r="C16" s="28" t="s">
        <v>200</v>
      </c>
      <c r="D16" s="1" t="s">
        <v>161</v>
      </c>
    </row>
    <row r="17" spans="1:4">
      <c r="A17" s="1" t="s">
        <v>13</v>
      </c>
      <c r="B17" s="1" t="s">
        <v>201</v>
      </c>
      <c r="C17" s="28" t="s">
        <v>202</v>
      </c>
      <c r="D17" s="1" t="s">
        <v>163</v>
      </c>
    </row>
    <row r="18" spans="1:4">
      <c r="A18" s="1" t="s">
        <v>17</v>
      </c>
      <c r="B18" s="1" t="s">
        <v>201</v>
      </c>
      <c r="C18" s="28" t="s">
        <v>203</v>
      </c>
      <c r="D18" s="1" t="s">
        <v>96</v>
      </c>
    </row>
    <row r="19" spans="1:4">
      <c r="A19" s="1" t="s">
        <v>17</v>
      </c>
      <c r="B19" s="1" t="s">
        <v>201</v>
      </c>
      <c r="C19" s="28" t="s">
        <v>204</v>
      </c>
      <c r="D19" s="1" t="s">
        <v>165</v>
      </c>
    </row>
    <row r="20" spans="1:4">
      <c r="A20" s="1" t="s">
        <v>20</v>
      </c>
      <c r="B20" s="1" t="s">
        <v>201</v>
      </c>
      <c r="C20" s="28" t="s">
        <v>205</v>
      </c>
      <c r="D20" s="1" t="s">
        <v>167</v>
      </c>
    </row>
    <row r="21" spans="1:4">
      <c r="A21" s="1" t="s">
        <v>20</v>
      </c>
      <c r="B21" s="1" t="s">
        <v>201</v>
      </c>
      <c r="C21" s="28" t="s">
        <v>206</v>
      </c>
      <c r="D21" s="1" t="s">
        <v>169</v>
      </c>
    </row>
    <row r="22" spans="1:4">
      <c r="A22" s="1" t="s">
        <v>20</v>
      </c>
      <c r="B22" s="1" t="s">
        <v>201</v>
      </c>
      <c r="C22" s="28" t="s">
        <v>207</v>
      </c>
      <c r="D22" s="1" t="s">
        <v>171</v>
      </c>
    </row>
    <row r="23" spans="1:4">
      <c r="A23" s="1" t="s">
        <v>20</v>
      </c>
      <c r="B23" s="1" t="s">
        <v>201</v>
      </c>
      <c r="C23" s="28" t="s">
        <v>208</v>
      </c>
      <c r="D23" s="1" t="s">
        <v>173</v>
      </c>
    </row>
    <row r="24" spans="1:4">
      <c r="A24" s="1" t="s">
        <v>20</v>
      </c>
      <c r="B24" s="1" t="s">
        <v>201</v>
      </c>
      <c r="C24" s="28" t="s">
        <v>209</v>
      </c>
      <c r="D24" s="1" t="s">
        <v>175</v>
      </c>
    </row>
    <row r="25" spans="1:4">
      <c r="A25" s="1" t="s">
        <v>20</v>
      </c>
      <c r="B25" s="1" t="s">
        <v>201</v>
      </c>
      <c r="C25" s="28" t="s">
        <v>210</v>
      </c>
      <c r="D25" s="1" t="s">
        <v>177</v>
      </c>
    </row>
    <row r="26" spans="1:4">
      <c r="A26" s="1" t="s">
        <v>17</v>
      </c>
      <c r="B26" s="1" t="s">
        <v>201</v>
      </c>
      <c r="C26" s="28" t="s">
        <v>211</v>
      </c>
      <c r="D26" s="1" t="s">
        <v>179</v>
      </c>
    </row>
    <row r="27" spans="1:4">
      <c r="A27" s="1" t="s">
        <v>13</v>
      </c>
      <c r="B27" s="1" t="s">
        <v>201</v>
      </c>
      <c r="C27" s="28" t="s">
        <v>212</v>
      </c>
      <c r="D27" s="1" t="s">
        <v>181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1"/>
  <sheetViews>
    <sheetView workbookViewId="0">
      <selection activeCell="I21" sqref="I21"/>
    </sheetView>
  </sheetViews>
  <sheetFormatPr defaultColWidth="9" defaultRowHeight="16.8"/>
  <cols>
    <col min="4" max="4" width="16.6607142857143" customWidth="1"/>
  </cols>
  <sheetData>
    <row r="1" s="1" customFormat="1" ht="15" customHeight="1" spans="1:13">
      <c r="A1" s="2" t="s">
        <v>0</v>
      </c>
      <c r="B1" s="2" t="s">
        <v>1</v>
      </c>
      <c r="C1" s="27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8" t="s">
        <v>13</v>
      </c>
      <c r="B2" s="8" t="s">
        <v>103</v>
      </c>
      <c r="C2" s="8" t="s">
        <v>123</v>
      </c>
      <c r="D2" s="8" t="s">
        <v>213</v>
      </c>
    </row>
    <row r="3" spans="1:13">
      <c r="A3" s="8" t="s">
        <v>17</v>
      </c>
      <c r="B3" s="8" t="s">
        <v>103</v>
      </c>
      <c r="C3" s="8" t="s">
        <v>214</v>
      </c>
      <c r="D3" s="8" t="s">
        <v>215</v>
      </c>
    </row>
    <row r="4" spans="1:13">
      <c r="A4" s="29" t="s">
        <v>20</v>
      </c>
      <c r="B4" s="29" t="s">
        <v>103</v>
      </c>
      <c r="C4" s="29" t="s">
        <v>216</v>
      </c>
      <c r="D4" s="29" t="s">
        <v>217</v>
      </c>
    </row>
    <row r="5" spans="1:13">
      <c r="A5" s="29" t="s">
        <v>20</v>
      </c>
      <c r="B5" s="29" t="s">
        <v>103</v>
      </c>
      <c r="C5" s="29" t="s">
        <v>218</v>
      </c>
      <c r="D5" s="29" t="s">
        <v>219</v>
      </c>
    </row>
    <row r="6" spans="1:13">
      <c r="A6" s="8" t="s">
        <v>17</v>
      </c>
      <c r="B6" s="8" t="s">
        <v>103</v>
      </c>
      <c r="C6" s="8" t="s">
        <v>220</v>
      </c>
      <c r="D6" s="8" t="s">
        <v>221</v>
      </c>
    </row>
    <row r="7" spans="1:13">
      <c r="A7" s="8" t="s">
        <v>17</v>
      </c>
      <c r="B7" s="8" t="s">
        <v>103</v>
      </c>
      <c r="C7" s="8" t="s">
        <v>222</v>
      </c>
      <c r="D7" s="8" t="s">
        <v>223</v>
      </c>
    </row>
    <row r="8" spans="1:13">
      <c r="A8" s="8" t="s">
        <v>17</v>
      </c>
      <c r="B8" s="8" t="s">
        <v>103</v>
      </c>
      <c r="C8" s="8" t="s">
        <v>224</v>
      </c>
      <c r="D8" s="8" t="s">
        <v>225</v>
      </c>
    </row>
    <row r="9" spans="1:13">
      <c r="A9" s="8" t="s">
        <v>17</v>
      </c>
      <c r="B9" s="8" t="s">
        <v>103</v>
      </c>
      <c r="C9" s="8" t="s">
        <v>226</v>
      </c>
      <c r="D9" s="8" t="s">
        <v>227</v>
      </c>
    </row>
    <row r="10" spans="1:13">
      <c r="A10" s="29" t="s">
        <v>20</v>
      </c>
      <c r="B10" s="29" t="s">
        <v>103</v>
      </c>
      <c r="C10" s="29" t="s">
        <v>228</v>
      </c>
      <c r="D10" s="29" t="s">
        <v>83</v>
      </c>
    </row>
    <row r="11" spans="1:13">
      <c r="A11" s="30"/>
      <c r="B11" s="30"/>
      <c r="C11" s="30"/>
      <c r="D11" s="30"/>
    </row>
    <row r="12" spans="1:13">
      <c r="A12" s="8" t="s">
        <v>13</v>
      </c>
      <c r="B12" s="8" t="s">
        <v>23</v>
      </c>
      <c r="C12" s="8" t="s">
        <v>34</v>
      </c>
      <c r="D12" s="8" t="s">
        <v>229</v>
      </c>
    </row>
    <row r="13" spans="1:13">
      <c r="A13" s="30"/>
      <c r="B13" s="30"/>
      <c r="C13" s="30"/>
      <c r="D13" s="30"/>
    </row>
    <row r="14" spans="1:13">
      <c r="A14" s="29" t="s">
        <v>13</v>
      </c>
      <c r="B14" s="29" t="s">
        <v>103</v>
      </c>
      <c r="C14" s="8" t="s">
        <v>230</v>
      </c>
      <c r="D14" s="29" t="s">
        <v>231</v>
      </c>
    </row>
    <row r="15" spans="1:13">
      <c r="A15" s="8" t="s">
        <v>17</v>
      </c>
      <c r="B15" s="8" t="s">
        <v>103</v>
      </c>
      <c r="C15" s="8" t="s">
        <v>232</v>
      </c>
      <c r="D15" s="8" t="s">
        <v>215</v>
      </c>
    </row>
    <row r="16" spans="1:13">
      <c r="A16" s="29" t="s">
        <v>20</v>
      </c>
      <c r="B16" s="29" t="s">
        <v>103</v>
      </c>
      <c r="C16" s="29" t="s">
        <v>233</v>
      </c>
      <c r="D16" s="29" t="s">
        <v>217</v>
      </c>
    </row>
    <row r="17" spans="1:4">
      <c r="A17" s="29" t="s">
        <v>20</v>
      </c>
      <c r="B17" s="29" t="s">
        <v>103</v>
      </c>
      <c r="C17" s="29" t="s">
        <v>234</v>
      </c>
      <c r="D17" s="29" t="s">
        <v>219</v>
      </c>
    </row>
    <row r="18" spans="1:4">
      <c r="A18" s="8" t="s">
        <v>17</v>
      </c>
      <c r="B18" s="8" t="s">
        <v>103</v>
      </c>
      <c r="C18" s="8" t="s">
        <v>235</v>
      </c>
      <c r="D18" s="8" t="s">
        <v>221</v>
      </c>
    </row>
    <row r="19" spans="1:4">
      <c r="A19" s="8" t="s">
        <v>17</v>
      </c>
      <c r="B19" s="8" t="s">
        <v>103</v>
      </c>
      <c r="C19" s="8" t="s">
        <v>236</v>
      </c>
      <c r="D19" s="8" t="s">
        <v>223</v>
      </c>
    </row>
    <row r="20" spans="1:4">
      <c r="A20" s="8" t="s">
        <v>17</v>
      </c>
      <c r="B20" s="8" t="s">
        <v>103</v>
      </c>
      <c r="C20" s="8" t="s">
        <v>237</v>
      </c>
      <c r="D20" s="8" t="s">
        <v>225</v>
      </c>
    </row>
    <row r="21" spans="1:4">
      <c r="A21" s="8" t="s">
        <v>17</v>
      </c>
      <c r="B21" s="8" t="s">
        <v>103</v>
      </c>
      <c r="C21" s="8" t="s">
        <v>238</v>
      </c>
      <c r="D21" s="8" t="s">
        <v>227</v>
      </c>
    </row>
    <row r="22" spans="1:4">
      <c r="A22" s="29" t="s">
        <v>20</v>
      </c>
      <c r="B22" s="29" t="s">
        <v>103</v>
      </c>
      <c r="C22" s="29" t="s">
        <v>239</v>
      </c>
      <c r="D22" s="29" t="s">
        <v>83</v>
      </c>
    </row>
    <row r="23" spans="1:4">
      <c r="A23" s="30"/>
      <c r="B23" s="30"/>
      <c r="C23" s="30"/>
      <c r="D23" s="30"/>
    </row>
    <row r="24" spans="1:4">
      <c r="A24" s="8" t="s">
        <v>13</v>
      </c>
      <c r="B24" s="8" t="s">
        <v>77</v>
      </c>
      <c r="C24" s="8" t="s">
        <v>240</v>
      </c>
      <c r="D24" s="8" t="s">
        <v>241</v>
      </c>
    </row>
    <row r="25" spans="1:4">
      <c r="A25" s="8" t="s">
        <v>17</v>
      </c>
      <c r="B25" s="8" t="s">
        <v>77</v>
      </c>
      <c r="C25" s="8" t="s">
        <v>242</v>
      </c>
      <c r="D25" s="8" t="s">
        <v>215</v>
      </c>
    </row>
    <row r="26" spans="1:4">
      <c r="A26" s="29" t="s">
        <v>20</v>
      </c>
      <c r="B26" s="29" t="s">
        <v>77</v>
      </c>
      <c r="C26" s="29" t="s">
        <v>243</v>
      </c>
      <c r="D26" s="29" t="s">
        <v>217</v>
      </c>
    </row>
    <row r="27" spans="1:4">
      <c r="A27" s="29" t="s">
        <v>20</v>
      </c>
      <c r="B27" s="29" t="s">
        <v>77</v>
      </c>
      <c r="C27" s="29" t="s">
        <v>244</v>
      </c>
      <c r="D27" s="29" t="s">
        <v>219</v>
      </c>
    </row>
    <row r="28" spans="1:4">
      <c r="A28" s="8" t="s">
        <v>17</v>
      </c>
      <c r="B28" s="8" t="s">
        <v>77</v>
      </c>
      <c r="C28" s="8" t="s">
        <v>245</v>
      </c>
      <c r="D28" s="8" t="s">
        <v>221</v>
      </c>
    </row>
    <row r="29" spans="1:4">
      <c r="A29" s="8" t="s">
        <v>17</v>
      </c>
      <c r="B29" s="8" t="s">
        <v>77</v>
      </c>
      <c r="C29" s="8" t="s">
        <v>246</v>
      </c>
      <c r="D29" s="8" t="s">
        <v>223</v>
      </c>
    </row>
    <row r="30" spans="1:4">
      <c r="A30" s="8" t="s">
        <v>17</v>
      </c>
      <c r="B30" s="8" t="s">
        <v>77</v>
      </c>
      <c r="C30" s="8" t="s">
        <v>247</v>
      </c>
      <c r="D30" s="8" t="s">
        <v>225</v>
      </c>
    </row>
    <row r="31" spans="1:4">
      <c r="A31" s="8" t="s">
        <v>17</v>
      </c>
      <c r="B31" s="8" t="s">
        <v>77</v>
      </c>
      <c r="C31" s="8" t="s">
        <v>248</v>
      </c>
      <c r="D31" s="8" t="s">
        <v>227</v>
      </c>
    </row>
    <row r="32" spans="1:4">
      <c r="A32" s="29" t="s">
        <v>20</v>
      </c>
      <c r="B32" s="29" t="s">
        <v>77</v>
      </c>
      <c r="C32" s="29" t="s">
        <v>249</v>
      </c>
      <c r="D32" s="29" t="s">
        <v>83</v>
      </c>
    </row>
    <row r="33" spans="1:4">
      <c r="A33" s="30"/>
      <c r="B33" s="30"/>
      <c r="C33" s="30"/>
      <c r="D33" s="30"/>
    </row>
    <row r="34" spans="1:4">
      <c r="A34" s="8" t="s">
        <v>13</v>
      </c>
      <c r="B34" s="8" t="s">
        <v>77</v>
      </c>
      <c r="C34" s="8" t="s">
        <v>250</v>
      </c>
      <c r="D34" s="8" t="s">
        <v>251</v>
      </c>
    </row>
    <row r="35" spans="1:4">
      <c r="A35" s="8" t="s">
        <v>17</v>
      </c>
      <c r="B35" s="8" t="s">
        <v>77</v>
      </c>
      <c r="C35" s="8" t="s">
        <v>252</v>
      </c>
      <c r="D35" s="8" t="s">
        <v>215</v>
      </c>
    </row>
    <row r="36" spans="1:4">
      <c r="A36" s="29" t="s">
        <v>20</v>
      </c>
      <c r="B36" s="29" t="s">
        <v>77</v>
      </c>
      <c r="C36" s="29" t="s">
        <v>253</v>
      </c>
      <c r="D36" s="29" t="s">
        <v>217</v>
      </c>
    </row>
    <row r="37" spans="1:4">
      <c r="A37" s="29" t="s">
        <v>20</v>
      </c>
      <c r="B37" s="29" t="s">
        <v>77</v>
      </c>
      <c r="C37" s="29" t="s">
        <v>254</v>
      </c>
      <c r="D37" s="29" t="s">
        <v>219</v>
      </c>
    </row>
    <row r="38" spans="1:4">
      <c r="A38" s="8" t="s">
        <v>17</v>
      </c>
      <c r="B38" s="8" t="s">
        <v>77</v>
      </c>
      <c r="C38" s="8" t="s">
        <v>255</v>
      </c>
      <c r="D38" s="8" t="s">
        <v>221</v>
      </c>
    </row>
    <row r="39" spans="1:4">
      <c r="A39" s="8" t="s">
        <v>17</v>
      </c>
      <c r="B39" s="8" t="s">
        <v>77</v>
      </c>
      <c r="C39" s="8" t="s">
        <v>256</v>
      </c>
      <c r="D39" s="8" t="s">
        <v>223</v>
      </c>
    </row>
    <row r="40" spans="1:4">
      <c r="A40" s="8" t="s">
        <v>17</v>
      </c>
      <c r="B40" s="8" t="s">
        <v>77</v>
      </c>
      <c r="C40" s="8" t="s">
        <v>257</v>
      </c>
      <c r="D40" s="8" t="s">
        <v>225</v>
      </c>
    </row>
    <row r="41" spans="1:4">
      <c r="A41" s="8" t="s">
        <v>17</v>
      </c>
      <c r="B41" s="8" t="s">
        <v>77</v>
      </c>
      <c r="C41" s="8" t="s">
        <v>258</v>
      </c>
      <c r="D41" s="8" t="s">
        <v>227</v>
      </c>
    </row>
    <row r="42" spans="1:4">
      <c r="A42" s="29" t="s">
        <v>20</v>
      </c>
      <c r="B42" s="29" t="s">
        <v>77</v>
      </c>
      <c r="C42" s="29" t="s">
        <v>259</v>
      </c>
      <c r="D42" s="29" t="s">
        <v>83</v>
      </c>
    </row>
    <row r="43" spans="1:4">
      <c r="A43" s="29"/>
      <c r="B43" s="29"/>
      <c r="C43" s="29"/>
      <c r="D43" s="29"/>
    </row>
    <row r="44" spans="1:4">
      <c r="A44" s="8" t="s">
        <v>13</v>
      </c>
      <c r="B44" s="8" t="s">
        <v>77</v>
      </c>
      <c r="C44" s="8" t="s">
        <v>260</v>
      </c>
      <c r="D44" s="8" t="s">
        <v>261</v>
      </c>
    </row>
    <row r="45" spans="1:4">
      <c r="A45" s="8" t="s">
        <v>17</v>
      </c>
      <c r="B45" s="8" t="s">
        <v>77</v>
      </c>
      <c r="C45" s="8" t="s">
        <v>262</v>
      </c>
      <c r="D45" s="8" t="s">
        <v>215</v>
      </c>
    </row>
    <row r="46" spans="1:4">
      <c r="A46" s="29" t="s">
        <v>20</v>
      </c>
      <c r="B46" s="29" t="s">
        <v>77</v>
      </c>
      <c r="C46" s="29" t="s">
        <v>263</v>
      </c>
      <c r="D46" s="29" t="s">
        <v>217</v>
      </c>
    </row>
    <row r="47" spans="1:4">
      <c r="A47" s="29" t="s">
        <v>20</v>
      </c>
      <c r="B47" s="29" t="s">
        <v>77</v>
      </c>
      <c r="C47" s="29" t="s">
        <v>264</v>
      </c>
      <c r="D47" s="29" t="s">
        <v>219</v>
      </c>
    </row>
    <row r="48" spans="1:4">
      <c r="A48" s="8" t="s">
        <v>17</v>
      </c>
      <c r="B48" s="8" t="s">
        <v>77</v>
      </c>
      <c r="C48" s="8" t="s">
        <v>265</v>
      </c>
      <c r="D48" s="8" t="s">
        <v>221</v>
      </c>
    </row>
    <row r="49" spans="1:4">
      <c r="A49" s="8" t="s">
        <v>17</v>
      </c>
      <c r="B49" s="8" t="s">
        <v>77</v>
      </c>
      <c r="C49" s="8" t="s">
        <v>266</v>
      </c>
      <c r="D49" s="8" t="s">
        <v>223</v>
      </c>
    </row>
    <row r="50" spans="1:4">
      <c r="A50" s="8" t="s">
        <v>17</v>
      </c>
      <c r="B50" s="8" t="s">
        <v>77</v>
      </c>
      <c r="C50" s="8" t="s">
        <v>267</v>
      </c>
      <c r="D50" s="8" t="s">
        <v>225</v>
      </c>
    </row>
    <row r="51" spans="1:4">
      <c r="A51" s="8" t="s">
        <v>17</v>
      </c>
      <c r="B51" s="8" t="s">
        <v>77</v>
      </c>
      <c r="C51" s="8" t="s">
        <v>268</v>
      </c>
      <c r="D51" s="8" t="s">
        <v>227</v>
      </c>
    </row>
    <row r="52" spans="1:4">
      <c r="A52" s="29" t="s">
        <v>20</v>
      </c>
      <c r="B52" s="29" t="s">
        <v>77</v>
      </c>
      <c r="C52" s="29" t="s">
        <v>269</v>
      </c>
      <c r="D52" s="29" t="s">
        <v>83</v>
      </c>
    </row>
    <row r="53" spans="1:4">
      <c r="A53" s="29"/>
      <c r="B53" s="29"/>
      <c r="C53" s="29"/>
      <c r="D53" s="29"/>
    </row>
    <row r="54" spans="1:4">
      <c r="A54" s="8" t="s">
        <v>13</v>
      </c>
      <c r="B54" s="8" t="s">
        <v>23</v>
      </c>
      <c r="C54" s="8" t="s">
        <v>270</v>
      </c>
      <c r="D54" s="8" t="s">
        <v>271</v>
      </c>
    </row>
    <row r="55" spans="1:4">
      <c r="A55" s="8" t="s">
        <v>17</v>
      </c>
      <c r="B55" s="8" t="s">
        <v>23</v>
      </c>
      <c r="C55" s="8" t="s">
        <v>272</v>
      </c>
      <c r="D55" s="8" t="s">
        <v>215</v>
      </c>
    </row>
    <row r="56" spans="1:4">
      <c r="A56" s="29" t="s">
        <v>20</v>
      </c>
      <c r="B56" s="29" t="s">
        <v>23</v>
      </c>
      <c r="C56" s="29" t="s">
        <v>273</v>
      </c>
      <c r="D56" s="29" t="s">
        <v>217</v>
      </c>
    </row>
    <row r="57" spans="1:4">
      <c r="A57" s="29" t="s">
        <v>20</v>
      </c>
      <c r="B57" s="29" t="s">
        <v>23</v>
      </c>
      <c r="C57" s="29" t="s">
        <v>274</v>
      </c>
      <c r="D57" s="29" t="s">
        <v>219</v>
      </c>
    </row>
    <row r="58" spans="1:4">
      <c r="A58" s="8" t="s">
        <v>17</v>
      </c>
      <c r="B58" s="8" t="s">
        <v>23</v>
      </c>
      <c r="C58" s="8" t="s">
        <v>275</v>
      </c>
      <c r="D58" s="8" t="s">
        <v>221</v>
      </c>
    </row>
    <row r="59" spans="1:4">
      <c r="A59" s="8" t="s">
        <v>17</v>
      </c>
      <c r="B59" s="8" t="s">
        <v>23</v>
      </c>
      <c r="C59" s="8" t="s">
        <v>276</v>
      </c>
      <c r="D59" s="8" t="s">
        <v>223</v>
      </c>
    </row>
    <row r="60" spans="1:4">
      <c r="A60" s="8" t="s">
        <v>17</v>
      </c>
      <c r="B60" s="8" t="s">
        <v>23</v>
      </c>
      <c r="C60" s="8" t="s">
        <v>277</v>
      </c>
      <c r="D60" s="8" t="s">
        <v>225</v>
      </c>
    </row>
    <row r="61" spans="1:4">
      <c r="A61" s="8" t="s">
        <v>17</v>
      </c>
      <c r="B61" s="8" t="s">
        <v>23</v>
      </c>
      <c r="C61" s="8" t="s">
        <v>278</v>
      </c>
      <c r="D61" s="8" t="s">
        <v>227</v>
      </c>
    </row>
    <row r="62" spans="1:4">
      <c r="A62" s="29" t="s">
        <v>20</v>
      </c>
      <c r="B62" s="29" t="s">
        <v>23</v>
      </c>
      <c r="C62" s="29" t="s">
        <v>279</v>
      </c>
      <c r="D62" s="29" t="s">
        <v>83</v>
      </c>
    </row>
    <row r="63" spans="1:4">
      <c r="A63" s="29"/>
      <c r="B63" s="29"/>
      <c r="C63" s="29"/>
      <c r="D63" s="29"/>
    </row>
    <row r="64" spans="1:4">
      <c r="A64" s="8" t="s">
        <v>13</v>
      </c>
      <c r="B64" s="8"/>
      <c r="C64" s="8" t="s">
        <v>280</v>
      </c>
      <c r="D64" s="8" t="s">
        <v>281</v>
      </c>
    </row>
    <row r="65" spans="1:4">
      <c r="A65" s="8" t="s">
        <v>17</v>
      </c>
      <c r="B65" s="8" t="s">
        <v>23</v>
      </c>
      <c r="C65" s="8" t="s">
        <v>282</v>
      </c>
      <c r="D65" s="8" t="s">
        <v>283</v>
      </c>
    </row>
    <row r="66" spans="1:4">
      <c r="A66" s="29" t="s">
        <v>20</v>
      </c>
      <c r="B66" s="29" t="s">
        <v>23</v>
      </c>
      <c r="C66" s="29" t="s">
        <v>284</v>
      </c>
      <c r="D66" s="29" t="s">
        <v>285</v>
      </c>
    </row>
    <row r="67" spans="1:4">
      <c r="A67" s="8" t="s">
        <v>17</v>
      </c>
      <c r="B67" s="8" t="s">
        <v>23</v>
      </c>
      <c r="C67" s="8" t="s">
        <v>286</v>
      </c>
      <c r="D67" s="8" t="s">
        <v>287</v>
      </c>
    </row>
    <row r="68" spans="1:4">
      <c r="A68" s="8" t="s">
        <v>17</v>
      </c>
      <c r="B68" s="8" t="s">
        <v>23</v>
      </c>
      <c r="C68" s="8" t="s">
        <v>288</v>
      </c>
      <c r="D68" s="8" t="s">
        <v>289</v>
      </c>
    </row>
    <row r="69" spans="1:4">
      <c r="A69" s="8" t="s">
        <v>17</v>
      </c>
      <c r="B69" s="8" t="s">
        <v>23</v>
      </c>
      <c r="C69" s="8" t="s">
        <v>290</v>
      </c>
      <c r="D69" s="8" t="s">
        <v>291</v>
      </c>
    </row>
    <row r="70" spans="1:4">
      <c r="A70" s="8" t="s">
        <v>17</v>
      </c>
      <c r="B70" s="8" t="s">
        <v>23</v>
      </c>
      <c r="C70" s="8" t="s">
        <v>292</v>
      </c>
      <c r="D70" s="8" t="s">
        <v>293</v>
      </c>
    </row>
    <row r="71" spans="1:4">
      <c r="A71" s="29" t="s">
        <v>20</v>
      </c>
      <c r="B71" s="29" t="s">
        <v>23</v>
      </c>
      <c r="C71" s="29" t="s">
        <v>294</v>
      </c>
      <c r="D71" s="29" t="s">
        <v>295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workbookViewId="0">
      <pane xSplit="3" ySplit="1" topLeftCell="D27" activePane="bottomRight" state="frozen"/>
      <selection/>
      <selection pane="topRight"/>
      <selection pane="bottomLeft"/>
      <selection pane="bottomRight" activeCell="J49" sqref="J49"/>
    </sheetView>
  </sheetViews>
  <sheetFormatPr defaultColWidth="9" defaultRowHeight="15" customHeight="1"/>
  <cols>
    <col min="1" max="2" width="8.66071428571429" style="5"/>
    <col min="3" max="3" width="9.08035714285714" style="26" customWidth="1"/>
    <col min="4" max="4" width="18.4107142857143" style="5" customWidth="1"/>
    <col min="5" max="16384" width="8.66071428571429" style="5"/>
  </cols>
  <sheetData>
    <row r="1" s="1" customFormat="1" customHeight="1" spans="1:13">
      <c r="A1" s="2" t="s">
        <v>0</v>
      </c>
      <c r="B1" s="2" t="s">
        <v>1</v>
      </c>
      <c r="C1" s="27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Height="1" spans="1:13">
      <c r="A2" s="1" t="s">
        <v>13</v>
      </c>
      <c r="B2" s="1" t="s">
        <v>182</v>
      </c>
      <c r="C2" s="28" t="s">
        <v>296</v>
      </c>
      <c r="D2" s="1" t="s">
        <v>297</v>
      </c>
    </row>
    <row r="3" customHeight="1" spans="1:13">
      <c r="A3" s="1" t="s">
        <v>17</v>
      </c>
      <c r="B3" s="1" t="s">
        <v>182</v>
      </c>
      <c r="C3" s="28" t="s">
        <v>184</v>
      </c>
      <c r="D3" s="1" t="s">
        <v>141</v>
      </c>
    </row>
    <row r="4" customHeight="1" spans="1:13">
      <c r="A4" s="1" t="s">
        <v>17</v>
      </c>
      <c r="B4" s="1" t="s">
        <v>182</v>
      </c>
      <c r="C4" s="28" t="s">
        <v>187</v>
      </c>
      <c r="D4" s="1" t="s">
        <v>143</v>
      </c>
    </row>
    <row r="5" customHeight="1" spans="1:13">
      <c r="A5" s="1" t="s">
        <v>17</v>
      </c>
      <c r="B5" s="1" t="s">
        <v>182</v>
      </c>
      <c r="C5" s="28" t="s">
        <v>189</v>
      </c>
      <c r="D5" s="1" t="s">
        <v>298</v>
      </c>
    </row>
    <row r="6" customHeight="1" spans="1:13">
      <c r="A6" s="1" t="s">
        <v>17</v>
      </c>
      <c r="B6" s="1" t="s">
        <v>182</v>
      </c>
      <c r="C6" s="28" t="s">
        <v>190</v>
      </c>
      <c r="D6" s="1" t="s">
        <v>299</v>
      </c>
    </row>
    <row r="7" customHeight="1" spans="1:13">
      <c r="A7" s="1" t="s">
        <v>17</v>
      </c>
      <c r="B7" s="1" t="s">
        <v>182</v>
      </c>
      <c r="C7" s="28" t="s">
        <v>191</v>
      </c>
      <c r="D7" s="1" t="s">
        <v>300</v>
      </c>
    </row>
    <row r="8" customHeight="1" spans="1:13">
      <c r="A8" s="1" t="s">
        <v>17</v>
      </c>
      <c r="B8" s="1" t="s">
        <v>182</v>
      </c>
      <c r="C8" s="28" t="s">
        <v>192</v>
      </c>
      <c r="D8" s="1" t="s">
        <v>301</v>
      </c>
    </row>
    <row r="9" customHeight="1" spans="1:13">
      <c r="A9" s="1" t="s">
        <v>17</v>
      </c>
      <c r="B9" s="1" t="s">
        <v>182</v>
      </c>
      <c r="C9" s="28" t="s">
        <v>194</v>
      </c>
      <c r="D9" s="1" t="s">
        <v>302</v>
      </c>
    </row>
    <row r="10" customHeight="1" spans="1:13">
      <c r="A10" s="1" t="s">
        <v>13</v>
      </c>
      <c r="B10" s="1" t="s">
        <v>201</v>
      </c>
      <c r="C10" s="28" t="s">
        <v>303</v>
      </c>
      <c r="D10" s="1" t="s">
        <v>304</v>
      </c>
    </row>
    <row r="11" customHeight="1" spans="1:13">
      <c r="A11" s="1" t="s">
        <v>17</v>
      </c>
      <c r="B11" s="1" t="s">
        <v>201</v>
      </c>
      <c r="C11" s="28" t="s">
        <v>203</v>
      </c>
      <c r="D11" s="1" t="s">
        <v>96</v>
      </c>
    </row>
    <row r="12" customHeight="1" spans="1:13">
      <c r="A12" s="1" t="s">
        <v>17</v>
      </c>
      <c r="B12" s="1" t="s">
        <v>201</v>
      </c>
      <c r="C12" s="28" t="s">
        <v>205</v>
      </c>
      <c r="D12" s="1" t="s">
        <v>305</v>
      </c>
    </row>
    <row r="13" customHeight="1" spans="1:13">
      <c r="A13" s="1" t="s">
        <v>17</v>
      </c>
      <c r="B13" s="1" t="s">
        <v>201</v>
      </c>
      <c r="C13" s="28" t="s">
        <v>206</v>
      </c>
      <c r="D13" s="1" t="s">
        <v>306</v>
      </c>
    </row>
    <row r="14" customHeight="1" spans="1:13">
      <c r="A14" s="1" t="s">
        <v>17</v>
      </c>
      <c r="B14" s="1" t="s">
        <v>201</v>
      </c>
      <c r="C14" s="10" t="s">
        <v>207</v>
      </c>
      <c r="D14" s="1" t="s">
        <v>307</v>
      </c>
    </row>
    <row r="15" customHeight="1" spans="1:13">
      <c r="A15" s="1" t="s">
        <v>17</v>
      </c>
      <c r="B15" s="1" t="s">
        <v>201</v>
      </c>
      <c r="C15" s="10" t="s">
        <v>208</v>
      </c>
      <c r="D15" s="1" t="s">
        <v>308</v>
      </c>
    </row>
    <row r="16" customHeight="1" spans="1:13">
      <c r="A16" s="1" t="s">
        <v>17</v>
      </c>
      <c r="B16" s="1" t="s">
        <v>201</v>
      </c>
      <c r="C16" s="10" t="s">
        <v>209</v>
      </c>
      <c r="D16" s="1" t="s">
        <v>309</v>
      </c>
    </row>
    <row r="17" customHeight="1" spans="1:4">
      <c r="A17" s="1" t="s">
        <v>17</v>
      </c>
      <c r="B17" s="1" t="s">
        <v>201</v>
      </c>
      <c r="C17" s="10" t="s">
        <v>210</v>
      </c>
      <c r="D17" s="1" t="s">
        <v>310</v>
      </c>
    </row>
    <row r="18" customHeight="1" spans="1:4">
      <c r="A18" s="1"/>
      <c r="B18" s="1"/>
      <c r="C18" s="28"/>
      <c r="D18" s="1"/>
    </row>
    <row r="19" customHeight="1" spans="1:4">
      <c r="A19" s="1" t="s">
        <v>13</v>
      </c>
      <c r="B19" s="1" t="s">
        <v>14</v>
      </c>
      <c r="C19" s="10" t="s">
        <v>21</v>
      </c>
      <c r="D19" s="1" t="s">
        <v>311</v>
      </c>
    </row>
    <row r="20" customHeight="1" spans="1:4">
      <c r="A20" s="1" t="s">
        <v>17</v>
      </c>
      <c r="B20" s="1" t="s">
        <v>14</v>
      </c>
      <c r="C20" s="10" t="s">
        <v>312</v>
      </c>
      <c r="D20" s="1" t="s">
        <v>141</v>
      </c>
    </row>
    <row r="21" customHeight="1" spans="1:4">
      <c r="A21" s="1" t="s">
        <v>17</v>
      </c>
      <c r="B21" s="1" t="s">
        <v>14</v>
      </c>
      <c r="C21" s="10" t="s">
        <v>313</v>
      </c>
      <c r="D21" s="1" t="s">
        <v>143</v>
      </c>
    </row>
    <row r="22" customHeight="1" spans="1:4">
      <c r="A22" s="1" t="s">
        <v>17</v>
      </c>
      <c r="B22" s="1" t="s">
        <v>14</v>
      </c>
      <c r="C22" s="10" t="s">
        <v>314</v>
      </c>
      <c r="D22" s="1" t="s">
        <v>298</v>
      </c>
    </row>
    <row r="23" customHeight="1" spans="1:4">
      <c r="A23" s="1" t="s">
        <v>17</v>
      </c>
      <c r="B23" s="1" t="s">
        <v>14</v>
      </c>
      <c r="C23" s="10" t="s">
        <v>315</v>
      </c>
      <c r="D23" s="1" t="s">
        <v>299</v>
      </c>
    </row>
    <row r="24" customHeight="1" spans="1:4">
      <c r="A24" s="1" t="s">
        <v>17</v>
      </c>
      <c r="B24" s="1" t="s">
        <v>14</v>
      </c>
      <c r="C24" s="10" t="s">
        <v>316</v>
      </c>
      <c r="D24" s="1" t="s">
        <v>300</v>
      </c>
    </row>
    <row r="25" customHeight="1" spans="1:4">
      <c r="A25" s="1" t="s">
        <v>17</v>
      </c>
      <c r="B25" s="1" t="s">
        <v>14</v>
      </c>
      <c r="C25" s="10" t="s">
        <v>317</v>
      </c>
      <c r="D25" s="1" t="s">
        <v>301</v>
      </c>
    </row>
    <row r="26" customHeight="1" spans="1:4">
      <c r="A26" s="1" t="s">
        <v>17</v>
      </c>
      <c r="B26" s="1" t="s">
        <v>14</v>
      </c>
      <c r="C26" s="10" t="s">
        <v>318</v>
      </c>
      <c r="D26" s="1" t="s">
        <v>302</v>
      </c>
    </row>
    <row r="27" customHeight="1" spans="1:4">
      <c r="A27" s="1" t="s">
        <v>13</v>
      </c>
      <c r="B27" s="1" t="s">
        <v>23</v>
      </c>
      <c r="C27" s="10" t="s">
        <v>24</v>
      </c>
      <c r="D27" s="1" t="s">
        <v>319</v>
      </c>
    </row>
    <row r="28" customHeight="1" spans="1:4">
      <c r="A28" s="1" t="s">
        <v>17</v>
      </c>
      <c r="B28" s="1" t="s">
        <v>23</v>
      </c>
      <c r="C28" s="10" t="s">
        <v>320</v>
      </c>
      <c r="D28" s="1" t="s">
        <v>96</v>
      </c>
    </row>
    <row r="29" customHeight="1" spans="1:4">
      <c r="A29" s="1" t="s">
        <v>17</v>
      </c>
      <c r="B29" s="1" t="s">
        <v>23</v>
      </c>
      <c r="C29" s="10" t="s">
        <v>321</v>
      </c>
      <c r="D29" s="1" t="s">
        <v>305</v>
      </c>
    </row>
    <row r="30" customHeight="1" spans="1:4">
      <c r="A30" s="1" t="s">
        <v>17</v>
      </c>
      <c r="B30" s="1" t="s">
        <v>23</v>
      </c>
      <c r="C30" s="10" t="s">
        <v>322</v>
      </c>
      <c r="D30" s="1" t="s">
        <v>306</v>
      </c>
    </row>
    <row r="31" customHeight="1" spans="1:4">
      <c r="A31" s="1" t="s">
        <v>17</v>
      </c>
      <c r="B31" s="1" t="s">
        <v>23</v>
      </c>
      <c r="C31" s="10" t="s">
        <v>323</v>
      </c>
      <c r="D31" s="1" t="s">
        <v>307</v>
      </c>
    </row>
    <row r="32" customHeight="1" spans="1:4">
      <c r="A32" s="1" t="s">
        <v>17</v>
      </c>
      <c r="B32" s="1" t="s">
        <v>23</v>
      </c>
      <c r="C32" s="10" t="s">
        <v>324</v>
      </c>
      <c r="D32" s="1" t="s">
        <v>308</v>
      </c>
    </row>
    <row r="33" customHeight="1" spans="1:10">
      <c r="A33" s="1" t="s">
        <v>17</v>
      </c>
      <c r="B33" s="1" t="s">
        <v>23</v>
      </c>
      <c r="C33" s="10" t="s">
        <v>325</v>
      </c>
      <c r="D33" s="1" t="s">
        <v>309</v>
      </c>
    </row>
    <row r="34" customHeight="1" spans="1:10">
      <c r="A34" s="1" t="s">
        <v>17</v>
      </c>
      <c r="B34" s="1" t="s">
        <v>23</v>
      </c>
      <c r="C34" s="10" t="s">
        <v>326</v>
      </c>
      <c r="D34" s="1" t="s">
        <v>310</v>
      </c>
    </row>
    <row r="35" customHeight="1" spans="1:10">
      <c r="A35" s="1"/>
      <c r="B35" s="1"/>
      <c r="C35" s="28"/>
      <c r="D35" s="1"/>
    </row>
    <row r="36" customHeight="1" spans="1:10">
      <c r="A36" s="1" t="s">
        <v>13</v>
      </c>
      <c r="B36" s="1" t="s">
        <v>103</v>
      </c>
      <c r="C36" s="28" t="s">
        <v>327</v>
      </c>
      <c r="D36" s="1" t="s">
        <v>328</v>
      </c>
      <c r="H36" s="5" t="e">
        <f>H19/H2</f>
        <v>#DIV/0!</v>
      </c>
      <c r="I36" s="5" t="e">
        <f>I19/I2</f>
        <v>#DIV/0!</v>
      </c>
      <c r="J36" s="5" t="s">
        <v>329</v>
      </c>
    </row>
    <row r="37" customHeight="1" spans="1:10">
      <c r="A37" s="1" t="s">
        <v>17</v>
      </c>
      <c r="B37" s="1" t="s">
        <v>103</v>
      </c>
      <c r="C37" s="5" t="s">
        <v>330</v>
      </c>
      <c r="D37" s="1" t="s">
        <v>141</v>
      </c>
      <c r="H37" s="5" t="e">
        <f t="shared" ref="H37:I51" si="0">H20/H3</f>
        <v>#DIV/0!</v>
      </c>
      <c r="I37" s="5" t="e">
        <f t="shared" si="0"/>
        <v>#DIV/0!</v>
      </c>
      <c r="J37" s="5" t="s">
        <v>329</v>
      </c>
    </row>
    <row r="38" customHeight="1" spans="1:10">
      <c r="A38" s="1" t="s">
        <v>17</v>
      </c>
      <c r="B38" s="1" t="s">
        <v>103</v>
      </c>
      <c r="C38" s="5" t="s">
        <v>331</v>
      </c>
      <c r="D38" s="1" t="s">
        <v>143</v>
      </c>
      <c r="H38" s="5" t="e">
        <f t="shared" si="0"/>
        <v>#DIV/0!</v>
      </c>
      <c r="I38" s="5" t="e">
        <f t="shared" si="0"/>
        <v>#DIV/0!</v>
      </c>
      <c r="J38" s="5" t="s">
        <v>329</v>
      </c>
    </row>
    <row r="39" customHeight="1" spans="1:10">
      <c r="A39" s="1" t="s">
        <v>17</v>
      </c>
      <c r="B39" s="1" t="s">
        <v>103</v>
      </c>
      <c r="C39" s="5" t="s">
        <v>332</v>
      </c>
      <c r="D39" s="1" t="s">
        <v>298</v>
      </c>
      <c r="H39" s="5" t="e">
        <f t="shared" si="0"/>
        <v>#DIV/0!</v>
      </c>
      <c r="I39" s="5" t="e">
        <f t="shared" si="0"/>
        <v>#DIV/0!</v>
      </c>
      <c r="J39" s="5" t="s">
        <v>329</v>
      </c>
    </row>
    <row r="40" customHeight="1" spans="1:10">
      <c r="A40" s="1" t="s">
        <v>17</v>
      </c>
      <c r="B40" s="1" t="s">
        <v>103</v>
      </c>
      <c r="C40" s="5" t="s">
        <v>333</v>
      </c>
      <c r="D40" s="1" t="s">
        <v>299</v>
      </c>
      <c r="H40" s="5" t="e">
        <f t="shared" si="0"/>
        <v>#DIV/0!</v>
      </c>
      <c r="I40" s="5" t="e">
        <f t="shared" si="0"/>
        <v>#DIV/0!</v>
      </c>
      <c r="J40" s="5" t="s">
        <v>329</v>
      </c>
    </row>
    <row r="41" customHeight="1" spans="1:10">
      <c r="A41" s="1" t="s">
        <v>17</v>
      </c>
      <c r="B41" s="1" t="s">
        <v>103</v>
      </c>
      <c r="C41" s="5" t="s">
        <v>334</v>
      </c>
      <c r="D41" s="1" t="s">
        <v>300</v>
      </c>
      <c r="H41" s="5" t="e">
        <f t="shared" si="0"/>
        <v>#DIV/0!</v>
      </c>
      <c r="I41" s="5" t="e">
        <f t="shared" si="0"/>
        <v>#DIV/0!</v>
      </c>
      <c r="J41" s="5" t="s">
        <v>329</v>
      </c>
    </row>
    <row r="42" customHeight="1" spans="1:10">
      <c r="A42" s="1" t="s">
        <v>17</v>
      </c>
      <c r="B42" s="1" t="s">
        <v>103</v>
      </c>
      <c r="C42" s="5" t="s">
        <v>335</v>
      </c>
      <c r="D42" s="1" t="s">
        <v>301</v>
      </c>
      <c r="H42" s="5" t="e">
        <f t="shared" si="0"/>
        <v>#DIV/0!</v>
      </c>
      <c r="I42" s="5" t="e">
        <f t="shared" si="0"/>
        <v>#DIV/0!</v>
      </c>
      <c r="J42" s="5" t="s">
        <v>329</v>
      </c>
    </row>
    <row r="43" customHeight="1" spans="1:10">
      <c r="A43" s="1" t="s">
        <v>17</v>
      </c>
      <c r="B43" s="1" t="s">
        <v>103</v>
      </c>
      <c r="C43" s="5" t="s">
        <v>336</v>
      </c>
      <c r="D43" s="1" t="s">
        <v>302</v>
      </c>
      <c r="H43" s="5" t="e">
        <f t="shared" si="0"/>
        <v>#DIV/0!</v>
      </c>
      <c r="I43" s="5" t="e">
        <f t="shared" si="0"/>
        <v>#DIV/0!</v>
      </c>
      <c r="J43" s="5" t="s">
        <v>329</v>
      </c>
    </row>
    <row r="44" customHeight="1" spans="1:10">
      <c r="A44" s="1" t="s">
        <v>13</v>
      </c>
      <c r="B44" s="1" t="s">
        <v>103</v>
      </c>
      <c r="C44" s="28" t="s">
        <v>337</v>
      </c>
      <c r="D44" s="1" t="s">
        <v>338</v>
      </c>
      <c r="H44" s="5" t="e">
        <f t="shared" si="0"/>
        <v>#DIV/0!</v>
      </c>
      <c r="I44" s="5" t="e">
        <f t="shared" si="0"/>
        <v>#DIV/0!</v>
      </c>
      <c r="J44" s="5" t="s">
        <v>329</v>
      </c>
    </row>
    <row r="45" customHeight="1" spans="1:10">
      <c r="A45" s="1" t="s">
        <v>17</v>
      </c>
      <c r="B45" s="1" t="s">
        <v>103</v>
      </c>
      <c r="C45" s="28" t="s">
        <v>339</v>
      </c>
      <c r="D45" s="1" t="s">
        <v>96</v>
      </c>
      <c r="H45" s="5" t="e">
        <f t="shared" si="0"/>
        <v>#DIV/0!</v>
      </c>
      <c r="I45" s="5" t="e">
        <f t="shared" si="0"/>
        <v>#DIV/0!</v>
      </c>
      <c r="J45" s="5" t="s">
        <v>329</v>
      </c>
    </row>
    <row r="46" customHeight="1" spans="1:10">
      <c r="A46" s="1" t="s">
        <v>17</v>
      </c>
      <c r="B46" s="1" t="s">
        <v>103</v>
      </c>
      <c r="C46" s="28" t="s">
        <v>340</v>
      </c>
      <c r="D46" s="1" t="s">
        <v>305</v>
      </c>
      <c r="H46" s="5" t="e">
        <f t="shared" si="0"/>
        <v>#DIV/0!</v>
      </c>
      <c r="I46" s="5" t="e">
        <f t="shared" si="0"/>
        <v>#DIV/0!</v>
      </c>
      <c r="J46" s="5" t="s">
        <v>329</v>
      </c>
    </row>
    <row r="47" customHeight="1" spans="1:10">
      <c r="A47" s="1" t="s">
        <v>17</v>
      </c>
      <c r="B47" s="1" t="s">
        <v>103</v>
      </c>
      <c r="C47" s="28" t="s">
        <v>341</v>
      </c>
      <c r="D47" s="1" t="s">
        <v>306</v>
      </c>
      <c r="H47" s="5" t="e">
        <f t="shared" si="0"/>
        <v>#DIV/0!</v>
      </c>
      <c r="I47" s="5" t="e">
        <f t="shared" si="0"/>
        <v>#DIV/0!</v>
      </c>
      <c r="J47" s="5" t="s">
        <v>329</v>
      </c>
    </row>
    <row r="48" customHeight="1" spans="1:10">
      <c r="A48" s="1" t="s">
        <v>17</v>
      </c>
      <c r="B48" s="1" t="s">
        <v>103</v>
      </c>
      <c r="C48" s="28" t="s">
        <v>342</v>
      </c>
      <c r="D48" s="1" t="s">
        <v>307</v>
      </c>
      <c r="H48" s="5" t="e">
        <f t="shared" si="0"/>
        <v>#DIV/0!</v>
      </c>
      <c r="I48" s="5" t="e">
        <f t="shared" si="0"/>
        <v>#DIV/0!</v>
      </c>
      <c r="J48" s="5" t="s">
        <v>329</v>
      </c>
    </row>
    <row r="49" customHeight="1" spans="1:10">
      <c r="A49" s="1" t="s">
        <v>17</v>
      </c>
      <c r="B49" s="1" t="s">
        <v>103</v>
      </c>
      <c r="C49" s="28" t="s">
        <v>343</v>
      </c>
      <c r="D49" s="1" t="s">
        <v>308</v>
      </c>
      <c r="H49" s="5" t="e">
        <f t="shared" si="0"/>
        <v>#DIV/0!</v>
      </c>
      <c r="I49" s="5" t="e">
        <f t="shared" si="0"/>
        <v>#DIV/0!</v>
      </c>
      <c r="J49" s="5" t="s">
        <v>329</v>
      </c>
    </row>
    <row r="50" customHeight="1" spans="1:10">
      <c r="A50" s="1" t="s">
        <v>17</v>
      </c>
      <c r="B50" s="1" t="s">
        <v>103</v>
      </c>
      <c r="C50" s="28" t="s">
        <v>344</v>
      </c>
      <c r="D50" s="1" t="s">
        <v>309</v>
      </c>
      <c r="H50" s="5" t="e">
        <f t="shared" si="0"/>
        <v>#DIV/0!</v>
      </c>
      <c r="I50" s="5" t="e">
        <f t="shared" si="0"/>
        <v>#DIV/0!</v>
      </c>
      <c r="J50" s="5" t="s">
        <v>329</v>
      </c>
    </row>
    <row r="51" customHeight="1" spans="1:10">
      <c r="A51" s="1" t="s">
        <v>17</v>
      </c>
      <c r="B51" s="1" t="s">
        <v>103</v>
      </c>
      <c r="C51" s="28" t="s">
        <v>345</v>
      </c>
      <c r="D51" s="1" t="s">
        <v>310</v>
      </c>
      <c r="H51" s="5" t="e">
        <f t="shared" si="0"/>
        <v>#DIV/0!</v>
      </c>
      <c r="I51" s="5" t="e">
        <f t="shared" si="0"/>
        <v>#DIV/0!</v>
      </c>
      <c r="J51" s="5" t="s">
        <v>329</v>
      </c>
    </row>
  </sheetData>
  <pageMargins left="0.7" right="0.7" top="0.75" bottom="0.75" header="0.3" footer="0.3"/>
  <headerFooter/>
  <ignoredErrors>
    <ignoredError sqref="H36:H51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8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E31" sqref="E31"/>
    </sheetView>
  </sheetViews>
  <sheetFormatPr defaultColWidth="9" defaultRowHeight="15" customHeight="1" outlineLevelCol="4"/>
  <cols>
    <col min="3" max="3" width="10.8303571428571" customWidth="1"/>
    <col min="4" max="4" width="17.5" customWidth="1"/>
  </cols>
  <sheetData>
    <row r="1" s="1" customFormat="1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</row>
    <row r="2" spans="1:5">
      <c r="A2" s="8" t="s">
        <v>13</v>
      </c>
      <c r="B2" s="1" t="s">
        <v>14</v>
      </c>
      <c r="C2" s="9" t="s">
        <v>346</v>
      </c>
      <c r="D2" s="8" t="s">
        <v>16</v>
      </c>
    </row>
    <row r="3" spans="1:5">
      <c r="A3" s="1" t="s">
        <v>17</v>
      </c>
      <c r="B3" s="1" t="s">
        <v>14</v>
      </c>
      <c r="C3" s="9" t="s">
        <v>347</v>
      </c>
      <c r="D3" s="1" t="s">
        <v>19</v>
      </c>
    </row>
    <row r="4" spans="1:5">
      <c r="A4" s="1" t="s">
        <v>20</v>
      </c>
      <c r="B4" s="1" t="s">
        <v>14</v>
      </c>
      <c r="C4" s="10" t="s">
        <v>348</v>
      </c>
      <c r="D4" s="1" t="s">
        <v>349</v>
      </c>
    </row>
    <row r="5" s="14" customFormat="1" ht="16.8" spans="1:5">
      <c r="A5" s="11" t="s">
        <v>13</v>
      </c>
      <c r="B5" s="11" t="s">
        <v>14</v>
      </c>
      <c r="C5" s="11" t="s">
        <v>350</v>
      </c>
      <c r="D5" s="11" t="s">
        <v>22</v>
      </c>
    </row>
    <row r="6" s="14" customFormat="1" ht="16.8" spans="1:5">
      <c r="A6" s="1" t="s">
        <v>13</v>
      </c>
      <c r="B6" s="1" t="s">
        <v>23</v>
      </c>
      <c r="C6" s="10" t="s">
        <v>351</v>
      </c>
      <c r="D6" s="1" t="s">
        <v>352</v>
      </c>
    </row>
    <row r="7" spans="1:5">
      <c r="A7" s="1" t="s">
        <v>20</v>
      </c>
      <c r="B7" s="1" t="s">
        <v>14</v>
      </c>
      <c r="C7" s="10" t="s">
        <v>353</v>
      </c>
      <c r="D7" s="1" t="s">
        <v>354</v>
      </c>
    </row>
    <row r="8" spans="1:5">
      <c r="A8" s="8" t="s">
        <v>13</v>
      </c>
      <c r="B8" s="1" t="s">
        <v>23</v>
      </c>
      <c r="C8" s="10" t="s">
        <v>355</v>
      </c>
      <c r="D8" s="1" t="s">
        <v>25</v>
      </c>
    </row>
    <row r="9" spans="1:5">
      <c r="A9" s="8" t="s">
        <v>13</v>
      </c>
      <c r="B9" s="1" t="s">
        <v>23</v>
      </c>
      <c r="C9" s="10" t="s">
        <v>356</v>
      </c>
      <c r="D9" s="1" t="s">
        <v>357</v>
      </c>
    </row>
    <row r="10" spans="1:5">
      <c r="A10" s="1" t="s">
        <v>17</v>
      </c>
      <c r="B10" s="1" t="s">
        <v>14</v>
      </c>
      <c r="C10" s="9" t="s">
        <v>358</v>
      </c>
      <c r="D10" s="1" t="s">
        <v>27</v>
      </c>
    </row>
    <row r="11" spans="1:5">
      <c r="A11" s="12" t="s">
        <v>13</v>
      </c>
      <c r="B11" s="12" t="s">
        <v>14</v>
      </c>
      <c r="C11" s="9" t="s">
        <v>359</v>
      </c>
      <c r="D11" s="1" t="s">
        <v>29</v>
      </c>
    </row>
    <row r="12" spans="1:5">
      <c r="A12" s="12" t="s">
        <v>13</v>
      </c>
      <c r="B12" s="12" t="s">
        <v>23</v>
      </c>
      <c r="C12" s="9" t="s">
        <v>360</v>
      </c>
      <c r="D12" s="1" t="s">
        <v>31</v>
      </c>
    </row>
    <row r="13" spans="1:5">
      <c r="A13" s="1" t="s">
        <v>17</v>
      </c>
      <c r="B13" s="1" t="s">
        <v>14</v>
      </c>
      <c r="C13" s="9" t="s">
        <v>361</v>
      </c>
      <c r="D13" s="1" t="s">
        <v>33</v>
      </c>
    </row>
    <row r="14" spans="1:5">
      <c r="A14" s="8" t="s">
        <v>13</v>
      </c>
      <c r="B14" s="1" t="s">
        <v>23</v>
      </c>
      <c r="C14" s="9" t="s">
        <v>362</v>
      </c>
      <c r="D14" s="8" t="s">
        <v>363</v>
      </c>
    </row>
    <row r="15" spans="1:5">
      <c r="A15" s="8" t="s">
        <v>13</v>
      </c>
      <c r="B15" s="1" t="s">
        <v>14</v>
      </c>
      <c r="C15" s="9" t="s">
        <v>364</v>
      </c>
      <c r="D15" s="8" t="s">
        <v>45</v>
      </c>
    </row>
    <row r="16" spans="1:5">
      <c r="A16" s="8" t="s">
        <v>13</v>
      </c>
      <c r="B16" s="1" t="s">
        <v>23</v>
      </c>
      <c r="C16" s="9" t="s">
        <v>365</v>
      </c>
      <c r="D16" s="8" t="s">
        <v>47</v>
      </c>
    </row>
    <row r="17" spans="1:4">
      <c r="A17" s="8" t="s">
        <v>13</v>
      </c>
      <c r="B17" s="1" t="s">
        <v>23</v>
      </c>
      <c r="C17" s="9" t="s">
        <v>366</v>
      </c>
      <c r="D17" s="8" t="s">
        <v>367</v>
      </c>
    </row>
    <row r="18" spans="1:4">
      <c r="A18" s="1" t="s">
        <v>17</v>
      </c>
      <c r="B18" s="1" t="s">
        <v>23</v>
      </c>
      <c r="C18" s="9" t="s">
        <v>368</v>
      </c>
      <c r="D18" s="1" t="s">
        <v>369</v>
      </c>
    </row>
    <row r="19" spans="1:4">
      <c r="A19" s="1" t="s">
        <v>20</v>
      </c>
      <c r="B19" s="1" t="s">
        <v>23</v>
      </c>
      <c r="C19" s="10" t="s">
        <v>370</v>
      </c>
      <c r="D19" s="1" t="s">
        <v>53</v>
      </c>
    </row>
    <row r="20" spans="1:4">
      <c r="A20" s="1" t="s">
        <v>20</v>
      </c>
      <c r="B20" s="1" t="s">
        <v>23</v>
      </c>
      <c r="C20" s="10" t="s">
        <v>371</v>
      </c>
      <c r="D20" s="1" t="s">
        <v>372</v>
      </c>
    </row>
    <row r="21" spans="1:4">
      <c r="A21" s="1" t="s">
        <v>17</v>
      </c>
      <c r="B21" s="1" t="s">
        <v>23</v>
      </c>
      <c r="C21" s="9" t="s">
        <v>373</v>
      </c>
      <c r="D21" s="1" t="s">
        <v>59</v>
      </c>
    </row>
    <row r="22" spans="1:4">
      <c r="A22" s="1" t="s">
        <v>20</v>
      </c>
      <c r="B22" s="1" t="s">
        <v>23</v>
      </c>
      <c r="C22" s="10" t="s">
        <v>374</v>
      </c>
      <c r="D22" s="1" t="s">
        <v>61</v>
      </c>
    </row>
    <row r="23" spans="1:4">
      <c r="A23" s="1" t="s">
        <v>20</v>
      </c>
      <c r="B23" s="1" t="s">
        <v>23</v>
      </c>
      <c r="C23" s="10" t="s">
        <v>375</v>
      </c>
      <c r="D23" s="1" t="s">
        <v>63</v>
      </c>
    </row>
    <row r="24" spans="1:4">
      <c r="A24" s="1" t="s">
        <v>17</v>
      </c>
      <c r="B24" s="1" t="s">
        <v>23</v>
      </c>
      <c r="C24" s="9" t="s">
        <v>376</v>
      </c>
      <c r="D24" s="1" t="s">
        <v>65</v>
      </c>
    </row>
    <row r="25" spans="1:4">
      <c r="A25" s="1" t="s">
        <v>20</v>
      </c>
      <c r="B25" s="1" t="s">
        <v>23</v>
      </c>
      <c r="C25" s="10" t="s">
        <v>377</v>
      </c>
      <c r="D25" s="1" t="s">
        <v>378</v>
      </c>
    </row>
    <row r="26" spans="1:4">
      <c r="A26" s="1" t="s">
        <v>379</v>
      </c>
      <c r="B26" s="1" t="s">
        <v>23</v>
      </c>
      <c r="C26" s="10" t="s">
        <v>380</v>
      </c>
      <c r="D26" s="1" t="s">
        <v>381</v>
      </c>
    </row>
    <row r="27" spans="1:4">
      <c r="A27" s="1" t="s">
        <v>379</v>
      </c>
      <c r="B27" s="1" t="s">
        <v>23</v>
      </c>
      <c r="C27" s="10" t="s">
        <v>382</v>
      </c>
      <c r="D27" s="1" t="s">
        <v>383</v>
      </c>
    </row>
    <row r="28" spans="1:4">
      <c r="A28" s="1" t="s">
        <v>20</v>
      </c>
      <c r="B28" s="1" t="s">
        <v>23</v>
      </c>
      <c r="C28" s="10" t="s">
        <v>384</v>
      </c>
      <c r="D28" s="1" t="s">
        <v>385</v>
      </c>
    </row>
    <row r="29" spans="1:4">
      <c r="A29" s="1" t="s">
        <v>20</v>
      </c>
      <c r="B29" s="1" t="s">
        <v>23</v>
      </c>
      <c r="C29" s="10" t="s">
        <v>386</v>
      </c>
      <c r="D29" s="1" t="s">
        <v>387</v>
      </c>
    </row>
    <row r="30" spans="1:4">
      <c r="A30" s="1" t="s">
        <v>20</v>
      </c>
      <c r="B30" s="1" t="s">
        <v>23</v>
      </c>
      <c r="C30" s="10" t="s">
        <v>388</v>
      </c>
      <c r="D30" s="1" t="s">
        <v>389</v>
      </c>
    </row>
    <row r="31" spans="1:4">
      <c r="A31" s="1" t="s">
        <v>17</v>
      </c>
      <c r="B31" s="1" t="s">
        <v>23</v>
      </c>
      <c r="C31" s="9" t="s">
        <v>390</v>
      </c>
      <c r="D31" s="1" t="s">
        <v>391</v>
      </c>
    </row>
    <row r="32" spans="1:4">
      <c r="A32" s="1" t="s">
        <v>17</v>
      </c>
      <c r="B32" s="1" t="s">
        <v>23</v>
      </c>
      <c r="C32" s="9" t="s">
        <v>392</v>
      </c>
      <c r="D32" s="1" t="s">
        <v>67</v>
      </c>
    </row>
    <row r="33" spans="1:4">
      <c r="A33" s="8" t="s">
        <v>13</v>
      </c>
      <c r="B33" s="1" t="s">
        <v>14</v>
      </c>
      <c r="C33" s="9" t="s">
        <v>393</v>
      </c>
      <c r="D33" s="8" t="s">
        <v>69</v>
      </c>
    </row>
    <row r="34" spans="1:4">
      <c r="A34" s="8" t="s">
        <v>13</v>
      </c>
      <c r="B34" s="1" t="s">
        <v>70</v>
      </c>
      <c r="C34" s="9" t="s">
        <v>394</v>
      </c>
      <c r="D34" s="8" t="s">
        <v>395</v>
      </c>
    </row>
    <row r="35" spans="1:4">
      <c r="A35" s="8" t="s">
        <v>13</v>
      </c>
      <c r="B35" s="1" t="s">
        <v>23</v>
      </c>
      <c r="C35" s="9" t="s">
        <v>396</v>
      </c>
      <c r="D35" s="8" t="s">
        <v>397</v>
      </c>
    </row>
    <row r="36" spans="1:4">
      <c r="A36" s="8" t="s">
        <v>13</v>
      </c>
      <c r="B36" s="1" t="s">
        <v>70</v>
      </c>
      <c r="C36" s="9" t="s">
        <v>398</v>
      </c>
      <c r="D36" s="8" t="s">
        <v>72</v>
      </c>
    </row>
    <row r="37" spans="1:4">
      <c r="A37" s="11"/>
      <c r="B37" s="11"/>
      <c r="C37" s="11"/>
      <c r="D37" s="11"/>
    </row>
    <row r="38" spans="1:4">
      <c r="A38" s="8" t="s">
        <v>13</v>
      </c>
      <c r="B38" s="8" t="s">
        <v>77</v>
      </c>
      <c r="C38" s="12" t="s">
        <v>399</v>
      </c>
      <c r="D38" s="12" t="s">
        <v>79</v>
      </c>
    </row>
    <row r="39" spans="1:4">
      <c r="A39" s="1" t="s">
        <v>17</v>
      </c>
      <c r="B39" s="8" t="s">
        <v>77</v>
      </c>
      <c r="C39" s="11" t="s">
        <v>400</v>
      </c>
      <c r="D39" s="11" t="s">
        <v>81</v>
      </c>
    </row>
    <row r="40" spans="1:4">
      <c r="A40" s="1" t="s">
        <v>20</v>
      </c>
      <c r="B40" s="8" t="s">
        <v>77</v>
      </c>
      <c r="C40" s="11" t="s">
        <v>401</v>
      </c>
      <c r="D40" s="11" t="s">
        <v>83</v>
      </c>
    </row>
    <row r="41" spans="1:4">
      <c r="A41" s="1" t="s">
        <v>17</v>
      </c>
      <c r="B41" s="8" t="s">
        <v>77</v>
      </c>
      <c r="C41" s="11" t="s">
        <v>402</v>
      </c>
      <c r="D41" s="11" t="s">
        <v>87</v>
      </c>
    </row>
    <row r="42" spans="1:4">
      <c r="A42" s="1" t="s">
        <v>17</v>
      </c>
      <c r="B42" s="8" t="s">
        <v>77</v>
      </c>
      <c r="C42" s="11" t="s">
        <v>403</v>
      </c>
      <c r="D42" s="11" t="s">
        <v>89</v>
      </c>
    </row>
    <row r="43" spans="1:4">
      <c r="A43" s="8" t="s">
        <v>13</v>
      </c>
      <c r="B43" s="8" t="s">
        <v>182</v>
      </c>
      <c r="C43" s="12" t="s">
        <v>404</v>
      </c>
      <c r="D43" s="12" t="s">
        <v>405</v>
      </c>
    </row>
    <row r="44" spans="1:4">
      <c r="A44" s="1" t="s">
        <v>17</v>
      </c>
      <c r="B44" s="8" t="s">
        <v>182</v>
      </c>
      <c r="C44" s="11" t="s">
        <v>406</v>
      </c>
      <c r="D44" s="11" t="s">
        <v>407</v>
      </c>
    </row>
    <row r="45" spans="1:4">
      <c r="A45" s="1" t="s">
        <v>20</v>
      </c>
      <c r="B45" s="8" t="s">
        <v>182</v>
      </c>
      <c r="C45" s="11" t="s">
        <v>408</v>
      </c>
      <c r="D45" s="11" t="s">
        <v>83</v>
      </c>
    </row>
    <row r="46" spans="1:4">
      <c r="A46" s="1" t="s">
        <v>17</v>
      </c>
      <c r="B46" s="8" t="s">
        <v>182</v>
      </c>
      <c r="C46" s="11" t="s">
        <v>409</v>
      </c>
      <c r="D46" s="11" t="s">
        <v>87</v>
      </c>
    </row>
    <row r="47" spans="1:4">
      <c r="A47" s="1" t="s">
        <v>17</v>
      </c>
      <c r="B47" s="8" t="s">
        <v>182</v>
      </c>
      <c r="C47" s="11" t="s">
        <v>410</v>
      </c>
      <c r="D47" s="11" t="s">
        <v>89</v>
      </c>
    </row>
    <row r="48" spans="1:4">
      <c r="A48" s="11"/>
      <c r="B48" s="8"/>
      <c r="C48" s="11"/>
      <c r="D48" s="11"/>
    </row>
    <row r="49" spans="1:4">
      <c r="A49" s="11" t="s">
        <v>13</v>
      </c>
      <c r="B49" s="11" t="s">
        <v>92</v>
      </c>
      <c r="C49" s="11" t="s">
        <v>411</v>
      </c>
      <c r="D49" s="11" t="s">
        <v>94</v>
      </c>
    </row>
    <row r="50" spans="1:4">
      <c r="A50" s="11" t="s">
        <v>17</v>
      </c>
      <c r="B50" s="11" t="s">
        <v>92</v>
      </c>
      <c r="C50" s="11" t="s">
        <v>412</v>
      </c>
      <c r="D50" s="11" t="s">
        <v>96</v>
      </c>
    </row>
    <row r="51" spans="1:4">
      <c r="A51" s="11" t="s">
        <v>17</v>
      </c>
      <c r="B51" s="11" t="s">
        <v>92</v>
      </c>
      <c r="C51" s="11" t="s">
        <v>413</v>
      </c>
      <c r="D51" s="11" t="s">
        <v>98</v>
      </c>
    </row>
    <row r="52" spans="1:4">
      <c r="A52" s="11" t="s">
        <v>17</v>
      </c>
      <c r="B52" s="11" t="s">
        <v>92</v>
      </c>
      <c r="C52" s="11" t="s">
        <v>414</v>
      </c>
      <c r="D52" s="11" t="s">
        <v>100</v>
      </c>
    </row>
    <row r="53" spans="1:4">
      <c r="A53" s="11" t="s">
        <v>17</v>
      </c>
      <c r="B53" s="11" t="s">
        <v>92</v>
      </c>
      <c r="C53" s="11" t="s">
        <v>415</v>
      </c>
      <c r="D53" s="11" t="s">
        <v>102</v>
      </c>
    </row>
    <row r="54" spans="1:4">
      <c r="A54" s="11" t="s">
        <v>13</v>
      </c>
      <c r="B54" s="11" t="s">
        <v>201</v>
      </c>
      <c r="C54" s="11" t="s">
        <v>416</v>
      </c>
      <c r="D54" s="11" t="s">
        <v>417</v>
      </c>
    </row>
    <row r="55" spans="1:4">
      <c r="A55" s="11" t="s">
        <v>17</v>
      </c>
      <c r="B55" s="11" t="s">
        <v>201</v>
      </c>
      <c r="C55" s="11" t="s">
        <v>418</v>
      </c>
      <c r="D55" s="11" t="s">
        <v>96</v>
      </c>
    </row>
    <row r="56" spans="1:4">
      <c r="A56" s="11" t="s">
        <v>17</v>
      </c>
      <c r="B56" s="11" t="s">
        <v>201</v>
      </c>
      <c r="C56" s="11" t="s">
        <v>419</v>
      </c>
      <c r="D56" s="11" t="s">
        <v>98</v>
      </c>
    </row>
    <row r="57" spans="1:4">
      <c r="A57" s="11" t="s">
        <v>17</v>
      </c>
      <c r="B57" s="11" t="s">
        <v>201</v>
      </c>
      <c r="C57" s="11" t="s">
        <v>420</v>
      </c>
      <c r="D57" s="11" t="s">
        <v>100</v>
      </c>
    </row>
    <row r="58" spans="1:4">
      <c r="A58" s="11" t="s">
        <v>17</v>
      </c>
      <c r="B58" s="11" t="s">
        <v>201</v>
      </c>
      <c r="C58" s="11" t="s">
        <v>421</v>
      </c>
      <c r="D58" s="11" t="s">
        <v>102</v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5"/>
  <sheetViews>
    <sheetView workbookViewId="0">
      <pane xSplit="4" ySplit="1" topLeftCell="E39" activePane="bottomRight" state="frozen"/>
      <selection/>
      <selection pane="topRight"/>
      <selection pane="bottomLeft"/>
      <selection pane="bottomRight" activeCell="H45" sqref="H45"/>
    </sheetView>
  </sheetViews>
  <sheetFormatPr defaultColWidth="9" defaultRowHeight="15" customHeight="1"/>
  <cols>
    <col min="1" max="2" width="8.66071428571429" style="5"/>
    <col min="3" max="3" width="13" style="5" customWidth="1"/>
    <col min="4" max="4" width="33.0803571428571" style="5" customWidth="1"/>
    <col min="5" max="7" width="8.66071428571429" style="5" customWidth="1"/>
    <col min="8" max="9" width="8.66071428571429" style="5"/>
    <col min="10" max="10" width="18.25" style="5" customWidth="1"/>
    <col min="11" max="16384" width="8.66071428571429" style="5"/>
  </cols>
  <sheetData>
    <row r="1" s="1" customFormat="1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7"/>
      <c r="O1" s="7"/>
    </row>
    <row r="2" customHeight="1" spans="1:15">
      <c r="A2" s="8" t="s">
        <v>13</v>
      </c>
      <c r="B2" s="1" t="s">
        <v>14</v>
      </c>
      <c r="C2" s="9" t="s">
        <v>422</v>
      </c>
      <c r="D2" s="8" t="s">
        <v>16</v>
      </c>
      <c r="H2" s="5">
        <f>H3+H6+H7</f>
        <v>0</v>
      </c>
      <c r="I2" s="5" t="e">
        <f>I3+I6+I7</f>
        <v>#DIV/0!</v>
      </c>
    </row>
    <row r="3" customHeight="1" spans="1:15">
      <c r="A3" s="8" t="s">
        <v>17</v>
      </c>
      <c r="B3" s="1" t="s">
        <v>14</v>
      </c>
      <c r="C3" s="9" t="s">
        <v>423</v>
      </c>
      <c r="D3" s="8" t="s">
        <v>19</v>
      </c>
      <c r="H3" s="5">
        <f>H4+H5</f>
        <v>0</v>
      </c>
      <c r="I3" s="5">
        <f>I4+I5</f>
        <v>0</v>
      </c>
    </row>
    <row r="4" customHeight="1" spans="1:15">
      <c r="A4" s="1" t="s">
        <v>20</v>
      </c>
      <c r="B4" s="1" t="s">
        <v>14</v>
      </c>
      <c r="C4" s="10" t="s">
        <v>424</v>
      </c>
      <c r="D4" s="1" t="s">
        <v>349</v>
      </c>
      <c r="H4" s="5">
        <f>H63-H97</f>
        <v>0</v>
      </c>
      <c r="I4" s="5">
        <f>I63-I97</f>
        <v>0</v>
      </c>
    </row>
    <row r="5" customHeight="1" spans="1:15">
      <c r="A5" s="1" t="s">
        <v>20</v>
      </c>
      <c r="B5" s="1" t="s">
        <v>14</v>
      </c>
      <c r="C5" s="10" t="s">
        <v>425</v>
      </c>
      <c r="D5" s="1" t="s">
        <v>354</v>
      </c>
      <c r="H5" s="5">
        <f>H116-H109</f>
        <v>0</v>
      </c>
      <c r="I5" s="5">
        <f>I116-I109</f>
        <v>0</v>
      </c>
    </row>
    <row r="6" customHeight="1" spans="1:15">
      <c r="A6" s="8" t="s">
        <v>17</v>
      </c>
      <c r="B6" s="1" t="s">
        <v>14</v>
      </c>
      <c r="C6" s="9" t="s">
        <v>426</v>
      </c>
      <c r="D6" s="8" t="s">
        <v>427</v>
      </c>
      <c r="H6" s="5">
        <f>H123-H140</f>
        <v>0</v>
      </c>
      <c r="I6" s="5" t="e">
        <f>I123-I140</f>
        <v>#DIV/0!</v>
      </c>
    </row>
    <row r="7" customHeight="1" spans="1:15">
      <c r="A7" s="8" t="s">
        <v>17</v>
      </c>
      <c r="B7" s="1" t="s">
        <v>14</v>
      </c>
      <c r="C7" s="9" t="s">
        <v>428</v>
      </c>
      <c r="D7" s="8" t="s">
        <v>33</v>
      </c>
      <c r="H7" s="5">
        <f>H162+H164</f>
        <v>0</v>
      </c>
      <c r="I7" s="5">
        <f>I162+I164</f>
        <v>0</v>
      </c>
    </row>
    <row r="8" customHeight="1" spans="1:15">
      <c r="A8" s="8" t="s">
        <v>13</v>
      </c>
      <c r="B8" s="1" t="s">
        <v>23</v>
      </c>
      <c r="C8" s="9" t="s">
        <v>429</v>
      </c>
      <c r="D8" s="8" t="s">
        <v>363</v>
      </c>
    </row>
    <row r="9" customHeight="1" spans="1:15">
      <c r="A9" s="8" t="s">
        <v>13</v>
      </c>
      <c r="B9" s="1" t="s">
        <v>14</v>
      </c>
      <c r="C9" s="9" t="s">
        <v>430</v>
      </c>
      <c r="D9" s="8" t="s">
        <v>45</v>
      </c>
      <c r="H9" s="5">
        <f>H2-H8</f>
        <v>0</v>
      </c>
      <c r="I9" s="5" t="e">
        <f>I2-I8</f>
        <v>#DIV/0!</v>
      </c>
    </row>
    <row r="10" customHeight="1" spans="1:15">
      <c r="A10" s="8" t="s">
        <v>13</v>
      </c>
      <c r="B10" s="1" t="s">
        <v>23</v>
      </c>
      <c r="C10" s="9" t="s">
        <v>431</v>
      </c>
      <c r="D10" s="8" t="s">
        <v>47</v>
      </c>
    </row>
    <row r="11" customHeight="1" spans="1:15">
      <c r="A11" s="8" t="s">
        <v>13</v>
      </c>
      <c r="B11" s="1" t="s">
        <v>23</v>
      </c>
      <c r="C11" s="9" t="s">
        <v>432</v>
      </c>
      <c r="D11" s="8" t="s">
        <v>367</v>
      </c>
      <c r="H11" s="5">
        <f>H12+H15+H18+H25+H26</f>
        <v>0</v>
      </c>
      <c r="I11" s="5">
        <f>I12+I15+I18+I25+I26</f>
        <v>0</v>
      </c>
    </row>
    <row r="12" customHeight="1" spans="1:15">
      <c r="A12" s="8" t="s">
        <v>17</v>
      </c>
      <c r="B12" s="1" t="s">
        <v>23</v>
      </c>
      <c r="C12" s="9" t="s">
        <v>433</v>
      </c>
      <c r="D12" s="8" t="s">
        <v>369</v>
      </c>
      <c r="H12" s="5">
        <f>H13+H14</f>
        <v>0</v>
      </c>
      <c r="I12" s="5">
        <f>I13+I14</f>
        <v>0</v>
      </c>
    </row>
    <row r="13" customHeight="1" spans="1:15">
      <c r="A13" s="1" t="s">
        <v>20</v>
      </c>
      <c r="B13" s="1" t="s">
        <v>23</v>
      </c>
      <c r="C13" s="10" t="s">
        <v>434</v>
      </c>
      <c r="D13" s="1" t="s">
        <v>53</v>
      </c>
    </row>
    <row r="14" customHeight="1" spans="1:15">
      <c r="A14" s="1" t="s">
        <v>20</v>
      </c>
      <c r="B14" s="1" t="s">
        <v>23</v>
      </c>
      <c r="C14" s="10" t="s">
        <v>435</v>
      </c>
      <c r="D14" s="1" t="s">
        <v>372</v>
      </c>
    </row>
    <row r="15" customHeight="1" spans="1:15">
      <c r="A15" s="8" t="s">
        <v>17</v>
      </c>
      <c r="B15" s="1" t="s">
        <v>23</v>
      </c>
      <c r="C15" s="9" t="s">
        <v>436</v>
      </c>
      <c r="D15" s="8" t="s">
        <v>59</v>
      </c>
      <c r="H15" s="5">
        <f>H16+H17</f>
        <v>0</v>
      </c>
      <c r="I15" s="5">
        <f>I16+I17</f>
        <v>0</v>
      </c>
    </row>
    <row r="16" customHeight="1" spans="1:15">
      <c r="A16" s="1" t="s">
        <v>20</v>
      </c>
      <c r="B16" s="1" t="s">
        <v>23</v>
      </c>
      <c r="C16" s="10" t="s">
        <v>437</v>
      </c>
      <c r="D16" s="1" t="s">
        <v>61</v>
      </c>
    </row>
    <row r="17" customHeight="1" spans="1:9">
      <c r="A17" s="1" t="s">
        <v>20</v>
      </c>
      <c r="B17" s="1" t="s">
        <v>23</v>
      </c>
      <c r="C17" s="10" t="s">
        <v>438</v>
      </c>
      <c r="D17" s="1" t="s">
        <v>63</v>
      </c>
    </row>
    <row r="18" customHeight="1" spans="1:9">
      <c r="A18" s="8" t="s">
        <v>17</v>
      </c>
      <c r="B18" s="1" t="s">
        <v>23</v>
      </c>
      <c r="C18" s="9" t="s">
        <v>439</v>
      </c>
      <c r="D18" s="8" t="s">
        <v>65</v>
      </c>
      <c r="H18" s="5">
        <f>H19+H22+H23+H24</f>
        <v>0</v>
      </c>
      <c r="I18" s="5">
        <f>I19+I22+I23+I24</f>
        <v>0</v>
      </c>
    </row>
    <row r="19" customHeight="1" spans="1:9">
      <c r="A19" s="1" t="s">
        <v>20</v>
      </c>
      <c r="B19" s="1" t="s">
        <v>23</v>
      </c>
      <c r="C19" s="10" t="s">
        <v>440</v>
      </c>
      <c r="D19" s="1" t="s">
        <v>378</v>
      </c>
      <c r="H19" s="5">
        <f>H20+H21</f>
        <v>0</v>
      </c>
      <c r="I19" s="5">
        <f>I20+I21</f>
        <v>0</v>
      </c>
    </row>
    <row r="20" customHeight="1" spans="1:9">
      <c r="A20" s="1" t="s">
        <v>379</v>
      </c>
      <c r="B20" s="1" t="s">
        <v>23</v>
      </c>
      <c r="C20" s="10" t="s">
        <v>441</v>
      </c>
      <c r="D20" s="1" t="s">
        <v>381</v>
      </c>
    </row>
    <row r="21" customHeight="1" spans="1:9">
      <c r="A21" s="1" t="s">
        <v>379</v>
      </c>
      <c r="B21" s="1" t="s">
        <v>23</v>
      </c>
      <c r="C21" s="10" t="s">
        <v>442</v>
      </c>
      <c r="D21" s="1" t="s">
        <v>383</v>
      </c>
    </row>
    <row r="22" customHeight="1" spans="1:9">
      <c r="A22" s="1" t="s">
        <v>20</v>
      </c>
      <c r="B22" s="1" t="s">
        <v>23</v>
      </c>
      <c r="C22" s="10" t="s">
        <v>443</v>
      </c>
      <c r="D22" s="1" t="s">
        <v>385</v>
      </c>
    </row>
    <row r="23" customHeight="1" spans="1:9">
      <c r="A23" s="1" t="s">
        <v>20</v>
      </c>
      <c r="B23" s="1" t="s">
        <v>23</v>
      </c>
      <c r="C23" s="10" t="s">
        <v>444</v>
      </c>
      <c r="D23" s="1" t="s">
        <v>387</v>
      </c>
    </row>
    <row r="24" customHeight="1" spans="1:9">
      <c r="A24" s="1" t="s">
        <v>20</v>
      </c>
      <c r="B24" s="1" t="s">
        <v>23</v>
      </c>
      <c r="C24" s="10" t="s">
        <v>445</v>
      </c>
      <c r="D24" s="1" t="s">
        <v>389</v>
      </c>
    </row>
    <row r="25" customHeight="1" spans="1:9">
      <c r="A25" s="8" t="s">
        <v>17</v>
      </c>
      <c r="B25" s="1" t="s">
        <v>23</v>
      </c>
      <c r="C25" s="9" t="s">
        <v>446</v>
      </c>
      <c r="D25" s="8" t="s">
        <v>391</v>
      </c>
    </row>
    <row r="26" customHeight="1" spans="1:9">
      <c r="A26" s="8" t="s">
        <v>17</v>
      </c>
      <c r="B26" s="1" t="s">
        <v>23</v>
      </c>
      <c r="C26" s="9" t="s">
        <v>447</v>
      </c>
      <c r="D26" s="8" t="s">
        <v>67</v>
      </c>
    </row>
    <row r="27" customHeight="1" spans="1:9">
      <c r="A27" s="8" t="s">
        <v>13</v>
      </c>
      <c r="B27" s="1" t="s">
        <v>14</v>
      </c>
      <c r="C27" s="9" t="s">
        <v>448</v>
      </c>
      <c r="D27" s="8" t="s">
        <v>69</v>
      </c>
    </row>
    <row r="28" customHeight="1" spans="1:9">
      <c r="A28" s="8" t="s">
        <v>13</v>
      </c>
      <c r="B28" s="1" t="s">
        <v>70</v>
      </c>
      <c r="C28" s="9" t="s">
        <v>449</v>
      </c>
      <c r="D28" s="8" t="s">
        <v>395</v>
      </c>
      <c r="H28" s="5">
        <f>H9-H10-H11+H27</f>
        <v>0</v>
      </c>
      <c r="I28" s="5" t="e">
        <f>I9-I10-I11+I27</f>
        <v>#DIV/0!</v>
      </c>
    </row>
    <row r="29" customHeight="1" spans="1:9">
      <c r="A29" s="8" t="s">
        <v>13</v>
      </c>
      <c r="B29" s="1" t="s">
        <v>23</v>
      </c>
      <c r="C29" s="9" t="s">
        <v>450</v>
      </c>
      <c r="D29" s="8" t="s">
        <v>397</v>
      </c>
    </row>
    <row r="30" customHeight="1" spans="1:9">
      <c r="A30" s="8" t="s">
        <v>13</v>
      </c>
      <c r="B30" s="1" t="s">
        <v>70</v>
      </c>
      <c r="C30" s="9" t="s">
        <v>451</v>
      </c>
      <c r="D30" s="8" t="s">
        <v>72</v>
      </c>
      <c r="H30" s="5">
        <f>H28-H29</f>
        <v>0</v>
      </c>
      <c r="I30" s="5" t="e">
        <f>I28-I29</f>
        <v>#DIV/0!</v>
      </c>
    </row>
    <row r="31" customHeight="1" spans="1:9">
      <c r="A31" s="1"/>
      <c r="B31" s="1"/>
      <c r="C31" s="11"/>
      <c r="D31" s="11"/>
    </row>
    <row r="32" customHeight="1" spans="1:9">
      <c r="A32" s="8" t="s">
        <v>13</v>
      </c>
      <c r="B32" s="1" t="s">
        <v>77</v>
      </c>
      <c r="C32" s="12" t="s">
        <v>452</v>
      </c>
      <c r="D32" s="12" t="s">
        <v>79</v>
      </c>
      <c r="H32" s="5">
        <f>H33+H38+H39</f>
        <v>0</v>
      </c>
      <c r="I32" s="5">
        <f>I33+I38+I39</f>
        <v>0</v>
      </c>
    </row>
    <row r="33" customHeight="1" spans="1:9">
      <c r="A33" s="8" t="s">
        <v>17</v>
      </c>
      <c r="B33" s="1" t="s">
        <v>77</v>
      </c>
      <c r="C33" s="12" t="s">
        <v>453</v>
      </c>
      <c r="D33" s="12" t="s">
        <v>81</v>
      </c>
      <c r="H33" s="5">
        <f>H34</f>
        <v>0</v>
      </c>
      <c r="I33" s="5">
        <f>I34</f>
        <v>0</v>
      </c>
    </row>
    <row r="34" customHeight="1" spans="1:9">
      <c r="A34" s="1" t="s">
        <v>20</v>
      </c>
      <c r="B34" s="1" t="s">
        <v>77</v>
      </c>
      <c r="C34" s="11" t="s">
        <v>454</v>
      </c>
      <c r="D34" s="11" t="s">
        <v>83</v>
      </c>
      <c r="H34" s="5">
        <f>H35+H37</f>
        <v>0</v>
      </c>
      <c r="I34" s="5">
        <f>I35+I37</f>
        <v>0</v>
      </c>
    </row>
    <row r="35" customHeight="1" spans="1:9">
      <c r="A35" s="1" t="s">
        <v>379</v>
      </c>
      <c r="B35" s="1" t="s">
        <v>77</v>
      </c>
      <c r="C35" s="11" t="s">
        <v>455</v>
      </c>
      <c r="D35" s="11" t="s">
        <v>456</v>
      </c>
    </row>
    <row r="36" customHeight="1" spans="1:9">
      <c r="A36" s="1" t="s">
        <v>457</v>
      </c>
      <c r="B36" s="1" t="s">
        <v>77</v>
      </c>
      <c r="C36" s="11" t="s">
        <v>458</v>
      </c>
      <c r="D36" s="11" t="s">
        <v>459</v>
      </c>
    </row>
    <row r="37" customHeight="1" spans="1:9">
      <c r="A37" s="1" t="s">
        <v>379</v>
      </c>
      <c r="B37" s="1" t="s">
        <v>77</v>
      </c>
      <c r="C37" s="11" t="s">
        <v>460</v>
      </c>
      <c r="D37" s="11" t="s">
        <v>461</v>
      </c>
    </row>
    <row r="38" customHeight="1" spans="1:9">
      <c r="A38" s="8" t="s">
        <v>17</v>
      </c>
      <c r="B38" s="1" t="s">
        <v>77</v>
      </c>
      <c r="C38" s="12" t="s">
        <v>462</v>
      </c>
      <c r="D38" s="12" t="s">
        <v>87</v>
      </c>
    </row>
    <row r="39" customHeight="1" spans="1:9">
      <c r="A39" s="8" t="s">
        <v>17</v>
      </c>
      <c r="B39" s="1" t="s">
        <v>77</v>
      </c>
      <c r="C39" s="12" t="s">
        <v>463</v>
      </c>
      <c r="D39" s="12" t="s">
        <v>89</v>
      </c>
    </row>
    <row r="40" customHeight="1" spans="1:9">
      <c r="A40" s="8" t="s">
        <v>13</v>
      </c>
      <c r="B40" s="1" t="s">
        <v>182</v>
      </c>
      <c r="C40" s="12" t="s">
        <v>464</v>
      </c>
      <c r="D40" s="12" t="s">
        <v>405</v>
      </c>
      <c r="H40" s="5">
        <f>H41+H46+H47</f>
        <v>0</v>
      </c>
      <c r="I40" s="5">
        <f>I41+I46+I47</f>
        <v>0</v>
      </c>
    </row>
    <row r="41" customHeight="1" spans="1:9">
      <c r="A41" s="8" t="s">
        <v>17</v>
      </c>
      <c r="B41" s="1" t="s">
        <v>182</v>
      </c>
      <c r="C41" s="12" t="s">
        <v>465</v>
      </c>
      <c r="D41" s="12" t="s">
        <v>407</v>
      </c>
      <c r="H41" s="5">
        <f>H42</f>
        <v>0</v>
      </c>
      <c r="I41" s="5">
        <f>I42</f>
        <v>0</v>
      </c>
    </row>
    <row r="42" customHeight="1" spans="1:9">
      <c r="A42" s="1" t="s">
        <v>20</v>
      </c>
      <c r="B42" s="1" t="s">
        <v>182</v>
      </c>
      <c r="C42" s="11" t="s">
        <v>466</v>
      </c>
      <c r="D42" s="11" t="s">
        <v>83</v>
      </c>
      <c r="H42" s="5">
        <f>H43+H45</f>
        <v>0</v>
      </c>
      <c r="I42" s="5">
        <f>I43+I45</f>
        <v>0</v>
      </c>
    </row>
    <row r="43" customHeight="1" spans="1:9">
      <c r="A43" s="1" t="s">
        <v>379</v>
      </c>
      <c r="B43" s="1" t="s">
        <v>182</v>
      </c>
      <c r="C43" s="11" t="s">
        <v>467</v>
      </c>
      <c r="D43" s="11" t="s">
        <v>456</v>
      </c>
    </row>
    <row r="44" customHeight="1" spans="1:9">
      <c r="A44" s="1" t="s">
        <v>457</v>
      </c>
      <c r="B44" s="1" t="s">
        <v>182</v>
      </c>
      <c r="C44" s="11" t="s">
        <v>468</v>
      </c>
      <c r="D44" s="11" t="s">
        <v>459</v>
      </c>
    </row>
    <row r="45" customHeight="1" spans="1:9">
      <c r="A45" s="1" t="s">
        <v>379</v>
      </c>
      <c r="B45" s="1" t="s">
        <v>182</v>
      </c>
      <c r="C45" s="11" t="s">
        <v>469</v>
      </c>
      <c r="D45" s="11" t="s">
        <v>461</v>
      </c>
    </row>
    <row r="46" customHeight="1" spans="1:9">
      <c r="A46" s="8" t="s">
        <v>17</v>
      </c>
      <c r="B46" s="1" t="s">
        <v>182</v>
      </c>
      <c r="C46" s="12" t="s">
        <v>470</v>
      </c>
      <c r="D46" s="12" t="s">
        <v>87</v>
      </c>
    </row>
    <row r="47" customHeight="1" spans="1:9">
      <c r="A47" s="8" t="s">
        <v>17</v>
      </c>
      <c r="B47" s="1" t="s">
        <v>182</v>
      </c>
      <c r="C47" s="12" t="s">
        <v>471</v>
      </c>
      <c r="D47" s="12" t="s">
        <v>89</v>
      </c>
    </row>
    <row r="48" customHeight="1" spans="1:9">
      <c r="A48" s="8"/>
      <c r="B48" s="1"/>
      <c r="C48" s="12"/>
      <c r="D48" s="12"/>
    </row>
    <row r="49" customHeight="1" spans="1:10">
      <c r="A49" s="8" t="s">
        <v>13</v>
      </c>
      <c r="B49" s="1" t="s">
        <v>92</v>
      </c>
      <c r="C49" s="12" t="s">
        <v>472</v>
      </c>
      <c r="D49" s="12" t="s">
        <v>94</v>
      </c>
      <c r="H49" s="5">
        <f>H50</f>
        <v>0</v>
      </c>
      <c r="I49" s="5">
        <f>I50</f>
        <v>0</v>
      </c>
    </row>
    <row r="50" customHeight="1" spans="1:10">
      <c r="A50" s="8" t="s">
        <v>17</v>
      </c>
      <c r="B50" s="1" t="s">
        <v>92</v>
      </c>
      <c r="C50" s="12" t="s">
        <v>473</v>
      </c>
      <c r="D50" s="12" t="s">
        <v>474</v>
      </c>
    </row>
    <row r="51" customHeight="1" spans="1:10">
      <c r="A51" s="8" t="s">
        <v>13</v>
      </c>
      <c r="B51" s="1" t="s">
        <v>201</v>
      </c>
      <c r="C51" s="12" t="s">
        <v>475</v>
      </c>
      <c r="D51" s="12" t="s">
        <v>417</v>
      </c>
      <c r="H51" s="5">
        <f>H52</f>
        <v>0</v>
      </c>
      <c r="I51" s="5">
        <f>I52</f>
        <v>0</v>
      </c>
    </row>
    <row r="52" customHeight="1" spans="1:10">
      <c r="A52" s="8" t="s">
        <v>17</v>
      </c>
      <c r="B52" s="1" t="s">
        <v>201</v>
      </c>
      <c r="C52" s="12" t="s">
        <v>476</v>
      </c>
      <c r="D52" s="12" t="s">
        <v>474</v>
      </c>
    </row>
    <row r="53" customHeight="1" spans="1:10">
      <c r="A53" s="8"/>
      <c r="B53" s="1"/>
      <c r="C53" s="12"/>
      <c r="D53" s="12"/>
    </row>
    <row r="54" customHeight="1" spans="1:10">
      <c r="A54" s="8" t="s">
        <v>13</v>
      </c>
      <c r="B54" s="1" t="s">
        <v>77</v>
      </c>
      <c r="C54" s="12" t="s">
        <v>477</v>
      </c>
      <c r="D54" s="12" t="s">
        <v>478</v>
      </c>
      <c r="H54" s="5">
        <f>H55</f>
        <v>0</v>
      </c>
      <c r="I54" s="5">
        <f>I55</f>
        <v>0</v>
      </c>
    </row>
    <row r="55" customHeight="1" spans="1:10">
      <c r="A55" s="1" t="s">
        <v>17</v>
      </c>
      <c r="B55" s="1" t="s">
        <v>77</v>
      </c>
      <c r="C55" s="11" t="s">
        <v>479</v>
      </c>
      <c r="D55" s="11" t="s">
        <v>480</v>
      </c>
    </row>
    <row r="56" customHeight="1" spans="1:10">
      <c r="A56" s="8" t="s">
        <v>13</v>
      </c>
      <c r="B56" s="1" t="s">
        <v>182</v>
      </c>
      <c r="C56" s="12" t="s">
        <v>481</v>
      </c>
      <c r="D56" s="12" t="s">
        <v>482</v>
      </c>
      <c r="H56" s="5">
        <f>H57</f>
        <v>0</v>
      </c>
      <c r="I56" s="5">
        <f>I57</f>
        <v>0</v>
      </c>
    </row>
    <row r="57" customHeight="1" spans="1:10">
      <c r="A57" s="1" t="s">
        <v>17</v>
      </c>
      <c r="B57" s="1" t="s">
        <v>182</v>
      </c>
      <c r="C57" s="11" t="s">
        <v>483</v>
      </c>
      <c r="D57" s="11" t="s">
        <v>484</v>
      </c>
    </row>
    <row r="58" customHeight="1" spans="1:10">
      <c r="A58" s="8" t="s">
        <v>13</v>
      </c>
      <c r="B58" s="1" t="s">
        <v>92</v>
      </c>
      <c r="C58" s="12" t="s">
        <v>485</v>
      </c>
      <c r="D58" s="12" t="s">
        <v>486</v>
      </c>
      <c r="H58" s="5">
        <f>H59</f>
        <v>0</v>
      </c>
      <c r="I58" s="5">
        <f>I59</f>
        <v>0</v>
      </c>
    </row>
    <row r="59" customHeight="1" spans="1:10">
      <c r="A59" s="1" t="s">
        <v>17</v>
      </c>
      <c r="B59" s="1" t="s">
        <v>92</v>
      </c>
      <c r="C59" s="11" t="s">
        <v>487</v>
      </c>
      <c r="D59" s="11" t="s">
        <v>488</v>
      </c>
    </row>
    <row r="60" customHeight="1" spans="1:10">
      <c r="A60" s="8" t="s">
        <v>13</v>
      </c>
      <c r="B60" s="1" t="s">
        <v>201</v>
      </c>
      <c r="C60" s="12" t="s">
        <v>489</v>
      </c>
      <c r="D60" s="12" t="s">
        <v>490</v>
      </c>
      <c r="H60" s="5">
        <f>H61</f>
        <v>0</v>
      </c>
      <c r="I60" s="5">
        <f>I61</f>
        <v>0</v>
      </c>
    </row>
    <row r="61" customHeight="1" spans="1:10">
      <c r="A61" s="1" t="s">
        <v>17</v>
      </c>
      <c r="B61" s="1" t="s">
        <v>201</v>
      </c>
      <c r="C61" s="11" t="s">
        <v>491</v>
      </c>
      <c r="D61" s="11" t="s">
        <v>492</v>
      </c>
    </row>
    <row r="62" customHeight="1" spans="1:10">
      <c r="A62" s="8"/>
      <c r="B62" s="1"/>
      <c r="C62" s="12"/>
      <c r="D62" s="12"/>
    </row>
    <row r="63" customHeight="1" spans="1:10">
      <c r="A63" s="8" t="s">
        <v>13</v>
      </c>
      <c r="B63" s="8" t="s">
        <v>14</v>
      </c>
      <c r="C63" s="12" t="s">
        <v>493</v>
      </c>
      <c r="D63" s="12" t="s">
        <v>494</v>
      </c>
      <c r="E63" s="13"/>
      <c r="F63" s="13"/>
      <c r="G63" s="13"/>
      <c r="H63" s="13">
        <f>H64+H93</f>
        <v>0</v>
      </c>
      <c r="I63" s="13">
        <f>I64+I93</f>
        <v>0</v>
      </c>
      <c r="J63" s="13"/>
    </row>
    <row r="64" customHeight="1" spans="1:10">
      <c r="A64" s="8" t="s">
        <v>17</v>
      </c>
      <c r="B64" s="8" t="s">
        <v>14</v>
      </c>
      <c r="C64" s="12" t="s">
        <v>495</v>
      </c>
      <c r="D64" s="12" t="s">
        <v>496</v>
      </c>
      <c r="E64" s="13"/>
      <c r="F64" s="13"/>
      <c r="G64" s="13"/>
      <c r="H64" s="13">
        <f>H65+H83</f>
        <v>0</v>
      </c>
      <c r="I64" s="13">
        <f>I65+I83</f>
        <v>0</v>
      </c>
      <c r="J64" s="13"/>
    </row>
    <row r="65" s="13" customFormat="1" customHeight="1" spans="1:10">
      <c r="A65" s="8" t="s">
        <v>20</v>
      </c>
      <c r="B65" s="8" t="s">
        <v>14</v>
      </c>
      <c r="C65" s="12" t="s">
        <v>497</v>
      </c>
      <c r="D65" s="12" t="s">
        <v>498</v>
      </c>
      <c r="I65" s="13">
        <f>I67+I80-I73-I78-I81</f>
        <v>0</v>
      </c>
    </row>
    <row r="66" customHeight="1" spans="1:10">
      <c r="A66" s="17" t="s">
        <v>379</v>
      </c>
      <c r="B66" s="17" t="s">
        <v>103</v>
      </c>
      <c r="C66" s="18" t="s">
        <v>499</v>
      </c>
      <c r="D66" s="18" t="s">
        <v>500</v>
      </c>
      <c r="E66" s="19"/>
      <c r="F66" s="19"/>
      <c r="G66" s="19"/>
      <c r="H66" s="19" t="e">
        <f>H65/H43</f>
        <v>#DIV/0!</v>
      </c>
      <c r="I66" s="19" t="e">
        <f>I65/I43</f>
        <v>#DIV/0!</v>
      </c>
      <c r="J66" s="19" t="s">
        <v>329</v>
      </c>
    </row>
    <row r="67" customHeight="1" spans="1:10">
      <c r="A67" s="17" t="s">
        <v>379</v>
      </c>
      <c r="B67" s="17" t="s">
        <v>14</v>
      </c>
      <c r="C67" s="18" t="s">
        <v>501</v>
      </c>
      <c r="D67" s="18" t="s">
        <v>502</v>
      </c>
      <c r="E67" s="19"/>
      <c r="F67" s="19"/>
      <c r="G67" s="19"/>
      <c r="H67" s="19">
        <f>H65-H80+H73+H78+H81</f>
        <v>0</v>
      </c>
      <c r="I67" s="19">
        <f>I43*I69/1.06*(1-I70)</f>
        <v>0</v>
      </c>
      <c r="J67" s="19" t="s">
        <v>503</v>
      </c>
    </row>
    <row r="68" customHeight="1" spans="1:10">
      <c r="A68" s="1" t="s">
        <v>457</v>
      </c>
      <c r="B68" s="1" t="s">
        <v>103</v>
      </c>
      <c r="C68" s="11" t="s">
        <v>504</v>
      </c>
      <c r="D68" s="11" t="s">
        <v>505</v>
      </c>
      <c r="H68" s="5" t="e">
        <f>H67/H43</f>
        <v>#DIV/0!</v>
      </c>
      <c r="I68" s="5" t="e">
        <f>I67/I43</f>
        <v>#DIV/0!</v>
      </c>
      <c r="J68" s="5" t="s">
        <v>329</v>
      </c>
    </row>
    <row r="69" customHeight="1" spans="1:10">
      <c r="A69" s="1" t="s">
        <v>457</v>
      </c>
      <c r="B69" s="1" t="s">
        <v>103</v>
      </c>
      <c r="C69" s="11" t="s">
        <v>506</v>
      </c>
      <c r="D69" s="11" t="s">
        <v>507</v>
      </c>
    </row>
    <row r="70" customHeight="1" spans="1:10">
      <c r="A70" s="1" t="s">
        <v>457</v>
      </c>
      <c r="B70" s="1" t="s">
        <v>103</v>
      </c>
      <c r="C70" s="11" t="s">
        <v>508</v>
      </c>
      <c r="D70" s="11" t="s">
        <v>509</v>
      </c>
    </row>
    <row r="71" customHeight="1" spans="1:10">
      <c r="A71" s="1" t="s">
        <v>457</v>
      </c>
      <c r="B71" s="1" t="s">
        <v>103</v>
      </c>
      <c r="C71" s="11" t="s">
        <v>510</v>
      </c>
      <c r="D71" s="11" t="s">
        <v>511</v>
      </c>
    </row>
    <row r="72" customHeight="1" spans="1:10">
      <c r="A72" s="1" t="s">
        <v>457</v>
      </c>
      <c r="B72" s="1" t="s">
        <v>103</v>
      </c>
      <c r="C72" s="11" t="s">
        <v>512</v>
      </c>
      <c r="D72" s="11" t="s">
        <v>513</v>
      </c>
    </row>
    <row r="73" customHeight="1" spans="1:10">
      <c r="A73" s="17" t="s">
        <v>379</v>
      </c>
      <c r="B73" s="17" t="s">
        <v>23</v>
      </c>
      <c r="C73" s="18" t="s">
        <v>514</v>
      </c>
      <c r="D73" s="18" t="s">
        <v>515</v>
      </c>
      <c r="E73" s="19"/>
      <c r="F73" s="19"/>
      <c r="G73" s="19"/>
      <c r="H73" s="19"/>
      <c r="I73" s="19">
        <f>(I43*(I69/1.06*(1-I70)*0.995-I77)-I78)*I75*(1-I76)/1.06</f>
        <v>0</v>
      </c>
      <c r="J73" s="19" t="s">
        <v>516</v>
      </c>
    </row>
    <row r="74" customHeight="1" spans="1:10">
      <c r="A74" s="1" t="s">
        <v>457</v>
      </c>
      <c r="B74" s="1" t="s">
        <v>103</v>
      </c>
      <c r="C74" s="11" t="s">
        <v>517</v>
      </c>
      <c r="D74" s="11" t="s">
        <v>518</v>
      </c>
      <c r="H74" s="5" t="e">
        <f>H73/H43</f>
        <v>#DIV/0!</v>
      </c>
      <c r="I74" s="5" t="e">
        <f>I73/I43</f>
        <v>#DIV/0!</v>
      </c>
      <c r="J74" s="5" t="s">
        <v>329</v>
      </c>
    </row>
    <row r="75" customHeight="1" spans="1:10">
      <c r="A75" s="1" t="s">
        <v>457</v>
      </c>
      <c r="B75" s="1" t="s">
        <v>103</v>
      </c>
      <c r="C75" s="11" t="s">
        <v>519</v>
      </c>
      <c r="D75" s="11" t="s">
        <v>520</v>
      </c>
    </row>
    <row r="76" customHeight="1" spans="1:10">
      <c r="A76" s="1" t="s">
        <v>457</v>
      </c>
      <c r="B76" s="1" t="s">
        <v>103</v>
      </c>
      <c r="C76" s="11" t="s">
        <v>521</v>
      </c>
      <c r="D76" s="11" t="s">
        <v>522</v>
      </c>
    </row>
    <row r="77" customHeight="1" spans="1:10">
      <c r="A77" s="1" t="s">
        <v>457</v>
      </c>
      <c r="B77" s="1" t="s">
        <v>103</v>
      </c>
      <c r="C77" s="11" t="s">
        <v>523</v>
      </c>
      <c r="D77" s="11" t="s">
        <v>524</v>
      </c>
      <c r="H77" s="5">
        <f>A02微账户!H142</f>
        <v>0</v>
      </c>
      <c r="I77" s="5">
        <f>A02微账户!I142</f>
        <v>0</v>
      </c>
    </row>
    <row r="78" customHeight="1" spans="1:10">
      <c r="A78" s="17" t="s">
        <v>379</v>
      </c>
      <c r="B78" s="17" t="s">
        <v>23</v>
      </c>
      <c r="C78" s="18" t="s">
        <v>525</v>
      </c>
      <c r="D78" s="18" t="s">
        <v>526</v>
      </c>
      <c r="E78" s="19"/>
      <c r="F78" s="19"/>
      <c r="G78" s="19"/>
      <c r="H78" s="19"/>
      <c r="I78" s="19">
        <f>I44*I79</f>
        <v>0</v>
      </c>
      <c r="J78" s="19" t="s">
        <v>516</v>
      </c>
    </row>
    <row r="79" customHeight="1" spans="1:10">
      <c r="A79" s="1" t="s">
        <v>457</v>
      </c>
      <c r="B79" s="1" t="s">
        <v>103</v>
      </c>
      <c r="C79" s="11" t="s">
        <v>527</v>
      </c>
      <c r="D79" s="11" t="s">
        <v>528</v>
      </c>
      <c r="H79" s="5" t="e">
        <f>H78/H44</f>
        <v>#DIV/0!</v>
      </c>
      <c r="J79" s="5" t="s">
        <v>329</v>
      </c>
    </row>
    <row r="80" customHeight="1" spans="1:10">
      <c r="A80" s="17" t="s">
        <v>379</v>
      </c>
      <c r="B80" s="17" t="s">
        <v>14</v>
      </c>
      <c r="C80" s="18" t="s">
        <v>529</v>
      </c>
      <c r="D80" s="18" t="s">
        <v>530</v>
      </c>
      <c r="E80" s="19"/>
      <c r="F80" s="19"/>
      <c r="G80" s="19"/>
      <c r="H80" s="19"/>
      <c r="I80" s="19"/>
      <c r="J80" s="19"/>
    </row>
    <row r="81" customHeight="1" spans="1:10">
      <c r="A81" s="17" t="s">
        <v>379</v>
      </c>
      <c r="B81" s="17" t="s">
        <v>23</v>
      </c>
      <c r="C81" s="18" t="s">
        <v>531</v>
      </c>
      <c r="D81" s="18" t="s">
        <v>532</v>
      </c>
      <c r="E81" s="19"/>
      <c r="F81" s="19"/>
      <c r="G81" s="19"/>
      <c r="H81" s="19">
        <f>H80*H75*(1-H76)/1.06</f>
        <v>0</v>
      </c>
      <c r="I81" s="19">
        <f>I80*I75*(1-I76)/1.06</f>
        <v>0</v>
      </c>
      <c r="J81" s="19"/>
    </row>
    <row r="82" s="6" customFormat="1" customHeight="1" spans="1:10">
      <c r="A82" s="25"/>
      <c r="B82" s="25"/>
      <c r="C82" s="23"/>
      <c r="D82" s="23"/>
    </row>
    <row r="83" customHeight="1" spans="1:10">
      <c r="A83" s="8" t="s">
        <v>20</v>
      </c>
      <c r="B83" s="8" t="s">
        <v>14</v>
      </c>
      <c r="C83" s="12" t="s">
        <v>533</v>
      </c>
      <c r="D83" s="12" t="s">
        <v>534</v>
      </c>
      <c r="I83" s="5">
        <f>I85-I88</f>
        <v>0</v>
      </c>
    </row>
    <row r="84" customHeight="1" spans="1:10">
      <c r="A84" s="17" t="s">
        <v>379</v>
      </c>
      <c r="B84" s="17" t="s">
        <v>103</v>
      </c>
      <c r="C84" s="18" t="s">
        <v>535</v>
      </c>
      <c r="D84" s="18" t="s">
        <v>536</v>
      </c>
      <c r="E84" s="19"/>
      <c r="F84" s="19"/>
      <c r="G84" s="19"/>
      <c r="H84" s="19" t="e">
        <f>H83/H45</f>
        <v>#DIV/0!</v>
      </c>
      <c r="I84" s="19" t="e">
        <f>I83/I45</f>
        <v>#DIV/0!</v>
      </c>
      <c r="J84" s="19" t="s">
        <v>329</v>
      </c>
    </row>
    <row r="85" customHeight="1" spans="1:10">
      <c r="A85" s="17" t="s">
        <v>379</v>
      </c>
      <c r="B85" s="17" t="s">
        <v>14</v>
      </c>
      <c r="C85" s="18" t="s">
        <v>537</v>
      </c>
      <c r="D85" s="18" t="s">
        <v>538</v>
      </c>
      <c r="E85" s="19"/>
      <c r="F85" s="19"/>
      <c r="G85" s="19"/>
      <c r="H85" s="19">
        <f>H83+H88</f>
        <v>0</v>
      </c>
      <c r="I85" s="19">
        <f>I45*I87</f>
        <v>0</v>
      </c>
      <c r="J85" s="19" t="s">
        <v>516</v>
      </c>
    </row>
    <row r="86" customHeight="1" spans="1:10">
      <c r="A86" s="1" t="s">
        <v>457</v>
      </c>
      <c r="B86" s="1" t="s">
        <v>103</v>
      </c>
      <c r="C86" s="11" t="s">
        <v>539</v>
      </c>
      <c r="D86" s="11" t="s">
        <v>540</v>
      </c>
    </row>
    <row r="87" customHeight="1" spans="1:10">
      <c r="A87" s="1" t="s">
        <v>457</v>
      </c>
      <c r="B87" s="1" t="s">
        <v>103</v>
      </c>
      <c r="C87" s="11" t="s">
        <v>541</v>
      </c>
      <c r="D87" s="11" t="s">
        <v>542</v>
      </c>
      <c r="H87" s="5" t="e">
        <f>H85/H45</f>
        <v>#DIV/0!</v>
      </c>
      <c r="I87" s="5">
        <f>I86*0.9957/1.06</f>
        <v>0</v>
      </c>
      <c r="J87" s="5" t="s">
        <v>543</v>
      </c>
    </row>
    <row r="88" customHeight="1" spans="1:10">
      <c r="A88" s="17" t="s">
        <v>379</v>
      </c>
      <c r="B88" s="17" t="s">
        <v>23</v>
      </c>
      <c r="C88" s="18" t="s">
        <v>544</v>
      </c>
      <c r="D88" s="18" t="s">
        <v>545</v>
      </c>
      <c r="E88" s="19"/>
      <c r="F88" s="19"/>
      <c r="G88" s="19"/>
      <c r="H88" s="19"/>
      <c r="I88" s="19">
        <f>I85*I90*I91</f>
        <v>0</v>
      </c>
      <c r="J88" s="19"/>
    </row>
    <row r="89" customHeight="1" spans="1:10">
      <c r="A89" s="1" t="s">
        <v>457</v>
      </c>
      <c r="B89" s="1" t="s">
        <v>103</v>
      </c>
      <c r="C89" s="11" t="s">
        <v>546</v>
      </c>
      <c r="D89" s="11" t="s">
        <v>547</v>
      </c>
      <c r="H89" s="5" t="e">
        <f>H88/H45</f>
        <v>#DIV/0!</v>
      </c>
      <c r="I89" s="5" t="e">
        <f>I88/I45</f>
        <v>#DIV/0!</v>
      </c>
      <c r="J89" s="5" t="s">
        <v>329</v>
      </c>
    </row>
    <row r="90" customHeight="1" spans="1:10">
      <c r="A90" s="1" t="s">
        <v>457</v>
      </c>
      <c r="B90" s="1" t="s">
        <v>103</v>
      </c>
      <c r="C90" s="11" t="s">
        <v>548</v>
      </c>
      <c r="D90" s="11" t="s">
        <v>549</v>
      </c>
    </row>
    <row r="91" customHeight="1" spans="1:10">
      <c r="A91" s="1" t="s">
        <v>457</v>
      </c>
      <c r="B91" s="1" t="s">
        <v>103</v>
      </c>
      <c r="C91" s="11" t="s">
        <v>550</v>
      </c>
      <c r="D91" s="11" t="s">
        <v>551</v>
      </c>
    </row>
    <row r="92" customHeight="1" spans="1:10">
      <c r="A92" s="1"/>
      <c r="B92" s="1"/>
      <c r="C92" s="11"/>
      <c r="D92" s="11"/>
    </row>
    <row r="93" customHeight="1" spans="1:10">
      <c r="A93" s="8" t="s">
        <v>17</v>
      </c>
      <c r="B93" s="1" t="s">
        <v>14</v>
      </c>
      <c r="C93" s="12" t="s">
        <v>552</v>
      </c>
      <c r="D93" s="12" t="s">
        <v>553</v>
      </c>
      <c r="H93" s="5">
        <f>H94</f>
        <v>0</v>
      </c>
      <c r="I93" s="5">
        <f>I94</f>
        <v>0</v>
      </c>
    </row>
    <row r="94" customHeight="1" spans="1:10">
      <c r="A94" s="8" t="s">
        <v>20</v>
      </c>
      <c r="B94" s="1" t="s">
        <v>14</v>
      </c>
      <c r="C94" s="12" t="s">
        <v>554</v>
      </c>
      <c r="D94" s="12" t="s">
        <v>555</v>
      </c>
      <c r="I94" s="5">
        <f>I57*I95</f>
        <v>0</v>
      </c>
      <c r="J94" s="5" t="s">
        <v>516</v>
      </c>
    </row>
    <row r="95" customHeight="1" spans="1:10">
      <c r="A95" s="1" t="s">
        <v>379</v>
      </c>
      <c r="B95" s="1" t="s">
        <v>103</v>
      </c>
      <c r="C95" s="11" t="s">
        <v>556</v>
      </c>
      <c r="D95" s="11" t="s">
        <v>557</v>
      </c>
      <c r="H95" s="5" t="e">
        <f>H94/H57</f>
        <v>#DIV/0!</v>
      </c>
      <c r="J95" s="5" t="s">
        <v>329</v>
      </c>
    </row>
    <row r="96" customHeight="1" spans="1:10">
      <c r="A96" s="1"/>
      <c r="B96" s="1"/>
      <c r="C96" s="11"/>
      <c r="D96" s="11"/>
    </row>
    <row r="97" customHeight="1" spans="1:10">
      <c r="A97" s="8" t="s">
        <v>13</v>
      </c>
      <c r="B97" s="8" t="s">
        <v>23</v>
      </c>
      <c r="C97" s="12" t="s">
        <v>558</v>
      </c>
      <c r="D97" s="12" t="s">
        <v>559</v>
      </c>
      <c r="E97" s="13"/>
      <c r="F97" s="13"/>
      <c r="G97" s="13"/>
      <c r="H97" s="13">
        <f>H98+H103+H106</f>
        <v>0</v>
      </c>
      <c r="I97" s="13">
        <f>I98+I103+I106</f>
        <v>0</v>
      </c>
      <c r="J97" s="13"/>
    </row>
    <row r="98" customHeight="1" spans="1:10">
      <c r="A98" s="8" t="s">
        <v>17</v>
      </c>
      <c r="B98" s="8" t="s">
        <v>23</v>
      </c>
      <c r="C98" s="12" t="s">
        <v>560</v>
      </c>
      <c r="D98" s="12" t="s">
        <v>561</v>
      </c>
      <c r="E98" s="13"/>
      <c r="F98" s="13"/>
      <c r="G98" s="13"/>
      <c r="H98" s="13">
        <f>H99+H101</f>
        <v>0</v>
      </c>
      <c r="I98" s="13">
        <f>I99+I101</f>
        <v>0</v>
      </c>
      <c r="J98" s="13"/>
    </row>
    <row r="99" customHeight="1" spans="1:10">
      <c r="A99" s="1" t="s">
        <v>20</v>
      </c>
      <c r="B99" s="1" t="s">
        <v>23</v>
      </c>
      <c r="C99" s="11" t="s">
        <v>562</v>
      </c>
      <c r="D99" s="11" t="s">
        <v>563</v>
      </c>
      <c r="I99" s="5">
        <f>I43*I100</f>
        <v>0</v>
      </c>
      <c r="J99" s="5" t="s">
        <v>516</v>
      </c>
    </row>
    <row r="100" customHeight="1" spans="1:10">
      <c r="A100" s="1" t="s">
        <v>379</v>
      </c>
      <c r="B100" s="1" t="s">
        <v>103</v>
      </c>
      <c r="C100" s="11" t="s">
        <v>564</v>
      </c>
      <c r="D100" s="11" t="s">
        <v>565</v>
      </c>
      <c r="H100" s="5" t="e">
        <f>H99/H43</f>
        <v>#DIV/0!</v>
      </c>
      <c r="J100" s="5" t="s">
        <v>329</v>
      </c>
    </row>
    <row r="101" customHeight="1" spans="1:10">
      <c r="A101" s="1" t="s">
        <v>20</v>
      </c>
      <c r="B101" s="1" t="s">
        <v>23</v>
      </c>
      <c r="C101" s="11" t="s">
        <v>566</v>
      </c>
      <c r="D101" s="11" t="s">
        <v>567</v>
      </c>
      <c r="I101" s="5">
        <f>I45*I102</f>
        <v>0</v>
      </c>
      <c r="J101" s="5" t="s">
        <v>516</v>
      </c>
    </row>
    <row r="102" customHeight="1" spans="1:10">
      <c r="A102" s="1" t="s">
        <v>379</v>
      </c>
      <c r="B102" s="1" t="s">
        <v>103</v>
      </c>
      <c r="C102" s="11" t="s">
        <v>568</v>
      </c>
      <c r="D102" s="11" t="s">
        <v>569</v>
      </c>
      <c r="H102" s="5" t="e">
        <f>H101/H45</f>
        <v>#DIV/0!</v>
      </c>
      <c r="J102" s="5" t="s">
        <v>329</v>
      </c>
    </row>
    <row r="103" customHeight="1" spans="1:10">
      <c r="A103" s="8" t="s">
        <v>17</v>
      </c>
      <c r="B103" s="8" t="s">
        <v>23</v>
      </c>
      <c r="C103" s="12" t="s">
        <v>570</v>
      </c>
      <c r="D103" s="12" t="s">
        <v>571</v>
      </c>
      <c r="E103" s="13"/>
      <c r="F103" s="13"/>
      <c r="G103" s="13"/>
      <c r="H103" s="13">
        <f>H104</f>
        <v>0</v>
      </c>
      <c r="I103" s="13">
        <f>I104</f>
        <v>0</v>
      </c>
      <c r="J103" s="13"/>
    </row>
    <row r="104" customHeight="1" spans="1:10">
      <c r="A104" s="1" t="s">
        <v>20</v>
      </c>
      <c r="B104" s="1" t="s">
        <v>23</v>
      </c>
      <c r="C104" s="11" t="s">
        <v>572</v>
      </c>
      <c r="D104" s="11" t="s">
        <v>573</v>
      </c>
      <c r="I104" s="5">
        <f>I57*I105</f>
        <v>0</v>
      </c>
      <c r="J104" s="5" t="s">
        <v>516</v>
      </c>
    </row>
    <row r="105" customHeight="1" spans="1:10">
      <c r="A105" s="1" t="s">
        <v>379</v>
      </c>
      <c r="B105" s="1" t="s">
        <v>103</v>
      </c>
      <c r="C105" s="11" t="s">
        <v>574</v>
      </c>
      <c r="D105" s="11" t="s">
        <v>575</v>
      </c>
      <c r="H105" s="5" t="e">
        <f>H104/H57</f>
        <v>#DIV/0!</v>
      </c>
      <c r="J105" s="5" t="s">
        <v>329</v>
      </c>
    </row>
    <row r="106" customHeight="1" spans="1:10">
      <c r="A106" s="8" t="s">
        <v>17</v>
      </c>
      <c r="B106" s="8" t="s">
        <v>23</v>
      </c>
      <c r="C106" s="12" t="s">
        <v>576</v>
      </c>
      <c r="D106" s="12" t="s">
        <v>577</v>
      </c>
      <c r="E106" s="13"/>
      <c r="F106" s="13"/>
      <c r="G106" s="13"/>
      <c r="H106" s="13">
        <f>H107</f>
        <v>0</v>
      </c>
      <c r="I106" s="13">
        <f>I107</f>
        <v>0</v>
      </c>
      <c r="J106" s="13"/>
    </row>
    <row r="107" customHeight="1" spans="1:10">
      <c r="A107" s="1" t="s">
        <v>20</v>
      </c>
      <c r="B107" s="1" t="s">
        <v>23</v>
      </c>
      <c r="C107" s="11" t="s">
        <v>578</v>
      </c>
      <c r="D107" s="11" t="s">
        <v>579</v>
      </c>
    </row>
    <row r="108" customHeight="1" spans="1:10">
      <c r="A108" s="1"/>
      <c r="B108" s="1"/>
      <c r="C108" s="11"/>
      <c r="D108" s="11"/>
    </row>
    <row r="109" s="13" customFormat="1" customHeight="1" spans="1:10">
      <c r="A109" s="8" t="s">
        <v>13</v>
      </c>
      <c r="B109" s="8" t="s">
        <v>23</v>
      </c>
      <c r="C109" s="12" t="s">
        <v>580</v>
      </c>
      <c r="D109" s="12" t="s">
        <v>581</v>
      </c>
      <c r="H109" s="13">
        <f>H110+H112</f>
        <v>0</v>
      </c>
      <c r="I109" s="13">
        <f>I110+I112</f>
        <v>0</v>
      </c>
    </row>
    <row r="110" customHeight="1" spans="1:10">
      <c r="A110" s="8" t="s">
        <v>17</v>
      </c>
      <c r="B110" s="8" t="s">
        <v>23</v>
      </c>
      <c r="C110" s="12" t="s">
        <v>582</v>
      </c>
      <c r="D110" s="12" t="s">
        <v>583</v>
      </c>
      <c r="E110" s="13"/>
      <c r="F110" s="13"/>
      <c r="G110" s="13"/>
      <c r="H110" s="13"/>
      <c r="I110" s="13">
        <f>I52*I111</f>
        <v>0</v>
      </c>
      <c r="J110" s="5" t="s">
        <v>516</v>
      </c>
    </row>
    <row r="111" customHeight="1" spans="1:10">
      <c r="A111" s="1" t="s">
        <v>20</v>
      </c>
      <c r="B111" s="1" t="s">
        <v>103</v>
      </c>
      <c r="C111" s="11" t="s">
        <v>584</v>
      </c>
      <c r="D111" s="11" t="s">
        <v>585</v>
      </c>
      <c r="H111" s="5" t="e">
        <f>H110/H52</f>
        <v>#DIV/0!</v>
      </c>
      <c r="J111" s="5" t="s">
        <v>329</v>
      </c>
    </row>
    <row r="112" customHeight="1" spans="1:10">
      <c r="A112" s="8" t="s">
        <v>17</v>
      </c>
      <c r="B112" s="8" t="s">
        <v>23</v>
      </c>
      <c r="C112" s="12" t="s">
        <v>586</v>
      </c>
      <c r="D112" s="12" t="s">
        <v>587</v>
      </c>
      <c r="E112" s="13"/>
      <c r="F112" s="13"/>
      <c r="G112" s="13"/>
      <c r="H112" s="13">
        <f>H113</f>
        <v>0</v>
      </c>
      <c r="I112" s="13">
        <f>I113</f>
        <v>0</v>
      </c>
      <c r="J112" s="13"/>
    </row>
    <row r="113" customHeight="1" spans="1:10">
      <c r="A113" s="1" t="s">
        <v>20</v>
      </c>
      <c r="B113" s="1" t="s">
        <v>23</v>
      </c>
      <c r="C113" s="11" t="s">
        <v>588</v>
      </c>
      <c r="D113" s="11" t="s">
        <v>589</v>
      </c>
      <c r="I113" s="5">
        <f>I61*I114</f>
        <v>0</v>
      </c>
      <c r="J113" s="5" t="s">
        <v>516</v>
      </c>
    </row>
    <row r="114" customHeight="1" spans="1:10">
      <c r="A114" s="1" t="s">
        <v>379</v>
      </c>
      <c r="B114" s="1" t="s">
        <v>103</v>
      </c>
      <c r="C114" s="11" t="s">
        <v>590</v>
      </c>
      <c r="D114" s="11" t="s">
        <v>591</v>
      </c>
      <c r="H114" s="5" t="e">
        <f>H113/H61</f>
        <v>#DIV/0!</v>
      </c>
      <c r="J114" s="5" t="s">
        <v>329</v>
      </c>
    </row>
    <row r="115" customHeight="1" spans="1:10">
      <c r="A115" s="1"/>
      <c r="B115" s="1"/>
      <c r="C115" s="11"/>
      <c r="D115" s="11"/>
    </row>
    <row r="116" s="13" customFormat="1" customHeight="1" spans="1:10">
      <c r="A116" s="8" t="s">
        <v>13</v>
      </c>
      <c r="B116" s="8" t="s">
        <v>14</v>
      </c>
      <c r="C116" s="12" t="s">
        <v>592</v>
      </c>
      <c r="D116" s="12" t="s">
        <v>593</v>
      </c>
      <c r="H116" s="13">
        <f>H117+H119</f>
        <v>0</v>
      </c>
      <c r="I116" s="13">
        <f>I117+I119</f>
        <v>0</v>
      </c>
    </row>
    <row r="117" s="13" customFormat="1" customHeight="1" spans="1:10">
      <c r="A117" s="8" t="s">
        <v>17</v>
      </c>
      <c r="B117" s="8" t="s">
        <v>14</v>
      </c>
      <c r="C117" s="12" t="s">
        <v>594</v>
      </c>
      <c r="D117" s="12" t="s">
        <v>595</v>
      </c>
      <c r="I117" s="13">
        <f>I52*I118</f>
        <v>0</v>
      </c>
      <c r="J117" s="5" t="s">
        <v>516</v>
      </c>
    </row>
    <row r="118" customHeight="1" spans="1:10">
      <c r="A118" s="5" t="s">
        <v>20</v>
      </c>
      <c r="B118" s="5" t="s">
        <v>103</v>
      </c>
      <c r="C118" s="11" t="s">
        <v>596</v>
      </c>
      <c r="D118" s="5" t="s">
        <v>597</v>
      </c>
      <c r="H118" s="5" t="e">
        <f>H117/H52</f>
        <v>#DIV/0!</v>
      </c>
      <c r="J118" s="5" t="s">
        <v>329</v>
      </c>
    </row>
    <row r="119" s="13" customFormat="1" customHeight="1" spans="1:10">
      <c r="A119" s="13" t="s">
        <v>17</v>
      </c>
      <c r="B119" s="13" t="s">
        <v>14</v>
      </c>
      <c r="C119" s="12" t="s">
        <v>598</v>
      </c>
      <c r="D119" s="13" t="s">
        <v>599</v>
      </c>
      <c r="H119" s="13">
        <f>H120</f>
        <v>0</v>
      </c>
      <c r="I119" s="13">
        <f>I120</f>
        <v>0</v>
      </c>
    </row>
    <row r="120" customHeight="1" spans="1:10">
      <c r="A120" s="5" t="s">
        <v>20</v>
      </c>
      <c r="B120" s="5" t="s">
        <v>14</v>
      </c>
      <c r="C120" s="11" t="s">
        <v>600</v>
      </c>
      <c r="D120" s="5" t="s">
        <v>601</v>
      </c>
      <c r="I120" s="5">
        <f>I61*I121</f>
        <v>0</v>
      </c>
      <c r="J120" s="5" t="s">
        <v>516</v>
      </c>
    </row>
    <row r="121" customHeight="1" spans="1:10">
      <c r="A121" s="5" t="s">
        <v>379</v>
      </c>
      <c r="B121" s="5" t="s">
        <v>103</v>
      </c>
      <c r="C121" s="11" t="s">
        <v>602</v>
      </c>
      <c r="D121" s="5" t="s">
        <v>603</v>
      </c>
      <c r="H121" s="5" t="e">
        <f>H120/H61</f>
        <v>#DIV/0!</v>
      </c>
      <c r="J121" s="5" t="s">
        <v>329</v>
      </c>
    </row>
    <row r="122" customHeight="1" spans="1:10">
      <c r="C122" s="11"/>
    </row>
    <row r="123" customHeight="1" spans="1:10">
      <c r="A123" s="8" t="s">
        <v>13</v>
      </c>
      <c r="B123" s="1" t="s">
        <v>14</v>
      </c>
      <c r="C123" s="12" t="s">
        <v>604</v>
      </c>
      <c r="D123" s="12" t="s">
        <v>605</v>
      </c>
      <c r="I123" s="5" t="e">
        <f>I124+I132+I136+I137+I138</f>
        <v>#DIV/0!</v>
      </c>
    </row>
    <row r="124" customHeight="1" spans="1:10">
      <c r="A124" s="8" t="s">
        <v>17</v>
      </c>
      <c r="B124" s="1" t="s">
        <v>14</v>
      </c>
      <c r="C124" s="12" t="s">
        <v>606</v>
      </c>
      <c r="D124" s="12" t="s">
        <v>607</v>
      </c>
      <c r="I124" s="5">
        <f>I126+I131</f>
        <v>0</v>
      </c>
    </row>
    <row r="125" customHeight="1" spans="1:10">
      <c r="A125" s="1" t="s">
        <v>20</v>
      </c>
      <c r="B125" s="1" t="s">
        <v>103</v>
      </c>
      <c r="C125" s="11" t="s">
        <v>608</v>
      </c>
      <c r="D125" s="11" t="s">
        <v>609</v>
      </c>
      <c r="H125" s="5" t="e">
        <f>H124/H46</f>
        <v>#DIV/0!</v>
      </c>
      <c r="I125" s="5" t="e">
        <f>I124/I46</f>
        <v>#DIV/0!</v>
      </c>
      <c r="J125" s="5" t="s">
        <v>329</v>
      </c>
    </row>
    <row r="126" customHeight="1" spans="1:10">
      <c r="A126" s="1" t="s">
        <v>20</v>
      </c>
      <c r="B126" s="1" t="s">
        <v>14</v>
      </c>
      <c r="C126" s="11" t="s">
        <v>610</v>
      </c>
      <c r="D126" s="11" t="s">
        <v>611</v>
      </c>
      <c r="I126" s="5">
        <f>I46*I127</f>
        <v>0</v>
      </c>
      <c r="J126" s="5" t="s">
        <v>516</v>
      </c>
    </row>
    <row r="127" customHeight="1" spans="1:10">
      <c r="A127" s="1" t="s">
        <v>379</v>
      </c>
      <c r="B127" s="1" t="s">
        <v>103</v>
      </c>
      <c r="C127" s="11" t="s">
        <v>612</v>
      </c>
      <c r="D127" s="11" t="s">
        <v>613</v>
      </c>
      <c r="H127" s="5" t="e">
        <f>H126/H46</f>
        <v>#DIV/0!</v>
      </c>
      <c r="I127" s="5">
        <f>I128*I129*I130/1.06</f>
        <v>0</v>
      </c>
      <c r="J127" s="5" t="s">
        <v>543</v>
      </c>
    </row>
    <row r="128" customHeight="1" spans="1:10">
      <c r="A128" s="1" t="s">
        <v>379</v>
      </c>
      <c r="B128" s="1" t="s">
        <v>103</v>
      </c>
      <c r="C128" s="11" t="s">
        <v>614</v>
      </c>
      <c r="D128" s="11" t="s">
        <v>615</v>
      </c>
      <c r="I128" s="5">
        <f>I69+I72</f>
        <v>0</v>
      </c>
    </row>
    <row r="129" customHeight="1" spans="1:10">
      <c r="A129" s="1" t="s">
        <v>379</v>
      </c>
      <c r="B129" s="1" t="s">
        <v>103</v>
      </c>
      <c r="C129" s="11" t="s">
        <v>616</v>
      </c>
      <c r="D129" s="11" t="s">
        <v>617</v>
      </c>
    </row>
    <row r="130" customHeight="1" spans="1:10">
      <c r="A130" s="1" t="s">
        <v>379</v>
      </c>
      <c r="B130" s="1" t="s">
        <v>103</v>
      </c>
      <c r="C130" s="11" t="s">
        <v>618</v>
      </c>
      <c r="D130" s="11" t="s">
        <v>619</v>
      </c>
    </row>
    <row r="131" customHeight="1" spans="1:10">
      <c r="A131" s="1" t="s">
        <v>20</v>
      </c>
      <c r="B131" s="1" t="s">
        <v>14</v>
      </c>
      <c r="C131" s="11" t="s">
        <v>620</v>
      </c>
      <c r="D131" s="11" t="s">
        <v>621</v>
      </c>
    </row>
    <row r="132" customHeight="1" spans="1:10">
      <c r="A132" s="8" t="s">
        <v>17</v>
      </c>
      <c r="B132" s="1" t="s">
        <v>14</v>
      </c>
      <c r="C132" s="12" t="s">
        <v>622</v>
      </c>
      <c r="D132" s="12" t="s">
        <v>623</v>
      </c>
      <c r="I132" s="5" t="e">
        <f>I141*I134*I135</f>
        <v>#DIV/0!</v>
      </c>
    </row>
    <row r="133" customHeight="1" spans="1:10">
      <c r="A133" s="1" t="s">
        <v>20</v>
      </c>
      <c r="B133" s="1" t="s">
        <v>103</v>
      </c>
      <c r="C133" s="11" t="s">
        <v>624</v>
      </c>
      <c r="D133" s="11" t="s">
        <v>625</v>
      </c>
      <c r="H133" s="5" t="e">
        <f>H132/H46</f>
        <v>#DIV/0!</v>
      </c>
      <c r="I133" s="5" t="e">
        <f>I132/I46</f>
        <v>#DIV/0!</v>
      </c>
      <c r="J133" s="5" t="s">
        <v>329</v>
      </c>
    </row>
    <row r="134" customHeight="1" spans="1:10">
      <c r="A134" s="1" t="s">
        <v>379</v>
      </c>
      <c r="B134" s="1" t="s">
        <v>103</v>
      </c>
      <c r="C134" s="11" t="s">
        <v>626</v>
      </c>
      <c r="D134" s="11" t="s">
        <v>627</v>
      </c>
      <c r="H134" s="5" t="e">
        <f>H46/H40</f>
        <v>#DIV/0!</v>
      </c>
      <c r="I134" s="5" t="e">
        <f>I46/I40</f>
        <v>#DIV/0!</v>
      </c>
    </row>
    <row r="135" customHeight="1" spans="1:10">
      <c r="A135" s="1" t="s">
        <v>379</v>
      </c>
      <c r="B135" s="1" t="s">
        <v>103</v>
      </c>
      <c r="C135" s="11" t="s">
        <v>628</v>
      </c>
      <c r="D135" s="11" t="s">
        <v>629</v>
      </c>
      <c r="H135" s="5" t="e">
        <f>H132/(H141*H134)</f>
        <v>#DIV/0!</v>
      </c>
    </row>
    <row r="136" customHeight="1" spans="1:10">
      <c r="A136" s="8" t="s">
        <v>17</v>
      </c>
      <c r="B136" s="1" t="s">
        <v>14</v>
      </c>
      <c r="C136" s="12" t="s">
        <v>630</v>
      </c>
      <c r="D136" s="12" t="s">
        <v>631</v>
      </c>
    </row>
    <row r="137" customHeight="1" spans="1:10">
      <c r="A137" s="8" t="s">
        <v>17</v>
      </c>
      <c r="B137" s="1" t="s">
        <v>14</v>
      </c>
      <c r="C137" s="12" t="s">
        <v>632</v>
      </c>
      <c r="D137" s="12" t="s">
        <v>633</v>
      </c>
    </row>
    <row r="138" customHeight="1" spans="1:10">
      <c r="A138" s="8" t="s">
        <v>17</v>
      </c>
      <c r="B138" s="1" t="s">
        <v>14</v>
      </c>
      <c r="C138" s="12" t="s">
        <v>634</v>
      </c>
      <c r="D138" s="12" t="s">
        <v>635</v>
      </c>
      <c r="H138" s="5">
        <f>H123-H124-H132-H136-H137</f>
        <v>0</v>
      </c>
    </row>
    <row r="139" customHeight="1" spans="1:10">
      <c r="A139" s="1"/>
      <c r="B139" s="1"/>
      <c r="C139" s="11"/>
      <c r="D139" s="11"/>
    </row>
    <row r="140" customHeight="1" spans="1:10">
      <c r="A140" s="8" t="s">
        <v>13</v>
      </c>
      <c r="B140" s="1" t="s">
        <v>23</v>
      </c>
      <c r="C140" s="12" t="s">
        <v>636</v>
      </c>
      <c r="D140" s="12" t="s">
        <v>637</v>
      </c>
      <c r="I140" s="5">
        <f>I141+I143+I145+I147+I148+I155+I156+I159+I160</f>
        <v>0</v>
      </c>
    </row>
    <row r="141" customHeight="1" spans="1:10">
      <c r="A141" s="8" t="s">
        <v>17</v>
      </c>
      <c r="B141" s="1" t="s">
        <v>23</v>
      </c>
      <c r="C141" s="12" t="s">
        <v>638</v>
      </c>
      <c r="D141" s="12" t="s">
        <v>639</v>
      </c>
      <c r="I141" s="5">
        <f>I40*I142</f>
        <v>0</v>
      </c>
      <c r="J141" s="5" t="s">
        <v>516</v>
      </c>
    </row>
    <row r="142" customHeight="1" spans="1:10">
      <c r="A142" s="1" t="s">
        <v>20</v>
      </c>
      <c r="B142" s="1" t="s">
        <v>103</v>
      </c>
      <c r="C142" s="11" t="s">
        <v>640</v>
      </c>
      <c r="D142" s="11" t="s">
        <v>641</v>
      </c>
      <c r="H142" s="5" t="e">
        <f>H141/H40</f>
        <v>#DIV/0!</v>
      </c>
      <c r="J142" s="5" t="s">
        <v>329</v>
      </c>
    </row>
    <row r="143" customHeight="1" spans="1:10">
      <c r="A143" s="8" t="s">
        <v>17</v>
      </c>
      <c r="B143" s="1" t="s">
        <v>23</v>
      </c>
      <c r="C143" s="12" t="s">
        <v>642</v>
      </c>
      <c r="D143" s="12" t="s">
        <v>643</v>
      </c>
      <c r="I143" s="5">
        <f>I40*I144</f>
        <v>0</v>
      </c>
      <c r="J143" s="5" t="s">
        <v>516</v>
      </c>
    </row>
    <row r="144" customHeight="1" spans="1:10">
      <c r="A144" s="1" t="s">
        <v>20</v>
      </c>
      <c r="B144" s="1" t="s">
        <v>103</v>
      </c>
      <c r="C144" s="11" t="s">
        <v>644</v>
      </c>
      <c r="D144" s="11" t="s">
        <v>641</v>
      </c>
      <c r="H144" s="5" t="e">
        <f>H143/H40</f>
        <v>#DIV/0!</v>
      </c>
      <c r="J144" s="5" t="s">
        <v>329</v>
      </c>
    </row>
    <row r="145" customHeight="1" spans="1:10">
      <c r="A145" s="8" t="s">
        <v>17</v>
      </c>
      <c r="B145" s="1" t="s">
        <v>23</v>
      </c>
      <c r="C145" s="12" t="s">
        <v>645</v>
      </c>
      <c r="D145" s="12" t="s">
        <v>646</v>
      </c>
      <c r="I145" s="5">
        <f>I40*I146</f>
        <v>0</v>
      </c>
      <c r="J145" s="5" t="s">
        <v>516</v>
      </c>
    </row>
    <row r="146" customHeight="1" spans="1:10">
      <c r="A146" s="1" t="s">
        <v>20</v>
      </c>
      <c r="B146" s="1" t="s">
        <v>103</v>
      </c>
      <c r="C146" s="11" t="s">
        <v>647</v>
      </c>
      <c r="D146" s="11" t="s">
        <v>641</v>
      </c>
      <c r="H146" s="5" t="e">
        <f>H145/H40</f>
        <v>#DIV/0!</v>
      </c>
      <c r="J146" s="5" t="s">
        <v>329</v>
      </c>
    </row>
    <row r="147" customHeight="1" spans="1:10">
      <c r="A147" s="8" t="s">
        <v>17</v>
      </c>
      <c r="B147" s="1" t="s">
        <v>23</v>
      </c>
      <c r="C147" s="12" t="s">
        <v>648</v>
      </c>
      <c r="D147" s="12" t="s">
        <v>649</v>
      </c>
    </row>
    <row r="148" customHeight="1" spans="1:10">
      <c r="A148" s="8" t="s">
        <v>17</v>
      </c>
      <c r="B148" s="1" t="s">
        <v>23</v>
      </c>
      <c r="C148" s="12" t="s">
        <v>650</v>
      </c>
      <c r="D148" s="12" t="s">
        <v>651</v>
      </c>
      <c r="I148" s="5">
        <f>I150+I154</f>
        <v>0</v>
      </c>
    </row>
    <row r="149" customHeight="1" spans="1:10">
      <c r="A149" s="1" t="s">
        <v>20</v>
      </c>
      <c r="B149" s="1" t="s">
        <v>103</v>
      </c>
      <c r="C149" s="11" t="s">
        <v>652</v>
      </c>
      <c r="D149" s="11" t="s">
        <v>653</v>
      </c>
      <c r="H149" s="5" t="e">
        <f>H148/H46</f>
        <v>#DIV/0!</v>
      </c>
      <c r="I149" s="5" t="e">
        <f>I148/I46</f>
        <v>#DIV/0!</v>
      </c>
      <c r="J149" s="5" t="s">
        <v>329</v>
      </c>
    </row>
    <row r="150" customHeight="1" spans="1:10">
      <c r="A150" s="1" t="s">
        <v>20</v>
      </c>
      <c r="B150" s="1" t="s">
        <v>23</v>
      </c>
      <c r="C150" s="11" t="s">
        <v>654</v>
      </c>
      <c r="D150" s="11" t="s">
        <v>655</v>
      </c>
      <c r="I150" s="5">
        <f>I46*I128*(1-I152)*I129/1.06*I75*(1-I153)/1.06</f>
        <v>0</v>
      </c>
      <c r="J150" s="5" t="s">
        <v>516</v>
      </c>
    </row>
    <row r="151" customHeight="1" spans="1:10">
      <c r="A151" s="1" t="s">
        <v>379</v>
      </c>
      <c r="B151" s="1" t="s">
        <v>103</v>
      </c>
      <c r="C151" s="11" t="s">
        <v>656</v>
      </c>
      <c r="D151" s="11" t="s">
        <v>657</v>
      </c>
      <c r="H151" s="5" t="e">
        <f>H150/H46</f>
        <v>#DIV/0!</v>
      </c>
      <c r="I151" s="5" t="e">
        <f>I150/I46</f>
        <v>#DIV/0!</v>
      </c>
      <c r="J151" s="5" t="s">
        <v>329</v>
      </c>
    </row>
    <row r="152" customHeight="1" spans="1:10">
      <c r="A152" s="1" t="s">
        <v>379</v>
      </c>
      <c r="B152" s="1" t="s">
        <v>103</v>
      </c>
      <c r="C152" s="11" t="s">
        <v>658</v>
      </c>
      <c r="D152" s="11" t="s">
        <v>659</v>
      </c>
    </row>
    <row r="153" customHeight="1" spans="1:10">
      <c r="A153" s="1" t="s">
        <v>379</v>
      </c>
      <c r="B153" s="1" t="s">
        <v>103</v>
      </c>
      <c r="C153" s="11" t="s">
        <v>660</v>
      </c>
      <c r="D153" s="11" t="s">
        <v>661</v>
      </c>
    </row>
    <row r="154" customHeight="1" spans="1:10">
      <c r="A154" s="1" t="s">
        <v>20</v>
      </c>
      <c r="B154" s="1" t="s">
        <v>23</v>
      </c>
      <c r="C154" s="11" t="s">
        <v>662</v>
      </c>
      <c r="D154" s="11" t="s">
        <v>663</v>
      </c>
    </row>
    <row r="155" customHeight="1" spans="1:10">
      <c r="A155" s="8" t="s">
        <v>17</v>
      </c>
      <c r="B155" s="1" t="s">
        <v>23</v>
      </c>
      <c r="C155" s="12" t="s">
        <v>664</v>
      </c>
      <c r="D155" s="12" t="s">
        <v>665</v>
      </c>
    </row>
    <row r="156" customHeight="1" spans="1:10">
      <c r="A156" s="8" t="s">
        <v>17</v>
      </c>
      <c r="B156" s="1" t="s">
        <v>23</v>
      </c>
      <c r="C156" s="12" t="s">
        <v>666</v>
      </c>
      <c r="D156" s="12" t="s">
        <v>667</v>
      </c>
      <c r="I156" s="5">
        <f>I137*I157*I158/1.06</f>
        <v>0</v>
      </c>
    </row>
    <row r="157" customHeight="1" spans="1:10">
      <c r="A157" s="1" t="s">
        <v>20</v>
      </c>
      <c r="B157" s="1" t="s">
        <v>103</v>
      </c>
      <c r="C157" s="11" t="s">
        <v>668</v>
      </c>
      <c r="D157" s="11" t="s">
        <v>669</v>
      </c>
    </row>
    <row r="158" customHeight="1" spans="1:10">
      <c r="A158" s="1" t="s">
        <v>20</v>
      </c>
      <c r="B158" s="1" t="s">
        <v>103</v>
      </c>
      <c r="C158" s="11" t="s">
        <v>670</v>
      </c>
      <c r="D158" s="11" t="s">
        <v>671</v>
      </c>
    </row>
    <row r="159" customHeight="1" spans="1:10">
      <c r="A159" s="8" t="s">
        <v>17</v>
      </c>
      <c r="B159" s="1" t="s">
        <v>23</v>
      </c>
      <c r="C159" s="12" t="s">
        <v>672</v>
      </c>
      <c r="D159" s="12" t="s">
        <v>673</v>
      </c>
    </row>
    <row r="160" customHeight="1" spans="1:10">
      <c r="A160" s="8" t="s">
        <v>17</v>
      </c>
      <c r="B160" s="1" t="s">
        <v>23</v>
      </c>
      <c r="C160" s="12" t="s">
        <v>674</v>
      </c>
      <c r="D160" s="12" t="s">
        <v>675</v>
      </c>
    </row>
    <row r="161" customHeight="1" spans="1:4">
      <c r="A161" s="1"/>
      <c r="B161" s="1"/>
      <c r="C161" s="11"/>
      <c r="D161" s="11"/>
    </row>
    <row r="162" customHeight="1" spans="1:4">
      <c r="A162" s="12" t="s">
        <v>13</v>
      </c>
      <c r="B162" s="11" t="s">
        <v>14</v>
      </c>
      <c r="C162" s="12" t="s">
        <v>676</v>
      </c>
      <c r="D162" s="12" t="s">
        <v>677</v>
      </c>
    </row>
    <row r="163" customHeight="1" spans="1:4">
      <c r="A163" s="1"/>
      <c r="B163" s="1"/>
      <c r="C163" s="11"/>
      <c r="D163" s="11"/>
    </row>
    <row r="164" customHeight="1" spans="1:4">
      <c r="A164" s="8" t="s">
        <v>13</v>
      </c>
      <c r="B164" s="1" t="s">
        <v>14</v>
      </c>
      <c r="C164" s="12" t="s">
        <v>678</v>
      </c>
      <c r="D164" s="12" t="s">
        <v>679</v>
      </c>
    </row>
    <row r="165" customHeight="1" spans="1:4">
      <c r="A165" s="1"/>
      <c r="B165" s="1"/>
      <c r="C165" s="11"/>
      <c r="D165" s="11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2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I118" sqref="I118"/>
    </sheetView>
  </sheetViews>
  <sheetFormatPr defaultColWidth="9" defaultRowHeight="15" customHeight="1"/>
  <cols>
    <col min="1" max="2" width="8.66071428571429" style="5"/>
    <col min="3" max="3" width="13" style="5" customWidth="1"/>
    <col min="4" max="4" width="24.6607142857143" style="5" customWidth="1"/>
    <col min="5" max="9" width="8.66071428571429" style="5"/>
    <col min="10" max="10" width="19.8303571428571" style="5" customWidth="1"/>
    <col min="11" max="16384" width="8.66071428571429" style="5"/>
  </cols>
  <sheetData>
    <row r="1" s="1" customFormat="1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7"/>
      <c r="O1" s="7"/>
    </row>
    <row r="2" customHeight="1" spans="1:15">
      <c r="A2" s="8" t="s">
        <v>13</v>
      </c>
      <c r="B2" s="1" t="s">
        <v>14</v>
      </c>
      <c r="C2" s="9" t="s">
        <v>680</v>
      </c>
      <c r="D2" s="8" t="s">
        <v>16</v>
      </c>
      <c r="H2" s="5">
        <f>H3+H6+H7</f>
        <v>0</v>
      </c>
      <c r="I2" s="5" t="e">
        <f>I3+I6+I7</f>
        <v>#NAME?</v>
      </c>
    </row>
    <row r="3" customHeight="1" spans="1:15">
      <c r="A3" s="8" t="s">
        <v>17</v>
      </c>
      <c r="B3" s="1" t="s">
        <v>14</v>
      </c>
      <c r="C3" s="9" t="s">
        <v>681</v>
      </c>
      <c r="D3" s="8" t="s">
        <v>19</v>
      </c>
      <c r="H3" s="5">
        <f>H4+H5</f>
        <v>0</v>
      </c>
      <c r="I3" s="5" t="e">
        <f>I4+I5</f>
        <v>#NAME?</v>
      </c>
    </row>
    <row r="4" customHeight="1" spans="1:15">
      <c r="A4" s="1" t="s">
        <v>20</v>
      </c>
      <c r="B4" s="1" t="s">
        <v>14</v>
      </c>
      <c r="C4" s="10" t="s">
        <v>682</v>
      </c>
      <c r="D4" s="1" t="s">
        <v>349</v>
      </c>
      <c r="H4" s="5">
        <f>H56-H61</f>
        <v>0</v>
      </c>
      <c r="I4" s="5">
        <f>I56-I61</f>
        <v>0</v>
      </c>
    </row>
    <row r="5" customHeight="1" spans="1:15">
      <c r="A5" s="1" t="s">
        <v>20</v>
      </c>
      <c r="B5" s="1" t="s">
        <v>14</v>
      </c>
      <c r="C5" s="10" t="s">
        <v>683</v>
      </c>
      <c r="D5" s="1" t="s">
        <v>354</v>
      </c>
      <c r="H5" s="5">
        <f>H102-H69</f>
        <v>0</v>
      </c>
      <c r="I5" s="5" t="e">
        <f>I102-I69</f>
        <v>#NAME?</v>
      </c>
    </row>
    <row r="6" customHeight="1" spans="1:15">
      <c r="A6" s="8" t="s">
        <v>17</v>
      </c>
      <c r="B6" s="1" t="s">
        <v>14</v>
      </c>
      <c r="C6" s="9" t="s">
        <v>684</v>
      </c>
      <c r="D6" s="8" t="s">
        <v>427</v>
      </c>
      <c r="H6" s="5">
        <f>H125-H130</f>
        <v>0</v>
      </c>
      <c r="I6" s="5">
        <f>I125-I130</f>
        <v>0</v>
      </c>
    </row>
    <row r="7" customHeight="1" spans="1:15">
      <c r="A7" s="8" t="s">
        <v>17</v>
      </c>
      <c r="B7" s="1" t="s">
        <v>14</v>
      </c>
      <c r="C7" s="9" t="s">
        <v>685</v>
      </c>
      <c r="D7" s="8" t="s">
        <v>33</v>
      </c>
      <c r="H7" s="5">
        <f>H136+H138</f>
        <v>0</v>
      </c>
      <c r="I7" s="5">
        <f>I136+I138</f>
        <v>0</v>
      </c>
    </row>
    <row r="8" customHeight="1" spans="1:15">
      <c r="A8" s="8" t="s">
        <v>13</v>
      </c>
      <c r="B8" s="1" t="s">
        <v>23</v>
      </c>
      <c r="C8" s="9" t="s">
        <v>686</v>
      </c>
      <c r="D8" s="8" t="s">
        <v>363</v>
      </c>
    </row>
    <row r="9" customHeight="1" spans="1:15">
      <c r="A9" s="8" t="s">
        <v>13</v>
      </c>
      <c r="B9" s="1" t="s">
        <v>14</v>
      </c>
      <c r="C9" s="9" t="s">
        <v>687</v>
      </c>
      <c r="D9" s="8" t="s">
        <v>45</v>
      </c>
      <c r="H9" s="5">
        <f>H2-H8</f>
        <v>0</v>
      </c>
      <c r="I9" s="5" t="e">
        <f>I2-I8</f>
        <v>#NAME?</v>
      </c>
    </row>
    <row r="10" customHeight="1" spans="1:15">
      <c r="A10" s="8" t="s">
        <v>13</v>
      </c>
      <c r="B10" s="1" t="s">
        <v>23</v>
      </c>
      <c r="C10" s="9" t="s">
        <v>688</v>
      </c>
      <c r="D10" s="8" t="s">
        <v>47</v>
      </c>
    </row>
    <row r="11" customHeight="1" spans="1:15">
      <c r="A11" s="8" t="s">
        <v>13</v>
      </c>
      <c r="B11" s="1" t="s">
        <v>23</v>
      </c>
      <c r="C11" s="9" t="s">
        <v>689</v>
      </c>
      <c r="D11" s="8" t="s">
        <v>367</v>
      </c>
      <c r="H11" s="5">
        <f>H12+H15+H18+H25+H26</f>
        <v>0</v>
      </c>
      <c r="I11" s="5">
        <f>I12+I15+I18+I25+I26</f>
        <v>0</v>
      </c>
    </row>
    <row r="12" customHeight="1" spans="1:15">
      <c r="A12" s="8" t="s">
        <v>17</v>
      </c>
      <c r="B12" s="1" t="s">
        <v>23</v>
      </c>
      <c r="C12" s="9" t="s">
        <v>690</v>
      </c>
      <c r="D12" s="8" t="s">
        <v>369</v>
      </c>
      <c r="H12" s="5">
        <f>H13+H14</f>
        <v>0</v>
      </c>
      <c r="I12" s="5">
        <f>I13+I14</f>
        <v>0</v>
      </c>
    </row>
    <row r="13" customHeight="1" spans="1:15">
      <c r="A13" s="1" t="s">
        <v>20</v>
      </c>
      <c r="B13" s="1" t="s">
        <v>23</v>
      </c>
      <c r="C13" s="10" t="s">
        <v>691</v>
      </c>
      <c r="D13" s="1" t="s">
        <v>53</v>
      </c>
    </row>
    <row r="14" customHeight="1" spans="1:15">
      <c r="A14" s="1" t="s">
        <v>20</v>
      </c>
      <c r="B14" s="1" t="s">
        <v>23</v>
      </c>
      <c r="C14" s="10" t="s">
        <v>692</v>
      </c>
      <c r="D14" s="1" t="s">
        <v>372</v>
      </c>
    </row>
    <row r="15" customHeight="1" spans="1:15">
      <c r="A15" s="8" t="s">
        <v>17</v>
      </c>
      <c r="B15" s="1" t="s">
        <v>23</v>
      </c>
      <c r="C15" s="9" t="s">
        <v>693</v>
      </c>
      <c r="D15" s="8" t="s">
        <v>59</v>
      </c>
      <c r="H15" s="5">
        <f>H16+H17</f>
        <v>0</v>
      </c>
      <c r="I15" s="5">
        <f>I16+I17</f>
        <v>0</v>
      </c>
    </row>
    <row r="16" customHeight="1" spans="1:15">
      <c r="A16" s="1" t="s">
        <v>20</v>
      </c>
      <c r="B16" s="1" t="s">
        <v>23</v>
      </c>
      <c r="C16" s="10" t="s">
        <v>694</v>
      </c>
      <c r="D16" s="1" t="s">
        <v>61</v>
      </c>
    </row>
    <row r="17" customHeight="1" spans="1:9">
      <c r="A17" s="1" t="s">
        <v>20</v>
      </c>
      <c r="B17" s="1" t="s">
        <v>23</v>
      </c>
      <c r="C17" s="10" t="s">
        <v>695</v>
      </c>
      <c r="D17" s="1" t="s">
        <v>63</v>
      </c>
    </row>
    <row r="18" customHeight="1" spans="1:9">
      <c r="A18" s="8" t="s">
        <v>17</v>
      </c>
      <c r="B18" s="1" t="s">
        <v>23</v>
      </c>
      <c r="C18" s="9" t="s">
        <v>696</v>
      </c>
      <c r="D18" s="8" t="s">
        <v>65</v>
      </c>
      <c r="H18" s="5">
        <f>H19+H22+H23+H24</f>
        <v>0</v>
      </c>
      <c r="I18" s="5">
        <f>I19+I22+I23+I24</f>
        <v>0</v>
      </c>
    </row>
    <row r="19" customHeight="1" spans="1:9">
      <c r="A19" s="1" t="s">
        <v>20</v>
      </c>
      <c r="B19" s="1" t="s">
        <v>23</v>
      </c>
      <c r="C19" s="10" t="s">
        <v>697</v>
      </c>
      <c r="D19" s="1" t="s">
        <v>378</v>
      </c>
      <c r="H19" s="5">
        <f>H20+H21</f>
        <v>0</v>
      </c>
      <c r="I19" s="5">
        <f>I20+I21</f>
        <v>0</v>
      </c>
    </row>
    <row r="20" customHeight="1" spans="1:9">
      <c r="A20" s="1" t="s">
        <v>379</v>
      </c>
      <c r="B20" s="1" t="s">
        <v>23</v>
      </c>
      <c r="C20" s="10" t="s">
        <v>698</v>
      </c>
      <c r="D20" s="1" t="s">
        <v>381</v>
      </c>
    </row>
    <row r="21" customHeight="1" spans="1:9">
      <c r="A21" s="1" t="s">
        <v>379</v>
      </c>
      <c r="B21" s="1" t="s">
        <v>23</v>
      </c>
      <c r="C21" s="10" t="s">
        <v>699</v>
      </c>
      <c r="D21" s="1" t="s">
        <v>383</v>
      </c>
    </row>
    <row r="22" customHeight="1" spans="1:9">
      <c r="A22" s="1" t="s">
        <v>20</v>
      </c>
      <c r="B22" s="1" t="s">
        <v>23</v>
      </c>
      <c r="C22" s="10" t="s">
        <v>700</v>
      </c>
      <c r="D22" s="1" t="s">
        <v>385</v>
      </c>
    </row>
    <row r="23" customHeight="1" spans="1:9">
      <c r="A23" s="1" t="s">
        <v>20</v>
      </c>
      <c r="B23" s="1" t="s">
        <v>23</v>
      </c>
      <c r="C23" s="10" t="s">
        <v>701</v>
      </c>
      <c r="D23" s="1" t="s">
        <v>387</v>
      </c>
    </row>
    <row r="24" customHeight="1" spans="1:9">
      <c r="A24" s="1" t="s">
        <v>20</v>
      </c>
      <c r="B24" s="1" t="s">
        <v>23</v>
      </c>
      <c r="C24" s="10" t="s">
        <v>702</v>
      </c>
      <c r="D24" s="1" t="s">
        <v>389</v>
      </c>
    </row>
    <row r="25" customHeight="1" spans="1:9">
      <c r="A25" s="8" t="s">
        <v>17</v>
      </c>
      <c r="B25" s="1" t="s">
        <v>23</v>
      </c>
      <c r="C25" s="9" t="s">
        <v>703</v>
      </c>
      <c r="D25" s="8" t="s">
        <v>391</v>
      </c>
    </row>
    <row r="26" customHeight="1" spans="1:9">
      <c r="A26" s="8" t="s">
        <v>17</v>
      </c>
      <c r="B26" s="1" t="s">
        <v>23</v>
      </c>
      <c r="C26" s="9" t="s">
        <v>704</v>
      </c>
      <c r="D26" s="8" t="s">
        <v>67</v>
      </c>
    </row>
    <row r="27" customHeight="1" spans="1:9">
      <c r="A27" s="8" t="s">
        <v>13</v>
      </c>
      <c r="B27" s="1" t="s">
        <v>14</v>
      </c>
      <c r="C27" s="9" t="s">
        <v>705</v>
      </c>
      <c r="D27" s="8" t="s">
        <v>69</v>
      </c>
    </row>
    <row r="28" customHeight="1" spans="1:9">
      <c r="A28" s="8" t="s">
        <v>13</v>
      </c>
      <c r="B28" s="1" t="s">
        <v>70</v>
      </c>
      <c r="C28" s="9" t="s">
        <v>706</v>
      </c>
      <c r="D28" s="8" t="s">
        <v>395</v>
      </c>
      <c r="H28" s="5">
        <f>H9-H10-H11+H27</f>
        <v>0</v>
      </c>
      <c r="I28" s="5" t="e">
        <f>I9-I10-I11+I27</f>
        <v>#NAME?</v>
      </c>
    </row>
    <row r="29" customHeight="1" spans="1:9">
      <c r="A29" s="8" t="s">
        <v>13</v>
      </c>
      <c r="B29" s="1" t="s">
        <v>23</v>
      </c>
      <c r="C29" s="9" t="s">
        <v>707</v>
      </c>
      <c r="D29" s="8" t="s">
        <v>397</v>
      </c>
    </row>
    <row r="30" customHeight="1" spans="1:9">
      <c r="A30" s="8" t="s">
        <v>13</v>
      </c>
      <c r="B30" s="1" t="s">
        <v>70</v>
      </c>
      <c r="C30" s="9" t="s">
        <v>708</v>
      </c>
      <c r="D30" s="8" t="s">
        <v>72</v>
      </c>
      <c r="H30" s="5">
        <f>H28-H29</f>
        <v>0</v>
      </c>
      <c r="I30" s="5" t="e">
        <f>I28-I29</f>
        <v>#NAME?</v>
      </c>
    </row>
    <row r="31" customHeight="1" spans="1:9">
      <c r="A31" s="11"/>
      <c r="B31" s="11"/>
      <c r="C31" s="11"/>
      <c r="D31" s="11"/>
    </row>
    <row r="32" customHeight="1" spans="1:9">
      <c r="A32" s="12" t="s">
        <v>13</v>
      </c>
      <c r="B32" s="12" t="s">
        <v>92</v>
      </c>
      <c r="C32" s="12" t="s">
        <v>709</v>
      </c>
      <c r="D32" s="12" t="s">
        <v>94</v>
      </c>
      <c r="H32" s="5">
        <f>H33+H36+H37+H38</f>
        <v>0</v>
      </c>
      <c r="I32" s="5">
        <f>I33+I36+I37+I38</f>
        <v>0</v>
      </c>
    </row>
    <row r="33" customHeight="1" spans="1:9">
      <c r="A33" s="12" t="s">
        <v>17</v>
      </c>
      <c r="B33" s="12" t="s">
        <v>92</v>
      </c>
      <c r="C33" s="12" t="s">
        <v>710</v>
      </c>
      <c r="D33" s="12" t="s">
        <v>711</v>
      </c>
      <c r="H33" s="5">
        <f>H34+H35</f>
        <v>0</v>
      </c>
      <c r="I33" s="5">
        <f>I34+I35</f>
        <v>0</v>
      </c>
    </row>
    <row r="34" customHeight="1" spans="1:9">
      <c r="A34" s="11" t="s">
        <v>20</v>
      </c>
      <c r="B34" s="12" t="s">
        <v>92</v>
      </c>
      <c r="C34" s="11" t="s">
        <v>712</v>
      </c>
      <c r="D34" s="11" t="s">
        <v>713</v>
      </c>
    </row>
    <row r="35" customHeight="1" spans="1:9">
      <c r="A35" s="11" t="s">
        <v>20</v>
      </c>
      <c r="B35" s="12" t="s">
        <v>92</v>
      </c>
      <c r="C35" s="11" t="s">
        <v>714</v>
      </c>
      <c r="D35" s="11" t="s">
        <v>715</v>
      </c>
    </row>
    <row r="36" customHeight="1" spans="1:9">
      <c r="A36" s="12" t="s">
        <v>17</v>
      </c>
      <c r="B36" s="12" t="s">
        <v>92</v>
      </c>
      <c r="C36" s="12" t="s">
        <v>716</v>
      </c>
      <c r="D36" s="12" t="s">
        <v>717</v>
      </c>
    </row>
    <row r="37" customHeight="1" spans="1:9">
      <c r="A37" s="12" t="s">
        <v>17</v>
      </c>
      <c r="B37" s="12" t="s">
        <v>92</v>
      </c>
      <c r="C37" s="12" t="s">
        <v>718</v>
      </c>
      <c r="D37" s="12" t="s">
        <v>100</v>
      </c>
    </row>
    <row r="38" customHeight="1" spans="1:9">
      <c r="A38" s="12" t="s">
        <v>17</v>
      </c>
      <c r="B38" s="12" t="s">
        <v>92</v>
      </c>
      <c r="C38" s="12" t="s">
        <v>719</v>
      </c>
      <c r="D38" s="12" t="s">
        <v>102</v>
      </c>
    </row>
    <row r="39" customHeight="1" spans="1:9">
      <c r="A39" s="12" t="s">
        <v>13</v>
      </c>
      <c r="B39" s="12" t="s">
        <v>201</v>
      </c>
      <c r="C39" s="12" t="s">
        <v>720</v>
      </c>
      <c r="D39" s="12" t="s">
        <v>417</v>
      </c>
      <c r="H39" s="5">
        <f>H40+H43+H44+H45</f>
        <v>0</v>
      </c>
      <c r="I39" s="5">
        <f>I40+I43+I44+I45</f>
        <v>0</v>
      </c>
    </row>
    <row r="40" customHeight="1" spans="1:9">
      <c r="A40" s="12" t="s">
        <v>17</v>
      </c>
      <c r="B40" s="12" t="s">
        <v>201</v>
      </c>
      <c r="C40" s="12" t="s">
        <v>721</v>
      </c>
      <c r="D40" s="12" t="s">
        <v>711</v>
      </c>
      <c r="H40" s="5">
        <f>H41+H42</f>
        <v>0</v>
      </c>
      <c r="I40" s="5">
        <f>I41+I42</f>
        <v>0</v>
      </c>
    </row>
    <row r="41" customHeight="1" spans="1:9">
      <c r="A41" s="11" t="s">
        <v>20</v>
      </c>
      <c r="B41" s="12" t="s">
        <v>201</v>
      </c>
      <c r="C41" s="11" t="s">
        <v>722</v>
      </c>
      <c r="D41" s="11" t="s">
        <v>713</v>
      </c>
    </row>
    <row r="42" customHeight="1" spans="1:9">
      <c r="A42" s="11" t="s">
        <v>20</v>
      </c>
      <c r="B42" s="12" t="s">
        <v>201</v>
      </c>
      <c r="C42" s="11" t="s">
        <v>723</v>
      </c>
      <c r="D42" s="11" t="s">
        <v>715</v>
      </c>
    </row>
    <row r="43" customHeight="1" spans="1:9">
      <c r="A43" s="12" t="s">
        <v>17</v>
      </c>
      <c r="B43" s="12" t="s">
        <v>201</v>
      </c>
      <c r="C43" s="12" t="s">
        <v>724</v>
      </c>
      <c r="D43" s="12" t="s">
        <v>717</v>
      </c>
    </row>
    <row r="44" customHeight="1" spans="1:9">
      <c r="A44" s="12" t="s">
        <v>17</v>
      </c>
      <c r="B44" s="12" t="s">
        <v>201</v>
      </c>
      <c r="C44" s="12" t="s">
        <v>725</v>
      </c>
      <c r="D44" s="12" t="s">
        <v>100</v>
      </c>
    </row>
    <row r="45" customHeight="1" spans="1:9">
      <c r="A45" s="12" t="s">
        <v>17</v>
      </c>
      <c r="B45" s="12" t="s">
        <v>201</v>
      </c>
      <c r="C45" s="12" t="s">
        <v>726</v>
      </c>
      <c r="D45" s="12" t="s">
        <v>102</v>
      </c>
    </row>
    <row r="46" customHeight="1" spans="1:9">
      <c r="A46" s="12"/>
      <c r="B46" s="12"/>
      <c r="C46" s="12"/>
      <c r="D46" s="12"/>
    </row>
    <row r="47" customHeight="1" spans="1:9">
      <c r="A47" s="8" t="s">
        <v>13</v>
      </c>
      <c r="B47" s="1" t="s">
        <v>77</v>
      </c>
      <c r="C47" s="12" t="s">
        <v>727</v>
      </c>
      <c r="D47" s="12" t="s">
        <v>478</v>
      </c>
      <c r="H47" s="5">
        <f>H48</f>
        <v>0</v>
      </c>
      <c r="I47" s="5">
        <f>I48</f>
        <v>0</v>
      </c>
    </row>
    <row r="48" customHeight="1" spans="1:9">
      <c r="A48" s="1" t="s">
        <v>17</v>
      </c>
      <c r="B48" s="1" t="s">
        <v>77</v>
      </c>
      <c r="C48" s="11" t="s">
        <v>728</v>
      </c>
      <c r="D48" s="11" t="s">
        <v>480</v>
      </c>
    </row>
    <row r="49" customHeight="1" spans="1:10">
      <c r="A49" s="8" t="s">
        <v>13</v>
      </c>
      <c r="B49" s="1" t="s">
        <v>182</v>
      </c>
      <c r="C49" s="12" t="s">
        <v>729</v>
      </c>
      <c r="D49" s="12" t="s">
        <v>482</v>
      </c>
      <c r="H49" s="5">
        <f>H50</f>
        <v>0</v>
      </c>
      <c r="I49" s="5">
        <f>I50</f>
        <v>0</v>
      </c>
    </row>
    <row r="50" customHeight="1" spans="1:10">
      <c r="A50" s="1" t="s">
        <v>17</v>
      </c>
      <c r="B50" s="1" t="s">
        <v>182</v>
      </c>
      <c r="C50" s="11" t="s">
        <v>730</v>
      </c>
      <c r="D50" s="11" t="s">
        <v>484</v>
      </c>
    </row>
    <row r="51" customHeight="1" spans="1:10">
      <c r="A51" s="8" t="s">
        <v>13</v>
      </c>
      <c r="B51" s="1" t="s">
        <v>92</v>
      </c>
      <c r="C51" s="12" t="s">
        <v>731</v>
      </c>
      <c r="D51" s="12" t="s">
        <v>486</v>
      </c>
      <c r="H51" s="5">
        <f>H52</f>
        <v>0</v>
      </c>
      <c r="I51" s="5">
        <f>I52</f>
        <v>0</v>
      </c>
    </row>
    <row r="52" customHeight="1" spans="1:10">
      <c r="A52" s="1" t="s">
        <v>17</v>
      </c>
      <c r="B52" s="1" t="s">
        <v>92</v>
      </c>
      <c r="C52" s="11" t="s">
        <v>732</v>
      </c>
      <c r="D52" s="11" t="s">
        <v>488</v>
      </c>
    </row>
    <row r="53" customHeight="1" spans="1:10">
      <c r="A53" s="8" t="s">
        <v>13</v>
      </c>
      <c r="B53" s="1" t="s">
        <v>201</v>
      </c>
      <c r="C53" s="12" t="s">
        <v>733</v>
      </c>
      <c r="D53" s="12" t="s">
        <v>490</v>
      </c>
      <c r="H53" s="5">
        <f>H54</f>
        <v>0</v>
      </c>
      <c r="I53" s="5">
        <f>I54</f>
        <v>0</v>
      </c>
    </row>
    <row r="54" customHeight="1" spans="1:10">
      <c r="A54" s="1" t="s">
        <v>17</v>
      </c>
      <c r="B54" s="1" t="s">
        <v>201</v>
      </c>
      <c r="C54" s="11" t="s">
        <v>734</v>
      </c>
      <c r="D54" s="11" t="s">
        <v>492</v>
      </c>
    </row>
    <row r="55" customHeight="1" spans="1:10">
      <c r="A55" s="12"/>
      <c r="B55" s="12"/>
      <c r="C55" s="12"/>
      <c r="D55" s="12"/>
    </row>
    <row r="56" customHeight="1" spans="1:10">
      <c r="A56" s="8" t="s">
        <v>13</v>
      </c>
      <c r="B56" s="8" t="s">
        <v>14</v>
      </c>
      <c r="C56" s="12" t="s">
        <v>735</v>
      </c>
      <c r="D56" s="12" t="s">
        <v>494</v>
      </c>
      <c r="H56" s="5">
        <f>H57</f>
        <v>0</v>
      </c>
      <c r="I56" s="5">
        <f>I57</f>
        <v>0</v>
      </c>
    </row>
    <row r="57" customHeight="1" spans="1:10">
      <c r="A57" s="8" t="s">
        <v>17</v>
      </c>
      <c r="B57" s="1" t="s">
        <v>14</v>
      </c>
      <c r="C57" s="12" t="s">
        <v>736</v>
      </c>
      <c r="D57" s="12" t="s">
        <v>553</v>
      </c>
      <c r="H57" s="5">
        <f>H58</f>
        <v>0</v>
      </c>
      <c r="I57" s="5">
        <f>I58</f>
        <v>0</v>
      </c>
    </row>
    <row r="58" customHeight="1" spans="1:10">
      <c r="A58" s="8" t="s">
        <v>20</v>
      </c>
      <c r="B58" s="1" t="s">
        <v>14</v>
      </c>
      <c r="C58" s="12" t="s">
        <v>737</v>
      </c>
      <c r="D58" s="12" t="s">
        <v>555</v>
      </c>
      <c r="I58" s="5">
        <f>I50*I59</f>
        <v>0</v>
      </c>
      <c r="J58" s="5" t="s">
        <v>516</v>
      </c>
    </row>
    <row r="59" customHeight="1" spans="1:10">
      <c r="A59" s="1" t="s">
        <v>379</v>
      </c>
      <c r="B59" s="1" t="s">
        <v>103</v>
      </c>
      <c r="C59" s="11" t="s">
        <v>738</v>
      </c>
      <c r="D59" s="11" t="s">
        <v>557</v>
      </c>
      <c r="H59" s="5" t="e">
        <f>H58/H50</f>
        <v>#DIV/0!</v>
      </c>
      <c r="J59" s="5" t="s">
        <v>329</v>
      </c>
    </row>
    <row r="60" customHeight="1" spans="1:10">
      <c r="C60" s="11"/>
      <c r="D60" s="11"/>
    </row>
    <row r="61" customHeight="1" spans="1:10">
      <c r="A61" s="8" t="s">
        <v>13</v>
      </c>
      <c r="B61" s="8" t="s">
        <v>23</v>
      </c>
      <c r="C61" s="12" t="s">
        <v>739</v>
      </c>
      <c r="D61" s="12" t="s">
        <v>559</v>
      </c>
      <c r="H61" s="5">
        <f>H62+H65</f>
        <v>0</v>
      </c>
      <c r="I61" s="5">
        <f>I62+I65</f>
        <v>0</v>
      </c>
    </row>
    <row r="62" customHeight="1" spans="1:10">
      <c r="A62" s="8" t="s">
        <v>17</v>
      </c>
      <c r="B62" s="8" t="s">
        <v>23</v>
      </c>
      <c r="C62" s="12" t="s">
        <v>740</v>
      </c>
      <c r="D62" s="12" t="s">
        <v>571</v>
      </c>
      <c r="H62" s="5">
        <f>H63</f>
        <v>0</v>
      </c>
      <c r="I62" s="5">
        <f>I63</f>
        <v>0</v>
      </c>
    </row>
    <row r="63" customHeight="1" spans="1:10">
      <c r="A63" s="1" t="s">
        <v>20</v>
      </c>
      <c r="B63" s="1" t="s">
        <v>23</v>
      </c>
      <c r="C63" s="11" t="s">
        <v>741</v>
      </c>
      <c r="D63" s="11" t="s">
        <v>573</v>
      </c>
      <c r="I63" s="5">
        <f>I50*I64</f>
        <v>0</v>
      </c>
      <c r="J63" s="5" t="s">
        <v>516</v>
      </c>
    </row>
    <row r="64" customHeight="1" spans="1:10">
      <c r="A64" s="1" t="s">
        <v>379</v>
      </c>
      <c r="B64" s="1" t="s">
        <v>103</v>
      </c>
      <c r="C64" s="11" t="s">
        <v>742</v>
      </c>
      <c r="D64" s="11" t="s">
        <v>575</v>
      </c>
      <c r="H64" s="5" t="e">
        <f>H63/H50</f>
        <v>#DIV/0!</v>
      </c>
      <c r="J64" s="5" t="s">
        <v>329</v>
      </c>
    </row>
    <row r="65" customHeight="1" spans="1:10">
      <c r="A65" s="13" t="s">
        <v>17</v>
      </c>
      <c r="B65" s="13" t="s">
        <v>23</v>
      </c>
      <c r="C65" s="12" t="s">
        <v>743</v>
      </c>
      <c r="D65" s="12" t="s">
        <v>577</v>
      </c>
      <c r="H65" s="5">
        <f>H66+H67</f>
        <v>0</v>
      </c>
      <c r="I65" s="5">
        <f>I66+I67</f>
        <v>0</v>
      </c>
    </row>
    <row r="66" customHeight="1" spans="1:10">
      <c r="A66" s="11" t="s">
        <v>20</v>
      </c>
      <c r="B66" s="11" t="s">
        <v>23</v>
      </c>
      <c r="C66" s="11" t="s">
        <v>744</v>
      </c>
      <c r="D66" s="11" t="s">
        <v>745</v>
      </c>
    </row>
    <row r="67" customHeight="1" spans="1:10">
      <c r="A67" s="11" t="s">
        <v>20</v>
      </c>
      <c r="B67" s="11" t="s">
        <v>23</v>
      </c>
      <c r="C67" s="11" t="s">
        <v>746</v>
      </c>
      <c r="D67" s="11" t="s">
        <v>747</v>
      </c>
    </row>
    <row r="68" customHeight="1" spans="1:10">
      <c r="C68" s="11"/>
      <c r="D68" s="11"/>
    </row>
    <row r="69" customHeight="1" spans="1:10">
      <c r="A69" s="8" t="s">
        <v>13</v>
      </c>
      <c r="B69" s="8" t="s">
        <v>23</v>
      </c>
      <c r="C69" s="12" t="s">
        <v>748</v>
      </c>
      <c r="D69" s="12" t="s">
        <v>581</v>
      </c>
      <c r="H69" s="5">
        <f>H70+H98</f>
        <v>0</v>
      </c>
      <c r="I69" s="5" t="e">
        <f>I70+I98</f>
        <v>#NAME?</v>
      </c>
    </row>
    <row r="70" customHeight="1" spans="1:10">
      <c r="A70" s="8" t="s">
        <v>17</v>
      </c>
      <c r="B70" s="8" t="s">
        <v>23</v>
      </c>
      <c r="C70" s="12" t="s">
        <v>749</v>
      </c>
      <c r="D70" s="12" t="s">
        <v>583</v>
      </c>
      <c r="H70" s="5">
        <f>H71+H89+H93</f>
        <v>0</v>
      </c>
      <c r="I70" s="5" t="e">
        <f>I71+I89+I93</f>
        <v>#NAME?</v>
      </c>
    </row>
    <row r="71" customHeight="1" spans="1:10">
      <c r="A71" s="24" t="s">
        <v>20</v>
      </c>
      <c r="B71" s="24" t="s">
        <v>23</v>
      </c>
      <c r="C71" s="24" t="s">
        <v>750</v>
      </c>
      <c r="D71" s="24" t="s">
        <v>751</v>
      </c>
      <c r="E71" s="6"/>
      <c r="F71" s="6"/>
      <c r="G71" s="6"/>
      <c r="H71" s="6">
        <f>H77+H83</f>
        <v>0</v>
      </c>
      <c r="I71" s="6" t="e">
        <f>I77+I83</f>
        <v>#NAME?</v>
      </c>
      <c r="J71" s="6"/>
    </row>
    <row r="72" customHeight="1" spans="1:10">
      <c r="A72" s="18" t="s">
        <v>379</v>
      </c>
      <c r="B72" s="19" t="s">
        <v>103</v>
      </c>
      <c r="C72" s="18" t="s">
        <v>752</v>
      </c>
      <c r="D72" s="18" t="s">
        <v>753</v>
      </c>
      <c r="E72" s="19"/>
      <c r="F72" s="19"/>
      <c r="G72" s="19"/>
      <c r="H72" s="19" t="e">
        <f>H71/H40</f>
        <v>#DIV/0!</v>
      </c>
      <c r="I72" s="19" t="e">
        <f>I71/I40</f>
        <v>#NAME?</v>
      </c>
      <c r="J72" s="19" t="s">
        <v>329</v>
      </c>
    </row>
    <row r="73" customHeight="1" spans="1:10">
      <c r="A73" s="18" t="s">
        <v>379</v>
      </c>
      <c r="B73" s="18" t="s">
        <v>23</v>
      </c>
      <c r="C73" s="18" t="s">
        <v>754</v>
      </c>
      <c r="D73" s="18" t="s">
        <v>755</v>
      </c>
      <c r="E73" s="19"/>
      <c r="F73" s="19"/>
      <c r="G73" s="19"/>
      <c r="H73" s="19">
        <f>H81+H87</f>
        <v>0</v>
      </c>
      <c r="I73" s="19" t="e">
        <f>I81+I87</f>
        <v>#NAME?</v>
      </c>
      <c r="J73" s="19"/>
    </row>
    <row r="74" customHeight="1" spans="1:10">
      <c r="A74" s="11" t="s">
        <v>457</v>
      </c>
      <c r="B74" s="5" t="s">
        <v>103</v>
      </c>
      <c r="C74" s="11" t="s">
        <v>756</v>
      </c>
      <c r="D74" s="11" t="s">
        <v>757</v>
      </c>
      <c r="H74" s="5" t="e">
        <f>H73/H40</f>
        <v>#DIV/0!</v>
      </c>
      <c r="I74" s="5" t="e">
        <f>I73/I40</f>
        <v>#NAME?</v>
      </c>
      <c r="J74" s="5" t="s">
        <v>329</v>
      </c>
    </row>
    <row r="75" customHeight="1" spans="1:10">
      <c r="A75" s="18" t="s">
        <v>379</v>
      </c>
      <c r="B75" s="18" t="s">
        <v>23</v>
      </c>
      <c r="C75" s="18" t="s">
        <v>758</v>
      </c>
      <c r="D75" s="18" t="s">
        <v>759</v>
      </c>
      <c r="E75" s="19"/>
      <c r="F75" s="19"/>
      <c r="G75" s="19"/>
      <c r="H75" s="19">
        <f>H79+H85</f>
        <v>0</v>
      </c>
      <c r="I75" s="19" t="e">
        <f>I79+I85</f>
        <v>#NAME?</v>
      </c>
      <c r="J75" s="19"/>
    </row>
    <row r="76" customHeight="1" spans="1:10">
      <c r="A76" s="11" t="s">
        <v>457</v>
      </c>
      <c r="B76" s="5" t="s">
        <v>103</v>
      </c>
      <c r="C76" s="11" t="s">
        <v>760</v>
      </c>
      <c r="D76" s="11" t="s">
        <v>761</v>
      </c>
      <c r="H76" s="5" t="e">
        <f>H75/H40</f>
        <v>#DIV/0!</v>
      </c>
      <c r="I76" s="5" t="e">
        <f>I75/I40</f>
        <v>#NAME?</v>
      </c>
      <c r="J76" s="5" t="s">
        <v>329</v>
      </c>
    </row>
    <row r="77" customHeight="1" spans="1:10">
      <c r="A77" s="18" t="s">
        <v>379</v>
      </c>
      <c r="B77" s="18" t="s">
        <v>23</v>
      </c>
      <c r="C77" s="18" t="s">
        <v>762</v>
      </c>
      <c r="D77" s="18" t="s">
        <v>763</v>
      </c>
      <c r="E77" s="19"/>
      <c r="F77" s="19"/>
      <c r="G77" s="19"/>
      <c r="H77" s="19"/>
      <c r="I77" s="19" t="e">
        <f>I79+I81</f>
        <v>#NAME?</v>
      </c>
      <c r="J77" s="19"/>
    </row>
    <row r="78" customHeight="1" spans="1:10">
      <c r="A78" s="11" t="s">
        <v>457</v>
      </c>
      <c r="B78" s="5" t="s">
        <v>103</v>
      </c>
      <c r="C78" s="11" t="s">
        <v>764</v>
      </c>
      <c r="D78" s="11" t="s">
        <v>765</v>
      </c>
      <c r="H78" s="5" t="e">
        <f>H77/H41</f>
        <v>#DIV/0!</v>
      </c>
      <c r="I78" s="5" t="e">
        <f>I77/I41</f>
        <v>#NAME?</v>
      </c>
      <c r="J78" s="5" t="s">
        <v>329</v>
      </c>
    </row>
    <row r="79" customHeight="1" spans="1:10">
      <c r="A79" s="11" t="s">
        <v>457</v>
      </c>
      <c r="B79" s="11" t="s">
        <v>23</v>
      </c>
      <c r="C79" s="11" t="s">
        <v>766</v>
      </c>
      <c r="D79" s="11" t="s">
        <v>767</v>
      </c>
      <c r="H79" s="5">
        <f>H77-H81</f>
        <v>0</v>
      </c>
      <c r="I79" s="5" t="e">
        <f>I41*I80</f>
        <v>#NAME?</v>
      </c>
      <c r="J79" s="5" t="s">
        <v>503</v>
      </c>
    </row>
    <row r="80" customHeight="1" spans="1:10">
      <c r="A80" s="11" t="s">
        <v>457</v>
      </c>
      <c r="B80" s="5" t="s">
        <v>103</v>
      </c>
      <c r="C80" s="11" t="s">
        <v>768</v>
      </c>
      <c r="D80" s="11" t="s">
        <v>769</v>
      </c>
      <c r="H80" s="5" t="e">
        <f>H79/H41</f>
        <v>#DIV/0!</v>
      </c>
      <c r="I80" s="5" t="e" cm="1">
        <f t="array" ref="I80">I150*DAYS_YEAR()/360</f>
        <v>#NAME?</v>
      </c>
      <c r="J80" s="5" t="s">
        <v>543</v>
      </c>
    </row>
    <row r="81" customHeight="1" spans="1:10">
      <c r="A81" s="11" t="s">
        <v>457</v>
      </c>
      <c r="B81" s="11" t="s">
        <v>23</v>
      </c>
      <c r="C81" s="11" t="s">
        <v>770</v>
      </c>
      <c r="D81" s="11" t="s">
        <v>771</v>
      </c>
      <c r="I81" s="5" t="e">
        <f>I41*I82</f>
        <v>#NAME?</v>
      </c>
      <c r="J81" s="5" t="s">
        <v>516</v>
      </c>
    </row>
    <row r="82" customHeight="1" spans="1:10">
      <c r="A82" s="11" t="s">
        <v>457</v>
      </c>
      <c r="B82" s="5" t="s">
        <v>103</v>
      </c>
      <c r="C82" s="11" t="s">
        <v>772</v>
      </c>
      <c r="D82" s="11" t="s">
        <v>773</v>
      </c>
      <c r="H82" s="5" t="e">
        <f>H81/H41</f>
        <v>#DIV/0!</v>
      </c>
      <c r="I82" s="5" t="e" cm="1">
        <f t="array" ref="I82">(I151*DAYS_YEAR()/360*I144+I152*DAYS_YEAR()/360*0.05+I142*MAX(0,MIN(1-I144-0.05,I143))+I145*MAX(0,1-I144-5%-I143)-I80)*0.85</f>
        <v>#NAME?</v>
      </c>
      <c r="J82" s="5" t="s">
        <v>543</v>
      </c>
    </row>
    <row r="83" customHeight="1" spans="1:10">
      <c r="A83" s="18" t="s">
        <v>379</v>
      </c>
      <c r="B83" s="18" t="s">
        <v>23</v>
      </c>
      <c r="C83" s="18" t="s">
        <v>774</v>
      </c>
      <c r="D83" s="18" t="s">
        <v>775</v>
      </c>
      <c r="E83" s="19"/>
      <c r="F83" s="19"/>
      <c r="G83" s="19"/>
      <c r="H83" s="19"/>
      <c r="I83" s="19" t="e">
        <f>I85+I87</f>
        <v>#NAME?</v>
      </c>
      <c r="J83" s="19"/>
    </row>
    <row r="84" customHeight="1" spans="1:10">
      <c r="A84" s="11" t="s">
        <v>457</v>
      </c>
      <c r="B84" s="5" t="s">
        <v>103</v>
      </c>
      <c r="C84" s="11" t="s">
        <v>776</v>
      </c>
      <c r="D84" s="11" t="s">
        <v>777</v>
      </c>
      <c r="H84" s="5" t="e">
        <f>H83/H42</f>
        <v>#DIV/0!</v>
      </c>
      <c r="I84" s="5" t="e">
        <f>I83/I42</f>
        <v>#NAME?</v>
      </c>
      <c r="J84" s="5" t="s">
        <v>329</v>
      </c>
    </row>
    <row r="85" customHeight="1" spans="1:10">
      <c r="A85" s="11" t="s">
        <v>457</v>
      </c>
      <c r="B85" s="11" t="s">
        <v>23</v>
      </c>
      <c r="C85" s="11" t="s">
        <v>778</v>
      </c>
      <c r="D85" s="11" t="s">
        <v>779</v>
      </c>
      <c r="H85" s="5">
        <f>H83-H87</f>
        <v>0</v>
      </c>
      <c r="I85" s="5" t="e">
        <f>I42*I86</f>
        <v>#NAME?</v>
      </c>
      <c r="J85" s="5" t="s">
        <v>503</v>
      </c>
    </row>
    <row r="86" customHeight="1" spans="1:10">
      <c r="A86" s="11" t="s">
        <v>457</v>
      </c>
      <c r="B86" s="5" t="s">
        <v>103</v>
      </c>
      <c r="C86" s="11" t="s">
        <v>780</v>
      </c>
      <c r="D86" s="11" t="s">
        <v>781</v>
      </c>
      <c r="H86" s="5" t="e">
        <f>H85/H42</f>
        <v>#DIV/0!</v>
      </c>
      <c r="I86" s="5" t="e" cm="1">
        <f t="array" ref="I86">I150*DAYS_YEAR()/360</f>
        <v>#NAME?</v>
      </c>
      <c r="J86" s="5" t="s">
        <v>543</v>
      </c>
    </row>
    <row r="87" customHeight="1" spans="1:10">
      <c r="A87" s="11" t="s">
        <v>457</v>
      </c>
      <c r="B87" s="11" t="s">
        <v>23</v>
      </c>
      <c r="C87" s="11" t="s">
        <v>782</v>
      </c>
      <c r="D87" s="11" t="s">
        <v>783</v>
      </c>
      <c r="I87" s="5" t="e">
        <f>I42*I88</f>
        <v>#NAME?</v>
      </c>
      <c r="J87" s="5" t="s">
        <v>516</v>
      </c>
    </row>
    <row r="88" customHeight="1" spans="1:10">
      <c r="A88" s="11" t="s">
        <v>457</v>
      </c>
      <c r="B88" s="5" t="s">
        <v>103</v>
      </c>
      <c r="C88" s="11" t="s">
        <v>784</v>
      </c>
      <c r="D88" s="11" t="s">
        <v>785</v>
      </c>
      <c r="H88" s="5" t="e">
        <f>H87/H42</f>
        <v>#DIV/0!</v>
      </c>
      <c r="I88" s="5" t="e" cm="1">
        <f t="array" ref="I88">(I151*DAYS_YEAR()/360*I144+I152*DAYS_YEAR()/360*(1-I144-I148)+I149*I148-I86)*0.85</f>
        <v>#NAME?</v>
      </c>
      <c r="J88" s="5" t="s">
        <v>543</v>
      </c>
    </row>
    <row r="89" customHeight="1" spans="1:10">
      <c r="A89" s="12" t="s">
        <v>20</v>
      </c>
      <c r="B89" s="12" t="s">
        <v>23</v>
      </c>
      <c r="C89" s="12" t="s">
        <v>786</v>
      </c>
      <c r="D89" s="12" t="s">
        <v>787</v>
      </c>
      <c r="I89" s="5">
        <f>I91*I92</f>
        <v>0</v>
      </c>
      <c r="J89" s="5" t="s">
        <v>516</v>
      </c>
    </row>
    <row r="90" customHeight="1" spans="1:10">
      <c r="A90" s="5" t="s">
        <v>379</v>
      </c>
      <c r="B90" s="5" t="s">
        <v>92</v>
      </c>
      <c r="C90" s="11" t="s">
        <v>788</v>
      </c>
      <c r="D90" s="11" t="s">
        <v>789</v>
      </c>
    </row>
    <row r="91" customHeight="1" spans="1:10">
      <c r="A91" s="5" t="s">
        <v>379</v>
      </c>
      <c r="B91" s="5" t="s">
        <v>201</v>
      </c>
      <c r="C91" s="11" t="s">
        <v>790</v>
      </c>
      <c r="D91" s="11" t="s">
        <v>791</v>
      </c>
    </row>
    <row r="92" customHeight="1" spans="1:10">
      <c r="A92" s="5" t="s">
        <v>379</v>
      </c>
      <c r="B92" s="5" t="s">
        <v>103</v>
      </c>
      <c r="C92" s="11" t="s">
        <v>792</v>
      </c>
      <c r="D92" s="11" t="s">
        <v>793</v>
      </c>
      <c r="H92" s="5" t="e">
        <f>H89/H91</f>
        <v>#DIV/0!</v>
      </c>
      <c r="J92" s="5" t="s">
        <v>329</v>
      </c>
    </row>
    <row r="93" customHeight="1" spans="1:10">
      <c r="A93" s="12" t="s">
        <v>20</v>
      </c>
      <c r="B93" s="12" t="s">
        <v>23</v>
      </c>
      <c r="C93" s="12" t="s">
        <v>794</v>
      </c>
      <c r="D93" s="12" t="s">
        <v>795</v>
      </c>
      <c r="I93" s="5">
        <f>I95*I96</f>
        <v>0</v>
      </c>
      <c r="J93" s="5" t="s">
        <v>516</v>
      </c>
    </row>
    <row r="94" customHeight="1" spans="1:10">
      <c r="A94" s="5" t="s">
        <v>379</v>
      </c>
      <c r="B94" s="5" t="s">
        <v>92</v>
      </c>
      <c r="C94" s="11" t="s">
        <v>796</v>
      </c>
      <c r="D94" s="11" t="s">
        <v>797</v>
      </c>
    </row>
    <row r="95" customHeight="1" spans="1:10">
      <c r="A95" s="5" t="s">
        <v>379</v>
      </c>
      <c r="B95" s="5" t="s">
        <v>201</v>
      </c>
      <c r="C95" s="11" t="s">
        <v>798</v>
      </c>
      <c r="D95" s="11" t="s">
        <v>799</v>
      </c>
    </row>
    <row r="96" customHeight="1" spans="1:10">
      <c r="A96" s="5" t="s">
        <v>379</v>
      </c>
      <c r="B96" s="5" t="s">
        <v>103</v>
      </c>
      <c r="C96" s="11" t="s">
        <v>800</v>
      </c>
      <c r="D96" s="11" t="s">
        <v>801</v>
      </c>
      <c r="H96" s="5" t="e">
        <f>H93/H95</f>
        <v>#DIV/0!</v>
      </c>
      <c r="J96" s="5" t="s">
        <v>329</v>
      </c>
    </row>
    <row r="97" customHeight="1" spans="1:10">
      <c r="A97" s="11"/>
      <c r="B97" s="11"/>
      <c r="C97" s="11"/>
      <c r="D97" s="11"/>
    </row>
    <row r="98" customHeight="1" spans="1:10">
      <c r="A98" s="8" t="s">
        <v>17</v>
      </c>
      <c r="B98" s="8" t="s">
        <v>23</v>
      </c>
      <c r="C98" s="12" t="s">
        <v>802</v>
      </c>
      <c r="D98" s="12" t="s">
        <v>587</v>
      </c>
      <c r="E98" s="13"/>
      <c r="F98" s="13"/>
      <c r="G98" s="13"/>
      <c r="H98" s="13">
        <f>H99</f>
        <v>0</v>
      </c>
      <c r="I98" s="13">
        <f>I99</f>
        <v>0</v>
      </c>
      <c r="J98" s="13"/>
    </row>
    <row r="99" customHeight="1" spans="1:10">
      <c r="A99" s="1" t="s">
        <v>20</v>
      </c>
      <c r="B99" s="1" t="s">
        <v>23</v>
      </c>
      <c r="C99" s="11" t="s">
        <v>803</v>
      </c>
      <c r="D99" s="11" t="s">
        <v>589</v>
      </c>
      <c r="I99" s="5">
        <f>I54*I100</f>
        <v>0</v>
      </c>
      <c r="J99" s="5" t="s">
        <v>516</v>
      </c>
    </row>
    <row r="100" customHeight="1" spans="1:10">
      <c r="A100" s="1" t="s">
        <v>379</v>
      </c>
      <c r="B100" s="1" t="s">
        <v>103</v>
      </c>
      <c r="C100" s="11" t="s">
        <v>804</v>
      </c>
      <c r="D100" s="11" t="s">
        <v>591</v>
      </c>
      <c r="H100" s="5" t="e">
        <f>H99/H54</f>
        <v>#DIV/0!</v>
      </c>
      <c r="J100" s="5" t="s">
        <v>329</v>
      </c>
    </row>
    <row r="101" customHeight="1" spans="1:10">
      <c r="C101" s="11"/>
      <c r="D101" s="11"/>
    </row>
    <row r="102" customHeight="1" spans="1:10">
      <c r="A102" s="8" t="s">
        <v>13</v>
      </c>
      <c r="B102" s="8" t="s">
        <v>14</v>
      </c>
      <c r="C102" s="12" t="s">
        <v>592</v>
      </c>
      <c r="D102" s="12" t="s">
        <v>593</v>
      </c>
      <c r="H102" s="5">
        <f>H103+H117+H120</f>
        <v>0</v>
      </c>
      <c r="I102" s="5" t="e">
        <f>I103+I117+I120</f>
        <v>#NAME?</v>
      </c>
    </row>
    <row r="103" customHeight="1" spans="1:10">
      <c r="A103" s="8" t="s">
        <v>17</v>
      </c>
      <c r="B103" s="8" t="s">
        <v>14</v>
      </c>
      <c r="C103" s="12" t="s">
        <v>594</v>
      </c>
      <c r="D103" s="12" t="s">
        <v>595</v>
      </c>
      <c r="E103" s="13"/>
      <c r="F103" s="13"/>
      <c r="G103" s="13"/>
      <c r="H103" s="13">
        <f>H104+H113+H115</f>
        <v>0</v>
      </c>
      <c r="I103" s="13" t="e">
        <f>I104+I113+I115</f>
        <v>#NAME?</v>
      </c>
      <c r="J103" s="13"/>
    </row>
    <row r="104" customHeight="1" spans="1:10">
      <c r="A104" s="1" t="s">
        <v>20</v>
      </c>
      <c r="B104" s="1" t="s">
        <v>14</v>
      </c>
      <c r="C104" s="11" t="s">
        <v>596</v>
      </c>
      <c r="D104" s="11" t="s">
        <v>805</v>
      </c>
      <c r="H104" s="5">
        <f>H107+H110</f>
        <v>0</v>
      </c>
      <c r="I104" s="5" t="e">
        <f>I107+I110</f>
        <v>#NAME?</v>
      </c>
    </row>
    <row r="105" customHeight="1" spans="1:10">
      <c r="A105" s="17" t="s">
        <v>379</v>
      </c>
      <c r="B105" s="17" t="s">
        <v>103</v>
      </c>
      <c r="C105" s="18" t="s">
        <v>806</v>
      </c>
      <c r="D105" s="18" t="s">
        <v>807</v>
      </c>
      <c r="E105" s="19"/>
      <c r="F105" s="19"/>
      <c r="G105" s="19"/>
      <c r="H105" s="19" t="e">
        <f>H104/H40</f>
        <v>#DIV/0!</v>
      </c>
      <c r="I105" s="19" t="e">
        <f>I104/I40</f>
        <v>#NAME?</v>
      </c>
      <c r="J105" s="19" t="s">
        <v>329</v>
      </c>
    </row>
    <row r="106" customHeight="1" spans="1:10">
      <c r="A106" s="17" t="s">
        <v>379</v>
      </c>
      <c r="B106" s="17" t="s">
        <v>103</v>
      </c>
      <c r="C106" s="18" t="s">
        <v>808</v>
      </c>
      <c r="D106" s="18" t="s">
        <v>809</v>
      </c>
      <c r="E106" s="19"/>
      <c r="F106" s="19"/>
      <c r="G106" s="19"/>
      <c r="H106" s="19" t="e">
        <f>H105-H72</f>
        <v>#DIV/0!</v>
      </c>
      <c r="I106" s="19" t="e">
        <f>I105-I72</f>
        <v>#NAME?</v>
      </c>
      <c r="J106" s="19"/>
    </row>
    <row r="107" customHeight="1" spans="1:10">
      <c r="A107" s="17" t="s">
        <v>379</v>
      </c>
      <c r="B107" s="17" t="s">
        <v>14</v>
      </c>
      <c r="C107" s="18" t="s">
        <v>810</v>
      </c>
      <c r="D107" s="18" t="s">
        <v>811</v>
      </c>
      <c r="E107" s="19"/>
      <c r="F107" s="19"/>
      <c r="G107" s="19"/>
      <c r="H107" s="19"/>
      <c r="I107" s="19" t="e">
        <f>I41*I108</f>
        <v>#NAME?</v>
      </c>
      <c r="J107" s="19" t="s">
        <v>516</v>
      </c>
    </row>
    <row r="108" customHeight="1" spans="1:10">
      <c r="A108" s="1" t="s">
        <v>457</v>
      </c>
      <c r="B108" s="1" t="s">
        <v>103</v>
      </c>
      <c r="C108" s="11" t="s">
        <v>812</v>
      </c>
      <c r="D108" s="11" t="s">
        <v>813</v>
      </c>
      <c r="H108" s="5" t="e">
        <f>H107/H41</f>
        <v>#DIV/0!</v>
      </c>
      <c r="I108" s="5" t="e">
        <f>I78+I109</f>
        <v>#NAME?</v>
      </c>
      <c r="J108" s="5" t="s">
        <v>543</v>
      </c>
    </row>
    <row r="109" customHeight="1" spans="1:10">
      <c r="A109" s="1" t="s">
        <v>457</v>
      </c>
      <c r="B109" s="1" t="s">
        <v>103</v>
      </c>
      <c r="C109" s="11" t="s">
        <v>814</v>
      </c>
      <c r="D109" s="11" t="s">
        <v>815</v>
      </c>
      <c r="H109" s="5" t="e">
        <f>H108-H78</f>
        <v>#DIV/0!</v>
      </c>
    </row>
    <row r="110" customHeight="1" spans="1:10">
      <c r="A110" s="17" t="s">
        <v>379</v>
      </c>
      <c r="B110" s="17" t="s">
        <v>14</v>
      </c>
      <c r="C110" s="18" t="s">
        <v>816</v>
      </c>
      <c r="D110" s="18" t="s">
        <v>817</v>
      </c>
      <c r="E110" s="19"/>
      <c r="F110" s="19"/>
      <c r="G110" s="19"/>
      <c r="H110" s="19"/>
      <c r="I110" s="19" t="e">
        <f>I42*I111</f>
        <v>#NAME?</v>
      </c>
      <c r="J110" s="19" t="s">
        <v>516</v>
      </c>
    </row>
    <row r="111" customHeight="1" spans="1:10">
      <c r="A111" s="1" t="s">
        <v>457</v>
      </c>
      <c r="B111" s="1" t="s">
        <v>103</v>
      </c>
      <c r="C111" s="11" t="s">
        <v>818</v>
      </c>
      <c r="D111" s="11" t="s">
        <v>819</v>
      </c>
      <c r="H111" s="5" t="e">
        <f>H110/H42</f>
        <v>#DIV/0!</v>
      </c>
      <c r="I111" s="5" t="e">
        <f>I84+I112</f>
        <v>#NAME?</v>
      </c>
      <c r="J111" s="5" t="s">
        <v>543</v>
      </c>
    </row>
    <row r="112" customHeight="1" spans="1:10">
      <c r="A112" s="1" t="s">
        <v>457</v>
      </c>
      <c r="B112" s="1" t="s">
        <v>103</v>
      </c>
      <c r="C112" s="11" t="s">
        <v>820</v>
      </c>
      <c r="D112" s="11" t="s">
        <v>821</v>
      </c>
      <c r="H112" s="5" t="e">
        <f>H111-H84</f>
        <v>#DIV/0!</v>
      </c>
    </row>
    <row r="113" customHeight="1" spans="1:10">
      <c r="A113" s="1" t="s">
        <v>20</v>
      </c>
      <c r="B113" s="1" t="s">
        <v>14</v>
      </c>
      <c r="C113" s="11" t="s">
        <v>822</v>
      </c>
      <c r="D113" s="5" t="s">
        <v>823</v>
      </c>
      <c r="I113" s="5">
        <f>I91*I114</f>
        <v>0</v>
      </c>
      <c r="J113" s="5" t="s">
        <v>516</v>
      </c>
    </row>
    <row r="114" customHeight="1" spans="1:10">
      <c r="A114" s="1" t="s">
        <v>379</v>
      </c>
      <c r="B114" s="1" t="s">
        <v>103</v>
      </c>
      <c r="C114" s="11" t="s">
        <v>824</v>
      </c>
      <c r="D114" s="5" t="s">
        <v>825</v>
      </c>
      <c r="H114" s="5" t="e">
        <f>H113/H91</f>
        <v>#DIV/0!</v>
      </c>
      <c r="J114" s="5" t="s">
        <v>329</v>
      </c>
    </row>
    <row r="115" customHeight="1" spans="1:10">
      <c r="A115" s="1" t="s">
        <v>20</v>
      </c>
      <c r="B115" s="1" t="s">
        <v>14</v>
      </c>
      <c r="C115" s="11" t="s">
        <v>826</v>
      </c>
      <c r="D115" s="5" t="s">
        <v>827</v>
      </c>
      <c r="I115" s="5">
        <f>I95*I116</f>
        <v>0</v>
      </c>
      <c r="J115" s="5" t="s">
        <v>516</v>
      </c>
    </row>
    <row r="116" customHeight="1" spans="1:10">
      <c r="A116" s="1" t="s">
        <v>379</v>
      </c>
      <c r="B116" s="1" t="s">
        <v>103</v>
      </c>
      <c r="C116" s="11" t="s">
        <v>828</v>
      </c>
      <c r="D116" s="5" t="s">
        <v>829</v>
      </c>
      <c r="H116" s="5" t="e">
        <f>H115/H95</f>
        <v>#DIV/0!</v>
      </c>
      <c r="J116" s="5" t="s">
        <v>329</v>
      </c>
    </row>
    <row r="117" customHeight="1" spans="1:10">
      <c r="A117" s="13" t="s">
        <v>17</v>
      </c>
      <c r="B117" s="13" t="s">
        <v>14</v>
      </c>
      <c r="C117" s="12" t="s">
        <v>598</v>
      </c>
      <c r="D117" s="13" t="s">
        <v>599</v>
      </c>
      <c r="E117" s="13"/>
      <c r="F117" s="13"/>
      <c r="G117" s="13"/>
      <c r="H117" s="13">
        <f>H118</f>
        <v>0</v>
      </c>
      <c r="I117" s="13">
        <f>I118</f>
        <v>0</v>
      </c>
      <c r="J117" s="13"/>
    </row>
    <row r="118" customHeight="1" spans="1:10">
      <c r="A118" s="5" t="s">
        <v>20</v>
      </c>
      <c r="B118" s="5" t="s">
        <v>14</v>
      </c>
      <c r="C118" s="11" t="s">
        <v>600</v>
      </c>
      <c r="D118" s="5" t="s">
        <v>601</v>
      </c>
      <c r="I118" s="5">
        <f>I54*I119</f>
        <v>0</v>
      </c>
      <c r="J118" s="5" t="s">
        <v>516</v>
      </c>
    </row>
    <row r="119" customHeight="1" spans="1:10">
      <c r="A119" s="5" t="s">
        <v>379</v>
      </c>
      <c r="B119" s="5" t="s">
        <v>103</v>
      </c>
      <c r="C119" s="11" t="s">
        <v>602</v>
      </c>
      <c r="D119" s="5" t="s">
        <v>603</v>
      </c>
      <c r="H119" s="5" t="e">
        <f>H118/H54</f>
        <v>#DIV/0!</v>
      </c>
      <c r="J119" s="5" t="s">
        <v>329</v>
      </c>
    </row>
    <row r="120" customHeight="1" spans="1:10">
      <c r="A120" s="13" t="s">
        <v>17</v>
      </c>
      <c r="B120" s="13" t="s">
        <v>14</v>
      </c>
      <c r="C120" s="12" t="s">
        <v>830</v>
      </c>
      <c r="D120" s="12" t="s">
        <v>831</v>
      </c>
      <c r="E120" s="13"/>
      <c r="F120" s="13"/>
      <c r="G120" s="13"/>
      <c r="H120" s="13">
        <f>H121+H123</f>
        <v>0</v>
      </c>
      <c r="I120" s="13">
        <f>I121+I123</f>
        <v>0</v>
      </c>
      <c r="J120" s="13"/>
    </row>
    <row r="121" customHeight="1" spans="1:10">
      <c r="A121" s="11" t="s">
        <v>20</v>
      </c>
      <c r="B121" s="11" t="s">
        <v>14</v>
      </c>
      <c r="C121" s="11" t="s">
        <v>832</v>
      </c>
      <c r="D121" s="11" t="s">
        <v>833</v>
      </c>
      <c r="I121" s="5">
        <f>I44*I122</f>
        <v>0</v>
      </c>
    </row>
    <row r="122" customHeight="1" spans="1:10">
      <c r="A122" s="11" t="s">
        <v>379</v>
      </c>
      <c r="B122" s="11" t="s">
        <v>103</v>
      </c>
      <c r="C122" s="11" t="s">
        <v>834</v>
      </c>
      <c r="D122" s="11" t="s">
        <v>835</v>
      </c>
      <c r="H122" s="5" t="e">
        <f>H121/H44</f>
        <v>#DIV/0!</v>
      </c>
      <c r="J122" s="5" t="s">
        <v>329</v>
      </c>
    </row>
    <row r="123" customHeight="1" spans="1:10">
      <c r="A123" s="11" t="s">
        <v>20</v>
      </c>
      <c r="B123" s="11" t="s">
        <v>14</v>
      </c>
      <c r="C123" s="11" t="s">
        <v>836</v>
      </c>
      <c r="D123" s="11" t="s">
        <v>837</v>
      </c>
    </row>
    <row r="124" customHeight="1" spans="1:10">
      <c r="A124" s="11"/>
      <c r="B124" s="11"/>
      <c r="C124" s="11"/>
      <c r="D124" s="11"/>
    </row>
    <row r="125" customHeight="1" spans="1:10">
      <c r="A125" s="8" t="s">
        <v>13</v>
      </c>
      <c r="B125" s="1" t="s">
        <v>14</v>
      </c>
      <c r="C125" s="12" t="s">
        <v>838</v>
      </c>
      <c r="D125" s="12" t="s">
        <v>605</v>
      </c>
      <c r="I125" s="5">
        <f>I126+I128</f>
        <v>0</v>
      </c>
    </row>
    <row r="126" customHeight="1" spans="1:10">
      <c r="A126" s="12" t="s">
        <v>17</v>
      </c>
      <c r="B126" s="12" t="s">
        <v>14</v>
      </c>
      <c r="C126" s="12" t="s">
        <v>839</v>
      </c>
      <c r="D126" s="12" t="s">
        <v>840</v>
      </c>
      <c r="I126" s="5">
        <f>I43*I127</f>
        <v>0</v>
      </c>
      <c r="J126" s="5" t="s">
        <v>516</v>
      </c>
    </row>
    <row r="127" customHeight="1" spans="1:10">
      <c r="A127" s="11" t="s">
        <v>20</v>
      </c>
      <c r="B127" s="11" t="s">
        <v>103</v>
      </c>
      <c r="C127" s="11" t="s">
        <v>841</v>
      </c>
      <c r="D127" s="11" t="s">
        <v>842</v>
      </c>
      <c r="H127" s="5" t="e">
        <f>H126/H43</f>
        <v>#DIV/0!</v>
      </c>
      <c r="J127" s="5" t="s">
        <v>329</v>
      </c>
    </row>
    <row r="128" customHeight="1" spans="1:10">
      <c r="A128" s="12" t="s">
        <v>17</v>
      </c>
      <c r="B128" s="12" t="s">
        <v>14</v>
      </c>
      <c r="C128" s="12" t="s">
        <v>843</v>
      </c>
      <c r="D128" s="12" t="s">
        <v>675</v>
      </c>
      <c r="H128" s="5">
        <f>H125-H126</f>
        <v>0</v>
      </c>
    </row>
    <row r="129" customHeight="1" spans="1:10">
      <c r="A129" s="11"/>
      <c r="B129" s="11"/>
      <c r="C129" s="11"/>
      <c r="D129" s="11"/>
    </row>
    <row r="130" customHeight="1" spans="1:10">
      <c r="A130" s="12" t="s">
        <v>13</v>
      </c>
      <c r="B130" s="12" t="s">
        <v>23</v>
      </c>
      <c r="C130" s="12" t="s">
        <v>844</v>
      </c>
      <c r="D130" s="12" t="s">
        <v>637</v>
      </c>
      <c r="I130" s="5">
        <f>I131+I133+I134</f>
        <v>0</v>
      </c>
    </row>
    <row r="131" customHeight="1" spans="1:10">
      <c r="A131" s="12" t="s">
        <v>17</v>
      </c>
      <c r="B131" s="12" t="s">
        <v>23</v>
      </c>
      <c r="C131" s="12" t="s">
        <v>845</v>
      </c>
      <c r="D131" s="12" t="s">
        <v>846</v>
      </c>
      <c r="I131" s="5">
        <f>I126*0.925</f>
        <v>0</v>
      </c>
    </row>
    <row r="132" customHeight="1" spans="1:10">
      <c r="A132" s="11" t="s">
        <v>20</v>
      </c>
      <c r="B132" s="11" t="s">
        <v>103</v>
      </c>
      <c r="C132" s="11" t="s">
        <v>847</v>
      </c>
      <c r="D132" s="11" t="s">
        <v>848</v>
      </c>
      <c r="H132" s="5" t="e">
        <f>H131/H43</f>
        <v>#DIV/0!</v>
      </c>
      <c r="I132" s="5" t="e">
        <f>I131/I43</f>
        <v>#DIV/0!</v>
      </c>
      <c r="J132" s="5" t="s">
        <v>329</v>
      </c>
    </row>
    <row r="133" customHeight="1" spans="1:10">
      <c r="A133" s="12" t="s">
        <v>17</v>
      </c>
      <c r="B133" s="12" t="s">
        <v>23</v>
      </c>
      <c r="C133" s="12" t="s">
        <v>849</v>
      </c>
      <c r="D133" s="12" t="s">
        <v>850</v>
      </c>
      <c r="I133" s="5">
        <f>I44*(1-I144-0.05)*I142*0.85</f>
        <v>0</v>
      </c>
      <c r="J133" s="5" t="s">
        <v>516</v>
      </c>
    </row>
    <row r="134" customHeight="1" spans="1:10">
      <c r="A134" s="12" t="s">
        <v>17</v>
      </c>
      <c r="B134" s="12" t="s">
        <v>23</v>
      </c>
      <c r="C134" s="12" t="s">
        <v>851</v>
      </c>
      <c r="D134" s="12" t="s">
        <v>675</v>
      </c>
      <c r="H134" s="5">
        <f>H130-H131-H133</f>
        <v>0</v>
      </c>
    </row>
    <row r="135" customHeight="1" spans="1:10">
      <c r="A135" s="11"/>
      <c r="B135" s="11"/>
      <c r="C135" s="11"/>
      <c r="D135" s="11"/>
    </row>
    <row r="136" customHeight="1" spans="1:10">
      <c r="A136" s="12" t="s">
        <v>13</v>
      </c>
      <c r="B136" s="12" t="s">
        <v>14</v>
      </c>
      <c r="C136" s="12" t="s">
        <v>852</v>
      </c>
      <c r="D136" s="12" t="s">
        <v>677</v>
      </c>
    </row>
    <row r="137" customHeight="1" spans="1:10">
      <c r="A137" s="11"/>
      <c r="B137" s="11"/>
      <c r="C137" s="11"/>
      <c r="D137" s="11"/>
    </row>
    <row r="138" customHeight="1" spans="1:10">
      <c r="A138" s="12" t="s">
        <v>13</v>
      </c>
      <c r="B138" s="12" t="s">
        <v>14</v>
      </c>
      <c r="C138" s="12" t="s">
        <v>853</v>
      </c>
      <c r="D138" s="12" t="s">
        <v>679</v>
      </c>
    </row>
    <row r="139" customHeight="1" spans="1:10">
      <c r="A139" s="11"/>
      <c r="B139" s="11"/>
      <c r="C139" s="11"/>
      <c r="D139" s="11"/>
    </row>
    <row r="140" customHeight="1" spans="1:10">
      <c r="A140" s="11"/>
      <c r="B140" s="11"/>
      <c r="C140" s="11"/>
      <c r="D140" s="11"/>
    </row>
    <row r="141" customHeight="1" spans="1:10">
      <c r="A141" s="12" t="s">
        <v>13</v>
      </c>
      <c r="B141" s="12"/>
      <c r="C141" s="12" t="s">
        <v>854</v>
      </c>
      <c r="D141" s="12" t="s">
        <v>855</v>
      </c>
    </row>
    <row r="142" customHeight="1" spans="1:10">
      <c r="A142" s="11" t="s">
        <v>17</v>
      </c>
      <c r="B142" s="11" t="s">
        <v>103</v>
      </c>
      <c r="C142" s="11" t="s">
        <v>856</v>
      </c>
      <c r="D142" s="11" t="s">
        <v>857</v>
      </c>
    </row>
    <row r="143" customHeight="1" spans="1:10">
      <c r="A143" s="11" t="s">
        <v>17</v>
      </c>
      <c r="B143" s="11" t="s">
        <v>103</v>
      </c>
      <c r="C143" s="11" t="s">
        <v>858</v>
      </c>
      <c r="D143" s="11" t="s">
        <v>859</v>
      </c>
    </row>
    <row r="144" customHeight="1" spans="1:10">
      <c r="A144" s="11" t="s">
        <v>17</v>
      </c>
      <c r="B144" s="11" t="s">
        <v>103</v>
      </c>
      <c r="C144" s="11" t="s">
        <v>860</v>
      </c>
      <c r="D144" s="11" t="s">
        <v>861</v>
      </c>
    </row>
    <row r="145" customHeight="1" spans="1:10">
      <c r="A145" s="11" t="s">
        <v>17</v>
      </c>
      <c r="B145" s="11" t="s">
        <v>103</v>
      </c>
      <c r="C145" s="11" t="s">
        <v>862</v>
      </c>
      <c r="D145" s="11" t="s">
        <v>863</v>
      </c>
      <c r="H145" s="5" t="e">
        <f>H146/H147</f>
        <v>#DIV/0!</v>
      </c>
      <c r="I145" s="5" t="e">
        <f>I146/I147</f>
        <v>#DIV/0!</v>
      </c>
      <c r="J145" s="5" t="s">
        <v>329</v>
      </c>
    </row>
    <row r="146" customHeight="1" spans="1:10">
      <c r="A146" s="11" t="s">
        <v>20</v>
      </c>
      <c r="B146" s="11" t="s">
        <v>14</v>
      </c>
      <c r="C146" s="11" t="s">
        <v>864</v>
      </c>
      <c r="D146" s="11" t="s">
        <v>865</v>
      </c>
    </row>
    <row r="147" customHeight="1" spans="1:10">
      <c r="A147" s="11" t="s">
        <v>20</v>
      </c>
      <c r="B147" s="11" t="s">
        <v>182</v>
      </c>
      <c r="C147" s="11" t="s">
        <v>866</v>
      </c>
      <c r="D147" s="11" t="s">
        <v>867</v>
      </c>
    </row>
    <row r="148" customHeight="1" spans="1:10">
      <c r="A148" s="11" t="s">
        <v>17</v>
      </c>
      <c r="B148" s="11" t="s">
        <v>103</v>
      </c>
      <c r="C148" s="11" t="s">
        <v>868</v>
      </c>
      <c r="D148" s="11" t="s">
        <v>869</v>
      </c>
    </row>
    <row r="149" customHeight="1" spans="1:10">
      <c r="A149" s="11" t="s">
        <v>17</v>
      </c>
      <c r="B149" s="11" t="s">
        <v>103</v>
      </c>
      <c r="C149" s="11" t="s">
        <v>870</v>
      </c>
      <c r="D149" s="11" t="s">
        <v>871</v>
      </c>
    </row>
    <row r="150" customHeight="1" spans="1:10">
      <c r="A150" s="11" t="s">
        <v>17</v>
      </c>
      <c r="B150" s="5" t="s">
        <v>103</v>
      </c>
      <c r="C150" s="11" t="s">
        <v>872</v>
      </c>
      <c r="D150" s="5" t="s">
        <v>873</v>
      </c>
    </row>
    <row r="151" customHeight="1" spans="1:10">
      <c r="A151" s="11" t="s">
        <v>17</v>
      </c>
      <c r="B151" s="5" t="s">
        <v>103</v>
      </c>
      <c r="C151" s="11" t="s">
        <v>874</v>
      </c>
      <c r="D151" s="5" t="s">
        <v>875</v>
      </c>
    </row>
    <row r="152" customHeight="1" spans="1:10">
      <c r="A152" s="11" t="s">
        <v>17</v>
      </c>
      <c r="B152" s="5" t="s">
        <v>103</v>
      </c>
      <c r="C152" s="11" t="s">
        <v>876</v>
      </c>
      <c r="D152" s="5" t="s">
        <v>877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5"/>
  <sheetViews>
    <sheetView workbookViewId="0">
      <pane xSplit="4" ySplit="1" topLeftCell="E41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customHeight="1"/>
  <cols>
    <col min="1" max="2" width="8.66071428571429" style="5"/>
    <col min="3" max="3" width="11" style="5" customWidth="1"/>
    <col min="4" max="4" width="17.5" style="5" customWidth="1"/>
    <col min="5" max="9" width="8.66071428571429" style="5"/>
    <col min="10" max="10" width="10.1607142857143" style="5" customWidth="1"/>
    <col min="11" max="16384" width="8.66071428571429" style="5"/>
  </cols>
  <sheetData>
    <row r="1" s="1" customFormat="1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7"/>
      <c r="O1" s="7"/>
    </row>
    <row r="2" customHeight="1" spans="1:15">
      <c r="A2" s="8" t="s">
        <v>13</v>
      </c>
      <c r="B2" s="1" t="s">
        <v>14</v>
      </c>
      <c r="C2" s="9" t="s">
        <v>878</v>
      </c>
      <c r="D2" s="8" t="s">
        <v>16</v>
      </c>
      <c r="H2" s="5">
        <f>H3+H6+H7</f>
        <v>0</v>
      </c>
      <c r="I2" s="5">
        <f>I3+I6+I7</f>
        <v>0</v>
      </c>
    </row>
    <row r="3" customHeight="1" spans="1:15">
      <c r="A3" s="1" t="s">
        <v>17</v>
      </c>
      <c r="B3" s="1" t="s">
        <v>14</v>
      </c>
      <c r="C3" s="9" t="s">
        <v>879</v>
      </c>
      <c r="D3" s="8" t="s">
        <v>19</v>
      </c>
      <c r="H3" s="5">
        <f>H4+H5</f>
        <v>0</v>
      </c>
      <c r="I3" s="5">
        <f>I4+I5</f>
        <v>0</v>
      </c>
    </row>
    <row r="4" customHeight="1" spans="1:15">
      <c r="A4" s="1" t="s">
        <v>20</v>
      </c>
      <c r="B4" s="1" t="s">
        <v>14</v>
      </c>
      <c r="C4" s="10" t="s">
        <v>880</v>
      </c>
      <c r="D4" s="1" t="s">
        <v>349</v>
      </c>
      <c r="H4" s="5">
        <f>H53-H57</f>
        <v>0</v>
      </c>
      <c r="I4" s="5">
        <f>I53-I57</f>
        <v>0</v>
      </c>
    </row>
    <row r="5" customHeight="1" spans="1:15">
      <c r="A5" s="1" t="s">
        <v>20</v>
      </c>
      <c r="B5" s="1" t="s">
        <v>14</v>
      </c>
      <c r="C5" s="10" t="s">
        <v>881</v>
      </c>
      <c r="D5" s="1" t="s">
        <v>354</v>
      </c>
      <c r="H5" s="5">
        <f>H70-H63</f>
        <v>0</v>
      </c>
      <c r="I5" s="5">
        <f>I70-I63</f>
        <v>0</v>
      </c>
    </row>
    <row r="6" customHeight="1" spans="1:15">
      <c r="A6" s="1" t="s">
        <v>17</v>
      </c>
      <c r="B6" s="1" t="s">
        <v>14</v>
      </c>
      <c r="C6" s="9" t="s">
        <v>882</v>
      </c>
      <c r="D6" s="8" t="s">
        <v>427</v>
      </c>
      <c r="H6" s="5">
        <f>H82-H88</f>
        <v>0</v>
      </c>
      <c r="I6" s="5">
        <f>I82-I88</f>
        <v>0</v>
      </c>
    </row>
    <row r="7" customHeight="1" spans="1:15">
      <c r="A7" s="1" t="s">
        <v>17</v>
      </c>
      <c r="B7" s="1" t="s">
        <v>14</v>
      </c>
      <c r="C7" s="9" t="s">
        <v>883</v>
      </c>
      <c r="D7" s="8" t="s">
        <v>33</v>
      </c>
      <c r="H7" s="5">
        <f>H102+H104</f>
        <v>0</v>
      </c>
      <c r="I7" s="5">
        <f>I102+I104</f>
        <v>0</v>
      </c>
    </row>
    <row r="8" customHeight="1" spans="1:15">
      <c r="A8" s="8" t="s">
        <v>13</v>
      </c>
      <c r="B8" s="1" t="s">
        <v>23</v>
      </c>
      <c r="C8" s="9" t="s">
        <v>884</v>
      </c>
      <c r="D8" s="8" t="s">
        <v>363</v>
      </c>
    </row>
    <row r="9" customHeight="1" spans="1:15">
      <c r="A9" s="8" t="s">
        <v>13</v>
      </c>
      <c r="B9" s="1" t="s">
        <v>14</v>
      </c>
      <c r="C9" s="9" t="s">
        <v>885</v>
      </c>
      <c r="D9" s="8" t="s">
        <v>45</v>
      </c>
      <c r="H9" s="5">
        <f>H2-H8</f>
        <v>0</v>
      </c>
      <c r="I9" s="5">
        <f>I2-I8</f>
        <v>0</v>
      </c>
    </row>
    <row r="10" customHeight="1" spans="1:15">
      <c r="A10" s="8" t="s">
        <v>13</v>
      </c>
      <c r="B10" s="1" t="s">
        <v>23</v>
      </c>
      <c r="C10" s="9" t="s">
        <v>886</v>
      </c>
      <c r="D10" s="8" t="s">
        <v>47</v>
      </c>
    </row>
    <row r="11" customHeight="1" spans="1:15">
      <c r="A11" s="8" t="s">
        <v>13</v>
      </c>
      <c r="B11" s="1" t="s">
        <v>23</v>
      </c>
      <c r="C11" s="9" t="s">
        <v>887</v>
      </c>
      <c r="D11" s="8" t="s">
        <v>367</v>
      </c>
      <c r="H11" s="5">
        <f>H12+H15+H18+H25+H26</f>
        <v>0</v>
      </c>
      <c r="I11" s="5">
        <f>I12+I15+I18+I25+I26</f>
        <v>0</v>
      </c>
    </row>
    <row r="12" customHeight="1" spans="1:15">
      <c r="A12" s="1" t="s">
        <v>17</v>
      </c>
      <c r="B12" s="1" t="s">
        <v>23</v>
      </c>
      <c r="C12" s="9" t="s">
        <v>888</v>
      </c>
      <c r="D12" s="8" t="s">
        <v>369</v>
      </c>
      <c r="H12" s="5">
        <f>H13+H14</f>
        <v>0</v>
      </c>
      <c r="I12" s="5">
        <f>I13+I14</f>
        <v>0</v>
      </c>
    </row>
    <row r="13" customHeight="1" spans="1:15">
      <c r="A13" s="1" t="s">
        <v>20</v>
      </c>
      <c r="B13" s="1" t="s">
        <v>23</v>
      </c>
      <c r="C13" s="10" t="s">
        <v>889</v>
      </c>
      <c r="D13" s="1" t="s">
        <v>53</v>
      </c>
    </row>
    <row r="14" customHeight="1" spans="1:15">
      <c r="A14" s="1" t="s">
        <v>20</v>
      </c>
      <c r="B14" s="1" t="s">
        <v>23</v>
      </c>
      <c r="C14" s="10" t="s">
        <v>890</v>
      </c>
      <c r="D14" s="1" t="s">
        <v>372</v>
      </c>
    </row>
    <row r="15" customHeight="1" spans="1:15">
      <c r="A15" s="1" t="s">
        <v>17</v>
      </c>
      <c r="B15" s="1" t="s">
        <v>23</v>
      </c>
      <c r="C15" s="9" t="s">
        <v>891</v>
      </c>
      <c r="D15" s="8" t="s">
        <v>59</v>
      </c>
      <c r="H15" s="5">
        <f>H16+H17</f>
        <v>0</v>
      </c>
      <c r="I15" s="5">
        <f>I16+I17</f>
        <v>0</v>
      </c>
    </row>
    <row r="16" customHeight="1" spans="1:15">
      <c r="A16" s="1" t="s">
        <v>20</v>
      </c>
      <c r="B16" s="1" t="s">
        <v>23</v>
      </c>
      <c r="C16" s="10" t="s">
        <v>892</v>
      </c>
      <c r="D16" s="1" t="s">
        <v>61</v>
      </c>
    </row>
    <row r="17" customHeight="1" spans="1:9">
      <c r="A17" s="1" t="s">
        <v>20</v>
      </c>
      <c r="B17" s="1" t="s">
        <v>23</v>
      </c>
      <c r="C17" s="10" t="s">
        <v>893</v>
      </c>
      <c r="D17" s="1" t="s">
        <v>63</v>
      </c>
    </row>
    <row r="18" customHeight="1" spans="1:9">
      <c r="A18" s="1" t="s">
        <v>17</v>
      </c>
      <c r="B18" s="1" t="s">
        <v>23</v>
      </c>
      <c r="C18" s="9" t="s">
        <v>894</v>
      </c>
      <c r="D18" s="8" t="s">
        <v>65</v>
      </c>
      <c r="H18" s="5">
        <f>H19+H22+H23+H24</f>
        <v>0</v>
      </c>
      <c r="I18" s="5">
        <f>I19+I22+I23+I24</f>
        <v>0</v>
      </c>
    </row>
    <row r="19" customHeight="1" spans="1:9">
      <c r="A19" s="1" t="s">
        <v>20</v>
      </c>
      <c r="B19" s="1" t="s">
        <v>23</v>
      </c>
      <c r="C19" s="10" t="s">
        <v>895</v>
      </c>
      <c r="D19" s="1" t="s">
        <v>378</v>
      </c>
      <c r="H19" s="5">
        <f>H20+H21</f>
        <v>0</v>
      </c>
      <c r="I19" s="5">
        <f>I20+I21</f>
        <v>0</v>
      </c>
    </row>
    <row r="20" customHeight="1" spans="1:9">
      <c r="A20" s="1" t="s">
        <v>379</v>
      </c>
      <c r="B20" s="1" t="s">
        <v>23</v>
      </c>
      <c r="C20" s="10" t="s">
        <v>896</v>
      </c>
      <c r="D20" s="1" t="s">
        <v>381</v>
      </c>
    </row>
    <row r="21" customHeight="1" spans="1:9">
      <c r="A21" s="1" t="s">
        <v>379</v>
      </c>
      <c r="B21" s="1" t="s">
        <v>23</v>
      </c>
      <c r="C21" s="10" t="s">
        <v>897</v>
      </c>
      <c r="D21" s="1" t="s">
        <v>383</v>
      </c>
    </row>
    <row r="22" customHeight="1" spans="1:9">
      <c r="A22" s="1" t="s">
        <v>20</v>
      </c>
      <c r="B22" s="1" t="s">
        <v>23</v>
      </c>
      <c r="C22" s="10" t="s">
        <v>898</v>
      </c>
      <c r="D22" s="1" t="s">
        <v>385</v>
      </c>
    </row>
    <row r="23" customHeight="1" spans="1:9">
      <c r="A23" s="1" t="s">
        <v>20</v>
      </c>
      <c r="B23" s="1" t="s">
        <v>23</v>
      </c>
      <c r="C23" s="10" t="s">
        <v>899</v>
      </c>
      <c r="D23" s="1" t="s">
        <v>387</v>
      </c>
    </row>
    <row r="24" customHeight="1" spans="1:9">
      <c r="A24" s="1" t="s">
        <v>20</v>
      </c>
      <c r="B24" s="1" t="s">
        <v>23</v>
      </c>
      <c r="C24" s="10" t="s">
        <v>900</v>
      </c>
      <c r="D24" s="1" t="s">
        <v>389</v>
      </c>
    </row>
    <row r="25" customHeight="1" spans="1:9">
      <c r="A25" s="1" t="s">
        <v>17</v>
      </c>
      <c r="B25" s="1" t="s">
        <v>23</v>
      </c>
      <c r="C25" s="9" t="s">
        <v>901</v>
      </c>
      <c r="D25" s="8" t="s">
        <v>391</v>
      </c>
    </row>
    <row r="26" customHeight="1" spans="1:9">
      <c r="A26" s="1" t="s">
        <v>17</v>
      </c>
      <c r="B26" s="1" t="s">
        <v>23</v>
      </c>
      <c r="C26" s="9" t="s">
        <v>902</v>
      </c>
      <c r="D26" s="8" t="s">
        <v>67</v>
      </c>
    </row>
    <row r="27" customHeight="1" spans="1:9">
      <c r="A27" s="8" t="s">
        <v>13</v>
      </c>
      <c r="B27" s="1" t="s">
        <v>14</v>
      </c>
      <c r="C27" s="9" t="s">
        <v>903</v>
      </c>
      <c r="D27" s="8" t="s">
        <v>69</v>
      </c>
    </row>
    <row r="28" customHeight="1" spans="1:9">
      <c r="A28" s="8" t="s">
        <v>13</v>
      </c>
      <c r="B28" s="1" t="s">
        <v>70</v>
      </c>
      <c r="C28" s="9" t="s">
        <v>904</v>
      </c>
      <c r="D28" s="8" t="s">
        <v>395</v>
      </c>
      <c r="H28" s="5">
        <f>H9-H10-H11+H27</f>
        <v>0</v>
      </c>
      <c r="I28" s="5">
        <f>I9-I10-I11+I27</f>
        <v>0</v>
      </c>
    </row>
    <row r="29" customHeight="1" spans="1:9">
      <c r="A29" s="8" t="s">
        <v>13</v>
      </c>
      <c r="B29" s="1" t="s">
        <v>23</v>
      </c>
      <c r="C29" s="9" t="s">
        <v>905</v>
      </c>
      <c r="D29" s="8" t="s">
        <v>397</v>
      </c>
    </row>
    <row r="30" customHeight="1" spans="1:9">
      <c r="A30" s="8" t="s">
        <v>13</v>
      </c>
      <c r="B30" s="1" t="s">
        <v>70</v>
      </c>
      <c r="C30" s="9" t="s">
        <v>906</v>
      </c>
      <c r="D30" s="8" t="s">
        <v>72</v>
      </c>
      <c r="H30" s="5">
        <f>H28-H29</f>
        <v>0</v>
      </c>
      <c r="I30" s="5">
        <f>I28-I29</f>
        <v>0</v>
      </c>
    </row>
    <row r="31" customHeight="1" spans="1:9">
      <c r="A31" s="11"/>
      <c r="B31" s="11"/>
      <c r="C31" s="11"/>
      <c r="D31" s="11"/>
    </row>
    <row r="32" customHeight="1" spans="1:9">
      <c r="A32" s="8" t="s">
        <v>13</v>
      </c>
      <c r="B32" s="8" t="s">
        <v>77</v>
      </c>
      <c r="C32" s="12" t="s">
        <v>907</v>
      </c>
      <c r="D32" s="12" t="s">
        <v>908</v>
      </c>
      <c r="H32" s="5">
        <f>H33+H35+H36</f>
        <v>0</v>
      </c>
      <c r="I32" s="5">
        <f>I33+I35+I36</f>
        <v>0</v>
      </c>
    </row>
    <row r="33" customHeight="1" spans="1:9">
      <c r="A33" s="1" t="s">
        <v>17</v>
      </c>
      <c r="B33" s="8" t="s">
        <v>77</v>
      </c>
      <c r="C33" s="11" t="s">
        <v>909</v>
      </c>
      <c r="D33" s="11" t="s">
        <v>407</v>
      </c>
      <c r="H33" s="5">
        <f>H34</f>
        <v>0</v>
      </c>
      <c r="I33" s="5">
        <f>I34</f>
        <v>0</v>
      </c>
    </row>
    <row r="34" customHeight="1" spans="1:9">
      <c r="A34" s="1" t="s">
        <v>20</v>
      </c>
      <c r="B34" s="8" t="s">
        <v>77</v>
      </c>
      <c r="C34" s="11" t="s">
        <v>910</v>
      </c>
      <c r="D34" s="11" t="s">
        <v>83</v>
      </c>
    </row>
    <row r="35" customHeight="1" spans="1:9">
      <c r="A35" s="1" t="s">
        <v>17</v>
      </c>
      <c r="B35" s="8" t="s">
        <v>77</v>
      </c>
      <c r="C35" s="11" t="s">
        <v>911</v>
      </c>
      <c r="D35" s="11" t="s">
        <v>87</v>
      </c>
    </row>
    <row r="36" customHeight="1" spans="1:9">
      <c r="A36" s="1" t="s">
        <v>17</v>
      </c>
      <c r="B36" s="8" t="s">
        <v>77</v>
      </c>
      <c r="C36" s="11" t="s">
        <v>912</v>
      </c>
      <c r="D36" s="11" t="s">
        <v>89</v>
      </c>
    </row>
    <row r="37" customHeight="1" spans="1:9">
      <c r="A37" s="8" t="s">
        <v>13</v>
      </c>
      <c r="B37" s="8" t="s">
        <v>182</v>
      </c>
      <c r="C37" s="12" t="s">
        <v>913</v>
      </c>
      <c r="D37" s="12" t="s">
        <v>405</v>
      </c>
      <c r="H37" s="5">
        <f>H38+H40+H41</f>
        <v>0</v>
      </c>
      <c r="I37" s="5">
        <f>I38+I40+I41</f>
        <v>0</v>
      </c>
    </row>
    <row r="38" customHeight="1" spans="1:9">
      <c r="A38" s="1" t="s">
        <v>17</v>
      </c>
      <c r="B38" s="8" t="s">
        <v>182</v>
      </c>
      <c r="C38" s="11" t="s">
        <v>914</v>
      </c>
      <c r="D38" s="11" t="s">
        <v>407</v>
      </c>
      <c r="H38" s="5">
        <f>H39</f>
        <v>0</v>
      </c>
      <c r="I38" s="5">
        <f>I39</f>
        <v>0</v>
      </c>
    </row>
    <row r="39" customHeight="1" spans="1:9">
      <c r="A39" s="1" t="s">
        <v>20</v>
      </c>
      <c r="B39" s="8" t="s">
        <v>182</v>
      </c>
      <c r="C39" s="11" t="s">
        <v>915</v>
      </c>
      <c r="D39" s="11" t="s">
        <v>83</v>
      </c>
    </row>
    <row r="40" customHeight="1" spans="1:9">
      <c r="A40" s="1" t="s">
        <v>17</v>
      </c>
      <c r="B40" s="8" t="s">
        <v>182</v>
      </c>
      <c r="C40" s="11" t="s">
        <v>916</v>
      </c>
      <c r="D40" s="11" t="s">
        <v>87</v>
      </c>
    </row>
    <row r="41" customHeight="1" spans="1:9">
      <c r="A41" s="1" t="s">
        <v>17</v>
      </c>
      <c r="B41" s="8" t="s">
        <v>182</v>
      </c>
      <c r="C41" s="11" t="s">
        <v>917</v>
      </c>
      <c r="D41" s="11" t="s">
        <v>89</v>
      </c>
    </row>
    <row r="42" customHeight="1" spans="1:9">
      <c r="A42" s="1"/>
      <c r="B42" s="8"/>
      <c r="C42" s="11"/>
      <c r="D42" s="11"/>
    </row>
    <row r="43" customHeight="1" spans="1:9">
      <c r="A43" s="8" t="s">
        <v>13</v>
      </c>
      <c r="B43" s="1" t="s">
        <v>92</v>
      </c>
      <c r="C43" s="12" t="s">
        <v>918</v>
      </c>
      <c r="D43" s="12" t="s">
        <v>94</v>
      </c>
      <c r="H43" s="5">
        <f>H44</f>
        <v>0</v>
      </c>
      <c r="I43" s="5">
        <f>I44</f>
        <v>0</v>
      </c>
    </row>
    <row r="44" customHeight="1" spans="1:9">
      <c r="A44" s="8" t="s">
        <v>17</v>
      </c>
      <c r="B44" s="1" t="s">
        <v>92</v>
      </c>
      <c r="C44" s="12" t="s">
        <v>919</v>
      </c>
      <c r="D44" s="12" t="s">
        <v>474</v>
      </c>
    </row>
    <row r="45" customHeight="1" spans="1:9">
      <c r="A45" s="8" t="s">
        <v>13</v>
      </c>
      <c r="B45" s="1" t="s">
        <v>201</v>
      </c>
      <c r="C45" s="12" t="s">
        <v>920</v>
      </c>
      <c r="D45" s="12" t="s">
        <v>417</v>
      </c>
      <c r="H45" s="5">
        <f>H46</f>
        <v>0</v>
      </c>
      <c r="I45" s="5">
        <f>I46</f>
        <v>0</v>
      </c>
    </row>
    <row r="46" customHeight="1" spans="1:9">
      <c r="A46" s="8" t="s">
        <v>17</v>
      </c>
      <c r="B46" s="1" t="s">
        <v>201</v>
      </c>
      <c r="C46" s="12" t="s">
        <v>921</v>
      </c>
      <c r="D46" s="12" t="s">
        <v>474</v>
      </c>
    </row>
    <row r="47" customHeight="1" spans="1:9">
      <c r="A47" s="8"/>
      <c r="B47" s="1"/>
      <c r="C47" s="12"/>
      <c r="D47" s="12"/>
    </row>
    <row r="48" customHeight="1" spans="1:9">
      <c r="A48" s="8" t="s">
        <v>13</v>
      </c>
      <c r="B48" s="1" t="s">
        <v>92</v>
      </c>
      <c r="C48" s="12" t="s">
        <v>922</v>
      </c>
      <c r="D48" s="12" t="s">
        <v>486</v>
      </c>
      <c r="H48" s="5">
        <f>H49</f>
        <v>0</v>
      </c>
      <c r="I48" s="5">
        <f>I49</f>
        <v>0</v>
      </c>
    </row>
    <row r="49" customHeight="1" spans="1:10">
      <c r="A49" s="1" t="s">
        <v>17</v>
      </c>
      <c r="B49" s="1" t="s">
        <v>92</v>
      </c>
      <c r="C49" s="11" t="s">
        <v>923</v>
      </c>
      <c r="D49" s="11" t="s">
        <v>924</v>
      </c>
    </row>
    <row r="50" customHeight="1" spans="1:10">
      <c r="A50" s="8" t="s">
        <v>13</v>
      </c>
      <c r="B50" s="1" t="s">
        <v>201</v>
      </c>
      <c r="C50" s="12" t="s">
        <v>925</v>
      </c>
      <c r="D50" s="12" t="s">
        <v>490</v>
      </c>
      <c r="H50" s="5">
        <f>H51</f>
        <v>0</v>
      </c>
      <c r="I50" s="5">
        <f>I51</f>
        <v>0</v>
      </c>
    </row>
    <row r="51" customHeight="1" spans="1:10">
      <c r="A51" s="1" t="s">
        <v>17</v>
      </c>
      <c r="B51" s="1" t="s">
        <v>201</v>
      </c>
      <c r="C51" s="11" t="s">
        <v>926</v>
      </c>
      <c r="D51" s="11" t="s">
        <v>927</v>
      </c>
    </row>
    <row r="52" customHeight="1" spans="1:10">
      <c r="A52" s="8"/>
      <c r="B52" s="1"/>
      <c r="C52" s="12"/>
      <c r="D52" s="12"/>
    </row>
    <row r="53" customHeight="1" spans="1:10">
      <c r="A53" s="12" t="s">
        <v>13</v>
      </c>
      <c r="B53" s="12" t="s">
        <v>14</v>
      </c>
      <c r="C53" s="12" t="s">
        <v>928</v>
      </c>
      <c r="D53" s="12" t="s">
        <v>494</v>
      </c>
      <c r="H53" s="5">
        <f>H54</f>
        <v>0</v>
      </c>
      <c r="I53" s="5">
        <f>I54</f>
        <v>0</v>
      </c>
    </row>
    <row r="54" customHeight="1" spans="1:10">
      <c r="A54" s="12" t="s">
        <v>17</v>
      </c>
      <c r="B54" s="12" t="s">
        <v>14</v>
      </c>
      <c r="C54" s="12" t="s">
        <v>929</v>
      </c>
      <c r="D54" s="12" t="s">
        <v>496</v>
      </c>
      <c r="I54" s="5">
        <f>I38*I55</f>
        <v>0</v>
      </c>
      <c r="J54" s="5" t="s">
        <v>516</v>
      </c>
    </row>
    <row r="55" customHeight="1" spans="1:10">
      <c r="A55" s="1" t="s">
        <v>20</v>
      </c>
      <c r="B55" s="1" t="s">
        <v>103</v>
      </c>
      <c r="C55" s="11" t="s">
        <v>930</v>
      </c>
      <c r="D55" s="11" t="s">
        <v>931</v>
      </c>
      <c r="H55" s="5" t="e">
        <f>H54/H38</f>
        <v>#DIV/0!</v>
      </c>
      <c r="J55" s="5" t="s">
        <v>329</v>
      </c>
    </row>
    <row r="56" customHeight="1" spans="1:10">
      <c r="A56" s="1"/>
      <c r="B56" s="1"/>
      <c r="C56" s="11"/>
      <c r="D56" s="11"/>
    </row>
    <row r="57" customHeight="1" spans="1:10">
      <c r="A57" s="8" t="s">
        <v>13</v>
      </c>
      <c r="B57" s="8" t="s">
        <v>23</v>
      </c>
      <c r="C57" s="12" t="s">
        <v>932</v>
      </c>
      <c r="D57" s="12" t="s">
        <v>559</v>
      </c>
      <c r="E57" s="13"/>
      <c r="F57" s="13"/>
      <c r="G57" s="13"/>
      <c r="H57" s="13">
        <f>H58+H60</f>
        <v>0</v>
      </c>
      <c r="I57" s="13">
        <f>I58+I60</f>
        <v>0</v>
      </c>
      <c r="J57" s="13"/>
    </row>
    <row r="58" customHeight="1" spans="1:10">
      <c r="A58" s="8" t="s">
        <v>17</v>
      </c>
      <c r="B58" s="8" t="s">
        <v>23</v>
      </c>
      <c r="C58" s="12" t="s">
        <v>933</v>
      </c>
      <c r="D58" s="12" t="s">
        <v>561</v>
      </c>
      <c r="E58" s="13"/>
      <c r="F58" s="13"/>
      <c r="G58" s="13"/>
      <c r="H58" s="13"/>
      <c r="I58" s="13">
        <f>I38*I59</f>
        <v>0</v>
      </c>
      <c r="J58" s="13" t="s">
        <v>516</v>
      </c>
    </row>
    <row r="59" customHeight="1" spans="1:10">
      <c r="A59" s="1" t="s">
        <v>20</v>
      </c>
      <c r="B59" s="1" t="s">
        <v>103</v>
      </c>
      <c r="C59" s="11" t="s">
        <v>934</v>
      </c>
      <c r="D59" s="11" t="s">
        <v>935</v>
      </c>
      <c r="H59" s="5" t="e">
        <f>H58/H38</f>
        <v>#DIV/0!</v>
      </c>
      <c r="J59" s="5" t="s">
        <v>329</v>
      </c>
    </row>
    <row r="60" customHeight="1" spans="1:10">
      <c r="A60" s="8" t="s">
        <v>17</v>
      </c>
      <c r="B60" s="8" t="s">
        <v>23</v>
      </c>
      <c r="C60" s="12" t="s">
        <v>936</v>
      </c>
      <c r="D60" s="12" t="s">
        <v>577</v>
      </c>
      <c r="H60" s="5">
        <f>H61</f>
        <v>0</v>
      </c>
      <c r="I60" s="5">
        <f>I61</f>
        <v>0</v>
      </c>
    </row>
    <row r="61" customHeight="1" spans="1:10">
      <c r="A61" s="11" t="s">
        <v>20</v>
      </c>
      <c r="B61" s="11" t="s">
        <v>23</v>
      </c>
      <c r="C61" s="11" t="s">
        <v>937</v>
      </c>
      <c r="D61" s="11" t="s">
        <v>938</v>
      </c>
    </row>
    <row r="62" customHeight="1" spans="1:10">
      <c r="A62" s="1"/>
      <c r="B62" s="1"/>
      <c r="C62" s="11"/>
      <c r="D62" s="11"/>
    </row>
    <row r="63" customHeight="1" spans="1:10">
      <c r="A63" s="8" t="s">
        <v>13</v>
      </c>
      <c r="B63" s="8" t="s">
        <v>23</v>
      </c>
      <c r="C63" s="12" t="s">
        <v>939</v>
      </c>
      <c r="D63" s="12" t="s">
        <v>581</v>
      </c>
      <c r="H63" s="5">
        <f>H64+H66</f>
        <v>0</v>
      </c>
      <c r="I63" s="5">
        <f>I64+I66</f>
        <v>0</v>
      </c>
    </row>
    <row r="64" customHeight="1" spans="1:10">
      <c r="A64" s="12" t="s">
        <v>17</v>
      </c>
      <c r="B64" s="12" t="s">
        <v>23</v>
      </c>
      <c r="C64" s="12" t="s">
        <v>940</v>
      </c>
      <c r="D64" s="12" t="s">
        <v>583</v>
      </c>
      <c r="I64" s="5">
        <f>I46*I65</f>
        <v>0</v>
      </c>
      <c r="J64" s="5" t="s">
        <v>516</v>
      </c>
    </row>
    <row r="65" customHeight="1" spans="1:10">
      <c r="A65" s="11" t="s">
        <v>20</v>
      </c>
      <c r="B65" s="11" t="s">
        <v>103</v>
      </c>
      <c r="C65" s="11" t="s">
        <v>941</v>
      </c>
      <c r="D65" s="11" t="s">
        <v>585</v>
      </c>
      <c r="H65" s="5" t="e">
        <f>H64/H46</f>
        <v>#DIV/0!</v>
      </c>
      <c r="J65" s="5" t="s">
        <v>329</v>
      </c>
    </row>
    <row r="66" customHeight="1" spans="1:10">
      <c r="A66" s="8" t="s">
        <v>17</v>
      </c>
      <c r="B66" s="8" t="s">
        <v>23</v>
      </c>
      <c r="C66" s="12" t="s">
        <v>942</v>
      </c>
      <c r="D66" s="12" t="s">
        <v>943</v>
      </c>
      <c r="H66" s="5">
        <f>H67</f>
        <v>0</v>
      </c>
      <c r="I66" s="5">
        <f>I67</f>
        <v>0</v>
      </c>
    </row>
    <row r="67" customHeight="1" spans="1:10">
      <c r="A67" s="1" t="s">
        <v>20</v>
      </c>
      <c r="B67" s="1" t="s">
        <v>23</v>
      </c>
      <c r="C67" s="11" t="s">
        <v>944</v>
      </c>
      <c r="D67" s="11" t="s">
        <v>945</v>
      </c>
      <c r="I67" s="5">
        <f>I51*I68</f>
        <v>0</v>
      </c>
      <c r="J67" s="5" t="s">
        <v>516</v>
      </c>
    </row>
    <row r="68" customHeight="1" spans="1:10">
      <c r="A68" s="1" t="s">
        <v>379</v>
      </c>
      <c r="B68" s="1" t="s">
        <v>103</v>
      </c>
      <c r="C68" s="11" t="s">
        <v>946</v>
      </c>
      <c r="D68" s="11" t="s">
        <v>947</v>
      </c>
      <c r="H68" s="5" t="e">
        <f>H67/H51</f>
        <v>#DIV/0!</v>
      </c>
      <c r="J68" s="5" t="s">
        <v>329</v>
      </c>
    </row>
    <row r="69" customHeight="1" spans="1:10">
      <c r="A69" s="1"/>
      <c r="B69" s="1"/>
      <c r="C69" s="11"/>
      <c r="D69" s="11"/>
    </row>
    <row r="70" customHeight="1" spans="1:10">
      <c r="A70" s="8" t="s">
        <v>13</v>
      </c>
      <c r="B70" s="8" t="s">
        <v>14</v>
      </c>
      <c r="C70" s="12" t="s">
        <v>948</v>
      </c>
      <c r="D70" s="12" t="s">
        <v>593</v>
      </c>
      <c r="H70" s="5">
        <f>H71+H73</f>
        <v>0</v>
      </c>
      <c r="I70" s="5">
        <f>I71+I73</f>
        <v>0</v>
      </c>
    </row>
    <row r="71" customHeight="1" spans="1:10">
      <c r="A71" s="8" t="s">
        <v>17</v>
      </c>
      <c r="B71" s="8" t="s">
        <v>14</v>
      </c>
      <c r="C71" s="12" t="s">
        <v>949</v>
      </c>
      <c r="D71" s="12" t="s">
        <v>595</v>
      </c>
      <c r="I71" s="5">
        <f>I46*I72</f>
        <v>0</v>
      </c>
      <c r="J71" s="5" t="s">
        <v>516</v>
      </c>
    </row>
    <row r="72" customHeight="1" spans="1:10">
      <c r="A72" s="1" t="s">
        <v>20</v>
      </c>
      <c r="B72" s="1" t="s">
        <v>103</v>
      </c>
      <c r="C72" s="11" t="s">
        <v>950</v>
      </c>
      <c r="D72" s="11" t="s">
        <v>597</v>
      </c>
      <c r="H72" s="5" t="e">
        <f>H71/H46</f>
        <v>#DIV/0!</v>
      </c>
      <c r="J72" s="5" t="s">
        <v>329</v>
      </c>
    </row>
    <row r="73" customHeight="1" spans="1:10">
      <c r="A73" s="13" t="s">
        <v>17</v>
      </c>
      <c r="B73" s="13" t="s">
        <v>14</v>
      </c>
      <c r="C73" s="12" t="s">
        <v>951</v>
      </c>
      <c r="D73" s="13" t="s">
        <v>599</v>
      </c>
      <c r="H73" s="5">
        <f>H74</f>
        <v>0</v>
      </c>
      <c r="I73" s="5">
        <f>I74</f>
        <v>0</v>
      </c>
    </row>
    <row r="74" customHeight="1" spans="1:10">
      <c r="A74" s="5" t="s">
        <v>20</v>
      </c>
      <c r="B74" s="5" t="s">
        <v>14</v>
      </c>
      <c r="C74" s="11" t="s">
        <v>952</v>
      </c>
      <c r="D74" s="5" t="s">
        <v>601</v>
      </c>
      <c r="I74" s="5">
        <f>I51*I75</f>
        <v>0</v>
      </c>
      <c r="J74" s="5" t="s">
        <v>516</v>
      </c>
    </row>
    <row r="75" customHeight="1" spans="1:10">
      <c r="A75" s="5" t="s">
        <v>379</v>
      </c>
      <c r="B75" s="5" t="s">
        <v>103</v>
      </c>
      <c r="C75" s="11" t="s">
        <v>953</v>
      </c>
      <c r="D75" s="5" t="s">
        <v>603</v>
      </c>
      <c r="H75" s="5" t="e">
        <f>H74/H51</f>
        <v>#DIV/0!</v>
      </c>
      <c r="J75" s="5" t="s">
        <v>329</v>
      </c>
    </row>
    <row r="76" customHeight="1" spans="1:10">
      <c r="A76" s="8" t="s">
        <v>17</v>
      </c>
      <c r="B76" s="8" t="s">
        <v>14</v>
      </c>
      <c r="C76" s="12" t="s">
        <v>954</v>
      </c>
      <c r="D76" s="12" t="s">
        <v>831</v>
      </c>
      <c r="E76" s="13"/>
      <c r="F76" s="13"/>
      <c r="G76" s="13"/>
      <c r="H76" s="13">
        <f>H77</f>
        <v>0</v>
      </c>
      <c r="I76" s="13">
        <f>I77</f>
        <v>0</v>
      </c>
      <c r="J76" s="13"/>
    </row>
    <row r="77" customHeight="1" spans="1:10">
      <c r="A77" s="1" t="s">
        <v>20</v>
      </c>
      <c r="B77" s="1" t="s">
        <v>14</v>
      </c>
      <c r="C77" s="11" t="s">
        <v>955</v>
      </c>
      <c r="D77" s="11" t="s">
        <v>956</v>
      </c>
      <c r="I77" s="5">
        <f>I79*I80</f>
        <v>0</v>
      </c>
      <c r="J77" s="5" t="s">
        <v>516</v>
      </c>
    </row>
    <row r="78" customHeight="1" spans="1:10">
      <c r="A78" s="11" t="s">
        <v>379</v>
      </c>
      <c r="B78" s="11" t="s">
        <v>92</v>
      </c>
      <c r="C78" s="11" t="s">
        <v>957</v>
      </c>
      <c r="D78" s="11" t="s">
        <v>958</v>
      </c>
    </row>
    <row r="79" customHeight="1" spans="1:10">
      <c r="A79" s="11" t="s">
        <v>379</v>
      </c>
      <c r="B79" s="11" t="s">
        <v>201</v>
      </c>
      <c r="C79" s="11" t="s">
        <v>959</v>
      </c>
      <c r="D79" s="11" t="s">
        <v>960</v>
      </c>
    </row>
    <row r="80" customHeight="1" spans="1:10">
      <c r="A80" s="11" t="s">
        <v>379</v>
      </c>
      <c r="B80" s="1" t="s">
        <v>103</v>
      </c>
      <c r="C80" s="11" t="s">
        <v>961</v>
      </c>
      <c r="D80" s="11" t="s">
        <v>962</v>
      </c>
      <c r="H80" s="5" t="e">
        <f>H77/H79</f>
        <v>#DIV/0!</v>
      </c>
      <c r="J80" s="5" t="s">
        <v>329</v>
      </c>
    </row>
    <row r="81" customHeight="1" spans="1:10">
      <c r="A81" s="11"/>
      <c r="B81" s="11"/>
      <c r="C81" s="11"/>
      <c r="D81" s="11"/>
    </row>
    <row r="82" customHeight="1" spans="1:10">
      <c r="A82" s="12" t="s">
        <v>13</v>
      </c>
      <c r="B82" s="12" t="s">
        <v>14</v>
      </c>
      <c r="C82" s="12" t="s">
        <v>963</v>
      </c>
      <c r="D82" s="12" t="s">
        <v>605</v>
      </c>
      <c r="I82" s="5">
        <f>I83+I85+I86</f>
        <v>0</v>
      </c>
    </row>
    <row r="83" customHeight="1" spans="1:10">
      <c r="A83" s="12" t="s">
        <v>17</v>
      </c>
      <c r="B83" s="12" t="s">
        <v>14</v>
      </c>
      <c r="C83" s="12" t="s">
        <v>964</v>
      </c>
      <c r="D83" s="12" t="s">
        <v>965</v>
      </c>
      <c r="I83" s="5">
        <f>I40*I84</f>
        <v>0</v>
      </c>
      <c r="J83" s="5" t="s">
        <v>516</v>
      </c>
    </row>
    <row r="84" customHeight="1" spans="1:10">
      <c r="A84" s="11" t="s">
        <v>20</v>
      </c>
      <c r="B84" s="1" t="s">
        <v>103</v>
      </c>
      <c r="C84" s="11" t="s">
        <v>966</v>
      </c>
      <c r="D84" s="11" t="s">
        <v>967</v>
      </c>
      <c r="H84" s="5" t="e">
        <f>H83/H40</f>
        <v>#DIV/0!</v>
      </c>
      <c r="J84" s="5" t="s">
        <v>329</v>
      </c>
    </row>
    <row r="85" customHeight="1" spans="1:10">
      <c r="A85" s="12" t="s">
        <v>17</v>
      </c>
      <c r="B85" s="12" t="s">
        <v>14</v>
      </c>
      <c r="C85" s="12" t="s">
        <v>968</v>
      </c>
      <c r="D85" s="12" t="s">
        <v>969</v>
      </c>
    </row>
    <row r="86" customHeight="1" spans="1:10">
      <c r="A86" s="12" t="s">
        <v>17</v>
      </c>
      <c r="B86" s="12" t="s">
        <v>14</v>
      </c>
      <c r="C86" s="12" t="s">
        <v>970</v>
      </c>
      <c r="D86" s="12" t="s">
        <v>675</v>
      </c>
      <c r="H86" s="5">
        <f>H82-H83-H85</f>
        <v>0</v>
      </c>
    </row>
    <row r="87" customHeight="1" spans="1:10">
      <c r="A87" s="11"/>
      <c r="B87" s="11"/>
      <c r="C87" s="11"/>
      <c r="D87" s="11"/>
    </row>
    <row r="88" customHeight="1" spans="1:10">
      <c r="A88" s="12" t="s">
        <v>13</v>
      </c>
      <c r="B88" s="12" t="s">
        <v>23</v>
      </c>
      <c r="C88" s="12" t="s">
        <v>971</v>
      </c>
      <c r="D88" s="12" t="s">
        <v>637</v>
      </c>
      <c r="I88" s="5">
        <f>I89+I91+I93+I95+I100</f>
        <v>0</v>
      </c>
    </row>
    <row r="89" customHeight="1" spans="1:10">
      <c r="A89" s="12" t="s">
        <v>17</v>
      </c>
      <c r="B89" s="12" t="s">
        <v>23</v>
      </c>
      <c r="C89" s="12" t="s">
        <v>972</v>
      </c>
      <c r="D89" s="12" t="s">
        <v>639</v>
      </c>
      <c r="I89" s="5">
        <f>I37*I90</f>
        <v>0</v>
      </c>
      <c r="J89" s="5" t="s">
        <v>516</v>
      </c>
    </row>
    <row r="90" customHeight="1" spans="1:10">
      <c r="A90" s="11" t="s">
        <v>20</v>
      </c>
      <c r="B90" s="1" t="s">
        <v>103</v>
      </c>
      <c r="C90" s="11" t="s">
        <v>973</v>
      </c>
      <c r="D90" s="11" t="s">
        <v>641</v>
      </c>
      <c r="H90" s="5" t="e">
        <f>H89/H37</f>
        <v>#DIV/0!</v>
      </c>
      <c r="J90" s="5" t="s">
        <v>329</v>
      </c>
    </row>
    <row r="91" customHeight="1" spans="1:10">
      <c r="A91" s="12" t="s">
        <v>17</v>
      </c>
      <c r="B91" s="12" t="s">
        <v>23</v>
      </c>
      <c r="C91" s="12" t="s">
        <v>974</v>
      </c>
      <c r="D91" s="12" t="s">
        <v>643</v>
      </c>
      <c r="I91" s="5">
        <f>I37*I92</f>
        <v>0</v>
      </c>
      <c r="J91" s="5" t="s">
        <v>516</v>
      </c>
    </row>
    <row r="92" customHeight="1" spans="1:10">
      <c r="A92" s="11" t="s">
        <v>20</v>
      </c>
      <c r="B92" s="1" t="s">
        <v>103</v>
      </c>
      <c r="C92" s="11" t="s">
        <v>975</v>
      </c>
      <c r="D92" s="11" t="s">
        <v>641</v>
      </c>
      <c r="H92" s="5" t="e">
        <f>H91/H37</f>
        <v>#DIV/0!</v>
      </c>
      <c r="J92" s="5" t="s">
        <v>329</v>
      </c>
    </row>
    <row r="93" customHeight="1" spans="1:10">
      <c r="A93" s="12" t="s">
        <v>17</v>
      </c>
      <c r="B93" s="12" t="s">
        <v>23</v>
      </c>
      <c r="C93" s="12" t="s">
        <v>976</v>
      </c>
      <c r="D93" s="12" t="s">
        <v>646</v>
      </c>
      <c r="I93" s="5">
        <f>I37*I94</f>
        <v>0</v>
      </c>
      <c r="J93" s="5" t="s">
        <v>516</v>
      </c>
    </row>
    <row r="94" customHeight="1" spans="1:10">
      <c r="A94" s="11" t="s">
        <v>20</v>
      </c>
      <c r="B94" s="1" t="s">
        <v>103</v>
      </c>
      <c r="C94" s="11" t="s">
        <v>977</v>
      </c>
      <c r="D94" s="11" t="s">
        <v>641</v>
      </c>
      <c r="H94" s="5" t="e">
        <f>H93/H37</f>
        <v>#DIV/0!</v>
      </c>
      <c r="J94" s="5" t="s">
        <v>329</v>
      </c>
    </row>
    <row r="95" customHeight="1" spans="1:10">
      <c r="A95" s="12" t="s">
        <v>17</v>
      </c>
      <c r="B95" s="12" t="s">
        <v>23</v>
      </c>
      <c r="C95" s="12" t="s">
        <v>978</v>
      </c>
      <c r="D95" s="12" t="s">
        <v>979</v>
      </c>
      <c r="H95" s="5">
        <f>H96+H98</f>
        <v>0</v>
      </c>
      <c r="I95" s="5">
        <f>I96+I98</f>
        <v>0</v>
      </c>
    </row>
    <row r="96" customHeight="1" spans="1:10">
      <c r="A96" s="11" t="s">
        <v>20</v>
      </c>
      <c r="B96" s="11" t="s">
        <v>23</v>
      </c>
      <c r="C96" s="11" t="s">
        <v>980</v>
      </c>
      <c r="D96" s="11" t="s">
        <v>981</v>
      </c>
      <c r="I96" s="5">
        <f>I38*I97</f>
        <v>0</v>
      </c>
      <c r="J96" s="5" t="s">
        <v>516</v>
      </c>
    </row>
    <row r="97" customHeight="1" spans="1:10">
      <c r="A97" s="11" t="s">
        <v>379</v>
      </c>
      <c r="B97" s="11" t="s">
        <v>103</v>
      </c>
      <c r="C97" s="11" t="s">
        <v>982</v>
      </c>
      <c r="D97" s="11" t="s">
        <v>983</v>
      </c>
      <c r="H97" s="5" t="e">
        <f>H96/H38</f>
        <v>#DIV/0!</v>
      </c>
      <c r="J97" s="5" t="s">
        <v>329</v>
      </c>
    </row>
    <row r="98" customHeight="1" spans="1:10">
      <c r="A98" s="11" t="s">
        <v>20</v>
      </c>
      <c r="B98" s="11" t="s">
        <v>23</v>
      </c>
      <c r="C98" s="11" t="s">
        <v>980</v>
      </c>
      <c r="D98" s="11" t="s">
        <v>984</v>
      </c>
      <c r="I98" s="5">
        <f>I40*I99</f>
        <v>0</v>
      </c>
      <c r="J98" s="5" t="s">
        <v>516</v>
      </c>
    </row>
    <row r="99" customHeight="1" spans="1:10">
      <c r="A99" s="11" t="s">
        <v>379</v>
      </c>
      <c r="B99" s="11" t="s">
        <v>103</v>
      </c>
      <c r="C99" s="11" t="s">
        <v>982</v>
      </c>
      <c r="D99" s="11" t="s">
        <v>985</v>
      </c>
      <c r="H99" s="5" t="e">
        <f>H98/H40</f>
        <v>#DIV/0!</v>
      </c>
      <c r="J99" s="5" t="s">
        <v>329</v>
      </c>
    </row>
    <row r="100" customHeight="1" spans="1:10">
      <c r="A100" s="12" t="s">
        <v>17</v>
      </c>
      <c r="B100" s="12" t="s">
        <v>23</v>
      </c>
      <c r="C100" s="12" t="s">
        <v>986</v>
      </c>
      <c r="D100" s="12" t="s">
        <v>675</v>
      </c>
      <c r="H100" s="5">
        <f>H88-H89-H91-H93-H95</f>
        <v>0</v>
      </c>
    </row>
    <row r="101" customHeight="1" spans="1:10">
      <c r="A101" s="11"/>
      <c r="B101" s="11"/>
      <c r="C101" s="11"/>
      <c r="D101" s="11"/>
    </row>
    <row r="102" customHeight="1" spans="1:10">
      <c r="A102" s="12" t="s">
        <v>13</v>
      </c>
      <c r="B102" s="12" t="s">
        <v>14</v>
      </c>
      <c r="C102" s="12" t="s">
        <v>987</v>
      </c>
      <c r="D102" s="12" t="s">
        <v>677</v>
      </c>
    </row>
    <row r="103" customHeight="1" spans="1:10">
      <c r="A103" s="11"/>
      <c r="B103" s="11"/>
      <c r="C103" s="11"/>
      <c r="D103" s="11"/>
    </row>
    <row r="104" customHeight="1" spans="1:10">
      <c r="A104" s="12" t="s">
        <v>13</v>
      </c>
      <c r="B104" s="12" t="s">
        <v>14</v>
      </c>
      <c r="C104" s="12" t="s">
        <v>988</v>
      </c>
      <c r="D104" s="12" t="s">
        <v>679</v>
      </c>
    </row>
    <row r="105" customHeight="1" spans="1:10">
      <c r="A105" s="11"/>
      <c r="B105" s="11"/>
      <c r="C105" s="11"/>
      <c r="D105" s="11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0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N22" sqref="N22"/>
    </sheetView>
  </sheetViews>
  <sheetFormatPr defaultColWidth="9" defaultRowHeight="15" customHeight="1"/>
  <cols>
    <col min="1" max="2" width="8.66071428571429" style="5"/>
    <col min="3" max="3" width="11" style="5" customWidth="1"/>
    <col min="4" max="4" width="17.5" style="5" customWidth="1"/>
    <col min="5" max="9" width="8.66071428571429" style="5"/>
    <col min="10" max="10" width="10.1607142857143" style="5" customWidth="1"/>
    <col min="11" max="16384" width="8.66071428571429" style="5"/>
  </cols>
  <sheetData>
    <row r="1" s="1" customFormat="1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7"/>
      <c r="O1" s="7"/>
    </row>
    <row r="2" customHeight="1" spans="1:15">
      <c r="A2" s="8" t="s">
        <v>13</v>
      </c>
      <c r="B2" s="1" t="s">
        <v>14</v>
      </c>
      <c r="C2" s="9" t="s">
        <v>989</v>
      </c>
      <c r="D2" s="8" t="s">
        <v>16</v>
      </c>
      <c r="H2" s="5">
        <f>H3+H6+H7</f>
        <v>0</v>
      </c>
      <c r="I2" s="5">
        <f>I3+I6+I7</f>
        <v>0</v>
      </c>
    </row>
    <row r="3" customHeight="1" spans="1:15">
      <c r="A3" s="1" t="s">
        <v>17</v>
      </c>
      <c r="B3" s="1" t="s">
        <v>14</v>
      </c>
      <c r="C3" s="9" t="s">
        <v>990</v>
      </c>
      <c r="D3" s="1" t="s">
        <v>19</v>
      </c>
      <c r="H3" s="5">
        <f>H4+H5</f>
        <v>0</v>
      </c>
      <c r="I3" s="5">
        <f>I4+I5</f>
        <v>0</v>
      </c>
    </row>
    <row r="4" customHeight="1" spans="1:15">
      <c r="A4" s="1" t="s">
        <v>20</v>
      </c>
      <c r="B4" s="1" t="s">
        <v>14</v>
      </c>
      <c r="C4" s="10" t="s">
        <v>991</v>
      </c>
      <c r="D4" s="1" t="s">
        <v>349</v>
      </c>
      <c r="H4" s="5">
        <f>H63-H71</f>
        <v>0</v>
      </c>
      <c r="I4" s="5">
        <f>I63-I71</f>
        <v>0</v>
      </c>
    </row>
    <row r="5" customHeight="1" spans="1:15">
      <c r="A5" s="1" t="s">
        <v>20</v>
      </c>
      <c r="B5" s="1" t="s">
        <v>14</v>
      </c>
      <c r="C5" s="10" t="s">
        <v>992</v>
      </c>
      <c r="D5" s="1" t="s">
        <v>354</v>
      </c>
      <c r="H5" s="5">
        <f>H91-H80</f>
        <v>0</v>
      </c>
      <c r="I5" s="5">
        <f>I91-I80</f>
        <v>0</v>
      </c>
    </row>
    <row r="6" customHeight="1" spans="1:15">
      <c r="A6" s="1" t="s">
        <v>17</v>
      </c>
      <c r="B6" s="1" t="s">
        <v>14</v>
      </c>
      <c r="C6" s="9" t="s">
        <v>993</v>
      </c>
      <c r="D6" s="1" t="s">
        <v>427</v>
      </c>
      <c r="H6" s="5">
        <f>H105-H110</f>
        <v>0</v>
      </c>
      <c r="I6" s="5">
        <f>I105-I110</f>
        <v>0</v>
      </c>
    </row>
    <row r="7" customHeight="1" spans="1:15">
      <c r="A7" s="1" t="s">
        <v>17</v>
      </c>
      <c r="B7" s="1" t="s">
        <v>14</v>
      </c>
      <c r="C7" s="9" t="s">
        <v>994</v>
      </c>
      <c r="D7" s="1" t="s">
        <v>33</v>
      </c>
      <c r="H7" s="5">
        <f>H117+H119</f>
        <v>0</v>
      </c>
      <c r="I7" s="5">
        <f>I117+I119</f>
        <v>0</v>
      </c>
    </row>
    <row r="8" customHeight="1" spans="1:15">
      <c r="A8" s="8" t="s">
        <v>13</v>
      </c>
      <c r="B8" s="1" t="s">
        <v>23</v>
      </c>
      <c r="C8" s="9" t="s">
        <v>995</v>
      </c>
      <c r="D8" s="8" t="s">
        <v>363</v>
      </c>
    </row>
    <row r="9" customHeight="1" spans="1:15">
      <c r="A9" s="8" t="s">
        <v>13</v>
      </c>
      <c r="B9" s="1" t="s">
        <v>14</v>
      </c>
      <c r="C9" s="9" t="s">
        <v>996</v>
      </c>
      <c r="D9" s="8" t="s">
        <v>45</v>
      </c>
      <c r="H9" s="5">
        <f>H2-H8</f>
        <v>0</v>
      </c>
      <c r="I9" s="5">
        <f>I2-I8</f>
        <v>0</v>
      </c>
    </row>
    <row r="10" customHeight="1" spans="1:15">
      <c r="A10" s="8" t="s">
        <v>13</v>
      </c>
      <c r="B10" s="1" t="s">
        <v>23</v>
      </c>
      <c r="C10" s="9" t="s">
        <v>997</v>
      </c>
      <c r="D10" s="8" t="s">
        <v>47</v>
      </c>
    </row>
    <row r="11" customHeight="1" spans="1:15">
      <c r="A11" s="8" t="s">
        <v>13</v>
      </c>
      <c r="B11" s="1" t="s">
        <v>23</v>
      </c>
      <c r="C11" s="9" t="s">
        <v>998</v>
      </c>
      <c r="D11" s="8" t="s">
        <v>367</v>
      </c>
      <c r="H11" s="5">
        <f>H12+H15+H18+H25+H26</f>
        <v>0</v>
      </c>
      <c r="I11" s="5">
        <f>I12+I15+I18+I25+I26</f>
        <v>0</v>
      </c>
    </row>
    <row r="12" customHeight="1" spans="1:15">
      <c r="A12" s="1" t="s">
        <v>17</v>
      </c>
      <c r="B12" s="1" t="s">
        <v>23</v>
      </c>
      <c r="C12" s="9" t="s">
        <v>999</v>
      </c>
      <c r="D12" s="1" t="s">
        <v>369</v>
      </c>
      <c r="H12" s="5">
        <f>H13+H14</f>
        <v>0</v>
      </c>
      <c r="I12" s="5">
        <f>I13+I14</f>
        <v>0</v>
      </c>
    </row>
    <row r="13" customHeight="1" spans="1:15">
      <c r="A13" s="1" t="s">
        <v>20</v>
      </c>
      <c r="B13" s="1" t="s">
        <v>23</v>
      </c>
      <c r="C13" s="10" t="s">
        <v>1000</v>
      </c>
      <c r="D13" s="1" t="s">
        <v>53</v>
      </c>
    </row>
    <row r="14" customHeight="1" spans="1:15">
      <c r="A14" s="1" t="s">
        <v>20</v>
      </c>
      <c r="B14" s="1" t="s">
        <v>23</v>
      </c>
      <c r="C14" s="10" t="s">
        <v>1001</v>
      </c>
      <c r="D14" s="1" t="s">
        <v>372</v>
      </c>
    </row>
    <row r="15" customHeight="1" spans="1:15">
      <c r="A15" s="1" t="s">
        <v>17</v>
      </c>
      <c r="B15" s="1" t="s">
        <v>23</v>
      </c>
      <c r="C15" s="9" t="s">
        <v>1002</v>
      </c>
      <c r="D15" s="1" t="s">
        <v>59</v>
      </c>
      <c r="H15" s="5">
        <f>H16+H17</f>
        <v>0</v>
      </c>
      <c r="I15" s="5">
        <f>I16+I17</f>
        <v>0</v>
      </c>
    </row>
    <row r="16" customHeight="1" spans="1:15">
      <c r="A16" s="1" t="s">
        <v>20</v>
      </c>
      <c r="B16" s="1" t="s">
        <v>23</v>
      </c>
      <c r="C16" s="10" t="s">
        <v>1003</v>
      </c>
      <c r="D16" s="1" t="s">
        <v>61</v>
      </c>
    </row>
    <row r="17" customHeight="1" spans="1:9">
      <c r="A17" s="1" t="s">
        <v>20</v>
      </c>
      <c r="B17" s="1" t="s">
        <v>23</v>
      </c>
      <c r="C17" s="10" t="s">
        <v>1004</v>
      </c>
      <c r="D17" s="1" t="s">
        <v>63</v>
      </c>
    </row>
    <row r="18" customHeight="1" spans="1:9">
      <c r="A18" s="1" t="s">
        <v>17</v>
      </c>
      <c r="B18" s="1" t="s">
        <v>23</v>
      </c>
      <c r="C18" s="9" t="s">
        <v>1005</v>
      </c>
      <c r="D18" s="1" t="s">
        <v>65</v>
      </c>
      <c r="H18" s="5">
        <f>H19+H22+H23+H24</f>
        <v>0</v>
      </c>
      <c r="I18" s="5">
        <f>I19+I22+I23+I24</f>
        <v>0</v>
      </c>
    </row>
    <row r="19" customHeight="1" spans="1:9">
      <c r="A19" s="1" t="s">
        <v>20</v>
      </c>
      <c r="B19" s="1" t="s">
        <v>23</v>
      </c>
      <c r="C19" s="10" t="s">
        <v>1006</v>
      </c>
      <c r="D19" s="1" t="s">
        <v>378</v>
      </c>
      <c r="H19" s="5">
        <f>H20+H21</f>
        <v>0</v>
      </c>
      <c r="I19" s="5">
        <f>I20+I21</f>
        <v>0</v>
      </c>
    </row>
    <row r="20" customHeight="1" spans="1:9">
      <c r="A20" s="1" t="s">
        <v>379</v>
      </c>
      <c r="B20" s="1" t="s">
        <v>23</v>
      </c>
      <c r="C20" s="10" t="s">
        <v>1007</v>
      </c>
      <c r="D20" s="1" t="s">
        <v>381</v>
      </c>
    </row>
    <row r="21" customHeight="1" spans="1:9">
      <c r="A21" s="1" t="s">
        <v>379</v>
      </c>
      <c r="B21" s="1" t="s">
        <v>23</v>
      </c>
      <c r="C21" s="10" t="s">
        <v>1008</v>
      </c>
      <c r="D21" s="1" t="s">
        <v>383</v>
      </c>
    </row>
    <row r="22" customHeight="1" spans="1:9">
      <c r="A22" s="1" t="s">
        <v>20</v>
      </c>
      <c r="B22" s="1" t="s">
        <v>23</v>
      </c>
      <c r="C22" s="10" t="s">
        <v>1009</v>
      </c>
      <c r="D22" s="1" t="s">
        <v>385</v>
      </c>
    </row>
    <row r="23" customHeight="1" spans="1:9">
      <c r="A23" s="1" t="s">
        <v>20</v>
      </c>
      <c r="B23" s="1" t="s">
        <v>23</v>
      </c>
      <c r="C23" s="10" t="s">
        <v>1010</v>
      </c>
      <c r="D23" s="1" t="s">
        <v>387</v>
      </c>
    </row>
    <row r="24" customHeight="1" spans="1:9">
      <c r="A24" s="1" t="s">
        <v>20</v>
      </c>
      <c r="B24" s="1" t="s">
        <v>23</v>
      </c>
      <c r="C24" s="10" t="s">
        <v>1011</v>
      </c>
      <c r="D24" s="1" t="s">
        <v>389</v>
      </c>
    </row>
    <row r="25" customHeight="1" spans="1:9">
      <c r="A25" s="1" t="s">
        <v>17</v>
      </c>
      <c r="B25" s="1" t="s">
        <v>23</v>
      </c>
      <c r="C25" s="9" t="s">
        <v>1012</v>
      </c>
      <c r="D25" s="1" t="s">
        <v>391</v>
      </c>
    </row>
    <row r="26" customHeight="1" spans="1:9">
      <c r="A26" s="1" t="s">
        <v>17</v>
      </c>
      <c r="B26" s="1" t="s">
        <v>23</v>
      </c>
      <c r="C26" s="9" t="s">
        <v>1013</v>
      </c>
      <c r="D26" s="1" t="s">
        <v>67</v>
      </c>
    </row>
    <row r="27" customHeight="1" spans="1:9">
      <c r="A27" s="8" t="s">
        <v>13</v>
      </c>
      <c r="B27" s="1" t="s">
        <v>14</v>
      </c>
      <c r="C27" s="9" t="s">
        <v>1014</v>
      </c>
      <c r="D27" s="8" t="s">
        <v>69</v>
      </c>
    </row>
    <row r="28" customHeight="1" spans="1:9">
      <c r="A28" s="8" t="s">
        <v>13</v>
      </c>
      <c r="B28" s="1" t="s">
        <v>70</v>
      </c>
      <c r="C28" s="9" t="s">
        <v>1015</v>
      </c>
      <c r="D28" s="8" t="s">
        <v>395</v>
      </c>
      <c r="H28" s="5">
        <f>H9-H10-H11+H27</f>
        <v>0</v>
      </c>
      <c r="I28" s="5">
        <f>I9-I10-I11+I27</f>
        <v>0</v>
      </c>
    </row>
    <row r="29" customHeight="1" spans="1:9">
      <c r="A29" s="8" t="s">
        <v>13</v>
      </c>
      <c r="B29" s="1" t="s">
        <v>23</v>
      </c>
      <c r="C29" s="9" t="s">
        <v>1016</v>
      </c>
      <c r="D29" s="8" t="s">
        <v>397</v>
      </c>
    </row>
    <row r="30" customHeight="1" spans="1:9">
      <c r="A30" s="8" t="s">
        <v>13</v>
      </c>
      <c r="B30" s="1" t="s">
        <v>70</v>
      </c>
      <c r="C30" s="9" t="s">
        <v>1017</v>
      </c>
      <c r="D30" s="8" t="s">
        <v>72</v>
      </c>
      <c r="H30" s="5">
        <f>H28-H29</f>
        <v>0</v>
      </c>
      <c r="I30" s="5">
        <f>I28-I29</f>
        <v>0</v>
      </c>
    </row>
    <row r="31" customHeight="1" spans="1:9">
      <c r="A31" s="11"/>
      <c r="B31" s="11"/>
      <c r="C31" s="11"/>
      <c r="D31" s="11"/>
    </row>
    <row r="32" customHeight="1" spans="1:9">
      <c r="A32" s="8" t="s">
        <v>13</v>
      </c>
      <c r="B32" s="8" t="s">
        <v>77</v>
      </c>
      <c r="C32" s="12" t="s">
        <v>1018</v>
      </c>
      <c r="D32" s="12" t="s">
        <v>79</v>
      </c>
      <c r="H32" s="5">
        <f>H33+H35+H36</f>
        <v>0</v>
      </c>
      <c r="I32" s="5">
        <f>I33+I35+I36</f>
        <v>0</v>
      </c>
    </row>
    <row r="33" customHeight="1" spans="1:9">
      <c r="A33" s="1" t="s">
        <v>17</v>
      </c>
      <c r="B33" s="8" t="s">
        <v>77</v>
      </c>
      <c r="C33" s="11" t="s">
        <v>1019</v>
      </c>
      <c r="D33" s="11" t="s">
        <v>407</v>
      </c>
      <c r="H33" s="5">
        <f>H34</f>
        <v>0</v>
      </c>
      <c r="I33" s="5">
        <f>I34</f>
        <v>0</v>
      </c>
    </row>
    <row r="34" customHeight="1" spans="1:9">
      <c r="A34" s="1" t="s">
        <v>20</v>
      </c>
      <c r="B34" s="8" t="s">
        <v>77</v>
      </c>
      <c r="C34" s="11" t="s">
        <v>1020</v>
      </c>
      <c r="D34" s="11" t="s">
        <v>83</v>
      </c>
    </row>
    <row r="35" customHeight="1" spans="1:9">
      <c r="A35" s="1" t="s">
        <v>17</v>
      </c>
      <c r="B35" s="8" t="s">
        <v>77</v>
      </c>
      <c r="C35" s="11" t="s">
        <v>1021</v>
      </c>
      <c r="D35" s="11" t="s">
        <v>87</v>
      </c>
    </row>
    <row r="36" customHeight="1" spans="1:9">
      <c r="A36" s="1" t="s">
        <v>17</v>
      </c>
      <c r="B36" s="8" t="s">
        <v>77</v>
      </c>
      <c r="C36" s="11" t="s">
        <v>1022</v>
      </c>
      <c r="D36" s="11" t="s">
        <v>89</v>
      </c>
    </row>
    <row r="37" customHeight="1" spans="1:9">
      <c r="A37" s="8" t="s">
        <v>13</v>
      </c>
      <c r="B37" s="8" t="s">
        <v>182</v>
      </c>
      <c r="C37" s="12" t="s">
        <v>1023</v>
      </c>
      <c r="D37" s="12" t="s">
        <v>405</v>
      </c>
      <c r="H37" s="5">
        <f>H38+H40+H41</f>
        <v>0</v>
      </c>
      <c r="I37" s="5">
        <f>I38+I40+I41</f>
        <v>0</v>
      </c>
    </row>
    <row r="38" customHeight="1" spans="1:9">
      <c r="A38" s="1" t="s">
        <v>17</v>
      </c>
      <c r="B38" s="8" t="s">
        <v>182</v>
      </c>
      <c r="C38" s="11" t="s">
        <v>1024</v>
      </c>
      <c r="D38" s="11" t="s">
        <v>407</v>
      </c>
      <c r="H38" s="5">
        <f>H39</f>
        <v>0</v>
      </c>
      <c r="I38" s="5">
        <f>I39</f>
        <v>0</v>
      </c>
    </row>
    <row r="39" customHeight="1" spans="1:9">
      <c r="A39" s="1" t="s">
        <v>20</v>
      </c>
      <c r="B39" s="8" t="s">
        <v>182</v>
      </c>
      <c r="C39" s="11" t="s">
        <v>1025</v>
      </c>
      <c r="D39" s="11" t="s">
        <v>83</v>
      </c>
    </row>
    <row r="40" customHeight="1" spans="1:9">
      <c r="A40" s="1" t="s">
        <v>17</v>
      </c>
      <c r="B40" s="8" t="s">
        <v>182</v>
      </c>
      <c r="C40" s="11" t="s">
        <v>1026</v>
      </c>
      <c r="D40" s="11" t="s">
        <v>87</v>
      </c>
    </row>
    <row r="41" customHeight="1" spans="1:9">
      <c r="A41" s="1" t="s">
        <v>17</v>
      </c>
      <c r="B41" s="8" t="s">
        <v>182</v>
      </c>
      <c r="C41" s="11" t="s">
        <v>1027</v>
      </c>
      <c r="D41" s="11" t="s">
        <v>89</v>
      </c>
    </row>
    <row r="42" customHeight="1" spans="1:9">
      <c r="A42" s="11"/>
      <c r="B42" s="11"/>
      <c r="C42" s="11"/>
      <c r="D42" s="11"/>
    </row>
    <row r="43" customHeight="1" spans="1:9">
      <c r="A43" s="12" t="s">
        <v>13</v>
      </c>
      <c r="B43" s="12" t="s">
        <v>92</v>
      </c>
      <c r="C43" s="12" t="s">
        <v>1028</v>
      </c>
      <c r="D43" s="12" t="s">
        <v>94</v>
      </c>
      <c r="H43" s="5">
        <f>H44+H47</f>
        <v>0</v>
      </c>
      <c r="I43" s="5">
        <f>I44+I47</f>
        <v>0</v>
      </c>
    </row>
    <row r="44" customHeight="1" spans="1:9">
      <c r="A44" s="11" t="s">
        <v>17</v>
      </c>
      <c r="B44" s="12" t="s">
        <v>92</v>
      </c>
      <c r="C44" s="11" t="s">
        <v>1029</v>
      </c>
      <c r="D44" s="11" t="s">
        <v>1030</v>
      </c>
    </row>
    <row r="45" customHeight="1" spans="1:9">
      <c r="A45" s="11" t="s">
        <v>20</v>
      </c>
      <c r="B45" s="12" t="s">
        <v>92</v>
      </c>
      <c r="C45" s="11" t="s">
        <v>1031</v>
      </c>
      <c r="D45" s="11" t="s">
        <v>1032</v>
      </c>
    </row>
    <row r="46" customHeight="1" spans="1:9">
      <c r="A46" s="11" t="s">
        <v>20</v>
      </c>
      <c r="B46" s="12" t="s">
        <v>92</v>
      </c>
      <c r="C46" s="11" t="s">
        <v>1033</v>
      </c>
      <c r="D46" s="11" t="s">
        <v>1034</v>
      </c>
      <c r="H46" s="5">
        <f>H44-H45</f>
        <v>0</v>
      </c>
      <c r="I46" s="5">
        <f>I44-I45</f>
        <v>0</v>
      </c>
    </row>
    <row r="47" customHeight="1" spans="1:9">
      <c r="A47" s="11" t="s">
        <v>17</v>
      </c>
      <c r="B47" s="12" t="s">
        <v>92</v>
      </c>
      <c r="C47" s="11" t="s">
        <v>1035</v>
      </c>
      <c r="D47" s="11" t="s">
        <v>1036</v>
      </c>
    </row>
    <row r="48" customHeight="1" spans="1:9">
      <c r="A48" s="12" t="s">
        <v>13</v>
      </c>
      <c r="B48" s="12" t="s">
        <v>201</v>
      </c>
      <c r="C48" s="12" t="s">
        <v>1037</v>
      </c>
      <c r="D48" s="12" t="s">
        <v>417</v>
      </c>
      <c r="H48" s="5">
        <f>H49+H52</f>
        <v>0</v>
      </c>
      <c r="I48" s="5">
        <f>I49+I52</f>
        <v>0</v>
      </c>
    </row>
    <row r="49" customHeight="1" spans="1:10">
      <c r="A49" s="11" t="s">
        <v>17</v>
      </c>
      <c r="B49" s="12" t="s">
        <v>201</v>
      </c>
      <c r="C49" s="11" t="s">
        <v>1038</v>
      </c>
      <c r="D49" s="11" t="s">
        <v>1030</v>
      </c>
    </row>
    <row r="50" customHeight="1" spans="1:10">
      <c r="A50" s="11" t="s">
        <v>20</v>
      </c>
      <c r="B50" s="12" t="s">
        <v>201</v>
      </c>
      <c r="C50" s="11" t="s">
        <v>1039</v>
      </c>
      <c r="D50" s="11" t="s">
        <v>1032</v>
      </c>
    </row>
    <row r="51" customHeight="1" spans="1:10">
      <c r="A51" s="11" t="s">
        <v>20</v>
      </c>
      <c r="B51" s="12" t="s">
        <v>201</v>
      </c>
      <c r="C51" s="11" t="s">
        <v>1040</v>
      </c>
      <c r="D51" s="11" t="s">
        <v>1034</v>
      </c>
      <c r="H51" s="5">
        <f>H49-H50</f>
        <v>0</v>
      </c>
      <c r="I51" s="5">
        <f>I49-I50</f>
        <v>0</v>
      </c>
    </row>
    <row r="52" customHeight="1" spans="1:10">
      <c r="A52" s="11" t="s">
        <v>17</v>
      </c>
      <c r="B52" s="12" t="s">
        <v>201</v>
      </c>
      <c r="C52" s="11" t="s">
        <v>1041</v>
      </c>
      <c r="D52" s="11" t="s">
        <v>1036</v>
      </c>
    </row>
    <row r="53" customHeight="1" spans="1:10">
      <c r="A53" s="11"/>
      <c r="B53" s="12"/>
      <c r="C53" s="11"/>
      <c r="D53" s="11"/>
    </row>
    <row r="54" customHeight="1" spans="1:10">
      <c r="A54" s="8" t="s">
        <v>13</v>
      </c>
      <c r="B54" s="1" t="s">
        <v>77</v>
      </c>
      <c r="C54" s="12" t="s">
        <v>1042</v>
      </c>
      <c r="D54" s="12" t="s">
        <v>478</v>
      </c>
      <c r="H54" s="5">
        <f>H55</f>
        <v>0</v>
      </c>
      <c r="I54" s="5">
        <f>I55</f>
        <v>0</v>
      </c>
    </row>
    <row r="55" customHeight="1" spans="1:10">
      <c r="A55" s="1" t="s">
        <v>17</v>
      </c>
      <c r="B55" s="1" t="s">
        <v>77</v>
      </c>
      <c r="C55" s="11" t="s">
        <v>1043</v>
      </c>
      <c r="D55" s="11" t="s">
        <v>480</v>
      </c>
    </row>
    <row r="56" customHeight="1" spans="1:10">
      <c r="A56" s="8" t="s">
        <v>13</v>
      </c>
      <c r="B56" s="1" t="s">
        <v>182</v>
      </c>
      <c r="C56" s="12" t="s">
        <v>1044</v>
      </c>
      <c r="D56" s="12" t="s">
        <v>482</v>
      </c>
      <c r="H56" s="5">
        <f>H57</f>
        <v>0</v>
      </c>
      <c r="I56" s="5">
        <f>I57</f>
        <v>0</v>
      </c>
    </row>
    <row r="57" customHeight="1" spans="1:10">
      <c r="A57" s="1" t="s">
        <v>17</v>
      </c>
      <c r="B57" s="1" t="s">
        <v>182</v>
      </c>
      <c r="C57" s="11" t="s">
        <v>1045</v>
      </c>
      <c r="D57" s="11" t="s">
        <v>484</v>
      </c>
    </row>
    <row r="58" customHeight="1" spans="1:10">
      <c r="A58" s="8" t="s">
        <v>13</v>
      </c>
      <c r="B58" s="1" t="s">
        <v>92</v>
      </c>
      <c r="C58" s="12" t="s">
        <v>1046</v>
      </c>
      <c r="D58" s="12" t="s">
        <v>486</v>
      </c>
      <c r="H58" s="5">
        <f>H59</f>
        <v>0</v>
      </c>
      <c r="I58" s="5">
        <f>I59</f>
        <v>0</v>
      </c>
    </row>
    <row r="59" customHeight="1" spans="1:10">
      <c r="A59" s="1" t="s">
        <v>17</v>
      </c>
      <c r="B59" s="1" t="s">
        <v>92</v>
      </c>
      <c r="C59" s="11" t="s">
        <v>1047</v>
      </c>
      <c r="D59" s="11" t="s">
        <v>488</v>
      </c>
    </row>
    <row r="60" customHeight="1" spans="1:10">
      <c r="A60" s="8" t="s">
        <v>13</v>
      </c>
      <c r="B60" s="1" t="s">
        <v>201</v>
      </c>
      <c r="C60" s="12" t="s">
        <v>1048</v>
      </c>
      <c r="D60" s="12" t="s">
        <v>490</v>
      </c>
      <c r="H60" s="5">
        <f>H61</f>
        <v>0</v>
      </c>
      <c r="I60" s="5">
        <f>I61</f>
        <v>0</v>
      </c>
    </row>
    <row r="61" customHeight="1" spans="1:10">
      <c r="A61" s="1" t="s">
        <v>17</v>
      </c>
      <c r="B61" s="1" t="s">
        <v>201</v>
      </c>
      <c r="C61" s="11" t="s">
        <v>1049</v>
      </c>
      <c r="D61" s="11" t="s">
        <v>492</v>
      </c>
    </row>
    <row r="62" customHeight="1" spans="1:10">
      <c r="A62" s="11"/>
      <c r="B62" s="12"/>
      <c r="C62" s="11"/>
      <c r="D62" s="11"/>
    </row>
    <row r="63" customHeight="1" spans="1:10">
      <c r="A63" s="12" t="s">
        <v>13</v>
      </c>
      <c r="B63" s="12" t="s">
        <v>14</v>
      </c>
      <c r="C63" s="12" t="s">
        <v>928</v>
      </c>
      <c r="D63" s="12" t="s">
        <v>494</v>
      </c>
      <c r="H63" s="5">
        <f>H64+H67</f>
        <v>0</v>
      </c>
      <c r="I63" s="5">
        <f>I64+I67</f>
        <v>0</v>
      </c>
    </row>
    <row r="64" customHeight="1" spans="1:10">
      <c r="A64" s="12" t="s">
        <v>17</v>
      </c>
      <c r="B64" s="12" t="s">
        <v>14</v>
      </c>
      <c r="C64" s="12" t="s">
        <v>929</v>
      </c>
      <c r="D64" s="12" t="s">
        <v>496</v>
      </c>
      <c r="I64" s="5">
        <f>I38*I65</f>
        <v>0</v>
      </c>
      <c r="J64" s="5" t="s">
        <v>516</v>
      </c>
    </row>
    <row r="65" customHeight="1" spans="1:10">
      <c r="A65" s="1" t="s">
        <v>20</v>
      </c>
      <c r="B65" s="1" t="s">
        <v>103</v>
      </c>
      <c r="C65" s="11" t="s">
        <v>930</v>
      </c>
      <c r="D65" s="11" t="s">
        <v>931</v>
      </c>
      <c r="H65" s="5" t="e">
        <f>H64/H38</f>
        <v>#DIV/0!</v>
      </c>
      <c r="J65" s="5" t="s">
        <v>329</v>
      </c>
    </row>
    <row r="66" customHeight="1" spans="1:10">
      <c r="A66" s="1"/>
      <c r="B66" s="1"/>
      <c r="C66" s="11"/>
      <c r="D66" s="11"/>
    </row>
    <row r="67" customHeight="1" spans="1:10">
      <c r="A67" s="8" t="s">
        <v>17</v>
      </c>
      <c r="B67" s="1" t="s">
        <v>14</v>
      </c>
      <c r="C67" s="12" t="s">
        <v>1050</v>
      </c>
      <c r="D67" s="12" t="s">
        <v>553</v>
      </c>
      <c r="H67" s="5">
        <f>H68</f>
        <v>0</v>
      </c>
      <c r="I67" s="5">
        <f>I68</f>
        <v>0</v>
      </c>
    </row>
    <row r="68" customHeight="1" spans="1:10">
      <c r="A68" s="8" t="s">
        <v>20</v>
      </c>
      <c r="B68" s="1" t="s">
        <v>14</v>
      </c>
      <c r="C68" s="12" t="s">
        <v>1051</v>
      </c>
      <c r="D68" s="12" t="s">
        <v>555</v>
      </c>
      <c r="I68" s="5">
        <f>I57*I69</f>
        <v>0</v>
      </c>
      <c r="J68" s="5" t="s">
        <v>516</v>
      </c>
    </row>
    <row r="69" customHeight="1" spans="1:10">
      <c r="A69" s="1" t="s">
        <v>379</v>
      </c>
      <c r="B69" s="1" t="s">
        <v>103</v>
      </c>
      <c r="C69" s="11" t="s">
        <v>1052</v>
      </c>
      <c r="D69" s="11" t="s">
        <v>557</v>
      </c>
      <c r="H69" s="5" t="e">
        <f>H68/H57</f>
        <v>#DIV/0!</v>
      </c>
      <c r="J69" s="5" t="s">
        <v>329</v>
      </c>
    </row>
    <row r="70" customHeight="1" spans="1:10">
      <c r="A70" s="11"/>
      <c r="B70" s="11"/>
      <c r="C70" s="11"/>
      <c r="D70" s="11"/>
    </row>
    <row r="71" customHeight="1" spans="1:10">
      <c r="A71" s="8" t="s">
        <v>13</v>
      </c>
      <c r="B71" s="8" t="s">
        <v>23</v>
      </c>
      <c r="C71" s="12" t="s">
        <v>1053</v>
      </c>
      <c r="D71" s="12" t="s">
        <v>559</v>
      </c>
      <c r="H71" s="5">
        <f>H72+H74+H77</f>
        <v>0</v>
      </c>
      <c r="I71" s="5">
        <f>I72+I74+I77</f>
        <v>0</v>
      </c>
    </row>
    <row r="72" customHeight="1" spans="1:10">
      <c r="A72" s="8" t="s">
        <v>17</v>
      </c>
      <c r="B72" s="8" t="s">
        <v>23</v>
      </c>
      <c r="C72" s="12" t="s">
        <v>1054</v>
      </c>
      <c r="D72" s="12" t="s">
        <v>561</v>
      </c>
      <c r="I72" s="5">
        <f>I38*I73</f>
        <v>0</v>
      </c>
      <c r="J72" s="5" t="s">
        <v>516</v>
      </c>
    </row>
    <row r="73" customHeight="1" spans="1:10">
      <c r="A73" s="1" t="s">
        <v>20</v>
      </c>
      <c r="B73" s="1" t="s">
        <v>103</v>
      </c>
      <c r="C73" s="11" t="s">
        <v>1055</v>
      </c>
      <c r="D73" s="11" t="s">
        <v>935</v>
      </c>
      <c r="H73" s="5" t="e">
        <f>H72/H38</f>
        <v>#DIV/0!</v>
      </c>
      <c r="J73" s="5" t="s">
        <v>329</v>
      </c>
    </row>
    <row r="74" customHeight="1" spans="1:10">
      <c r="A74" s="8" t="s">
        <v>17</v>
      </c>
      <c r="B74" s="8" t="s">
        <v>23</v>
      </c>
      <c r="C74" s="12" t="s">
        <v>1056</v>
      </c>
      <c r="D74" s="12" t="s">
        <v>571</v>
      </c>
      <c r="H74" s="5">
        <f>H75</f>
        <v>0</v>
      </c>
      <c r="I74" s="5">
        <f>I75</f>
        <v>0</v>
      </c>
    </row>
    <row r="75" customHeight="1" spans="1:10">
      <c r="A75" s="1" t="s">
        <v>20</v>
      </c>
      <c r="B75" s="1" t="s">
        <v>23</v>
      </c>
      <c r="C75" s="11" t="s">
        <v>1057</v>
      </c>
      <c r="D75" s="11" t="s">
        <v>573</v>
      </c>
      <c r="I75" s="5">
        <f>I57*I76</f>
        <v>0</v>
      </c>
      <c r="J75" s="5" t="s">
        <v>516</v>
      </c>
    </row>
    <row r="76" customHeight="1" spans="1:10">
      <c r="A76" s="1" t="s">
        <v>379</v>
      </c>
      <c r="B76" s="1" t="s">
        <v>103</v>
      </c>
      <c r="C76" s="11" t="s">
        <v>1058</v>
      </c>
      <c r="D76" s="11" t="s">
        <v>575</v>
      </c>
      <c r="H76" s="5" t="e">
        <f>H75/H57</f>
        <v>#DIV/0!</v>
      </c>
      <c r="J76" s="5" t="s">
        <v>329</v>
      </c>
    </row>
    <row r="77" customHeight="1" spans="1:10">
      <c r="A77" s="8" t="s">
        <v>17</v>
      </c>
      <c r="B77" s="8" t="s">
        <v>23</v>
      </c>
      <c r="C77" s="12" t="s">
        <v>1059</v>
      </c>
      <c r="D77" s="12" t="s">
        <v>577</v>
      </c>
      <c r="H77" s="5">
        <f>H78</f>
        <v>0</v>
      </c>
      <c r="I77" s="5">
        <f>I78</f>
        <v>0</v>
      </c>
    </row>
    <row r="78" customHeight="1" spans="1:10">
      <c r="A78" s="1" t="s">
        <v>20</v>
      </c>
      <c r="B78" s="1" t="s">
        <v>23</v>
      </c>
      <c r="C78" s="11" t="s">
        <v>1060</v>
      </c>
      <c r="D78" s="11" t="s">
        <v>579</v>
      </c>
    </row>
    <row r="79" customHeight="1" spans="1:10">
      <c r="A79" s="1"/>
      <c r="B79" s="1"/>
      <c r="C79" s="11"/>
      <c r="D79" s="11"/>
    </row>
    <row r="80" customHeight="1" spans="1:10">
      <c r="A80" s="12" t="s">
        <v>13</v>
      </c>
      <c r="B80" s="12" t="s">
        <v>23</v>
      </c>
      <c r="C80" s="12" t="s">
        <v>1061</v>
      </c>
      <c r="D80" s="12" t="s">
        <v>581</v>
      </c>
      <c r="E80" s="13"/>
      <c r="F80" s="13"/>
      <c r="G80" s="13"/>
      <c r="H80" s="13">
        <f>H81+H87</f>
        <v>0</v>
      </c>
      <c r="I80" s="13">
        <f>I81+I87</f>
        <v>0</v>
      </c>
      <c r="J80" s="13"/>
    </row>
    <row r="81" customHeight="1" spans="1:10">
      <c r="A81" s="12" t="s">
        <v>17</v>
      </c>
      <c r="B81" s="12" t="s">
        <v>23</v>
      </c>
      <c r="C81" s="12" t="s">
        <v>1062</v>
      </c>
      <c r="D81" s="12" t="s">
        <v>583</v>
      </c>
      <c r="H81" s="5">
        <f>H83+H85</f>
        <v>0</v>
      </c>
      <c r="I81" s="5">
        <f>I83+I85</f>
        <v>0</v>
      </c>
    </row>
    <row r="82" customHeight="1" spans="1:10">
      <c r="A82" s="11" t="s">
        <v>20</v>
      </c>
      <c r="B82" s="11" t="s">
        <v>103</v>
      </c>
      <c r="C82" s="11" t="s">
        <v>1063</v>
      </c>
      <c r="D82" s="11" t="s">
        <v>585</v>
      </c>
      <c r="H82" s="5" t="e">
        <f>H81/H49</f>
        <v>#DIV/0!</v>
      </c>
      <c r="I82" s="5" t="e">
        <f>I81/I49</f>
        <v>#DIV/0!</v>
      </c>
      <c r="J82" s="5" t="s">
        <v>329</v>
      </c>
    </row>
    <row r="83" customHeight="1" spans="1:10">
      <c r="A83" s="11" t="s">
        <v>20</v>
      </c>
      <c r="B83" s="11" t="s">
        <v>23</v>
      </c>
      <c r="C83" s="11" t="s">
        <v>1064</v>
      </c>
      <c r="D83" s="11" t="s">
        <v>1065</v>
      </c>
      <c r="I83" s="5">
        <f>I50*I84</f>
        <v>0</v>
      </c>
      <c r="J83" s="5" t="s">
        <v>516</v>
      </c>
    </row>
    <row r="84" customHeight="1" spans="1:10">
      <c r="A84" s="11" t="s">
        <v>379</v>
      </c>
      <c r="B84" s="11" t="s">
        <v>103</v>
      </c>
      <c r="C84" s="11" t="s">
        <v>1066</v>
      </c>
      <c r="D84" s="11" t="s">
        <v>1067</v>
      </c>
      <c r="H84" s="5" t="e">
        <f>H83/H50</f>
        <v>#DIV/0!</v>
      </c>
      <c r="J84" s="5" t="s">
        <v>329</v>
      </c>
    </row>
    <row r="85" customHeight="1" spans="1:10">
      <c r="A85" s="11" t="s">
        <v>20</v>
      </c>
      <c r="B85" s="11" t="s">
        <v>23</v>
      </c>
      <c r="C85" s="11" t="s">
        <v>1068</v>
      </c>
      <c r="D85" s="11" t="s">
        <v>1069</v>
      </c>
      <c r="I85" s="5">
        <f>I51*I86</f>
        <v>0</v>
      </c>
      <c r="J85" s="5" t="s">
        <v>516</v>
      </c>
    </row>
    <row r="86" customHeight="1" spans="1:10">
      <c r="A86" s="11" t="s">
        <v>379</v>
      </c>
      <c r="B86" s="11" t="s">
        <v>103</v>
      </c>
      <c r="C86" s="11" t="s">
        <v>1070</v>
      </c>
      <c r="D86" s="11" t="s">
        <v>1071</v>
      </c>
      <c r="H86" s="5" t="e">
        <f>H85/H51</f>
        <v>#DIV/0!</v>
      </c>
      <c r="J86" s="5" t="s">
        <v>329</v>
      </c>
    </row>
    <row r="87" customHeight="1" spans="1:10">
      <c r="A87" s="8" t="s">
        <v>17</v>
      </c>
      <c r="B87" s="8" t="s">
        <v>23</v>
      </c>
      <c r="C87" s="12" t="s">
        <v>1072</v>
      </c>
      <c r="D87" s="12" t="s">
        <v>943</v>
      </c>
      <c r="H87" s="5">
        <f>H88</f>
        <v>0</v>
      </c>
      <c r="I87" s="5">
        <f>I88</f>
        <v>0</v>
      </c>
    </row>
    <row r="88" customHeight="1" spans="1:10">
      <c r="A88" s="1" t="s">
        <v>20</v>
      </c>
      <c r="B88" s="1" t="s">
        <v>23</v>
      </c>
      <c r="C88" s="11" t="s">
        <v>1073</v>
      </c>
      <c r="D88" s="11" t="s">
        <v>945</v>
      </c>
      <c r="I88" s="5">
        <f>I61*I89</f>
        <v>0</v>
      </c>
      <c r="J88" s="5" t="s">
        <v>516</v>
      </c>
    </row>
    <row r="89" customHeight="1" spans="1:10">
      <c r="A89" s="1" t="s">
        <v>379</v>
      </c>
      <c r="B89" s="1" t="s">
        <v>103</v>
      </c>
      <c r="C89" s="11" t="s">
        <v>1074</v>
      </c>
      <c r="D89" s="11" t="s">
        <v>947</v>
      </c>
      <c r="H89" s="5" t="e">
        <f>H88/H61</f>
        <v>#DIV/0!</v>
      </c>
      <c r="J89" s="5" t="s">
        <v>329</v>
      </c>
    </row>
    <row r="90" customHeight="1" spans="1:10">
      <c r="A90" s="1"/>
      <c r="B90" s="11"/>
      <c r="C90" s="11"/>
      <c r="D90" s="11"/>
    </row>
    <row r="91" customHeight="1" spans="1:10">
      <c r="A91" s="8" t="s">
        <v>13</v>
      </c>
      <c r="B91" s="8" t="s">
        <v>14</v>
      </c>
      <c r="C91" s="12" t="s">
        <v>1075</v>
      </c>
      <c r="D91" s="12" t="s">
        <v>593</v>
      </c>
      <c r="E91" s="13"/>
      <c r="F91" s="13"/>
      <c r="G91" s="13"/>
      <c r="H91" s="13">
        <f>H92+H98+H101</f>
        <v>0</v>
      </c>
      <c r="I91" s="13">
        <f>I92+I98+I101</f>
        <v>0</v>
      </c>
      <c r="J91" s="13"/>
    </row>
    <row r="92" customHeight="1" spans="1:10">
      <c r="A92" s="8" t="s">
        <v>17</v>
      </c>
      <c r="B92" s="8" t="s">
        <v>14</v>
      </c>
      <c r="C92" s="12" t="s">
        <v>1076</v>
      </c>
      <c r="D92" s="12" t="s">
        <v>595</v>
      </c>
      <c r="H92" s="5">
        <f>H94+H96</f>
        <v>0</v>
      </c>
      <c r="I92" s="5">
        <f>I94+I96</f>
        <v>0</v>
      </c>
    </row>
    <row r="93" customHeight="1" spans="1:10">
      <c r="A93" s="1" t="s">
        <v>20</v>
      </c>
      <c r="B93" s="1" t="s">
        <v>103</v>
      </c>
      <c r="C93" s="11" t="s">
        <v>1077</v>
      </c>
      <c r="D93" s="11" t="s">
        <v>597</v>
      </c>
      <c r="H93" s="5" t="e">
        <f>H92/H49</f>
        <v>#DIV/0!</v>
      </c>
      <c r="I93" s="5" t="e">
        <f>I92/I49</f>
        <v>#DIV/0!</v>
      </c>
      <c r="J93" s="5" t="s">
        <v>329</v>
      </c>
    </row>
    <row r="94" customHeight="1" spans="1:10">
      <c r="A94" s="1" t="s">
        <v>20</v>
      </c>
      <c r="B94" s="1" t="s">
        <v>14</v>
      </c>
      <c r="C94" s="11" t="s">
        <v>1078</v>
      </c>
      <c r="D94" s="11" t="s">
        <v>1079</v>
      </c>
      <c r="I94" s="5">
        <f>I50*I95</f>
        <v>0</v>
      </c>
      <c r="J94" s="5" t="s">
        <v>516</v>
      </c>
    </row>
    <row r="95" customHeight="1" spans="1:10">
      <c r="A95" s="1" t="s">
        <v>379</v>
      </c>
      <c r="B95" s="1" t="s">
        <v>103</v>
      </c>
      <c r="C95" s="11" t="s">
        <v>1080</v>
      </c>
      <c r="D95" s="11" t="s">
        <v>1081</v>
      </c>
      <c r="H95" s="5" t="e">
        <f>H94/H50</f>
        <v>#DIV/0!</v>
      </c>
      <c r="J95" s="5" t="s">
        <v>329</v>
      </c>
    </row>
    <row r="96" customHeight="1" spans="1:10">
      <c r="A96" s="1" t="s">
        <v>20</v>
      </c>
      <c r="B96" s="1" t="s">
        <v>14</v>
      </c>
      <c r="C96" s="11" t="s">
        <v>1082</v>
      </c>
      <c r="D96" s="11" t="s">
        <v>1083</v>
      </c>
      <c r="I96" s="5">
        <f>I51*I97</f>
        <v>0</v>
      </c>
      <c r="J96" s="5" t="s">
        <v>516</v>
      </c>
    </row>
    <row r="97" customHeight="1" spans="1:10">
      <c r="A97" s="1" t="s">
        <v>379</v>
      </c>
      <c r="B97" s="1" t="s">
        <v>103</v>
      </c>
      <c r="C97" s="11" t="s">
        <v>1084</v>
      </c>
      <c r="D97" s="11" t="s">
        <v>1085</v>
      </c>
      <c r="H97" s="5" t="e">
        <f>H96/H51</f>
        <v>#DIV/0!</v>
      </c>
      <c r="J97" s="5" t="s">
        <v>329</v>
      </c>
    </row>
    <row r="98" customHeight="1" spans="1:10">
      <c r="A98" s="13" t="s">
        <v>17</v>
      </c>
      <c r="B98" s="13" t="s">
        <v>14</v>
      </c>
      <c r="C98" s="12" t="s">
        <v>1086</v>
      </c>
      <c r="D98" s="13" t="s">
        <v>599</v>
      </c>
      <c r="H98" s="5">
        <f>H99</f>
        <v>0</v>
      </c>
      <c r="I98" s="5">
        <f>I99</f>
        <v>0</v>
      </c>
    </row>
    <row r="99" customHeight="1" spans="1:10">
      <c r="A99" s="5" t="s">
        <v>20</v>
      </c>
      <c r="B99" s="5" t="s">
        <v>14</v>
      </c>
      <c r="C99" s="11" t="s">
        <v>1087</v>
      </c>
      <c r="D99" s="5" t="s">
        <v>601</v>
      </c>
      <c r="I99" s="5">
        <f>I61*I100</f>
        <v>0</v>
      </c>
      <c r="J99" s="5" t="s">
        <v>516</v>
      </c>
    </row>
    <row r="100" customHeight="1" spans="1:10">
      <c r="A100" s="5" t="s">
        <v>379</v>
      </c>
      <c r="B100" s="5" t="s">
        <v>103</v>
      </c>
      <c r="C100" s="11" t="s">
        <v>1088</v>
      </c>
      <c r="D100" s="5" t="s">
        <v>603</v>
      </c>
      <c r="H100" s="5" t="e">
        <f>H99/H61</f>
        <v>#DIV/0!</v>
      </c>
      <c r="J100" s="5" t="s">
        <v>329</v>
      </c>
    </row>
    <row r="101" customHeight="1" spans="1:10">
      <c r="A101" s="8" t="s">
        <v>17</v>
      </c>
      <c r="B101" s="8" t="s">
        <v>14</v>
      </c>
      <c r="C101" s="12" t="s">
        <v>1089</v>
      </c>
      <c r="D101" s="12" t="s">
        <v>831</v>
      </c>
      <c r="H101" s="5">
        <f>H102</f>
        <v>0</v>
      </c>
      <c r="I101" s="5">
        <f>I102</f>
        <v>0</v>
      </c>
    </row>
    <row r="102" customHeight="1" spans="1:10">
      <c r="A102" s="1" t="s">
        <v>20</v>
      </c>
      <c r="B102" s="1" t="s">
        <v>14</v>
      </c>
      <c r="C102" s="11" t="s">
        <v>1090</v>
      </c>
      <c r="D102" s="11" t="s">
        <v>956</v>
      </c>
    </row>
    <row r="103" customHeight="1" spans="1:10">
      <c r="A103" s="1"/>
      <c r="B103" s="11"/>
      <c r="C103" s="11"/>
      <c r="D103" s="11"/>
    </row>
    <row r="104" customHeight="1" spans="1:10">
      <c r="A104" s="11"/>
      <c r="B104" s="11"/>
      <c r="C104" s="11"/>
      <c r="D104" s="11"/>
    </row>
    <row r="105" customHeight="1" spans="1:10">
      <c r="A105" s="12" t="s">
        <v>13</v>
      </c>
      <c r="B105" s="12" t="s">
        <v>14</v>
      </c>
      <c r="C105" s="12" t="s">
        <v>1091</v>
      </c>
      <c r="D105" s="12" t="s">
        <v>605</v>
      </c>
      <c r="I105" s="5">
        <f>I106+I108</f>
        <v>0</v>
      </c>
    </row>
    <row r="106" customHeight="1" spans="1:10">
      <c r="A106" s="12" t="s">
        <v>17</v>
      </c>
      <c r="B106" s="12" t="s">
        <v>14</v>
      </c>
      <c r="C106" s="12" t="s">
        <v>1092</v>
      </c>
      <c r="D106" s="12" t="s">
        <v>1093</v>
      </c>
      <c r="I106" s="5">
        <f>I52*I107</f>
        <v>0</v>
      </c>
      <c r="J106" s="5" t="s">
        <v>516</v>
      </c>
    </row>
    <row r="107" customHeight="1" spans="1:10">
      <c r="A107" s="11" t="s">
        <v>20</v>
      </c>
      <c r="B107" s="1" t="s">
        <v>103</v>
      </c>
      <c r="C107" s="11" t="s">
        <v>1094</v>
      </c>
      <c r="D107" s="11" t="s">
        <v>625</v>
      </c>
      <c r="H107" s="5" t="e">
        <f>H106/H52</f>
        <v>#DIV/0!</v>
      </c>
      <c r="J107" s="5" t="s">
        <v>329</v>
      </c>
    </row>
    <row r="108" customHeight="1" spans="1:10">
      <c r="A108" s="12" t="s">
        <v>17</v>
      </c>
      <c r="B108" s="12" t="s">
        <v>14</v>
      </c>
      <c r="C108" s="12" t="s">
        <v>1095</v>
      </c>
      <c r="D108" s="12" t="s">
        <v>675</v>
      </c>
      <c r="H108" s="5">
        <f>H105-H106</f>
        <v>0</v>
      </c>
    </row>
    <row r="109" customHeight="1" spans="1:10">
      <c r="A109" s="11"/>
      <c r="B109" s="11"/>
      <c r="C109" s="11"/>
      <c r="D109" s="11"/>
    </row>
    <row r="110" customHeight="1" spans="1:10">
      <c r="A110" s="12" t="s">
        <v>13</v>
      </c>
      <c r="B110" s="12" t="s">
        <v>23</v>
      </c>
      <c r="C110" s="12" t="s">
        <v>1096</v>
      </c>
      <c r="D110" s="12" t="s">
        <v>637</v>
      </c>
      <c r="I110" s="5">
        <f>I111+I113+I115</f>
        <v>0</v>
      </c>
    </row>
    <row r="111" customHeight="1" spans="1:10">
      <c r="A111" s="12" t="s">
        <v>17</v>
      </c>
      <c r="B111" s="12" t="s">
        <v>23</v>
      </c>
      <c r="C111" s="12" t="s">
        <v>1097</v>
      </c>
      <c r="D111" s="12" t="s">
        <v>646</v>
      </c>
      <c r="I111" s="5">
        <f>I52*I112</f>
        <v>0</v>
      </c>
      <c r="J111" s="5" t="s">
        <v>516</v>
      </c>
    </row>
    <row r="112" customHeight="1" spans="1:10">
      <c r="A112" s="11" t="s">
        <v>20</v>
      </c>
      <c r="B112" s="1" t="s">
        <v>103</v>
      </c>
      <c r="C112" s="11" t="s">
        <v>1098</v>
      </c>
      <c r="D112" s="11" t="s">
        <v>641</v>
      </c>
      <c r="H112" s="5" t="e">
        <f>H111/H52</f>
        <v>#DIV/0!</v>
      </c>
      <c r="J112" s="5" t="s">
        <v>329</v>
      </c>
    </row>
    <row r="113" customHeight="1" spans="1:10">
      <c r="A113" s="12" t="s">
        <v>17</v>
      </c>
      <c r="B113" s="12" t="s">
        <v>23</v>
      </c>
      <c r="C113" s="12" t="s">
        <v>1099</v>
      </c>
      <c r="D113" s="12" t="s">
        <v>1100</v>
      </c>
      <c r="I113" s="5">
        <f>I52*I114</f>
        <v>0</v>
      </c>
      <c r="J113" s="5" t="s">
        <v>516</v>
      </c>
    </row>
    <row r="114" customHeight="1" spans="1:10">
      <c r="A114" s="11" t="s">
        <v>20</v>
      </c>
      <c r="B114" s="1" t="s">
        <v>103</v>
      </c>
      <c r="C114" s="11" t="s">
        <v>1101</v>
      </c>
      <c r="D114" s="11" t="s">
        <v>641</v>
      </c>
      <c r="H114" s="5" t="e">
        <f>H113/H52</f>
        <v>#DIV/0!</v>
      </c>
      <c r="J114" s="5" t="s">
        <v>329</v>
      </c>
    </row>
    <row r="115" customHeight="1" spans="1:10">
      <c r="A115" s="12" t="s">
        <v>17</v>
      </c>
      <c r="B115" s="12" t="s">
        <v>23</v>
      </c>
      <c r="C115" s="12" t="s">
        <v>1102</v>
      </c>
      <c r="D115" s="12" t="s">
        <v>675</v>
      </c>
      <c r="H115" s="5">
        <f>H110-H111-H113</f>
        <v>0</v>
      </c>
    </row>
    <row r="116" customHeight="1" spans="1:10">
      <c r="A116" s="11"/>
      <c r="B116" s="11"/>
      <c r="C116" s="11"/>
      <c r="D116" s="11"/>
    </row>
    <row r="117" customHeight="1" spans="1:10">
      <c r="A117" s="12" t="s">
        <v>13</v>
      </c>
      <c r="B117" s="12" t="s">
        <v>14</v>
      </c>
      <c r="C117" s="12" t="s">
        <v>1103</v>
      </c>
      <c r="D117" s="12" t="s">
        <v>677</v>
      </c>
    </row>
    <row r="118" customHeight="1" spans="1:10">
      <c r="A118" s="11"/>
      <c r="B118" s="11"/>
      <c r="C118" s="11"/>
      <c r="D118" s="11"/>
    </row>
    <row r="119" customHeight="1" spans="1:10">
      <c r="A119" s="12" t="s">
        <v>13</v>
      </c>
      <c r="B119" s="12" t="s">
        <v>14</v>
      </c>
      <c r="C119" s="12" t="s">
        <v>1104</v>
      </c>
      <c r="D119" s="12" t="s">
        <v>679</v>
      </c>
    </row>
    <row r="120" customHeight="1" spans="1:10">
      <c r="A120" s="11"/>
      <c r="B120" s="11"/>
      <c r="C120" s="11"/>
      <c r="D120" s="11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3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customHeight="1"/>
  <cols>
    <col min="1" max="2" width="8.66071428571429" style="5"/>
    <col min="3" max="3" width="11" style="5" customWidth="1"/>
    <col min="4" max="4" width="17.5" style="5" customWidth="1"/>
    <col min="5" max="9" width="8.66071428571429" style="5"/>
    <col min="10" max="10" width="10.1607142857143" style="5" customWidth="1"/>
    <col min="11" max="16384" width="8.66071428571429" style="5"/>
  </cols>
  <sheetData>
    <row r="1" s="1" customFormat="1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7"/>
      <c r="O1" s="7"/>
    </row>
    <row r="2" customHeight="1" spans="1:15">
      <c r="A2" s="8" t="s">
        <v>13</v>
      </c>
      <c r="B2" s="1" t="s">
        <v>14</v>
      </c>
      <c r="C2" s="9" t="s">
        <v>1105</v>
      </c>
      <c r="D2" s="8" t="s">
        <v>16</v>
      </c>
      <c r="H2" s="5">
        <f>H3+H6+H7</f>
        <v>0</v>
      </c>
      <c r="I2" s="5">
        <f>I3+I6+I7</f>
        <v>0</v>
      </c>
    </row>
    <row r="3" customHeight="1" spans="1:15">
      <c r="A3" s="1" t="s">
        <v>17</v>
      </c>
      <c r="B3" s="1" t="s">
        <v>14</v>
      </c>
      <c r="C3" s="9" t="s">
        <v>1106</v>
      </c>
      <c r="D3" s="1" t="s">
        <v>19</v>
      </c>
      <c r="H3" s="5">
        <f>H4+H5</f>
        <v>0</v>
      </c>
      <c r="I3" s="5">
        <f>I4+I5</f>
        <v>0</v>
      </c>
    </row>
    <row r="4" customHeight="1" spans="1:15">
      <c r="A4" s="1" t="s">
        <v>20</v>
      </c>
      <c r="B4" s="1" t="s">
        <v>14</v>
      </c>
      <c r="C4" s="10" t="s">
        <v>1107</v>
      </c>
      <c r="D4" s="1" t="s">
        <v>349</v>
      </c>
      <c r="H4" s="5">
        <f>H48-H52</f>
        <v>0</v>
      </c>
      <c r="I4" s="5">
        <f>I48-I52</f>
        <v>0</v>
      </c>
    </row>
    <row r="5" customHeight="1" spans="1:15">
      <c r="A5" s="1" t="s">
        <v>20</v>
      </c>
      <c r="B5" s="1" t="s">
        <v>14</v>
      </c>
      <c r="C5" s="10" t="s">
        <v>1108</v>
      </c>
      <c r="D5" s="1" t="s">
        <v>354</v>
      </c>
      <c r="H5" s="5">
        <f>H62-H58</f>
        <v>0</v>
      </c>
      <c r="I5" s="5">
        <f>I62-I58</f>
        <v>0</v>
      </c>
    </row>
    <row r="6" customHeight="1" spans="1:15">
      <c r="A6" s="1" t="s">
        <v>17</v>
      </c>
      <c r="B6" s="1" t="s">
        <v>14</v>
      </c>
      <c r="C6" s="9" t="s">
        <v>1109</v>
      </c>
      <c r="D6" s="1" t="s">
        <v>427</v>
      </c>
      <c r="H6" s="5">
        <f>H66-H69</f>
        <v>0</v>
      </c>
      <c r="I6" s="5">
        <f>I66-I69</f>
        <v>0</v>
      </c>
    </row>
    <row r="7" customHeight="1" spans="1:15">
      <c r="A7" s="1" t="s">
        <v>17</v>
      </c>
      <c r="B7" s="1" t="s">
        <v>14</v>
      </c>
      <c r="C7" s="9" t="s">
        <v>1110</v>
      </c>
      <c r="D7" s="1" t="s">
        <v>33</v>
      </c>
      <c r="H7" s="5">
        <f>H80+H82</f>
        <v>0</v>
      </c>
      <c r="I7" s="5">
        <f>I80+I82</f>
        <v>0</v>
      </c>
    </row>
    <row r="8" customHeight="1" spans="1:15">
      <c r="A8" s="8" t="s">
        <v>13</v>
      </c>
      <c r="B8" s="1" t="s">
        <v>23</v>
      </c>
      <c r="C8" s="9" t="s">
        <v>1111</v>
      </c>
      <c r="D8" s="8" t="s">
        <v>363</v>
      </c>
    </row>
    <row r="9" customHeight="1" spans="1:15">
      <c r="A9" s="8" t="s">
        <v>13</v>
      </c>
      <c r="B9" s="1" t="s">
        <v>14</v>
      </c>
      <c r="C9" s="9" t="s">
        <v>1112</v>
      </c>
      <c r="D9" s="8" t="s">
        <v>45</v>
      </c>
      <c r="H9" s="5">
        <f>H2-H8</f>
        <v>0</v>
      </c>
      <c r="I9" s="5">
        <f>I2-I8</f>
        <v>0</v>
      </c>
    </row>
    <row r="10" customHeight="1" spans="1:15">
      <c r="A10" s="8" t="s">
        <v>13</v>
      </c>
      <c r="B10" s="1" t="s">
        <v>23</v>
      </c>
      <c r="C10" s="9" t="s">
        <v>1113</v>
      </c>
      <c r="D10" s="8" t="s">
        <v>47</v>
      </c>
    </row>
    <row r="11" customHeight="1" spans="1:15">
      <c r="A11" s="8" t="s">
        <v>13</v>
      </c>
      <c r="B11" s="1" t="s">
        <v>23</v>
      </c>
      <c r="C11" s="9" t="s">
        <v>1114</v>
      </c>
      <c r="D11" s="8" t="s">
        <v>367</v>
      </c>
      <c r="H11" s="5">
        <f>H12+H15+H18+H25+H26</f>
        <v>0</v>
      </c>
      <c r="I11" s="5">
        <f>I12+I15+I18+I25+I26</f>
        <v>0</v>
      </c>
    </row>
    <row r="12" customHeight="1" spans="1:15">
      <c r="A12" s="1" t="s">
        <v>17</v>
      </c>
      <c r="B12" s="1" t="s">
        <v>23</v>
      </c>
      <c r="C12" s="9" t="s">
        <v>1115</v>
      </c>
      <c r="D12" s="1" t="s">
        <v>369</v>
      </c>
      <c r="H12" s="5">
        <f>H13+H14</f>
        <v>0</v>
      </c>
      <c r="I12" s="5">
        <f>I13+I14</f>
        <v>0</v>
      </c>
    </row>
    <row r="13" customHeight="1" spans="1:15">
      <c r="A13" s="1" t="s">
        <v>20</v>
      </c>
      <c r="B13" s="1" t="s">
        <v>23</v>
      </c>
      <c r="C13" s="10" t="s">
        <v>1116</v>
      </c>
      <c r="D13" s="1" t="s">
        <v>53</v>
      </c>
    </row>
    <row r="14" customHeight="1" spans="1:15">
      <c r="A14" s="1" t="s">
        <v>20</v>
      </c>
      <c r="B14" s="1" t="s">
        <v>23</v>
      </c>
      <c r="C14" s="10" t="s">
        <v>1117</v>
      </c>
      <c r="D14" s="1" t="s">
        <v>372</v>
      </c>
    </row>
    <row r="15" customHeight="1" spans="1:15">
      <c r="A15" s="1" t="s">
        <v>17</v>
      </c>
      <c r="B15" s="1" t="s">
        <v>23</v>
      </c>
      <c r="C15" s="9" t="s">
        <v>1118</v>
      </c>
      <c r="D15" s="1" t="s">
        <v>59</v>
      </c>
      <c r="H15" s="5">
        <f>H16+H17</f>
        <v>0</v>
      </c>
      <c r="I15" s="5">
        <f>I16+I17</f>
        <v>0</v>
      </c>
    </row>
    <row r="16" customHeight="1" spans="1:15">
      <c r="A16" s="1" t="s">
        <v>20</v>
      </c>
      <c r="B16" s="1" t="s">
        <v>23</v>
      </c>
      <c r="C16" s="10" t="s">
        <v>1119</v>
      </c>
      <c r="D16" s="1" t="s">
        <v>61</v>
      </c>
    </row>
    <row r="17" customHeight="1" spans="1:9">
      <c r="A17" s="1" t="s">
        <v>20</v>
      </c>
      <c r="B17" s="1" t="s">
        <v>23</v>
      </c>
      <c r="C17" s="10" t="s">
        <v>1120</v>
      </c>
      <c r="D17" s="1" t="s">
        <v>63</v>
      </c>
    </row>
    <row r="18" customHeight="1" spans="1:9">
      <c r="A18" s="1" t="s">
        <v>17</v>
      </c>
      <c r="B18" s="1" t="s">
        <v>23</v>
      </c>
      <c r="C18" s="9" t="s">
        <v>1121</v>
      </c>
      <c r="D18" s="1" t="s">
        <v>65</v>
      </c>
      <c r="H18" s="5">
        <f>H19+H22+H23+H24</f>
        <v>0</v>
      </c>
      <c r="I18" s="5">
        <f>I19+I22+I23+I24</f>
        <v>0</v>
      </c>
    </row>
    <row r="19" customHeight="1" spans="1:9">
      <c r="A19" s="1" t="s">
        <v>20</v>
      </c>
      <c r="B19" s="1" t="s">
        <v>23</v>
      </c>
      <c r="C19" s="10" t="s">
        <v>1122</v>
      </c>
      <c r="D19" s="1" t="s">
        <v>378</v>
      </c>
      <c r="H19" s="5">
        <f>H20+H21</f>
        <v>0</v>
      </c>
      <c r="I19" s="5">
        <f>I20+I21</f>
        <v>0</v>
      </c>
    </row>
    <row r="20" customHeight="1" spans="1:9">
      <c r="A20" s="1" t="s">
        <v>379</v>
      </c>
      <c r="B20" s="1" t="s">
        <v>23</v>
      </c>
      <c r="C20" s="10" t="s">
        <v>1123</v>
      </c>
      <c r="D20" s="1" t="s">
        <v>381</v>
      </c>
    </row>
    <row r="21" customHeight="1" spans="1:9">
      <c r="A21" s="1" t="s">
        <v>379</v>
      </c>
      <c r="B21" s="1" t="s">
        <v>23</v>
      </c>
      <c r="C21" s="10" t="s">
        <v>1124</v>
      </c>
      <c r="D21" s="1" t="s">
        <v>383</v>
      </c>
    </row>
    <row r="22" customHeight="1" spans="1:9">
      <c r="A22" s="1" t="s">
        <v>20</v>
      </c>
      <c r="B22" s="1" t="s">
        <v>23</v>
      </c>
      <c r="C22" s="10" t="s">
        <v>1125</v>
      </c>
      <c r="D22" s="1" t="s">
        <v>385</v>
      </c>
    </row>
    <row r="23" customHeight="1" spans="1:9">
      <c r="A23" s="1" t="s">
        <v>20</v>
      </c>
      <c r="B23" s="1" t="s">
        <v>23</v>
      </c>
      <c r="C23" s="10" t="s">
        <v>1126</v>
      </c>
      <c r="D23" s="1" t="s">
        <v>387</v>
      </c>
    </row>
    <row r="24" customHeight="1" spans="1:9">
      <c r="A24" s="1" t="s">
        <v>20</v>
      </c>
      <c r="B24" s="1" t="s">
        <v>23</v>
      </c>
      <c r="C24" s="10" t="s">
        <v>1127</v>
      </c>
      <c r="D24" s="1" t="s">
        <v>389</v>
      </c>
    </row>
    <row r="25" customHeight="1" spans="1:9">
      <c r="A25" s="1" t="s">
        <v>17</v>
      </c>
      <c r="B25" s="1" t="s">
        <v>23</v>
      </c>
      <c r="C25" s="9" t="s">
        <v>1128</v>
      </c>
      <c r="D25" s="1" t="s">
        <v>391</v>
      </c>
    </row>
    <row r="26" customHeight="1" spans="1:9">
      <c r="A26" s="1" t="s">
        <v>17</v>
      </c>
      <c r="B26" s="1" t="s">
        <v>23</v>
      </c>
      <c r="C26" s="9" t="s">
        <v>1129</v>
      </c>
      <c r="D26" s="1" t="s">
        <v>67</v>
      </c>
    </row>
    <row r="27" customHeight="1" spans="1:9">
      <c r="A27" s="8" t="s">
        <v>13</v>
      </c>
      <c r="B27" s="1" t="s">
        <v>14</v>
      </c>
      <c r="C27" s="9" t="s">
        <v>1130</v>
      </c>
      <c r="D27" s="8" t="s">
        <v>69</v>
      </c>
    </row>
    <row r="28" customHeight="1" spans="1:9">
      <c r="A28" s="8" t="s">
        <v>13</v>
      </c>
      <c r="B28" s="1" t="s">
        <v>70</v>
      </c>
      <c r="C28" s="9" t="s">
        <v>1131</v>
      </c>
      <c r="D28" s="8" t="s">
        <v>395</v>
      </c>
      <c r="H28" s="5">
        <f>H9-H10-H11+H27</f>
        <v>0</v>
      </c>
      <c r="I28" s="5">
        <f>I9-I10-I11+I27</f>
        <v>0</v>
      </c>
    </row>
    <row r="29" customHeight="1" spans="1:9">
      <c r="A29" s="8" t="s">
        <v>13</v>
      </c>
      <c r="B29" s="1" t="s">
        <v>23</v>
      </c>
      <c r="C29" s="9" t="s">
        <v>1132</v>
      </c>
      <c r="D29" s="8" t="s">
        <v>397</v>
      </c>
    </row>
    <row r="30" customHeight="1" spans="1:9">
      <c r="A30" s="8" t="s">
        <v>13</v>
      </c>
      <c r="B30" s="1" t="s">
        <v>70</v>
      </c>
      <c r="C30" s="9" t="s">
        <v>1133</v>
      </c>
      <c r="D30" s="8" t="s">
        <v>72</v>
      </c>
      <c r="H30" s="5">
        <f>H28-H29</f>
        <v>0</v>
      </c>
      <c r="I30" s="5">
        <f>I28-I29</f>
        <v>0</v>
      </c>
    </row>
    <row r="31" customHeight="1" spans="1:9">
      <c r="A31" s="11"/>
      <c r="B31" s="11"/>
      <c r="C31" s="11"/>
      <c r="D31" s="11"/>
    </row>
    <row r="32" customHeight="1" spans="1:9">
      <c r="A32" s="1" t="s">
        <v>13</v>
      </c>
      <c r="B32" s="1" t="s">
        <v>77</v>
      </c>
      <c r="C32" s="12" t="s">
        <v>1134</v>
      </c>
      <c r="D32" s="11" t="s">
        <v>79</v>
      </c>
      <c r="H32" s="5">
        <f>H33+H35+H36</f>
        <v>0</v>
      </c>
      <c r="I32" s="5">
        <f>I33+I35+I36</f>
        <v>0</v>
      </c>
    </row>
    <row r="33" customHeight="1" spans="1:9">
      <c r="A33" s="1" t="s">
        <v>17</v>
      </c>
      <c r="B33" s="1" t="s">
        <v>77</v>
      </c>
      <c r="C33" s="11" t="s">
        <v>1135</v>
      </c>
      <c r="D33" s="11" t="s">
        <v>407</v>
      </c>
      <c r="H33" s="5">
        <f>H34</f>
        <v>0</v>
      </c>
      <c r="I33" s="5">
        <f>I34</f>
        <v>0</v>
      </c>
    </row>
    <row r="34" customHeight="1" spans="1:9">
      <c r="A34" s="1" t="s">
        <v>20</v>
      </c>
      <c r="B34" s="1" t="s">
        <v>77</v>
      </c>
      <c r="C34" s="11" t="s">
        <v>1136</v>
      </c>
      <c r="D34" s="11" t="s">
        <v>83</v>
      </c>
    </row>
    <row r="35" customHeight="1" spans="1:9">
      <c r="A35" s="1" t="s">
        <v>17</v>
      </c>
      <c r="B35" s="1" t="s">
        <v>77</v>
      </c>
      <c r="C35" s="11" t="s">
        <v>1137</v>
      </c>
      <c r="D35" s="11" t="s">
        <v>87</v>
      </c>
    </row>
    <row r="36" customHeight="1" spans="1:9">
      <c r="A36" s="1" t="s">
        <v>17</v>
      </c>
      <c r="B36" s="1" t="s">
        <v>77</v>
      </c>
      <c r="C36" s="11" t="s">
        <v>1138</v>
      </c>
      <c r="D36" s="11" t="s">
        <v>89</v>
      </c>
    </row>
    <row r="37" customHeight="1" spans="1:9">
      <c r="A37" s="1" t="s">
        <v>13</v>
      </c>
      <c r="B37" s="1" t="s">
        <v>182</v>
      </c>
      <c r="C37" s="12" t="s">
        <v>1139</v>
      </c>
      <c r="D37" s="11" t="s">
        <v>405</v>
      </c>
      <c r="H37" s="5">
        <f>H38+H40+H41</f>
        <v>0</v>
      </c>
      <c r="I37" s="5">
        <f>I38+I40+I41</f>
        <v>0</v>
      </c>
    </row>
    <row r="38" customHeight="1" spans="1:9">
      <c r="A38" s="1" t="s">
        <v>17</v>
      </c>
      <c r="B38" s="1" t="s">
        <v>182</v>
      </c>
      <c r="C38" s="11" t="s">
        <v>1140</v>
      </c>
      <c r="D38" s="11" t="s">
        <v>407</v>
      </c>
      <c r="H38" s="5">
        <f>H39</f>
        <v>0</v>
      </c>
      <c r="I38" s="5">
        <f>I39</f>
        <v>0</v>
      </c>
    </row>
    <row r="39" customHeight="1" spans="1:9">
      <c r="A39" s="1" t="s">
        <v>20</v>
      </c>
      <c r="B39" s="8" t="s">
        <v>182</v>
      </c>
      <c r="C39" s="11" t="s">
        <v>1141</v>
      </c>
      <c r="D39" s="11" t="s">
        <v>83</v>
      </c>
    </row>
    <row r="40" customHeight="1" spans="1:9">
      <c r="A40" s="1" t="s">
        <v>17</v>
      </c>
      <c r="B40" s="1" t="s">
        <v>182</v>
      </c>
      <c r="C40" s="11" t="s">
        <v>1142</v>
      </c>
      <c r="D40" s="11" t="s">
        <v>87</v>
      </c>
    </row>
    <row r="41" customHeight="1" spans="1:9">
      <c r="A41" s="1" t="s">
        <v>17</v>
      </c>
      <c r="B41" s="1" t="s">
        <v>182</v>
      </c>
      <c r="C41" s="11" t="s">
        <v>1143</v>
      </c>
      <c r="D41" s="11" t="s">
        <v>89</v>
      </c>
    </row>
    <row r="42" customHeight="1" spans="1:9">
      <c r="A42" s="1"/>
      <c r="B42" s="1"/>
      <c r="C42" s="11"/>
      <c r="D42" s="11"/>
    </row>
    <row r="43" customHeight="1" spans="1:9">
      <c r="A43" s="8" t="s">
        <v>13</v>
      </c>
      <c r="B43" s="1" t="s">
        <v>92</v>
      </c>
      <c r="C43" s="12" t="s">
        <v>1028</v>
      </c>
      <c r="D43" s="12" t="s">
        <v>94</v>
      </c>
      <c r="H43" s="5">
        <f>H44</f>
        <v>0</v>
      </c>
      <c r="I43" s="5">
        <f>I44</f>
        <v>0</v>
      </c>
    </row>
    <row r="44" customHeight="1" spans="1:9">
      <c r="A44" s="8" t="s">
        <v>17</v>
      </c>
      <c r="B44" s="1" t="s">
        <v>92</v>
      </c>
      <c r="C44" s="12" t="s">
        <v>1029</v>
      </c>
      <c r="D44" s="12" t="s">
        <v>1144</v>
      </c>
    </row>
    <row r="45" customHeight="1" spans="1:9">
      <c r="A45" s="8" t="s">
        <v>13</v>
      </c>
      <c r="B45" s="1" t="s">
        <v>201</v>
      </c>
      <c r="C45" s="12" t="s">
        <v>1037</v>
      </c>
      <c r="D45" s="12" t="s">
        <v>417</v>
      </c>
      <c r="H45" s="5">
        <f>H46</f>
        <v>0</v>
      </c>
      <c r="I45" s="5">
        <f>I46</f>
        <v>0</v>
      </c>
    </row>
    <row r="46" customHeight="1" spans="1:9">
      <c r="A46" s="8" t="s">
        <v>17</v>
      </c>
      <c r="B46" s="1" t="s">
        <v>201</v>
      </c>
      <c r="C46" s="12" t="s">
        <v>1038</v>
      </c>
      <c r="D46" s="12" t="s">
        <v>1145</v>
      </c>
    </row>
    <row r="47" customHeight="1" spans="1:9">
      <c r="A47" s="11"/>
      <c r="B47" s="11"/>
      <c r="C47" s="11"/>
      <c r="D47" s="11"/>
    </row>
    <row r="48" customHeight="1" spans="1:9">
      <c r="A48" s="12" t="s">
        <v>13</v>
      </c>
      <c r="B48" s="12" t="s">
        <v>14</v>
      </c>
      <c r="C48" s="12" t="s">
        <v>1146</v>
      </c>
      <c r="D48" s="12" t="s">
        <v>494</v>
      </c>
      <c r="H48" s="5">
        <f>H49</f>
        <v>0</v>
      </c>
      <c r="I48" s="5">
        <f>I49</f>
        <v>0</v>
      </c>
    </row>
    <row r="49" customHeight="1" spans="1:10">
      <c r="A49" s="12" t="s">
        <v>17</v>
      </c>
      <c r="B49" s="12" t="s">
        <v>14</v>
      </c>
      <c r="C49" s="12" t="s">
        <v>1147</v>
      </c>
      <c r="D49" s="12" t="s">
        <v>496</v>
      </c>
      <c r="I49" s="5">
        <f>I38*I50</f>
        <v>0</v>
      </c>
      <c r="J49" s="5" t="s">
        <v>516</v>
      </c>
    </row>
    <row r="50" customHeight="1" spans="1:10">
      <c r="A50" s="11" t="s">
        <v>20</v>
      </c>
      <c r="B50" s="11" t="s">
        <v>103</v>
      </c>
      <c r="C50" s="11" t="s">
        <v>1148</v>
      </c>
      <c r="D50" s="11" t="s">
        <v>931</v>
      </c>
      <c r="H50" s="5" t="e">
        <f>H49/H38</f>
        <v>#DIV/0!</v>
      </c>
      <c r="J50" s="5" t="s">
        <v>329</v>
      </c>
    </row>
    <row r="51" customHeight="1" spans="1:10">
      <c r="A51" s="12"/>
      <c r="B51" s="12"/>
      <c r="C51" s="12"/>
      <c r="D51" s="12"/>
    </row>
    <row r="52" customHeight="1" spans="1:10">
      <c r="A52" s="12" t="s">
        <v>13</v>
      </c>
      <c r="B52" s="12" t="s">
        <v>23</v>
      </c>
      <c r="C52" s="12" t="s">
        <v>1149</v>
      </c>
      <c r="D52" s="12" t="s">
        <v>559</v>
      </c>
      <c r="H52" s="5">
        <f>H53+H55</f>
        <v>0</v>
      </c>
      <c r="I52" s="5">
        <f>I53+I55</f>
        <v>0</v>
      </c>
    </row>
    <row r="53" customHeight="1" spans="1:10">
      <c r="A53" s="12" t="s">
        <v>17</v>
      </c>
      <c r="B53" s="12" t="s">
        <v>23</v>
      </c>
      <c r="C53" s="12" t="s">
        <v>1150</v>
      </c>
      <c r="D53" s="12" t="s">
        <v>561</v>
      </c>
      <c r="I53" s="5">
        <f>I38*I54</f>
        <v>0</v>
      </c>
      <c r="J53" s="5" t="s">
        <v>516</v>
      </c>
    </row>
    <row r="54" customHeight="1" spans="1:10">
      <c r="A54" s="11" t="s">
        <v>20</v>
      </c>
      <c r="B54" s="11" t="s">
        <v>103</v>
      </c>
      <c r="C54" s="11" t="s">
        <v>1151</v>
      </c>
      <c r="D54" s="11" t="s">
        <v>935</v>
      </c>
      <c r="H54" s="5" t="e">
        <f>H53/H38</f>
        <v>#DIV/0!</v>
      </c>
      <c r="J54" s="5" t="s">
        <v>329</v>
      </c>
    </row>
    <row r="55" customHeight="1" spans="1:10">
      <c r="A55" s="12" t="s">
        <v>17</v>
      </c>
      <c r="B55" s="12" t="s">
        <v>23</v>
      </c>
      <c r="C55" s="12" t="s">
        <v>1152</v>
      </c>
      <c r="D55" s="12" t="s">
        <v>577</v>
      </c>
      <c r="H55" s="5">
        <f>H56</f>
        <v>0</v>
      </c>
      <c r="I55" s="5">
        <f>I56</f>
        <v>0</v>
      </c>
    </row>
    <row r="56" customHeight="1" spans="1:10">
      <c r="A56" s="11" t="s">
        <v>20</v>
      </c>
      <c r="B56" s="11" t="s">
        <v>23</v>
      </c>
      <c r="C56" s="11" t="s">
        <v>1153</v>
      </c>
      <c r="D56" s="11" t="s">
        <v>938</v>
      </c>
    </row>
    <row r="57" customHeight="1" spans="1:10">
      <c r="A57" s="11"/>
      <c r="B57" s="11"/>
      <c r="C57" s="11"/>
      <c r="D57" s="11"/>
    </row>
    <row r="58" customHeight="1" spans="1:10">
      <c r="A58" s="12" t="s">
        <v>13</v>
      </c>
      <c r="B58" s="12" t="s">
        <v>23</v>
      </c>
      <c r="C58" s="12" t="s">
        <v>1154</v>
      </c>
      <c r="D58" s="12" t="s">
        <v>581</v>
      </c>
      <c r="E58" s="13"/>
      <c r="F58" s="13"/>
      <c r="G58" s="13"/>
      <c r="H58" s="13">
        <f>H59</f>
        <v>0</v>
      </c>
      <c r="I58" s="13">
        <f>I59</f>
        <v>0</v>
      </c>
      <c r="J58" s="13"/>
    </row>
    <row r="59" customHeight="1" spans="1:10">
      <c r="A59" s="12" t="s">
        <v>17</v>
      </c>
      <c r="B59" s="12" t="s">
        <v>23</v>
      </c>
      <c r="C59" s="12" t="s">
        <v>1155</v>
      </c>
      <c r="D59" s="12" t="s">
        <v>583</v>
      </c>
      <c r="I59" s="5">
        <f>I46*I60</f>
        <v>0</v>
      </c>
      <c r="J59" s="5" t="s">
        <v>516</v>
      </c>
    </row>
    <row r="60" customHeight="1" spans="1:10">
      <c r="A60" s="11" t="s">
        <v>20</v>
      </c>
      <c r="B60" s="11" t="s">
        <v>103</v>
      </c>
      <c r="C60" s="11" t="s">
        <v>1156</v>
      </c>
      <c r="D60" s="11" t="s">
        <v>585</v>
      </c>
      <c r="H60" s="5" t="e">
        <f>H59/H46</f>
        <v>#DIV/0!</v>
      </c>
      <c r="J60" s="5" t="s">
        <v>329</v>
      </c>
    </row>
    <row r="61" customHeight="1" spans="1:10">
      <c r="A61" s="11"/>
      <c r="B61" s="11"/>
      <c r="C61" s="11"/>
      <c r="D61" s="11"/>
    </row>
    <row r="62" customHeight="1" spans="1:10">
      <c r="A62" s="12" t="s">
        <v>13</v>
      </c>
      <c r="B62" s="12" t="s">
        <v>14</v>
      </c>
      <c r="C62" s="12" t="s">
        <v>1157</v>
      </c>
      <c r="D62" s="12" t="s">
        <v>593</v>
      </c>
      <c r="E62" s="13"/>
      <c r="F62" s="13"/>
      <c r="G62" s="13"/>
      <c r="H62" s="13">
        <f>H63</f>
        <v>0</v>
      </c>
      <c r="I62" s="13">
        <f>I63</f>
        <v>0</v>
      </c>
      <c r="J62" s="13"/>
    </row>
    <row r="63" customHeight="1" spans="1:10">
      <c r="A63" s="12" t="s">
        <v>17</v>
      </c>
      <c r="B63" s="12" t="s">
        <v>14</v>
      </c>
      <c r="C63" s="12" t="s">
        <v>1158</v>
      </c>
      <c r="D63" s="12" t="s">
        <v>595</v>
      </c>
      <c r="E63" s="13"/>
      <c r="F63" s="13"/>
      <c r="G63" s="13"/>
      <c r="H63" s="13"/>
      <c r="I63" s="13">
        <f>I46*I64</f>
        <v>0</v>
      </c>
      <c r="J63" s="13" t="s">
        <v>516</v>
      </c>
    </row>
    <row r="64" customHeight="1" spans="1:10">
      <c r="A64" s="11" t="s">
        <v>20</v>
      </c>
      <c r="B64" s="11" t="s">
        <v>103</v>
      </c>
      <c r="C64" s="11" t="s">
        <v>1159</v>
      </c>
      <c r="D64" s="11" t="s">
        <v>597</v>
      </c>
      <c r="H64" s="5" t="e">
        <f>H63/H46</f>
        <v>#DIV/0!</v>
      </c>
      <c r="J64" s="5" t="s">
        <v>329</v>
      </c>
    </row>
    <row r="65" customHeight="1" spans="1:10">
      <c r="A65" s="11"/>
      <c r="B65" s="11"/>
      <c r="C65" s="11"/>
      <c r="D65" s="11"/>
    </row>
    <row r="66" customHeight="1" spans="1:10">
      <c r="A66" s="12" t="s">
        <v>13</v>
      </c>
      <c r="B66" s="12" t="s">
        <v>14</v>
      </c>
      <c r="C66" s="12" t="s">
        <v>1160</v>
      </c>
      <c r="D66" s="12" t="s">
        <v>605</v>
      </c>
      <c r="I66" s="5">
        <f>I67</f>
        <v>0</v>
      </c>
    </row>
    <row r="67" customHeight="1" spans="1:10">
      <c r="A67" s="11" t="s">
        <v>17</v>
      </c>
      <c r="B67" s="11" t="s">
        <v>14</v>
      </c>
      <c r="C67" s="11" t="s">
        <v>1161</v>
      </c>
      <c r="D67" s="11" t="s">
        <v>1162</v>
      </c>
      <c r="H67" s="5">
        <f>H66</f>
        <v>0</v>
      </c>
    </row>
    <row r="68" customHeight="1" spans="1:10">
      <c r="A68" s="11"/>
      <c r="B68" s="11"/>
      <c r="C68" s="11"/>
      <c r="D68" s="11"/>
    </row>
    <row r="69" customHeight="1" spans="1:10">
      <c r="A69" s="12" t="s">
        <v>13</v>
      </c>
      <c r="B69" s="12" t="s">
        <v>23</v>
      </c>
      <c r="C69" s="12" t="s">
        <v>1163</v>
      </c>
      <c r="D69" s="12" t="s">
        <v>637</v>
      </c>
      <c r="I69" s="5">
        <f>I70+I72+I74+I76+I78</f>
        <v>0</v>
      </c>
    </row>
    <row r="70" customHeight="1" spans="1:10">
      <c r="A70" s="12" t="s">
        <v>17</v>
      </c>
      <c r="B70" s="12" t="s">
        <v>23</v>
      </c>
      <c r="C70" s="12" t="s">
        <v>1164</v>
      </c>
      <c r="D70" s="12" t="s">
        <v>639</v>
      </c>
      <c r="I70" s="5">
        <f>I37*I71</f>
        <v>0</v>
      </c>
      <c r="J70" s="5" t="s">
        <v>516</v>
      </c>
    </row>
    <row r="71" customHeight="1" spans="1:10">
      <c r="A71" s="11" t="s">
        <v>20</v>
      </c>
      <c r="B71" s="1" t="s">
        <v>103</v>
      </c>
      <c r="C71" s="11" t="s">
        <v>1165</v>
      </c>
      <c r="D71" s="11" t="s">
        <v>641</v>
      </c>
      <c r="H71" s="5" t="e">
        <f>H70/H37</f>
        <v>#DIV/0!</v>
      </c>
      <c r="J71" s="5" t="s">
        <v>329</v>
      </c>
    </row>
    <row r="72" customHeight="1" spans="1:10">
      <c r="A72" s="12" t="s">
        <v>17</v>
      </c>
      <c r="B72" s="12" t="s">
        <v>23</v>
      </c>
      <c r="C72" s="12" t="s">
        <v>1166</v>
      </c>
      <c r="D72" s="12" t="s">
        <v>643</v>
      </c>
      <c r="I72" s="5">
        <f>I37*I73</f>
        <v>0</v>
      </c>
      <c r="J72" s="5" t="s">
        <v>516</v>
      </c>
    </row>
    <row r="73" customHeight="1" spans="1:10">
      <c r="A73" s="11" t="s">
        <v>20</v>
      </c>
      <c r="B73" s="1" t="s">
        <v>103</v>
      </c>
      <c r="C73" s="11" t="s">
        <v>1167</v>
      </c>
      <c r="D73" s="11" t="s">
        <v>641</v>
      </c>
      <c r="H73" s="5" t="e">
        <f>H72/H37</f>
        <v>#DIV/0!</v>
      </c>
      <c r="J73" s="5" t="s">
        <v>329</v>
      </c>
    </row>
    <row r="74" customHeight="1" spans="1:10">
      <c r="A74" s="12" t="s">
        <v>17</v>
      </c>
      <c r="B74" s="12" t="s">
        <v>23</v>
      </c>
      <c r="C74" s="12" t="s">
        <v>1168</v>
      </c>
      <c r="D74" s="12" t="s">
        <v>646</v>
      </c>
      <c r="I74" s="5">
        <f>I37*I75</f>
        <v>0</v>
      </c>
      <c r="J74" s="5" t="s">
        <v>516</v>
      </c>
    </row>
    <row r="75" customHeight="1" spans="1:10">
      <c r="A75" s="11" t="s">
        <v>20</v>
      </c>
      <c r="B75" s="1" t="s">
        <v>103</v>
      </c>
      <c r="C75" s="11" t="s">
        <v>1169</v>
      </c>
      <c r="D75" s="11" t="s">
        <v>641</v>
      </c>
      <c r="H75" s="5" t="e">
        <f>H74/H37</f>
        <v>#DIV/0!</v>
      </c>
      <c r="J75" s="5" t="s">
        <v>329</v>
      </c>
    </row>
    <row r="76" customHeight="1" spans="1:10">
      <c r="A76" s="12" t="s">
        <v>17</v>
      </c>
      <c r="B76" s="12" t="s">
        <v>23</v>
      </c>
      <c r="C76" s="12" t="s">
        <v>1170</v>
      </c>
      <c r="D76" s="12" t="s">
        <v>979</v>
      </c>
      <c r="I76" s="5">
        <f>I37*I77</f>
        <v>0</v>
      </c>
      <c r="J76" s="5" t="s">
        <v>516</v>
      </c>
    </row>
    <row r="77" customHeight="1" spans="1:10">
      <c r="A77" s="11" t="s">
        <v>20</v>
      </c>
      <c r="B77" s="1" t="s">
        <v>103</v>
      </c>
      <c r="C77" s="11" t="s">
        <v>1171</v>
      </c>
      <c r="D77" s="11" t="s">
        <v>1172</v>
      </c>
      <c r="H77" s="5" t="e">
        <f>H76/H37</f>
        <v>#DIV/0!</v>
      </c>
      <c r="J77" s="5" t="s">
        <v>329</v>
      </c>
    </row>
    <row r="78" customHeight="1" spans="1:10">
      <c r="A78" s="12" t="s">
        <v>17</v>
      </c>
      <c r="B78" s="12" t="s">
        <v>23</v>
      </c>
      <c r="C78" s="12" t="s">
        <v>1173</v>
      </c>
      <c r="D78" s="12" t="s">
        <v>675</v>
      </c>
      <c r="H78" s="5">
        <f>H69-H70-H72-H74-H76</f>
        <v>0</v>
      </c>
    </row>
    <row r="79" customHeight="1" spans="1:10">
      <c r="A79" s="11"/>
      <c r="B79" s="11"/>
      <c r="C79" s="11"/>
      <c r="D79" s="11"/>
    </row>
    <row r="80" customHeight="1" spans="1:10">
      <c r="A80" s="12" t="s">
        <v>13</v>
      </c>
      <c r="B80" s="12" t="s">
        <v>14</v>
      </c>
      <c r="C80" s="12" t="s">
        <v>1174</v>
      </c>
      <c r="D80" s="12" t="s">
        <v>677</v>
      </c>
    </row>
    <row r="81" customHeight="1" spans="1:4">
      <c r="A81" s="11"/>
      <c r="B81" s="11"/>
      <c r="C81" s="11"/>
      <c r="D81" s="11"/>
    </row>
    <row r="82" customHeight="1" spans="1:4">
      <c r="A82" s="12" t="s">
        <v>13</v>
      </c>
      <c r="B82" s="12" t="s">
        <v>14</v>
      </c>
      <c r="C82" s="12" t="s">
        <v>1175</v>
      </c>
      <c r="D82" s="12" t="s">
        <v>679</v>
      </c>
    </row>
    <row r="83" customHeight="1" spans="1:4">
      <c r="A83" s="11"/>
      <c r="B83" s="11"/>
      <c r="C83" s="11"/>
      <c r="D83" s="11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workbookViewId="0">
      <pane xSplit="4" ySplit="1" topLeftCell="E34" activePane="bottomRight" state="frozen"/>
      <selection/>
      <selection pane="topRight"/>
      <selection pane="bottomLeft"/>
      <selection pane="bottomRight" activeCell="A38" sqref="A38:D44"/>
    </sheetView>
  </sheetViews>
  <sheetFormatPr defaultColWidth="9" defaultRowHeight="15" customHeight="1" outlineLevelCol="4"/>
  <cols>
    <col min="3" max="3" width="10.8303571428571" customWidth="1"/>
    <col min="4" max="4" width="17.5" customWidth="1"/>
  </cols>
  <sheetData>
    <row r="1" s="1" customFormat="1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</row>
    <row r="2" spans="1:5">
      <c r="A2" s="8" t="s">
        <v>13</v>
      </c>
      <c r="B2" s="1" t="s">
        <v>14</v>
      </c>
      <c r="C2" s="9" t="s">
        <v>1176</v>
      </c>
      <c r="D2" s="8" t="s">
        <v>16</v>
      </c>
    </row>
    <row r="3" spans="1:5">
      <c r="A3" s="1" t="s">
        <v>17</v>
      </c>
      <c r="B3" s="1" t="s">
        <v>14</v>
      </c>
      <c r="C3" s="9" t="s">
        <v>1177</v>
      </c>
      <c r="D3" s="1" t="s">
        <v>19</v>
      </c>
    </row>
    <row r="4" spans="1:5">
      <c r="A4" s="1" t="s">
        <v>20</v>
      </c>
      <c r="B4" s="1" t="s">
        <v>14</v>
      </c>
      <c r="C4" s="10" t="s">
        <v>1178</v>
      </c>
      <c r="D4" s="1" t="s">
        <v>349</v>
      </c>
    </row>
    <row r="5" s="14" customFormat="1" ht="16.8" spans="1:5">
      <c r="A5" s="11" t="s">
        <v>13</v>
      </c>
      <c r="B5" s="11" t="s">
        <v>14</v>
      </c>
      <c r="C5" s="11" t="s">
        <v>1179</v>
      </c>
      <c r="D5" s="11" t="s">
        <v>22</v>
      </c>
    </row>
    <row r="6" s="14" customFormat="1" ht="16.8" spans="1:5">
      <c r="A6" s="1" t="s">
        <v>13</v>
      </c>
      <c r="B6" s="1" t="s">
        <v>23</v>
      </c>
      <c r="C6" s="10" t="s">
        <v>1180</v>
      </c>
      <c r="D6" s="1" t="s">
        <v>352</v>
      </c>
    </row>
    <row r="7" spans="1:5">
      <c r="A7" s="1" t="s">
        <v>20</v>
      </c>
      <c r="B7" s="1" t="s">
        <v>14</v>
      </c>
      <c r="C7" s="10" t="s">
        <v>1181</v>
      </c>
      <c r="D7" s="1" t="s">
        <v>354</v>
      </c>
    </row>
    <row r="8" spans="1:5">
      <c r="A8" s="8" t="s">
        <v>13</v>
      </c>
      <c r="B8" s="1" t="s">
        <v>23</v>
      </c>
      <c r="C8" s="10" t="s">
        <v>1182</v>
      </c>
      <c r="D8" s="1" t="s">
        <v>25</v>
      </c>
    </row>
    <row r="9" spans="1:5">
      <c r="A9" s="8" t="s">
        <v>13</v>
      </c>
      <c r="B9" s="1" t="s">
        <v>23</v>
      </c>
      <c r="C9" s="10" t="s">
        <v>1183</v>
      </c>
      <c r="D9" s="1" t="s">
        <v>357</v>
      </c>
    </row>
    <row r="10" spans="1:5">
      <c r="A10" s="1" t="s">
        <v>17</v>
      </c>
      <c r="B10" s="1" t="s">
        <v>14</v>
      </c>
      <c r="C10" s="9" t="s">
        <v>1184</v>
      </c>
      <c r="D10" s="1" t="s">
        <v>27</v>
      </c>
    </row>
    <row r="11" spans="1:5">
      <c r="A11" s="12" t="s">
        <v>13</v>
      </c>
      <c r="B11" s="12" t="s">
        <v>14</v>
      </c>
      <c r="C11" s="9" t="s">
        <v>1185</v>
      </c>
      <c r="D11" s="1" t="s">
        <v>29</v>
      </c>
    </row>
    <row r="12" spans="1:5">
      <c r="A12" s="12" t="s">
        <v>13</v>
      </c>
      <c r="B12" s="12" t="s">
        <v>23</v>
      </c>
      <c r="C12" s="9" t="s">
        <v>1186</v>
      </c>
      <c r="D12" s="1" t="s">
        <v>31</v>
      </c>
    </row>
    <row r="13" spans="1:5">
      <c r="A13" s="1" t="s">
        <v>17</v>
      </c>
      <c r="B13" s="1" t="s">
        <v>14</v>
      </c>
      <c r="C13" s="9" t="s">
        <v>1187</v>
      </c>
      <c r="D13" s="1" t="s">
        <v>33</v>
      </c>
    </row>
    <row r="14" spans="1:5">
      <c r="A14" s="8" t="s">
        <v>13</v>
      </c>
      <c r="B14" s="1" t="s">
        <v>23</v>
      </c>
      <c r="C14" s="9" t="s">
        <v>1188</v>
      </c>
      <c r="D14" s="8" t="s">
        <v>363</v>
      </c>
    </row>
    <row r="15" spans="1:5">
      <c r="A15" s="8" t="s">
        <v>13</v>
      </c>
      <c r="B15" s="1" t="s">
        <v>14</v>
      </c>
      <c r="C15" s="9" t="s">
        <v>1189</v>
      </c>
      <c r="D15" s="8" t="s">
        <v>45</v>
      </c>
    </row>
    <row r="16" spans="1:5">
      <c r="A16" s="8" t="s">
        <v>13</v>
      </c>
      <c r="B16" s="1" t="s">
        <v>23</v>
      </c>
      <c r="C16" s="9" t="s">
        <v>1190</v>
      </c>
      <c r="D16" s="8" t="s">
        <v>47</v>
      </c>
    </row>
    <row r="17" spans="1:4">
      <c r="A17" s="8" t="s">
        <v>13</v>
      </c>
      <c r="B17" s="1" t="s">
        <v>23</v>
      </c>
      <c r="C17" s="9" t="s">
        <v>1191</v>
      </c>
      <c r="D17" s="8" t="s">
        <v>367</v>
      </c>
    </row>
    <row r="18" spans="1:4">
      <c r="A18" s="1" t="s">
        <v>17</v>
      </c>
      <c r="B18" s="1" t="s">
        <v>23</v>
      </c>
      <c r="C18" s="9" t="s">
        <v>1192</v>
      </c>
      <c r="D18" s="1" t="s">
        <v>369</v>
      </c>
    </row>
    <row r="19" spans="1:4">
      <c r="A19" s="1" t="s">
        <v>20</v>
      </c>
      <c r="B19" s="1" t="s">
        <v>23</v>
      </c>
      <c r="C19" s="10" t="s">
        <v>1193</v>
      </c>
      <c r="D19" s="1" t="s">
        <v>53</v>
      </c>
    </row>
    <row r="20" spans="1:4">
      <c r="A20" s="1" t="s">
        <v>20</v>
      </c>
      <c r="B20" s="1" t="s">
        <v>23</v>
      </c>
      <c r="C20" s="10" t="s">
        <v>1194</v>
      </c>
      <c r="D20" s="1" t="s">
        <v>372</v>
      </c>
    </row>
    <row r="21" spans="1:4">
      <c r="A21" s="1" t="s">
        <v>17</v>
      </c>
      <c r="B21" s="1" t="s">
        <v>23</v>
      </c>
      <c r="C21" s="9" t="s">
        <v>1195</v>
      </c>
      <c r="D21" s="1" t="s">
        <v>59</v>
      </c>
    </row>
    <row r="22" spans="1:4">
      <c r="A22" s="1" t="s">
        <v>20</v>
      </c>
      <c r="B22" s="1" t="s">
        <v>23</v>
      </c>
      <c r="C22" s="10" t="s">
        <v>1196</v>
      </c>
      <c r="D22" s="1" t="s">
        <v>61</v>
      </c>
    </row>
    <row r="23" spans="1:4">
      <c r="A23" s="1" t="s">
        <v>20</v>
      </c>
      <c r="B23" s="1" t="s">
        <v>23</v>
      </c>
      <c r="C23" s="10" t="s">
        <v>1197</v>
      </c>
      <c r="D23" s="1" t="s">
        <v>63</v>
      </c>
    </row>
    <row r="24" spans="1:4">
      <c r="A24" s="1" t="s">
        <v>17</v>
      </c>
      <c r="B24" s="1" t="s">
        <v>23</v>
      </c>
      <c r="C24" s="9" t="s">
        <v>1198</v>
      </c>
      <c r="D24" s="1" t="s">
        <v>65</v>
      </c>
    </row>
    <row r="25" spans="1:4">
      <c r="A25" s="1" t="s">
        <v>20</v>
      </c>
      <c r="B25" s="1" t="s">
        <v>23</v>
      </c>
      <c r="C25" s="10" t="s">
        <v>1199</v>
      </c>
      <c r="D25" s="1" t="s">
        <v>378</v>
      </c>
    </row>
    <row r="26" spans="1:4">
      <c r="A26" s="1" t="s">
        <v>379</v>
      </c>
      <c r="B26" s="1" t="s">
        <v>23</v>
      </c>
      <c r="C26" s="10" t="s">
        <v>1200</v>
      </c>
      <c r="D26" s="1" t="s">
        <v>381</v>
      </c>
    </row>
    <row r="27" spans="1:4">
      <c r="A27" s="1" t="s">
        <v>379</v>
      </c>
      <c r="B27" s="1" t="s">
        <v>23</v>
      </c>
      <c r="C27" s="10" t="s">
        <v>1201</v>
      </c>
      <c r="D27" s="1" t="s">
        <v>383</v>
      </c>
    </row>
    <row r="28" spans="1:4">
      <c r="A28" s="1" t="s">
        <v>20</v>
      </c>
      <c r="B28" s="1" t="s">
        <v>23</v>
      </c>
      <c r="C28" s="10" t="s">
        <v>1202</v>
      </c>
      <c r="D28" s="1" t="s">
        <v>385</v>
      </c>
    </row>
    <row r="29" spans="1:4">
      <c r="A29" s="1" t="s">
        <v>20</v>
      </c>
      <c r="B29" s="1" t="s">
        <v>23</v>
      </c>
      <c r="C29" s="10" t="s">
        <v>1203</v>
      </c>
      <c r="D29" s="1" t="s">
        <v>387</v>
      </c>
    </row>
    <row r="30" spans="1:4">
      <c r="A30" s="1" t="s">
        <v>20</v>
      </c>
      <c r="B30" s="1" t="s">
        <v>23</v>
      </c>
      <c r="C30" s="10" t="s">
        <v>1204</v>
      </c>
      <c r="D30" s="1" t="s">
        <v>389</v>
      </c>
    </row>
    <row r="31" spans="1:4">
      <c r="A31" s="1" t="s">
        <v>17</v>
      </c>
      <c r="B31" s="1" t="s">
        <v>23</v>
      </c>
      <c r="C31" s="9" t="s">
        <v>1205</v>
      </c>
      <c r="D31" s="1" t="s">
        <v>391</v>
      </c>
    </row>
    <row r="32" spans="1:4">
      <c r="A32" s="1" t="s">
        <v>17</v>
      </c>
      <c r="B32" s="1" t="s">
        <v>23</v>
      </c>
      <c r="C32" s="9" t="s">
        <v>1206</v>
      </c>
      <c r="D32" s="1" t="s">
        <v>67</v>
      </c>
    </row>
    <row r="33" spans="1:4">
      <c r="A33" s="8" t="s">
        <v>13</v>
      </c>
      <c r="B33" s="1" t="s">
        <v>14</v>
      </c>
      <c r="C33" s="9" t="s">
        <v>1207</v>
      </c>
      <c r="D33" s="8" t="s">
        <v>69</v>
      </c>
    </row>
    <row r="34" spans="1:4">
      <c r="A34" s="8" t="s">
        <v>13</v>
      </c>
      <c r="B34" s="1" t="s">
        <v>70</v>
      </c>
      <c r="C34" s="9" t="s">
        <v>1208</v>
      </c>
      <c r="D34" s="8" t="s">
        <v>395</v>
      </c>
    </row>
    <row r="35" spans="1:4">
      <c r="A35" s="8" t="s">
        <v>13</v>
      </c>
      <c r="B35" s="1" t="s">
        <v>23</v>
      </c>
      <c r="C35" s="9" t="s">
        <v>1209</v>
      </c>
      <c r="D35" s="8" t="s">
        <v>397</v>
      </c>
    </row>
    <row r="36" spans="1:4">
      <c r="A36" s="8" t="s">
        <v>13</v>
      </c>
      <c r="B36" s="1" t="s">
        <v>70</v>
      </c>
      <c r="C36" s="9" t="s">
        <v>1210</v>
      </c>
      <c r="D36" s="8" t="s">
        <v>72</v>
      </c>
    </row>
    <row r="37" spans="1:4">
      <c r="A37" s="11"/>
      <c r="B37" s="11"/>
      <c r="C37" s="11"/>
      <c r="D37" s="11"/>
    </row>
    <row r="38" spans="1:4">
      <c r="A38" s="8" t="s">
        <v>13</v>
      </c>
      <c r="B38" s="8" t="s">
        <v>77</v>
      </c>
      <c r="C38" s="12" t="s">
        <v>1211</v>
      </c>
      <c r="D38" s="12" t="s">
        <v>79</v>
      </c>
    </row>
    <row r="39" spans="1:4">
      <c r="A39" s="1" t="s">
        <v>17</v>
      </c>
      <c r="B39" s="8" t="s">
        <v>77</v>
      </c>
      <c r="C39" s="11" t="s">
        <v>1212</v>
      </c>
      <c r="D39" s="11" t="s">
        <v>81</v>
      </c>
    </row>
    <row r="40" spans="1:4">
      <c r="A40" s="1" t="s">
        <v>20</v>
      </c>
      <c r="B40" s="8" t="s">
        <v>77</v>
      </c>
      <c r="C40" s="11" t="s">
        <v>1213</v>
      </c>
      <c r="D40" s="11" t="s">
        <v>83</v>
      </c>
    </row>
    <row r="41" spans="1:4">
      <c r="A41" s="1" t="s">
        <v>20</v>
      </c>
      <c r="B41" s="8" t="s">
        <v>77</v>
      </c>
      <c r="C41" s="11" t="s">
        <v>1214</v>
      </c>
      <c r="D41" s="11" t="s">
        <v>85</v>
      </c>
    </row>
    <row r="42" spans="1:4">
      <c r="A42" s="1" t="s">
        <v>17</v>
      </c>
      <c r="B42" s="8" t="s">
        <v>77</v>
      </c>
      <c r="C42" s="11" t="s">
        <v>1215</v>
      </c>
      <c r="D42" s="11" t="s">
        <v>87</v>
      </c>
    </row>
    <row r="43" spans="1:4">
      <c r="A43" s="1" t="s">
        <v>17</v>
      </c>
      <c r="B43" s="8" t="s">
        <v>77</v>
      </c>
      <c r="C43" s="11" t="s">
        <v>1216</v>
      </c>
      <c r="D43" s="11" t="s">
        <v>89</v>
      </c>
    </row>
    <row r="44" spans="1:4">
      <c r="A44" s="11" t="s">
        <v>17</v>
      </c>
      <c r="B44" s="8" t="s">
        <v>77</v>
      </c>
      <c r="C44" s="11" t="s">
        <v>1217</v>
      </c>
      <c r="D44" s="11" t="s">
        <v>91</v>
      </c>
    </row>
    <row r="45" spans="1:4">
      <c r="A45" s="8" t="s">
        <v>13</v>
      </c>
      <c r="B45" s="8" t="s">
        <v>182</v>
      </c>
      <c r="C45" s="12" t="s">
        <v>1218</v>
      </c>
      <c r="D45" s="12" t="s">
        <v>405</v>
      </c>
    </row>
    <row r="46" spans="1:4">
      <c r="A46" s="1" t="s">
        <v>17</v>
      </c>
      <c r="B46" s="8" t="s">
        <v>182</v>
      </c>
      <c r="C46" s="11" t="s">
        <v>1219</v>
      </c>
      <c r="D46" s="11" t="s">
        <v>407</v>
      </c>
    </row>
    <row r="47" spans="1:4">
      <c r="A47" s="1" t="s">
        <v>20</v>
      </c>
      <c r="B47" s="8" t="s">
        <v>182</v>
      </c>
      <c r="C47" s="11" t="s">
        <v>1220</v>
      </c>
      <c r="D47" s="11" t="s">
        <v>83</v>
      </c>
    </row>
    <row r="48" spans="1:4">
      <c r="A48" s="1" t="s">
        <v>20</v>
      </c>
      <c r="B48" s="8" t="s">
        <v>182</v>
      </c>
      <c r="C48" s="11" t="s">
        <v>1221</v>
      </c>
      <c r="D48" s="11" t="s">
        <v>85</v>
      </c>
    </row>
    <row r="49" spans="1:4">
      <c r="A49" s="1" t="s">
        <v>17</v>
      </c>
      <c r="B49" s="8" t="s">
        <v>182</v>
      </c>
      <c r="C49" s="11" t="s">
        <v>1222</v>
      </c>
      <c r="D49" s="11" t="s">
        <v>87</v>
      </c>
    </row>
    <row r="50" spans="1:4">
      <c r="A50" s="1" t="s">
        <v>17</v>
      </c>
      <c r="B50" s="8" t="s">
        <v>182</v>
      </c>
      <c r="C50" s="11" t="s">
        <v>1223</v>
      </c>
      <c r="D50" s="11" t="s">
        <v>89</v>
      </c>
    </row>
    <row r="51" spans="1:4">
      <c r="A51" s="11" t="s">
        <v>17</v>
      </c>
      <c r="B51" s="8" t="s">
        <v>182</v>
      </c>
      <c r="C51" s="11" t="s">
        <v>1224</v>
      </c>
      <c r="D51" s="11" t="s">
        <v>91</v>
      </c>
    </row>
    <row r="52" spans="1:4">
      <c r="A52" s="11"/>
      <c r="B52" s="8"/>
      <c r="C52" s="11"/>
      <c r="D52" s="11"/>
    </row>
    <row r="53" spans="1:4">
      <c r="A53" s="1" t="s">
        <v>13</v>
      </c>
      <c r="B53" s="1" t="s">
        <v>92</v>
      </c>
      <c r="C53" s="11" t="s">
        <v>1225</v>
      </c>
      <c r="D53" s="11" t="s">
        <v>94</v>
      </c>
    </row>
    <row r="54" spans="1:4">
      <c r="A54" s="1" t="s">
        <v>17</v>
      </c>
      <c r="B54" s="1" t="s">
        <v>92</v>
      </c>
      <c r="C54" s="11" t="s">
        <v>1226</v>
      </c>
      <c r="D54" s="11" t="s">
        <v>1144</v>
      </c>
    </row>
    <row r="55" spans="1:4">
      <c r="A55" s="1" t="s">
        <v>17</v>
      </c>
      <c r="B55" s="1" t="s">
        <v>92</v>
      </c>
      <c r="C55" s="11" t="s">
        <v>1227</v>
      </c>
      <c r="D55" s="11" t="s">
        <v>98</v>
      </c>
    </row>
    <row r="56" spans="1:4">
      <c r="A56" s="1" t="s">
        <v>13</v>
      </c>
      <c r="B56" s="1" t="s">
        <v>92</v>
      </c>
      <c r="C56" s="11" t="s">
        <v>1228</v>
      </c>
      <c r="D56" s="11" t="s">
        <v>417</v>
      </c>
    </row>
    <row r="57" spans="1:4">
      <c r="A57" s="1" t="s">
        <v>17</v>
      </c>
      <c r="B57" s="1" t="s">
        <v>201</v>
      </c>
      <c r="C57" s="11" t="s">
        <v>1229</v>
      </c>
      <c r="D57" s="11" t="s">
        <v>1145</v>
      </c>
    </row>
    <row r="58" spans="1:4">
      <c r="A58" s="1" t="s">
        <v>17</v>
      </c>
      <c r="B58" s="1" t="s">
        <v>201</v>
      </c>
      <c r="C58" s="11" t="s">
        <v>1230</v>
      </c>
      <c r="D58" s="11" t="s">
        <v>1231</v>
      </c>
    </row>
    <row r="59"/>
    <row r="60"/>
    <row r="61"/>
    <row r="62"/>
    <row r="63"/>
    <row r="64"/>
    <row r="65" customFormat="1" ht="16.8"/>
    <row r="66" customFormat="1" ht="16.8"/>
    <row r="67" customFormat="1" ht="16.8"/>
    <row r="68" customFormat="1" ht="16.8"/>
    <row r="69" customFormat="1" ht="16.8"/>
    <row r="70" customFormat="1" ht="16.8"/>
    <row r="71" customFormat="1" ht="16.8"/>
    <row r="72" customFormat="1" ht="16.8"/>
    <row r="73" customFormat="1" ht="16.8"/>
    <row r="74" customFormat="1" ht="16.8"/>
    <row r="75" customFormat="1" ht="16.8"/>
    <row r="76" customFormat="1" ht="16.8"/>
    <row r="77" customFormat="1" ht="16.8"/>
    <row r="78" customFormat="1" ht="16.8"/>
    <row r="79" customFormat="1" ht="16.8"/>
    <row r="80" customFormat="1" ht="16.8"/>
    <row r="81" customFormat="1" ht="16.8"/>
    <row r="82" customFormat="1" ht="16.8"/>
    <row r="83" customFormat="1" ht="16.8"/>
    <row r="84" customFormat="1" ht="16.8"/>
    <row r="85" customFormat="1" ht="16.8"/>
    <row r="86" customFormat="1" ht="16.8"/>
    <row r="87" customFormat="1" ht="16.8"/>
    <row r="88" customFormat="1" ht="16.8"/>
    <row r="89" customFormat="1" ht="16.8"/>
    <row r="90" customFormat="1" ht="16.8"/>
    <row r="91" customFormat="1" ht="16.8"/>
    <row r="92" customFormat="1" ht="16.8"/>
    <row r="93" customFormat="1" ht="16.8"/>
    <row r="94" customFormat="1" ht="16.8"/>
    <row r="95" customFormat="1" ht="16.8"/>
    <row r="96" customFormat="1" ht="16.8"/>
    <row r="97" customFormat="1" ht="16.8"/>
    <row r="98" customFormat="1" ht="16.8"/>
    <row r="99" customFormat="1" ht="16.8"/>
    <row r="100" customFormat="1" ht="16.8"/>
    <row r="101" customFormat="1" ht="16.8"/>
    <row r="102" customFormat="1" ht="16.8"/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1"/>
  <sheetViews>
    <sheetView workbookViewId="0">
      <pane xSplit="4" ySplit="1" topLeftCell="E83" activePane="bottomRight" state="frozen"/>
      <selection/>
      <selection pane="topRight"/>
      <selection pane="bottomLeft"/>
      <selection pane="bottomRight" activeCell="I100" sqref="I100"/>
    </sheetView>
  </sheetViews>
  <sheetFormatPr defaultColWidth="9" defaultRowHeight="15" customHeight="1"/>
  <cols>
    <col min="1" max="2" width="8.66071428571429" style="5"/>
    <col min="3" max="3" width="12.9107142857143" style="5" customWidth="1"/>
    <col min="4" max="4" width="17.75" style="5" customWidth="1"/>
    <col min="5" max="9" width="8.66071428571429" style="5"/>
    <col min="10" max="10" width="19.8303571428571" style="5" customWidth="1"/>
    <col min="11" max="16384" width="8.66071428571429" style="5"/>
  </cols>
  <sheetData>
    <row r="1" s="1" customFormat="1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7"/>
      <c r="O1" s="7"/>
    </row>
    <row r="2" customHeight="1" spans="1:15">
      <c r="A2" s="8" t="s">
        <v>13</v>
      </c>
      <c r="B2" s="1" t="s">
        <v>14</v>
      </c>
      <c r="C2" s="9" t="s">
        <v>1232</v>
      </c>
      <c r="D2" s="8" t="s">
        <v>16</v>
      </c>
      <c r="H2" s="5">
        <f>H3+H6+H7</f>
        <v>0</v>
      </c>
      <c r="I2" s="5">
        <f>I3+I6+I7</f>
        <v>0</v>
      </c>
    </row>
    <row r="3" customHeight="1" spans="1:15">
      <c r="A3" s="1" t="s">
        <v>17</v>
      </c>
      <c r="B3" s="1" t="s">
        <v>14</v>
      </c>
      <c r="C3" s="9" t="s">
        <v>1233</v>
      </c>
      <c r="D3" s="1" t="s">
        <v>19</v>
      </c>
      <c r="H3" s="5">
        <f>H4+H5</f>
        <v>0</v>
      </c>
      <c r="I3" s="5">
        <f>I4+I5</f>
        <v>0</v>
      </c>
    </row>
    <row r="4" customHeight="1" spans="1:15">
      <c r="A4" s="1" t="s">
        <v>20</v>
      </c>
      <c r="B4" s="1" t="s">
        <v>14</v>
      </c>
      <c r="C4" s="10" t="s">
        <v>1234</v>
      </c>
      <c r="D4" s="1" t="s">
        <v>349</v>
      </c>
      <c r="H4" s="5">
        <f>H89-H125</f>
        <v>0</v>
      </c>
      <c r="I4" s="5">
        <f>I89-I125</f>
        <v>0</v>
      </c>
    </row>
    <row r="5" customHeight="1" spans="1:15">
      <c r="A5" s="1" t="s">
        <v>20</v>
      </c>
      <c r="B5" s="1" t="s">
        <v>14</v>
      </c>
      <c r="C5" s="10" t="s">
        <v>1235</v>
      </c>
      <c r="D5" s="1" t="s">
        <v>354</v>
      </c>
      <c r="H5" s="5">
        <f>H162-H149</f>
        <v>0</v>
      </c>
      <c r="I5" s="5">
        <f>I162-I149</f>
        <v>0</v>
      </c>
    </row>
    <row r="6" customHeight="1" spans="1:15">
      <c r="A6" s="1" t="s">
        <v>17</v>
      </c>
      <c r="B6" s="1" t="s">
        <v>14</v>
      </c>
      <c r="C6" s="9" t="s">
        <v>1236</v>
      </c>
      <c r="D6" s="1" t="s">
        <v>427</v>
      </c>
      <c r="H6" s="5">
        <f>H177-H193</f>
        <v>0</v>
      </c>
      <c r="I6" s="5">
        <f>I177-I193</f>
        <v>0</v>
      </c>
    </row>
    <row r="7" customHeight="1" spans="1:15">
      <c r="A7" s="1" t="s">
        <v>17</v>
      </c>
      <c r="B7" s="1" t="s">
        <v>14</v>
      </c>
      <c r="C7" s="9" t="s">
        <v>1237</v>
      </c>
      <c r="D7" s="1" t="s">
        <v>33</v>
      </c>
      <c r="H7" s="5">
        <f>H206+H210</f>
        <v>0</v>
      </c>
      <c r="I7" s="5">
        <f>I206+I210</f>
        <v>0</v>
      </c>
    </row>
    <row r="8" customHeight="1" spans="1:15">
      <c r="A8" s="8" t="s">
        <v>13</v>
      </c>
      <c r="B8" s="1" t="s">
        <v>23</v>
      </c>
      <c r="C8" s="9" t="s">
        <v>1238</v>
      </c>
      <c r="D8" s="8" t="s">
        <v>363</v>
      </c>
    </row>
    <row r="9" customHeight="1" spans="1:15">
      <c r="A9" s="8" t="s">
        <v>13</v>
      </c>
      <c r="B9" s="1" t="s">
        <v>14</v>
      </c>
      <c r="C9" s="9" t="s">
        <v>1239</v>
      </c>
      <c r="D9" s="8" t="s">
        <v>45</v>
      </c>
      <c r="H9" s="5">
        <f>H2-H8</f>
        <v>0</v>
      </c>
      <c r="I9" s="5">
        <f>I2-I8</f>
        <v>0</v>
      </c>
    </row>
    <row r="10" customHeight="1" spans="1:15">
      <c r="A10" s="8" t="s">
        <v>13</v>
      </c>
      <c r="B10" s="1" t="s">
        <v>23</v>
      </c>
      <c r="C10" s="9" t="s">
        <v>1240</v>
      </c>
      <c r="D10" s="8" t="s">
        <v>47</v>
      </c>
    </row>
    <row r="11" customHeight="1" spans="1:15">
      <c r="A11" s="8" t="s">
        <v>13</v>
      </c>
      <c r="B11" s="1" t="s">
        <v>23</v>
      </c>
      <c r="C11" s="9" t="s">
        <v>1241</v>
      </c>
      <c r="D11" s="8" t="s">
        <v>367</v>
      </c>
      <c r="H11" s="5">
        <f>H12+H15+H18+H25+H26</f>
        <v>0</v>
      </c>
      <c r="I11" s="5">
        <f>I12+I15+I18+I25+I26</f>
        <v>0</v>
      </c>
    </row>
    <row r="12" customHeight="1" spans="1:15">
      <c r="A12" s="1" t="s">
        <v>17</v>
      </c>
      <c r="B12" s="1" t="s">
        <v>23</v>
      </c>
      <c r="C12" s="9" t="s">
        <v>1242</v>
      </c>
      <c r="D12" s="1" t="s">
        <v>369</v>
      </c>
      <c r="H12" s="5">
        <f>H13+H14</f>
        <v>0</v>
      </c>
      <c r="I12" s="5">
        <f>I13+I14</f>
        <v>0</v>
      </c>
    </row>
    <row r="13" customHeight="1" spans="1:15">
      <c r="A13" s="1" t="s">
        <v>20</v>
      </c>
      <c r="B13" s="1" t="s">
        <v>23</v>
      </c>
      <c r="C13" s="10" t="s">
        <v>1243</v>
      </c>
      <c r="D13" s="1" t="s">
        <v>53</v>
      </c>
    </row>
    <row r="14" customHeight="1" spans="1:15">
      <c r="A14" s="1" t="s">
        <v>20</v>
      </c>
      <c r="B14" s="1" t="s">
        <v>23</v>
      </c>
      <c r="C14" s="10" t="s">
        <v>1244</v>
      </c>
      <c r="D14" s="1" t="s">
        <v>372</v>
      </c>
    </row>
    <row r="15" customHeight="1" spans="1:15">
      <c r="A15" s="1" t="s">
        <v>17</v>
      </c>
      <c r="B15" s="1" t="s">
        <v>23</v>
      </c>
      <c r="C15" s="9" t="s">
        <v>1245</v>
      </c>
      <c r="D15" s="1" t="s">
        <v>59</v>
      </c>
      <c r="H15" s="5">
        <f>H16+H17</f>
        <v>0</v>
      </c>
      <c r="I15" s="5">
        <f>I16+I17</f>
        <v>0</v>
      </c>
    </row>
    <row r="16" customHeight="1" spans="1:15">
      <c r="A16" s="1" t="s">
        <v>20</v>
      </c>
      <c r="B16" s="1" t="s">
        <v>23</v>
      </c>
      <c r="C16" s="10" t="s">
        <v>1246</v>
      </c>
      <c r="D16" s="1" t="s">
        <v>61</v>
      </c>
    </row>
    <row r="17" customHeight="1" spans="1:9">
      <c r="A17" s="1" t="s">
        <v>20</v>
      </c>
      <c r="B17" s="1" t="s">
        <v>23</v>
      </c>
      <c r="C17" s="10" t="s">
        <v>1247</v>
      </c>
      <c r="D17" s="1" t="s">
        <v>63</v>
      </c>
    </row>
    <row r="18" customHeight="1" spans="1:9">
      <c r="A18" s="1" t="s">
        <v>17</v>
      </c>
      <c r="B18" s="1" t="s">
        <v>23</v>
      </c>
      <c r="C18" s="9" t="s">
        <v>1248</v>
      </c>
      <c r="D18" s="1" t="s">
        <v>65</v>
      </c>
      <c r="H18" s="5">
        <f>H19+H22+H23+H24</f>
        <v>0</v>
      </c>
      <c r="I18" s="5">
        <f>I19+I22+I23+I24</f>
        <v>0</v>
      </c>
    </row>
    <row r="19" customHeight="1" spans="1:9">
      <c r="A19" s="1" t="s">
        <v>20</v>
      </c>
      <c r="B19" s="1" t="s">
        <v>23</v>
      </c>
      <c r="C19" s="10" t="s">
        <v>1249</v>
      </c>
      <c r="D19" s="1" t="s">
        <v>378</v>
      </c>
      <c r="H19" s="5">
        <f>H20+H21</f>
        <v>0</v>
      </c>
      <c r="I19" s="5">
        <f>I20+I21</f>
        <v>0</v>
      </c>
    </row>
    <row r="20" customHeight="1" spans="1:9">
      <c r="A20" s="1" t="s">
        <v>379</v>
      </c>
      <c r="B20" s="1" t="s">
        <v>23</v>
      </c>
      <c r="C20" s="10" t="s">
        <v>1250</v>
      </c>
      <c r="D20" s="1" t="s">
        <v>381</v>
      </c>
    </row>
    <row r="21" customHeight="1" spans="1:9">
      <c r="A21" s="1" t="s">
        <v>379</v>
      </c>
      <c r="B21" s="1" t="s">
        <v>23</v>
      </c>
      <c r="C21" s="10" t="s">
        <v>1251</v>
      </c>
      <c r="D21" s="1" t="s">
        <v>383</v>
      </c>
    </row>
    <row r="22" customHeight="1" spans="1:9">
      <c r="A22" s="1" t="s">
        <v>20</v>
      </c>
      <c r="B22" s="1" t="s">
        <v>23</v>
      </c>
      <c r="C22" s="10" t="s">
        <v>1252</v>
      </c>
      <c r="D22" s="1" t="s">
        <v>385</v>
      </c>
    </row>
    <row r="23" customHeight="1" spans="1:9">
      <c r="A23" s="1" t="s">
        <v>20</v>
      </c>
      <c r="B23" s="1" t="s">
        <v>23</v>
      </c>
      <c r="C23" s="10" t="s">
        <v>1253</v>
      </c>
      <c r="D23" s="1" t="s">
        <v>387</v>
      </c>
    </row>
    <row r="24" customHeight="1" spans="1:9">
      <c r="A24" s="1" t="s">
        <v>20</v>
      </c>
      <c r="B24" s="1" t="s">
        <v>23</v>
      </c>
      <c r="C24" s="10" t="s">
        <v>1254</v>
      </c>
      <c r="D24" s="1" t="s">
        <v>389</v>
      </c>
    </row>
    <row r="25" customHeight="1" spans="1:9">
      <c r="A25" s="1" t="s">
        <v>17</v>
      </c>
      <c r="B25" s="1" t="s">
        <v>23</v>
      </c>
      <c r="C25" s="9" t="s">
        <v>1255</v>
      </c>
      <c r="D25" s="1" t="s">
        <v>391</v>
      </c>
    </row>
    <row r="26" customHeight="1" spans="1:9">
      <c r="A26" s="1" t="s">
        <v>17</v>
      </c>
      <c r="B26" s="1" t="s">
        <v>23</v>
      </c>
      <c r="C26" s="9" t="s">
        <v>1256</v>
      </c>
      <c r="D26" s="1" t="s">
        <v>67</v>
      </c>
    </row>
    <row r="27" customHeight="1" spans="1:9">
      <c r="A27" s="8" t="s">
        <v>13</v>
      </c>
      <c r="B27" s="1" t="s">
        <v>14</v>
      </c>
      <c r="C27" s="9" t="s">
        <v>1257</v>
      </c>
      <c r="D27" s="8" t="s">
        <v>69</v>
      </c>
    </row>
    <row r="28" customHeight="1" spans="1:9">
      <c r="A28" s="8" t="s">
        <v>13</v>
      </c>
      <c r="B28" s="1" t="s">
        <v>70</v>
      </c>
      <c r="C28" s="9" t="s">
        <v>1258</v>
      </c>
      <c r="D28" s="8" t="s">
        <v>395</v>
      </c>
      <c r="H28" s="5">
        <f>H9-H10-H11+H27</f>
        <v>0</v>
      </c>
      <c r="I28" s="5">
        <f>I9-I10-I11+I27</f>
        <v>0</v>
      </c>
    </row>
    <row r="29" customHeight="1" spans="1:9">
      <c r="A29" s="8" t="s">
        <v>13</v>
      </c>
      <c r="B29" s="1" t="s">
        <v>23</v>
      </c>
      <c r="C29" s="9" t="s">
        <v>1259</v>
      </c>
      <c r="D29" s="8" t="s">
        <v>397</v>
      </c>
    </row>
    <row r="30" customHeight="1" spans="1:9">
      <c r="A30" s="8" t="s">
        <v>13</v>
      </c>
      <c r="B30" s="1" t="s">
        <v>70</v>
      </c>
      <c r="C30" s="9" t="s">
        <v>1260</v>
      </c>
      <c r="D30" s="8" t="s">
        <v>72</v>
      </c>
      <c r="H30" s="5">
        <f>H28-H29</f>
        <v>0</v>
      </c>
      <c r="I30" s="5">
        <f>I28-I29</f>
        <v>0</v>
      </c>
    </row>
    <row r="31" customHeight="1" spans="1:9">
      <c r="A31" s="11"/>
      <c r="B31" s="11"/>
      <c r="C31" s="11"/>
      <c r="D31" s="11"/>
    </row>
    <row r="32" customHeight="1" spans="1:9">
      <c r="A32" s="8" t="s">
        <v>13</v>
      </c>
      <c r="B32" s="8" t="s">
        <v>77</v>
      </c>
      <c r="C32" s="12" t="s">
        <v>1261</v>
      </c>
      <c r="D32" s="12" t="s">
        <v>79</v>
      </c>
      <c r="H32" s="5">
        <f>H33+H40+H41+H45</f>
        <v>0</v>
      </c>
      <c r="I32" s="5">
        <f>I33+I40+I41+I45</f>
        <v>0</v>
      </c>
    </row>
    <row r="33" customHeight="1" spans="1:9">
      <c r="A33" s="1" t="s">
        <v>17</v>
      </c>
      <c r="B33" s="8" t="s">
        <v>77</v>
      </c>
      <c r="C33" s="11" t="s">
        <v>1262</v>
      </c>
      <c r="D33" s="11" t="s">
        <v>81</v>
      </c>
      <c r="H33" s="5">
        <f>H34+H37</f>
        <v>0</v>
      </c>
      <c r="I33" s="5">
        <f>I34+I37</f>
        <v>0</v>
      </c>
    </row>
    <row r="34" customHeight="1" spans="1:9">
      <c r="A34" s="1" t="s">
        <v>20</v>
      </c>
      <c r="B34" s="8" t="s">
        <v>77</v>
      </c>
      <c r="C34" s="11" t="s">
        <v>1263</v>
      </c>
      <c r="D34" s="11" t="s">
        <v>83</v>
      </c>
      <c r="H34" s="5">
        <f>H35+H36</f>
        <v>0</v>
      </c>
      <c r="I34" s="5">
        <f>I35+I36</f>
        <v>0</v>
      </c>
    </row>
    <row r="35" customHeight="1" spans="1:9">
      <c r="A35" s="1" t="s">
        <v>379</v>
      </c>
      <c r="B35" s="8" t="s">
        <v>77</v>
      </c>
      <c r="C35" s="11" t="s">
        <v>1264</v>
      </c>
      <c r="D35" s="11" t="s">
        <v>1265</v>
      </c>
    </row>
    <row r="36" customHeight="1" spans="1:9">
      <c r="A36" s="1" t="s">
        <v>379</v>
      </c>
      <c r="B36" s="8" t="s">
        <v>77</v>
      </c>
      <c r="C36" s="11" t="s">
        <v>1266</v>
      </c>
      <c r="D36" s="11" t="s">
        <v>1267</v>
      </c>
    </row>
    <row r="37" customHeight="1" spans="1:9">
      <c r="A37" s="1" t="s">
        <v>20</v>
      </c>
      <c r="B37" s="8" t="s">
        <v>77</v>
      </c>
      <c r="C37" s="11" t="s">
        <v>1268</v>
      </c>
      <c r="D37" s="11" t="s">
        <v>85</v>
      </c>
      <c r="H37" s="5">
        <f>H38+H39</f>
        <v>0</v>
      </c>
      <c r="I37" s="5">
        <f>I38+I39</f>
        <v>0</v>
      </c>
    </row>
    <row r="38" customHeight="1" spans="1:9">
      <c r="A38" s="1" t="s">
        <v>379</v>
      </c>
      <c r="B38" s="8" t="s">
        <v>77</v>
      </c>
      <c r="C38" s="11" t="s">
        <v>1269</v>
      </c>
      <c r="D38" s="11" t="s">
        <v>1270</v>
      </c>
    </row>
    <row r="39" customHeight="1" spans="1:9">
      <c r="A39" s="1" t="s">
        <v>379</v>
      </c>
      <c r="B39" s="8" t="s">
        <v>77</v>
      </c>
      <c r="C39" s="11" t="s">
        <v>1271</v>
      </c>
      <c r="D39" s="11" t="s">
        <v>1272</v>
      </c>
    </row>
    <row r="40" customHeight="1" spans="1:9">
      <c r="A40" s="1" t="s">
        <v>17</v>
      </c>
      <c r="B40" s="8" t="s">
        <v>77</v>
      </c>
      <c r="C40" s="11" t="s">
        <v>1273</v>
      </c>
      <c r="D40" s="11" t="s">
        <v>87</v>
      </c>
    </row>
    <row r="41" customHeight="1" spans="1:9">
      <c r="A41" s="1" t="s">
        <v>17</v>
      </c>
      <c r="B41" s="8" t="s">
        <v>77</v>
      </c>
      <c r="C41" s="11" t="s">
        <v>1274</v>
      </c>
      <c r="D41" s="11" t="s">
        <v>89</v>
      </c>
      <c r="H41" s="5">
        <f>H42+H43+H44</f>
        <v>0</v>
      </c>
      <c r="I41" s="5">
        <f>I42+I43+I44</f>
        <v>0</v>
      </c>
    </row>
    <row r="42" customHeight="1" spans="1:9">
      <c r="A42" s="11" t="s">
        <v>20</v>
      </c>
      <c r="B42" s="8" t="s">
        <v>77</v>
      </c>
      <c r="C42" s="11" t="s">
        <v>1275</v>
      </c>
      <c r="D42" s="11" t="s">
        <v>1276</v>
      </c>
    </row>
    <row r="43" customHeight="1" spans="1:9">
      <c r="A43" s="11" t="s">
        <v>20</v>
      </c>
      <c r="B43" s="8" t="s">
        <v>77</v>
      </c>
      <c r="C43" s="11" t="s">
        <v>1277</v>
      </c>
      <c r="D43" s="11" t="s">
        <v>1278</v>
      </c>
    </row>
    <row r="44" customHeight="1" spans="1:9">
      <c r="A44" s="11" t="s">
        <v>20</v>
      </c>
      <c r="B44" s="8" t="s">
        <v>77</v>
      </c>
      <c r="C44" s="11" t="s">
        <v>1279</v>
      </c>
      <c r="D44" s="11" t="s">
        <v>1280</v>
      </c>
    </row>
    <row r="45" customHeight="1" spans="1:9">
      <c r="A45" s="11" t="s">
        <v>17</v>
      </c>
      <c r="B45" s="8" t="s">
        <v>77</v>
      </c>
      <c r="C45" s="11" t="s">
        <v>1281</v>
      </c>
      <c r="D45" s="11" t="s">
        <v>91</v>
      </c>
    </row>
    <row r="46" customHeight="1" spans="1:9">
      <c r="A46" s="8" t="s">
        <v>13</v>
      </c>
      <c r="B46" s="8" t="s">
        <v>182</v>
      </c>
      <c r="C46" s="12" t="s">
        <v>1282</v>
      </c>
      <c r="D46" s="12" t="s">
        <v>405</v>
      </c>
      <c r="H46" s="5">
        <f>H47+H54+H55+H59</f>
        <v>0</v>
      </c>
      <c r="I46" s="5">
        <f>I47+I54+I55+I59</f>
        <v>0</v>
      </c>
    </row>
    <row r="47" customHeight="1" spans="1:9">
      <c r="A47" s="1" t="s">
        <v>17</v>
      </c>
      <c r="B47" s="8" t="s">
        <v>182</v>
      </c>
      <c r="C47" s="11" t="s">
        <v>1283</v>
      </c>
      <c r="D47" s="11" t="s">
        <v>407</v>
      </c>
      <c r="H47" s="5">
        <f>H48+H51</f>
        <v>0</v>
      </c>
      <c r="I47" s="5">
        <f>I48+I51</f>
        <v>0</v>
      </c>
    </row>
    <row r="48" customHeight="1" spans="1:9">
      <c r="A48" s="1" t="s">
        <v>20</v>
      </c>
      <c r="B48" s="8" t="s">
        <v>182</v>
      </c>
      <c r="C48" s="11" t="s">
        <v>1284</v>
      </c>
      <c r="D48" s="11" t="s">
        <v>83</v>
      </c>
      <c r="H48" s="5">
        <f>H49+H50</f>
        <v>0</v>
      </c>
      <c r="I48" s="5">
        <f>I49+I50</f>
        <v>0</v>
      </c>
    </row>
    <row r="49" customHeight="1" spans="1:9">
      <c r="A49" s="1" t="s">
        <v>379</v>
      </c>
      <c r="B49" s="8" t="s">
        <v>182</v>
      </c>
      <c r="C49" s="11" t="s">
        <v>1285</v>
      </c>
      <c r="D49" s="11" t="s">
        <v>1265</v>
      </c>
    </row>
    <row r="50" customHeight="1" spans="1:9">
      <c r="A50" s="1" t="s">
        <v>379</v>
      </c>
      <c r="B50" s="8" t="s">
        <v>182</v>
      </c>
      <c r="C50" s="11" t="s">
        <v>1286</v>
      </c>
      <c r="D50" s="11" t="s">
        <v>1267</v>
      </c>
    </row>
    <row r="51" customHeight="1" spans="1:9">
      <c r="A51" s="1" t="s">
        <v>20</v>
      </c>
      <c r="B51" s="8" t="s">
        <v>182</v>
      </c>
      <c r="C51" s="11" t="s">
        <v>1287</v>
      </c>
      <c r="D51" s="11" t="s">
        <v>85</v>
      </c>
      <c r="H51" s="5">
        <f>H52+H53</f>
        <v>0</v>
      </c>
      <c r="I51" s="5">
        <f>I52+I53</f>
        <v>0</v>
      </c>
    </row>
    <row r="52" customHeight="1" spans="1:9">
      <c r="A52" s="1" t="s">
        <v>379</v>
      </c>
      <c r="B52" s="8" t="s">
        <v>182</v>
      </c>
      <c r="C52" s="11" t="s">
        <v>1288</v>
      </c>
      <c r="D52" s="11" t="s">
        <v>1270</v>
      </c>
    </row>
    <row r="53" customHeight="1" spans="1:9">
      <c r="A53" s="1" t="s">
        <v>379</v>
      </c>
      <c r="B53" s="8" t="s">
        <v>182</v>
      </c>
      <c r="C53" s="11" t="s">
        <v>1289</v>
      </c>
      <c r="D53" s="11" t="s">
        <v>1272</v>
      </c>
    </row>
    <row r="54" customHeight="1" spans="1:9">
      <c r="A54" s="1" t="s">
        <v>17</v>
      </c>
      <c r="B54" s="8" t="s">
        <v>182</v>
      </c>
      <c r="C54" s="11" t="s">
        <v>1290</v>
      </c>
      <c r="D54" s="11" t="s">
        <v>87</v>
      </c>
    </row>
    <row r="55" customHeight="1" spans="1:9">
      <c r="A55" s="1" t="s">
        <v>17</v>
      </c>
      <c r="B55" s="8" t="s">
        <v>182</v>
      </c>
      <c r="C55" s="11" t="s">
        <v>1291</v>
      </c>
      <c r="D55" s="11" t="s">
        <v>89</v>
      </c>
      <c r="H55" s="5">
        <f>H56+H57+H58</f>
        <v>0</v>
      </c>
      <c r="I55" s="5">
        <f>I56+I57+I58</f>
        <v>0</v>
      </c>
    </row>
    <row r="56" customHeight="1" spans="1:9">
      <c r="A56" s="11" t="s">
        <v>20</v>
      </c>
      <c r="B56" s="8" t="s">
        <v>182</v>
      </c>
      <c r="C56" s="11" t="s">
        <v>1292</v>
      </c>
      <c r="D56" s="11" t="s">
        <v>1276</v>
      </c>
    </row>
    <row r="57" customHeight="1" spans="1:9">
      <c r="A57" s="11" t="s">
        <v>20</v>
      </c>
      <c r="B57" s="8" t="s">
        <v>182</v>
      </c>
      <c r="C57" s="11" t="s">
        <v>1293</v>
      </c>
      <c r="D57" s="11" t="s">
        <v>1278</v>
      </c>
    </row>
    <row r="58" customHeight="1" spans="1:9">
      <c r="A58" s="11" t="s">
        <v>20</v>
      </c>
      <c r="B58" s="8" t="s">
        <v>182</v>
      </c>
      <c r="C58" s="11" t="s">
        <v>1294</v>
      </c>
      <c r="D58" s="11" t="s">
        <v>1280</v>
      </c>
    </row>
    <row r="59" customHeight="1" spans="1:9">
      <c r="A59" s="11" t="s">
        <v>17</v>
      </c>
      <c r="B59" s="8" t="s">
        <v>182</v>
      </c>
      <c r="C59" s="11" t="s">
        <v>1295</v>
      </c>
      <c r="D59" s="11" t="s">
        <v>91</v>
      </c>
    </row>
    <row r="60" customHeight="1" spans="1:9">
      <c r="A60" s="11"/>
      <c r="B60" s="8"/>
      <c r="C60" s="11"/>
      <c r="D60" s="11"/>
    </row>
    <row r="61" customHeight="1" spans="1:9">
      <c r="A61" s="1" t="s">
        <v>13</v>
      </c>
      <c r="B61" s="1" t="s">
        <v>92</v>
      </c>
      <c r="C61" s="11" t="s">
        <v>1296</v>
      </c>
      <c r="D61" s="11" t="s">
        <v>94</v>
      </c>
      <c r="H61" s="5">
        <f>H62+H65</f>
        <v>0</v>
      </c>
      <c r="I61" s="5">
        <f>I62+I65</f>
        <v>0</v>
      </c>
    </row>
    <row r="62" customHeight="1" spans="1:9">
      <c r="A62" s="1" t="s">
        <v>17</v>
      </c>
      <c r="B62" s="1" t="s">
        <v>92</v>
      </c>
      <c r="C62" s="11" t="s">
        <v>1297</v>
      </c>
      <c r="D62" s="11" t="s">
        <v>1144</v>
      </c>
      <c r="H62" s="5">
        <f>H63+H64</f>
        <v>0</v>
      </c>
      <c r="I62" s="5">
        <f>I63+I64</f>
        <v>0</v>
      </c>
    </row>
    <row r="63" customHeight="1" spans="1:9">
      <c r="A63" s="1" t="s">
        <v>20</v>
      </c>
      <c r="B63" s="1" t="s">
        <v>92</v>
      </c>
      <c r="C63" s="11" t="s">
        <v>1298</v>
      </c>
      <c r="D63" s="11" t="s">
        <v>1299</v>
      </c>
    </row>
    <row r="64" customHeight="1" spans="1:9">
      <c r="A64" s="1" t="s">
        <v>20</v>
      </c>
      <c r="B64" s="1" t="s">
        <v>92</v>
      </c>
      <c r="C64" s="11" t="s">
        <v>1300</v>
      </c>
      <c r="D64" s="11" t="s">
        <v>1301</v>
      </c>
    </row>
    <row r="65" customHeight="1" spans="1:9">
      <c r="A65" s="1" t="s">
        <v>17</v>
      </c>
      <c r="B65" s="1" t="s">
        <v>92</v>
      </c>
      <c r="C65" s="11" t="s">
        <v>1302</v>
      </c>
      <c r="D65" s="11" t="s">
        <v>98</v>
      </c>
    </row>
    <row r="66" customHeight="1" spans="1:9">
      <c r="A66" s="1" t="s">
        <v>13</v>
      </c>
      <c r="B66" s="1" t="s">
        <v>92</v>
      </c>
      <c r="C66" s="11" t="s">
        <v>1303</v>
      </c>
      <c r="D66" s="11" t="s">
        <v>417</v>
      </c>
      <c r="H66" s="5">
        <f>H67+H70</f>
        <v>0</v>
      </c>
      <c r="I66" s="5">
        <f>I67+I70</f>
        <v>0</v>
      </c>
    </row>
    <row r="67" customHeight="1" spans="1:9">
      <c r="A67" s="1" t="s">
        <v>17</v>
      </c>
      <c r="B67" s="1" t="s">
        <v>201</v>
      </c>
      <c r="C67" s="11" t="s">
        <v>1304</v>
      </c>
      <c r="D67" s="11" t="s">
        <v>1145</v>
      </c>
      <c r="H67" s="5">
        <f>H68+H69</f>
        <v>0</v>
      </c>
      <c r="I67" s="5">
        <f>I68+I69</f>
        <v>0</v>
      </c>
    </row>
    <row r="68" customHeight="1" spans="1:9">
      <c r="A68" s="1" t="s">
        <v>20</v>
      </c>
      <c r="B68" s="1" t="s">
        <v>201</v>
      </c>
      <c r="C68" s="11" t="s">
        <v>1305</v>
      </c>
      <c r="D68" s="11" t="s">
        <v>1299</v>
      </c>
    </row>
    <row r="69" customHeight="1" spans="1:9">
      <c r="A69" s="1" t="s">
        <v>20</v>
      </c>
      <c r="B69" s="1" t="s">
        <v>201</v>
      </c>
      <c r="C69" s="11" t="s">
        <v>1306</v>
      </c>
      <c r="D69" s="11" t="s">
        <v>1301</v>
      </c>
    </row>
    <row r="70" customHeight="1" spans="1:9">
      <c r="A70" s="1" t="s">
        <v>17</v>
      </c>
      <c r="B70" s="1" t="s">
        <v>201</v>
      </c>
      <c r="C70" s="11" t="s">
        <v>1307</v>
      </c>
      <c r="D70" s="11" t="s">
        <v>1231</v>
      </c>
    </row>
    <row r="71" customHeight="1" spans="1:9">
      <c r="A71" s="1"/>
      <c r="B71" s="1"/>
      <c r="C71" s="11"/>
      <c r="D71" s="11"/>
    </row>
    <row r="72" customHeight="1" spans="1:9">
      <c r="A72" s="8" t="s">
        <v>13</v>
      </c>
      <c r="B72" s="1" t="s">
        <v>77</v>
      </c>
      <c r="C72" s="12" t="s">
        <v>1308</v>
      </c>
      <c r="D72" s="12" t="s">
        <v>478</v>
      </c>
      <c r="H72" s="5">
        <f>H73+H74+H75</f>
        <v>0</v>
      </c>
      <c r="I72" s="5">
        <f>I73+I74+I75</f>
        <v>0</v>
      </c>
    </row>
    <row r="73" customHeight="1" spans="1:9">
      <c r="A73" s="1" t="s">
        <v>17</v>
      </c>
      <c r="B73" s="1" t="s">
        <v>77</v>
      </c>
      <c r="C73" s="11" t="s">
        <v>1309</v>
      </c>
      <c r="D73" s="11" t="s">
        <v>298</v>
      </c>
    </row>
    <row r="74" customHeight="1" spans="1:9">
      <c r="A74" s="1" t="s">
        <v>17</v>
      </c>
      <c r="B74" s="1" t="s">
        <v>77</v>
      </c>
      <c r="C74" s="11" t="s">
        <v>1310</v>
      </c>
      <c r="D74" s="11" t="s">
        <v>300</v>
      </c>
    </row>
    <row r="75" customHeight="1" spans="1:9">
      <c r="A75" s="1" t="s">
        <v>17</v>
      </c>
      <c r="B75" s="1" t="s">
        <v>77</v>
      </c>
      <c r="C75" s="11" t="s">
        <v>1311</v>
      </c>
      <c r="D75" s="11" t="s">
        <v>301</v>
      </c>
      <c r="H75" s="5">
        <f>H76</f>
        <v>0</v>
      </c>
      <c r="I75" s="5">
        <f>I76</f>
        <v>0</v>
      </c>
    </row>
    <row r="76" customHeight="1" spans="1:9">
      <c r="A76" s="1" t="s">
        <v>20</v>
      </c>
      <c r="B76" s="1" t="s">
        <v>77</v>
      </c>
      <c r="C76" s="11" t="s">
        <v>1312</v>
      </c>
      <c r="D76" s="11" t="s">
        <v>1276</v>
      </c>
    </row>
    <row r="77" customHeight="1" spans="1:9">
      <c r="A77" s="8" t="s">
        <v>13</v>
      </c>
      <c r="B77" s="1" t="s">
        <v>182</v>
      </c>
      <c r="C77" s="12" t="s">
        <v>1313</v>
      </c>
      <c r="D77" s="12" t="s">
        <v>482</v>
      </c>
      <c r="H77" s="5">
        <f>H78+H79+H80</f>
        <v>0</v>
      </c>
      <c r="I77" s="5">
        <f>I78+I79+I80</f>
        <v>0</v>
      </c>
    </row>
    <row r="78" customHeight="1" spans="1:9">
      <c r="A78" s="1" t="s">
        <v>17</v>
      </c>
      <c r="B78" s="1" t="s">
        <v>182</v>
      </c>
      <c r="C78" s="11" t="s">
        <v>1314</v>
      </c>
      <c r="D78" s="11" t="s">
        <v>298</v>
      </c>
    </row>
    <row r="79" customHeight="1" spans="1:9">
      <c r="A79" s="1" t="s">
        <v>17</v>
      </c>
      <c r="B79" s="1" t="s">
        <v>182</v>
      </c>
      <c r="C79" s="11" t="s">
        <v>1315</v>
      </c>
      <c r="D79" s="11" t="s">
        <v>300</v>
      </c>
    </row>
    <row r="80" customHeight="1" spans="1:9">
      <c r="A80" s="1" t="s">
        <v>17</v>
      </c>
      <c r="B80" s="1" t="s">
        <v>182</v>
      </c>
      <c r="C80" s="11" t="s">
        <v>1316</v>
      </c>
      <c r="D80" s="11" t="s">
        <v>301</v>
      </c>
      <c r="H80" s="5">
        <f>H81</f>
        <v>0</v>
      </c>
      <c r="I80" s="5">
        <f>I81</f>
        <v>0</v>
      </c>
    </row>
    <row r="81" customHeight="1" spans="1:10">
      <c r="A81" s="1" t="s">
        <v>20</v>
      </c>
      <c r="B81" s="1" t="s">
        <v>182</v>
      </c>
      <c r="C81" s="11" t="s">
        <v>1317</v>
      </c>
      <c r="D81" s="11" t="s">
        <v>1276</v>
      </c>
    </row>
    <row r="82" customHeight="1" spans="1:10">
      <c r="A82" s="8" t="s">
        <v>13</v>
      </c>
      <c r="B82" s="1" t="s">
        <v>92</v>
      </c>
      <c r="C82" s="12" t="s">
        <v>1318</v>
      </c>
      <c r="D82" s="12" t="s">
        <v>486</v>
      </c>
      <c r="H82" s="5">
        <f>H83+H84</f>
        <v>0</v>
      </c>
      <c r="I82" s="5">
        <f>I83+I84</f>
        <v>0</v>
      </c>
    </row>
    <row r="83" customHeight="1" spans="1:10">
      <c r="A83" s="11" t="s">
        <v>379</v>
      </c>
      <c r="B83" s="11" t="s">
        <v>92</v>
      </c>
      <c r="C83" s="11" t="s">
        <v>1319</v>
      </c>
      <c r="D83" s="11" t="s">
        <v>306</v>
      </c>
    </row>
    <row r="84" customHeight="1" spans="1:10">
      <c r="A84" s="11" t="s">
        <v>379</v>
      </c>
      <c r="B84" s="11" t="s">
        <v>92</v>
      </c>
      <c r="C84" s="11" t="s">
        <v>1320</v>
      </c>
      <c r="D84" s="11" t="s">
        <v>309</v>
      </c>
    </row>
    <row r="85" customHeight="1" spans="1:10">
      <c r="A85" s="8" t="s">
        <v>13</v>
      </c>
      <c r="B85" s="1" t="s">
        <v>201</v>
      </c>
      <c r="C85" s="12" t="s">
        <v>1321</v>
      </c>
      <c r="D85" s="12" t="s">
        <v>490</v>
      </c>
      <c r="H85" s="5">
        <f>H86+H87</f>
        <v>0</v>
      </c>
      <c r="I85" s="5">
        <f>I86+I87</f>
        <v>0</v>
      </c>
    </row>
    <row r="86" customHeight="1" spans="1:10">
      <c r="A86" s="11" t="s">
        <v>379</v>
      </c>
      <c r="B86" s="11" t="s">
        <v>201</v>
      </c>
      <c r="C86" s="11" t="s">
        <v>1322</v>
      </c>
      <c r="D86" s="11" t="s">
        <v>306</v>
      </c>
    </row>
    <row r="87" customHeight="1" spans="1:10">
      <c r="A87" s="11" t="s">
        <v>379</v>
      </c>
      <c r="B87" s="11" t="s">
        <v>201</v>
      </c>
      <c r="C87" s="11" t="s">
        <v>1323</v>
      </c>
      <c r="D87" s="11" t="s">
        <v>309</v>
      </c>
    </row>
    <row r="88" customHeight="1" spans="1:10">
      <c r="A88" s="1"/>
      <c r="B88" s="1"/>
      <c r="C88" s="11"/>
      <c r="D88" s="11"/>
    </row>
    <row r="89" customHeight="1" spans="1:10">
      <c r="A89" s="8" t="s">
        <v>13</v>
      </c>
      <c r="B89" s="8" t="s">
        <v>14</v>
      </c>
      <c r="C89" s="12" t="s">
        <v>1324</v>
      </c>
      <c r="D89" s="12" t="s">
        <v>494</v>
      </c>
      <c r="E89" s="13"/>
      <c r="F89" s="13"/>
      <c r="G89" s="13"/>
      <c r="H89" s="13">
        <f>H90+H115+H121</f>
        <v>0</v>
      </c>
      <c r="I89" s="13">
        <f>I90+I115+I121</f>
        <v>0</v>
      </c>
      <c r="J89" s="13"/>
    </row>
    <row r="90" customHeight="1" spans="1:10">
      <c r="A90" s="8" t="s">
        <v>17</v>
      </c>
      <c r="B90" s="8" t="s">
        <v>14</v>
      </c>
      <c r="C90" s="12" t="s">
        <v>1325</v>
      </c>
      <c r="D90" s="12" t="s">
        <v>496</v>
      </c>
      <c r="E90" s="13"/>
      <c r="F90" s="13"/>
      <c r="G90" s="13"/>
      <c r="H90" s="13">
        <f>H93+H110+H112</f>
        <v>0</v>
      </c>
      <c r="I90" s="13">
        <f>I93+I110+I112</f>
        <v>0</v>
      </c>
      <c r="J90" s="13"/>
    </row>
    <row r="91" customHeight="1" spans="1:10">
      <c r="A91" s="1" t="s">
        <v>20</v>
      </c>
      <c r="B91" s="1" t="s">
        <v>103</v>
      </c>
      <c r="C91" s="11" t="s">
        <v>1326</v>
      </c>
      <c r="D91" s="11" t="s">
        <v>1327</v>
      </c>
      <c r="H91" s="5" t="e">
        <f>H90/H47</f>
        <v>#DIV/0!</v>
      </c>
      <c r="I91" s="5" t="e">
        <f>I90/I47</f>
        <v>#DIV/0!</v>
      </c>
      <c r="J91" s="5" t="s">
        <v>329</v>
      </c>
    </row>
    <row r="92" customHeight="1" spans="1:10">
      <c r="A92" s="1" t="s">
        <v>20</v>
      </c>
      <c r="B92" s="1" t="s">
        <v>103</v>
      </c>
      <c r="C92" s="11" t="s">
        <v>1328</v>
      </c>
      <c r="D92" s="11" t="s">
        <v>1329</v>
      </c>
      <c r="H92" s="5" t="e">
        <f>(H90-H100-H101-H102-H107-H108-H109)/H47</f>
        <v>#DIV/0!</v>
      </c>
      <c r="I92" s="5" t="e">
        <f>(I90-I100-I101-I102-I107-I108-I109)/I47</f>
        <v>#DIV/0!</v>
      </c>
      <c r="J92" s="5" t="s">
        <v>329</v>
      </c>
    </row>
    <row r="93" customHeight="1" spans="1:10">
      <c r="A93" s="17" t="s">
        <v>20</v>
      </c>
      <c r="B93" s="17" t="s">
        <v>14</v>
      </c>
      <c r="C93" s="18" t="s">
        <v>1330</v>
      </c>
      <c r="D93" s="18" t="s">
        <v>1331</v>
      </c>
      <c r="E93" s="19"/>
      <c r="F93" s="19"/>
      <c r="G93" s="19"/>
      <c r="H93" s="19">
        <f>H96+H103</f>
        <v>0</v>
      </c>
      <c r="I93" s="19">
        <f>I96+I103</f>
        <v>0</v>
      </c>
      <c r="J93" s="19"/>
    </row>
    <row r="94" customHeight="1" spans="1:10">
      <c r="A94" s="20" t="s">
        <v>379</v>
      </c>
      <c r="B94" s="20" t="s">
        <v>103</v>
      </c>
      <c r="C94" s="21" t="s">
        <v>1332</v>
      </c>
      <c r="D94" s="21" t="s">
        <v>1333</v>
      </c>
      <c r="E94" s="22"/>
      <c r="F94" s="22"/>
      <c r="G94" s="22"/>
      <c r="H94" s="22" t="e">
        <f>H93/H48</f>
        <v>#DIV/0!</v>
      </c>
      <c r="I94" s="22" t="e">
        <f>I93/I48</f>
        <v>#DIV/0!</v>
      </c>
      <c r="J94" s="22" t="s">
        <v>329</v>
      </c>
    </row>
    <row r="95" customHeight="1" spans="1:10">
      <c r="A95" s="20" t="s">
        <v>379</v>
      </c>
      <c r="B95" s="20" t="s">
        <v>103</v>
      </c>
      <c r="C95" s="21" t="s">
        <v>1334</v>
      </c>
      <c r="D95" s="21" t="s">
        <v>1335</v>
      </c>
      <c r="E95" s="22"/>
      <c r="F95" s="22"/>
      <c r="G95" s="22"/>
      <c r="H95" s="22" t="e">
        <f>(H93-H100-H101-H102)/H48</f>
        <v>#DIV/0!</v>
      </c>
      <c r="I95" s="22" t="e">
        <f>(I93-I100-I101-I102)/I48</f>
        <v>#DIV/0!</v>
      </c>
      <c r="J95" s="22" t="s">
        <v>329</v>
      </c>
    </row>
    <row r="96" customHeight="1" spans="1:10">
      <c r="A96" s="20" t="s">
        <v>379</v>
      </c>
      <c r="B96" s="20" t="s">
        <v>14</v>
      </c>
      <c r="C96" s="21" t="s">
        <v>1336</v>
      </c>
      <c r="D96" s="21" t="s">
        <v>1337</v>
      </c>
      <c r="E96" s="22"/>
      <c r="F96" s="22"/>
      <c r="G96" s="22"/>
      <c r="H96" s="22"/>
      <c r="I96" s="22">
        <f>I98+I100+I101+I102</f>
        <v>0</v>
      </c>
      <c r="J96" s="22"/>
    </row>
    <row r="97" customHeight="1" spans="1:10">
      <c r="A97" s="1" t="s">
        <v>457</v>
      </c>
      <c r="B97" s="1" t="s">
        <v>103</v>
      </c>
      <c r="C97" s="11" t="s">
        <v>1338</v>
      </c>
      <c r="D97" s="11" t="s">
        <v>1339</v>
      </c>
      <c r="H97" s="5" t="e">
        <f>H96/H49</f>
        <v>#DIV/0!</v>
      </c>
      <c r="I97" s="5" t="e">
        <f>I96/I49</f>
        <v>#DIV/0!</v>
      </c>
      <c r="J97" s="5" t="s">
        <v>329</v>
      </c>
    </row>
    <row r="98" customHeight="1" spans="1:10">
      <c r="A98" s="1" t="s">
        <v>457</v>
      </c>
      <c r="B98" s="1" t="s">
        <v>14</v>
      </c>
      <c r="C98" s="11" t="s">
        <v>1340</v>
      </c>
      <c r="D98" s="11" t="s">
        <v>1341</v>
      </c>
      <c r="H98" s="5">
        <f>H96-H100-H101-H102</f>
        <v>0</v>
      </c>
      <c r="I98" s="5">
        <f>I49*I99</f>
        <v>0</v>
      </c>
      <c r="J98" s="5" t="s">
        <v>503</v>
      </c>
    </row>
    <row r="99" customHeight="1" spans="1:10">
      <c r="A99" s="1" t="s">
        <v>457</v>
      </c>
      <c r="B99" s="1" t="s">
        <v>103</v>
      </c>
      <c r="C99" s="11" t="s">
        <v>1342</v>
      </c>
      <c r="D99" s="11" t="s">
        <v>1343</v>
      </c>
      <c r="H99" s="5" t="e">
        <f>H98/H49</f>
        <v>#DIV/0!</v>
      </c>
    </row>
    <row r="100" customHeight="1" spans="1:10">
      <c r="A100" s="1" t="s">
        <v>457</v>
      </c>
      <c r="B100" s="1" t="s">
        <v>14</v>
      </c>
      <c r="C100" s="11" t="s">
        <v>1344</v>
      </c>
      <c r="D100" s="11" t="s">
        <v>1345</v>
      </c>
    </row>
    <row r="101" customHeight="1" spans="1:10">
      <c r="A101" s="1" t="s">
        <v>457</v>
      </c>
      <c r="B101" s="1" t="s">
        <v>14</v>
      </c>
      <c r="C101" s="11" t="s">
        <v>1346</v>
      </c>
      <c r="D101" s="11" t="s">
        <v>1347</v>
      </c>
    </row>
    <row r="102" customHeight="1" spans="1:10">
      <c r="A102" s="1" t="s">
        <v>457</v>
      </c>
      <c r="B102" s="1" t="s">
        <v>14</v>
      </c>
      <c r="C102" s="11" t="s">
        <v>1348</v>
      </c>
      <c r="D102" s="11" t="s">
        <v>1349</v>
      </c>
    </row>
    <row r="103" customHeight="1" spans="1:10">
      <c r="A103" s="20" t="s">
        <v>379</v>
      </c>
      <c r="B103" s="20" t="s">
        <v>14</v>
      </c>
      <c r="C103" s="21" t="s">
        <v>1350</v>
      </c>
      <c r="D103" s="21" t="s">
        <v>1351</v>
      </c>
      <c r="E103" s="22"/>
      <c r="F103" s="22"/>
      <c r="G103" s="22"/>
      <c r="H103" s="22"/>
      <c r="I103" s="22">
        <f>I105+I107+I108+I109</f>
        <v>0</v>
      </c>
      <c r="J103" s="22"/>
    </row>
    <row r="104" customHeight="1" spans="1:10">
      <c r="A104" s="1" t="s">
        <v>457</v>
      </c>
      <c r="B104" s="1" t="s">
        <v>103</v>
      </c>
      <c r="C104" s="11" t="s">
        <v>1352</v>
      </c>
      <c r="D104" s="11" t="s">
        <v>1353</v>
      </c>
      <c r="H104" s="5" t="e">
        <f>H103/H50</f>
        <v>#DIV/0!</v>
      </c>
      <c r="I104" s="5" t="e">
        <f>I103/I50</f>
        <v>#DIV/0!</v>
      </c>
      <c r="J104" s="5" t="s">
        <v>329</v>
      </c>
    </row>
    <row r="105" customHeight="1" spans="1:10">
      <c r="A105" s="1" t="s">
        <v>457</v>
      </c>
      <c r="B105" s="1" t="s">
        <v>14</v>
      </c>
      <c r="C105" s="11" t="s">
        <v>1354</v>
      </c>
      <c r="D105" s="11" t="s">
        <v>1355</v>
      </c>
      <c r="H105" s="5">
        <f>H103-H107-H108-H109</f>
        <v>0</v>
      </c>
      <c r="I105" s="5">
        <f>I50*I106</f>
        <v>0</v>
      </c>
      <c r="J105" s="5" t="s">
        <v>503</v>
      </c>
    </row>
    <row r="106" customHeight="1" spans="1:10">
      <c r="A106" s="1" t="s">
        <v>457</v>
      </c>
      <c r="B106" s="1" t="s">
        <v>103</v>
      </c>
      <c r="C106" s="11" t="s">
        <v>1356</v>
      </c>
      <c r="D106" s="11" t="s">
        <v>1357</v>
      </c>
      <c r="H106" s="5" t="e">
        <f>H105/H50</f>
        <v>#DIV/0!</v>
      </c>
      <c r="J106" s="5" t="s">
        <v>329</v>
      </c>
    </row>
    <row r="107" customHeight="1" spans="1:10">
      <c r="A107" s="1" t="s">
        <v>457</v>
      </c>
      <c r="B107" s="1" t="s">
        <v>14</v>
      </c>
      <c r="C107" s="11" t="s">
        <v>1358</v>
      </c>
      <c r="D107" s="11" t="s">
        <v>1345</v>
      </c>
    </row>
    <row r="108" customHeight="1" spans="1:10">
      <c r="A108" s="1" t="s">
        <v>457</v>
      </c>
      <c r="B108" s="1" t="s">
        <v>14</v>
      </c>
      <c r="C108" s="11" t="s">
        <v>1359</v>
      </c>
      <c r="D108" s="11" t="s">
        <v>1347</v>
      </c>
    </row>
    <row r="109" customHeight="1" spans="1:10">
      <c r="A109" s="1" t="s">
        <v>457</v>
      </c>
      <c r="B109" s="1" t="s">
        <v>14</v>
      </c>
      <c r="C109" s="11" t="s">
        <v>1360</v>
      </c>
      <c r="D109" s="11" t="s">
        <v>1349</v>
      </c>
    </row>
    <row r="110" customHeight="1" spans="1:10">
      <c r="A110" s="17" t="s">
        <v>20</v>
      </c>
      <c r="B110" s="17" t="s">
        <v>14</v>
      </c>
      <c r="C110" s="18" t="s">
        <v>1361</v>
      </c>
      <c r="D110" s="18" t="s">
        <v>1362</v>
      </c>
      <c r="E110" s="19"/>
      <c r="F110" s="19"/>
      <c r="G110" s="19"/>
      <c r="H110" s="19"/>
      <c r="I110" s="19">
        <f>I52*I111</f>
        <v>0</v>
      </c>
      <c r="J110" s="19" t="s">
        <v>516</v>
      </c>
    </row>
    <row r="111" customHeight="1" spans="1:10">
      <c r="A111" s="1" t="s">
        <v>379</v>
      </c>
      <c r="B111" s="1" t="s">
        <v>103</v>
      </c>
      <c r="C111" s="11" t="s">
        <v>1363</v>
      </c>
      <c r="D111" s="11" t="s">
        <v>1364</v>
      </c>
      <c r="H111" s="5" t="e">
        <f>H110/H52</f>
        <v>#DIV/0!</v>
      </c>
      <c r="J111" s="5" t="s">
        <v>329</v>
      </c>
    </row>
    <row r="112" customHeight="1" spans="1:10">
      <c r="A112" s="17" t="s">
        <v>20</v>
      </c>
      <c r="B112" s="17" t="s">
        <v>14</v>
      </c>
      <c r="C112" s="18" t="s">
        <v>1365</v>
      </c>
      <c r="D112" s="18" t="s">
        <v>1366</v>
      </c>
      <c r="E112" s="19"/>
      <c r="F112" s="19"/>
      <c r="G112" s="19"/>
      <c r="H112" s="19"/>
      <c r="I112" s="19">
        <f>I53*I113</f>
        <v>0</v>
      </c>
      <c r="J112" s="19" t="s">
        <v>516</v>
      </c>
    </row>
    <row r="113" customHeight="1" spans="1:10">
      <c r="A113" s="1" t="s">
        <v>379</v>
      </c>
      <c r="B113" s="1" t="s">
        <v>103</v>
      </c>
      <c r="C113" s="11" t="s">
        <v>1367</v>
      </c>
      <c r="D113" s="11" t="s">
        <v>1368</v>
      </c>
      <c r="H113" s="5" t="e">
        <f>H112/H53</f>
        <v>#DIV/0!</v>
      </c>
      <c r="J113" s="5" t="s">
        <v>329</v>
      </c>
    </row>
    <row r="114" customHeight="1" spans="1:10">
      <c r="A114" s="1"/>
      <c r="B114" s="1"/>
      <c r="C114" s="11"/>
      <c r="D114" s="11"/>
    </row>
    <row r="115" customHeight="1" spans="1:10">
      <c r="A115" s="12" t="s">
        <v>17</v>
      </c>
      <c r="B115" s="12" t="s">
        <v>14</v>
      </c>
      <c r="C115" s="12" t="s">
        <v>1369</v>
      </c>
      <c r="D115" s="12" t="s">
        <v>553</v>
      </c>
      <c r="H115" s="5">
        <f>H116+H118</f>
        <v>0</v>
      </c>
      <c r="I115" s="5">
        <f>I116+I118</f>
        <v>0</v>
      </c>
    </row>
    <row r="116" customHeight="1" spans="1:10">
      <c r="A116" s="8" t="s">
        <v>20</v>
      </c>
      <c r="B116" s="12" t="s">
        <v>14</v>
      </c>
      <c r="C116" s="12" t="s">
        <v>1370</v>
      </c>
      <c r="D116" s="12" t="s">
        <v>555</v>
      </c>
      <c r="I116" s="5">
        <f>I78*I117</f>
        <v>0</v>
      </c>
      <c r="J116" s="5" t="s">
        <v>516</v>
      </c>
    </row>
    <row r="117" customHeight="1" spans="1:10">
      <c r="A117" s="1" t="s">
        <v>379</v>
      </c>
      <c r="B117" s="1" t="s">
        <v>103</v>
      </c>
      <c r="C117" s="11" t="s">
        <v>1371</v>
      </c>
      <c r="D117" s="11" t="s">
        <v>557</v>
      </c>
      <c r="H117" s="5" t="e">
        <f>H116/H78</f>
        <v>#DIV/0!</v>
      </c>
      <c r="J117" s="5" t="s">
        <v>329</v>
      </c>
    </row>
    <row r="118" customHeight="1" spans="1:10">
      <c r="A118" s="8" t="s">
        <v>20</v>
      </c>
      <c r="B118" s="12" t="s">
        <v>14</v>
      </c>
      <c r="C118" s="12" t="s">
        <v>1372</v>
      </c>
      <c r="D118" s="12" t="s">
        <v>1373</v>
      </c>
      <c r="I118" s="5">
        <f>I79*I119</f>
        <v>0</v>
      </c>
      <c r="J118" s="5" t="s">
        <v>516</v>
      </c>
    </row>
    <row r="119" customHeight="1" spans="1:10">
      <c r="A119" s="1" t="s">
        <v>379</v>
      </c>
      <c r="B119" s="1" t="s">
        <v>103</v>
      </c>
      <c r="C119" s="11" t="s">
        <v>1374</v>
      </c>
      <c r="D119" s="11" t="s">
        <v>1375</v>
      </c>
      <c r="H119" s="5" t="e">
        <f>H118/H79</f>
        <v>#DIV/0!</v>
      </c>
      <c r="J119" s="5" t="s">
        <v>329</v>
      </c>
    </row>
    <row r="120" customHeight="1" spans="1:10">
      <c r="A120" s="1"/>
      <c r="B120" s="1"/>
      <c r="C120" s="11"/>
      <c r="D120" s="11"/>
    </row>
    <row r="121" customHeight="1" spans="1:10">
      <c r="A121" s="12" t="s">
        <v>17</v>
      </c>
      <c r="B121" s="12" t="s">
        <v>14</v>
      </c>
      <c r="C121" s="12" t="s">
        <v>1376</v>
      </c>
      <c r="D121" s="12" t="s">
        <v>1377</v>
      </c>
      <c r="H121" s="5">
        <f>H122</f>
        <v>0</v>
      </c>
      <c r="I121" s="5">
        <f>I122</f>
        <v>0</v>
      </c>
    </row>
    <row r="122" customHeight="1" spans="1:10">
      <c r="A122" s="8" t="s">
        <v>20</v>
      </c>
      <c r="B122" s="12" t="s">
        <v>14</v>
      </c>
      <c r="C122" s="12" t="s">
        <v>1378</v>
      </c>
      <c r="D122" s="12" t="s">
        <v>1379</v>
      </c>
      <c r="I122" s="5">
        <f>I81*I123</f>
        <v>0</v>
      </c>
      <c r="J122" s="5" t="s">
        <v>516</v>
      </c>
    </row>
    <row r="123" customHeight="1" spans="1:10">
      <c r="A123" s="1" t="s">
        <v>379</v>
      </c>
      <c r="B123" s="1" t="s">
        <v>103</v>
      </c>
      <c r="C123" s="11" t="s">
        <v>1380</v>
      </c>
      <c r="D123" s="11" t="s">
        <v>1381</v>
      </c>
      <c r="H123" s="5" t="e">
        <f>H122/H81</f>
        <v>#DIV/0!</v>
      </c>
      <c r="J123" s="5" t="s">
        <v>329</v>
      </c>
    </row>
    <row r="124" customHeight="1" spans="1:10">
      <c r="A124" s="1"/>
      <c r="B124" s="1"/>
      <c r="C124" s="11"/>
      <c r="D124" s="11"/>
    </row>
    <row r="125" customHeight="1" spans="1:10">
      <c r="A125" s="8" t="s">
        <v>13</v>
      </c>
      <c r="B125" s="8" t="s">
        <v>23</v>
      </c>
      <c r="C125" s="12" t="s">
        <v>1382</v>
      </c>
      <c r="D125" s="12" t="s">
        <v>559</v>
      </c>
      <c r="E125" s="13"/>
      <c r="F125" s="13"/>
      <c r="G125" s="13"/>
      <c r="H125" s="13">
        <f>H126+H138+H143+H146</f>
        <v>0</v>
      </c>
      <c r="I125" s="13">
        <f>I126+I138+I143+I146</f>
        <v>0</v>
      </c>
      <c r="J125" s="13"/>
    </row>
    <row r="126" customHeight="1" spans="1:10">
      <c r="A126" s="8" t="s">
        <v>17</v>
      </c>
      <c r="B126" s="8" t="s">
        <v>23</v>
      </c>
      <c r="C126" s="12" t="s">
        <v>1383</v>
      </c>
      <c r="D126" s="12" t="s">
        <v>561</v>
      </c>
      <c r="E126" s="13"/>
      <c r="F126" s="13"/>
      <c r="G126" s="13"/>
      <c r="H126" s="13">
        <f>H127+H133+H135</f>
        <v>0</v>
      </c>
      <c r="I126" s="13">
        <f>I127+I133+I135</f>
        <v>0</v>
      </c>
      <c r="J126" s="13"/>
    </row>
    <row r="127" customHeight="1" spans="1:10">
      <c r="A127" s="17" t="s">
        <v>20</v>
      </c>
      <c r="B127" s="17" t="s">
        <v>23</v>
      </c>
      <c r="C127" s="18" t="s">
        <v>1384</v>
      </c>
      <c r="D127" s="18" t="s">
        <v>1385</v>
      </c>
      <c r="E127" s="19"/>
      <c r="F127" s="19"/>
      <c r="G127" s="19"/>
      <c r="H127" s="19">
        <f>H129+H131</f>
        <v>0</v>
      </c>
      <c r="I127" s="19">
        <f>I129+I131</f>
        <v>0</v>
      </c>
      <c r="J127" s="19"/>
    </row>
    <row r="128" customHeight="1" spans="1:10">
      <c r="A128" s="1" t="s">
        <v>379</v>
      </c>
      <c r="B128" s="1" t="s">
        <v>103</v>
      </c>
      <c r="C128" s="11" t="s">
        <v>1386</v>
      </c>
      <c r="D128" s="11" t="s">
        <v>1387</v>
      </c>
      <c r="H128" s="5" t="e">
        <f>H127/H48</f>
        <v>#DIV/0!</v>
      </c>
      <c r="I128" s="5" t="e">
        <f>I127/I48</f>
        <v>#DIV/0!</v>
      </c>
      <c r="J128" s="5" t="s">
        <v>329</v>
      </c>
    </row>
    <row r="129" customHeight="1" spans="1:10">
      <c r="A129" s="1" t="s">
        <v>379</v>
      </c>
      <c r="B129" s="1" t="s">
        <v>23</v>
      </c>
      <c r="C129" s="11" t="s">
        <v>1388</v>
      </c>
      <c r="D129" s="11" t="s">
        <v>1389</v>
      </c>
      <c r="I129" s="5">
        <f>I49*I130</f>
        <v>0</v>
      </c>
      <c r="J129" s="5" t="s">
        <v>516</v>
      </c>
    </row>
    <row r="130" customHeight="1" spans="1:10">
      <c r="A130" s="1" t="s">
        <v>457</v>
      </c>
      <c r="B130" s="1" t="s">
        <v>103</v>
      </c>
      <c r="C130" s="11" t="s">
        <v>1390</v>
      </c>
      <c r="D130" s="11" t="s">
        <v>1391</v>
      </c>
      <c r="H130" s="5" t="e">
        <f>H129/H49</f>
        <v>#DIV/0!</v>
      </c>
      <c r="J130" s="5" t="s">
        <v>329</v>
      </c>
    </row>
    <row r="131" customHeight="1" spans="1:10">
      <c r="A131" s="1" t="s">
        <v>379</v>
      </c>
      <c r="B131" s="1" t="s">
        <v>23</v>
      </c>
      <c r="C131" s="11" t="s">
        <v>1392</v>
      </c>
      <c r="D131" s="11" t="s">
        <v>1393</v>
      </c>
      <c r="I131" s="5">
        <f>I50*I132</f>
        <v>0</v>
      </c>
      <c r="J131" s="5" t="s">
        <v>516</v>
      </c>
    </row>
    <row r="132" customHeight="1" spans="1:10">
      <c r="A132" s="1" t="s">
        <v>457</v>
      </c>
      <c r="B132" s="1" t="s">
        <v>103</v>
      </c>
      <c r="C132" s="11" t="s">
        <v>1394</v>
      </c>
      <c r="D132" s="11" t="s">
        <v>1395</v>
      </c>
      <c r="H132" s="5" t="e">
        <f>H131/H50</f>
        <v>#DIV/0!</v>
      </c>
      <c r="J132" s="5" t="s">
        <v>329</v>
      </c>
    </row>
    <row r="133" customHeight="1" spans="1:10">
      <c r="A133" s="17" t="s">
        <v>20</v>
      </c>
      <c r="B133" s="17" t="s">
        <v>23</v>
      </c>
      <c r="C133" s="18" t="s">
        <v>1396</v>
      </c>
      <c r="D133" s="18" t="s">
        <v>1397</v>
      </c>
      <c r="E133" s="19"/>
      <c r="F133" s="19"/>
      <c r="G133" s="19"/>
      <c r="H133" s="19"/>
      <c r="I133" s="19">
        <f>I52*I134</f>
        <v>0</v>
      </c>
      <c r="J133" s="19" t="s">
        <v>516</v>
      </c>
    </row>
    <row r="134" customHeight="1" spans="1:10">
      <c r="A134" s="1" t="s">
        <v>379</v>
      </c>
      <c r="B134" s="1" t="s">
        <v>103</v>
      </c>
      <c r="C134" s="11" t="s">
        <v>1398</v>
      </c>
      <c r="D134" s="11" t="s">
        <v>1399</v>
      </c>
      <c r="H134" s="5" t="e">
        <f>H133/H52</f>
        <v>#DIV/0!</v>
      </c>
      <c r="J134" s="5" t="s">
        <v>329</v>
      </c>
    </row>
    <row r="135" customHeight="1" spans="1:10">
      <c r="A135" s="17" t="s">
        <v>20</v>
      </c>
      <c r="B135" s="17" t="s">
        <v>23</v>
      </c>
      <c r="C135" s="18" t="s">
        <v>1400</v>
      </c>
      <c r="D135" s="18" t="s">
        <v>1401</v>
      </c>
      <c r="E135" s="19"/>
      <c r="F135" s="19"/>
      <c r="G135" s="19"/>
      <c r="H135" s="19"/>
      <c r="I135" s="19">
        <f>I53*I136</f>
        <v>0</v>
      </c>
      <c r="J135" s="19" t="s">
        <v>516</v>
      </c>
    </row>
    <row r="136" customHeight="1" spans="1:10">
      <c r="A136" s="1" t="s">
        <v>379</v>
      </c>
      <c r="B136" s="1" t="s">
        <v>103</v>
      </c>
      <c r="C136" s="11" t="s">
        <v>1402</v>
      </c>
      <c r="D136" s="11" t="s">
        <v>1403</v>
      </c>
      <c r="H136" s="5" t="e">
        <f>H135/H53</f>
        <v>#DIV/0!</v>
      </c>
      <c r="J136" s="5" t="s">
        <v>329</v>
      </c>
    </row>
    <row r="137" customHeight="1" spans="1:10">
      <c r="A137" s="1"/>
      <c r="B137" s="1"/>
      <c r="C137" s="11"/>
      <c r="D137" s="11"/>
    </row>
    <row r="138" s="13" customFormat="1" customHeight="1" spans="1:10">
      <c r="A138" s="8" t="s">
        <v>17</v>
      </c>
      <c r="B138" s="8" t="s">
        <v>23</v>
      </c>
      <c r="C138" s="12" t="s">
        <v>1404</v>
      </c>
      <c r="D138" s="12" t="s">
        <v>571</v>
      </c>
      <c r="H138" s="13">
        <f>H139+H141</f>
        <v>0</v>
      </c>
      <c r="I138" s="13">
        <f>I139+I141</f>
        <v>0</v>
      </c>
    </row>
    <row r="139" customHeight="1" spans="1:10">
      <c r="A139" s="1" t="s">
        <v>20</v>
      </c>
      <c r="B139" s="1" t="s">
        <v>23</v>
      </c>
      <c r="C139" s="11" t="s">
        <v>1405</v>
      </c>
      <c r="D139" s="11" t="s">
        <v>573</v>
      </c>
      <c r="I139" s="5">
        <f>I78*I140</f>
        <v>0</v>
      </c>
      <c r="J139" s="5" t="s">
        <v>516</v>
      </c>
    </row>
    <row r="140" customHeight="1" spans="1:10">
      <c r="A140" s="1" t="s">
        <v>379</v>
      </c>
      <c r="B140" s="1" t="s">
        <v>103</v>
      </c>
      <c r="C140" s="11" t="s">
        <v>1406</v>
      </c>
      <c r="D140" s="11" t="s">
        <v>575</v>
      </c>
      <c r="H140" s="5" t="e">
        <f>H139/H78</f>
        <v>#DIV/0!</v>
      </c>
      <c r="J140" s="5" t="s">
        <v>329</v>
      </c>
    </row>
    <row r="141" customHeight="1" spans="1:10">
      <c r="A141" s="1" t="s">
        <v>20</v>
      </c>
      <c r="B141" s="1" t="s">
        <v>23</v>
      </c>
      <c r="C141" s="11" t="s">
        <v>1407</v>
      </c>
      <c r="D141" s="11" t="s">
        <v>1408</v>
      </c>
      <c r="I141" s="5">
        <f>I79*I142</f>
        <v>0</v>
      </c>
      <c r="J141" s="5" t="s">
        <v>516</v>
      </c>
    </row>
    <row r="142" customHeight="1" spans="1:10">
      <c r="A142" s="1" t="s">
        <v>379</v>
      </c>
      <c r="B142" s="1" t="s">
        <v>103</v>
      </c>
      <c r="C142" s="11" t="s">
        <v>1409</v>
      </c>
      <c r="D142" s="11" t="s">
        <v>1410</v>
      </c>
      <c r="H142" s="5" t="e">
        <f>H141/H79</f>
        <v>#DIV/0!</v>
      </c>
      <c r="J142" s="5" t="s">
        <v>329</v>
      </c>
    </row>
    <row r="143" s="13" customFormat="1" customHeight="1" spans="1:10">
      <c r="A143" s="8" t="s">
        <v>17</v>
      </c>
      <c r="B143" s="8" t="s">
        <v>23</v>
      </c>
      <c r="C143" s="12" t="s">
        <v>1411</v>
      </c>
      <c r="D143" s="12" t="s">
        <v>1412</v>
      </c>
      <c r="H143" s="13">
        <f>H144</f>
        <v>0</v>
      </c>
      <c r="I143" s="13">
        <f>I144</f>
        <v>0</v>
      </c>
    </row>
    <row r="144" customHeight="1" spans="1:10">
      <c r="A144" s="1" t="s">
        <v>20</v>
      </c>
      <c r="B144" s="1" t="s">
        <v>23</v>
      </c>
      <c r="C144" s="11" t="s">
        <v>1413</v>
      </c>
      <c r="D144" s="11" t="s">
        <v>1414</v>
      </c>
      <c r="I144" s="5">
        <f>I81*I145</f>
        <v>0</v>
      </c>
      <c r="J144" s="5" t="s">
        <v>516</v>
      </c>
    </row>
    <row r="145" customHeight="1" spans="1:10">
      <c r="A145" s="1" t="s">
        <v>379</v>
      </c>
      <c r="B145" s="1" t="s">
        <v>103</v>
      </c>
      <c r="C145" s="11" t="s">
        <v>1415</v>
      </c>
      <c r="D145" s="11" t="s">
        <v>1416</v>
      </c>
      <c r="H145" s="5" t="e">
        <f>H144/H81</f>
        <v>#DIV/0!</v>
      </c>
      <c r="J145" s="5" t="s">
        <v>329</v>
      </c>
    </row>
    <row r="146" s="13" customFormat="1" customHeight="1" spans="1:10">
      <c r="A146" s="8" t="s">
        <v>17</v>
      </c>
      <c r="B146" s="8" t="s">
        <v>23</v>
      </c>
      <c r="C146" s="12" t="s">
        <v>1417</v>
      </c>
      <c r="D146" s="12" t="s">
        <v>577</v>
      </c>
      <c r="H146" s="13">
        <f>H147</f>
        <v>0</v>
      </c>
      <c r="I146" s="13">
        <f>I147</f>
        <v>0</v>
      </c>
    </row>
    <row r="147" customHeight="1" spans="1:10">
      <c r="A147" s="1" t="s">
        <v>20</v>
      </c>
      <c r="B147" s="1" t="s">
        <v>23</v>
      </c>
      <c r="C147" s="11" t="s">
        <v>1418</v>
      </c>
      <c r="D147" s="11" t="s">
        <v>938</v>
      </c>
    </row>
    <row r="148" customHeight="1" spans="1:10">
      <c r="A148" s="1"/>
      <c r="B148" s="1"/>
      <c r="C148" s="11"/>
      <c r="D148" s="11"/>
    </row>
    <row r="149" customHeight="1" spans="1:10">
      <c r="A149" s="8" t="s">
        <v>13</v>
      </c>
      <c r="B149" s="8" t="s">
        <v>23</v>
      </c>
      <c r="C149" s="12" t="s">
        <v>1419</v>
      </c>
      <c r="D149" s="12" t="s">
        <v>581</v>
      </c>
      <c r="E149" s="13"/>
      <c r="F149" s="13"/>
      <c r="G149" s="13"/>
      <c r="H149" s="13">
        <f>H150+H156</f>
        <v>0</v>
      </c>
      <c r="I149" s="13">
        <f>I150+I156</f>
        <v>0</v>
      </c>
      <c r="J149" s="13"/>
    </row>
    <row r="150" customHeight="1" spans="1:10">
      <c r="A150" s="12" t="s">
        <v>17</v>
      </c>
      <c r="B150" s="12" t="s">
        <v>23</v>
      </c>
      <c r="C150" s="12" t="s">
        <v>1420</v>
      </c>
      <c r="D150" s="12" t="s">
        <v>583</v>
      </c>
      <c r="H150" s="5">
        <f>H152+H154</f>
        <v>0</v>
      </c>
      <c r="I150" s="5">
        <f>I152+I154</f>
        <v>0</v>
      </c>
    </row>
    <row r="151" customHeight="1" spans="1:10">
      <c r="A151" s="11" t="s">
        <v>20</v>
      </c>
      <c r="B151" s="11" t="s">
        <v>103</v>
      </c>
      <c r="C151" s="11" t="s">
        <v>1421</v>
      </c>
      <c r="D151" s="11" t="s">
        <v>585</v>
      </c>
      <c r="H151" s="5" t="e">
        <f>H150/H67</f>
        <v>#DIV/0!</v>
      </c>
      <c r="I151" s="5" t="e">
        <f>I150/I67</f>
        <v>#DIV/0!</v>
      </c>
      <c r="J151" s="5" t="s">
        <v>329</v>
      </c>
    </row>
    <row r="152" s="6" customFormat="1" customHeight="1" spans="1:10">
      <c r="A152" s="23" t="s">
        <v>20</v>
      </c>
      <c r="B152" s="24" t="s">
        <v>23</v>
      </c>
      <c r="C152" s="23" t="s">
        <v>1422</v>
      </c>
      <c r="D152" s="23" t="s">
        <v>1423</v>
      </c>
      <c r="I152" s="6">
        <f>I68*I153</f>
        <v>0</v>
      </c>
      <c r="J152" s="6" t="s">
        <v>516</v>
      </c>
    </row>
    <row r="153" customHeight="1" spans="1:10">
      <c r="A153" s="11" t="s">
        <v>379</v>
      </c>
      <c r="B153" s="11" t="s">
        <v>103</v>
      </c>
      <c r="C153" s="11" t="s">
        <v>1424</v>
      </c>
      <c r="D153" s="11" t="s">
        <v>1425</v>
      </c>
      <c r="H153" s="5" t="e">
        <f>H152/H68</f>
        <v>#DIV/0!</v>
      </c>
      <c r="J153" s="5" t="s">
        <v>329</v>
      </c>
    </row>
    <row r="154" customHeight="1" spans="1:10">
      <c r="A154" s="11" t="s">
        <v>20</v>
      </c>
      <c r="B154" s="11" t="s">
        <v>23</v>
      </c>
      <c r="C154" s="11" t="s">
        <v>1426</v>
      </c>
      <c r="D154" s="11" t="s">
        <v>1427</v>
      </c>
      <c r="I154" s="5">
        <f>I69*I155</f>
        <v>0</v>
      </c>
      <c r="J154" s="5" t="s">
        <v>516</v>
      </c>
    </row>
    <row r="155" customHeight="1" spans="1:10">
      <c r="A155" s="11" t="s">
        <v>379</v>
      </c>
      <c r="B155" s="11" t="s">
        <v>103</v>
      </c>
      <c r="C155" s="11" t="s">
        <v>1428</v>
      </c>
      <c r="D155" s="11" t="s">
        <v>1429</v>
      </c>
      <c r="H155" s="5" t="e">
        <f>H154/H69</f>
        <v>#DIV/0!</v>
      </c>
      <c r="J155" s="5" t="s">
        <v>329</v>
      </c>
    </row>
    <row r="156" customHeight="1" spans="1:10">
      <c r="A156" s="8" t="s">
        <v>17</v>
      </c>
      <c r="B156" s="8" t="s">
        <v>23</v>
      </c>
      <c r="C156" s="12" t="s">
        <v>1430</v>
      </c>
      <c r="D156" s="12" t="s">
        <v>943</v>
      </c>
      <c r="H156" s="5">
        <f>H157+H159</f>
        <v>0</v>
      </c>
      <c r="I156" s="5">
        <f>I157+I159</f>
        <v>0</v>
      </c>
    </row>
    <row r="157" customHeight="1" spans="1:10">
      <c r="A157" s="1" t="s">
        <v>20</v>
      </c>
      <c r="B157" s="1" t="s">
        <v>23</v>
      </c>
      <c r="C157" s="11" t="s">
        <v>1431</v>
      </c>
      <c r="D157" s="11" t="s">
        <v>945</v>
      </c>
      <c r="I157" s="5">
        <f>I86*I158</f>
        <v>0</v>
      </c>
      <c r="J157" s="5" t="s">
        <v>516</v>
      </c>
    </row>
    <row r="158" customHeight="1" spans="1:10">
      <c r="A158" s="11" t="s">
        <v>379</v>
      </c>
      <c r="B158" s="1" t="s">
        <v>103</v>
      </c>
      <c r="C158" s="11" t="s">
        <v>1432</v>
      </c>
      <c r="D158" s="11" t="s">
        <v>947</v>
      </c>
      <c r="H158" s="5" t="e">
        <f>H157/H86</f>
        <v>#DIV/0!</v>
      </c>
      <c r="J158" s="5" t="s">
        <v>329</v>
      </c>
    </row>
    <row r="159" customHeight="1" spans="1:10">
      <c r="A159" s="1" t="s">
        <v>20</v>
      </c>
      <c r="B159" s="1" t="s">
        <v>23</v>
      </c>
      <c r="C159" s="11" t="s">
        <v>1433</v>
      </c>
      <c r="D159" s="11" t="s">
        <v>1434</v>
      </c>
      <c r="I159" s="5">
        <f>I87*I160</f>
        <v>0</v>
      </c>
      <c r="J159" s="5" t="s">
        <v>516</v>
      </c>
    </row>
    <row r="160" customHeight="1" spans="1:10">
      <c r="A160" s="11" t="s">
        <v>379</v>
      </c>
      <c r="B160" s="1" t="s">
        <v>103</v>
      </c>
      <c r="C160" s="11" t="s">
        <v>1435</v>
      </c>
      <c r="D160" s="11" t="s">
        <v>1436</v>
      </c>
      <c r="H160" s="5" t="e">
        <f>H159/H87</f>
        <v>#DIV/0!</v>
      </c>
      <c r="J160" s="5" t="s">
        <v>329</v>
      </c>
    </row>
    <row r="161" customHeight="1" spans="1:10">
      <c r="A161" s="11"/>
      <c r="B161" s="11"/>
      <c r="C161" s="11"/>
      <c r="D161" s="11"/>
    </row>
    <row r="162" customHeight="1" spans="1:10">
      <c r="A162" s="12" t="s">
        <v>13</v>
      </c>
      <c r="B162" s="12" t="s">
        <v>14</v>
      </c>
      <c r="C162" s="12" t="s">
        <v>1437</v>
      </c>
      <c r="D162" s="12" t="s">
        <v>593</v>
      </c>
      <c r="H162" s="5">
        <f>H163+H169+H174</f>
        <v>0</v>
      </c>
      <c r="I162" s="5">
        <f>I163+I169+I174</f>
        <v>0</v>
      </c>
    </row>
    <row r="163" customHeight="1" spans="1:10">
      <c r="A163" s="12" t="s">
        <v>17</v>
      </c>
      <c r="B163" s="12" t="s">
        <v>14</v>
      </c>
      <c r="C163" s="12" t="s">
        <v>1438</v>
      </c>
      <c r="D163" s="12" t="s">
        <v>595</v>
      </c>
      <c r="H163" s="5">
        <f>H165+H167</f>
        <v>0</v>
      </c>
      <c r="I163" s="5">
        <f>I165+I167</f>
        <v>0</v>
      </c>
    </row>
    <row r="164" customHeight="1" spans="1:10">
      <c r="A164" s="11" t="s">
        <v>20</v>
      </c>
      <c r="B164" s="11" t="s">
        <v>103</v>
      </c>
      <c r="C164" s="11" t="s">
        <v>1439</v>
      </c>
      <c r="D164" s="11" t="s">
        <v>597</v>
      </c>
      <c r="H164" s="5" t="e">
        <f>H163/H67</f>
        <v>#DIV/0!</v>
      </c>
      <c r="I164" s="5" t="e">
        <f>I163/I67</f>
        <v>#DIV/0!</v>
      </c>
      <c r="J164" s="5" t="s">
        <v>329</v>
      </c>
    </row>
    <row r="165" customHeight="1" spans="1:10">
      <c r="A165" s="11" t="s">
        <v>20</v>
      </c>
      <c r="B165" s="11" t="s">
        <v>14</v>
      </c>
      <c r="C165" s="11" t="s">
        <v>1440</v>
      </c>
      <c r="D165" s="11" t="s">
        <v>1441</v>
      </c>
      <c r="I165" s="5">
        <f>I68*I166</f>
        <v>0</v>
      </c>
      <c r="J165" s="5" t="s">
        <v>516</v>
      </c>
    </row>
    <row r="166" customHeight="1" spans="1:10">
      <c r="A166" s="11" t="s">
        <v>379</v>
      </c>
      <c r="B166" s="11" t="s">
        <v>103</v>
      </c>
      <c r="C166" s="11" t="s">
        <v>1442</v>
      </c>
      <c r="D166" s="11" t="s">
        <v>1443</v>
      </c>
      <c r="H166" s="5" t="e">
        <f>H15/H68</f>
        <v>#DIV/0!</v>
      </c>
      <c r="J166" s="5" t="s">
        <v>329</v>
      </c>
    </row>
    <row r="167" customHeight="1" spans="1:10">
      <c r="A167" s="11" t="s">
        <v>20</v>
      </c>
      <c r="B167" s="11" t="s">
        <v>14</v>
      </c>
      <c r="C167" s="11" t="s">
        <v>1444</v>
      </c>
      <c r="D167" s="11" t="s">
        <v>1445</v>
      </c>
      <c r="I167" s="5">
        <f>I69*I168</f>
        <v>0</v>
      </c>
      <c r="J167" s="5" t="s">
        <v>516</v>
      </c>
    </row>
    <row r="168" customHeight="1" spans="1:10">
      <c r="A168" s="11" t="s">
        <v>379</v>
      </c>
      <c r="B168" s="11" t="s">
        <v>103</v>
      </c>
      <c r="C168" s="11" t="s">
        <v>1446</v>
      </c>
      <c r="D168" s="11" t="s">
        <v>1447</v>
      </c>
      <c r="H168" s="5" t="e">
        <f>H167/H69</f>
        <v>#DIV/0!</v>
      </c>
      <c r="J168" s="5" t="s">
        <v>329</v>
      </c>
    </row>
    <row r="169" customHeight="1" spans="1:10">
      <c r="A169" s="12" t="s">
        <v>17</v>
      </c>
      <c r="B169" s="12" t="s">
        <v>14</v>
      </c>
      <c r="C169" s="12" t="s">
        <v>1448</v>
      </c>
      <c r="D169" s="12" t="s">
        <v>599</v>
      </c>
      <c r="H169" s="5">
        <f>H170+H172</f>
        <v>0</v>
      </c>
      <c r="I169" s="5">
        <f>I170+I172</f>
        <v>0</v>
      </c>
    </row>
    <row r="170" customHeight="1" spans="1:10">
      <c r="A170" s="11" t="s">
        <v>20</v>
      </c>
      <c r="B170" s="11" t="s">
        <v>14</v>
      </c>
      <c r="C170" s="11" t="s">
        <v>1449</v>
      </c>
      <c r="D170" s="11" t="s">
        <v>601</v>
      </c>
      <c r="I170" s="5">
        <f>I86*I171</f>
        <v>0</v>
      </c>
      <c r="J170" s="5" t="s">
        <v>516</v>
      </c>
    </row>
    <row r="171" customHeight="1" spans="1:10">
      <c r="A171" s="11" t="s">
        <v>379</v>
      </c>
      <c r="B171" s="11" t="s">
        <v>103</v>
      </c>
      <c r="C171" s="11" t="s">
        <v>1450</v>
      </c>
      <c r="D171" s="11" t="s">
        <v>603</v>
      </c>
      <c r="H171" s="5" t="e">
        <f>H170/H86</f>
        <v>#DIV/0!</v>
      </c>
      <c r="J171" s="5" t="s">
        <v>329</v>
      </c>
    </row>
    <row r="172" customHeight="1" spans="1:10">
      <c r="A172" s="11" t="s">
        <v>20</v>
      </c>
      <c r="B172" s="11" t="s">
        <v>14</v>
      </c>
      <c r="C172" s="11" t="s">
        <v>1451</v>
      </c>
      <c r="D172" s="11" t="s">
        <v>1452</v>
      </c>
      <c r="I172" s="5">
        <f>I87*I173</f>
        <v>0</v>
      </c>
      <c r="J172" s="5" t="s">
        <v>516</v>
      </c>
    </row>
    <row r="173" customHeight="1" spans="1:10">
      <c r="A173" s="11" t="s">
        <v>379</v>
      </c>
      <c r="B173" s="11" t="s">
        <v>103</v>
      </c>
      <c r="C173" s="11" t="s">
        <v>1453</v>
      </c>
      <c r="D173" s="11" t="s">
        <v>1454</v>
      </c>
      <c r="H173" s="5" t="e">
        <f>H172/H87</f>
        <v>#DIV/0!</v>
      </c>
      <c r="J173" s="5" t="s">
        <v>329</v>
      </c>
    </row>
    <row r="174" customHeight="1" spans="1:10">
      <c r="A174" s="12" t="s">
        <v>17</v>
      </c>
      <c r="B174" s="12" t="s">
        <v>14</v>
      </c>
      <c r="C174" s="12" t="s">
        <v>1455</v>
      </c>
      <c r="D174" s="12" t="s">
        <v>831</v>
      </c>
      <c r="H174" s="5">
        <f>H175</f>
        <v>0</v>
      </c>
      <c r="I174" s="5">
        <f>I175</f>
        <v>0</v>
      </c>
    </row>
    <row r="175" customHeight="1" spans="1:10">
      <c r="A175" s="11" t="s">
        <v>20</v>
      </c>
      <c r="B175" s="11" t="s">
        <v>14</v>
      </c>
      <c r="C175" s="11" t="s">
        <v>1456</v>
      </c>
      <c r="D175" s="11" t="s">
        <v>956</v>
      </c>
    </row>
    <row r="176" customHeight="1" spans="1:10">
      <c r="A176" s="11"/>
      <c r="B176" s="11"/>
      <c r="C176" s="11"/>
      <c r="D176" s="11"/>
    </row>
    <row r="177" customHeight="1" spans="1:10">
      <c r="A177" s="12" t="s">
        <v>13</v>
      </c>
      <c r="B177" s="12" t="s">
        <v>14</v>
      </c>
      <c r="C177" s="12" t="s">
        <v>1457</v>
      </c>
      <c r="D177" s="12" t="s">
        <v>605</v>
      </c>
      <c r="I177" s="5">
        <f>I178+I183+I184+I185+I186+I189+I190+I191</f>
        <v>0</v>
      </c>
    </row>
    <row r="178" customHeight="1" spans="1:10">
      <c r="A178" s="12" t="s">
        <v>17</v>
      </c>
      <c r="B178" s="12" t="s">
        <v>14</v>
      </c>
      <c r="C178" s="12" t="s">
        <v>1458</v>
      </c>
      <c r="D178" s="12" t="s">
        <v>965</v>
      </c>
      <c r="H178" s="5">
        <f>H180+H182</f>
        <v>0</v>
      </c>
      <c r="I178" s="5">
        <f>I180+I182</f>
        <v>0</v>
      </c>
    </row>
    <row r="179" customHeight="1" spans="1:10">
      <c r="A179" s="11" t="s">
        <v>20</v>
      </c>
      <c r="B179" s="11" t="s">
        <v>103</v>
      </c>
      <c r="C179" s="11" t="s">
        <v>1459</v>
      </c>
      <c r="D179" s="11" t="s">
        <v>967</v>
      </c>
      <c r="H179" s="5" t="e">
        <f>H178/H54</f>
        <v>#DIV/0!</v>
      </c>
      <c r="I179" s="5" t="e">
        <f>I178/I54</f>
        <v>#DIV/0!</v>
      </c>
      <c r="J179" s="5" t="s">
        <v>329</v>
      </c>
    </row>
    <row r="180" customHeight="1" spans="1:10">
      <c r="A180" s="11" t="s">
        <v>20</v>
      </c>
      <c r="B180" s="11" t="s">
        <v>14</v>
      </c>
      <c r="C180" s="11" t="s">
        <v>1460</v>
      </c>
      <c r="D180" s="11" t="s">
        <v>1461</v>
      </c>
    </row>
    <row r="181" customHeight="1" spans="1:10">
      <c r="A181" s="11" t="s">
        <v>379</v>
      </c>
      <c r="B181" s="11" t="s">
        <v>103</v>
      </c>
      <c r="C181" s="11" t="s">
        <v>1462</v>
      </c>
      <c r="D181" s="11" t="s">
        <v>1463</v>
      </c>
      <c r="H181" s="5" t="e">
        <f>H180/H54</f>
        <v>#DIV/0!</v>
      </c>
      <c r="I181" s="5" t="e">
        <f>I180/I54</f>
        <v>#DIV/0!</v>
      </c>
      <c r="J181" s="5" t="s">
        <v>329</v>
      </c>
    </row>
    <row r="182" customHeight="1" spans="1:10">
      <c r="A182" s="11" t="s">
        <v>20</v>
      </c>
      <c r="B182" s="11" t="s">
        <v>14</v>
      </c>
      <c r="C182" s="11" t="s">
        <v>1464</v>
      </c>
      <c r="D182" s="11" t="s">
        <v>1465</v>
      </c>
    </row>
    <row r="183" customHeight="1" spans="1:10">
      <c r="A183" s="12" t="s">
        <v>17</v>
      </c>
      <c r="B183" s="12" t="s">
        <v>14</v>
      </c>
      <c r="C183" s="12" t="s">
        <v>1466</v>
      </c>
      <c r="D183" s="12" t="s">
        <v>1467</v>
      </c>
    </row>
    <row r="184" customHeight="1" spans="1:10">
      <c r="A184" s="12" t="s">
        <v>17</v>
      </c>
      <c r="B184" s="12" t="s">
        <v>14</v>
      </c>
      <c r="C184" s="12" t="s">
        <v>1468</v>
      </c>
      <c r="D184" s="12" t="s">
        <v>1469</v>
      </c>
    </row>
    <row r="185" customHeight="1" spans="1:10">
      <c r="A185" s="12" t="s">
        <v>17</v>
      </c>
      <c r="B185" s="12" t="s">
        <v>14</v>
      </c>
      <c r="C185" s="12" t="s">
        <v>1470</v>
      </c>
      <c r="D185" s="12" t="s">
        <v>1471</v>
      </c>
    </row>
    <row r="186" customHeight="1" spans="1:10">
      <c r="A186" s="12" t="s">
        <v>17</v>
      </c>
      <c r="B186" s="12" t="s">
        <v>14</v>
      </c>
      <c r="C186" s="12" t="s">
        <v>1472</v>
      </c>
      <c r="D186" s="12" t="s">
        <v>1473</v>
      </c>
    </row>
    <row r="187" customHeight="1" spans="1:10">
      <c r="A187" s="11" t="s">
        <v>20</v>
      </c>
      <c r="B187" s="11" t="s">
        <v>14</v>
      </c>
      <c r="C187" s="11" t="s">
        <v>1474</v>
      </c>
      <c r="D187" s="11" t="s">
        <v>1475</v>
      </c>
    </row>
    <row r="188" customHeight="1" spans="1:10">
      <c r="A188" s="11" t="s">
        <v>20</v>
      </c>
      <c r="B188" s="11" t="s">
        <v>14</v>
      </c>
      <c r="C188" s="11" t="s">
        <v>1476</v>
      </c>
      <c r="D188" s="11" t="s">
        <v>1477</v>
      </c>
    </row>
    <row r="189" customHeight="1" spans="1:10">
      <c r="A189" s="12" t="s">
        <v>17</v>
      </c>
      <c r="B189" s="12" t="s">
        <v>14</v>
      </c>
      <c r="C189" s="12" t="s">
        <v>1478</v>
      </c>
      <c r="D189" s="12" t="s">
        <v>1479</v>
      </c>
    </row>
    <row r="190" customHeight="1" spans="1:10">
      <c r="A190" s="12" t="s">
        <v>17</v>
      </c>
      <c r="B190" s="12" t="s">
        <v>14</v>
      </c>
      <c r="C190" s="12" t="s">
        <v>1480</v>
      </c>
      <c r="D190" s="12" t="s">
        <v>1481</v>
      </c>
    </row>
    <row r="191" customHeight="1" spans="1:10">
      <c r="A191" s="12" t="s">
        <v>17</v>
      </c>
      <c r="B191" s="12" t="s">
        <v>14</v>
      </c>
      <c r="C191" s="12" t="s">
        <v>1482</v>
      </c>
      <c r="D191" s="12" t="s">
        <v>675</v>
      </c>
      <c r="H191" s="5">
        <f>H177-H178-H183-H184-H185-H186-H189-H190</f>
        <v>0</v>
      </c>
    </row>
    <row r="192" customHeight="1" spans="1:10">
      <c r="A192" s="11"/>
      <c r="B192" s="11"/>
      <c r="C192" s="11"/>
      <c r="D192" s="11"/>
    </row>
    <row r="193" customHeight="1" spans="1:10">
      <c r="A193" s="12" t="s">
        <v>13</v>
      </c>
      <c r="B193" s="12" t="s">
        <v>23</v>
      </c>
      <c r="C193" s="12" t="s">
        <v>1483</v>
      </c>
      <c r="D193" s="12" t="s">
        <v>637</v>
      </c>
      <c r="I193" s="5">
        <f>I194+I196+I198+I200+I201+I202+I204</f>
        <v>0</v>
      </c>
    </row>
    <row r="194" customHeight="1" spans="1:10">
      <c r="A194" s="12" t="s">
        <v>17</v>
      </c>
      <c r="B194" s="12" t="s">
        <v>23</v>
      </c>
      <c r="C194" s="12" t="s">
        <v>1484</v>
      </c>
      <c r="D194" s="12" t="s">
        <v>639</v>
      </c>
      <c r="I194" s="5">
        <f>I46*I195</f>
        <v>0</v>
      </c>
      <c r="J194" s="5" t="s">
        <v>516</v>
      </c>
    </row>
    <row r="195" customHeight="1" spans="1:10">
      <c r="A195" s="11" t="s">
        <v>20</v>
      </c>
      <c r="B195" s="11" t="s">
        <v>103</v>
      </c>
      <c r="C195" s="11" t="s">
        <v>1485</v>
      </c>
      <c r="D195" s="11" t="s">
        <v>641</v>
      </c>
      <c r="H195" s="5" t="e">
        <f>H194/H46</f>
        <v>#DIV/0!</v>
      </c>
      <c r="J195" s="5" t="s">
        <v>329</v>
      </c>
    </row>
    <row r="196" customHeight="1" spans="1:10">
      <c r="A196" s="12" t="s">
        <v>17</v>
      </c>
      <c r="B196" s="12" t="s">
        <v>23</v>
      </c>
      <c r="C196" s="12" t="s">
        <v>1486</v>
      </c>
      <c r="D196" s="12" t="s">
        <v>643</v>
      </c>
      <c r="I196" s="5">
        <f>I46*I197</f>
        <v>0</v>
      </c>
      <c r="J196" s="5" t="s">
        <v>516</v>
      </c>
    </row>
    <row r="197" customHeight="1" spans="1:10">
      <c r="A197" s="11" t="s">
        <v>20</v>
      </c>
      <c r="B197" s="11" t="s">
        <v>103</v>
      </c>
      <c r="C197" s="11" t="s">
        <v>1487</v>
      </c>
      <c r="D197" s="11" t="s">
        <v>641</v>
      </c>
      <c r="H197" s="5" t="e">
        <f>H196/H46</f>
        <v>#DIV/0!</v>
      </c>
      <c r="J197" s="5" t="s">
        <v>329</v>
      </c>
    </row>
    <row r="198" customHeight="1" spans="1:10">
      <c r="A198" s="8" t="s">
        <v>17</v>
      </c>
      <c r="B198" s="12" t="s">
        <v>23</v>
      </c>
      <c r="C198" s="12" t="s">
        <v>1488</v>
      </c>
      <c r="D198" s="8" t="s">
        <v>646</v>
      </c>
      <c r="I198" s="5">
        <f>I46*I199</f>
        <v>0</v>
      </c>
      <c r="J198" s="5" t="s">
        <v>516</v>
      </c>
    </row>
    <row r="199" customHeight="1" spans="1:10">
      <c r="A199" s="1" t="s">
        <v>20</v>
      </c>
      <c r="B199" s="11" t="s">
        <v>103</v>
      </c>
      <c r="C199" s="11" t="s">
        <v>1489</v>
      </c>
      <c r="D199" s="1" t="s">
        <v>641</v>
      </c>
      <c r="H199" s="5" t="e">
        <f>H198/H46</f>
        <v>#DIV/0!</v>
      </c>
      <c r="J199" s="5" t="s">
        <v>329</v>
      </c>
    </row>
    <row r="200" customHeight="1" spans="1:10">
      <c r="A200" s="12" t="s">
        <v>17</v>
      </c>
      <c r="B200" s="12" t="s">
        <v>23</v>
      </c>
      <c r="C200" s="12" t="s">
        <v>1490</v>
      </c>
      <c r="D200" s="12" t="s">
        <v>649</v>
      </c>
    </row>
    <row r="201" customHeight="1" spans="1:10">
      <c r="A201" s="12" t="s">
        <v>17</v>
      </c>
      <c r="B201" s="12" t="s">
        <v>23</v>
      </c>
      <c r="C201" s="12" t="s">
        <v>1491</v>
      </c>
      <c r="D201" s="12" t="s">
        <v>1492</v>
      </c>
    </row>
    <row r="202" customHeight="1" spans="1:10">
      <c r="A202" s="12" t="s">
        <v>17</v>
      </c>
      <c r="B202" s="12" t="s">
        <v>23</v>
      </c>
      <c r="C202" s="12" t="s">
        <v>1493</v>
      </c>
      <c r="D202" s="12" t="s">
        <v>979</v>
      </c>
      <c r="I202" s="5">
        <f>I46*I203</f>
        <v>0</v>
      </c>
      <c r="J202" s="5" t="s">
        <v>516</v>
      </c>
    </row>
    <row r="203" customHeight="1" spans="1:10">
      <c r="A203" s="11" t="s">
        <v>20</v>
      </c>
      <c r="B203" s="11" t="s">
        <v>103</v>
      </c>
      <c r="C203" s="11" t="s">
        <v>1494</v>
      </c>
      <c r="D203" s="11" t="s">
        <v>1172</v>
      </c>
      <c r="H203" s="5" t="e">
        <f>H202/H46</f>
        <v>#DIV/0!</v>
      </c>
      <c r="J203" s="5" t="s">
        <v>329</v>
      </c>
    </row>
    <row r="204" customHeight="1" spans="1:10">
      <c r="A204" s="12" t="s">
        <v>17</v>
      </c>
      <c r="B204" s="12" t="s">
        <v>23</v>
      </c>
      <c r="C204" s="12" t="s">
        <v>1495</v>
      </c>
      <c r="D204" s="12" t="s">
        <v>675</v>
      </c>
      <c r="H204" s="5">
        <f>H193-H194-H196-H198-H200-H201-H202</f>
        <v>0</v>
      </c>
    </row>
    <row r="205" customHeight="1" spans="1:10">
      <c r="A205" s="11"/>
      <c r="B205" s="11"/>
      <c r="C205" s="11"/>
      <c r="D205" s="11"/>
    </row>
    <row r="206" customHeight="1" spans="1:10">
      <c r="A206" s="12" t="s">
        <v>13</v>
      </c>
      <c r="B206" s="12" t="s">
        <v>14</v>
      </c>
      <c r="C206" s="12" t="s">
        <v>1496</v>
      </c>
      <c r="D206" s="12" t="s">
        <v>677</v>
      </c>
      <c r="H206" s="5">
        <f>H207+H208</f>
        <v>0</v>
      </c>
      <c r="I206" s="5">
        <f>I207+I208</f>
        <v>0</v>
      </c>
    </row>
    <row r="207" customHeight="1" spans="1:10">
      <c r="A207" s="11" t="s">
        <v>17</v>
      </c>
      <c r="B207" s="11" t="s">
        <v>14</v>
      </c>
      <c r="C207" s="11" t="s">
        <v>1497</v>
      </c>
      <c r="D207" s="11" t="s">
        <v>1498</v>
      </c>
    </row>
    <row r="208" customHeight="1" spans="1:10">
      <c r="A208" s="11" t="s">
        <v>17</v>
      </c>
      <c r="B208" s="11" t="s">
        <v>14</v>
      </c>
      <c r="C208" s="11" t="s">
        <v>1499</v>
      </c>
      <c r="D208" s="11" t="s">
        <v>1500</v>
      </c>
    </row>
    <row r="209" customHeight="1" spans="1:4">
      <c r="A209" s="11"/>
      <c r="B209" s="11"/>
      <c r="C209" s="11"/>
      <c r="D209" s="11"/>
    </row>
    <row r="210" customHeight="1" spans="1:4">
      <c r="A210" s="12" t="s">
        <v>13</v>
      </c>
      <c r="B210" s="12" t="s">
        <v>14</v>
      </c>
      <c r="C210" s="12" t="s">
        <v>1501</v>
      </c>
      <c r="D210" s="12" t="s">
        <v>679</v>
      </c>
    </row>
    <row r="211" customHeight="1" spans="1:4">
      <c r="A211" s="11"/>
      <c r="B211" s="11"/>
      <c r="C211" s="11"/>
      <c r="D211" s="11"/>
    </row>
  </sheetData>
  <pageMargins left="0.7" right="0.7" top="0.75" bottom="0.75" header="0.3" footer="0.3"/>
  <headerFooter/>
  <ignoredErrors>
    <ignoredError sqref="I160:J160 J159 H159 I158:J158" evalError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8"/>
  <sheetViews>
    <sheetView workbookViewId="0">
      <pane xSplit="4" ySplit="1" topLeftCell="E101" activePane="bottomRight" state="frozen"/>
      <selection/>
      <selection pane="topRight"/>
      <selection pane="bottomLeft"/>
      <selection pane="bottomRight" activeCell="C108" sqref="C108"/>
    </sheetView>
  </sheetViews>
  <sheetFormatPr defaultColWidth="9" defaultRowHeight="15" customHeight="1"/>
  <cols>
    <col min="1" max="2" width="8.66071428571429" style="5"/>
    <col min="3" max="3" width="10.9107142857143" style="5" customWidth="1"/>
    <col min="4" max="4" width="23.25" style="5" customWidth="1"/>
    <col min="5" max="9" width="8.66071428571429" style="5"/>
    <col min="10" max="10" width="10.1607142857143" style="5" customWidth="1"/>
    <col min="11" max="16384" width="8.66071428571429" style="5"/>
  </cols>
  <sheetData>
    <row r="1" s="1" customFormat="1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7"/>
      <c r="O1" s="7"/>
    </row>
    <row r="2" customHeight="1" spans="1:15">
      <c r="A2" s="8" t="s">
        <v>13</v>
      </c>
      <c r="B2" s="1" t="s">
        <v>14</v>
      </c>
      <c r="C2" s="9" t="s">
        <v>1502</v>
      </c>
      <c r="D2" s="8" t="s">
        <v>16</v>
      </c>
      <c r="H2" s="5">
        <f>H3+H6+H7</f>
        <v>0</v>
      </c>
      <c r="I2" s="5">
        <f>I3+I6+I7</f>
        <v>0</v>
      </c>
    </row>
    <row r="3" customHeight="1" spans="1:15">
      <c r="A3" s="1" t="s">
        <v>17</v>
      </c>
      <c r="B3" s="1" t="s">
        <v>14</v>
      </c>
      <c r="C3" s="9" t="s">
        <v>1503</v>
      </c>
      <c r="D3" s="1" t="s">
        <v>19</v>
      </c>
      <c r="H3" s="5">
        <f>H4+H5</f>
        <v>0</v>
      </c>
      <c r="I3" s="5">
        <f>I4+I5</f>
        <v>0</v>
      </c>
    </row>
    <row r="4" customHeight="1" spans="1:15">
      <c r="A4" s="1" t="s">
        <v>20</v>
      </c>
      <c r="B4" s="1" t="s">
        <v>14</v>
      </c>
      <c r="C4" s="10" t="s">
        <v>1504</v>
      </c>
      <c r="D4" s="1" t="s">
        <v>349</v>
      </c>
      <c r="H4" s="5">
        <f>H112-H150</f>
        <v>0</v>
      </c>
      <c r="I4" s="5">
        <f>I112-I150</f>
        <v>0</v>
      </c>
    </row>
    <row r="5" customHeight="1" spans="1:15">
      <c r="A5" s="1" t="s">
        <v>20</v>
      </c>
      <c r="B5" s="1" t="s">
        <v>14</v>
      </c>
      <c r="C5" s="10" t="s">
        <v>1505</v>
      </c>
      <c r="D5" s="1" t="s">
        <v>354</v>
      </c>
      <c r="H5" s="5">
        <f>H205-H192</f>
        <v>0</v>
      </c>
      <c r="I5" s="5">
        <f>I205-I192</f>
        <v>0</v>
      </c>
    </row>
    <row r="6" customHeight="1" spans="1:15">
      <c r="A6" s="1" t="s">
        <v>17</v>
      </c>
      <c r="B6" s="1" t="s">
        <v>14</v>
      </c>
      <c r="C6" s="9" t="s">
        <v>1506</v>
      </c>
      <c r="D6" s="1" t="s">
        <v>427</v>
      </c>
      <c r="H6" s="5">
        <f>H220-H223</f>
        <v>0</v>
      </c>
      <c r="I6" s="5">
        <f>I220-I223</f>
        <v>0</v>
      </c>
    </row>
    <row r="7" customHeight="1" spans="1:15">
      <c r="A7" s="1" t="s">
        <v>17</v>
      </c>
      <c r="B7" s="1" t="s">
        <v>14</v>
      </c>
      <c r="C7" s="9" t="s">
        <v>1507</v>
      </c>
      <c r="D7" s="1" t="s">
        <v>33</v>
      </c>
      <c r="H7" s="5">
        <f>H226+H257</f>
        <v>0</v>
      </c>
      <c r="I7" s="5">
        <f>I226+I257</f>
        <v>0</v>
      </c>
    </row>
    <row r="8" customHeight="1" spans="1:15">
      <c r="A8" s="8" t="s">
        <v>13</v>
      </c>
      <c r="B8" s="1" t="s">
        <v>23</v>
      </c>
      <c r="C8" s="9" t="s">
        <v>1508</v>
      </c>
      <c r="D8" s="8" t="s">
        <v>363</v>
      </c>
    </row>
    <row r="9" customHeight="1" spans="1:15">
      <c r="A9" s="8" t="s">
        <v>13</v>
      </c>
      <c r="B9" s="1" t="s">
        <v>14</v>
      </c>
      <c r="C9" s="9" t="s">
        <v>1509</v>
      </c>
      <c r="D9" s="8" t="s">
        <v>45</v>
      </c>
      <c r="H9" s="5">
        <f>H2-H8</f>
        <v>0</v>
      </c>
      <c r="I9" s="5">
        <f>I2-I8</f>
        <v>0</v>
      </c>
    </row>
    <row r="10" customHeight="1" spans="1:15">
      <c r="A10" s="8" t="s">
        <v>13</v>
      </c>
      <c r="B10" s="1" t="s">
        <v>23</v>
      </c>
      <c r="C10" s="9" t="s">
        <v>1510</v>
      </c>
      <c r="D10" s="8" t="s">
        <v>47</v>
      </c>
    </row>
    <row r="11" customHeight="1" spans="1:15">
      <c r="A11" s="8" t="s">
        <v>13</v>
      </c>
      <c r="B11" s="1" t="s">
        <v>23</v>
      </c>
      <c r="C11" s="9" t="s">
        <v>1511</v>
      </c>
      <c r="D11" s="8" t="s">
        <v>367</v>
      </c>
      <c r="H11" s="5">
        <f>H12+H15+H18+H25+H26</f>
        <v>0</v>
      </c>
      <c r="I11" s="5">
        <f>I12+I15+I18+I25+I26</f>
        <v>0</v>
      </c>
    </row>
    <row r="12" customHeight="1" spans="1:15">
      <c r="A12" s="1" t="s">
        <v>17</v>
      </c>
      <c r="B12" s="1" t="s">
        <v>23</v>
      </c>
      <c r="C12" s="9" t="s">
        <v>1512</v>
      </c>
      <c r="D12" s="1" t="s">
        <v>369</v>
      </c>
      <c r="H12" s="5">
        <f>H13+H14</f>
        <v>0</v>
      </c>
      <c r="I12" s="5">
        <f>I13+I14</f>
        <v>0</v>
      </c>
    </row>
    <row r="13" customHeight="1" spans="1:15">
      <c r="A13" s="1" t="s">
        <v>20</v>
      </c>
      <c r="B13" s="1" t="s">
        <v>23</v>
      </c>
      <c r="C13" s="10" t="s">
        <v>1513</v>
      </c>
      <c r="D13" s="1" t="s">
        <v>53</v>
      </c>
    </row>
    <row r="14" customHeight="1" spans="1:15">
      <c r="A14" s="1" t="s">
        <v>20</v>
      </c>
      <c r="B14" s="1" t="s">
        <v>23</v>
      </c>
      <c r="C14" s="10" t="s">
        <v>1514</v>
      </c>
      <c r="D14" s="1" t="s">
        <v>372</v>
      </c>
    </row>
    <row r="15" customHeight="1" spans="1:15">
      <c r="A15" s="1" t="s">
        <v>17</v>
      </c>
      <c r="B15" s="1" t="s">
        <v>23</v>
      </c>
      <c r="C15" s="9" t="s">
        <v>1515</v>
      </c>
      <c r="D15" s="1" t="s">
        <v>59</v>
      </c>
      <c r="H15" s="5">
        <f>H16+H17</f>
        <v>0</v>
      </c>
      <c r="I15" s="5">
        <f>I16+I17</f>
        <v>0</v>
      </c>
    </row>
    <row r="16" customHeight="1" spans="1:15">
      <c r="A16" s="1" t="s">
        <v>20</v>
      </c>
      <c r="B16" s="1" t="s">
        <v>23</v>
      </c>
      <c r="C16" s="10" t="s">
        <v>1516</v>
      </c>
      <c r="D16" s="1" t="s">
        <v>61</v>
      </c>
    </row>
    <row r="17" customHeight="1" spans="1:9">
      <c r="A17" s="1" t="s">
        <v>20</v>
      </c>
      <c r="B17" s="1" t="s">
        <v>23</v>
      </c>
      <c r="C17" s="10" t="s">
        <v>1517</v>
      </c>
      <c r="D17" s="1" t="s">
        <v>63</v>
      </c>
    </row>
    <row r="18" customHeight="1" spans="1:9">
      <c r="A18" s="1" t="s">
        <v>17</v>
      </c>
      <c r="B18" s="1" t="s">
        <v>23</v>
      </c>
      <c r="C18" s="9" t="s">
        <v>1518</v>
      </c>
      <c r="D18" s="1" t="s">
        <v>65</v>
      </c>
      <c r="H18" s="5">
        <f>H19+H22+H23+H24</f>
        <v>0</v>
      </c>
      <c r="I18" s="5">
        <f>I19+I22+I23+I24</f>
        <v>0</v>
      </c>
    </row>
    <row r="19" customHeight="1" spans="1:9">
      <c r="A19" s="1" t="s">
        <v>20</v>
      </c>
      <c r="B19" s="1" t="s">
        <v>23</v>
      </c>
      <c r="C19" s="10" t="s">
        <v>1519</v>
      </c>
      <c r="D19" s="1" t="s">
        <v>378</v>
      </c>
      <c r="H19" s="5">
        <f>H20+H21</f>
        <v>0</v>
      </c>
      <c r="I19" s="5">
        <f>I20+I21</f>
        <v>0</v>
      </c>
    </row>
    <row r="20" customHeight="1" spans="1:9">
      <c r="A20" s="1" t="s">
        <v>379</v>
      </c>
      <c r="B20" s="1" t="s">
        <v>23</v>
      </c>
      <c r="C20" s="10" t="s">
        <v>1520</v>
      </c>
      <c r="D20" s="1" t="s">
        <v>381</v>
      </c>
    </row>
    <row r="21" customHeight="1" spans="1:9">
      <c r="A21" s="1" t="s">
        <v>379</v>
      </c>
      <c r="B21" s="1" t="s">
        <v>23</v>
      </c>
      <c r="C21" s="10" t="s">
        <v>1521</v>
      </c>
      <c r="D21" s="1" t="s">
        <v>383</v>
      </c>
    </row>
    <row r="22" customHeight="1" spans="1:9">
      <c r="A22" s="1" t="s">
        <v>20</v>
      </c>
      <c r="B22" s="1" t="s">
        <v>23</v>
      </c>
      <c r="C22" s="10" t="s">
        <v>1522</v>
      </c>
      <c r="D22" s="1" t="s">
        <v>385</v>
      </c>
    </row>
    <row r="23" customHeight="1" spans="1:9">
      <c r="A23" s="1" t="s">
        <v>20</v>
      </c>
      <c r="B23" s="1" t="s">
        <v>23</v>
      </c>
      <c r="C23" s="10" t="s">
        <v>1523</v>
      </c>
      <c r="D23" s="1" t="s">
        <v>387</v>
      </c>
    </row>
    <row r="24" customHeight="1" spans="1:9">
      <c r="A24" s="1" t="s">
        <v>20</v>
      </c>
      <c r="B24" s="1" t="s">
        <v>23</v>
      </c>
      <c r="C24" s="10" t="s">
        <v>1524</v>
      </c>
      <c r="D24" s="1" t="s">
        <v>389</v>
      </c>
    </row>
    <row r="25" customHeight="1" spans="1:9">
      <c r="A25" s="1" t="s">
        <v>17</v>
      </c>
      <c r="B25" s="1" t="s">
        <v>23</v>
      </c>
      <c r="C25" s="9" t="s">
        <v>1525</v>
      </c>
      <c r="D25" s="1" t="s">
        <v>391</v>
      </c>
    </row>
    <row r="26" customHeight="1" spans="1:9">
      <c r="A26" s="1" t="s">
        <v>17</v>
      </c>
      <c r="B26" s="1" t="s">
        <v>23</v>
      </c>
      <c r="C26" s="9" t="s">
        <v>1526</v>
      </c>
      <c r="D26" s="1" t="s">
        <v>67</v>
      </c>
    </row>
    <row r="27" customHeight="1" spans="1:9">
      <c r="A27" s="8" t="s">
        <v>13</v>
      </c>
      <c r="B27" s="1" t="s">
        <v>14</v>
      </c>
      <c r="C27" s="9" t="s">
        <v>1527</v>
      </c>
      <c r="D27" s="8" t="s">
        <v>69</v>
      </c>
    </row>
    <row r="28" customHeight="1" spans="1:9">
      <c r="A28" s="8" t="s">
        <v>13</v>
      </c>
      <c r="B28" s="1" t="s">
        <v>70</v>
      </c>
      <c r="C28" s="9" t="s">
        <v>1528</v>
      </c>
      <c r="D28" s="8" t="s">
        <v>395</v>
      </c>
      <c r="H28" s="5">
        <f>H9-H10-H11+H27</f>
        <v>0</v>
      </c>
      <c r="I28" s="5">
        <f>I9-I10-I11+I27</f>
        <v>0</v>
      </c>
    </row>
    <row r="29" customHeight="1" spans="1:9">
      <c r="A29" s="8" t="s">
        <v>13</v>
      </c>
      <c r="B29" s="1" t="s">
        <v>23</v>
      </c>
      <c r="C29" s="9" t="s">
        <v>1529</v>
      </c>
      <c r="D29" s="8" t="s">
        <v>397</v>
      </c>
    </row>
    <row r="30" customHeight="1" spans="1:9">
      <c r="A30" s="8" t="s">
        <v>13</v>
      </c>
      <c r="B30" s="1" t="s">
        <v>70</v>
      </c>
      <c r="C30" s="9" t="s">
        <v>1530</v>
      </c>
      <c r="D30" s="8" t="s">
        <v>72</v>
      </c>
      <c r="H30" s="5">
        <f>H28-H29</f>
        <v>0</v>
      </c>
      <c r="I30" s="5">
        <f>I28-I29</f>
        <v>0</v>
      </c>
    </row>
    <row r="31" customHeight="1" spans="1:9">
      <c r="A31" s="1"/>
      <c r="B31" s="1"/>
      <c r="C31" s="10"/>
      <c r="D31" s="1"/>
    </row>
    <row r="32" customHeight="1" spans="1:9">
      <c r="A32" s="12" t="s">
        <v>13</v>
      </c>
      <c r="B32" s="12" t="s">
        <v>77</v>
      </c>
      <c r="C32" s="12" t="s">
        <v>1531</v>
      </c>
      <c r="D32" s="12" t="s">
        <v>908</v>
      </c>
      <c r="H32" s="5">
        <f>H33</f>
        <v>0</v>
      </c>
      <c r="I32" s="5">
        <f>I33</f>
        <v>0</v>
      </c>
    </row>
    <row r="33" customHeight="1" spans="1:17">
      <c r="A33" s="11" t="s">
        <v>17</v>
      </c>
      <c r="B33" s="11" t="s">
        <v>77</v>
      </c>
      <c r="C33" s="11" t="s">
        <v>1532</v>
      </c>
      <c r="D33" s="11" t="s">
        <v>407</v>
      </c>
      <c r="H33" s="5">
        <f>H34</f>
        <v>0</v>
      </c>
      <c r="I33" s="5">
        <f>I34</f>
        <v>0</v>
      </c>
    </row>
    <row r="34" customHeight="1" spans="1:17">
      <c r="A34" s="11" t="s">
        <v>20</v>
      </c>
      <c r="B34" s="11" t="s">
        <v>77</v>
      </c>
      <c r="C34" s="11" t="s">
        <v>1533</v>
      </c>
      <c r="D34" s="11" t="s">
        <v>85</v>
      </c>
    </row>
    <row r="35" customHeight="1" spans="1:17">
      <c r="A35" s="12" t="s">
        <v>13</v>
      </c>
      <c r="B35" s="12" t="s">
        <v>182</v>
      </c>
      <c r="C35" s="12" t="s">
        <v>1534</v>
      </c>
      <c r="D35" s="12" t="s">
        <v>405</v>
      </c>
      <c r="H35" s="5">
        <f>H36</f>
        <v>0</v>
      </c>
      <c r="I35" s="5">
        <f>I36</f>
        <v>0</v>
      </c>
    </row>
    <row r="36" customHeight="1" spans="1:17">
      <c r="A36" s="11" t="s">
        <v>17</v>
      </c>
      <c r="B36" s="11" t="s">
        <v>182</v>
      </c>
      <c r="C36" s="11" t="s">
        <v>1535</v>
      </c>
      <c r="D36" s="11" t="s">
        <v>407</v>
      </c>
      <c r="H36" s="5">
        <f>H37</f>
        <v>0</v>
      </c>
      <c r="I36" s="5">
        <f>I37</f>
        <v>0</v>
      </c>
    </row>
    <row r="37" customHeight="1" spans="1:17">
      <c r="A37" s="11" t="s">
        <v>20</v>
      </c>
      <c r="B37" s="11" t="s">
        <v>182</v>
      </c>
      <c r="C37" s="11" t="s">
        <v>1536</v>
      </c>
      <c r="D37" s="11" t="s">
        <v>85</v>
      </c>
    </row>
    <row r="38" customHeight="1" spans="1:17">
      <c r="A38" s="11"/>
      <c r="B38" s="11"/>
      <c r="C38" s="11"/>
      <c r="D38" s="11"/>
    </row>
    <row r="39" customHeight="1" spans="1:17">
      <c r="A39" s="1" t="s">
        <v>13</v>
      </c>
      <c r="B39" s="1" t="s">
        <v>77</v>
      </c>
      <c r="C39" s="10" t="s">
        <v>1537</v>
      </c>
      <c r="D39" s="11" t="s">
        <v>1538</v>
      </c>
      <c r="H39" s="5">
        <f>H40+H41</f>
        <v>0</v>
      </c>
      <c r="I39" s="5">
        <f>I40+I41</f>
        <v>0</v>
      </c>
      <c r="N39" s="1"/>
      <c r="O39" s="1"/>
      <c r="P39" s="10"/>
      <c r="Q39" s="11"/>
    </row>
    <row r="40" customHeight="1" spans="1:17">
      <c r="A40" s="11" t="s">
        <v>17</v>
      </c>
      <c r="B40" s="11" t="s">
        <v>77</v>
      </c>
      <c r="C40" s="11" t="s">
        <v>1539</v>
      </c>
      <c r="D40" s="11" t="s">
        <v>1540</v>
      </c>
      <c r="N40" s="11"/>
      <c r="O40" s="11"/>
      <c r="P40" s="11"/>
      <c r="Q40" s="11"/>
    </row>
    <row r="41" customHeight="1" spans="1:17">
      <c r="A41" s="11" t="s">
        <v>17</v>
      </c>
      <c r="B41" s="11" t="s">
        <v>77</v>
      </c>
      <c r="C41" s="11" t="s">
        <v>1541</v>
      </c>
      <c r="D41" s="11" t="s">
        <v>1542</v>
      </c>
      <c r="N41" s="11"/>
      <c r="O41" s="11"/>
      <c r="P41" s="11"/>
      <c r="Q41" s="11"/>
    </row>
    <row r="42" customHeight="1" spans="1:17">
      <c r="A42" s="12" t="s">
        <v>13</v>
      </c>
      <c r="B42" s="12" t="s">
        <v>182</v>
      </c>
      <c r="C42" s="11" t="s">
        <v>1543</v>
      </c>
      <c r="D42" s="11" t="s">
        <v>1544</v>
      </c>
      <c r="H42" s="5">
        <f>H43+H44</f>
        <v>0</v>
      </c>
      <c r="I42" s="5">
        <f>I43+I44</f>
        <v>0</v>
      </c>
      <c r="N42" s="12"/>
      <c r="O42" s="12"/>
      <c r="P42" s="11"/>
      <c r="Q42" s="11"/>
    </row>
    <row r="43" customHeight="1" spans="1:17">
      <c r="A43" s="11" t="s">
        <v>17</v>
      </c>
      <c r="B43" s="11" t="s">
        <v>182</v>
      </c>
      <c r="C43" s="11" t="s">
        <v>1545</v>
      </c>
      <c r="D43" s="11" t="s">
        <v>1540</v>
      </c>
      <c r="N43" s="11"/>
      <c r="O43" s="11"/>
      <c r="P43" s="11"/>
      <c r="Q43" s="11"/>
    </row>
    <row r="44" customHeight="1" spans="1:17">
      <c r="A44" s="11" t="s">
        <v>17</v>
      </c>
      <c r="B44" s="11" t="s">
        <v>182</v>
      </c>
      <c r="C44" s="11" t="s">
        <v>1546</v>
      </c>
      <c r="D44" s="11" t="s">
        <v>1542</v>
      </c>
      <c r="N44" s="11"/>
      <c r="O44" s="11"/>
      <c r="P44" s="11"/>
      <c r="Q44" s="11"/>
    </row>
    <row r="45" customHeight="1" spans="1:17">
      <c r="A45" s="11"/>
      <c r="B45" s="11"/>
      <c r="C45" s="11"/>
      <c r="D45" s="11"/>
      <c r="N45" s="11"/>
      <c r="O45" s="11"/>
      <c r="P45" s="11"/>
      <c r="Q45" s="11"/>
    </row>
    <row r="46" customHeight="1" spans="1:17">
      <c r="A46" s="8" t="s">
        <v>13</v>
      </c>
      <c r="B46" s="1" t="s">
        <v>77</v>
      </c>
      <c r="C46" s="12" t="s">
        <v>1547</v>
      </c>
      <c r="D46" s="12" t="s">
        <v>478</v>
      </c>
      <c r="H46" s="5">
        <f>H47+H48+H49+H50+H65+H68</f>
        <v>0</v>
      </c>
      <c r="I46" s="5">
        <f>I47+I48+I49+I50+I65+I68</f>
        <v>0</v>
      </c>
      <c r="N46" s="8"/>
      <c r="O46" s="1"/>
      <c r="P46" s="12"/>
      <c r="Q46" s="12"/>
    </row>
    <row r="47" customHeight="1" spans="1:17">
      <c r="A47" s="11" t="s">
        <v>17</v>
      </c>
      <c r="B47" s="11" t="s">
        <v>77</v>
      </c>
      <c r="C47" s="11" t="s">
        <v>1548</v>
      </c>
      <c r="D47" s="11" t="s">
        <v>298</v>
      </c>
      <c r="N47" s="11"/>
      <c r="O47" s="11"/>
      <c r="P47" s="11"/>
      <c r="Q47" s="11"/>
    </row>
    <row r="48" customHeight="1" spans="1:17">
      <c r="A48" s="11" t="s">
        <v>17</v>
      </c>
      <c r="B48" s="11" t="s">
        <v>77</v>
      </c>
      <c r="C48" s="11" t="s">
        <v>1549</v>
      </c>
      <c r="D48" s="11" t="s">
        <v>299</v>
      </c>
      <c r="N48" s="11"/>
      <c r="O48" s="11"/>
      <c r="P48" s="11"/>
      <c r="Q48" s="11"/>
    </row>
    <row r="49" customHeight="1" spans="1:17">
      <c r="A49" s="11" t="s">
        <v>17</v>
      </c>
      <c r="B49" s="11" t="s">
        <v>77</v>
      </c>
      <c r="C49" s="11" t="s">
        <v>1550</v>
      </c>
      <c r="D49" s="11" t="s">
        <v>300</v>
      </c>
      <c r="N49" s="11"/>
      <c r="O49" s="11"/>
      <c r="P49" s="11"/>
      <c r="Q49" s="11"/>
    </row>
    <row r="50" customHeight="1" spans="1:17">
      <c r="A50" s="11" t="s">
        <v>17</v>
      </c>
      <c r="B50" s="11" t="s">
        <v>77</v>
      </c>
      <c r="C50" s="11" t="s">
        <v>1551</v>
      </c>
      <c r="D50" s="11" t="s">
        <v>301</v>
      </c>
      <c r="H50" s="5">
        <f>H51+H54+H55+H56+H57+H58+H59+H60+H63+H64</f>
        <v>0</v>
      </c>
      <c r="I50" s="5">
        <f>I51+I54+I55+I56+I57+I58+I59+I60+I63+I64</f>
        <v>0</v>
      </c>
      <c r="N50" s="11"/>
      <c r="O50" s="11"/>
      <c r="P50" s="11"/>
      <c r="Q50" s="11"/>
    </row>
    <row r="51" customHeight="1" spans="1:17">
      <c r="A51" s="11" t="s">
        <v>20</v>
      </c>
      <c r="B51" s="11" t="s">
        <v>77</v>
      </c>
      <c r="C51" s="11" t="s">
        <v>1552</v>
      </c>
      <c r="D51" s="11" t="s">
        <v>1553</v>
      </c>
      <c r="H51" s="5">
        <f>H52+H53</f>
        <v>0</v>
      </c>
      <c r="I51" s="5">
        <f>I52+I53</f>
        <v>0</v>
      </c>
      <c r="N51" s="11"/>
      <c r="O51" s="11"/>
      <c r="P51" s="11"/>
      <c r="Q51" s="11"/>
    </row>
    <row r="52" customHeight="1" spans="1:17">
      <c r="A52" s="11" t="s">
        <v>379</v>
      </c>
      <c r="B52" s="11" t="s">
        <v>77</v>
      </c>
      <c r="C52" s="11" t="s">
        <v>1554</v>
      </c>
      <c r="D52" s="11" t="s">
        <v>1555</v>
      </c>
      <c r="N52" s="11"/>
      <c r="O52" s="11"/>
      <c r="P52" s="11"/>
      <c r="Q52" s="11"/>
    </row>
    <row r="53" customHeight="1" spans="1:17">
      <c r="A53" s="11" t="s">
        <v>379</v>
      </c>
      <c r="B53" s="11" t="s">
        <v>77</v>
      </c>
      <c r="C53" s="11" t="s">
        <v>1556</v>
      </c>
      <c r="D53" s="11" t="s">
        <v>1557</v>
      </c>
      <c r="N53" s="11"/>
      <c r="O53" s="11"/>
      <c r="P53" s="11"/>
      <c r="Q53" s="11"/>
    </row>
    <row r="54" customHeight="1" spans="1:17">
      <c r="A54" s="11" t="s">
        <v>20</v>
      </c>
      <c r="B54" s="11" t="s">
        <v>77</v>
      </c>
      <c r="C54" s="11" t="s">
        <v>1558</v>
      </c>
      <c r="D54" s="11" t="s">
        <v>1559</v>
      </c>
      <c r="N54" s="11"/>
      <c r="O54" s="11"/>
      <c r="P54" s="11"/>
      <c r="Q54" s="11"/>
    </row>
    <row r="55" customHeight="1" spans="1:17">
      <c r="A55" s="11" t="s">
        <v>20</v>
      </c>
      <c r="B55" s="11" t="s">
        <v>77</v>
      </c>
      <c r="C55" s="11" t="s">
        <v>1560</v>
      </c>
      <c r="D55" s="11" t="s">
        <v>1561</v>
      </c>
      <c r="N55" s="11"/>
      <c r="O55" s="11"/>
      <c r="P55" s="11"/>
      <c r="Q55" s="11"/>
    </row>
    <row r="56" customHeight="1" spans="1:17">
      <c r="A56" s="11" t="s">
        <v>20</v>
      </c>
      <c r="B56" s="11" t="s">
        <v>77</v>
      </c>
      <c r="C56" s="11" t="s">
        <v>1562</v>
      </c>
      <c r="D56" s="11" t="s">
        <v>1563</v>
      </c>
      <c r="N56" s="11"/>
      <c r="O56" s="11"/>
      <c r="P56" s="11"/>
      <c r="Q56" s="11"/>
    </row>
    <row r="57" customHeight="1" spans="1:17">
      <c r="A57" s="11" t="s">
        <v>20</v>
      </c>
      <c r="B57" s="11" t="s">
        <v>77</v>
      </c>
      <c r="C57" s="11" t="s">
        <v>1564</v>
      </c>
      <c r="D57" s="11" t="s">
        <v>1565</v>
      </c>
      <c r="N57" s="11"/>
      <c r="O57" s="11"/>
      <c r="P57" s="11"/>
      <c r="Q57" s="11"/>
    </row>
    <row r="58" customHeight="1" spans="1:17">
      <c r="A58" s="11" t="s">
        <v>20</v>
      </c>
      <c r="B58" s="11" t="s">
        <v>77</v>
      </c>
      <c r="C58" s="11" t="s">
        <v>1566</v>
      </c>
      <c r="D58" s="11" t="s">
        <v>1567</v>
      </c>
      <c r="N58" s="11"/>
      <c r="O58" s="11"/>
      <c r="P58" s="11"/>
      <c r="Q58" s="11"/>
    </row>
    <row r="59" customHeight="1" spans="1:17">
      <c r="A59" s="11" t="s">
        <v>20</v>
      </c>
      <c r="B59" s="11" t="s">
        <v>77</v>
      </c>
      <c r="C59" s="11" t="s">
        <v>1568</v>
      </c>
      <c r="D59" s="11" t="s">
        <v>1569</v>
      </c>
      <c r="N59" s="11"/>
      <c r="O59" s="11"/>
      <c r="P59" s="11"/>
      <c r="Q59" s="11"/>
    </row>
    <row r="60" customHeight="1" spans="1:17">
      <c r="A60" s="11" t="s">
        <v>20</v>
      </c>
      <c r="B60" s="11" t="s">
        <v>77</v>
      </c>
      <c r="C60" s="11" t="s">
        <v>1570</v>
      </c>
      <c r="D60" s="11" t="s">
        <v>1571</v>
      </c>
      <c r="H60" s="5">
        <f>H61+H62</f>
        <v>0</v>
      </c>
      <c r="I60" s="5">
        <f>I61+I62</f>
        <v>0</v>
      </c>
      <c r="N60" s="11"/>
      <c r="O60" s="11"/>
      <c r="P60" s="11"/>
      <c r="Q60" s="11"/>
    </row>
    <row r="61" customHeight="1" spans="1:17">
      <c r="A61" s="11" t="s">
        <v>20</v>
      </c>
      <c r="B61" s="11" t="s">
        <v>77</v>
      </c>
      <c r="C61" s="11" t="s">
        <v>1572</v>
      </c>
      <c r="D61" s="11" t="s">
        <v>1555</v>
      </c>
      <c r="N61" s="11"/>
      <c r="O61" s="11"/>
      <c r="P61" s="11"/>
      <c r="Q61" s="11"/>
    </row>
    <row r="62" customHeight="1" spans="1:17">
      <c r="A62" s="11" t="s">
        <v>20</v>
      </c>
      <c r="B62" s="11" t="s">
        <v>77</v>
      </c>
      <c r="C62" s="11" t="s">
        <v>1573</v>
      </c>
      <c r="D62" s="11" t="s">
        <v>1557</v>
      </c>
      <c r="N62" s="11"/>
      <c r="O62" s="11"/>
      <c r="P62" s="11"/>
      <c r="Q62" s="11"/>
    </row>
    <row r="63" customHeight="1" spans="1:17">
      <c r="A63" s="11" t="s">
        <v>20</v>
      </c>
      <c r="B63" s="11" t="s">
        <v>77</v>
      </c>
      <c r="C63" s="11" t="s">
        <v>1574</v>
      </c>
      <c r="D63" s="11" t="s">
        <v>1276</v>
      </c>
      <c r="N63" s="11"/>
      <c r="O63" s="11"/>
      <c r="P63" s="11"/>
      <c r="Q63" s="11"/>
    </row>
    <row r="64" customHeight="1" spans="1:17">
      <c r="A64" s="11" t="s">
        <v>20</v>
      </c>
      <c r="B64" s="11" t="s">
        <v>77</v>
      </c>
      <c r="C64" s="11" t="s">
        <v>1575</v>
      </c>
      <c r="D64" s="11" t="s">
        <v>1576</v>
      </c>
      <c r="N64" s="11"/>
      <c r="O64" s="11"/>
      <c r="P64" s="11"/>
      <c r="Q64" s="11"/>
    </row>
    <row r="65" customHeight="1" spans="1:17">
      <c r="A65" s="11" t="s">
        <v>17</v>
      </c>
      <c r="B65" s="11" t="s">
        <v>77</v>
      </c>
      <c r="C65" s="11" t="s">
        <v>1577</v>
      </c>
      <c r="D65" s="11" t="s">
        <v>302</v>
      </c>
      <c r="H65" s="5">
        <f>H66+H67</f>
        <v>0</v>
      </c>
      <c r="I65" s="5">
        <f>I66+I67</f>
        <v>0</v>
      </c>
      <c r="N65" s="11"/>
      <c r="O65" s="11"/>
      <c r="P65" s="11"/>
      <c r="Q65" s="11"/>
    </row>
    <row r="66" customHeight="1" spans="1:17">
      <c r="A66" s="11" t="s">
        <v>20</v>
      </c>
      <c r="B66" s="11" t="s">
        <v>77</v>
      </c>
      <c r="C66" s="11" t="s">
        <v>1578</v>
      </c>
      <c r="D66" s="11" t="s">
        <v>1579</v>
      </c>
      <c r="N66" s="11"/>
      <c r="O66" s="11"/>
      <c r="P66" s="11"/>
      <c r="Q66" s="11"/>
    </row>
    <row r="67" customHeight="1" spans="1:17">
      <c r="A67" s="11" t="s">
        <v>20</v>
      </c>
      <c r="B67" s="11" t="s">
        <v>77</v>
      </c>
      <c r="C67" s="11" t="s">
        <v>1580</v>
      </c>
      <c r="D67" s="11" t="s">
        <v>1581</v>
      </c>
      <c r="N67" s="11"/>
      <c r="O67" s="11"/>
      <c r="P67" s="11"/>
      <c r="Q67" s="11"/>
    </row>
    <row r="68" customHeight="1" spans="1:17">
      <c r="A68" s="11" t="s">
        <v>17</v>
      </c>
      <c r="B68" s="11" t="s">
        <v>77</v>
      </c>
      <c r="C68" s="11" t="s">
        <v>1582</v>
      </c>
      <c r="D68" s="11" t="s">
        <v>1583</v>
      </c>
      <c r="H68" s="5">
        <f>H69+H70</f>
        <v>0</v>
      </c>
      <c r="I68" s="5">
        <f>I69+I70</f>
        <v>0</v>
      </c>
      <c r="N68" s="11"/>
      <c r="O68" s="11"/>
      <c r="P68" s="11"/>
      <c r="Q68" s="11"/>
    </row>
    <row r="69" customHeight="1" spans="1:17">
      <c r="A69" s="11" t="s">
        <v>20</v>
      </c>
      <c r="B69" s="11" t="s">
        <v>77</v>
      </c>
      <c r="C69" s="11" t="s">
        <v>1584</v>
      </c>
      <c r="D69" s="11" t="s">
        <v>1585</v>
      </c>
      <c r="N69" s="11"/>
      <c r="O69" s="11"/>
      <c r="P69" s="11"/>
      <c r="Q69" s="11"/>
    </row>
    <row r="70" customHeight="1" spans="1:17">
      <c r="A70" s="11" t="s">
        <v>20</v>
      </c>
      <c r="B70" s="11" t="s">
        <v>77</v>
      </c>
      <c r="C70" s="11" t="s">
        <v>1586</v>
      </c>
      <c r="D70" s="11" t="s">
        <v>1587</v>
      </c>
      <c r="N70" s="11"/>
      <c r="O70" s="11"/>
      <c r="P70" s="11"/>
      <c r="Q70" s="11"/>
    </row>
    <row r="71" customHeight="1" spans="1:17">
      <c r="A71" s="11"/>
      <c r="B71" s="11"/>
      <c r="C71" s="11"/>
      <c r="D71" s="11"/>
    </row>
    <row r="72" customHeight="1" spans="1:17">
      <c r="A72" s="8" t="s">
        <v>13</v>
      </c>
      <c r="B72" s="1" t="s">
        <v>182</v>
      </c>
      <c r="C72" s="12" t="s">
        <v>1588</v>
      </c>
      <c r="D72" s="12" t="s">
        <v>482</v>
      </c>
      <c r="H72" s="5">
        <f>H73+H74+H75+H76+H87+H88+H91</f>
        <v>0</v>
      </c>
      <c r="I72" s="5">
        <f>I73+I74+I75+I76+I87+I88+I91</f>
        <v>0</v>
      </c>
      <c r="N72" s="8"/>
      <c r="O72" s="1"/>
      <c r="P72" s="12"/>
      <c r="Q72" s="12"/>
    </row>
    <row r="73" customHeight="1" spans="1:17">
      <c r="A73" s="12" t="s">
        <v>17</v>
      </c>
      <c r="B73" s="12" t="s">
        <v>182</v>
      </c>
      <c r="C73" s="12" t="s">
        <v>1589</v>
      </c>
      <c r="D73" s="12" t="s">
        <v>298</v>
      </c>
      <c r="N73" s="11"/>
      <c r="O73" s="11"/>
      <c r="P73" s="11"/>
      <c r="Q73" s="11"/>
    </row>
    <row r="74" customHeight="1" spans="1:17">
      <c r="A74" s="12" t="s">
        <v>17</v>
      </c>
      <c r="B74" s="12" t="s">
        <v>182</v>
      </c>
      <c r="C74" s="12" t="s">
        <v>1590</v>
      </c>
      <c r="D74" s="12" t="s">
        <v>299</v>
      </c>
      <c r="N74" s="11"/>
      <c r="O74" s="11"/>
      <c r="P74" s="11"/>
      <c r="Q74" s="11"/>
    </row>
    <row r="75" customHeight="1" spans="1:17">
      <c r="A75" s="12" t="s">
        <v>17</v>
      </c>
      <c r="B75" s="12" t="s">
        <v>182</v>
      </c>
      <c r="C75" s="12" t="s">
        <v>1591</v>
      </c>
      <c r="D75" s="12" t="s">
        <v>300</v>
      </c>
      <c r="N75" s="11"/>
      <c r="O75" s="11"/>
      <c r="P75" s="11"/>
      <c r="Q75" s="11"/>
    </row>
    <row r="76" customHeight="1" spans="1:17">
      <c r="A76" s="12" t="s">
        <v>17</v>
      </c>
      <c r="B76" s="12" t="s">
        <v>182</v>
      </c>
      <c r="C76" s="12" t="s">
        <v>1592</v>
      </c>
      <c r="D76" s="12" t="s">
        <v>301</v>
      </c>
      <c r="H76" s="5">
        <f>H77+H78+H79+H80+H81+H82+H83+H84+H85+H86</f>
        <v>0</v>
      </c>
      <c r="I76" s="5">
        <f>I77+I78+I79+I80+I81+I82+I83+I84+I85+I86</f>
        <v>0</v>
      </c>
      <c r="N76" s="11"/>
      <c r="O76" s="11"/>
      <c r="P76" s="11"/>
      <c r="Q76" s="11"/>
    </row>
    <row r="77" customHeight="1" spans="1:17">
      <c r="A77" s="11" t="s">
        <v>20</v>
      </c>
      <c r="B77" s="11" t="s">
        <v>182</v>
      </c>
      <c r="C77" s="11" t="s">
        <v>1593</v>
      </c>
      <c r="D77" s="11" t="s">
        <v>1553</v>
      </c>
      <c r="N77" s="11"/>
      <c r="O77" s="11"/>
      <c r="P77" s="11"/>
      <c r="Q77" s="11"/>
    </row>
    <row r="78" customHeight="1" spans="1:17">
      <c r="A78" s="11" t="s">
        <v>20</v>
      </c>
      <c r="B78" s="11" t="s">
        <v>182</v>
      </c>
      <c r="C78" s="11" t="s">
        <v>1594</v>
      </c>
      <c r="D78" s="11" t="s">
        <v>1559</v>
      </c>
      <c r="N78" s="11"/>
      <c r="O78" s="11"/>
      <c r="P78" s="11"/>
      <c r="Q78" s="11"/>
    </row>
    <row r="79" customHeight="1" spans="1:17">
      <c r="A79" s="11" t="s">
        <v>20</v>
      </c>
      <c r="B79" s="11" t="s">
        <v>182</v>
      </c>
      <c r="C79" s="11" t="s">
        <v>1595</v>
      </c>
      <c r="D79" s="11" t="s">
        <v>1561</v>
      </c>
      <c r="N79" s="11"/>
      <c r="O79" s="11"/>
      <c r="P79" s="11"/>
      <c r="Q79" s="11"/>
    </row>
    <row r="80" customHeight="1" spans="1:17">
      <c r="A80" s="11" t="s">
        <v>20</v>
      </c>
      <c r="B80" s="11" t="s">
        <v>182</v>
      </c>
      <c r="C80" s="11" t="s">
        <v>1596</v>
      </c>
      <c r="D80" s="11" t="s">
        <v>1563</v>
      </c>
      <c r="N80" s="11"/>
      <c r="O80" s="11"/>
      <c r="P80" s="11"/>
      <c r="Q80" s="11"/>
    </row>
    <row r="81" customHeight="1" spans="1:17">
      <c r="A81" s="11" t="s">
        <v>20</v>
      </c>
      <c r="B81" s="11" t="s">
        <v>182</v>
      </c>
      <c r="C81" s="11" t="s">
        <v>1597</v>
      </c>
      <c r="D81" s="11" t="s">
        <v>1565</v>
      </c>
      <c r="N81" s="11"/>
      <c r="O81" s="11"/>
      <c r="P81" s="11"/>
      <c r="Q81" s="11"/>
    </row>
    <row r="82" customHeight="1" spans="1:17">
      <c r="A82" s="11" t="s">
        <v>20</v>
      </c>
      <c r="B82" s="11" t="s">
        <v>182</v>
      </c>
      <c r="C82" s="11" t="s">
        <v>1598</v>
      </c>
      <c r="D82" s="11" t="s">
        <v>1567</v>
      </c>
      <c r="N82" s="11"/>
      <c r="O82" s="11"/>
      <c r="P82" s="11"/>
      <c r="Q82" s="11"/>
    </row>
    <row r="83" customHeight="1" spans="1:17">
      <c r="A83" s="11" t="s">
        <v>20</v>
      </c>
      <c r="B83" s="11" t="s">
        <v>182</v>
      </c>
      <c r="C83" s="11" t="s">
        <v>1599</v>
      </c>
      <c r="D83" s="11" t="s">
        <v>1569</v>
      </c>
      <c r="N83" s="11"/>
      <c r="O83" s="11"/>
      <c r="P83" s="11"/>
      <c r="Q83" s="11"/>
    </row>
    <row r="84" customHeight="1" spans="1:17">
      <c r="A84" s="11" t="s">
        <v>20</v>
      </c>
      <c r="B84" s="11" t="s">
        <v>182</v>
      </c>
      <c r="C84" s="11" t="s">
        <v>1600</v>
      </c>
      <c r="D84" s="11" t="s">
        <v>1601</v>
      </c>
      <c r="N84" s="11"/>
      <c r="O84" s="11"/>
      <c r="P84" s="11"/>
      <c r="Q84" s="11"/>
    </row>
    <row r="85" customHeight="1" spans="1:17">
      <c r="A85" s="11" t="s">
        <v>20</v>
      </c>
      <c r="B85" s="11" t="s">
        <v>182</v>
      </c>
      <c r="C85" s="11" t="s">
        <v>1602</v>
      </c>
      <c r="D85" s="11" t="s">
        <v>1276</v>
      </c>
      <c r="N85" s="11"/>
      <c r="O85" s="11"/>
      <c r="P85" s="11"/>
      <c r="Q85" s="11"/>
    </row>
    <row r="86" customHeight="1" spans="1:17">
      <c r="A86" s="11" t="s">
        <v>20</v>
      </c>
      <c r="B86" s="11" t="s">
        <v>182</v>
      </c>
      <c r="C86" s="11" t="s">
        <v>1603</v>
      </c>
      <c r="D86" s="11" t="s">
        <v>1576</v>
      </c>
      <c r="N86" s="11"/>
      <c r="O86" s="11"/>
      <c r="P86" s="11"/>
      <c r="Q86" s="11"/>
    </row>
    <row r="87" customHeight="1" spans="1:17">
      <c r="A87" s="12" t="s">
        <v>17</v>
      </c>
      <c r="B87" s="12" t="s">
        <v>182</v>
      </c>
      <c r="C87" s="12" t="s">
        <v>1604</v>
      </c>
      <c r="D87" s="12" t="s">
        <v>302</v>
      </c>
      <c r="N87" s="11"/>
      <c r="O87" s="11"/>
      <c r="P87" s="11"/>
      <c r="Q87" s="11"/>
    </row>
    <row r="88" customHeight="1" spans="1:17">
      <c r="A88" s="12" t="s">
        <v>17</v>
      </c>
      <c r="B88" s="12" t="s">
        <v>182</v>
      </c>
      <c r="C88" s="12" t="s">
        <v>1605</v>
      </c>
      <c r="D88" s="12" t="s">
        <v>1583</v>
      </c>
      <c r="H88" s="5">
        <f>H89+H90</f>
        <v>0</v>
      </c>
      <c r="I88" s="5">
        <f>I89+I90</f>
        <v>0</v>
      </c>
      <c r="N88" s="11"/>
      <c r="O88" s="11"/>
      <c r="P88" s="11"/>
      <c r="Q88" s="11"/>
    </row>
    <row r="89" customHeight="1" spans="1:17">
      <c r="A89" s="11" t="s">
        <v>20</v>
      </c>
      <c r="B89" s="11" t="s">
        <v>182</v>
      </c>
      <c r="C89" s="11" t="s">
        <v>1606</v>
      </c>
      <c r="D89" s="11" t="s">
        <v>1585</v>
      </c>
      <c r="N89" s="11"/>
      <c r="O89" s="11"/>
      <c r="P89" s="11"/>
      <c r="Q89" s="11"/>
    </row>
    <row r="90" customHeight="1" spans="1:17">
      <c r="A90" s="11" t="s">
        <v>20</v>
      </c>
      <c r="B90" s="11" t="s">
        <v>182</v>
      </c>
      <c r="C90" s="11" t="s">
        <v>1607</v>
      </c>
      <c r="D90" s="11" t="s">
        <v>1587</v>
      </c>
      <c r="N90" s="11"/>
      <c r="O90" s="11"/>
      <c r="P90" s="11"/>
      <c r="Q90" s="11"/>
    </row>
    <row r="91" customHeight="1" spans="1:17">
      <c r="A91" s="12" t="s">
        <v>17</v>
      </c>
      <c r="B91" s="12" t="s">
        <v>182</v>
      </c>
      <c r="C91" s="12" t="s">
        <v>1608</v>
      </c>
      <c r="D91" s="12" t="s">
        <v>1609</v>
      </c>
      <c r="H91" s="5">
        <f>H92+H93+H94</f>
        <v>0</v>
      </c>
      <c r="I91" s="5">
        <f>I92+I93+I94</f>
        <v>0</v>
      </c>
      <c r="N91" s="11"/>
      <c r="O91" s="11"/>
      <c r="P91" s="11"/>
      <c r="Q91" s="11"/>
    </row>
    <row r="92" customHeight="1" spans="1:17">
      <c r="A92" s="11" t="s">
        <v>20</v>
      </c>
      <c r="B92" s="11" t="s">
        <v>182</v>
      </c>
      <c r="C92" s="11" t="s">
        <v>1610</v>
      </c>
      <c r="D92" s="11" t="s">
        <v>1611</v>
      </c>
      <c r="N92" s="11"/>
      <c r="O92" s="11"/>
      <c r="P92" s="11"/>
      <c r="Q92" s="11"/>
    </row>
    <row r="93" customHeight="1" spans="1:17">
      <c r="A93" s="11" t="s">
        <v>20</v>
      </c>
      <c r="B93" s="11" t="s">
        <v>182</v>
      </c>
      <c r="C93" s="11" t="s">
        <v>1612</v>
      </c>
      <c r="D93" s="11" t="s">
        <v>1613</v>
      </c>
      <c r="N93" s="11"/>
      <c r="O93" s="11"/>
      <c r="P93" s="11"/>
      <c r="Q93" s="11"/>
    </row>
    <row r="94" customHeight="1" spans="1:17">
      <c r="A94" s="11" t="s">
        <v>20</v>
      </c>
      <c r="B94" s="11" t="s">
        <v>182</v>
      </c>
      <c r="C94" s="11" t="s">
        <v>1614</v>
      </c>
      <c r="D94" s="11" t="s">
        <v>1615</v>
      </c>
      <c r="N94" s="11"/>
      <c r="O94" s="11"/>
      <c r="P94" s="11"/>
      <c r="Q94" s="11"/>
    </row>
    <row r="95" customHeight="1" spans="1:17">
      <c r="A95" s="11"/>
      <c r="B95" s="11"/>
      <c r="C95" s="11"/>
      <c r="D95" s="11"/>
      <c r="N95" s="11"/>
      <c r="O95" s="11"/>
      <c r="P95" s="11"/>
      <c r="Q95" s="11"/>
    </row>
    <row r="96" customHeight="1" spans="1:17">
      <c r="A96" s="8" t="s">
        <v>13</v>
      </c>
      <c r="B96" s="1" t="s">
        <v>92</v>
      </c>
      <c r="C96" s="12" t="s">
        <v>1616</v>
      </c>
      <c r="D96" s="12" t="s">
        <v>486</v>
      </c>
      <c r="H96" s="5" t="e">
        <f>H97+#REF!+H100+H101</f>
        <v>#REF!</v>
      </c>
      <c r="I96" s="5" t="e">
        <f>I97+#REF!+I100+I101</f>
        <v>#REF!</v>
      </c>
      <c r="L96" s="8"/>
      <c r="M96" s="1"/>
      <c r="N96" s="12"/>
      <c r="O96" s="12"/>
      <c r="P96" s="11"/>
      <c r="Q96" s="11"/>
    </row>
    <row r="97" customHeight="1" spans="1:17">
      <c r="A97" s="11" t="s">
        <v>17</v>
      </c>
      <c r="B97" s="1" t="s">
        <v>92</v>
      </c>
      <c r="C97" s="11" t="s">
        <v>1617</v>
      </c>
      <c r="D97" s="11" t="s">
        <v>306</v>
      </c>
      <c r="L97" s="11"/>
      <c r="M97" s="1"/>
      <c r="N97" s="11"/>
      <c r="O97" s="11"/>
      <c r="P97" s="11"/>
      <c r="Q97" s="11"/>
    </row>
    <row r="98" customHeight="1" spans="1:17">
      <c r="A98" s="11" t="s">
        <v>20</v>
      </c>
      <c r="B98" s="1" t="s">
        <v>92</v>
      </c>
      <c r="C98" s="11" t="s">
        <v>1618</v>
      </c>
      <c r="D98" s="11" t="s">
        <v>307</v>
      </c>
      <c r="L98" s="11"/>
      <c r="M98" s="11"/>
      <c r="N98" s="11"/>
      <c r="O98" s="11"/>
      <c r="P98" s="11"/>
      <c r="Q98" s="11"/>
    </row>
    <row r="99" customHeight="1" spans="1:17">
      <c r="A99" s="11" t="s">
        <v>20</v>
      </c>
      <c r="B99" s="1" t="s">
        <v>92</v>
      </c>
      <c r="C99" s="11" t="s">
        <v>1619</v>
      </c>
      <c r="D99" s="11" t="s">
        <v>308</v>
      </c>
      <c r="L99" s="11"/>
      <c r="M99" s="11"/>
      <c r="N99" s="11"/>
      <c r="O99" s="11"/>
      <c r="P99" s="11"/>
      <c r="Q99" s="11"/>
    </row>
    <row r="100" customHeight="1" spans="1:17">
      <c r="A100" s="11" t="s">
        <v>17</v>
      </c>
      <c r="B100" s="1" t="s">
        <v>92</v>
      </c>
      <c r="C100" s="11" t="s">
        <v>1620</v>
      </c>
      <c r="D100" s="11" t="s">
        <v>309</v>
      </c>
      <c r="L100" s="11"/>
      <c r="M100" s="1"/>
      <c r="N100" s="11"/>
      <c r="O100" s="11"/>
      <c r="P100" s="11"/>
      <c r="Q100" s="11"/>
    </row>
    <row r="101" customHeight="1" spans="1:17">
      <c r="A101" s="11" t="s">
        <v>17</v>
      </c>
      <c r="B101" s="1" t="s">
        <v>92</v>
      </c>
      <c r="C101" s="11" t="s">
        <v>1621</v>
      </c>
      <c r="D101" s="11" t="s">
        <v>310</v>
      </c>
      <c r="L101" s="11"/>
      <c r="M101" s="1"/>
      <c r="N101" s="11"/>
      <c r="O101" s="11"/>
      <c r="P101" s="11"/>
      <c r="Q101" s="11"/>
    </row>
    <row r="102" customHeight="1" spans="1:17">
      <c r="A102" s="11" t="s">
        <v>20</v>
      </c>
      <c r="B102" s="1" t="s">
        <v>1622</v>
      </c>
      <c r="C102" s="11" t="s">
        <v>1623</v>
      </c>
      <c r="D102" s="11" t="s">
        <v>1624</v>
      </c>
      <c r="L102" s="11"/>
      <c r="M102" s="1"/>
      <c r="N102" s="11"/>
      <c r="O102" s="11"/>
      <c r="P102" s="11"/>
      <c r="Q102" s="11"/>
    </row>
    <row r="103" customHeight="1" spans="1:17">
      <c r="A103" s="11"/>
      <c r="B103" s="11"/>
      <c r="C103" s="11"/>
      <c r="D103" s="11"/>
      <c r="L103" s="11"/>
      <c r="M103" s="11"/>
      <c r="N103" s="11"/>
      <c r="O103" s="11"/>
      <c r="P103" s="11"/>
      <c r="Q103" s="11"/>
    </row>
    <row r="104" customHeight="1" spans="1:17">
      <c r="A104" s="8" t="s">
        <v>13</v>
      </c>
      <c r="B104" s="1" t="s">
        <v>201</v>
      </c>
      <c r="C104" s="12" t="s">
        <v>1625</v>
      </c>
      <c r="D104" s="12" t="s">
        <v>490</v>
      </c>
      <c r="H104" s="5">
        <f>H105+H106+H107+H108+H109+H110</f>
        <v>0</v>
      </c>
      <c r="I104" s="5">
        <f>I105+I106+I107+I108+I109+I110</f>
        <v>0</v>
      </c>
      <c r="L104" s="8"/>
      <c r="M104" s="1"/>
      <c r="N104" s="12"/>
      <c r="O104" s="12"/>
      <c r="P104" s="11"/>
      <c r="Q104" s="11"/>
    </row>
    <row r="105" customHeight="1" spans="1:17">
      <c r="A105" s="11" t="s">
        <v>17</v>
      </c>
      <c r="B105" s="1" t="s">
        <v>201</v>
      </c>
      <c r="C105" s="11" t="s">
        <v>1626</v>
      </c>
      <c r="D105" s="11" t="s">
        <v>306</v>
      </c>
      <c r="L105" s="11"/>
      <c r="M105" s="1"/>
      <c r="N105" s="11"/>
      <c r="O105" s="11"/>
      <c r="P105" s="11"/>
      <c r="Q105" s="11"/>
    </row>
    <row r="106" customHeight="1" spans="1:17">
      <c r="A106" s="11" t="s">
        <v>20</v>
      </c>
      <c r="B106" s="1" t="s">
        <v>201</v>
      </c>
      <c r="C106" s="11" t="s">
        <v>1627</v>
      </c>
      <c r="D106" s="11" t="s">
        <v>307</v>
      </c>
      <c r="L106" s="11"/>
      <c r="M106" s="11"/>
      <c r="N106" s="11"/>
      <c r="O106" s="11"/>
      <c r="P106" s="11"/>
      <c r="Q106" s="11"/>
    </row>
    <row r="107" customHeight="1" spans="1:17">
      <c r="A107" s="11" t="s">
        <v>20</v>
      </c>
      <c r="B107" s="1" t="s">
        <v>201</v>
      </c>
      <c r="C107" s="11" t="s">
        <v>1628</v>
      </c>
      <c r="D107" s="11" t="s">
        <v>308</v>
      </c>
      <c r="L107" s="11"/>
      <c r="M107" s="11"/>
      <c r="N107" s="11"/>
      <c r="O107" s="11"/>
      <c r="P107" s="11"/>
      <c r="Q107" s="11"/>
    </row>
    <row r="108" customHeight="1" spans="1:17">
      <c r="A108" s="11" t="s">
        <v>17</v>
      </c>
      <c r="B108" s="1" t="s">
        <v>201</v>
      </c>
      <c r="C108" s="11" t="s">
        <v>1629</v>
      </c>
      <c r="D108" s="11" t="s">
        <v>309</v>
      </c>
      <c r="L108" s="11"/>
      <c r="M108" s="1"/>
      <c r="N108" s="11"/>
      <c r="O108" s="11"/>
      <c r="P108" s="11"/>
      <c r="Q108" s="11"/>
    </row>
    <row r="109" customHeight="1" spans="1:17">
      <c r="A109" s="11" t="s">
        <v>17</v>
      </c>
      <c r="B109" s="1" t="s">
        <v>201</v>
      </c>
      <c r="C109" s="11" t="s">
        <v>1630</v>
      </c>
      <c r="D109" s="11" t="s">
        <v>310</v>
      </c>
      <c r="L109" s="11"/>
      <c r="M109" s="1"/>
      <c r="N109" s="11"/>
      <c r="O109" s="11"/>
      <c r="P109" s="11"/>
      <c r="Q109" s="11"/>
    </row>
    <row r="110" customHeight="1" spans="1:17">
      <c r="A110" s="1" t="s">
        <v>20</v>
      </c>
      <c r="B110" s="1" t="s">
        <v>201</v>
      </c>
      <c r="C110" s="11" t="s">
        <v>1631</v>
      </c>
      <c r="D110" s="11" t="s">
        <v>1624</v>
      </c>
      <c r="L110" s="11"/>
      <c r="M110" s="1"/>
      <c r="N110" s="11"/>
      <c r="O110" s="11"/>
      <c r="P110" s="11"/>
      <c r="Q110" s="11"/>
    </row>
    <row r="111" customHeight="1" spans="1:17">
      <c r="A111" s="11"/>
      <c r="B111" s="1"/>
      <c r="C111" s="11"/>
      <c r="D111" s="11"/>
      <c r="N111" s="11"/>
      <c r="O111" s="11"/>
      <c r="P111" s="11"/>
      <c r="Q111" s="11"/>
    </row>
    <row r="112" s="13" customFormat="1" customHeight="1" spans="1:17">
      <c r="A112" s="8" t="s">
        <v>13</v>
      </c>
      <c r="B112" s="8" t="s">
        <v>14</v>
      </c>
      <c r="C112" s="9" t="s">
        <v>1632</v>
      </c>
      <c r="D112" s="8" t="s">
        <v>494</v>
      </c>
      <c r="H112" s="5">
        <f>H113+H116+H128</f>
        <v>0</v>
      </c>
      <c r="I112" s="5">
        <f>I113+I116+I128</f>
        <v>0</v>
      </c>
    </row>
    <row r="113" s="13" customFormat="1" customHeight="1" spans="1:10">
      <c r="A113" s="12" t="s">
        <v>17</v>
      </c>
      <c r="B113" s="12" t="s">
        <v>14</v>
      </c>
      <c r="C113" s="12" t="s">
        <v>1633</v>
      </c>
      <c r="D113" s="12" t="s">
        <v>496</v>
      </c>
      <c r="I113" s="5">
        <f>I36*I114</f>
        <v>0</v>
      </c>
      <c r="J113" s="5" t="s">
        <v>516</v>
      </c>
    </row>
    <row r="114" customHeight="1" spans="1:10">
      <c r="A114" s="11" t="s">
        <v>20</v>
      </c>
      <c r="B114" s="11" t="s">
        <v>103</v>
      </c>
      <c r="C114" s="11" t="s">
        <v>1634</v>
      </c>
      <c r="D114" s="11" t="s">
        <v>931</v>
      </c>
      <c r="H114" s="5" t="e">
        <f>H113/H36</f>
        <v>#DIV/0!</v>
      </c>
      <c r="J114" s="5" t="s">
        <v>329</v>
      </c>
    </row>
    <row r="115" customHeight="1" spans="1:10">
      <c r="A115" s="12"/>
      <c r="B115" s="12"/>
      <c r="C115" s="12"/>
      <c r="D115" s="12"/>
    </row>
    <row r="116" customHeight="1" spans="1:10">
      <c r="A116" s="8" t="s">
        <v>17</v>
      </c>
      <c r="B116" s="12" t="s">
        <v>14</v>
      </c>
      <c r="C116" s="12" t="s">
        <v>1635</v>
      </c>
      <c r="D116" s="8" t="s">
        <v>553</v>
      </c>
      <c r="H116" s="5">
        <f>H117+H119+H121+H123+H125</f>
        <v>0</v>
      </c>
      <c r="I116" s="5">
        <f>I117+I119+I121+I123+I125</f>
        <v>0</v>
      </c>
    </row>
    <row r="117" customHeight="1" spans="1:10">
      <c r="A117" s="8" t="s">
        <v>20</v>
      </c>
      <c r="B117" s="11" t="s">
        <v>14</v>
      </c>
      <c r="C117" s="9" t="s">
        <v>1636</v>
      </c>
      <c r="D117" s="8" t="s">
        <v>1637</v>
      </c>
      <c r="I117" s="5">
        <f>I42*I118</f>
        <v>0</v>
      </c>
      <c r="J117" s="5" t="s">
        <v>516</v>
      </c>
    </row>
    <row r="118" customHeight="1" spans="1:10">
      <c r="A118" s="1" t="s">
        <v>379</v>
      </c>
      <c r="B118" s="1" t="s">
        <v>103</v>
      </c>
      <c r="C118" s="10" t="s">
        <v>1638</v>
      </c>
      <c r="D118" s="11" t="s">
        <v>1639</v>
      </c>
      <c r="H118" s="5" t="e">
        <f>H117/H42</f>
        <v>#DIV/0!</v>
      </c>
      <c r="J118" s="5" t="s">
        <v>329</v>
      </c>
    </row>
    <row r="119" customHeight="1" spans="1:10">
      <c r="A119" s="8" t="s">
        <v>20</v>
      </c>
      <c r="B119" s="11" t="s">
        <v>14</v>
      </c>
      <c r="C119" s="9" t="s">
        <v>1640</v>
      </c>
      <c r="D119" s="8" t="s">
        <v>147</v>
      </c>
      <c r="I119" s="5">
        <f>I73*I120</f>
        <v>0</v>
      </c>
      <c r="J119" s="5" t="s">
        <v>516</v>
      </c>
    </row>
    <row r="120" customHeight="1" spans="1:10">
      <c r="A120" s="1" t="s">
        <v>379</v>
      </c>
      <c r="B120" s="1" t="s">
        <v>103</v>
      </c>
      <c r="C120" s="10" t="s">
        <v>1641</v>
      </c>
      <c r="D120" s="11" t="s">
        <v>1639</v>
      </c>
      <c r="H120" s="5" t="e">
        <f>H119/H73</f>
        <v>#DIV/0!</v>
      </c>
      <c r="J120" s="5" t="s">
        <v>329</v>
      </c>
    </row>
    <row r="121" customHeight="1" spans="1:10">
      <c r="A121" s="8" t="s">
        <v>20</v>
      </c>
      <c r="B121" s="11" t="s">
        <v>14</v>
      </c>
      <c r="C121" s="9" t="s">
        <v>1642</v>
      </c>
      <c r="D121" s="8" t="s">
        <v>149</v>
      </c>
      <c r="I121" s="5">
        <f>I74*I122</f>
        <v>0</v>
      </c>
      <c r="J121" s="5" t="s">
        <v>516</v>
      </c>
    </row>
    <row r="122" customHeight="1" spans="1:10">
      <c r="A122" s="1" t="s">
        <v>379</v>
      </c>
      <c r="B122" s="1" t="s">
        <v>103</v>
      </c>
      <c r="C122" s="10" t="s">
        <v>1643</v>
      </c>
      <c r="D122" s="11" t="s">
        <v>1639</v>
      </c>
      <c r="H122" s="5" t="e">
        <f>H121/H74</f>
        <v>#DIV/0!</v>
      </c>
      <c r="J122" s="5" t="s">
        <v>329</v>
      </c>
    </row>
    <row r="123" customHeight="1" spans="1:10">
      <c r="A123" s="8" t="s">
        <v>20</v>
      </c>
      <c r="B123" s="11" t="s">
        <v>14</v>
      </c>
      <c r="C123" s="9" t="s">
        <v>1644</v>
      </c>
      <c r="D123" s="8" t="s">
        <v>151</v>
      </c>
      <c r="I123" s="5">
        <f>I75*I124</f>
        <v>0</v>
      </c>
      <c r="J123" s="5" t="s">
        <v>516</v>
      </c>
    </row>
    <row r="124" customHeight="1" spans="1:10">
      <c r="A124" s="1" t="s">
        <v>379</v>
      </c>
      <c r="B124" s="1" t="s">
        <v>103</v>
      </c>
      <c r="C124" s="10" t="s">
        <v>1645</v>
      </c>
      <c r="D124" s="11" t="s">
        <v>1639</v>
      </c>
      <c r="H124" s="5" t="e">
        <f>H123/H75</f>
        <v>#DIV/0!</v>
      </c>
      <c r="J124" s="5" t="s">
        <v>329</v>
      </c>
    </row>
    <row r="125" customHeight="1" spans="1:10">
      <c r="A125" s="8" t="s">
        <v>20</v>
      </c>
      <c r="B125" s="11" t="s">
        <v>14</v>
      </c>
      <c r="C125" s="9" t="s">
        <v>1646</v>
      </c>
      <c r="D125" s="8" t="s">
        <v>155</v>
      </c>
      <c r="I125" s="5">
        <f>I87*I126</f>
        <v>0</v>
      </c>
      <c r="J125" s="5" t="s">
        <v>516</v>
      </c>
    </row>
    <row r="126" customHeight="1" spans="1:10">
      <c r="A126" s="1" t="s">
        <v>379</v>
      </c>
      <c r="B126" s="1" t="s">
        <v>103</v>
      </c>
      <c r="C126" s="10" t="s">
        <v>1647</v>
      </c>
      <c r="D126" s="11" t="s">
        <v>1639</v>
      </c>
      <c r="H126" s="5" t="e">
        <f>H125/H87</f>
        <v>#DIV/0!</v>
      </c>
      <c r="J126" s="5" t="s">
        <v>329</v>
      </c>
    </row>
    <row r="127" customHeight="1" spans="1:10">
      <c r="A127" s="1"/>
      <c r="B127" s="1"/>
      <c r="C127" s="10"/>
      <c r="D127" s="11"/>
    </row>
    <row r="128" customHeight="1" spans="1:10">
      <c r="A128" s="8" t="s">
        <v>17</v>
      </c>
      <c r="B128" s="12" t="s">
        <v>14</v>
      </c>
      <c r="C128" s="9" t="s">
        <v>1648</v>
      </c>
      <c r="D128" s="8" t="s">
        <v>1649</v>
      </c>
      <c r="H128" s="5">
        <f>H129+H131+H133+H135+H137+H139+H141+H143+H145+H147</f>
        <v>0</v>
      </c>
      <c r="I128" s="5">
        <f>I129+I131+I133+I135+I137+I139+I141+I143+I145+I147</f>
        <v>0</v>
      </c>
    </row>
    <row r="129" customHeight="1" spans="1:10">
      <c r="A129" s="8" t="s">
        <v>20</v>
      </c>
      <c r="B129" s="11" t="s">
        <v>14</v>
      </c>
      <c r="C129" s="9" t="s">
        <v>1650</v>
      </c>
      <c r="D129" s="8" t="s">
        <v>1553</v>
      </c>
      <c r="I129" s="5">
        <f>I77*I130</f>
        <v>0</v>
      </c>
      <c r="J129" s="5" t="s">
        <v>516</v>
      </c>
    </row>
    <row r="130" customHeight="1" spans="1:10">
      <c r="A130" s="1" t="s">
        <v>379</v>
      </c>
      <c r="B130" s="1" t="s">
        <v>103</v>
      </c>
      <c r="C130" s="10" t="s">
        <v>1651</v>
      </c>
      <c r="D130" s="11" t="s">
        <v>1639</v>
      </c>
      <c r="H130" s="5" t="e">
        <f>H129/H77</f>
        <v>#DIV/0!</v>
      </c>
      <c r="J130" s="5" t="s">
        <v>329</v>
      </c>
    </row>
    <row r="131" customHeight="1" spans="1:10">
      <c r="A131" s="8" t="s">
        <v>20</v>
      </c>
      <c r="B131" s="11" t="s">
        <v>14</v>
      </c>
      <c r="C131" s="9" t="s">
        <v>1652</v>
      </c>
      <c r="D131" s="8" t="s">
        <v>1559</v>
      </c>
      <c r="I131" s="5">
        <f>I78*I132</f>
        <v>0</v>
      </c>
      <c r="J131" s="5" t="s">
        <v>516</v>
      </c>
    </row>
    <row r="132" customHeight="1" spans="1:10">
      <c r="A132" s="1" t="s">
        <v>379</v>
      </c>
      <c r="B132" s="1" t="s">
        <v>103</v>
      </c>
      <c r="C132" s="10" t="s">
        <v>1653</v>
      </c>
      <c r="D132" s="11" t="s">
        <v>1639</v>
      </c>
      <c r="H132" s="5" t="e">
        <f>H131/H78</f>
        <v>#DIV/0!</v>
      </c>
      <c r="J132" s="5" t="s">
        <v>329</v>
      </c>
    </row>
    <row r="133" customHeight="1" spans="1:10">
      <c r="A133" s="8" t="s">
        <v>20</v>
      </c>
      <c r="B133" s="11" t="s">
        <v>14</v>
      </c>
      <c r="C133" s="9" t="s">
        <v>1654</v>
      </c>
      <c r="D133" s="8" t="s">
        <v>1561</v>
      </c>
      <c r="I133" s="5">
        <f>I79*I134</f>
        <v>0</v>
      </c>
      <c r="J133" s="5" t="s">
        <v>516</v>
      </c>
    </row>
    <row r="134" customHeight="1" spans="1:10">
      <c r="A134" s="1" t="s">
        <v>379</v>
      </c>
      <c r="B134" s="1" t="s">
        <v>103</v>
      </c>
      <c r="C134" s="10" t="s">
        <v>1655</v>
      </c>
      <c r="D134" s="11" t="s">
        <v>1639</v>
      </c>
      <c r="H134" s="5" t="e">
        <f>H133/H79</f>
        <v>#DIV/0!</v>
      </c>
      <c r="J134" s="5" t="s">
        <v>329</v>
      </c>
    </row>
    <row r="135" customHeight="1" spans="1:10">
      <c r="A135" s="8" t="s">
        <v>20</v>
      </c>
      <c r="B135" s="11" t="s">
        <v>14</v>
      </c>
      <c r="C135" s="9" t="s">
        <v>1656</v>
      </c>
      <c r="D135" s="8" t="s">
        <v>1563</v>
      </c>
      <c r="I135" s="5">
        <f>I80*I136</f>
        <v>0</v>
      </c>
      <c r="J135" s="5" t="s">
        <v>516</v>
      </c>
    </row>
    <row r="136" customHeight="1" spans="1:10">
      <c r="A136" s="1" t="s">
        <v>379</v>
      </c>
      <c r="B136" s="1" t="s">
        <v>103</v>
      </c>
      <c r="C136" s="10" t="s">
        <v>1657</v>
      </c>
      <c r="D136" s="11" t="s">
        <v>1639</v>
      </c>
      <c r="H136" s="5" t="e">
        <f>H135/H80</f>
        <v>#DIV/0!</v>
      </c>
      <c r="J136" s="5" t="s">
        <v>329</v>
      </c>
    </row>
    <row r="137" customHeight="1" spans="1:10">
      <c r="A137" s="8" t="s">
        <v>20</v>
      </c>
      <c r="B137" s="11" t="s">
        <v>14</v>
      </c>
      <c r="C137" s="9" t="s">
        <v>1658</v>
      </c>
      <c r="D137" s="8" t="s">
        <v>1565</v>
      </c>
      <c r="I137" s="5">
        <f>I81*I138</f>
        <v>0</v>
      </c>
      <c r="J137" s="5" t="s">
        <v>516</v>
      </c>
    </row>
    <row r="138" customHeight="1" spans="1:10">
      <c r="A138" s="1" t="s">
        <v>379</v>
      </c>
      <c r="B138" s="1" t="s">
        <v>103</v>
      </c>
      <c r="C138" s="10" t="s">
        <v>1659</v>
      </c>
      <c r="D138" s="11" t="s">
        <v>1639</v>
      </c>
      <c r="H138" s="5" t="e">
        <f>H137/H81</f>
        <v>#DIV/0!</v>
      </c>
      <c r="J138" s="5" t="s">
        <v>329</v>
      </c>
    </row>
    <row r="139" customHeight="1" spans="1:10">
      <c r="A139" s="8" t="s">
        <v>20</v>
      </c>
      <c r="B139" s="11" t="s">
        <v>14</v>
      </c>
      <c r="C139" s="9" t="s">
        <v>1660</v>
      </c>
      <c r="D139" s="8" t="s">
        <v>1567</v>
      </c>
      <c r="I139" s="5">
        <f>I82*I140</f>
        <v>0</v>
      </c>
      <c r="J139" s="5" t="s">
        <v>516</v>
      </c>
    </row>
    <row r="140" customHeight="1" spans="1:10">
      <c r="A140" s="1" t="s">
        <v>379</v>
      </c>
      <c r="B140" s="1" t="s">
        <v>103</v>
      </c>
      <c r="C140" s="10" t="s">
        <v>1661</v>
      </c>
      <c r="D140" s="11" t="s">
        <v>1639</v>
      </c>
      <c r="H140" s="5" t="e">
        <f>H139/H82</f>
        <v>#DIV/0!</v>
      </c>
      <c r="J140" s="5" t="s">
        <v>329</v>
      </c>
    </row>
    <row r="141" customHeight="1" spans="1:10">
      <c r="A141" s="8" t="s">
        <v>20</v>
      </c>
      <c r="B141" s="11" t="s">
        <v>14</v>
      </c>
      <c r="C141" s="9" t="s">
        <v>1662</v>
      </c>
      <c r="D141" s="8" t="s">
        <v>1569</v>
      </c>
      <c r="I141" s="5">
        <f>I83*I142</f>
        <v>0</v>
      </c>
      <c r="J141" s="5" t="s">
        <v>516</v>
      </c>
    </row>
    <row r="142" customHeight="1" spans="1:10">
      <c r="A142" s="1" t="s">
        <v>379</v>
      </c>
      <c r="B142" s="1" t="s">
        <v>103</v>
      </c>
      <c r="C142" s="10" t="s">
        <v>1663</v>
      </c>
      <c r="D142" s="11" t="s">
        <v>1639</v>
      </c>
      <c r="H142" s="5" t="e">
        <f>H141/H83</f>
        <v>#DIV/0!</v>
      </c>
      <c r="J142" s="5" t="s">
        <v>329</v>
      </c>
    </row>
    <row r="143" customHeight="1" spans="1:10">
      <c r="A143" s="8" t="s">
        <v>20</v>
      </c>
      <c r="B143" s="11" t="s">
        <v>14</v>
      </c>
      <c r="C143" s="9" t="s">
        <v>1664</v>
      </c>
      <c r="D143" s="8" t="s">
        <v>1571</v>
      </c>
      <c r="I143" s="5">
        <f>I84*I144</f>
        <v>0</v>
      </c>
      <c r="J143" s="5" t="s">
        <v>516</v>
      </c>
    </row>
    <row r="144" customHeight="1" spans="1:10">
      <c r="A144" s="1" t="s">
        <v>379</v>
      </c>
      <c r="B144" s="1" t="s">
        <v>103</v>
      </c>
      <c r="C144" s="10" t="s">
        <v>1665</v>
      </c>
      <c r="D144" s="11" t="s">
        <v>1639</v>
      </c>
      <c r="H144" s="5" t="e">
        <f>H143/H84</f>
        <v>#DIV/0!</v>
      </c>
      <c r="J144" s="5" t="s">
        <v>329</v>
      </c>
    </row>
    <row r="145" customHeight="1" spans="1:10">
      <c r="A145" s="8" t="s">
        <v>20</v>
      </c>
      <c r="B145" s="11" t="s">
        <v>14</v>
      </c>
      <c r="C145" s="9" t="s">
        <v>1666</v>
      </c>
      <c r="D145" s="8" t="s">
        <v>1667</v>
      </c>
      <c r="I145" s="5">
        <f>I85*I146</f>
        <v>0</v>
      </c>
      <c r="J145" s="5" t="s">
        <v>516</v>
      </c>
    </row>
    <row r="146" customHeight="1" spans="1:10">
      <c r="A146" s="1" t="s">
        <v>379</v>
      </c>
      <c r="B146" s="1" t="s">
        <v>103</v>
      </c>
      <c r="C146" s="10" t="s">
        <v>1668</v>
      </c>
      <c r="D146" s="11" t="s">
        <v>1639</v>
      </c>
      <c r="H146" s="5" t="e">
        <f>H145/H85</f>
        <v>#DIV/0!</v>
      </c>
      <c r="J146" s="5" t="s">
        <v>329</v>
      </c>
    </row>
    <row r="147" customHeight="1" spans="1:10">
      <c r="A147" s="8" t="s">
        <v>20</v>
      </c>
      <c r="B147" s="11" t="s">
        <v>14</v>
      </c>
      <c r="C147" s="9" t="s">
        <v>1669</v>
      </c>
      <c r="D147" s="8" t="s">
        <v>1576</v>
      </c>
      <c r="I147" s="5">
        <f>I86*I148</f>
        <v>0</v>
      </c>
      <c r="J147" s="5" t="s">
        <v>516</v>
      </c>
    </row>
    <row r="148" customHeight="1" spans="1:10">
      <c r="A148" s="1" t="s">
        <v>379</v>
      </c>
      <c r="B148" s="1" t="s">
        <v>103</v>
      </c>
      <c r="C148" s="10" t="s">
        <v>1670</v>
      </c>
      <c r="D148" s="11" t="s">
        <v>1639</v>
      </c>
      <c r="H148" s="5" t="e">
        <f>H147/H86</f>
        <v>#DIV/0!</v>
      </c>
      <c r="J148" s="5" t="s">
        <v>329</v>
      </c>
    </row>
    <row r="149" customHeight="1" spans="1:10">
      <c r="A149" s="1"/>
      <c r="B149" s="1"/>
      <c r="C149" s="10"/>
      <c r="D149" s="11"/>
    </row>
    <row r="150" customHeight="1" spans="1:10">
      <c r="A150" s="8" t="s">
        <v>13</v>
      </c>
      <c r="B150" s="8" t="s">
        <v>23</v>
      </c>
      <c r="C150" s="9" t="s">
        <v>1671</v>
      </c>
      <c r="D150" s="8" t="s">
        <v>559</v>
      </c>
      <c r="H150" s="5">
        <f>H151+H154+H166</f>
        <v>0</v>
      </c>
      <c r="I150" s="5">
        <f>I151+I154+I166</f>
        <v>0</v>
      </c>
    </row>
    <row r="151" customHeight="1" spans="1:10">
      <c r="A151" s="12" t="s">
        <v>17</v>
      </c>
      <c r="B151" s="12" t="s">
        <v>23</v>
      </c>
      <c r="C151" s="12" t="s">
        <v>1672</v>
      </c>
      <c r="D151" s="12" t="s">
        <v>561</v>
      </c>
      <c r="I151" s="5">
        <f>I36*I152</f>
        <v>0</v>
      </c>
      <c r="J151" s="5" t="s">
        <v>516</v>
      </c>
    </row>
    <row r="152" customHeight="1" spans="1:10">
      <c r="A152" s="11" t="s">
        <v>20</v>
      </c>
      <c r="B152" s="11" t="s">
        <v>103</v>
      </c>
      <c r="C152" s="11" t="s">
        <v>1673</v>
      </c>
      <c r="D152" s="11" t="s">
        <v>935</v>
      </c>
      <c r="H152" s="5" t="e">
        <f>H151/H36</f>
        <v>#DIV/0!</v>
      </c>
      <c r="J152" s="5" t="s">
        <v>329</v>
      </c>
    </row>
    <row r="153" customHeight="1" spans="1:10">
      <c r="A153" s="1"/>
      <c r="B153" s="1"/>
      <c r="C153" s="10"/>
      <c r="D153" s="11"/>
    </row>
    <row r="154" customHeight="1" spans="1:10">
      <c r="A154" s="8" t="s">
        <v>17</v>
      </c>
      <c r="B154" s="8" t="s">
        <v>23</v>
      </c>
      <c r="C154" s="9" t="s">
        <v>1674</v>
      </c>
      <c r="D154" s="12" t="s">
        <v>571</v>
      </c>
      <c r="E154" s="13"/>
      <c r="F154" s="13"/>
      <c r="G154" s="13"/>
      <c r="H154" s="13">
        <f>H155+H157+H159+H161+H163</f>
        <v>0</v>
      </c>
      <c r="I154" s="13">
        <f>I155+I157+I159+I161+I163</f>
        <v>0</v>
      </c>
    </row>
    <row r="155" customHeight="1" spans="1:10">
      <c r="A155" s="1" t="s">
        <v>20</v>
      </c>
      <c r="B155" s="1" t="s">
        <v>23</v>
      </c>
      <c r="C155" s="10" t="s">
        <v>1675</v>
      </c>
      <c r="D155" s="11" t="s">
        <v>1637</v>
      </c>
      <c r="H155" s="5">
        <f>H117</f>
        <v>0</v>
      </c>
      <c r="I155" s="5">
        <f>I117</f>
        <v>0</v>
      </c>
    </row>
    <row r="156" customHeight="1" spans="1:10">
      <c r="A156" s="1" t="s">
        <v>379</v>
      </c>
      <c r="B156" s="1" t="s">
        <v>103</v>
      </c>
      <c r="C156" s="10" t="s">
        <v>1676</v>
      </c>
      <c r="D156" s="11" t="s">
        <v>1677</v>
      </c>
      <c r="H156" s="5" t="e">
        <f>H118</f>
        <v>#DIV/0!</v>
      </c>
      <c r="I156" s="5">
        <f>I118</f>
        <v>0</v>
      </c>
    </row>
    <row r="157" customHeight="1" spans="1:10">
      <c r="A157" s="1" t="s">
        <v>20</v>
      </c>
      <c r="B157" s="1" t="s">
        <v>23</v>
      </c>
      <c r="C157" s="10" t="s">
        <v>1678</v>
      </c>
      <c r="D157" s="11" t="s">
        <v>147</v>
      </c>
      <c r="I157" s="5">
        <f>I73*I158</f>
        <v>0</v>
      </c>
      <c r="J157" s="5" t="s">
        <v>516</v>
      </c>
    </row>
    <row r="158" customHeight="1" spans="1:10">
      <c r="A158" s="1" t="s">
        <v>379</v>
      </c>
      <c r="B158" s="1" t="s">
        <v>103</v>
      </c>
      <c r="C158" s="10" t="s">
        <v>1679</v>
      </c>
      <c r="D158" s="11" t="s">
        <v>1677</v>
      </c>
      <c r="H158" s="5" t="e">
        <f>H157/H73</f>
        <v>#DIV/0!</v>
      </c>
      <c r="J158" s="5" t="s">
        <v>329</v>
      </c>
    </row>
    <row r="159" customHeight="1" spans="1:10">
      <c r="A159" s="1" t="s">
        <v>20</v>
      </c>
      <c r="B159" s="1" t="s">
        <v>23</v>
      </c>
      <c r="C159" s="10" t="s">
        <v>1680</v>
      </c>
      <c r="D159" s="11" t="s">
        <v>149</v>
      </c>
      <c r="I159" s="5">
        <f>I74*I160</f>
        <v>0</v>
      </c>
      <c r="J159" s="5" t="s">
        <v>516</v>
      </c>
    </row>
    <row r="160" customHeight="1" spans="1:10">
      <c r="A160" s="1" t="s">
        <v>379</v>
      </c>
      <c r="B160" s="1" t="s">
        <v>103</v>
      </c>
      <c r="C160" s="10" t="s">
        <v>1681</v>
      </c>
      <c r="D160" s="11" t="s">
        <v>1677</v>
      </c>
      <c r="H160" s="5" t="e">
        <f>H159/H74</f>
        <v>#DIV/0!</v>
      </c>
      <c r="J160" s="5" t="s">
        <v>329</v>
      </c>
    </row>
    <row r="161" customHeight="1" spans="1:10">
      <c r="A161" s="1" t="s">
        <v>20</v>
      </c>
      <c r="B161" s="1" t="s">
        <v>23</v>
      </c>
      <c r="C161" s="10" t="s">
        <v>1682</v>
      </c>
      <c r="D161" s="11" t="s">
        <v>151</v>
      </c>
      <c r="I161" s="5">
        <f>I75*I162</f>
        <v>0</v>
      </c>
      <c r="J161" s="5" t="s">
        <v>516</v>
      </c>
    </row>
    <row r="162" customHeight="1" spans="1:10">
      <c r="A162" s="1" t="s">
        <v>379</v>
      </c>
      <c r="B162" s="1" t="s">
        <v>103</v>
      </c>
      <c r="C162" s="10" t="s">
        <v>1683</v>
      </c>
      <c r="D162" s="11" t="s">
        <v>1677</v>
      </c>
      <c r="H162" s="5" t="e">
        <f>H161/H75</f>
        <v>#DIV/0!</v>
      </c>
      <c r="J162" s="5" t="s">
        <v>329</v>
      </c>
    </row>
    <row r="163" customHeight="1" spans="1:10">
      <c r="A163" s="1" t="s">
        <v>20</v>
      </c>
      <c r="B163" s="1" t="s">
        <v>23</v>
      </c>
      <c r="C163" s="10" t="s">
        <v>1684</v>
      </c>
      <c r="D163" s="11" t="s">
        <v>155</v>
      </c>
      <c r="I163" s="5">
        <f>(I87+I94)*I164</f>
        <v>0</v>
      </c>
      <c r="J163" s="5" t="s">
        <v>516</v>
      </c>
    </row>
    <row r="164" customHeight="1" spans="1:10">
      <c r="A164" s="1" t="s">
        <v>379</v>
      </c>
      <c r="B164" s="1" t="s">
        <v>103</v>
      </c>
      <c r="C164" s="10" t="s">
        <v>1685</v>
      </c>
      <c r="D164" s="11" t="s">
        <v>1677</v>
      </c>
      <c r="H164" s="5" t="e">
        <f>H163/(H87+H94)</f>
        <v>#DIV/0!</v>
      </c>
      <c r="J164" s="5" t="s">
        <v>329</v>
      </c>
    </row>
    <row r="165" customHeight="1" spans="1:10">
      <c r="A165" s="1"/>
      <c r="B165" s="1"/>
      <c r="C165" s="10"/>
      <c r="D165" s="11"/>
    </row>
    <row r="166" customHeight="1" spans="1:10">
      <c r="A166" s="8" t="s">
        <v>17</v>
      </c>
      <c r="B166" s="8" t="s">
        <v>23</v>
      </c>
      <c r="C166" s="9" t="s">
        <v>1686</v>
      </c>
      <c r="D166" s="12" t="s">
        <v>1412</v>
      </c>
      <c r="E166" s="13"/>
      <c r="F166" s="13"/>
      <c r="G166" s="13"/>
      <c r="H166" s="13">
        <f>H167+H169+H171+H173+H175+H177+H179+H181+H183+H185+H187+H189</f>
        <v>0</v>
      </c>
      <c r="I166" s="13">
        <f>I167+I169+I171+I173+I175+I177+I179+I181+I183+I185+I187+I189</f>
        <v>0</v>
      </c>
    </row>
    <row r="167" customHeight="1" spans="1:10">
      <c r="A167" s="1" t="s">
        <v>20</v>
      </c>
      <c r="B167" s="1" t="s">
        <v>23</v>
      </c>
      <c r="C167" s="10" t="s">
        <v>1687</v>
      </c>
      <c r="D167" s="11" t="s">
        <v>1553</v>
      </c>
      <c r="I167" s="5">
        <f>(I77+I92)*I168</f>
        <v>0</v>
      </c>
      <c r="J167" s="5" t="s">
        <v>516</v>
      </c>
    </row>
    <row r="168" customHeight="1" spans="1:10">
      <c r="A168" s="1" t="s">
        <v>379</v>
      </c>
      <c r="B168" s="1" t="s">
        <v>103</v>
      </c>
      <c r="C168" s="10" t="s">
        <v>1688</v>
      </c>
      <c r="D168" s="11" t="s">
        <v>1677</v>
      </c>
      <c r="H168" s="5" t="e">
        <f>H167/(H77+H92)</f>
        <v>#DIV/0!</v>
      </c>
      <c r="J168" s="5" t="s">
        <v>329</v>
      </c>
    </row>
    <row r="169" customHeight="1" spans="1:10">
      <c r="A169" s="1" t="s">
        <v>20</v>
      </c>
      <c r="B169" s="1" t="s">
        <v>23</v>
      </c>
      <c r="C169" s="10" t="s">
        <v>1689</v>
      </c>
      <c r="D169" s="11" t="s">
        <v>1559</v>
      </c>
      <c r="I169" s="5">
        <f>I78*I170</f>
        <v>0</v>
      </c>
      <c r="J169" s="5" t="s">
        <v>516</v>
      </c>
    </row>
    <row r="170" customHeight="1" spans="1:10">
      <c r="A170" s="1" t="s">
        <v>379</v>
      </c>
      <c r="B170" s="1" t="s">
        <v>103</v>
      </c>
      <c r="C170" s="10" t="s">
        <v>1690</v>
      </c>
      <c r="D170" s="11" t="s">
        <v>1677</v>
      </c>
      <c r="H170" s="5" t="e">
        <f>H169/H78</f>
        <v>#DIV/0!</v>
      </c>
      <c r="J170" s="5" t="s">
        <v>329</v>
      </c>
    </row>
    <row r="171" customHeight="1" spans="1:10">
      <c r="A171" s="1" t="s">
        <v>20</v>
      </c>
      <c r="B171" s="1" t="s">
        <v>23</v>
      </c>
      <c r="C171" s="10" t="s">
        <v>1691</v>
      </c>
      <c r="D171" s="11" t="s">
        <v>1561</v>
      </c>
      <c r="I171" s="5">
        <f>I79*I172</f>
        <v>0</v>
      </c>
      <c r="J171" s="5" t="s">
        <v>516</v>
      </c>
    </row>
    <row r="172" customHeight="1" spans="1:10">
      <c r="A172" s="1" t="s">
        <v>379</v>
      </c>
      <c r="B172" s="1" t="s">
        <v>103</v>
      </c>
      <c r="C172" s="10" t="s">
        <v>1692</v>
      </c>
      <c r="D172" s="11" t="s">
        <v>1677</v>
      </c>
      <c r="H172" s="5" t="e">
        <f>H171/H79</f>
        <v>#DIV/0!</v>
      </c>
      <c r="J172" s="5" t="s">
        <v>329</v>
      </c>
    </row>
    <row r="173" customHeight="1" spans="1:10">
      <c r="A173" s="1" t="s">
        <v>20</v>
      </c>
      <c r="B173" s="1" t="s">
        <v>23</v>
      </c>
      <c r="C173" s="10" t="s">
        <v>1693</v>
      </c>
      <c r="D173" s="11" t="s">
        <v>1563</v>
      </c>
      <c r="I173" s="5">
        <f>I80*I174</f>
        <v>0</v>
      </c>
      <c r="J173" s="5" t="s">
        <v>516</v>
      </c>
    </row>
    <row r="174" customHeight="1" spans="1:10">
      <c r="A174" s="1" t="s">
        <v>379</v>
      </c>
      <c r="B174" s="1" t="s">
        <v>103</v>
      </c>
      <c r="C174" s="10" t="s">
        <v>1694</v>
      </c>
      <c r="D174" s="11" t="s">
        <v>1677</v>
      </c>
      <c r="H174" s="5" t="e">
        <f>H173/H80</f>
        <v>#DIV/0!</v>
      </c>
      <c r="J174" s="5" t="s">
        <v>329</v>
      </c>
    </row>
    <row r="175" customHeight="1" spans="1:10">
      <c r="A175" s="1" t="s">
        <v>20</v>
      </c>
      <c r="B175" s="1" t="s">
        <v>23</v>
      </c>
      <c r="C175" s="10" t="s">
        <v>1695</v>
      </c>
      <c r="D175" s="11" t="s">
        <v>1565</v>
      </c>
      <c r="I175" s="5">
        <f>I81*I176</f>
        <v>0</v>
      </c>
      <c r="J175" s="5" t="s">
        <v>516</v>
      </c>
    </row>
    <row r="176" customHeight="1" spans="1:10">
      <c r="A176" s="1" t="s">
        <v>379</v>
      </c>
      <c r="B176" s="1" t="s">
        <v>103</v>
      </c>
      <c r="C176" s="10" t="s">
        <v>1696</v>
      </c>
      <c r="D176" s="11" t="s">
        <v>1677</v>
      </c>
      <c r="H176" s="5" t="e">
        <f>H175/H81</f>
        <v>#DIV/0!</v>
      </c>
      <c r="J176" s="5" t="s">
        <v>329</v>
      </c>
    </row>
    <row r="177" customHeight="1" spans="1:10">
      <c r="A177" s="1" t="s">
        <v>20</v>
      </c>
      <c r="B177" s="1" t="s">
        <v>23</v>
      </c>
      <c r="C177" s="10" t="s">
        <v>1697</v>
      </c>
      <c r="D177" s="11" t="s">
        <v>1567</v>
      </c>
      <c r="I177" s="5">
        <f>I82*I178</f>
        <v>0</v>
      </c>
      <c r="J177" s="5" t="s">
        <v>516</v>
      </c>
    </row>
    <row r="178" customHeight="1" spans="1:10">
      <c r="A178" s="1" t="s">
        <v>379</v>
      </c>
      <c r="B178" s="1" t="s">
        <v>103</v>
      </c>
      <c r="C178" s="10" t="s">
        <v>1698</v>
      </c>
      <c r="D178" s="11" t="s">
        <v>1677</v>
      </c>
      <c r="H178" s="5" t="e">
        <f>H177/H82</f>
        <v>#DIV/0!</v>
      </c>
      <c r="J178" s="5" t="s">
        <v>329</v>
      </c>
    </row>
    <row r="179" customHeight="1" spans="1:10">
      <c r="A179" s="1" t="s">
        <v>20</v>
      </c>
      <c r="B179" s="1" t="s">
        <v>23</v>
      </c>
      <c r="C179" s="10" t="s">
        <v>1699</v>
      </c>
      <c r="D179" s="11" t="s">
        <v>1569</v>
      </c>
      <c r="I179" s="5">
        <f>I83*I180</f>
        <v>0</v>
      </c>
      <c r="J179" s="5" t="s">
        <v>516</v>
      </c>
    </row>
    <row r="180" customHeight="1" spans="1:10">
      <c r="A180" s="1" t="s">
        <v>379</v>
      </c>
      <c r="B180" s="1" t="s">
        <v>103</v>
      </c>
      <c r="C180" s="10" t="s">
        <v>1700</v>
      </c>
      <c r="D180" s="11" t="s">
        <v>1677</v>
      </c>
      <c r="H180" s="5" t="e">
        <f>H179/H83</f>
        <v>#DIV/0!</v>
      </c>
      <c r="J180" s="5" t="s">
        <v>329</v>
      </c>
    </row>
    <row r="181" customHeight="1" spans="1:10">
      <c r="A181" s="1" t="s">
        <v>20</v>
      </c>
      <c r="B181" s="1" t="s">
        <v>23</v>
      </c>
      <c r="C181" s="10" t="s">
        <v>1701</v>
      </c>
      <c r="D181" s="11" t="s">
        <v>1571</v>
      </c>
      <c r="I181" s="5">
        <f>(I84+I93)*I182</f>
        <v>0</v>
      </c>
      <c r="J181" s="5" t="s">
        <v>516</v>
      </c>
    </row>
    <row r="182" customHeight="1" spans="1:10">
      <c r="A182" s="1" t="s">
        <v>379</v>
      </c>
      <c r="B182" s="1" t="s">
        <v>103</v>
      </c>
      <c r="C182" s="10" t="s">
        <v>1702</v>
      </c>
      <c r="D182" s="11" t="s">
        <v>1677</v>
      </c>
      <c r="H182" s="5" t="e">
        <f>H181/(H84+H93)</f>
        <v>#DIV/0!</v>
      </c>
      <c r="J182" s="5" t="s">
        <v>329</v>
      </c>
    </row>
    <row r="183" customHeight="1" spans="1:10">
      <c r="A183" s="1" t="s">
        <v>20</v>
      </c>
      <c r="B183" s="1" t="s">
        <v>23</v>
      </c>
      <c r="C183" s="10" t="s">
        <v>1703</v>
      </c>
      <c r="D183" s="11" t="s">
        <v>1667</v>
      </c>
      <c r="I183" s="5">
        <f>I85*I184</f>
        <v>0</v>
      </c>
      <c r="J183" s="5" t="s">
        <v>516</v>
      </c>
    </row>
    <row r="184" customHeight="1" spans="1:10">
      <c r="A184" s="1" t="s">
        <v>379</v>
      </c>
      <c r="B184" s="1" t="s">
        <v>103</v>
      </c>
      <c r="C184" s="10" t="s">
        <v>1704</v>
      </c>
      <c r="D184" s="11" t="s">
        <v>1677</v>
      </c>
      <c r="H184" s="5" t="e">
        <f>H183/H85</f>
        <v>#DIV/0!</v>
      </c>
      <c r="J184" s="5" t="s">
        <v>329</v>
      </c>
    </row>
    <row r="185" customHeight="1" spans="1:10">
      <c r="A185" s="1" t="s">
        <v>20</v>
      </c>
      <c r="B185" s="1" t="s">
        <v>23</v>
      </c>
      <c r="C185" s="10" t="s">
        <v>1705</v>
      </c>
      <c r="D185" s="11" t="s">
        <v>1576</v>
      </c>
      <c r="I185" s="5">
        <f>I86*I186</f>
        <v>0</v>
      </c>
      <c r="J185" s="5" t="s">
        <v>516</v>
      </c>
    </row>
    <row r="186" customHeight="1" spans="1:10">
      <c r="A186" s="1" t="s">
        <v>379</v>
      </c>
      <c r="B186" s="1" t="s">
        <v>103</v>
      </c>
      <c r="C186" s="10" t="s">
        <v>1706</v>
      </c>
      <c r="D186" s="11" t="s">
        <v>1677</v>
      </c>
      <c r="H186" s="5" t="e">
        <f>H185/H86</f>
        <v>#DIV/0!</v>
      </c>
      <c r="J186" s="5" t="s">
        <v>329</v>
      </c>
    </row>
    <row r="187" customHeight="1" spans="1:10">
      <c r="A187" s="1" t="s">
        <v>20</v>
      </c>
      <c r="B187" s="1" t="s">
        <v>23</v>
      </c>
      <c r="C187" s="10" t="s">
        <v>1707</v>
      </c>
      <c r="D187" s="11" t="s">
        <v>1585</v>
      </c>
      <c r="I187" s="5">
        <f>I89*I188</f>
        <v>0</v>
      </c>
      <c r="J187" s="5" t="s">
        <v>516</v>
      </c>
    </row>
    <row r="188" customHeight="1" spans="1:10">
      <c r="A188" s="1" t="s">
        <v>379</v>
      </c>
      <c r="B188" s="1" t="s">
        <v>103</v>
      </c>
      <c r="C188" s="10" t="s">
        <v>1708</v>
      </c>
      <c r="D188" s="11" t="s">
        <v>1677</v>
      </c>
      <c r="H188" s="5" t="e">
        <f>H187/H89</f>
        <v>#DIV/0!</v>
      </c>
      <c r="J188" s="5" t="s">
        <v>329</v>
      </c>
    </row>
    <row r="189" customHeight="1" spans="1:10">
      <c r="A189" s="1" t="s">
        <v>20</v>
      </c>
      <c r="B189" s="1" t="s">
        <v>23</v>
      </c>
      <c r="C189" s="10" t="s">
        <v>1709</v>
      </c>
      <c r="D189" s="11" t="s">
        <v>1587</v>
      </c>
      <c r="I189" s="5">
        <f>I90*I190</f>
        <v>0</v>
      </c>
      <c r="J189" s="5" t="s">
        <v>516</v>
      </c>
    </row>
    <row r="190" customHeight="1" spans="1:10">
      <c r="A190" s="1" t="s">
        <v>379</v>
      </c>
      <c r="B190" s="1" t="s">
        <v>103</v>
      </c>
      <c r="C190" s="10" t="s">
        <v>1710</v>
      </c>
      <c r="D190" s="11" t="s">
        <v>1677</v>
      </c>
      <c r="H190" s="5" t="e">
        <f>H189/H90</f>
        <v>#DIV/0!</v>
      </c>
      <c r="J190" s="5" t="s">
        <v>329</v>
      </c>
    </row>
    <row r="191" customHeight="1" spans="1:10">
      <c r="A191" s="1"/>
      <c r="B191" s="1"/>
      <c r="C191" s="10"/>
      <c r="D191" s="11"/>
    </row>
    <row r="192" customHeight="1" spans="1:10">
      <c r="A192" s="8" t="s">
        <v>13</v>
      </c>
      <c r="B192" s="8" t="s">
        <v>23</v>
      </c>
      <c r="C192" s="9" t="s">
        <v>1711</v>
      </c>
      <c r="D192" s="12" t="s">
        <v>581</v>
      </c>
      <c r="H192" s="5">
        <f>H193</f>
        <v>0</v>
      </c>
      <c r="I192" s="5">
        <f>I193</f>
        <v>0</v>
      </c>
    </row>
    <row r="193" customHeight="1" spans="1:10">
      <c r="A193" s="8" t="s">
        <v>17</v>
      </c>
      <c r="B193" s="8" t="s">
        <v>23</v>
      </c>
      <c r="C193" s="9" t="s">
        <v>1712</v>
      </c>
      <c r="D193" s="12" t="s">
        <v>943</v>
      </c>
      <c r="H193" s="5">
        <f>H194+H196+H198+H200+H202</f>
        <v>0</v>
      </c>
      <c r="I193" s="5">
        <f>I194+I196+I198+I200+I202</f>
        <v>0</v>
      </c>
    </row>
    <row r="194" customHeight="1" spans="1:10">
      <c r="A194" s="8" t="s">
        <v>20</v>
      </c>
      <c r="B194" s="8" t="s">
        <v>23</v>
      </c>
      <c r="C194" s="9" t="s">
        <v>1713</v>
      </c>
      <c r="D194" s="12" t="s">
        <v>169</v>
      </c>
      <c r="I194" s="5">
        <f>I105*I195</f>
        <v>0</v>
      </c>
      <c r="J194" s="5" t="s">
        <v>516</v>
      </c>
    </row>
    <row r="195" customHeight="1" spans="1:10">
      <c r="A195" s="11" t="s">
        <v>379</v>
      </c>
      <c r="B195" s="11" t="s">
        <v>103</v>
      </c>
      <c r="C195" s="10" t="s">
        <v>1714</v>
      </c>
      <c r="D195" s="11" t="s">
        <v>1715</v>
      </c>
      <c r="H195" s="5" t="e">
        <f>H194/H105</f>
        <v>#DIV/0!</v>
      </c>
      <c r="J195" s="5" t="s">
        <v>329</v>
      </c>
    </row>
    <row r="196" customHeight="1" spans="1:10">
      <c r="A196" s="8" t="s">
        <v>20</v>
      </c>
      <c r="B196" s="8" t="s">
        <v>23</v>
      </c>
      <c r="C196" s="9" t="s">
        <v>1716</v>
      </c>
      <c r="D196" s="12" t="s">
        <v>171</v>
      </c>
      <c r="I196" s="5">
        <f>I106*I197</f>
        <v>0</v>
      </c>
      <c r="J196" s="5" t="s">
        <v>516</v>
      </c>
    </row>
    <row r="197" customHeight="1" spans="1:10">
      <c r="A197" s="11" t="s">
        <v>379</v>
      </c>
      <c r="B197" s="11" t="s">
        <v>103</v>
      </c>
      <c r="C197" s="10" t="s">
        <v>1717</v>
      </c>
      <c r="D197" s="11" t="s">
        <v>1715</v>
      </c>
      <c r="H197" s="5" t="e">
        <f>H196/H106</f>
        <v>#DIV/0!</v>
      </c>
      <c r="J197" s="5" t="s">
        <v>329</v>
      </c>
    </row>
    <row r="198" customHeight="1" spans="1:10">
      <c r="A198" s="8" t="s">
        <v>20</v>
      </c>
      <c r="B198" s="8" t="s">
        <v>23</v>
      </c>
      <c r="C198" s="9" t="s">
        <v>1718</v>
      </c>
      <c r="D198" s="12" t="s">
        <v>173</v>
      </c>
      <c r="I198" s="5">
        <f>I107*I199</f>
        <v>0</v>
      </c>
      <c r="J198" s="5" t="s">
        <v>516</v>
      </c>
    </row>
    <row r="199" customHeight="1" spans="1:10">
      <c r="A199" s="11" t="s">
        <v>379</v>
      </c>
      <c r="B199" s="11" t="s">
        <v>103</v>
      </c>
      <c r="C199" s="10" t="s">
        <v>1719</v>
      </c>
      <c r="D199" s="11" t="s">
        <v>1715</v>
      </c>
      <c r="H199" s="5" t="e">
        <f>H198/H107</f>
        <v>#DIV/0!</v>
      </c>
      <c r="J199" s="5" t="s">
        <v>329</v>
      </c>
    </row>
    <row r="200" customHeight="1" spans="1:10">
      <c r="A200" s="8" t="s">
        <v>20</v>
      </c>
      <c r="B200" s="8" t="s">
        <v>23</v>
      </c>
      <c r="C200" s="9" t="s">
        <v>1720</v>
      </c>
      <c r="D200" s="12" t="s">
        <v>175</v>
      </c>
      <c r="I200" s="5">
        <f>I108*I201</f>
        <v>0</v>
      </c>
      <c r="J200" s="5" t="s">
        <v>516</v>
      </c>
    </row>
    <row r="201" customHeight="1" spans="1:10">
      <c r="A201" s="11" t="s">
        <v>379</v>
      </c>
      <c r="B201" s="11" t="s">
        <v>103</v>
      </c>
      <c r="C201" s="10" t="s">
        <v>1721</v>
      </c>
      <c r="D201" s="11" t="s">
        <v>1715</v>
      </c>
      <c r="H201" s="5" t="e">
        <f>H200/H108</f>
        <v>#DIV/0!</v>
      </c>
      <c r="J201" s="5" t="s">
        <v>329</v>
      </c>
    </row>
    <row r="202" customHeight="1" spans="1:10">
      <c r="A202" s="8" t="s">
        <v>20</v>
      </c>
      <c r="B202" s="8" t="s">
        <v>23</v>
      </c>
      <c r="C202" s="9" t="s">
        <v>1722</v>
      </c>
      <c r="D202" s="12" t="s">
        <v>177</v>
      </c>
      <c r="I202" s="5">
        <f>I109*I203</f>
        <v>0</v>
      </c>
      <c r="J202" s="5" t="s">
        <v>516</v>
      </c>
    </row>
    <row r="203" customHeight="1" spans="1:10">
      <c r="A203" s="11" t="s">
        <v>379</v>
      </c>
      <c r="B203" s="11" t="s">
        <v>103</v>
      </c>
      <c r="C203" s="10" t="s">
        <v>1723</v>
      </c>
      <c r="D203" s="11" t="s">
        <v>1715</v>
      </c>
      <c r="H203" s="5" t="e">
        <f>H202/H109</f>
        <v>#DIV/0!</v>
      </c>
      <c r="J203" s="5" t="s">
        <v>329</v>
      </c>
    </row>
    <row r="204" customHeight="1" spans="1:10">
      <c r="A204" s="11"/>
      <c r="B204" s="11"/>
      <c r="C204" s="10"/>
      <c r="D204" s="11"/>
    </row>
    <row r="205" customHeight="1" spans="1:10">
      <c r="A205" s="11" t="s">
        <v>13</v>
      </c>
      <c r="B205" s="11" t="s">
        <v>14</v>
      </c>
      <c r="C205" s="10" t="s">
        <v>1724</v>
      </c>
      <c r="D205" s="11" t="s">
        <v>593</v>
      </c>
      <c r="H205" s="5">
        <f>H206+H217</f>
        <v>0</v>
      </c>
      <c r="I205" s="5">
        <f>I206+I217</f>
        <v>0</v>
      </c>
    </row>
    <row r="206" customHeight="1" spans="1:10">
      <c r="A206" s="11" t="s">
        <v>17</v>
      </c>
      <c r="B206" s="11" t="s">
        <v>14</v>
      </c>
      <c r="C206" s="10" t="s">
        <v>1725</v>
      </c>
      <c r="D206" s="11" t="s">
        <v>599</v>
      </c>
      <c r="H206" s="5">
        <f>H207+H209+H211+H213+H215</f>
        <v>0</v>
      </c>
      <c r="I206" s="5">
        <f>I207+I209+I211+I213+I215</f>
        <v>0</v>
      </c>
    </row>
    <row r="207" customHeight="1" spans="1:10">
      <c r="A207" s="11" t="s">
        <v>20</v>
      </c>
      <c r="B207" s="11" t="s">
        <v>14</v>
      </c>
      <c r="C207" s="10" t="s">
        <v>1726</v>
      </c>
      <c r="D207" s="11" t="s">
        <v>169</v>
      </c>
      <c r="I207" s="5">
        <f>I105*I208</f>
        <v>0</v>
      </c>
      <c r="J207" s="5" t="s">
        <v>516</v>
      </c>
    </row>
    <row r="208" customHeight="1" spans="1:10">
      <c r="A208" s="11" t="s">
        <v>379</v>
      </c>
      <c r="B208" s="11" t="s">
        <v>103</v>
      </c>
      <c r="C208" s="10" t="s">
        <v>1727</v>
      </c>
      <c r="D208" s="11" t="s">
        <v>1677</v>
      </c>
      <c r="H208" s="5" t="e">
        <f>H207/H105</f>
        <v>#DIV/0!</v>
      </c>
      <c r="J208" s="5" t="s">
        <v>329</v>
      </c>
    </row>
    <row r="209" customHeight="1" spans="1:10">
      <c r="A209" s="11" t="s">
        <v>20</v>
      </c>
      <c r="B209" s="11" t="s">
        <v>14</v>
      </c>
      <c r="C209" s="10" t="s">
        <v>1728</v>
      </c>
      <c r="D209" s="11" t="s">
        <v>171</v>
      </c>
      <c r="I209" s="5">
        <f>I106*I210</f>
        <v>0</v>
      </c>
      <c r="J209" s="5" t="s">
        <v>516</v>
      </c>
    </row>
    <row r="210" customHeight="1" spans="1:10">
      <c r="A210" s="11" t="s">
        <v>379</v>
      </c>
      <c r="B210" s="11" t="s">
        <v>103</v>
      </c>
      <c r="C210" s="10" t="s">
        <v>1729</v>
      </c>
      <c r="D210" s="11" t="s">
        <v>1677</v>
      </c>
      <c r="H210" s="5" t="e">
        <f>H209/H106</f>
        <v>#DIV/0!</v>
      </c>
      <c r="J210" s="5" t="s">
        <v>329</v>
      </c>
    </row>
    <row r="211" customHeight="1" spans="1:10">
      <c r="A211" s="11" t="s">
        <v>20</v>
      </c>
      <c r="B211" s="11" t="s">
        <v>14</v>
      </c>
      <c r="C211" s="10" t="s">
        <v>1730</v>
      </c>
      <c r="D211" s="11" t="s">
        <v>173</v>
      </c>
      <c r="I211" s="5">
        <f>I107*I212</f>
        <v>0</v>
      </c>
      <c r="J211" s="5" t="s">
        <v>516</v>
      </c>
    </row>
    <row r="212" customHeight="1" spans="1:10">
      <c r="A212" s="11" t="s">
        <v>379</v>
      </c>
      <c r="B212" s="11" t="s">
        <v>103</v>
      </c>
      <c r="C212" s="10" t="s">
        <v>1731</v>
      </c>
      <c r="D212" s="11" t="s">
        <v>1677</v>
      </c>
      <c r="H212" s="5" t="e">
        <f>H211/H107</f>
        <v>#DIV/0!</v>
      </c>
      <c r="J212" s="5" t="s">
        <v>329</v>
      </c>
    </row>
    <row r="213" customHeight="1" spans="1:10">
      <c r="A213" s="11" t="s">
        <v>20</v>
      </c>
      <c r="B213" s="11" t="s">
        <v>14</v>
      </c>
      <c r="C213" s="10" t="s">
        <v>1732</v>
      </c>
      <c r="D213" s="11" t="s">
        <v>175</v>
      </c>
      <c r="I213" s="5">
        <f>I108*I214</f>
        <v>0</v>
      </c>
      <c r="J213" s="5" t="s">
        <v>516</v>
      </c>
    </row>
    <row r="214" customHeight="1" spans="1:10">
      <c r="A214" s="11" t="s">
        <v>379</v>
      </c>
      <c r="B214" s="11" t="s">
        <v>103</v>
      </c>
      <c r="C214" s="10" t="s">
        <v>1733</v>
      </c>
      <c r="D214" s="11" t="s">
        <v>1677</v>
      </c>
      <c r="H214" s="5" t="e">
        <f>H213/H108</f>
        <v>#DIV/0!</v>
      </c>
      <c r="J214" s="5" t="s">
        <v>329</v>
      </c>
    </row>
    <row r="215" customHeight="1" spans="1:10">
      <c r="A215" s="11" t="s">
        <v>20</v>
      </c>
      <c r="B215" s="11" t="s">
        <v>14</v>
      </c>
      <c r="C215" s="10" t="s">
        <v>1734</v>
      </c>
      <c r="D215" s="11" t="s">
        <v>177</v>
      </c>
      <c r="I215" s="5">
        <f>I109*I216</f>
        <v>0</v>
      </c>
      <c r="J215" s="5" t="s">
        <v>516</v>
      </c>
    </row>
    <row r="216" customHeight="1" spans="1:10">
      <c r="A216" s="11" t="s">
        <v>379</v>
      </c>
      <c r="B216" s="11" t="s">
        <v>103</v>
      </c>
      <c r="C216" s="10" t="s">
        <v>1735</v>
      </c>
      <c r="D216" s="11" t="s">
        <v>1677</v>
      </c>
      <c r="H216" s="5" t="e">
        <f>H215/H109</f>
        <v>#DIV/0!</v>
      </c>
      <c r="J216" s="5" t="s">
        <v>329</v>
      </c>
    </row>
    <row r="217" customHeight="1" spans="1:10">
      <c r="A217" s="11" t="s">
        <v>17</v>
      </c>
      <c r="B217" s="11" t="s">
        <v>14</v>
      </c>
      <c r="C217" s="10" t="s">
        <v>1736</v>
      </c>
      <c r="D217" s="11" t="s">
        <v>1737</v>
      </c>
      <c r="J217" s="5" t="s">
        <v>516</v>
      </c>
    </row>
    <row r="218" customHeight="1" spans="1:10">
      <c r="A218" s="11" t="s">
        <v>20</v>
      </c>
      <c r="B218" s="11" t="s">
        <v>103</v>
      </c>
      <c r="C218" s="10" t="s">
        <v>1738</v>
      </c>
      <c r="D218" s="11" t="s">
        <v>1677</v>
      </c>
      <c r="H218" s="5" t="e">
        <f>H217/H110</f>
        <v>#DIV/0!</v>
      </c>
      <c r="J218" s="5" t="s">
        <v>329</v>
      </c>
    </row>
    <row r="219" customHeight="1" spans="1:10">
      <c r="A219" s="1"/>
      <c r="B219" s="1"/>
      <c r="C219" s="10"/>
      <c r="D219" s="11"/>
    </row>
    <row r="220" customHeight="1" spans="1:10">
      <c r="A220" s="12" t="s">
        <v>13</v>
      </c>
      <c r="B220" s="12" t="s">
        <v>14</v>
      </c>
      <c r="C220" s="9" t="s">
        <v>1739</v>
      </c>
      <c r="D220" s="12" t="s">
        <v>605</v>
      </c>
      <c r="H220" s="5">
        <f>H221</f>
        <v>0</v>
      </c>
      <c r="I220" s="5">
        <f>I221</f>
        <v>0</v>
      </c>
    </row>
    <row r="221" customHeight="1" spans="1:10">
      <c r="A221" s="12" t="s">
        <v>17</v>
      </c>
      <c r="B221" s="12" t="s">
        <v>14</v>
      </c>
      <c r="C221" s="9" t="s">
        <v>1740</v>
      </c>
      <c r="D221" s="12" t="s">
        <v>1162</v>
      </c>
    </row>
    <row r="222" customHeight="1" spans="1:10">
      <c r="A222" s="1"/>
      <c r="B222" s="1"/>
      <c r="C222" s="10"/>
      <c r="D222" s="1"/>
    </row>
    <row r="223" customHeight="1" spans="1:10">
      <c r="A223" s="12" t="s">
        <v>13</v>
      </c>
      <c r="B223" s="12" t="s">
        <v>23</v>
      </c>
      <c r="C223" s="9" t="s">
        <v>1741</v>
      </c>
      <c r="D223" s="12" t="s">
        <v>637</v>
      </c>
      <c r="H223" s="5">
        <f>H224</f>
        <v>0</v>
      </c>
      <c r="I223" s="5">
        <f>I224</f>
        <v>0</v>
      </c>
    </row>
    <row r="224" customHeight="1" spans="1:10">
      <c r="A224" s="12" t="s">
        <v>17</v>
      </c>
      <c r="B224" s="12" t="s">
        <v>23</v>
      </c>
      <c r="C224" s="9" t="s">
        <v>1742</v>
      </c>
      <c r="D224" s="12" t="s">
        <v>1743</v>
      </c>
    </row>
    <row r="225" customHeight="1" spans="1:10">
      <c r="A225" s="1"/>
      <c r="B225" s="1"/>
      <c r="C225" s="10"/>
      <c r="D225" s="1"/>
    </row>
    <row r="226" customHeight="1" spans="1:10">
      <c r="A226" s="12" t="s">
        <v>13</v>
      </c>
      <c r="B226" s="12" t="s">
        <v>14</v>
      </c>
      <c r="C226" s="9" t="s">
        <v>1744</v>
      </c>
      <c r="D226" s="12" t="s">
        <v>677</v>
      </c>
      <c r="H226" s="5">
        <f>H227+H235+H237+H239+H241+H243+H245</f>
        <v>0</v>
      </c>
      <c r="I226" s="5">
        <f>I227+I235+I237+I239+I241+I243+I245</f>
        <v>0</v>
      </c>
    </row>
    <row r="227" customHeight="1" spans="1:10">
      <c r="A227" s="8" t="s">
        <v>17</v>
      </c>
      <c r="B227" s="8" t="s">
        <v>14</v>
      </c>
      <c r="C227" s="9" t="s">
        <v>1745</v>
      </c>
      <c r="D227" s="8" t="s">
        <v>1746</v>
      </c>
      <c r="H227" s="5">
        <f>H228+H229+H230+H231+H232+H233+H234</f>
        <v>0</v>
      </c>
      <c r="I227" s="5">
        <f>I228+I229+I230+I231+I232+I233+I234</f>
        <v>0</v>
      </c>
    </row>
    <row r="228" customHeight="1" spans="1:10">
      <c r="A228" s="1" t="s">
        <v>20</v>
      </c>
      <c r="B228" s="1" t="s">
        <v>14</v>
      </c>
      <c r="C228" s="10" t="s">
        <v>1747</v>
      </c>
      <c r="D228" s="1" t="s">
        <v>1748</v>
      </c>
    </row>
    <row r="229" customHeight="1" spans="1:10">
      <c r="A229" s="1" t="s">
        <v>20</v>
      </c>
      <c r="B229" s="1" t="s">
        <v>14</v>
      </c>
      <c r="C229" s="10" t="s">
        <v>1749</v>
      </c>
      <c r="D229" s="1" t="s">
        <v>1750</v>
      </c>
    </row>
    <row r="230" customHeight="1" spans="1:10">
      <c r="A230" s="1" t="s">
        <v>20</v>
      </c>
      <c r="B230" s="1" t="s">
        <v>14</v>
      </c>
      <c r="C230" s="10" t="s">
        <v>1751</v>
      </c>
      <c r="D230" s="1" t="s">
        <v>1752</v>
      </c>
    </row>
    <row r="231" customHeight="1" spans="1:10">
      <c r="A231" s="1" t="s">
        <v>20</v>
      </c>
      <c r="B231" s="1" t="s">
        <v>14</v>
      </c>
      <c r="C231" s="10" t="s">
        <v>1753</v>
      </c>
      <c r="D231" s="1" t="s">
        <v>1754</v>
      </c>
    </row>
    <row r="232" customHeight="1" spans="1:10">
      <c r="A232" s="1" t="s">
        <v>20</v>
      </c>
      <c r="B232" s="1" t="s">
        <v>14</v>
      </c>
      <c r="C232" s="10" t="s">
        <v>1755</v>
      </c>
      <c r="D232" s="1" t="s">
        <v>1756</v>
      </c>
    </row>
    <row r="233" customHeight="1" spans="1:10">
      <c r="A233" s="1" t="s">
        <v>20</v>
      </c>
      <c r="B233" s="1" t="s">
        <v>14</v>
      </c>
      <c r="C233" s="10" t="s">
        <v>1757</v>
      </c>
      <c r="D233" s="1" t="s">
        <v>1758</v>
      </c>
    </row>
    <row r="234" customHeight="1" spans="1:10">
      <c r="A234" s="1" t="s">
        <v>20</v>
      </c>
      <c r="B234" s="1" t="s">
        <v>14</v>
      </c>
      <c r="C234" s="10" t="s">
        <v>1759</v>
      </c>
      <c r="D234" s="1" t="s">
        <v>1760</v>
      </c>
    </row>
    <row r="235" customHeight="1" spans="1:10">
      <c r="A235" s="8" t="s">
        <v>17</v>
      </c>
      <c r="B235" s="8" t="s">
        <v>14</v>
      </c>
      <c r="C235" s="9" t="s">
        <v>1761</v>
      </c>
      <c r="D235" s="8" t="s">
        <v>1762</v>
      </c>
    </row>
    <row r="236" customHeight="1" spans="1:10">
      <c r="A236" s="1" t="s">
        <v>20</v>
      </c>
      <c r="B236" s="1" t="s">
        <v>103</v>
      </c>
      <c r="C236" s="10" t="s">
        <v>1763</v>
      </c>
      <c r="D236" s="11" t="s">
        <v>1764</v>
      </c>
      <c r="H236" s="5" t="e">
        <f>H235/(H92+H93)</f>
        <v>#DIV/0!</v>
      </c>
      <c r="J236" s="5" t="s">
        <v>329</v>
      </c>
    </row>
    <row r="237" customHeight="1" spans="1:10">
      <c r="A237" s="8" t="s">
        <v>17</v>
      </c>
      <c r="B237" s="8" t="s">
        <v>14</v>
      </c>
      <c r="C237" s="9" t="s">
        <v>1765</v>
      </c>
      <c r="D237" s="8" t="s">
        <v>1766</v>
      </c>
    </row>
    <row r="238" customHeight="1" spans="1:10">
      <c r="A238" s="1" t="s">
        <v>20</v>
      </c>
      <c r="B238" s="1" t="s">
        <v>103</v>
      </c>
      <c r="C238" s="10" t="s">
        <v>1767</v>
      </c>
      <c r="D238" s="11" t="s">
        <v>1764</v>
      </c>
      <c r="H238" s="5" t="e">
        <f>H237/H94</f>
        <v>#DIV/0!</v>
      </c>
      <c r="J238" s="5" t="s">
        <v>329</v>
      </c>
    </row>
    <row r="239" customHeight="1" spans="1:10">
      <c r="A239" s="8" t="s">
        <v>17</v>
      </c>
      <c r="B239" s="8" t="s">
        <v>14</v>
      </c>
      <c r="C239" s="9" t="s">
        <v>1768</v>
      </c>
      <c r="D239" s="8" t="s">
        <v>1769</v>
      </c>
      <c r="I239" s="5">
        <f>I89*I240</f>
        <v>0</v>
      </c>
      <c r="J239" s="5" t="s">
        <v>516</v>
      </c>
    </row>
    <row r="240" customHeight="1" spans="1:10">
      <c r="A240" s="1" t="s">
        <v>20</v>
      </c>
      <c r="B240" s="1" t="s">
        <v>103</v>
      </c>
      <c r="C240" s="10" t="s">
        <v>1770</v>
      </c>
      <c r="D240" s="11" t="s">
        <v>625</v>
      </c>
      <c r="H240" s="5" t="e">
        <f>H239/H89</f>
        <v>#DIV/0!</v>
      </c>
      <c r="J240" s="5" t="s">
        <v>329</v>
      </c>
    </row>
    <row r="241" customHeight="1" spans="1:10">
      <c r="A241" s="8" t="s">
        <v>17</v>
      </c>
      <c r="B241" s="8" t="s">
        <v>14</v>
      </c>
      <c r="C241" s="9" t="s">
        <v>1771</v>
      </c>
      <c r="D241" s="8" t="s">
        <v>1772</v>
      </c>
      <c r="I241" s="5">
        <f>I90*I242</f>
        <v>0</v>
      </c>
      <c r="J241" s="5" t="s">
        <v>516</v>
      </c>
    </row>
    <row r="242" customHeight="1" spans="1:10">
      <c r="A242" s="1" t="s">
        <v>20</v>
      </c>
      <c r="B242" s="1" t="s">
        <v>103</v>
      </c>
      <c r="C242" s="10" t="s">
        <v>1773</v>
      </c>
      <c r="D242" s="11" t="s">
        <v>625</v>
      </c>
      <c r="H242" s="5" t="e">
        <f>H241/H90</f>
        <v>#DIV/0!</v>
      </c>
      <c r="J242" s="5" t="s">
        <v>329</v>
      </c>
    </row>
    <row r="243" customHeight="1" spans="1:10">
      <c r="A243" s="8" t="s">
        <v>17</v>
      </c>
      <c r="B243" s="8" t="s">
        <v>14</v>
      </c>
      <c r="C243" s="9" t="s">
        <v>1774</v>
      </c>
      <c r="D243" s="8" t="s">
        <v>1624</v>
      </c>
    </row>
    <row r="244" customHeight="1" spans="1:10">
      <c r="A244" s="1" t="s">
        <v>20</v>
      </c>
      <c r="B244" s="1" t="s">
        <v>103</v>
      </c>
      <c r="C244" s="10" t="s">
        <v>1775</v>
      </c>
      <c r="D244" s="11" t="s">
        <v>1776</v>
      </c>
      <c r="H244" s="5" t="e">
        <f>H243/H110</f>
        <v>#DIV/0!</v>
      </c>
      <c r="J244" s="5" t="s">
        <v>329</v>
      </c>
    </row>
    <row r="245" customHeight="1" spans="1:10">
      <c r="A245" s="8" t="s">
        <v>17</v>
      </c>
      <c r="B245" s="8" t="s">
        <v>14</v>
      </c>
      <c r="C245" s="9" t="s">
        <v>1777</v>
      </c>
      <c r="D245" s="8" t="s">
        <v>1778</v>
      </c>
      <c r="H245" s="5">
        <f>H246+H251</f>
        <v>0</v>
      </c>
      <c r="I245" s="5">
        <f>I246+I251</f>
        <v>0</v>
      </c>
    </row>
    <row r="246" customHeight="1" spans="1:10">
      <c r="A246" s="8" t="s">
        <v>20</v>
      </c>
      <c r="B246" s="8" t="s">
        <v>14</v>
      </c>
      <c r="C246" s="9" t="s">
        <v>1779</v>
      </c>
      <c r="D246" s="8" t="s">
        <v>1553</v>
      </c>
      <c r="I246" s="5">
        <f>I247+I249</f>
        <v>0</v>
      </c>
    </row>
    <row r="247" customHeight="1" spans="1:10">
      <c r="A247" s="1" t="s">
        <v>379</v>
      </c>
      <c r="B247" s="8" t="s">
        <v>14</v>
      </c>
      <c r="C247" s="10" t="s">
        <v>1780</v>
      </c>
      <c r="D247" s="1" t="s">
        <v>1781</v>
      </c>
      <c r="I247" s="5">
        <f>I78*(I248-I132)</f>
        <v>0</v>
      </c>
      <c r="J247" s="5" t="s">
        <v>516</v>
      </c>
    </row>
    <row r="248" customHeight="1" spans="1:10">
      <c r="A248" s="1" t="s">
        <v>379</v>
      </c>
      <c r="B248" s="1" t="s">
        <v>103</v>
      </c>
      <c r="C248" s="10" t="s">
        <v>1782</v>
      </c>
      <c r="D248" s="1" t="s">
        <v>1783</v>
      </c>
    </row>
    <row r="249" customHeight="1" spans="1:10">
      <c r="A249" s="1" t="s">
        <v>379</v>
      </c>
      <c r="B249" s="8" t="s">
        <v>14</v>
      </c>
      <c r="C249" s="10" t="s">
        <v>1784</v>
      </c>
      <c r="D249" s="1" t="s">
        <v>1785</v>
      </c>
      <c r="I249" s="5">
        <f>I80*(I250-I136)</f>
        <v>0</v>
      </c>
      <c r="J249" s="5" t="s">
        <v>516</v>
      </c>
    </row>
    <row r="250" customHeight="1" spans="1:10">
      <c r="A250" s="1" t="s">
        <v>379</v>
      </c>
      <c r="B250" s="1" t="s">
        <v>103</v>
      </c>
      <c r="C250" s="10" t="s">
        <v>1786</v>
      </c>
      <c r="D250" s="1" t="s">
        <v>1783</v>
      </c>
    </row>
    <row r="251" customHeight="1" spans="1:10">
      <c r="A251" s="8" t="s">
        <v>20</v>
      </c>
      <c r="B251" s="8" t="s">
        <v>14</v>
      </c>
      <c r="C251" s="9" t="s">
        <v>1787</v>
      </c>
      <c r="D251" s="8" t="s">
        <v>157</v>
      </c>
      <c r="I251" s="5">
        <f>I252+I254</f>
        <v>0</v>
      </c>
    </row>
    <row r="252" customHeight="1" spans="1:10">
      <c r="A252" s="1" t="s">
        <v>379</v>
      </c>
      <c r="B252" s="8" t="s">
        <v>14</v>
      </c>
      <c r="C252" s="10" t="s">
        <v>1788</v>
      </c>
      <c r="D252" s="1" t="s">
        <v>1789</v>
      </c>
      <c r="I252" s="5">
        <f>I89*(I253-I240)</f>
        <v>0</v>
      </c>
      <c r="J252" s="5" t="s">
        <v>516</v>
      </c>
    </row>
    <row r="253" customHeight="1" spans="1:10">
      <c r="A253" s="1" t="s">
        <v>379</v>
      </c>
      <c r="B253" s="1" t="s">
        <v>103</v>
      </c>
      <c r="C253" s="10" t="s">
        <v>1790</v>
      </c>
      <c r="D253" s="1" t="s">
        <v>1783</v>
      </c>
    </row>
    <row r="254" customHeight="1" spans="1:10">
      <c r="A254" s="1" t="s">
        <v>379</v>
      </c>
      <c r="B254" s="8" t="s">
        <v>14</v>
      </c>
      <c r="C254" s="10" t="s">
        <v>1791</v>
      </c>
      <c r="D254" s="1" t="s">
        <v>1792</v>
      </c>
      <c r="I254" s="5">
        <f>I90*(I255-I242)</f>
        <v>0</v>
      </c>
      <c r="J254" s="5" t="s">
        <v>516</v>
      </c>
    </row>
    <row r="255" customHeight="1" spans="1:10">
      <c r="A255" s="1" t="s">
        <v>379</v>
      </c>
      <c r="B255" s="1" t="s">
        <v>103</v>
      </c>
      <c r="C255" s="10" t="s">
        <v>1793</v>
      </c>
      <c r="D255" s="1" t="s">
        <v>1783</v>
      </c>
    </row>
    <row r="256" customHeight="1" spans="1:10">
      <c r="A256" s="1"/>
      <c r="B256" s="1"/>
      <c r="C256" s="10"/>
      <c r="D256" s="1"/>
    </row>
    <row r="257" customHeight="1" spans="1:4">
      <c r="A257" s="12" t="s">
        <v>13</v>
      </c>
      <c r="B257" s="8" t="s">
        <v>14</v>
      </c>
      <c r="C257" s="12" t="s">
        <v>1794</v>
      </c>
      <c r="D257" s="12" t="s">
        <v>679</v>
      </c>
    </row>
    <row r="258" customHeight="1" spans="1:4">
      <c r="A258" s="11"/>
      <c r="B258" s="11"/>
      <c r="C258" s="11"/>
      <c r="D258" s="11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workbookViewId="0">
      <selection activeCell="C2" sqref="C2"/>
    </sheetView>
  </sheetViews>
  <sheetFormatPr defaultColWidth="9" defaultRowHeight="15" customHeight="1" outlineLevelCol="4"/>
  <cols>
    <col min="3" max="3" width="10.8303571428571" customWidth="1"/>
    <col min="4" max="4" width="17.5" customWidth="1"/>
  </cols>
  <sheetData>
    <row r="1" s="1" customFormat="1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</row>
    <row r="2" spans="1:5">
      <c r="A2" s="8" t="s">
        <v>13</v>
      </c>
      <c r="B2" s="1" t="s">
        <v>14</v>
      </c>
      <c r="C2" s="9" t="s">
        <v>1795</v>
      </c>
      <c r="D2" s="8" t="s">
        <v>16</v>
      </c>
    </row>
    <row r="3" spans="1:5">
      <c r="A3" s="1" t="s">
        <v>17</v>
      </c>
      <c r="B3" s="1" t="s">
        <v>14</v>
      </c>
      <c r="C3" s="9" t="s">
        <v>1796</v>
      </c>
      <c r="D3" s="1" t="s">
        <v>19</v>
      </c>
    </row>
    <row r="4" spans="1:5">
      <c r="A4" s="1" t="s">
        <v>20</v>
      </c>
      <c r="B4" s="1" t="s">
        <v>14</v>
      </c>
      <c r="C4" s="10" t="s">
        <v>1797</v>
      </c>
      <c r="D4" s="1" t="s">
        <v>349</v>
      </c>
    </row>
    <row r="5" s="14" customFormat="1" ht="16.8" spans="1:5">
      <c r="A5" s="11" t="s">
        <v>13</v>
      </c>
      <c r="B5" s="11" t="s">
        <v>14</v>
      </c>
      <c r="C5" s="11" t="s">
        <v>1798</v>
      </c>
      <c r="D5" s="11" t="s">
        <v>22</v>
      </c>
    </row>
    <row r="6" s="14" customFormat="1" ht="16.8" spans="1:5">
      <c r="A6" s="1" t="s">
        <v>13</v>
      </c>
      <c r="B6" s="1" t="s">
        <v>23</v>
      </c>
      <c r="C6" s="10" t="s">
        <v>1799</v>
      </c>
      <c r="D6" s="1" t="s">
        <v>352</v>
      </c>
    </row>
    <row r="7" spans="1:5">
      <c r="A7" s="1" t="s">
        <v>20</v>
      </c>
      <c r="B7" s="1" t="s">
        <v>14</v>
      </c>
      <c r="C7" s="10" t="s">
        <v>1800</v>
      </c>
      <c r="D7" s="1" t="s">
        <v>354</v>
      </c>
    </row>
    <row r="8" spans="1:5">
      <c r="A8" s="8" t="s">
        <v>13</v>
      </c>
      <c r="B8" s="1" t="s">
        <v>23</v>
      </c>
      <c r="C8" s="10" t="s">
        <v>1801</v>
      </c>
      <c r="D8" s="1" t="s">
        <v>25</v>
      </c>
    </row>
    <row r="9" spans="1:5">
      <c r="A9" s="8" t="s">
        <v>13</v>
      </c>
      <c r="B9" s="1" t="s">
        <v>23</v>
      </c>
      <c r="C9" s="10" t="s">
        <v>1802</v>
      </c>
      <c r="D9" s="1" t="s">
        <v>357</v>
      </c>
    </row>
    <row r="10" spans="1:5">
      <c r="A10" s="1" t="s">
        <v>17</v>
      </c>
      <c r="B10" s="1" t="s">
        <v>14</v>
      </c>
      <c r="C10" s="9" t="s">
        <v>1803</v>
      </c>
      <c r="D10" s="1" t="s">
        <v>27</v>
      </c>
    </row>
    <row r="11" spans="1:5">
      <c r="A11" s="12" t="s">
        <v>13</v>
      </c>
      <c r="B11" s="12" t="s">
        <v>14</v>
      </c>
      <c r="C11" s="9" t="s">
        <v>1804</v>
      </c>
      <c r="D11" s="1" t="s">
        <v>29</v>
      </c>
    </row>
    <row r="12" spans="1:5">
      <c r="A12" s="12" t="s">
        <v>13</v>
      </c>
      <c r="B12" s="12" t="s">
        <v>23</v>
      </c>
      <c r="C12" s="9" t="s">
        <v>1805</v>
      </c>
      <c r="D12" s="1" t="s">
        <v>31</v>
      </c>
    </row>
    <row r="13" spans="1:5">
      <c r="A13" s="1" t="s">
        <v>17</v>
      </c>
      <c r="B13" s="1" t="s">
        <v>14</v>
      </c>
      <c r="C13" s="9" t="s">
        <v>1806</v>
      </c>
      <c r="D13" s="1" t="s">
        <v>33</v>
      </c>
    </row>
    <row r="14" spans="1:5">
      <c r="A14" s="8" t="s">
        <v>13</v>
      </c>
      <c r="B14" s="1" t="s">
        <v>23</v>
      </c>
      <c r="C14" s="9" t="s">
        <v>1807</v>
      </c>
      <c r="D14" s="8" t="s">
        <v>363</v>
      </c>
    </row>
    <row r="15" spans="1:5">
      <c r="A15" s="8" t="s">
        <v>13</v>
      </c>
      <c r="B15" s="1" t="s">
        <v>14</v>
      </c>
      <c r="C15" s="9" t="s">
        <v>1808</v>
      </c>
      <c r="D15" s="8" t="s">
        <v>45</v>
      </c>
    </row>
    <row r="16" spans="1:5">
      <c r="A16" s="8" t="s">
        <v>13</v>
      </c>
      <c r="B16" s="1" t="s">
        <v>23</v>
      </c>
      <c r="C16" s="9" t="s">
        <v>1809</v>
      </c>
      <c r="D16" s="8" t="s">
        <v>47</v>
      </c>
    </row>
    <row r="17" spans="1:4">
      <c r="A17" s="8" t="s">
        <v>13</v>
      </c>
      <c r="B17" s="1" t="s">
        <v>23</v>
      </c>
      <c r="C17" s="9" t="s">
        <v>1810</v>
      </c>
      <c r="D17" s="8" t="s">
        <v>367</v>
      </c>
    </row>
    <row r="18" spans="1:4">
      <c r="A18" s="1" t="s">
        <v>17</v>
      </c>
      <c r="B18" s="1" t="s">
        <v>23</v>
      </c>
      <c r="C18" s="9" t="s">
        <v>1811</v>
      </c>
      <c r="D18" s="1" t="s">
        <v>369</v>
      </c>
    </row>
    <row r="19" spans="1:4">
      <c r="A19" s="1" t="s">
        <v>20</v>
      </c>
      <c r="B19" s="1" t="s">
        <v>23</v>
      </c>
      <c r="C19" s="10" t="s">
        <v>1812</v>
      </c>
      <c r="D19" s="1" t="s">
        <v>53</v>
      </c>
    </row>
    <row r="20" spans="1:4">
      <c r="A20" s="1" t="s">
        <v>20</v>
      </c>
      <c r="B20" s="1" t="s">
        <v>23</v>
      </c>
      <c r="C20" s="10" t="s">
        <v>1813</v>
      </c>
      <c r="D20" s="1" t="s">
        <v>372</v>
      </c>
    </row>
    <row r="21" spans="1:4">
      <c r="A21" s="1" t="s">
        <v>17</v>
      </c>
      <c r="B21" s="1" t="s">
        <v>23</v>
      </c>
      <c r="C21" s="9" t="s">
        <v>1814</v>
      </c>
      <c r="D21" s="1" t="s">
        <v>59</v>
      </c>
    </row>
    <row r="22" spans="1:4">
      <c r="A22" s="1" t="s">
        <v>20</v>
      </c>
      <c r="B22" s="1" t="s">
        <v>23</v>
      </c>
      <c r="C22" s="10" t="s">
        <v>1815</v>
      </c>
      <c r="D22" s="1" t="s">
        <v>61</v>
      </c>
    </row>
    <row r="23" spans="1:4">
      <c r="A23" s="1" t="s">
        <v>20</v>
      </c>
      <c r="B23" s="1" t="s">
        <v>23</v>
      </c>
      <c r="C23" s="10" t="s">
        <v>1816</v>
      </c>
      <c r="D23" s="1" t="s">
        <v>63</v>
      </c>
    </row>
    <row r="24" spans="1:4">
      <c r="A24" s="1" t="s">
        <v>17</v>
      </c>
      <c r="B24" s="1" t="s">
        <v>23</v>
      </c>
      <c r="C24" s="9" t="s">
        <v>1817</v>
      </c>
      <c r="D24" s="1" t="s">
        <v>65</v>
      </c>
    </row>
    <row r="25" spans="1:4">
      <c r="A25" s="1" t="s">
        <v>20</v>
      </c>
      <c r="B25" s="1" t="s">
        <v>23</v>
      </c>
      <c r="C25" s="10" t="s">
        <v>1818</v>
      </c>
      <c r="D25" s="1" t="s">
        <v>378</v>
      </c>
    </row>
    <row r="26" spans="1:4">
      <c r="A26" s="1" t="s">
        <v>379</v>
      </c>
      <c r="B26" s="1" t="s">
        <v>23</v>
      </c>
      <c r="C26" s="10" t="s">
        <v>1819</v>
      </c>
      <c r="D26" s="1" t="s">
        <v>381</v>
      </c>
    </row>
    <row r="27" spans="1:4">
      <c r="A27" s="1" t="s">
        <v>379</v>
      </c>
      <c r="B27" s="1" t="s">
        <v>23</v>
      </c>
      <c r="C27" s="10" t="s">
        <v>1820</v>
      </c>
      <c r="D27" s="1" t="s">
        <v>383</v>
      </c>
    </row>
    <row r="28" spans="1:4">
      <c r="A28" s="1" t="s">
        <v>20</v>
      </c>
      <c r="B28" s="1" t="s">
        <v>23</v>
      </c>
      <c r="C28" s="10" t="s">
        <v>1821</v>
      </c>
      <c r="D28" s="1" t="s">
        <v>385</v>
      </c>
    </row>
    <row r="29" spans="1:4">
      <c r="A29" s="1" t="s">
        <v>20</v>
      </c>
      <c r="B29" s="1" t="s">
        <v>23</v>
      </c>
      <c r="C29" s="10" t="s">
        <v>1822</v>
      </c>
      <c r="D29" s="1" t="s">
        <v>387</v>
      </c>
    </row>
    <row r="30" spans="1:4">
      <c r="A30" s="1" t="s">
        <v>20</v>
      </c>
      <c r="B30" s="1" t="s">
        <v>23</v>
      </c>
      <c r="C30" s="10" t="s">
        <v>1823</v>
      </c>
      <c r="D30" s="1" t="s">
        <v>389</v>
      </c>
    </row>
    <row r="31" spans="1:4">
      <c r="A31" s="1" t="s">
        <v>17</v>
      </c>
      <c r="B31" s="1" t="s">
        <v>23</v>
      </c>
      <c r="C31" s="9" t="s">
        <v>1824</v>
      </c>
      <c r="D31" s="1" t="s">
        <v>391</v>
      </c>
    </row>
    <row r="32" spans="1:4">
      <c r="A32" s="1" t="s">
        <v>17</v>
      </c>
      <c r="B32" s="1" t="s">
        <v>23</v>
      </c>
      <c r="C32" s="9" t="s">
        <v>1825</v>
      </c>
      <c r="D32" s="1" t="s">
        <v>67</v>
      </c>
    </row>
    <row r="33" spans="1:4">
      <c r="A33" s="8" t="s">
        <v>13</v>
      </c>
      <c r="B33" s="1" t="s">
        <v>14</v>
      </c>
      <c r="C33" s="9" t="s">
        <v>1826</v>
      </c>
      <c r="D33" s="8" t="s">
        <v>69</v>
      </c>
    </row>
    <row r="34" spans="1:4">
      <c r="A34" s="8" t="s">
        <v>13</v>
      </c>
      <c r="B34" s="1" t="s">
        <v>70</v>
      </c>
      <c r="C34" s="9" t="s">
        <v>1827</v>
      </c>
      <c r="D34" s="8" t="s">
        <v>395</v>
      </c>
    </row>
    <row r="35" spans="1:4">
      <c r="A35" s="8" t="s">
        <v>13</v>
      </c>
      <c r="B35" s="1" t="s">
        <v>23</v>
      </c>
      <c r="C35" s="9" t="s">
        <v>1828</v>
      </c>
      <c r="D35" s="8" t="s">
        <v>397</v>
      </c>
    </row>
    <row r="36" spans="1:4">
      <c r="A36" s="8" t="s">
        <v>13</v>
      </c>
      <c r="B36" s="1" t="s">
        <v>70</v>
      </c>
      <c r="C36" s="9" t="s">
        <v>1829</v>
      </c>
      <c r="D36" s="8" t="s">
        <v>72</v>
      </c>
    </row>
    <row r="37" spans="1:4">
      <c r="A37" s="11"/>
      <c r="B37" s="11"/>
      <c r="C37" s="11"/>
      <c r="D37" s="11"/>
    </row>
    <row r="38" spans="1:4">
      <c r="A38" s="8" t="s">
        <v>13</v>
      </c>
      <c r="B38" s="1" t="s">
        <v>92</v>
      </c>
      <c r="C38" s="12" t="s">
        <v>1830</v>
      </c>
      <c r="D38" s="12" t="s">
        <v>94</v>
      </c>
    </row>
    <row r="39" spans="1:4">
      <c r="A39" s="8" t="s">
        <v>17</v>
      </c>
      <c r="B39" s="1" t="s">
        <v>92</v>
      </c>
      <c r="C39" s="12" t="s">
        <v>1831</v>
      </c>
      <c r="D39" s="12" t="s">
        <v>1144</v>
      </c>
    </row>
    <row r="40" spans="1:4">
      <c r="A40" s="8" t="s">
        <v>13</v>
      </c>
      <c r="B40" s="1" t="s">
        <v>201</v>
      </c>
      <c r="C40" s="12" t="s">
        <v>1832</v>
      </c>
      <c r="D40" s="12" t="s">
        <v>417</v>
      </c>
    </row>
    <row r="41" spans="1:4">
      <c r="A41" s="8" t="s">
        <v>17</v>
      </c>
      <c r="B41" s="1" t="s">
        <v>201</v>
      </c>
      <c r="C41" s="12" t="s">
        <v>1833</v>
      </c>
      <c r="D41" s="12" t="s">
        <v>1145</v>
      </c>
    </row>
    <row r="42" spans="1:4">
      <c r="A42" s="11"/>
      <c r="B42" s="11"/>
      <c r="C42" s="11"/>
      <c r="D42" s="11"/>
    </row>
    <row r="43" spans="1:4">
      <c r="A43" s="11"/>
      <c r="B43" s="11"/>
      <c r="C43" s="11"/>
      <c r="D43" s="11"/>
    </row>
    <row r="44" spans="1:4">
      <c r="A44" s="11"/>
      <c r="B44" s="11"/>
      <c r="C44" s="11"/>
      <c r="D44" s="11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3"/>
  <sheetViews>
    <sheetView workbookViewId="0">
      <selection activeCell="A1" sqref="$A1:$XFD1"/>
    </sheetView>
  </sheetViews>
  <sheetFormatPr defaultColWidth="9" defaultRowHeight="15" customHeight="1"/>
  <cols>
    <col min="1" max="2" width="8.66071428571429" style="5"/>
    <col min="3" max="3" width="9.58035714285714" style="5" customWidth="1"/>
    <col min="4" max="4" width="15.5" style="5" customWidth="1"/>
    <col min="5" max="9" width="8.66071428571429" style="5"/>
    <col min="10" max="10" width="10.1607142857143" style="5" customWidth="1"/>
    <col min="11" max="16384" width="8.66071428571429" style="5"/>
  </cols>
  <sheetData>
    <row r="1" s="1" customFormat="1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7"/>
      <c r="O1" s="7"/>
    </row>
    <row r="2" customHeight="1" spans="1:15">
      <c r="A2" s="8" t="s">
        <v>13</v>
      </c>
      <c r="B2" s="1" t="s">
        <v>14</v>
      </c>
      <c r="C2" s="9" t="s">
        <v>1834</v>
      </c>
      <c r="D2" s="8" t="s">
        <v>16</v>
      </c>
      <c r="H2" s="5">
        <f>H3+H6+H7</f>
        <v>0</v>
      </c>
      <c r="I2" s="5">
        <f>I3+I6+I7</f>
        <v>0</v>
      </c>
    </row>
    <row r="3" customHeight="1" spans="1:15">
      <c r="A3" s="1" t="s">
        <v>17</v>
      </c>
      <c r="B3" s="1" t="s">
        <v>14</v>
      </c>
      <c r="C3" s="9" t="s">
        <v>1835</v>
      </c>
      <c r="D3" s="1" t="s">
        <v>19</v>
      </c>
      <c r="H3" s="5">
        <f>H4+H5</f>
        <v>0</v>
      </c>
      <c r="I3" s="5">
        <f>I4+I5</f>
        <v>0</v>
      </c>
    </row>
    <row r="4" customHeight="1" spans="1:15">
      <c r="A4" s="1" t="s">
        <v>20</v>
      </c>
      <c r="B4" s="1" t="s">
        <v>14</v>
      </c>
      <c r="C4" s="10" t="s">
        <v>1836</v>
      </c>
      <c r="D4" s="1" t="s">
        <v>349</v>
      </c>
    </row>
    <row r="5" customHeight="1" spans="1:15">
      <c r="A5" s="1" t="s">
        <v>20</v>
      </c>
      <c r="B5" s="1" t="s">
        <v>14</v>
      </c>
      <c r="C5" s="10" t="s">
        <v>1837</v>
      </c>
      <c r="D5" s="1" t="s">
        <v>354</v>
      </c>
      <c r="H5" s="5">
        <f>H41-H37</f>
        <v>0</v>
      </c>
      <c r="I5" s="5">
        <f>I41-I37</f>
        <v>0</v>
      </c>
    </row>
    <row r="6" customHeight="1" spans="1:15">
      <c r="A6" s="1" t="s">
        <v>17</v>
      </c>
      <c r="B6" s="1" t="s">
        <v>14</v>
      </c>
      <c r="C6" s="9" t="s">
        <v>1838</v>
      </c>
      <c r="D6" s="1" t="s">
        <v>27</v>
      </c>
      <c r="H6" s="5">
        <f>H45-H48</f>
        <v>0</v>
      </c>
      <c r="I6" s="5">
        <f>I45-I48</f>
        <v>0</v>
      </c>
    </row>
    <row r="7" customHeight="1" spans="1:15">
      <c r="A7" s="1" t="s">
        <v>17</v>
      </c>
      <c r="B7" s="1" t="s">
        <v>14</v>
      </c>
      <c r="C7" s="9" t="s">
        <v>1839</v>
      </c>
      <c r="D7" s="1" t="s">
        <v>33</v>
      </c>
      <c r="H7" s="5">
        <f>H51+H53</f>
        <v>0</v>
      </c>
      <c r="I7" s="5">
        <f>I51+I53</f>
        <v>0</v>
      </c>
    </row>
    <row r="8" customHeight="1" spans="1:15">
      <c r="A8" s="8" t="s">
        <v>13</v>
      </c>
      <c r="B8" s="1" t="s">
        <v>23</v>
      </c>
      <c r="C8" s="9" t="s">
        <v>1840</v>
      </c>
      <c r="D8" s="8" t="s">
        <v>363</v>
      </c>
    </row>
    <row r="9" customHeight="1" spans="1:15">
      <c r="A9" s="8" t="s">
        <v>13</v>
      </c>
      <c r="B9" s="1" t="s">
        <v>14</v>
      </c>
      <c r="C9" s="9" t="s">
        <v>1841</v>
      </c>
      <c r="D9" s="8" t="s">
        <v>45</v>
      </c>
      <c r="H9" s="5">
        <f>H2-H8</f>
        <v>0</v>
      </c>
      <c r="I9" s="5">
        <f>I2-I8</f>
        <v>0</v>
      </c>
    </row>
    <row r="10" customHeight="1" spans="1:15">
      <c r="A10" s="8" t="s">
        <v>13</v>
      </c>
      <c r="B10" s="1" t="s">
        <v>23</v>
      </c>
      <c r="C10" s="9" t="s">
        <v>1842</v>
      </c>
      <c r="D10" s="8" t="s">
        <v>47</v>
      </c>
    </row>
    <row r="11" customHeight="1" spans="1:15">
      <c r="A11" s="8" t="s">
        <v>13</v>
      </c>
      <c r="B11" s="1" t="s">
        <v>23</v>
      </c>
      <c r="C11" s="9" t="s">
        <v>1843</v>
      </c>
      <c r="D11" s="8" t="s">
        <v>367</v>
      </c>
      <c r="H11" s="5">
        <f>H12+H15+H18+H25+H26</f>
        <v>0</v>
      </c>
      <c r="I11" s="5">
        <f>I12+I15+I18+I25+I26</f>
        <v>0</v>
      </c>
    </row>
    <row r="12" customHeight="1" spans="1:15">
      <c r="A12" s="1" t="s">
        <v>17</v>
      </c>
      <c r="B12" s="1" t="s">
        <v>23</v>
      </c>
      <c r="C12" s="9" t="s">
        <v>1844</v>
      </c>
      <c r="D12" s="1" t="s">
        <v>369</v>
      </c>
      <c r="H12" s="5">
        <f>H13+H14</f>
        <v>0</v>
      </c>
      <c r="I12" s="5">
        <f>I13+I14</f>
        <v>0</v>
      </c>
    </row>
    <row r="13" customHeight="1" spans="1:15">
      <c r="A13" s="1" t="s">
        <v>20</v>
      </c>
      <c r="B13" s="1" t="s">
        <v>23</v>
      </c>
      <c r="C13" s="10" t="s">
        <v>1845</v>
      </c>
      <c r="D13" s="1" t="s">
        <v>53</v>
      </c>
    </row>
    <row r="14" customHeight="1" spans="1:15">
      <c r="A14" s="1" t="s">
        <v>20</v>
      </c>
      <c r="B14" s="1" t="s">
        <v>23</v>
      </c>
      <c r="C14" s="10" t="s">
        <v>1846</v>
      </c>
      <c r="D14" s="1" t="s">
        <v>372</v>
      </c>
    </row>
    <row r="15" customHeight="1" spans="1:15">
      <c r="A15" s="1" t="s">
        <v>17</v>
      </c>
      <c r="B15" s="1" t="s">
        <v>23</v>
      </c>
      <c r="C15" s="9" t="s">
        <v>1847</v>
      </c>
      <c r="D15" s="1" t="s">
        <v>59</v>
      </c>
      <c r="H15" s="5">
        <f>H16+H17</f>
        <v>0</v>
      </c>
      <c r="I15" s="5">
        <f>I16+I17</f>
        <v>0</v>
      </c>
    </row>
    <row r="16" customHeight="1" spans="1:15">
      <c r="A16" s="1" t="s">
        <v>20</v>
      </c>
      <c r="B16" s="1" t="s">
        <v>23</v>
      </c>
      <c r="C16" s="10" t="s">
        <v>1848</v>
      </c>
      <c r="D16" s="1" t="s">
        <v>61</v>
      </c>
    </row>
    <row r="17" customHeight="1" spans="1:9">
      <c r="A17" s="1" t="s">
        <v>20</v>
      </c>
      <c r="B17" s="1" t="s">
        <v>23</v>
      </c>
      <c r="C17" s="10" t="s">
        <v>1849</v>
      </c>
      <c r="D17" s="1" t="s">
        <v>63</v>
      </c>
    </row>
    <row r="18" customHeight="1" spans="1:9">
      <c r="A18" s="1" t="s">
        <v>17</v>
      </c>
      <c r="B18" s="1" t="s">
        <v>23</v>
      </c>
      <c r="C18" s="9" t="s">
        <v>1850</v>
      </c>
      <c r="D18" s="1" t="s">
        <v>65</v>
      </c>
      <c r="H18" s="5">
        <f>H19+H22+H23+H24</f>
        <v>0</v>
      </c>
      <c r="I18" s="5">
        <f>I19+I22+I23+I24</f>
        <v>0</v>
      </c>
    </row>
    <row r="19" customHeight="1" spans="1:9">
      <c r="A19" s="1" t="s">
        <v>20</v>
      </c>
      <c r="B19" s="1" t="s">
        <v>23</v>
      </c>
      <c r="C19" s="10" t="s">
        <v>1851</v>
      </c>
      <c r="D19" s="1" t="s">
        <v>378</v>
      </c>
      <c r="H19" s="5">
        <f>H20+H21</f>
        <v>0</v>
      </c>
      <c r="I19" s="5">
        <f>I20+I21</f>
        <v>0</v>
      </c>
    </row>
    <row r="20" customHeight="1" spans="1:9">
      <c r="A20" s="1" t="s">
        <v>379</v>
      </c>
      <c r="B20" s="1" t="s">
        <v>23</v>
      </c>
      <c r="C20" s="10" t="s">
        <v>1852</v>
      </c>
      <c r="D20" s="1" t="s">
        <v>381</v>
      </c>
    </row>
    <row r="21" customHeight="1" spans="1:9">
      <c r="A21" s="1" t="s">
        <v>379</v>
      </c>
      <c r="B21" s="1" t="s">
        <v>23</v>
      </c>
      <c r="C21" s="10" t="s">
        <v>1853</v>
      </c>
      <c r="D21" s="1" t="s">
        <v>383</v>
      </c>
    </row>
    <row r="22" customHeight="1" spans="1:9">
      <c r="A22" s="1" t="s">
        <v>20</v>
      </c>
      <c r="B22" s="1" t="s">
        <v>23</v>
      </c>
      <c r="C22" s="10" t="s">
        <v>1854</v>
      </c>
      <c r="D22" s="1" t="s">
        <v>385</v>
      </c>
    </row>
    <row r="23" customHeight="1" spans="1:9">
      <c r="A23" s="1" t="s">
        <v>20</v>
      </c>
      <c r="B23" s="1" t="s">
        <v>23</v>
      </c>
      <c r="C23" s="10" t="s">
        <v>1855</v>
      </c>
      <c r="D23" s="1" t="s">
        <v>387</v>
      </c>
    </row>
    <row r="24" customHeight="1" spans="1:9">
      <c r="A24" s="1" t="s">
        <v>20</v>
      </c>
      <c r="B24" s="1" t="s">
        <v>23</v>
      </c>
      <c r="C24" s="10" t="s">
        <v>1856</v>
      </c>
      <c r="D24" s="1" t="s">
        <v>389</v>
      </c>
    </row>
    <row r="25" customHeight="1" spans="1:9">
      <c r="A25" s="1" t="s">
        <v>17</v>
      </c>
      <c r="B25" s="1" t="s">
        <v>23</v>
      </c>
      <c r="C25" s="9" t="s">
        <v>1857</v>
      </c>
      <c r="D25" s="1" t="s">
        <v>391</v>
      </c>
    </row>
    <row r="26" customHeight="1" spans="1:9">
      <c r="A26" s="1" t="s">
        <v>17</v>
      </c>
      <c r="B26" s="1" t="s">
        <v>23</v>
      </c>
      <c r="C26" s="9" t="s">
        <v>1858</v>
      </c>
      <c r="D26" s="1" t="s">
        <v>67</v>
      </c>
    </row>
    <row r="27" customHeight="1" spans="1:9">
      <c r="A27" s="8" t="s">
        <v>13</v>
      </c>
      <c r="B27" s="1" t="s">
        <v>14</v>
      </c>
      <c r="C27" s="9" t="s">
        <v>1859</v>
      </c>
      <c r="D27" s="8" t="s">
        <v>69</v>
      </c>
    </row>
    <row r="28" customHeight="1" spans="1:9">
      <c r="A28" s="8" t="s">
        <v>13</v>
      </c>
      <c r="B28" s="1" t="s">
        <v>70</v>
      </c>
      <c r="C28" s="9" t="s">
        <v>1860</v>
      </c>
      <c r="D28" s="8" t="s">
        <v>395</v>
      </c>
      <c r="H28" s="5">
        <f>H9-H10-H11+H27</f>
        <v>0</v>
      </c>
      <c r="I28" s="5">
        <f>I9-I10-I11+I27</f>
        <v>0</v>
      </c>
    </row>
    <row r="29" customHeight="1" spans="1:9">
      <c r="A29" s="8" t="s">
        <v>13</v>
      </c>
      <c r="B29" s="1" t="s">
        <v>23</v>
      </c>
      <c r="C29" s="9" t="s">
        <v>1861</v>
      </c>
      <c r="D29" s="8" t="s">
        <v>397</v>
      </c>
    </row>
    <row r="30" customHeight="1" spans="1:9">
      <c r="A30" s="8" t="s">
        <v>13</v>
      </c>
      <c r="B30" s="1" t="s">
        <v>70</v>
      </c>
      <c r="C30" s="9" t="s">
        <v>1862</v>
      </c>
      <c r="D30" s="8" t="s">
        <v>72</v>
      </c>
      <c r="H30" s="5">
        <f>H28-H29</f>
        <v>0</v>
      </c>
      <c r="I30" s="5">
        <f>I28-I29</f>
        <v>0</v>
      </c>
    </row>
    <row r="31" customHeight="1" spans="1:9">
      <c r="A31" s="11"/>
      <c r="B31" s="11"/>
      <c r="C31" s="11"/>
      <c r="D31" s="11"/>
    </row>
    <row r="32" customHeight="1" spans="1:9">
      <c r="A32" s="8" t="s">
        <v>13</v>
      </c>
      <c r="B32" s="1" t="s">
        <v>92</v>
      </c>
      <c r="C32" s="12" t="s">
        <v>1863</v>
      </c>
      <c r="D32" s="12" t="s">
        <v>94</v>
      </c>
      <c r="H32" s="5">
        <f>H33</f>
        <v>0</v>
      </c>
      <c r="I32" s="5">
        <f>I33</f>
        <v>0</v>
      </c>
    </row>
    <row r="33" customHeight="1" spans="1:10">
      <c r="A33" s="8" t="s">
        <v>17</v>
      </c>
      <c r="B33" s="1" t="s">
        <v>92</v>
      </c>
      <c r="C33" s="12" t="s">
        <v>1864</v>
      </c>
      <c r="D33" s="12" t="s">
        <v>1144</v>
      </c>
    </row>
    <row r="34" customHeight="1" spans="1:10">
      <c r="A34" s="8" t="s">
        <v>13</v>
      </c>
      <c r="B34" s="1" t="s">
        <v>201</v>
      </c>
      <c r="C34" s="12" t="s">
        <v>1865</v>
      </c>
      <c r="D34" s="12" t="s">
        <v>417</v>
      </c>
      <c r="H34" s="5">
        <f>H35</f>
        <v>0</v>
      </c>
      <c r="I34" s="5">
        <f>I35</f>
        <v>0</v>
      </c>
    </row>
    <row r="35" customHeight="1" spans="1:10">
      <c r="A35" s="8" t="s">
        <v>17</v>
      </c>
      <c r="B35" s="1" t="s">
        <v>201</v>
      </c>
      <c r="C35" s="12" t="s">
        <v>1866</v>
      </c>
      <c r="D35" s="12" t="s">
        <v>1145</v>
      </c>
    </row>
    <row r="36" customHeight="1" spans="1:10">
      <c r="A36" s="11"/>
      <c r="B36" s="11"/>
      <c r="C36" s="11"/>
      <c r="D36" s="11"/>
    </row>
    <row r="37" customHeight="1" spans="1:10">
      <c r="A37" s="12" t="s">
        <v>13</v>
      </c>
      <c r="B37" s="12" t="s">
        <v>23</v>
      </c>
      <c r="C37" s="12" t="s">
        <v>1867</v>
      </c>
      <c r="D37" s="12" t="s">
        <v>581</v>
      </c>
      <c r="H37" s="5">
        <f>H38</f>
        <v>0</v>
      </c>
      <c r="I37" s="5">
        <f>I38</f>
        <v>0</v>
      </c>
    </row>
    <row r="38" customHeight="1" spans="1:10">
      <c r="A38" s="12" t="s">
        <v>17</v>
      </c>
      <c r="B38" s="12" t="s">
        <v>23</v>
      </c>
      <c r="C38" s="12" t="s">
        <v>1868</v>
      </c>
      <c r="D38" s="12" t="s">
        <v>583</v>
      </c>
      <c r="I38" s="5">
        <f>I35*I39</f>
        <v>0</v>
      </c>
      <c r="J38" s="5" t="s">
        <v>516</v>
      </c>
    </row>
    <row r="39" customHeight="1" spans="1:10">
      <c r="A39" s="11" t="s">
        <v>20</v>
      </c>
      <c r="B39" s="11" t="s">
        <v>103</v>
      </c>
      <c r="C39" s="11" t="s">
        <v>1869</v>
      </c>
      <c r="D39" s="11" t="s">
        <v>585</v>
      </c>
      <c r="H39" s="5" t="e">
        <f>H38/H35</f>
        <v>#DIV/0!</v>
      </c>
      <c r="J39" s="5" t="s">
        <v>329</v>
      </c>
    </row>
    <row r="40" customHeight="1" spans="1:10">
      <c r="A40" s="11"/>
      <c r="B40" s="11"/>
      <c r="C40" s="11"/>
      <c r="D40" s="11"/>
    </row>
    <row r="41" customHeight="1" spans="1:10">
      <c r="A41" s="12" t="s">
        <v>13</v>
      </c>
      <c r="B41" s="12" t="s">
        <v>14</v>
      </c>
      <c r="C41" s="12" t="s">
        <v>1870</v>
      </c>
      <c r="D41" s="12" t="s">
        <v>593</v>
      </c>
      <c r="H41" s="5">
        <f>H42</f>
        <v>0</v>
      </c>
      <c r="I41" s="5">
        <f>I42</f>
        <v>0</v>
      </c>
    </row>
    <row r="42" customHeight="1" spans="1:10">
      <c r="A42" s="12" t="s">
        <v>17</v>
      </c>
      <c r="B42" s="12" t="s">
        <v>14</v>
      </c>
      <c r="C42" s="12" t="s">
        <v>1871</v>
      </c>
      <c r="D42" s="12" t="s">
        <v>595</v>
      </c>
      <c r="I42" s="5">
        <f>I35*I43</f>
        <v>0</v>
      </c>
      <c r="J42" s="5" t="s">
        <v>516</v>
      </c>
    </row>
    <row r="43" customHeight="1" spans="1:10">
      <c r="A43" s="11" t="s">
        <v>20</v>
      </c>
      <c r="B43" s="11" t="s">
        <v>103</v>
      </c>
      <c r="C43" s="11" t="s">
        <v>1872</v>
      </c>
      <c r="D43" s="11" t="s">
        <v>597</v>
      </c>
      <c r="H43" s="5" t="e">
        <f>H42/H35</f>
        <v>#DIV/0!</v>
      </c>
      <c r="J43" s="5" t="s">
        <v>329</v>
      </c>
    </row>
    <row r="44" customHeight="1" spans="1:10">
      <c r="A44" s="11"/>
      <c r="B44" s="11"/>
      <c r="C44" s="11"/>
      <c r="D44" s="11"/>
    </row>
    <row r="45" customHeight="1" spans="1:10">
      <c r="A45" s="12" t="s">
        <v>13</v>
      </c>
      <c r="B45" s="12" t="s">
        <v>14</v>
      </c>
      <c r="C45" s="9" t="s">
        <v>1873</v>
      </c>
      <c r="D45" s="12" t="s">
        <v>605</v>
      </c>
      <c r="H45" s="5">
        <f>H46</f>
        <v>0</v>
      </c>
      <c r="I45" s="5">
        <f>I46</f>
        <v>0</v>
      </c>
    </row>
    <row r="46" customHeight="1" spans="1:10">
      <c r="A46" s="12" t="s">
        <v>17</v>
      </c>
      <c r="B46" s="12" t="s">
        <v>14</v>
      </c>
      <c r="C46" s="9" t="s">
        <v>1874</v>
      </c>
      <c r="D46" s="12" t="s">
        <v>1162</v>
      </c>
    </row>
    <row r="47" customHeight="1" spans="1:10">
      <c r="A47" s="1"/>
      <c r="B47" s="1"/>
      <c r="C47" s="10"/>
      <c r="D47" s="1"/>
    </row>
    <row r="48" customHeight="1" spans="1:10">
      <c r="A48" s="12" t="s">
        <v>13</v>
      </c>
      <c r="B48" s="12" t="s">
        <v>23</v>
      </c>
      <c r="C48" s="9" t="s">
        <v>1875</v>
      </c>
      <c r="D48" s="12" t="s">
        <v>637</v>
      </c>
      <c r="H48" s="5">
        <f>H49</f>
        <v>0</v>
      </c>
      <c r="I48" s="5">
        <f>I49</f>
        <v>0</v>
      </c>
    </row>
    <row r="49" customHeight="1" spans="1:4">
      <c r="A49" s="12" t="s">
        <v>17</v>
      </c>
      <c r="B49" s="12" t="s">
        <v>23</v>
      </c>
      <c r="C49" s="9" t="s">
        <v>1876</v>
      </c>
      <c r="D49" s="12" t="s">
        <v>1743</v>
      </c>
    </row>
    <row r="50" customHeight="1" spans="1:4">
      <c r="A50" s="11"/>
      <c r="B50" s="11"/>
      <c r="C50" s="11"/>
      <c r="D50" s="11"/>
    </row>
    <row r="51" customHeight="1" spans="1:4">
      <c r="A51" s="12" t="s">
        <v>13</v>
      </c>
      <c r="B51" s="12" t="s">
        <v>14</v>
      </c>
      <c r="C51" s="12" t="s">
        <v>1877</v>
      </c>
      <c r="D51" s="12" t="s">
        <v>677</v>
      </c>
    </row>
    <row r="52" customHeight="1" spans="1:4">
      <c r="A52" s="11"/>
      <c r="B52" s="11"/>
      <c r="C52" s="11"/>
      <c r="D52" s="11"/>
    </row>
    <row r="53" customHeight="1" spans="1:4">
      <c r="A53" s="12" t="s">
        <v>13</v>
      </c>
      <c r="B53" s="12" t="s">
        <v>14</v>
      </c>
      <c r="C53" s="12" t="s">
        <v>1878</v>
      </c>
      <c r="D53" s="12" t="s">
        <v>679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workbookViewId="0">
      <selection activeCell="A1" sqref="$A1:$XFD1"/>
    </sheetView>
  </sheetViews>
  <sheetFormatPr defaultColWidth="9" defaultRowHeight="15" customHeight="1"/>
  <cols>
    <col min="1" max="2" width="8.66071428571429" style="5"/>
    <col min="3" max="3" width="11" style="5" customWidth="1"/>
    <col min="4" max="4" width="15.5" style="5" customWidth="1"/>
    <col min="5" max="16384" width="8.66071428571429" style="5"/>
  </cols>
  <sheetData>
    <row r="1" s="1" customFormat="1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7"/>
      <c r="O1" s="7"/>
    </row>
    <row r="2" customHeight="1" spans="1:15">
      <c r="A2" s="8" t="s">
        <v>13</v>
      </c>
      <c r="B2" s="1" t="s">
        <v>14</v>
      </c>
      <c r="C2" s="9" t="s">
        <v>1879</v>
      </c>
      <c r="D2" s="8" t="s">
        <v>16</v>
      </c>
      <c r="H2" s="5">
        <f>H3+H6+H7</f>
        <v>0</v>
      </c>
      <c r="I2" s="5">
        <f>I3+I6+I7</f>
        <v>0</v>
      </c>
    </row>
    <row r="3" customHeight="1" spans="1:15">
      <c r="A3" s="1" t="s">
        <v>17</v>
      </c>
      <c r="B3" s="1" t="s">
        <v>14</v>
      </c>
      <c r="C3" s="9" t="s">
        <v>1880</v>
      </c>
      <c r="D3" s="1" t="s">
        <v>19</v>
      </c>
      <c r="H3" s="5">
        <f>H4+H5</f>
        <v>0</v>
      </c>
      <c r="I3" s="5">
        <f>I4+I5</f>
        <v>0</v>
      </c>
    </row>
    <row r="4" customHeight="1" spans="1:15">
      <c r="A4" s="1" t="s">
        <v>20</v>
      </c>
      <c r="B4" s="1" t="s">
        <v>14</v>
      </c>
      <c r="C4" s="10" t="s">
        <v>1881</v>
      </c>
      <c r="D4" s="1" t="s">
        <v>349</v>
      </c>
    </row>
    <row r="5" customHeight="1" spans="1:15">
      <c r="A5" s="1" t="s">
        <v>20</v>
      </c>
      <c r="B5" s="1" t="s">
        <v>14</v>
      </c>
      <c r="C5" s="10" t="s">
        <v>1882</v>
      </c>
      <c r="D5" s="1" t="s">
        <v>354</v>
      </c>
    </row>
    <row r="6" customHeight="1" spans="1:15">
      <c r="A6" s="1" t="s">
        <v>17</v>
      </c>
      <c r="B6" s="1" t="s">
        <v>14</v>
      </c>
      <c r="C6" s="9" t="s">
        <v>1883</v>
      </c>
      <c r="D6" s="1" t="s">
        <v>27</v>
      </c>
      <c r="H6" s="5">
        <f>H32-H35</f>
        <v>0</v>
      </c>
      <c r="I6" s="5">
        <f>I32-I35</f>
        <v>0</v>
      </c>
    </row>
    <row r="7" customHeight="1" spans="1:15">
      <c r="A7" s="1" t="s">
        <v>17</v>
      </c>
      <c r="B7" s="1" t="s">
        <v>14</v>
      </c>
      <c r="C7" s="9" t="s">
        <v>1884</v>
      </c>
      <c r="D7" s="1" t="s">
        <v>33</v>
      </c>
      <c r="H7" s="5">
        <f>H38+H40</f>
        <v>0</v>
      </c>
      <c r="I7" s="5">
        <f>I38+I40</f>
        <v>0</v>
      </c>
    </row>
    <row r="8" customHeight="1" spans="1:15">
      <c r="A8" s="8" t="s">
        <v>13</v>
      </c>
      <c r="B8" s="1" t="s">
        <v>23</v>
      </c>
      <c r="C8" s="9" t="s">
        <v>1885</v>
      </c>
      <c r="D8" s="8" t="s">
        <v>363</v>
      </c>
    </row>
    <row r="9" customHeight="1" spans="1:15">
      <c r="A9" s="8" t="s">
        <v>13</v>
      </c>
      <c r="B9" s="1" t="s">
        <v>14</v>
      </c>
      <c r="C9" s="9" t="s">
        <v>1886</v>
      </c>
      <c r="D9" s="8" t="s">
        <v>45</v>
      </c>
      <c r="H9" s="5">
        <f>H2-H8</f>
        <v>0</v>
      </c>
      <c r="I9" s="5">
        <f>I2-I8</f>
        <v>0</v>
      </c>
    </row>
    <row r="10" customHeight="1" spans="1:15">
      <c r="A10" s="8" t="s">
        <v>13</v>
      </c>
      <c r="B10" s="1" t="s">
        <v>23</v>
      </c>
      <c r="C10" s="9" t="s">
        <v>1887</v>
      </c>
      <c r="D10" s="8" t="s">
        <v>47</v>
      </c>
    </row>
    <row r="11" customHeight="1" spans="1:15">
      <c r="A11" s="8" t="s">
        <v>13</v>
      </c>
      <c r="B11" s="1" t="s">
        <v>23</v>
      </c>
      <c r="C11" s="9" t="s">
        <v>1888</v>
      </c>
      <c r="D11" s="8" t="s">
        <v>367</v>
      </c>
      <c r="H11" s="5">
        <f>H12+H15+H18+H25+H26</f>
        <v>0</v>
      </c>
      <c r="I11" s="5">
        <f>I12+I15+I18+I25+I26</f>
        <v>0</v>
      </c>
    </row>
    <row r="12" customHeight="1" spans="1:15">
      <c r="A12" s="1" t="s">
        <v>17</v>
      </c>
      <c r="B12" s="1" t="s">
        <v>23</v>
      </c>
      <c r="C12" s="9" t="s">
        <v>1889</v>
      </c>
      <c r="D12" s="1" t="s">
        <v>369</v>
      </c>
      <c r="H12" s="5">
        <f>H13+H14</f>
        <v>0</v>
      </c>
      <c r="I12" s="5">
        <f>I13+I14</f>
        <v>0</v>
      </c>
    </row>
    <row r="13" customHeight="1" spans="1:15">
      <c r="A13" s="1" t="s">
        <v>20</v>
      </c>
      <c r="B13" s="1" t="s">
        <v>23</v>
      </c>
      <c r="C13" s="10" t="s">
        <v>1890</v>
      </c>
      <c r="D13" s="1" t="s">
        <v>53</v>
      </c>
    </row>
    <row r="14" customHeight="1" spans="1:15">
      <c r="A14" s="1" t="s">
        <v>20</v>
      </c>
      <c r="B14" s="1" t="s">
        <v>23</v>
      </c>
      <c r="C14" s="10" t="s">
        <v>1891</v>
      </c>
      <c r="D14" s="1" t="s">
        <v>372</v>
      </c>
    </row>
    <row r="15" customHeight="1" spans="1:15">
      <c r="A15" s="1" t="s">
        <v>17</v>
      </c>
      <c r="B15" s="1" t="s">
        <v>23</v>
      </c>
      <c r="C15" s="9" t="s">
        <v>1892</v>
      </c>
      <c r="D15" s="1" t="s">
        <v>59</v>
      </c>
      <c r="H15" s="5">
        <f>H16+H17</f>
        <v>0</v>
      </c>
      <c r="I15" s="5">
        <f>I16+I17</f>
        <v>0</v>
      </c>
    </row>
    <row r="16" customHeight="1" spans="1:15">
      <c r="A16" s="1" t="s">
        <v>20</v>
      </c>
      <c r="B16" s="1" t="s">
        <v>23</v>
      </c>
      <c r="C16" s="10" t="s">
        <v>1893</v>
      </c>
      <c r="D16" s="1" t="s">
        <v>61</v>
      </c>
    </row>
    <row r="17" customHeight="1" spans="1:9">
      <c r="A17" s="1" t="s">
        <v>20</v>
      </c>
      <c r="B17" s="1" t="s">
        <v>23</v>
      </c>
      <c r="C17" s="10" t="s">
        <v>1894</v>
      </c>
      <c r="D17" s="1" t="s">
        <v>63</v>
      </c>
    </row>
    <row r="18" customHeight="1" spans="1:9">
      <c r="A18" s="1" t="s">
        <v>17</v>
      </c>
      <c r="B18" s="1" t="s">
        <v>23</v>
      </c>
      <c r="C18" s="9" t="s">
        <v>1895</v>
      </c>
      <c r="D18" s="1" t="s">
        <v>65</v>
      </c>
      <c r="H18" s="5">
        <f>H19+H22+H23+H24</f>
        <v>0</v>
      </c>
      <c r="I18" s="5">
        <f>I19+I22+I23+I24</f>
        <v>0</v>
      </c>
    </row>
    <row r="19" customHeight="1" spans="1:9">
      <c r="A19" s="1" t="s">
        <v>20</v>
      </c>
      <c r="B19" s="1" t="s">
        <v>23</v>
      </c>
      <c r="C19" s="10" t="s">
        <v>1896</v>
      </c>
      <c r="D19" s="1" t="s">
        <v>378</v>
      </c>
      <c r="H19" s="5">
        <f>H20+H21</f>
        <v>0</v>
      </c>
      <c r="I19" s="5">
        <f>I20+I21</f>
        <v>0</v>
      </c>
    </row>
    <row r="20" customHeight="1" spans="1:9">
      <c r="A20" s="1" t="s">
        <v>379</v>
      </c>
      <c r="B20" s="1" t="s">
        <v>23</v>
      </c>
      <c r="C20" s="10" t="s">
        <v>1897</v>
      </c>
      <c r="D20" s="1" t="s">
        <v>381</v>
      </c>
    </row>
    <row r="21" customHeight="1" spans="1:9">
      <c r="A21" s="1" t="s">
        <v>379</v>
      </c>
      <c r="B21" s="1" t="s">
        <v>23</v>
      </c>
      <c r="C21" s="10" t="s">
        <v>1898</v>
      </c>
      <c r="D21" s="1" t="s">
        <v>383</v>
      </c>
    </row>
    <row r="22" customHeight="1" spans="1:9">
      <c r="A22" s="1" t="s">
        <v>20</v>
      </c>
      <c r="B22" s="1" t="s">
        <v>23</v>
      </c>
      <c r="C22" s="10" t="s">
        <v>1899</v>
      </c>
      <c r="D22" s="1" t="s">
        <v>385</v>
      </c>
    </row>
    <row r="23" customHeight="1" spans="1:9">
      <c r="A23" s="1" t="s">
        <v>20</v>
      </c>
      <c r="B23" s="1" t="s">
        <v>23</v>
      </c>
      <c r="C23" s="10" t="s">
        <v>1900</v>
      </c>
      <c r="D23" s="1" t="s">
        <v>387</v>
      </c>
    </row>
    <row r="24" customHeight="1" spans="1:9">
      <c r="A24" s="1" t="s">
        <v>20</v>
      </c>
      <c r="B24" s="1" t="s">
        <v>23</v>
      </c>
      <c r="C24" s="10" t="s">
        <v>1901</v>
      </c>
      <c r="D24" s="1" t="s">
        <v>389</v>
      </c>
    </row>
    <row r="25" customHeight="1" spans="1:9">
      <c r="A25" s="1" t="s">
        <v>17</v>
      </c>
      <c r="B25" s="1" t="s">
        <v>23</v>
      </c>
      <c r="C25" s="9" t="s">
        <v>1902</v>
      </c>
      <c r="D25" s="1" t="s">
        <v>391</v>
      </c>
    </row>
    <row r="26" customHeight="1" spans="1:9">
      <c r="A26" s="1" t="s">
        <v>17</v>
      </c>
      <c r="B26" s="1" t="s">
        <v>23</v>
      </c>
      <c r="C26" s="9" t="s">
        <v>1903</v>
      </c>
      <c r="D26" s="1" t="s">
        <v>67</v>
      </c>
    </row>
    <row r="27" customHeight="1" spans="1:9">
      <c r="A27" s="8" t="s">
        <v>13</v>
      </c>
      <c r="B27" s="1" t="s">
        <v>14</v>
      </c>
      <c r="C27" s="9" t="s">
        <v>1904</v>
      </c>
      <c r="D27" s="8" t="s">
        <v>69</v>
      </c>
    </row>
    <row r="28" customHeight="1" spans="1:9">
      <c r="A28" s="8" t="s">
        <v>13</v>
      </c>
      <c r="B28" s="1" t="s">
        <v>70</v>
      </c>
      <c r="C28" s="9" t="s">
        <v>1905</v>
      </c>
      <c r="D28" s="8" t="s">
        <v>395</v>
      </c>
      <c r="H28" s="5">
        <f>H9-H10-H11+H27</f>
        <v>0</v>
      </c>
      <c r="I28" s="5">
        <f>I9-I10-I11+I27</f>
        <v>0</v>
      </c>
    </row>
    <row r="29" customHeight="1" spans="1:9">
      <c r="A29" s="8" t="s">
        <v>13</v>
      </c>
      <c r="B29" s="1" t="s">
        <v>23</v>
      </c>
      <c r="C29" s="9" t="s">
        <v>1906</v>
      </c>
      <c r="D29" s="8" t="s">
        <v>397</v>
      </c>
    </row>
    <row r="30" customHeight="1" spans="1:9">
      <c r="A30" s="8" t="s">
        <v>13</v>
      </c>
      <c r="B30" s="1" t="s">
        <v>70</v>
      </c>
      <c r="C30" s="9" t="s">
        <v>1907</v>
      </c>
      <c r="D30" s="8" t="s">
        <v>72</v>
      </c>
      <c r="H30" s="5">
        <f>H28-H29</f>
        <v>0</v>
      </c>
      <c r="I30" s="5">
        <f>I28-I29</f>
        <v>0</v>
      </c>
    </row>
    <row r="31" customHeight="1" spans="1:9">
      <c r="A31" s="11"/>
      <c r="B31" s="11"/>
      <c r="C31" s="11"/>
      <c r="D31" s="11"/>
    </row>
    <row r="32" customHeight="1" spans="1:9">
      <c r="A32" s="12" t="s">
        <v>13</v>
      </c>
      <c r="B32" s="12" t="s">
        <v>14</v>
      </c>
      <c r="C32" s="9" t="s">
        <v>1908</v>
      </c>
      <c r="D32" s="12" t="s">
        <v>605</v>
      </c>
      <c r="H32" s="5">
        <f>H33</f>
        <v>0</v>
      </c>
      <c r="I32" s="5">
        <f>I33</f>
        <v>0</v>
      </c>
    </row>
    <row r="33" customHeight="1" spans="1:9">
      <c r="A33" s="12" t="s">
        <v>17</v>
      </c>
      <c r="B33" s="12" t="s">
        <v>14</v>
      </c>
      <c r="C33" s="9" t="s">
        <v>1909</v>
      </c>
      <c r="D33" s="12" t="s">
        <v>1162</v>
      </c>
    </row>
    <row r="34" customHeight="1" spans="1:9">
      <c r="A34" s="1"/>
      <c r="B34" s="1"/>
      <c r="C34" s="10"/>
      <c r="D34" s="1"/>
    </row>
    <row r="35" customHeight="1" spans="1:9">
      <c r="A35" s="12" t="s">
        <v>13</v>
      </c>
      <c r="B35" s="12" t="s">
        <v>23</v>
      </c>
      <c r="C35" s="9" t="s">
        <v>1910</v>
      </c>
      <c r="D35" s="12" t="s">
        <v>637</v>
      </c>
      <c r="H35" s="5">
        <f>H36</f>
        <v>0</v>
      </c>
      <c r="I35" s="5">
        <f>I36</f>
        <v>0</v>
      </c>
    </row>
    <row r="36" customHeight="1" spans="1:9">
      <c r="A36" s="12" t="s">
        <v>17</v>
      </c>
      <c r="B36" s="12" t="s">
        <v>23</v>
      </c>
      <c r="C36" s="9" t="s">
        <v>1911</v>
      </c>
      <c r="D36" s="12" t="s">
        <v>1743</v>
      </c>
    </row>
    <row r="37" customHeight="1" spans="1:9">
      <c r="A37" s="11"/>
      <c r="B37" s="11"/>
      <c r="C37" s="11"/>
      <c r="D37" s="11"/>
    </row>
    <row r="38" customHeight="1" spans="1:9">
      <c r="A38" s="12" t="s">
        <v>13</v>
      </c>
      <c r="B38" s="12" t="s">
        <v>14</v>
      </c>
      <c r="C38" s="12" t="s">
        <v>1912</v>
      </c>
      <c r="D38" s="12" t="s">
        <v>677</v>
      </c>
    </row>
    <row r="39" customHeight="1" spans="1:9">
      <c r="A39" s="11"/>
      <c r="B39" s="11"/>
      <c r="C39" s="11"/>
      <c r="D39" s="11"/>
    </row>
    <row r="40" customHeight="1" spans="1:9">
      <c r="A40" s="12" t="s">
        <v>13</v>
      </c>
      <c r="B40" s="12" t="s">
        <v>14</v>
      </c>
      <c r="C40" s="12" t="s">
        <v>1913</v>
      </c>
      <c r="D40" s="12" t="s">
        <v>679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workbookViewId="0">
      <selection activeCell="D2" sqref="D2"/>
    </sheetView>
  </sheetViews>
  <sheetFormatPr defaultColWidth="9" defaultRowHeight="16.8" outlineLevelCol="4"/>
  <cols>
    <col min="3" max="3" width="10.8303571428571" customWidth="1"/>
    <col min="4" max="4" width="17.5" customWidth="1"/>
  </cols>
  <sheetData>
    <row r="1" s="1" customFormat="1" ht="1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</row>
    <row r="2" spans="1:5">
      <c r="A2" s="8" t="s">
        <v>13</v>
      </c>
      <c r="B2" s="1" t="s">
        <v>14</v>
      </c>
      <c r="C2" s="9" t="s">
        <v>1914</v>
      </c>
      <c r="D2" s="8" t="s">
        <v>16</v>
      </c>
    </row>
    <row r="3" spans="1:5">
      <c r="A3" s="1" t="s">
        <v>17</v>
      </c>
      <c r="B3" s="1" t="s">
        <v>14</v>
      </c>
      <c r="C3" s="9" t="s">
        <v>1915</v>
      </c>
      <c r="D3" s="1" t="s">
        <v>19</v>
      </c>
    </row>
    <row r="4" spans="1:5">
      <c r="A4" s="1" t="s">
        <v>20</v>
      </c>
      <c r="B4" s="1" t="s">
        <v>14</v>
      </c>
      <c r="C4" s="10" t="s">
        <v>1916</v>
      </c>
      <c r="D4" s="1" t="s">
        <v>349</v>
      </c>
    </row>
    <row r="5" s="14" customFormat="1" spans="1:5">
      <c r="A5" s="11" t="s">
        <v>13</v>
      </c>
      <c r="B5" s="11" t="s">
        <v>14</v>
      </c>
      <c r="C5" s="11" t="s">
        <v>1917</v>
      </c>
      <c r="D5" s="11" t="s">
        <v>22</v>
      </c>
    </row>
    <row r="6" s="14" customFormat="1" spans="1:5">
      <c r="A6" s="1" t="s">
        <v>13</v>
      </c>
      <c r="B6" s="1" t="s">
        <v>23</v>
      </c>
      <c r="C6" s="10" t="s">
        <v>1918</v>
      </c>
      <c r="D6" s="1" t="s">
        <v>352</v>
      </c>
    </row>
    <row r="7" spans="1:5">
      <c r="A7" s="1" t="s">
        <v>20</v>
      </c>
      <c r="B7" s="1" t="s">
        <v>14</v>
      </c>
      <c r="C7" s="10" t="s">
        <v>1919</v>
      </c>
      <c r="D7" s="1" t="s">
        <v>354</v>
      </c>
    </row>
    <row r="8" spans="1:5">
      <c r="A8" s="8" t="s">
        <v>13</v>
      </c>
      <c r="B8" s="1" t="s">
        <v>23</v>
      </c>
      <c r="C8" s="10" t="s">
        <v>1920</v>
      </c>
      <c r="D8" s="1" t="s">
        <v>25</v>
      </c>
    </row>
    <row r="9" spans="1:5">
      <c r="A9" s="8" t="s">
        <v>13</v>
      </c>
      <c r="B9" s="1" t="s">
        <v>23</v>
      </c>
      <c r="C9" s="10" t="s">
        <v>1921</v>
      </c>
      <c r="D9" s="1" t="s">
        <v>357</v>
      </c>
    </row>
    <row r="10" spans="1:5">
      <c r="A10" s="1" t="s">
        <v>17</v>
      </c>
      <c r="B10" s="1" t="s">
        <v>14</v>
      </c>
      <c r="C10" s="9" t="s">
        <v>1922</v>
      </c>
      <c r="D10" s="1" t="s">
        <v>27</v>
      </c>
    </row>
    <row r="11" spans="1:5">
      <c r="A11" s="12" t="s">
        <v>13</v>
      </c>
      <c r="B11" s="12" t="s">
        <v>14</v>
      </c>
      <c r="C11" s="9" t="s">
        <v>1923</v>
      </c>
      <c r="D11" s="1" t="s">
        <v>29</v>
      </c>
    </row>
    <row r="12" spans="1:5">
      <c r="A12" s="12" t="s">
        <v>13</v>
      </c>
      <c r="B12" s="12" t="s">
        <v>23</v>
      </c>
      <c r="C12" s="9" t="s">
        <v>1924</v>
      </c>
      <c r="D12" s="1" t="s">
        <v>31</v>
      </c>
    </row>
    <row r="13" spans="1:5">
      <c r="A13" s="1" t="s">
        <v>17</v>
      </c>
      <c r="B13" s="1" t="s">
        <v>14</v>
      </c>
      <c r="C13" s="9" t="s">
        <v>1925</v>
      </c>
      <c r="D13" s="1" t="s">
        <v>33</v>
      </c>
    </row>
    <row r="14" spans="1:5">
      <c r="A14" s="8" t="s">
        <v>13</v>
      </c>
      <c r="B14" s="1" t="s">
        <v>23</v>
      </c>
      <c r="C14" s="9" t="s">
        <v>1926</v>
      </c>
      <c r="D14" s="8" t="s">
        <v>363</v>
      </c>
    </row>
    <row r="15" spans="1:5">
      <c r="A15" s="8" t="s">
        <v>13</v>
      </c>
      <c r="B15" s="1" t="s">
        <v>14</v>
      </c>
      <c r="C15" s="9" t="s">
        <v>1927</v>
      </c>
      <c r="D15" s="8" t="s">
        <v>45</v>
      </c>
    </row>
    <row r="16" spans="1:5">
      <c r="A16" s="8" t="s">
        <v>13</v>
      </c>
      <c r="B16" s="1" t="s">
        <v>23</v>
      </c>
      <c r="C16" s="9" t="s">
        <v>1928</v>
      </c>
      <c r="D16" s="8" t="s">
        <v>47</v>
      </c>
    </row>
    <row r="17" spans="1:4">
      <c r="A17" s="8" t="s">
        <v>13</v>
      </c>
      <c r="B17" s="1" t="s">
        <v>23</v>
      </c>
      <c r="C17" s="9" t="s">
        <v>1929</v>
      </c>
      <c r="D17" s="8" t="s">
        <v>367</v>
      </c>
    </row>
    <row r="18" spans="1:4">
      <c r="A18" s="1" t="s">
        <v>17</v>
      </c>
      <c r="B18" s="1" t="s">
        <v>23</v>
      </c>
      <c r="C18" s="9" t="s">
        <v>1930</v>
      </c>
      <c r="D18" s="1" t="s">
        <v>369</v>
      </c>
    </row>
    <row r="19" spans="1:4">
      <c r="A19" s="1" t="s">
        <v>20</v>
      </c>
      <c r="B19" s="1" t="s">
        <v>23</v>
      </c>
      <c r="C19" s="10" t="s">
        <v>1931</v>
      </c>
      <c r="D19" s="1" t="s">
        <v>53</v>
      </c>
    </row>
    <row r="20" spans="1:4">
      <c r="A20" s="1" t="s">
        <v>20</v>
      </c>
      <c r="B20" s="1" t="s">
        <v>23</v>
      </c>
      <c r="C20" s="10" t="s">
        <v>1932</v>
      </c>
      <c r="D20" s="1" t="s">
        <v>372</v>
      </c>
    </row>
    <row r="21" spans="1:4">
      <c r="A21" s="1" t="s">
        <v>17</v>
      </c>
      <c r="B21" s="1" t="s">
        <v>23</v>
      </c>
      <c r="C21" s="9" t="s">
        <v>1933</v>
      </c>
      <c r="D21" s="1" t="s">
        <v>59</v>
      </c>
    </row>
    <row r="22" spans="1:4">
      <c r="A22" s="1" t="s">
        <v>20</v>
      </c>
      <c r="B22" s="1" t="s">
        <v>23</v>
      </c>
      <c r="C22" s="10" t="s">
        <v>1934</v>
      </c>
      <c r="D22" s="1" t="s">
        <v>61</v>
      </c>
    </row>
    <row r="23" spans="1:4">
      <c r="A23" s="1" t="s">
        <v>20</v>
      </c>
      <c r="B23" s="1" t="s">
        <v>23</v>
      </c>
      <c r="C23" s="10" t="s">
        <v>1935</v>
      </c>
      <c r="D23" s="1" t="s">
        <v>63</v>
      </c>
    </row>
    <row r="24" spans="1:4">
      <c r="A24" s="1" t="s">
        <v>17</v>
      </c>
      <c r="B24" s="1" t="s">
        <v>23</v>
      </c>
      <c r="C24" s="9" t="s">
        <v>1936</v>
      </c>
      <c r="D24" s="1" t="s">
        <v>65</v>
      </c>
    </row>
    <row r="25" spans="1:4">
      <c r="A25" s="1" t="s">
        <v>20</v>
      </c>
      <c r="B25" s="1" t="s">
        <v>23</v>
      </c>
      <c r="C25" s="10" t="s">
        <v>1937</v>
      </c>
      <c r="D25" s="1" t="s">
        <v>378</v>
      </c>
    </row>
    <row r="26" spans="1:4">
      <c r="A26" s="1" t="s">
        <v>379</v>
      </c>
      <c r="B26" s="1" t="s">
        <v>23</v>
      </c>
      <c r="C26" s="10" t="s">
        <v>1938</v>
      </c>
      <c r="D26" s="1" t="s">
        <v>381</v>
      </c>
    </row>
    <row r="27" spans="1:4">
      <c r="A27" s="1" t="s">
        <v>379</v>
      </c>
      <c r="B27" s="1" t="s">
        <v>23</v>
      </c>
      <c r="C27" s="10" t="s">
        <v>1939</v>
      </c>
      <c r="D27" s="1" t="s">
        <v>383</v>
      </c>
    </row>
    <row r="28" spans="1:4">
      <c r="A28" s="1" t="s">
        <v>20</v>
      </c>
      <c r="B28" s="1" t="s">
        <v>23</v>
      </c>
      <c r="C28" s="10" t="s">
        <v>1940</v>
      </c>
      <c r="D28" s="1" t="s">
        <v>385</v>
      </c>
    </row>
    <row r="29" spans="1:4">
      <c r="A29" s="1" t="s">
        <v>20</v>
      </c>
      <c r="B29" s="1" t="s">
        <v>23</v>
      </c>
      <c r="C29" s="10" t="s">
        <v>1941</v>
      </c>
      <c r="D29" s="1" t="s">
        <v>387</v>
      </c>
    </row>
    <row r="30" spans="1:4">
      <c r="A30" s="1" t="s">
        <v>20</v>
      </c>
      <c r="B30" s="1" t="s">
        <v>23</v>
      </c>
      <c r="C30" s="10" t="s">
        <v>1942</v>
      </c>
      <c r="D30" s="1" t="s">
        <v>389</v>
      </c>
    </row>
    <row r="31" spans="1:4">
      <c r="A31" s="1" t="s">
        <v>17</v>
      </c>
      <c r="B31" s="1" t="s">
        <v>23</v>
      </c>
      <c r="C31" s="9" t="s">
        <v>1943</v>
      </c>
      <c r="D31" s="1" t="s">
        <v>391</v>
      </c>
    </row>
    <row r="32" spans="1:4">
      <c r="A32" s="1" t="s">
        <v>17</v>
      </c>
      <c r="B32" s="1" t="s">
        <v>23</v>
      </c>
      <c r="C32" s="9" t="s">
        <v>1944</v>
      </c>
      <c r="D32" s="1" t="s">
        <v>67</v>
      </c>
    </row>
    <row r="33" spans="1:4">
      <c r="A33" s="8" t="s">
        <v>13</v>
      </c>
      <c r="B33" s="1" t="s">
        <v>14</v>
      </c>
      <c r="C33" s="9" t="s">
        <v>1945</v>
      </c>
      <c r="D33" s="8" t="s">
        <v>69</v>
      </c>
    </row>
    <row r="34" spans="1:4">
      <c r="A34" s="8" t="s">
        <v>13</v>
      </c>
      <c r="B34" s="1" t="s">
        <v>70</v>
      </c>
      <c r="C34" s="9" t="s">
        <v>1946</v>
      </c>
      <c r="D34" s="8" t="s">
        <v>395</v>
      </c>
    </row>
    <row r="35" spans="1:4">
      <c r="A35" s="8" t="s">
        <v>13</v>
      </c>
      <c r="B35" s="1" t="s">
        <v>23</v>
      </c>
      <c r="C35" s="9" t="s">
        <v>1947</v>
      </c>
      <c r="D35" s="8" t="s">
        <v>397</v>
      </c>
    </row>
    <row r="36" spans="1:4">
      <c r="A36" s="8" t="s">
        <v>13</v>
      </c>
      <c r="B36" s="1" t="s">
        <v>70</v>
      </c>
      <c r="C36" s="9" t="s">
        <v>1948</v>
      </c>
      <c r="D36" s="8" t="s">
        <v>72</v>
      </c>
    </row>
    <row r="37" spans="1:4">
      <c r="A37" s="11"/>
      <c r="B37" s="11"/>
      <c r="C37" s="11"/>
      <c r="D37" s="11"/>
    </row>
    <row r="38" spans="1:4">
      <c r="A38" s="12"/>
      <c r="B38" s="12"/>
      <c r="C38" s="12"/>
      <c r="D38" s="12"/>
    </row>
    <row r="39" spans="1:4">
      <c r="A39" s="11"/>
      <c r="B39" s="11"/>
      <c r="C39" s="11"/>
      <c r="D39" s="11"/>
    </row>
    <row r="40" spans="1:4">
      <c r="A40" s="11"/>
      <c r="B40" s="11"/>
      <c r="C40" s="11"/>
      <c r="D40" s="11"/>
    </row>
    <row r="41" spans="1:4">
      <c r="A41" s="12"/>
      <c r="B41" s="12"/>
      <c r="C41" s="12"/>
      <c r="D41" s="12"/>
    </row>
    <row r="42" spans="1:4">
      <c r="A42" s="11"/>
      <c r="B42" s="11"/>
      <c r="C42" s="11"/>
      <c r="D42" s="11"/>
    </row>
    <row r="43" spans="1:4">
      <c r="A43" s="11"/>
      <c r="B43" s="11"/>
      <c r="C43" s="11"/>
      <c r="D43" s="11"/>
    </row>
    <row r="44" spans="1:4">
      <c r="A44" s="11"/>
      <c r="B44" s="11"/>
      <c r="C44" s="11"/>
      <c r="D44" s="11"/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6"/>
  <sheetViews>
    <sheetView workbookViewId="0">
      <selection activeCell="C1" sqref="C1"/>
    </sheetView>
  </sheetViews>
  <sheetFormatPr defaultColWidth="9" defaultRowHeight="16.8"/>
  <cols>
    <col min="3" max="3" width="9.66071428571429" customWidth="1"/>
    <col min="4" max="4" width="15.5" customWidth="1"/>
  </cols>
  <sheetData>
    <row r="1" s="1" customFormat="1" ht="15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7"/>
      <c r="O1" s="7"/>
    </row>
    <row r="2" ht="15" customHeight="1" spans="1:15">
      <c r="A2" s="8" t="s">
        <v>13</v>
      </c>
      <c r="B2" s="1" t="s">
        <v>14</v>
      </c>
      <c r="C2" s="9" t="s">
        <v>1949</v>
      </c>
      <c r="D2" s="8" t="s">
        <v>16</v>
      </c>
      <c r="E2" s="5"/>
      <c r="F2" s="5"/>
      <c r="G2" s="5"/>
      <c r="H2" s="5">
        <f>H3+H6+H7</f>
        <v>0</v>
      </c>
      <c r="I2" s="5">
        <f>I3+I6+I7</f>
        <v>0</v>
      </c>
      <c r="J2" s="5"/>
    </row>
    <row r="3" ht="15" customHeight="1" spans="1:15">
      <c r="A3" s="1" t="s">
        <v>17</v>
      </c>
      <c r="B3" s="1" t="s">
        <v>14</v>
      </c>
      <c r="C3" s="9" t="s">
        <v>1950</v>
      </c>
      <c r="D3" s="1" t="s">
        <v>19</v>
      </c>
      <c r="E3" s="5"/>
      <c r="F3" s="5"/>
      <c r="G3" s="5"/>
      <c r="H3" s="5">
        <f>H4+H5</f>
        <v>0</v>
      </c>
      <c r="I3" s="5">
        <f>I4+I5</f>
        <v>0</v>
      </c>
      <c r="J3" s="5"/>
    </row>
    <row r="4" ht="15" customHeight="1" spans="1:15">
      <c r="A4" s="1" t="s">
        <v>20</v>
      </c>
      <c r="B4" s="1" t="s">
        <v>14</v>
      </c>
      <c r="C4" s="10" t="s">
        <v>1951</v>
      </c>
      <c r="D4" s="1" t="s">
        <v>349</v>
      </c>
      <c r="E4" s="5"/>
      <c r="F4" s="5"/>
      <c r="G4" s="5"/>
      <c r="H4" s="5"/>
      <c r="I4" s="5"/>
      <c r="J4" s="5"/>
    </row>
    <row r="5" ht="15" customHeight="1" spans="1:15">
      <c r="A5" s="1" t="s">
        <v>20</v>
      </c>
      <c r="B5" s="1" t="s">
        <v>14</v>
      </c>
      <c r="C5" s="10" t="s">
        <v>1952</v>
      </c>
      <c r="D5" s="1" t="s">
        <v>354</v>
      </c>
      <c r="E5" s="5"/>
      <c r="F5" s="5"/>
      <c r="G5" s="5"/>
      <c r="H5" s="5"/>
      <c r="I5" s="5"/>
      <c r="J5" s="5"/>
    </row>
    <row r="6" ht="15" customHeight="1" spans="1:15">
      <c r="A6" s="1" t="s">
        <v>17</v>
      </c>
      <c r="B6" s="1" t="s">
        <v>14</v>
      </c>
      <c r="C6" s="9" t="s">
        <v>1953</v>
      </c>
      <c r="D6" s="1" t="s">
        <v>27</v>
      </c>
      <c r="E6" s="5"/>
      <c r="F6" s="5"/>
      <c r="G6" s="5"/>
      <c r="H6" s="5">
        <f>H32-H35</f>
        <v>0</v>
      </c>
      <c r="I6" s="5">
        <f>I32-I35</f>
        <v>0</v>
      </c>
      <c r="J6" s="5"/>
    </row>
    <row r="7" ht="15" customHeight="1" spans="1:15">
      <c r="A7" s="1" t="s">
        <v>17</v>
      </c>
      <c r="B7" s="1" t="s">
        <v>14</v>
      </c>
      <c r="C7" s="9" t="s">
        <v>1954</v>
      </c>
      <c r="D7" s="1" t="s">
        <v>33</v>
      </c>
      <c r="E7" s="5"/>
      <c r="F7" s="5"/>
      <c r="G7" s="5"/>
      <c r="H7" s="5">
        <f>H38+H40</f>
        <v>0</v>
      </c>
      <c r="I7" s="5">
        <f>I38+I40</f>
        <v>0</v>
      </c>
      <c r="J7" s="5"/>
    </row>
    <row r="8" ht="15" customHeight="1" spans="1:15">
      <c r="A8" s="8" t="s">
        <v>13</v>
      </c>
      <c r="B8" s="1" t="s">
        <v>23</v>
      </c>
      <c r="C8" s="9" t="s">
        <v>1955</v>
      </c>
      <c r="D8" s="8" t="s">
        <v>363</v>
      </c>
      <c r="E8" s="5"/>
      <c r="F8" s="5"/>
      <c r="G8" s="5"/>
      <c r="H8" s="5"/>
      <c r="I8" s="5"/>
      <c r="J8" s="5"/>
    </row>
    <row r="9" ht="15" customHeight="1" spans="1:15">
      <c r="A9" s="8" t="s">
        <v>13</v>
      </c>
      <c r="B9" s="1" t="s">
        <v>14</v>
      </c>
      <c r="C9" s="9" t="s">
        <v>1956</v>
      </c>
      <c r="D9" s="8" t="s">
        <v>45</v>
      </c>
      <c r="E9" s="5"/>
      <c r="F9" s="5"/>
      <c r="G9" s="5"/>
      <c r="H9" s="5">
        <f>H2-H8</f>
        <v>0</v>
      </c>
      <c r="I9" s="5">
        <f>I2-I8</f>
        <v>0</v>
      </c>
      <c r="J9" s="5"/>
    </row>
    <row r="10" ht="15" customHeight="1" spans="1:15">
      <c r="A10" s="8" t="s">
        <v>13</v>
      </c>
      <c r="B10" s="1" t="s">
        <v>23</v>
      </c>
      <c r="C10" s="9" t="s">
        <v>1957</v>
      </c>
      <c r="D10" s="8" t="s">
        <v>47</v>
      </c>
      <c r="E10" s="5"/>
      <c r="F10" s="5"/>
      <c r="G10" s="5"/>
      <c r="H10" s="5"/>
      <c r="I10" s="5"/>
      <c r="J10" s="5"/>
    </row>
    <row r="11" ht="15" customHeight="1" spans="1:15">
      <c r="A11" s="8" t="s">
        <v>13</v>
      </c>
      <c r="B11" s="1" t="s">
        <v>23</v>
      </c>
      <c r="C11" s="9" t="s">
        <v>1958</v>
      </c>
      <c r="D11" s="8" t="s">
        <v>367</v>
      </c>
      <c r="E11" s="5"/>
      <c r="F11" s="5"/>
      <c r="G11" s="5"/>
      <c r="H11" s="5">
        <f>H12+H15+H18+H25+H26</f>
        <v>0</v>
      </c>
      <c r="I11" s="5">
        <f>I12+I15+I18+I25+I26</f>
        <v>0</v>
      </c>
      <c r="J11" s="5"/>
    </row>
    <row r="12" ht="15" customHeight="1" spans="1:15">
      <c r="A12" s="1" t="s">
        <v>17</v>
      </c>
      <c r="B12" s="1" t="s">
        <v>23</v>
      </c>
      <c r="C12" s="9" t="s">
        <v>1959</v>
      </c>
      <c r="D12" s="1" t="s">
        <v>369</v>
      </c>
      <c r="E12" s="5"/>
      <c r="F12" s="5"/>
      <c r="G12" s="5"/>
      <c r="H12" s="5">
        <f>H13+H14</f>
        <v>0</v>
      </c>
      <c r="I12" s="5">
        <f>I13+I14</f>
        <v>0</v>
      </c>
      <c r="J12" s="5"/>
    </row>
    <row r="13" ht="15" customHeight="1" spans="1:15">
      <c r="A13" s="1" t="s">
        <v>20</v>
      </c>
      <c r="B13" s="1" t="s">
        <v>23</v>
      </c>
      <c r="C13" s="10" t="s">
        <v>1960</v>
      </c>
      <c r="D13" s="1" t="s">
        <v>53</v>
      </c>
      <c r="E13" s="5"/>
      <c r="F13" s="5"/>
      <c r="G13" s="5"/>
      <c r="H13" s="5"/>
      <c r="I13" s="5"/>
      <c r="J13" s="5"/>
    </row>
    <row r="14" ht="15" customHeight="1" spans="1:15">
      <c r="A14" s="1" t="s">
        <v>20</v>
      </c>
      <c r="B14" s="1" t="s">
        <v>23</v>
      </c>
      <c r="C14" s="10" t="s">
        <v>1961</v>
      </c>
      <c r="D14" s="1" t="s">
        <v>372</v>
      </c>
      <c r="E14" s="5"/>
      <c r="F14" s="5"/>
      <c r="G14" s="5"/>
      <c r="H14" s="5"/>
      <c r="I14" s="5"/>
      <c r="J14" s="5"/>
    </row>
    <row r="15" ht="15" customHeight="1" spans="1:15">
      <c r="A15" s="1" t="s">
        <v>17</v>
      </c>
      <c r="B15" s="1" t="s">
        <v>23</v>
      </c>
      <c r="C15" s="9" t="s">
        <v>1962</v>
      </c>
      <c r="D15" s="1" t="s">
        <v>59</v>
      </c>
      <c r="E15" s="5"/>
      <c r="F15" s="5"/>
      <c r="G15" s="5"/>
      <c r="H15" s="5">
        <f>H16+H17</f>
        <v>0</v>
      </c>
      <c r="I15" s="5">
        <f>I16+I17</f>
        <v>0</v>
      </c>
      <c r="J15" s="5"/>
    </row>
    <row r="16" ht="15" customHeight="1" spans="1:15">
      <c r="A16" s="1" t="s">
        <v>20</v>
      </c>
      <c r="B16" s="1" t="s">
        <v>23</v>
      </c>
      <c r="C16" s="10" t="s">
        <v>1963</v>
      </c>
      <c r="D16" s="1" t="s">
        <v>61</v>
      </c>
      <c r="E16" s="5"/>
      <c r="F16" s="5"/>
      <c r="G16" s="5"/>
      <c r="H16" s="5"/>
      <c r="I16" s="5"/>
      <c r="J16" s="5"/>
    </row>
    <row r="17" ht="15" customHeight="1" spans="1:10">
      <c r="A17" s="1" t="s">
        <v>20</v>
      </c>
      <c r="B17" s="1" t="s">
        <v>23</v>
      </c>
      <c r="C17" s="10" t="s">
        <v>1964</v>
      </c>
      <c r="D17" s="1" t="s">
        <v>63</v>
      </c>
      <c r="E17" s="5"/>
      <c r="F17" s="5"/>
      <c r="G17" s="5"/>
      <c r="H17" s="5"/>
      <c r="I17" s="5"/>
      <c r="J17" s="5"/>
    </row>
    <row r="18" ht="15" customHeight="1" spans="1:10">
      <c r="A18" s="1" t="s">
        <v>17</v>
      </c>
      <c r="B18" s="1" t="s">
        <v>23</v>
      </c>
      <c r="C18" s="9" t="s">
        <v>1965</v>
      </c>
      <c r="D18" s="1" t="s">
        <v>65</v>
      </c>
      <c r="E18" s="5"/>
      <c r="F18" s="5"/>
      <c r="G18" s="5"/>
      <c r="H18" s="5">
        <f>H19+H22+H23+H24</f>
        <v>0</v>
      </c>
      <c r="I18" s="5">
        <f>I19+I22+I23+I24</f>
        <v>0</v>
      </c>
      <c r="J18" s="5"/>
    </row>
    <row r="19" ht="15" customHeight="1" spans="1:10">
      <c r="A19" s="1" t="s">
        <v>20</v>
      </c>
      <c r="B19" s="1" t="s">
        <v>23</v>
      </c>
      <c r="C19" s="10" t="s">
        <v>1966</v>
      </c>
      <c r="D19" s="1" t="s">
        <v>378</v>
      </c>
      <c r="E19" s="5"/>
      <c r="F19" s="5"/>
      <c r="G19" s="5"/>
      <c r="H19" s="5">
        <f>H20+H21</f>
        <v>0</v>
      </c>
      <c r="I19" s="5">
        <f>I20+I21</f>
        <v>0</v>
      </c>
      <c r="J19" s="5"/>
    </row>
    <row r="20" ht="15" customHeight="1" spans="1:10">
      <c r="A20" s="1" t="s">
        <v>379</v>
      </c>
      <c r="B20" s="1" t="s">
        <v>23</v>
      </c>
      <c r="C20" s="10" t="s">
        <v>1967</v>
      </c>
      <c r="D20" s="1" t="s">
        <v>381</v>
      </c>
      <c r="E20" s="5"/>
      <c r="F20" s="5"/>
      <c r="G20" s="5"/>
      <c r="H20" s="5"/>
      <c r="I20" s="5"/>
      <c r="J20" s="5"/>
    </row>
    <row r="21" ht="15" customHeight="1" spans="1:10">
      <c r="A21" s="1" t="s">
        <v>379</v>
      </c>
      <c r="B21" s="1" t="s">
        <v>23</v>
      </c>
      <c r="C21" s="10" t="s">
        <v>1968</v>
      </c>
      <c r="D21" s="1" t="s">
        <v>383</v>
      </c>
      <c r="E21" s="5"/>
      <c r="F21" s="5"/>
      <c r="G21" s="5"/>
      <c r="H21" s="5"/>
      <c r="I21" s="5"/>
      <c r="J21" s="5"/>
    </row>
    <row r="22" ht="15" customHeight="1" spans="1:10">
      <c r="A22" s="1" t="s">
        <v>20</v>
      </c>
      <c r="B22" s="1" t="s">
        <v>23</v>
      </c>
      <c r="C22" s="10" t="s">
        <v>1969</v>
      </c>
      <c r="D22" s="1" t="s">
        <v>385</v>
      </c>
      <c r="E22" s="5"/>
      <c r="F22" s="5"/>
      <c r="G22" s="5"/>
      <c r="H22" s="5"/>
      <c r="I22" s="5"/>
      <c r="J22" s="5"/>
    </row>
    <row r="23" ht="15" customHeight="1" spans="1:10">
      <c r="A23" s="1" t="s">
        <v>20</v>
      </c>
      <c r="B23" s="1" t="s">
        <v>23</v>
      </c>
      <c r="C23" s="10" t="s">
        <v>1970</v>
      </c>
      <c r="D23" s="1" t="s">
        <v>387</v>
      </c>
      <c r="E23" s="5"/>
      <c r="F23" s="5"/>
      <c r="G23" s="5"/>
      <c r="H23" s="5"/>
      <c r="I23" s="5"/>
      <c r="J23" s="5"/>
    </row>
    <row r="24" ht="15" customHeight="1" spans="1:10">
      <c r="A24" s="1" t="s">
        <v>20</v>
      </c>
      <c r="B24" s="1" t="s">
        <v>23</v>
      </c>
      <c r="C24" s="10" t="s">
        <v>1971</v>
      </c>
      <c r="D24" s="1" t="s">
        <v>389</v>
      </c>
      <c r="E24" s="5"/>
      <c r="F24" s="5"/>
      <c r="G24" s="5"/>
      <c r="H24" s="5"/>
      <c r="I24" s="5"/>
      <c r="J24" s="5"/>
    </row>
    <row r="25" ht="15" customHeight="1" spans="1:10">
      <c r="A25" s="1" t="s">
        <v>17</v>
      </c>
      <c r="B25" s="1" t="s">
        <v>23</v>
      </c>
      <c r="C25" s="9" t="s">
        <v>1972</v>
      </c>
      <c r="D25" s="1" t="s">
        <v>391</v>
      </c>
      <c r="E25" s="5"/>
      <c r="F25" s="5"/>
      <c r="G25" s="5"/>
      <c r="H25" s="5"/>
      <c r="I25" s="5"/>
      <c r="J25" s="5"/>
    </row>
    <row r="26" ht="15" customHeight="1" spans="1:10">
      <c r="A26" s="1" t="s">
        <v>17</v>
      </c>
      <c r="B26" s="1" t="s">
        <v>23</v>
      </c>
      <c r="C26" s="9" t="s">
        <v>1973</v>
      </c>
      <c r="D26" s="1" t="s">
        <v>67</v>
      </c>
      <c r="E26" s="5"/>
      <c r="F26" s="5"/>
      <c r="G26" s="5"/>
      <c r="H26" s="5"/>
      <c r="I26" s="5"/>
      <c r="J26" s="5"/>
    </row>
    <row r="27" ht="15" customHeight="1" spans="1:10">
      <c r="A27" s="8" t="s">
        <v>13</v>
      </c>
      <c r="B27" s="1" t="s">
        <v>14</v>
      </c>
      <c r="C27" s="9" t="s">
        <v>1974</v>
      </c>
      <c r="D27" s="8" t="s">
        <v>69</v>
      </c>
      <c r="E27" s="5"/>
      <c r="F27" s="5"/>
      <c r="G27" s="5"/>
      <c r="H27" s="5"/>
      <c r="I27" s="5"/>
      <c r="J27" s="5"/>
    </row>
    <row r="28" ht="15" customHeight="1" spans="1:10">
      <c r="A28" s="8" t="s">
        <v>13</v>
      </c>
      <c r="B28" s="1" t="s">
        <v>70</v>
      </c>
      <c r="C28" s="9" t="s">
        <v>1975</v>
      </c>
      <c r="D28" s="8" t="s">
        <v>395</v>
      </c>
      <c r="E28" s="5"/>
      <c r="F28" s="5"/>
      <c r="G28" s="5"/>
      <c r="H28" s="5">
        <f>H9-H10-H11+H27</f>
        <v>0</v>
      </c>
      <c r="I28" s="5">
        <f>I9-I10-I11+I27</f>
        <v>0</v>
      </c>
      <c r="J28" s="5"/>
    </row>
    <row r="29" ht="15" customHeight="1" spans="1:10">
      <c r="A29" s="8" t="s">
        <v>13</v>
      </c>
      <c r="B29" s="1" t="s">
        <v>23</v>
      </c>
      <c r="C29" s="9" t="s">
        <v>1976</v>
      </c>
      <c r="D29" s="8" t="s">
        <v>397</v>
      </c>
      <c r="E29" s="5"/>
      <c r="F29" s="5"/>
      <c r="G29" s="5"/>
      <c r="H29" s="5"/>
      <c r="I29" s="5"/>
      <c r="J29" s="5"/>
    </row>
    <row r="30" ht="15" customHeight="1" spans="1:10">
      <c r="A30" s="8" t="s">
        <v>13</v>
      </c>
      <c r="B30" s="1" t="s">
        <v>70</v>
      </c>
      <c r="C30" s="9" t="s">
        <v>1977</v>
      </c>
      <c r="D30" s="8" t="s">
        <v>72</v>
      </c>
      <c r="E30" s="5"/>
      <c r="F30" s="5"/>
      <c r="G30" s="5"/>
      <c r="H30" s="5">
        <f>H28-H29</f>
        <v>0</v>
      </c>
      <c r="I30" s="5">
        <f>I28-I29</f>
        <v>0</v>
      </c>
      <c r="J30" s="5"/>
    </row>
    <row r="31" ht="15" customHeight="1" spans="1:10">
      <c r="A31" s="11"/>
      <c r="B31" s="11"/>
      <c r="C31" s="11"/>
      <c r="D31" s="11"/>
      <c r="E31" s="5"/>
      <c r="F31" s="5"/>
      <c r="G31" s="5"/>
      <c r="H31" s="5"/>
      <c r="I31" s="5"/>
      <c r="J31" s="5"/>
    </row>
    <row r="32" ht="15" customHeight="1" spans="1:10">
      <c r="A32" s="12" t="s">
        <v>13</v>
      </c>
      <c r="B32" s="12" t="s">
        <v>14</v>
      </c>
      <c r="C32" s="9" t="s">
        <v>1978</v>
      </c>
      <c r="D32" s="12" t="s">
        <v>605</v>
      </c>
      <c r="E32" s="5"/>
      <c r="F32" s="5"/>
      <c r="G32" s="5"/>
      <c r="H32" s="5">
        <f>H33</f>
        <v>0</v>
      </c>
      <c r="I32" s="5">
        <f>I33</f>
        <v>0</v>
      </c>
      <c r="J32" s="5"/>
    </row>
    <row r="33" ht="15" customHeight="1" spans="1:10">
      <c r="A33" s="12" t="s">
        <v>17</v>
      </c>
      <c r="B33" s="12" t="s">
        <v>14</v>
      </c>
      <c r="C33" s="9" t="s">
        <v>1979</v>
      </c>
      <c r="D33" s="12" t="s">
        <v>1162</v>
      </c>
      <c r="E33" s="5"/>
      <c r="F33" s="5"/>
      <c r="G33" s="5"/>
      <c r="H33" s="5"/>
      <c r="I33" s="5"/>
      <c r="J33" s="5"/>
    </row>
    <row r="34" ht="15" customHeight="1" spans="1:10">
      <c r="A34" s="1"/>
      <c r="B34" s="1"/>
      <c r="C34" s="10"/>
      <c r="D34" s="1"/>
      <c r="E34" s="5"/>
      <c r="F34" s="5"/>
      <c r="G34" s="5"/>
      <c r="H34" s="5"/>
      <c r="I34" s="5"/>
      <c r="J34" s="5"/>
    </row>
    <row r="35" ht="15" customHeight="1" spans="1:10">
      <c r="A35" s="12" t="s">
        <v>13</v>
      </c>
      <c r="B35" s="12" t="s">
        <v>23</v>
      </c>
      <c r="C35" s="9" t="s">
        <v>1980</v>
      </c>
      <c r="D35" s="12" t="s">
        <v>637</v>
      </c>
      <c r="E35" s="5"/>
      <c r="F35" s="5"/>
      <c r="G35" s="5"/>
      <c r="H35" s="5">
        <f>H36</f>
        <v>0</v>
      </c>
      <c r="I35" s="5">
        <f>I36</f>
        <v>0</v>
      </c>
      <c r="J35" s="5"/>
    </row>
    <row r="36" ht="15" customHeight="1" spans="1:10">
      <c r="A36" s="12" t="s">
        <v>17</v>
      </c>
      <c r="B36" s="12" t="s">
        <v>23</v>
      </c>
      <c r="C36" s="9" t="s">
        <v>1981</v>
      </c>
      <c r="D36" s="12" t="s">
        <v>1743</v>
      </c>
      <c r="E36" s="5"/>
      <c r="F36" s="5"/>
      <c r="G36" s="5"/>
      <c r="H36" s="5"/>
      <c r="I36" s="5"/>
      <c r="J36" s="5"/>
    </row>
    <row r="37" ht="15" customHeight="1" spans="1:10">
      <c r="A37" s="11"/>
      <c r="B37" s="11"/>
      <c r="C37" s="11"/>
      <c r="D37" s="11"/>
      <c r="E37" s="5"/>
      <c r="F37" s="5"/>
      <c r="G37" s="5"/>
      <c r="H37" s="5"/>
      <c r="I37" s="5"/>
      <c r="J37" s="5"/>
    </row>
    <row r="38" ht="15" customHeight="1" spans="1:10">
      <c r="A38" s="12" t="s">
        <v>13</v>
      </c>
      <c r="B38" s="12" t="s">
        <v>14</v>
      </c>
      <c r="C38" s="12" t="s">
        <v>1982</v>
      </c>
      <c r="D38" s="12" t="s">
        <v>677</v>
      </c>
      <c r="E38" s="5"/>
      <c r="F38" s="5"/>
      <c r="G38" s="5"/>
      <c r="H38" s="5"/>
      <c r="I38" s="5"/>
      <c r="J38" s="5"/>
    </row>
    <row r="39" ht="15" customHeight="1" spans="1:10">
      <c r="A39" s="11"/>
      <c r="B39" s="11"/>
      <c r="C39" s="11"/>
      <c r="D39" s="11"/>
      <c r="E39" s="5"/>
      <c r="F39" s="5"/>
      <c r="G39" s="5"/>
      <c r="H39" s="5"/>
      <c r="I39" s="5"/>
      <c r="J39" s="5"/>
    </row>
    <row r="40" ht="15" customHeight="1" spans="1:10">
      <c r="A40" s="12" t="s">
        <v>13</v>
      </c>
      <c r="B40" s="12" t="s">
        <v>14</v>
      </c>
      <c r="C40" s="12" t="s">
        <v>1983</v>
      </c>
      <c r="D40" s="12" t="s">
        <v>679</v>
      </c>
      <c r="E40" s="5"/>
      <c r="F40" s="5"/>
      <c r="G40" s="5"/>
      <c r="H40" s="5"/>
      <c r="I40" s="5"/>
      <c r="J40" s="5"/>
    </row>
    <row r="41" spans="1:10">
      <c r="A41" s="12"/>
      <c r="B41" s="12"/>
      <c r="C41" s="9"/>
      <c r="D41" s="12"/>
    </row>
    <row r="42" spans="1:10">
      <c r="A42" s="11"/>
      <c r="B42" s="11"/>
      <c r="C42" s="10"/>
      <c r="D42" s="11"/>
    </row>
    <row r="43" spans="1:10">
      <c r="A43" s="16"/>
      <c r="B43" s="16"/>
      <c r="C43" s="16"/>
      <c r="D43" s="16"/>
    </row>
    <row r="44" spans="1:10">
      <c r="A44" s="12"/>
      <c r="B44" s="12"/>
      <c r="C44" s="9"/>
      <c r="D44" s="12"/>
    </row>
    <row r="45" spans="1:10">
      <c r="A45" s="16"/>
      <c r="B45" s="16"/>
      <c r="C45" s="16"/>
      <c r="D45" s="16"/>
    </row>
    <row r="46" spans="1:10">
      <c r="A46" s="12"/>
      <c r="B46" s="12"/>
      <c r="C46" s="12"/>
      <c r="D46" s="12"/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workbookViewId="0">
      <selection activeCell="C2" sqref="C2"/>
    </sheetView>
  </sheetViews>
  <sheetFormatPr defaultColWidth="9" defaultRowHeight="16.8" outlineLevelCol="4"/>
  <cols>
    <col min="3" max="3" width="10.8303571428571" customWidth="1"/>
    <col min="4" max="4" width="17.5" customWidth="1"/>
  </cols>
  <sheetData>
    <row r="1" s="1" customFormat="1" ht="1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</row>
    <row r="2" spans="1:5">
      <c r="A2" s="8" t="s">
        <v>13</v>
      </c>
      <c r="B2" s="1" t="s">
        <v>14</v>
      </c>
      <c r="C2" s="9" t="s">
        <v>1984</v>
      </c>
      <c r="D2" s="8" t="s">
        <v>16</v>
      </c>
    </row>
    <row r="3" spans="1:5">
      <c r="A3" s="1" t="s">
        <v>17</v>
      </c>
      <c r="B3" s="1" t="s">
        <v>14</v>
      </c>
      <c r="C3" s="9" t="s">
        <v>1985</v>
      </c>
      <c r="D3" s="1" t="s">
        <v>19</v>
      </c>
    </row>
    <row r="4" spans="1:5">
      <c r="A4" s="1" t="s">
        <v>20</v>
      </c>
      <c r="B4" s="1" t="s">
        <v>14</v>
      </c>
      <c r="C4" s="10" t="s">
        <v>1986</v>
      </c>
      <c r="D4" s="1" t="s">
        <v>349</v>
      </c>
    </row>
    <row r="5" s="14" customFormat="1" spans="1:5">
      <c r="A5" s="11" t="s">
        <v>13</v>
      </c>
      <c r="B5" s="11" t="s">
        <v>14</v>
      </c>
      <c r="C5" s="11" t="s">
        <v>1987</v>
      </c>
      <c r="D5" s="11" t="s">
        <v>22</v>
      </c>
    </row>
    <row r="6" s="14" customFormat="1" spans="1:5">
      <c r="A6" s="1" t="s">
        <v>13</v>
      </c>
      <c r="B6" s="1" t="s">
        <v>23</v>
      </c>
      <c r="C6" s="10" t="s">
        <v>1988</v>
      </c>
      <c r="D6" s="1" t="s">
        <v>352</v>
      </c>
    </row>
    <row r="7" spans="1:5">
      <c r="A7" s="1" t="s">
        <v>20</v>
      </c>
      <c r="B7" s="1" t="s">
        <v>14</v>
      </c>
      <c r="C7" s="10" t="s">
        <v>1989</v>
      </c>
      <c r="D7" s="1" t="s">
        <v>354</v>
      </c>
    </row>
    <row r="8" spans="1:5">
      <c r="A8" s="8" t="s">
        <v>13</v>
      </c>
      <c r="B8" s="1" t="s">
        <v>23</v>
      </c>
      <c r="C8" s="10" t="s">
        <v>1990</v>
      </c>
      <c r="D8" s="1" t="s">
        <v>25</v>
      </c>
    </row>
    <row r="9" spans="1:5">
      <c r="A9" s="8" t="s">
        <v>13</v>
      </c>
      <c r="B9" s="1" t="s">
        <v>23</v>
      </c>
      <c r="C9" s="10" t="s">
        <v>1991</v>
      </c>
      <c r="D9" s="1" t="s">
        <v>357</v>
      </c>
    </row>
    <row r="10" spans="1:5">
      <c r="A10" s="1" t="s">
        <v>17</v>
      </c>
      <c r="B10" s="1" t="s">
        <v>14</v>
      </c>
      <c r="C10" s="9" t="s">
        <v>1992</v>
      </c>
      <c r="D10" s="1" t="s">
        <v>27</v>
      </c>
    </row>
    <row r="11" spans="1:5">
      <c r="A11" s="12" t="s">
        <v>13</v>
      </c>
      <c r="B11" s="12" t="s">
        <v>14</v>
      </c>
      <c r="C11" s="9" t="s">
        <v>1993</v>
      </c>
      <c r="D11" s="1" t="s">
        <v>29</v>
      </c>
    </row>
    <row r="12" spans="1:5">
      <c r="A12" s="12" t="s">
        <v>13</v>
      </c>
      <c r="B12" s="12" t="s">
        <v>23</v>
      </c>
      <c r="C12" s="9" t="s">
        <v>1994</v>
      </c>
      <c r="D12" s="1" t="s">
        <v>31</v>
      </c>
    </row>
    <row r="13" spans="1:5">
      <c r="A13" s="1" t="s">
        <v>17</v>
      </c>
      <c r="B13" s="1" t="s">
        <v>14</v>
      </c>
      <c r="C13" s="9" t="s">
        <v>1995</v>
      </c>
      <c r="D13" s="1" t="s">
        <v>33</v>
      </c>
    </row>
    <row r="14" spans="1:5">
      <c r="A14" s="8" t="s">
        <v>13</v>
      </c>
      <c r="B14" s="1" t="s">
        <v>23</v>
      </c>
      <c r="C14" s="9" t="s">
        <v>1996</v>
      </c>
      <c r="D14" s="8" t="s">
        <v>363</v>
      </c>
    </row>
    <row r="15" spans="1:5">
      <c r="A15" s="8" t="s">
        <v>13</v>
      </c>
      <c r="B15" s="1" t="s">
        <v>14</v>
      </c>
      <c r="C15" s="9" t="s">
        <v>1997</v>
      </c>
      <c r="D15" s="8" t="s">
        <v>45</v>
      </c>
    </row>
    <row r="16" spans="1:5">
      <c r="A16" s="8" t="s">
        <v>13</v>
      </c>
      <c r="B16" s="1" t="s">
        <v>23</v>
      </c>
      <c r="C16" s="9" t="s">
        <v>1998</v>
      </c>
      <c r="D16" s="8" t="s">
        <v>47</v>
      </c>
    </row>
    <row r="17" spans="1:4">
      <c r="A17" s="8" t="s">
        <v>13</v>
      </c>
      <c r="B17" s="1" t="s">
        <v>23</v>
      </c>
      <c r="C17" s="9" t="s">
        <v>1999</v>
      </c>
      <c r="D17" s="8" t="s">
        <v>367</v>
      </c>
    </row>
    <row r="18" spans="1:4">
      <c r="A18" s="1" t="s">
        <v>17</v>
      </c>
      <c r="B18" s="1" t="s">
        <v>23</v>
      </c>
      <c r="C18" s="9" t="s">
        <v>2000</v>
      </c>
      <c r="D18" s="1" t="s">
        <v>369</v>
      </c>
    </row>
    <row r="19" spans="1:4">
      <c r="A19" s="1" t="s">
        <v>20</v>
      </c>
      <c r="B19" s="1" t="s">
        <v>23</v>
      </c>
      <c r="C19" s="10" t="s">
        <v>2001</v>
      </c>
      <c r="D19" s="1" t="s">
        <v>53</v>
      </c>
    </row>
    <row r="20" spans="1:4">
      <c r="A20" s="1" t="s">
        <v>20</v>
      </c>
      <c r="B20" s="1" t="s">
        <v>23</v>
      </c>
      <c r="C20" s="10" t="s">
        <v>2002</v>
      </c>
      <c r="D20" s="1" t="s">
        <v>372</v>
      </c>
    </row>
    <row r="21" spans="1:4">
      <c r="A21" s="1" t="s">
        <v>17</v>
      </c>
      <c r="B21" s="1" t="s">
        <v>23</v>
      </c>
      <c r="C21" s="9" t="s">
        <v>2003</v>
      </c>
      <c r="D21" s="1" t="s">
        <v>59</v>
      </c>
    </row>
    <row r="22" spans="1:4">
      <c r="A22" s="1" t="s">
        <v>20</v>
      </c>
      <c r="B22" s="1" t="s">
        <v>23</v>
      </c>
      <c r="C22" s="10" t="s">
        <v>2004</v>
      </c>
      <c r="D22" s="1" t="s">
        <v>61</v>
      </c>
    </row>
    <row r="23" spans="1:4">
      <c r="A23" s="1" t="s">
        <v>20</v>
      </c>
      <c r="B23" s="1" t="s">
        <v>23</v>
      </c>
      <c r="C23" s="10" t="s">
        <v>2005</v>
      </c>
      <c r="D23" s="1" t="s">
        <v>63</v>
      </c>
    </row>
    <row r="24" spans="1:4">
      <c r="A24" s="1" t="s">
        <v>17</v>
      </c>
      <c r="B24" s="1" t="s">
        <v>23</v>
      </c>
      <c r="C24" s="9" t="s">
        <v>2006</v>
      </c>
      <c r="D24" s="1" t="s">
        <v>65</v>
      </c>
    </row>
    <row r="25" spans="1:4">
      <c r="A25" s="1" t="s">
        <v>20</v>
      </c>
      <c r="B25" s="1" t="s">
        <v>23</v>
      </c>
      <c r="C25" s="10" t="s">
        <v>2007</v>
      </c>
      <c r="D25" s="1" t="s">
        <v>378</v>
      </c>
    </row>
    <row r="26" spans="1:4">
      <c r="A26" s="1" t="s">
        <v>379</v>
      </c>
      <c r="B26" s="1" t="s">
        <v>23</v>
      </c>
      <c r="C26" s="10" t="s">
        <v>2008</v>
      </c>
      <c r="D26" s="1" t="s">
        <v>381</v>
      </c>
    </row>
    <row r="27" spans="1:4">
      <c r="A27" s="1" t="s">
        <v>379</v>
      </c>
      <c r="B27" s="1" t="s">
        <v>23</v>
      </c>
      <c r="C27" s="10" t="s">
        <v>2009</v>
      </c>
      <c r="D27" s="1" t="s">
        <v>383</v>
      </c>
    </row>
    <row r="28" spans="1:4">
      <c r="A28" s="1" t="s">
        <v>20</v>
      </c>
      <c r="B28" s="1" t="s">
        <v>23</v>
      </c>
      <c r="C28" s="10" t="s">
        <v>2010</v>
      </c>
      <c r="D28" s="1" t="s">
        <v>385</v>
      </c>
    </row>
    <row r="29" spans="1:4">
      <c r="A29" s="1" t="s">
        <v>20</v>
      </c>
      <c r="B29" s="1" t="s">
        <v>23</v>
      </c>
      <c r="C29" s="10" t="s">
        <v>2011</v>
      </c>
      <c r="D29" s="1" t="s">
        <v>387</v>
      </c>
    </row>
    <row r="30" spans="1:4">
      <c r="A30" s="1" t="s">
        <v>20</v>
      </c>
      <c r="B30" s="1" t="s">
        <v>23</v>
      </c>
      <c r="C30" s="10" t="s">
        <v>2012</v>
      </c>
      <c r="D30" s="1" t="s">
        <v>389</v>
      </c>
    </row>
    <row r="31" spans="1:4">
      <c r="A31" s="1" t="s">
        <v>17</v>
      </c>
      <c r="B31" s="1" t="s">
        <v>23</v>
      </c>
      <c r="C31" s="9" t="s">
        <v>2013</v>
      </c>
      <c r="D31" s="1" t="s">
        <v>391</v>
      </c>
    </row>
    <row r="32" spans="1:4">
      <c r="A32" s="1" t="s">
        <v>17</v>
      </c>
      <c r="B32" s="1" t="s">
        <v>23</v>
      </c>
      <c r="C32" s="9" t="s">
        <v>2014</v>
      </c>
      <c r="D32" s="1" t="s">
        <v>67</v>
      </c>
    </row>
    <row r="33" spans="1:4">
      <c r="A33" s="8" t="s">
        <v>13</v>
      </c>
      <c r="B33" s="1" t="s">
        <v>14</v>
      </c>
      <c r="C33" s="9" t="s">
        <v>2015</v>
      </c>
      <c r="D33" s="8" t="s">
        <v>69</v>
      </c>
    </row>
    <row r="34" spans="1:4">
      <c r="A34" s="8" t="s">
        <v>13</v>
      </c>
      <c r="B34" s="1" t="s">
        <v>70</v>
      </c>
      <c r="C34" s="9" t="s">
        <v>2016</v>
      </c>
      <c r="D34" s="8" t="s">
        <v>395</v>
      </c>
    </row>
    <row r="35" spans="1:4">
      <c r="A35" s="8" t="s">
        <v>13</v>
      </c>
      <c r="B35" s="1" t="s">
        <v>23</v>
      </c>
      <c r="C35" s="9" t="s">
        <v>2017</v>
      </c>
      <c r="D35" s="8" t="s">
        <v>397</v>
      </c>
    </row>
    <row r="36" spans="1:4">
      <c r="A36" s="8" t="s">
        <v>13</v>
      </c>
      <c r="B36" s="1" t="s">
        <v>70</v>
      </c>
      <c r="C36" s="9" t="s">
        <v>2018</v>
      </c>
      <c r="D36" s="8" t="s">
        <v>72</v>
      </c>
    </row>
    <row r="37" spans="1:4">
      <c r="A37" s="11"/>
      <c r="B37" s="11"/>
      <c r="C37" s="11"/>
      <c r="D37" s="11"/>
    </row>
    <row r="38" spans="1:4">
      <c r="A38" s="12"/>
      <c r="B38" s="12"/>
      <c r="C38" s="12"/>
      <c r="D38" s="12"/>
    </row>
    <row r="39" spans="1:4">
      <c r="A39" s="11"/>
      <c r="B39" s="11"/>
      <c r="C39" s="11"/>
      <c r="D39" s="11"/>
    </row>
    <row r="40" spans="1:4">
      <c r="A40" s="11"/>
      <c r="B40" s="11"/>
      <c r="C40" s="11"/>
      <c r="D40" s="11"/>
    </row>
    <row r="41" spans="1:4">
      <c r="A41" s="12"/>
      <c r="B41" s="12"/>
      <c r="C41" s="12"/>
      <c r="D41" s="12"/>
    </row>
    <row r="42" spans="1:4">
      <c r="A42" s="11"/>
      <c r="B42" s="11"/>
      <c r="C42" s="11"/>
      <c r="D42" s="11"/>
    </row>
    <row r="43" spans="1:4">
      <c r="A43" s="11"/>
      <c r="B43" s="11"/>
      <c r="C43" s="11"/>
      <c r="D43" s="11"/>
    </row>
    <row r="44" spans="1:4">
      <c r="A44" s="11"/>
      <c r="B44" s="11"/>
      <c r="C44" s="11"/>
      <c r="D44" s="11"/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6"/>
  <sheetViews>
    <sheetView workbookViewId="0">
      <selection activeCell="E13" sqref="E13"/>
    </sheetView>
  </sheetViews>
  <sheetFormatPr defaultColWidth="9" defaultRowHeight="16.8"/>
  <cols>
    <col min="3" max="3" width="11.0803571428571" customWidth="1"/>
    <col min="4" max="4" width="15.5" customWidth="1"/>
    <col min="14" max="15" width="8.66071428571429" style="15"/>
  </cols>
  <sheetData>
    <row r="1" s="1" customFormat="1" ht="15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7"/>
      <c r="O1" s="7"/>
    </row>
    <row r="2" spans="1:15">
      <c r="A2" s="8" t="s">
        <v>13</v>
      </c>
      <c r="B2" s="1" t="s">
        <v>14</v>
      </c>
      <c r="C2" s="9" t="s">
        <v>2019</v>
      </c>
      <c r="D2" s="8" t="s">
        <v>16</v>
      </c>
      <c r="E2" s="5"/>
      <c r="F2" s="5"/>
      <c r="G2" s="5"/>
      <c r="H2" s="5">
        <f>H3+H6+H7</f>
        <v>0</v>
      </c>
      <c r="I2" s="5">
        <f>I3+I6+I7</f>
        <v>0</v>
      </c>
      <c r="J2" s="5"/>
    </row>
    <row r="3" spans="1:15">
      <c r="A3" s="1" t="s">
        <v>17</v>
      </c>
      <c r="B3" s="1" t="s">
        <v>14</v>
      </c>
      <c r="C3" s="9" t="s">
        <v>2020</v>
      </c>
      <c r="D3" s="1" t="s">
        <v>19</v>
      </c>
      <c r="E3" s="5"/>
      <c r="F3" s="5"/>
      <c r="G3" s="5"/>
      <c r="H3" s="5">
        <f>H4+H5</f>
        <v>0</v>
      </c>
      <c r="I3" s="5">
        <f>I4+I5</f>
        <v>0</v>
      </c>
      <c r="J3" s="5"/>
    </row>
    <row r="4" spans="1:15">
      <c r="A4" s="1" t="s">
        <v>20</v>
      </c>
      <c r="B4" s="1" t="s">
        <v>14</v>
      </c>
      <c r="C4" s="10" t="s">
        <v>2021</v>
      </c>
      <c r="D4" s="1" t="s">
        <v>349</v>
      </c>
      <c r="E4" s="5"/>
      <c r="F4" s="5"/>
      <c r="G4" s="5"/>
      <c r="H4" s="5"/>
      <c r="I4" s="5"/>
      <c r="J4" s="5"/>
    </row>
    <row r="5" spans="1:15">
      <c r="A5" s="1" t="s">
        <v>20</v>
      </c>
      <c r="B5" s="1" t="s">
        <v>14</v>
      </c>
      <c r="C5" s="10" t="s">
        <v>2022</v>
      </c>
      <c r="D5" s="1" t="s">
        <v>354</v>
      </c>
      <c r="E5" s="5"/>
      <c r="F5" s="5"/>
      <c r="G5" s="5"/>
      <c r="H5" s="5"/>
      <c r="I5" s="5"/>
      <c r="J5" s="5"/>
    </row>
    <row r="6" spans="1:15">
      <c r="A6" s="1" t="s">
        <v>17</v>
      </c>
      <c r="B6" s="1" t="s">
        <v>14</v>
      </c>
      <c r="C6" s="9" t="s">
        <v>2023</v>
      </c>
      <c r="D6" s="1" t="s">
        <v>27</v>
      </c>
      <c r="E6" s="5"/>
      <c r="F6" s="5"/>
      <c r="G6" s="5"/>
      <c r="H6" s="5">
        <f>H32-H35</f>
        <v>0</v>
      </c>
      <c r="I6" s="5">
        <f>I32-I35</f>
        <v>0</v>
      </c>
      <c r="J6" s="5"/>
    </row>
    <row r="7" spans="1:15">
      <c r="A7" s="1" t="s">
        <v>17</v>
      </c>
      <c r="B7" s="1" t="s">
        <v>14</v>
      </c>
      <c r="C7" s="9" t="s">
        <v>2024</v>
      </c>
      <c r="D7" s="1" t="s">
        <v>33</v>
      </c>
      <c r="E7" s="5"/>
      <c r="F7" s="5"/>
      <c r="G7" s="5"/>
      <c r="H7" s="5">
        <f>H38+H40</f>
        <v>0</v>
      </c>
      <c r="I7" s="5">
        <f>I38+I40</f>
        <v>0</v>
      </c>
      <c r="J7" s="5"/>
    </row>
    <row r="8" spans="1:15">
      <c r="A8" s="8" t="s">
        <v>13</v>
      </c>
      <c r="B8" s="1" t="s">
        <v>23</v>
      </c>
      <c r="C8" s="9" t="s">
        <v>2025</v>
      </c>
      <c r="D8" s="8" t="s">
        <v>363</v>
      </c>
      <c r="E8" s="5"/>
      <c r="F8" s="5"/>
      <c r="G8" s="5"/>
      <c r="H8" s="5"/>
      <c r="I8" s="5"/>
      <c r="J8" s="5"/>
    </row>
    <row r="9" spans="1:15">
      <c r="A9" s="8" t="s">
        <v>13</v>
      </c>
      <c r="B9" s="1" t="s">
        <v>14</v>
      </c>
      <c r="C9" s="9" t="s">
        <v>2026</v>
      </c>
      <c r="D9" s="8" t="s">
        <v>45</v>
      </c>
      <c r="E9" s="5"/>
      <c r="F9" s="5"/>
      <c r="G9" s="5"/>
      <c r="H9" s="5">
        <f>H2-H8</f>
        <v>0</v>
      </c>
      <c r="I9" s="5">
        <f>I2-I8</f>
        <v>0</v>
      </c>
      <c r="J9" s="5"/>
    </row>
    <row r="10" spans="1:15">
      <c r="A10" s="8" t="s">
        <v>13</v>
      </c>
      <c r="B10" s="1" t="s">
        <v>23</v>
      </c>
      <c r="C10" s="9" t="s">
        <v>2027</v>
      </c>
      <c r="D10" s="8" t="s">
        <v>47</v>
      </c>
      <c r="E10" s="5"/>
      <c r="F10" s="5"/>
      <c r="G10" s="5"/>
      <c r="H10" s="5"/>
      <c r="I10" s="5"/>
      <c r="J10" s="5"/>
    </row>
    <row r="11" spans="1:15">
      <c r="A11" s="8" t="s">
        <v>13</v>
      </c>
      <c r="B11" s="1" t="s">
        <v>23</v>
      </c>
      <c r="C11" s="9" t="s">
        <v>2028</v>
      </c>
      <c r="D11" s="8" t="s">
        <v>367</v>
      </c>
      <c r="E11" s="5"/>
      <c r="F11" s="5"/>
      <c r="G11" s="5"/>
      <c r="H11" s="5">
        <f>H12+H15+H18+H25+H26</f>
        <v>0</v>
      </c>
      <c r="I11" s="5">
        <f>I12+I15+I18+I25+I26</f>
        <v>0</v>
      </c>
      <c r="J11" s="5"/>
    </row>
    <row r="12" spans="1:15">
      <c r="A12" s="1" t="s">
        <v>17</v>
      </c>
      <c r="B12" s="1" t="s">
        <v>23</v>
      </c>
      <c r="C12" s="9" t="s">
        <v>2029</v>
      </c>
      <c r="D12" s="1" t="s">
        <v>369</v>
      </c>
      <c r="E12" s="5"/>
      <c r="F12" s="5"/>
      <c r="G12" s="5"/>
      <c r="H12" s="5">
        <f>H13+H14</f>
        <v>0</v>
      </c>
      <c r="I12" s="5">
        <f>I13+I14</f>
        <v>0</v>
      </c>
      <c r="J12" s="5"/>
    </row>
    <row r="13" spans="1:15">
      <c r="A13" s="1" t="s">
        <v>20</v>
      </c>
      <c r="B13" s="1" t="s">
        <v>23</v>
      </c>
      <c r="C13" s="10" t="s">
        <v>2030</v>
      </c>
      <c r="D13" s="1" t="s">
        <v>53</v>
      </c>
      <c r="E13" s="5"/>
      <c r="F13" s="5"/>
      <c r="G13" s="5"/>
      <c r="H13" s="5"/>
      <c r="I13" s="5"/>
      <c r="J13" s="5"/>
    </row>
    <row r="14" spans="1:15">
      <c r="A14" s="1" t="s">
        <v>20</v>
      </c>
      <c r="B14" s="1" t="s">
        <v>23</v>
      </c>
      <c r="C14" s="10" t="s">
        <v>2031</v>
      </c>
      <c r="D14" s="1" t="s">
        <v>372</v>
      </c>
      <c r="E14" s="5"/>
      <c r="F14" s="5"/>
      <c r="G14" s="5"/>
      <c r="H14" s="5"/>
      <c r="I14" s="5"/>
      <c r="J14" s="5"/>
    </row>
    <row r="15" spans="1:15">
      <c r="A15" s="1" t="s">
        <v>17</v>
      </c>
      <c r="B15" s="1" t="s">
        <v>23</v>
      </c>
      <c r="C15" s="9" t="s">
        <v>2032</v>
      </c>
      <c r="D15" s="1" t="s">
        <v>59</v>
      </c>
      <c r="E15" s="5"/>
      <c r="F15" s="5"/>
      <c r="G15" s="5"/>
      <c r="H15" s="5">
        <f>H16+H17</f>
        <v>0</v>
      </c>
      <c r="I15" s="5">
        <f>I16+I17</f>
        <v>0</v>
      </c>
      <c r="J15" s="5"/>
    </row>
    <row r="16" spans="1:15">
      <c r="A16" s="1" t="s">
        <v>20</v>
      </c>
      <c r="B16" s="1" t="s">
        <v>23</v>
      </c>
      <c r="C16" s="10" t="s">
        <v>2033</v>
      </c>
      <c r="D16" s="1" t="s">
        <v>61</v>
      </c>
      <c r="E16" s="5"/>
      <c r="F16" s="5"/>
      <c r="G16" s="5"/>
      <c r="H16" s="5"/>
      <c r="I16" s="5"/>
      <c r="J16" s="5"/>
    </row>
    <row r="17" spans="1:10">
      <c r="A17" s="1" t="s">
        <v>20</v>
      </c>
      <c r="B17" s="1" t="s">
        <v>23</v>
      </c>
      <c r="C17" s="10" t="s">
        <v>2034</v>
      </c>
      <c r="D17" s="1" t="s">
        <v>63</v>
      </c>
      <c r="E17" s="5"/>
      <c r="F17" s="5"/>
      <c r="G17" s="5"/>
      <c r="H17" s="5"/>
      <c r="I17" s="5"/>
      <c r="J17" s="5"/>
    </row>
    <row r="18" spans="1:10">
      <c r="A18" s="1" t="s">
        <v>17</v>
      </c>
      <c r="B18" s="1" t="s">
        <v>23</v>
      </c>
      <c r="C18" s="9" t="s">
        <v>2035</v>
      </c>
      <c r="D18" s="1" t="s">
        <v>65</v>
      </c>
      <c r="E18" s="5"/>
      <c r="F18" s="5"/>
      <c r="G18" s="5"/>
      <c r="H18" s="5">
        <f>H19+H22+H23+H24</f>
        <v>0</v>
      </c>
      <c r="I18" s="5">
        <f>I19+I22+I23+I24</f>
        <v>0</v>
      </c>
      <c r="J18" s="5"/>
    </row>
    <row r="19" spans="1:10">
      <c r="A19" s="1" t="s">
        <v>20</v>
      </c>
      <c r="B19" s="1" t="s">
        <v>23</v>
      </c>
      <c r="C19" s="10" t="s">
        <v>2036</v>
      </c>
      <c r="D19" s="1" t="s">
        <v>378</v>
      </c>
      <c r="E19" s="5"/>
      <c r="F19" s="5"/>
      <c r="G19" s="5"/>
      <c r="H19" s="5">
        <f>H20+H21</f>
        <v>0</v>
      </c>
      <c r="I19" s="5">
        <f>I20+I21</f>
        <v>0</v>
      </c>
      <c r="J19" s="5"/>
    </row>
    <row r="20" spans="1:10">
      <c r="A20" s="1" t="s">
        <v>379</v>
      </c>
      <c r="B20" s="1" t="s">
        <v>23</v>
      </c>
      <c r="C20" s="10" t="s">
        <v>2037</v>
      </c>
      <c r="D20" s="1" t="s">
        <v>381</v>
      </c>
      <c r="E20" s="5"/>
      <c r="F20" s="5"/>
      <c r="G20" s="5"/>
      <c r="H20" s="5"/>
      <c r="I20" s="5"/>
      <c r="J20" s="5"/>
    </row>
    <row r="21" spans="1:10">
      <c r="A21" s="1" t="s">
        <v>379</v>
      </c>
      <c r="B21" s="1" t="s">
        <v>23</v>
      </c>
      <c r="C21" s="10" t="s">
        <v>2038</v>
      </c>
      <c r="D21" s="1" t="s">
        <v>383</v>
      </c>
      <c r="E21" s="5"/>
      <c r="F21" s="5"/>
      <c r="G21" s="5"/>
      <c r="H21" s="5"/>
      <c r="I21" s="5"/>
      <c r="J21" s="5"/>
    </row>
    <row r="22" spans="1:10">
      <c r="A22" s="1" t="s">
        <v>20</v>
      </c>
      <c r="B22" s="1" t="s">
        <v>23</v>
      </c>
      <c r="C22" s="10" t="s">
        <v>2039</v>
      </c>
      <c r="D22" s="1" t="s">
        <v>385</v>
      </c>
      <c r="E22" s="5"/>
      <c r="F22" s="5"/>
      <c r="G22" s="5"/>
      <c r="H22" s="5"/>
      <c r="I22" s="5"/>
      <c r="J22" s="5"/>
    </row>
    <row r="23" spans="1:10">
      <c r="A23" s="1" t="s">
        <v>20</v>
      </c>
      <c r="B23" s="1" t="s">
        <v>23</v>
      </c>
      <c r="C23" s="10" t="s">
        <v>2040</v>
      </c>
      <c r="D23" s="1" t="s">
        <v>387</v>
      </c>
      <c r="E23" s="5"/>
      <c r="F23" s="5"/>
      <c r="G23" s="5"/>
      <c r="H23" s="5"/>
      <c r="I23" s="5"/>
      <c r="J23" s="5"/>
    </row>
    <row r="24" spans="1:10">
      <c r="A24" s="1" t="s">
        <v>20</v>
      </c>
      <c r="B24" s="1" t="s">
        <v>23</v>
      </c>
      <c r="C24" s="10" t="s">
        <v>2041</v>
      </c>
      <c r="D24" s="1" t="s">
        <v>389</v>
      </c>
      <c r="E24" s="5"/>
      <c r="F24" s="5"/>
      <c r="G24" s="5"/>
      <c r="H24" s="5"/>
      <c r="I24" s="5"/>
      <c r="J24" s="5"/>
    </row>
    <row r="25" spans="1:10">
      <c r="A25" s="1" t="s">
        <v>17</v>
      </c>
      <c r="B25" s="1" t="s">
        <v>23</v>
      </c>
      <c r="C25" s="9" t="s">
        <v>2042</v>
      </c>
      <c r="D25" s="1" t="s">
        <v>391</v>
      </c>
      <c r="E25" s="5"/>
      <c r="F25" s="5"/>
      <c r="G25" s="5"/>
      <c r="H25" s="5"/>
      <c r="I25" s="5"/>
      <c r="J25" s="5"/>
    </row>
    <row r="26" spans="1:10">
      <c r="A26" s="1" t="s">
        <v>17</v>
      </c>
      <c r="B26" s="1" t="s">
        <v>23</v>
      </c>
      <c r="C26" s="9" t="s">
        <v>2043</v>
      </c>
      <c r="D26" s="1" t="s">
        <v>67</v>
      </c>
      <c r="E26" s="5"/>
      <c r="F26" s="5"/>
      <c r="G26" s="5"/>
      <c r="H26" s="5"/>
      <c r="I26" s="5"/>
      <c r="J26" s="5"/>
    </row>
    <row r="27" spans="1:10">
      <c r="A27" s="8" t="s">
        <v>13</v>
      </c>
      <c r="B27" s="1" t="s">
        <v>14</v>
      </c>
      <c r="C27" s="9" t="s">
        <v>2044</v>
      </c>
      <c r="D27" s="8" t="s">
        <v>69</v>
      </c>
      <c r="E27" s="5"/>
      <c r="F27" s="5"/>
      <c r="G27" s="5"/>
      <c r="H27" s="5"/>
      <c r="I27" s="5"/>
      <c r="J27" s="5"/>
    </row>
    <row r="28" spans="1:10">
      <c r="A28" s="8" t="s">
        <v>13</v>
      </c>
      <c r="B28" s="1" t="s">
        <v>70</v>
      </c>
      <c r="C28" s="9" t="s">
        <v>2045</v>
      </c>
      <c r="D28" s="8" t="s">
        <v>395</v>
      </c>
      <c r="E28" s="5"/>
      <c r="F28" s="5"/>
      <c r="G28" s="5"/>
      <c r="H28" s="5">
        <f>H9-H10-H11+H27</f>
        <v>0</v>
      </c>
      <c r="I28" s="5">
        <f>I9-I10-I11+I27</f>
        <v>0</v>
      </c>
      <c r="J28" s="5"/>
    </row>
    <row r="29" spans="1:10">
      <c r="A29" s="8" t="s">
        <v>13</v>
      </c>
      <c r="B29" s="1" t="s">
        <v>23</v>
      </c>
      <c r="C29" s="9" t="s">
        <v>2046</v>
      </c>
      <c r="D29" s="8" t="s">
        <v>397</v>
      </c>
      <c r="E29" s="5"/>
      <c r="F29" s="5"/>
      <c r="G29" s="5"/>
      <c r="H29" s="5"/>
      <c r="I29" s="5"/>
      <c r="J29" s="5"/>
    </row>
    <row r="30" spans="1:10">
      <c r="A30" s="8" t="s">
        <v>13</v>
      </c>
      <c r="B30" s="1" t="s">
        <v>70</v>
      </c>
      <c r="C30" s="9" t="s">
        <v>2047</v>
      </c>
      <c r="D30" s="8" t="s">
        <v>72</v>
      </c>
      <c r="E30" s="5"/>
      <c r="F30" s="5"/>
      <c r="G30" s="5"/>
      <c r="H30" s="5">
        <f>H28-H29</f>
        <v>0</v>
      </c>
      <c r="I30" s="5">
        <f>I28-I29</f>
        <v>0</v>
      </c>
      <c r="J30" s="5"/>
    </row>
    <row r="31" spans="1:10">
      <c r="A31" s="11"/>
      <c r="B31" s="11"/>
      <c r="C31" s="11"/>
      <c r="D31" s="11"/>
      <c r="E31" s="5"/>
      <c r="F31" s="5"/>
      <c r="G31" s="5"/>
      <c r="H31" s="5"/>
      <c r="I31" s="5"/>
      <c r="J31" s="5"/>
    </row>
    <row r="32" spans="1:10">
      <c r="A32" s="12" t="s">
        <v>13</v>
      </c>
      <c r="B32" s="12" t="s">
        <v>14</v>
      </c>
      <c r="C32" s="9" t="s">
        <v>2048</v>
      </c>
      <c r="D32" s="12" t="s">
        <v>605</v>
      </c>
      <c r="E32" s="5"/>
      <c r="F32" s="5"/>
      <c r="G32" s="5"/>
      <c r="H32" s="5">
        <f>H33</f>
        <v>0</v>
      </c>
      <c r="I32" s="5">
        <f>I33</f>
        <v>0</v>
      </c>
      <c r="J32" s="5"/>
    </row>
    <row r="33" spans="1:10">
      <c r="A33" s="12" t="s">
        <v>17</v>
      </c>
      <c r="B33" s="12" t="s">
        <v>14</v>
      </c>
      <c r="C33" s="9" t="s">
        <v>2049</v>
      </c>
      <c r="D33" s="12" t="s">
        <v>1162</v>
      </c>
      <c r="E33" s="5"/>
      <c r="F33" s="5"/>
      <c r="G33" s="5"/>
      <c r="H33" s="5"/>
      <c r="I33" s="5"/>
      <c r="J33" s="5"/>
    </row>
    <row r="34" spans="1:10">
      <c r="A34" s="1"/>
      <c r="B34" s="1"/>
      <c r="C34" s="10"/>
      <c r="D34" s="1"/>
      <c r="E34" s="5"/>
      <c r="F34" s="5"/>
      <c r="G34" s="5"/>
      <c r="H34" s="5"/>
      <c r="I34" s="5"/>
      <c r="J34" s="5"/>
    </row>
    <row r="35" spans="1:10">
      <c r="A35" s="12" t="s">
        <v>13</v>
      </c>
      <c r="B35" s="12" t="s">
        <v>23</v>
      </c>
      <c r="C35" s="9" t="s">
        <v>2050</v>
      </c>
      <c r="D35" s="12" t="s">
        <v>637</v>
      </c>
      <c r="E35" s="5"/>
      <c r="F35" s="5"/>
      <c r="G35" s="5"/>
      <c r="H35" s="5">
        <f>H36</f>
        <v>0</v>
      </c>
      <c r="I35" s="5">
        <f>I36</f>
        <v>0</v>
      </c>
      <c r="J35" s="5"/>
    </row>
    <row r="36" spans="1:10">
      <c r="A36" s="12" t="s">
        <v>17</v>
      </c>
      <c r="B36" s="12" t="s">
        <v>23</v>
      </c>
      <c r="C36" s="9" t="s">
        <v>2051</v>
      </c>
      <c r="D36" s="12" t="s">
        <v>1743</v>
      </c>
      <c r="E36" s="5"/>
      <c r="F36" s="5"/>
      <c r="G36" s="5"/>
      <c r="H36" s="5"/>
      <c r="I36" s="5"/>
      <c r="J36" s="5"/>
    </row>
    <row r="37" spans="1:10">
      <c r="A37" s="11"/>
      <c r="B37" s="11"/>
      <c r="C37" s="11"/>
      <c r="D37" s="11"/>
      <c r="E37" s="5"/>
      <c r="F37" s="5"/>
      <c r="G37" s="5"/>
      <c r="H37" s="5"/>
      <c r="I37" s="5"/>
      <c r="J37" s="5"/>
    </row>
    <row r="38" spans="1:10">
      <c r="A38" s="12" t="s">
        <v>13</v>
      </c>
      <c r="B38" s="12" t="s">
        <v>14</v>
      </c>
      <c r="C38" s="12" t="s">
        <v>2052</v>
      </c>
      <c r="D38" s="12" t="s">
        <v>677</v>
      </c>
      <c r="E38" s="5"/>
      <c r="F38" s="5"/>
      <c r="G38" s="5"/>
      <c r="H38" s="5"/>
      <c r="I38" s="5"/>
      <c r="J38" s="5"/>
    </row>
    <row r="39" spans="1:10">
      <c r="A39" s="11"/>
      <c r="B39" s="11"/>
      <c r="C39" s="11"/>
      <c r="D39" s="11"/>
      <c r="E39" s="5"/>
      <c r="F39" s="5"/>
      <c r="G39" s="5"/>
      <c r="H39" s="5"/>
      <c r="I39" s="5"/>
      <c r="J39" s="5"/>
    </row>
    <row r="40" spans="1:10">
      <c r="A40" s="12" t="s">
        <v>13</v>
      </c>
      <c r="B40" s="12" t="s">
        <v>14</v>
      </c>
      <c r="C40" s="12" t="s">
        <v>2053</v>
      </c>
      <c r="D40" s="12" t="s">
        <v>679</v>
      </c>
      <c r="E40" s="5"/>
      <c r="F40" s="5"/>
      <c r="G40" s="5"/>
      <c r="H40" s="5"/>
      <c r="I40" s="5"/>
      <c r="J40" s="5"/>
    </row>
    <row r="41" spans="1:10">
      <c r="A41" s="12"/>
      <c r="B41" s="12"/>
      <c r="C41" s="9"/>
      <c r="D41" s="12"/>
    </row>
    <row r="42" spans="1:10">
      <c r="A42" s="11"/>
      <c r="B42" s="11"/>
      <c r="C42" s="10"/>
      <c r="D42" s="11"/>
    </row>
    <row r="43" spans="1:10">
      <c r="A43" s="16"/>
      <c r="B43" s="16"/>
      <c r="C43" s="16"/>
      <c r="D43" s="16"/>
    </row>
    <row r="44" spans="1:10">
      <c r="A44" s="12"/>
      <c r="B44" s="12"/>
      <c r="C44" s="9"/>
      <c r="D44" s="12"/>
    </row>
    <row r="45" spans="1:10">
      <c r="A45" s="16"/>
      <c r="B45" s="16"/>
      <c r="C45" s="16"/>
      <c r="D45" s="16"/>
    </row>
    <row r="46" spans="1:10">
      <c r="A46" s="12"/>
      <c r="B46" s="12"/>
      <c r="C46" s="12"/>
      <c r="D46" s="12"/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workbookViewId="0">
      <selection activeCell="F9" sqref="F9"/>
    </sheetView>
  </sheetViews>
  <sheetFormatPr defaultColWidth="9" defaultRowHeight="16.8" outlineLevelCol="4"/>
  <cols>
    <col min="3" max="3" width="10.8303571428571" customWidth="1"/>
    <col min="4" max="4" width="17.5" customWidth="1"/>
  </cols>
  <sheetData>
    <row r="1" s="1" customFormat="1" ht="15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</row>
    <row r="2" spans="1:5">
      <c r="A2" s="8" t="s">
        <v>13</v>
      </c>
      <c r="B2" s="1" t="s">
        <v>14</v>
      </c>
      <c r="C2" s="9" t="s">
        <v>2054</v>
      </c>
      <c r="D2" s="8" t="s">
        <v>16</v>
      </c>
    </row>
    <row r="3" spans="1:5">
      <c r="A3" s="1" t="s">
        <v>17</v>
      </c>
      <c r="B3" s="1" t="s">
        <v>14</v>
      </c>
      <c r="C3" s="9" t="s">
        <v>2055</v>
      </c>
      <c r="D3" s="1" t="s">
        <v>19</v>
      </c>
    </row>
    <row r="4" spans="1:5">
      <c r="A4" s="1" t="s">
        <v>20</v>
      </c>
      <c r="B4" s="1" t="s">
        <v>14</v>
      </c>
      <c r="C4" s="10" t="s">
        <v>2056</v>
      </c>
      <c r="D4" s="1" t="s">
        <v>349</v>
      </c>
    </row>
    <row r="5" s="14" customFormat="1" spans="1:5">
      <c r="A5" s="11" t="s">
        <v>13</v>
      </c>
      <c r="B5" s="11" t="s">
        <v>14</v>
      </c>
      <c r="C5" s="11" t="s">
        <v>2057</v>
      </c>
      <c r="D5" s="11" t="s">
        <v>22</v>
      </c>
    </row>
    <row r="6" s="14" customFormat="1" spans="1:5">
      <c r="A6" s="1" t="s">
        <v>13</v>
      </c>
      <c r="B6" s="1" t="s">
        <v>23</v>
      </c>
      <c r="C6" s="10" t="s">
        <v>2058</v>
      </c>
      <c r="D6" s="1" t="s">
        <v>352</v>
      </c>
    </row>
    <row r="7" spans="1:5">
      <c r="A7" s="1" t="s">
        <v>20</v>
      </c>
      <c r="B7" s="1" t="s">
        <v>14</v>
      </c>
      <c r="C7" s="10" t="s">
        <v>2059</v>
      </c>
      <c r="D7" s="1" t="s">
        <v>354</v>
      </c>
    </row>
    <row r="8" spans="1:5">
      <c r="A8" s="8" t="s">
        <v>13</v>
      </c>
      <c r="B8" s="1" t="s">
        <v>23</v>
      </c>
      <c r="C8" s="10" t="s">
        <v>2060</v>
      </c>
      <c r="D8" s="1" t="s">
        <v>25</v>
      </c>
    </row>
    <row r="9" spans="1:5">
      <c r="A9" s="8" t="s">
        <v>13</v>
      </c>
      <c r="B9" s="1" t="s">
        <v>23</v>
      </c>
      <c r="C9" s="10" t="s">
        <v>2061</v>
      </c>
      <c r="D9" s="1" t="s">
        <v>357</v>
      </c>
    </row>
    <row r="10" spans="1:5">
      <c r="A10" s="1" t="s">
        <v>17</v>
      </c>
      <c r="B10" s="1" t="s">
        <v>14</v>
      </c>
      <c r="C10" s="9" t="s">
        <v>2062</v>
      </c>
      <c r="D10" s="1" t="s">
        <v>27</v>
      </c>
    </row>
    <row r="11" spans="1:5">
      <c r="A11" s="12" t="s">
        <v>13</v>
      </c>
      <c r="B11" s="12" t="s">
        <v>14</v>
      </c>
      <c r="C11" s="9" t="s">
        <v>2063</v>
      </c>
      <c r="D11" s="1" t="s">
        <v>29</v>
      </c>
    </row>
    <row r="12" spans="1:5">
      <c r="A12" s="12" t="s">
        <v>13</v>
      </c>
      <c r="B12" s="12" t="s">
        <v>23</v>
      </c>
      <c r="C12" s="9" t="s">
        <v>2064</v>
      </c>
      <c r="D12" s="1" t="s">
        <v>31</v>
      </c>
    </row>
    <row r="13" spans="1:5">
      <c r="A13" s="1" t="s">
        <v>17</v>
      </c>
      <c r="B13" s="1" t="s">
        <v>14</v>
      </c>
      <c r="C13" s="9" t="s">
        <v>2065</v>
      </c>
      <c r="D13" s="1" t="s">
        <v>33</v>
      </c>
    </row>
    <row r="14" spans="1:5">
      <c r="A14" s="8" t="s">
        <v>13</v>
      </c>
      <c r="B14" s="1" t="s">
        <v>23</v>
      </c>
      <c r="C14" s="9" t="s">
        <v>2066</v>
      </c>
      <c r="D14" s="8" t="s">
        <v>363</v>
      </c>
    </row>
    <row r="15" spans="1:5">
      <c r="A15" s="8" t="s">
        <v>13</v>
      </c>
      <c r="B15" s="1" t="s">
        <v>14</v>
      </c>
      <c r="C15" s="9" t="s">
        <v>2067</v>
      </c>
      <c r="D15" s="8" t="s">
        <v>45</v>
      </c>
    </row>
    <row r="16" spans="1:5">
      <c r="A16" s="8" t="s">
        <v>13</v>
      </c>
      <c r="B16" s="1" t="s">
        <v>23</v>
      </c>
      <c r="C16" s="9" t="s">
        <v>2068</v>
      </c>
      <c r="D16" s="8" t="s">
        <v>47</v>
      </c>
    </row>
    <row r="17" spans="1:4">
      <c r="A17" s="8" t="s">
        <v>13</v>
      </c>
      <c r="B17" s="1" t="s">
        <v>23</v>
      </c>
      <c r="C17" s="9" t="s">
        <v>2069</v>
      </c>
      <c r="D17" s="8" t="s">
        <v>367</v>
      </c>
    </row>
    <row r="18" spans="1:4">
      <c r="A18" s="1" t="s">
        <v>17</v>
      </c>
      <c r="B18" s="1" t="s">
        <v>23</v>
      </c>
      <c r="C18" s="9" t="s">
        <v>2070</v>
      </c>
      <c r="D18" s="1" t="s">
        <v>369</v>
      </c>
    </row>
    <row r="19" spans="1:4">
      <c r="A19" s="1" t="s">
        <v>20</v>
      </c>
      <c r="B19" s="1" t="s">
        <v>23</v>
      </c>
      <c r="C19" s="10" t="s">
        <v>2071</v>
      </c>
      <c r="D19" s="1" t="s">
        <v>53</v>
      </c>
    </row>
    <row r="20" spans="1:4">
      <c r="A20" s="1" t="s">
        <v>20</v>
      </c>
      <c r="B20" s="1" t="s">
        <v>23</v>
      </c>
      <c r="C20" s="10" t="s">
        <v>2072</v>
      </c>
      <c r="D20" s="1" t="s">
        <v>372</v>
      </c>
    </row>
    <row r="21" spans="1:4">
      <c r="A21" s="1" t="s">
        <v>17</v>
      </c>
      <c r="B21" s="1" t="s">
        <v>23</v>
      </c>
      <c r="C21" s="9" t="s">
        <v>2073</v>
      </c>
      <c r="D21" s="1" t="s">
        <v>59</v>
      </c>
    </row>
    <row r="22" spans="1:4">
      <c r="A22" s="1" t="s">
        <v>20</v>
      </c>
      <c r="B22" s="1" t="s">
        <v>23</v>
      </c>
      <c r="C22" s="10" t="s">
        <v>2074</v>
      </c>
      <c r="D22" s="1" t="s">
        <v>61</v>
      </c>
    </row>
    <row r="23" spans="1:4">
      <c r="A23" s="1" t="s">
        <v>20</v>
      </c>
      <c r="B23" s="1" t="s">
        <v>23</v>
      </c>
      <c r="C23" s="10" t="s">
        <v>2075</v>
      </c>
      <c r="D23" s="1" t="s">
        <v>63</v>
      </c>
    </row>
    <row r="24" spans="1:4">
      <c r="A24" s="1" t="s">
        <v>17</v>
      </c>
      <c r="B24" s="1" t="s">
        <v>23</v>
      </c>
      <c r="C24" s="9" t="s">
        <v>2076</v>
      </c>
      <c r="D24" s="1" t="s">
        <v>65</v>
      </c>
    </row>
    <row r="25" spans="1:4">
      <c r="A25" s="1" t="s">
        <v>20</v>
      </c>
      <c r="B25" s="1" t="s">
        <v>23</v>
      </c>
      <c r="C25" s="10" t="s">
        <v>2077</v>
      </c>
      <c r="D25" s="1" t="s">
        <v>378</v>
      </c>
    </row>
    <row r="26" spans="1:4">
      <c r="A26" s="1" t="s">
        <v>379</v>
      </c>
      <c r="B26" s="1" t="s">
        <v>23</v>
      </c>
      <c r="C26" s="10" t="s">
        <v>2078</v>
      </c>
      <c r="D26" s="1" t="s">
        <v>381</v>
      </c>
    </row>
    <row r="27" spans="1:4">
      <c r="A27" s="1" t="s">
        <v>379</v>
      </c>
      <c r="B27" s="1" t="s">
        <v>23</v>
      </c>
      <c r="C27" s="10" t="s">
        <v>2079</v>
      </c>
      <c r="D27" s="1" t="s">
        <v>383</v>
      </c>
    </row>
    <row r="28" spans="1:4">
      <c r="A28" s="1" t="s">
        <v>20</v>
      </c>
      <c r="B28" s="1" t="s">
        <v>23</v>
      </c>
      <c r="C28" s="10" t="s">
        <v>2080</v>
      </c>
      <c r="D28" s="1" t="s">
        <v>385</v>
      </c>
    </row>
    <row r="29" spans="1:4">
      <c r="A29" s="1" t="s">
        <v>20</v>
      </c>
      <c r="B29" s="1" t="s">
        <v>23</v>
      </c>
      <c r="C29" s="10" t="s">
        <v>2081</v>
      </c>
      <c r="D29" s="1" t="s">
        <v>387</v>
      </c>
    </row>
    <row r="30" spans="1:4">
      <c r="A30" s="1" t="s">
        <v>20</v>
      </c>
      <c r="B30" s="1" t="s">
        <v>23</v>
      </c>
      <c r="C30" s="10" t="s">
        <v>2082</v>
      </c>
      <c r="D30" s="1" t="s">
        <v>389</v>
      </c>
    </row>
    <row r="31" spans="1:4">
      <c r="A31" s="1" t="s">
        <v>17</v>
      </c>
      <c r="B31" s="1" t="s">
        <v>23</v>
      </c>
      <c r="C31" s="9" t="s">
        <v>2083</v>
      </c>
      <c r="D31" s="1" t="s">
        <v>391</v>
      </c>
    </row>
    <row r="32" spans="1:4">
      <c r="A32" s="1" t="s">
        <v>17</v>
      </c>
      <c r="B32" s="1" t="s">
        <v>23</v>
      </c>
      <c r="C32" s="9" t="s">
        <v>2084</v>
      </c>
      <c r="D32" s="1" t="s">
        <v>67</v>
      </c>
    </row>
    <row r="33" spans="1:4">
      <c r="A33" s="8" t="s">
        <v>13</v>
      </c>
      <c r="B33" s="1" t="s">
        <v>14</v>
      </c>
      <c r="C33" s="9" t="s">
        <v>2085</v>
      </c>
      <c r="D33" s="8" t="s">
        <v>69</v>
      </c>
    </row>
    <row r="34" spans="1:4">
      <c r="A34" s="8" t="s">
        <v>13</v>
      </c>
      <c r="B34" s="1" t="s">
        <v>70</v>
      </c>
      <c r="C34" s="9" t="s">
        <v>2086</v>
      </c>
      <c r="D34" s="8" t="s">
        <v>395</v>
      </c>
    </row>
    <row r="35" spans="1:4">
      <c r="A35" s="8" t="s">
        <v>13</v>
      </c>
      <c r="B35" s="1" t="s">
        <v>23</v>
      </c>
      <c r="C35" s="9" t="s">
        <v>2087</v>
      </c>
      <c r="D35" s="8" t="s">
        <v>397</v>
      </c>
    </row>
    <row r="36" spans="1:4">
      <c r="A36" s="8" t="s">
        <v>13</v>
      </c>
      <c r="B36" s="1" t="s">
        <v>70</v>
      </c>
      <c r="C36" s="9" t="s">
        <v>2088</v>
      </c>
      <c r="D36" s="8" t="s">
        <v>72</v>
      </c>
    </row>
    <row r="37" spans="1:4">
      <c r="A37" s="11"/>
      <c r="B37" s="11"/>
      <c r="C37" s="11"/>
      <c r="D37" s="11"/>
    </row>
    <row r="38" spans="1:4">
      <c r="A38" s="12" t="s">
        <v>13</v>
      </c>
      <c r="B38" s="12" t="s">
        <v>77</v>
      </c>
      <c r="C38" s="12" t="s">
        <v>2089</v>
      </c>
      <c r="D38" s="12" t="s">
        <v>908</v>
      </c>
    </row>
    <row r="39" spans="1:4">
      <c r="A39" s="11" t="s">
        <v>17</v>
      </c>
      <c r="B39" s="11" t="s">
        <v>77</v>
      </c>
      <c r="C39" s="11" t="s">
        <v>2090</v>
      </c>
      <c r="D39" s="11" t="s">
        <v>407</v>
      </c>
    </row>
    <row r="40" spans="1:4">
      <c r="A40" s="11" t="s">
        <v>20</v>
      </c>
      <c r="B40" s="11" t="s">
        <v>77</v>
      </c>
      <c r="C40" s="11" t="s">
        <v>2091</v>
      </c>
      <c r="D40" s="11" t="s">
        <v>85</v>
      </c>
    </row>
    <row r="41" spans="1:4">
      <c r="A41" s="12" t="s">
        <v>13</v>
      </c>
      <c r="B41" s="12" t="s">
        <v>182</v>
      </c>
      <c r="C41" s="12" t="s">
        <v>2092</v>
      </c>
      <c r="D41" s="12" t="s">
        <v>405</v>
      </c>
    </row>
    <row r="42" spans="1:4">
      <c r="A42" s="11" t="s">
        <v>17</v>
      </c>
      <c r="B42" s="11" t="s">
        <v>182</v>
      </c>
      <c r="C42" s="11" t="s">
        <v>2093</v>
      </c>
      <c r="D42" s="11" t="s">
        <v>407</v>
      </c>
    </row>
    <row r="43" spans="1:4">
      <c r="A43" s="11" t="s">
        <v>20</v>
      </c>
      <c r="B43" s="11" t="s">
        <v>182</v>
      </c>
      <c r="C43" s="11" t="s">
        <v>2094</v>
      </c>
      <c r="D43" s="11" t="s">
        <v>85</v>
      </c>
    </row>
    <row r="44" spans="1:4">
      <c r="A44" s="11"/>
      <c r="B44" s="11"/>
      <c r="C44" s="11"/>
      <c r="D44" s="11"/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5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C18" sqref="C18"/>
    </sheetView>
  </sheetViews>
  <sheetFormatPr defaultColWidth="9" defaultRowHeight="15" customHeight="1"/>
  <cols>
    <col min="1" max="2" width="8.66071428571429" style="5"/>
    <col min="3" max="3" width="11" style="5" customWidth="1"/>
    <col min="4" max="4" width="17.5" style="5" customWidth="1"/>
    <col min="5" max="9" width="8.66071428571429" style="5"/>
    <col min="10" max="10" width="10.1607142857143" style="5" customWidth="1"/>
    <col min="11" max="13" width="8.66071428571429" style="5"/>
    <col min="14" max="15" width="8.66071428571429" style="6"/>
    <col min="16" max="16384" width="8.66071428571429" style="5"/>
  </cols>
  <sheetData>
    <row r="1" s="1" customFormat="1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7"/>
      <c r="O1" s="7"/>
    </row>
    <row r="2" customHeight="1" spans="1:15">
      <c r="A2" s="8" t="s">
        <v>13</v>
      </c>
      <c r="B2" s="1" t="s">
        <v>14</v>
      </c>
      <c r="C2" s="9" t="s">
        <v>2095</v>
      </c>
      <c r="D2" s="8" t="s">
        <v>16</v>
      </c>
      <c r="H2" s="5">
        <f>H3+H6+H7</f>
        <v>0</v>
      </c>
      <c r="I2" s="5">
        <f>I3+I6+I7</f>
        <v>0</v>
      </c>
    </row>
    <row r="3" customHeight="1" spans="1:15">
      <c r="A3" s="1" t="s">
        <v>17</v>
      </c>
      <c r="B3" s="1" t="s">
        <v>14</v>
      </c>
      <c r="C3" s="9" t="s">
        <v>2096</v>
      </c>
      <c r="D3" s="1" t="s">
        <v>19</v>
      </c>
      <c r="H3" s="5">
        <f>H4+H5</f>
        <v>0</v>
      </c>
      <c r="I3" s="5">
        <f>I4+I5</f>
        <v>0</v>
      </c>
    </row>
    <row r="4" customHeight="1" spans="1:15">
      <c r="A4" s="1" t="s">
        <v>20</v>
      </c>
      <c r="B4" s="1" t="s">
        <v>14</v>
      </c>
      <c r="C4" s="10" t="s">
        <v>2097</v>
      </c>
      <c r="D4" s="1" t="s">
        <v>349</v>
      </c>
      <c r="H4" s="5">
        <f>H60-H72</f>
        <v>0</v>
      </c>
      <c r="I4" s="5">
        <f>I60-I72</f>
        <v>0</v>
      </c>
    </row>
    <row r="5" customHeight="1" spans="1:15">
      <c r="A5" s="1" t="s">
        <v>20</v>
      </c>
      <c r="B5" s="1" t="s">
        <v>14</v>
      </c>
      <c r="C5" s="10" t="s">
        <v>2098</v>
      </c>
      <c r="D5" s="1" t="s">
        <v>354</v>
      </c>
      <c r="H5" s="5">
        <f>H82-H75</f>
        <v>0</v>
      </c>
      <c r="I5" s="5">
        <f>I82-I75</f>
        <v>0</v>
      </c>
    </row>
    <row r="6" customHeight="1" spans="1:15">
      <c r="A6" s="1" t="s">
        <v>17</v>
      </c>
      <c r="B6" s="1" t="s">
        <v>14</v>
      </c>
      <c r="C6" s="9" t="s">
        <v>2099</v>
      </c>
      <c r="D6" s="1" t="s">
        <v>27</v>
      </c>
      <c r="H6" s="5">
        <f>H85-H88</f>
        <v>0</v>
      </c>
      <c r="I6" s="5">
        <f>I85-I88</f>
        <v>0</v>
      </c>
    </row>
    <row r="7" customHeight="1" spans="1:15">
      <c r="A7" s="1" t="s">
        <v>17</v>
      </c>
      <c r="B7" s="1" t="s">
        <v>14</v>
      </c>
      <c r="C7" s="9" t="s">
        <v>2100</v>
      </c>
      <c r="D7" s="1" t="s">
        <v>33</v>
      </c>
      <c r="H7" s="5">
        <f>H91+H95</f>
        <v>0</v>
      </c>
      <c r="I7" s="5">
        <f>I91+I95</f>
        <v>0</v>
      </c>
    </row>
    <row r="8" customHeight="1" spans="1:15">
      <c r="A8" s="8" t="s">
        <v>13</v>
      </c>
      <c r="B8" s="1" t="s">
        <v>23</v>
      </c>
      <c r="C8" s="9" t="s">
        <v>2101</v>
      </c>
      <c r="D8" s="8" t="s">
        <v>363</v>
      </c>
    </row>
    <row r="9" customHeight="1" spans="1:15">
      <c r="A9" s="8" t="s">
        <v>13</v>
      </c>
      <c r="B9" s="1" t="s">
        <v>14</v>
      </c>
      <c r="C9" s="9" t="s">
        <v>2102</v>
      </c>
      <c r="D9" s="8" t="s">
        <v>45</v>
      </c>
      <c r="H9" s="5">
        <f>H2-H8</f>
        <v>0</v>
      </c>
      <c r="I9" s="5">
        <f>I2-I8</f>
        <v>0</v>
      </c>
    </row>
    <row r="10" customHeight="1" spans="1:15">
      <c r="A10" s="8" t="s">
        <v>13</v>
      </c>
      <c r="B10" s="1" t="s">
        <v>23</v>
      </c>
      <c r="C10" s="9" t="s">
        <v>2103</v>
      </c>
      <c r="D10" s="8" t="s">
        <v>47</v>
      </c>
    </row>
    <row r="11" customHeight="1" spans="1:15">
      <c r="A11" s="8" t="s">
        <v>13</v>
      </c>
      <c r="B11" s="1" t="s">
        <v>23</v>
      </c>
      <c r="C11" s="9" t="s">
        <v>2104</v>
      </c>
      <c r="D11" s="8" t="s">
        <v>367</v>
      </c>
      <c r="H11" s="5">
        <f>H12+H15+H18+H25+H26</f>
        <v>0</v>
      </c>
      <c r="I11" s="5">
        <f>I12+I15+I18+I25+I26</f>
        <v>0</v>
      </c>
    </row>
    <row r="12" customHeight="1" spans="1:15">
      <c r="A12" s="1" t="s">
        <v>17</v>
      </c>
      <c r="B12" s="1" t="s">
        <v>23</v>
      </c>
      <c r="C12" s="9" t="s">
        <v>2105</v>
      </c>
      <c r="D12" s="1" t="s">
        <v>369</v>
      </c>
      <c r="H12" s="5">
        <f>H13+H14</f>
        <v>0</v>
      </c>
      <c r="I12" s="5">
        <f>I13+I14</f>
        <v>0</v>
      </c>
    </row>
    <row r="13" customHeight="1" spans="1:15">
      <c r="A13" s="1" t="s">
        <v>20</v>
      </c>
      <c r="B13" s="1" t="s">
        <v>23</v>
      </c>
      <c r="C13" s="10" t="s">
        <v>2106</v>
      </c>
      <c r="D13" s="1" t="s">
        <v>53</v>
      </c>
    </row>
    <row r="14" customHeight="1" spans="1:15">
      <c r="A14" s="1" t="s">
        <v>20</v>
      </c>
      <c r="B14" s="1" t="s">
        <v>23</v>
      </c>
      <c r="C14" s="10" t="s">
        <v>2107</v>
      </c>
      <c r="D14" s="1" t="s">
        <v>372</v>
      </c>
    </row>
    <row r="15" customHeight="1" spans="1:15">
      <c r="A15" s="1" t="s">
        <v>17</v>
      </c>
      <c r="B15" s="1" t="s">
        <v>23</v>
      </c>
      <c r="C15" s="9" t="s">
        <v>2108</v>
      </c>
      <c r="D15" s="1" t="s">
        <v>59</v>
      </c>
      <c r="H15" s="5">
        <f>H16+H17</f>
        <v>0</v>
      </c>
      <c r="I15" s="5">
        <f>I16+I17</f>
        <v>0</v>
      </c>
    </row>
    <row r="16" customHeight="1" spans="1:15">
      <c r="A16" s="1" t="s">
        <v>20</v>
      </c>
      <c r="B16" s="1" t="s">
        <v>23</v>
      </c>
      <c r="C16" s="10" t="s">
        <v>2109</v>
      </c>
      <c r="D16" s="1" t="s">
        <v>61</v>
      </c>
    </row>
    <row r="17" customHeight="1" spans="1:9">
      <c r="A17" s="1" t="s">
        <v>20</v>
      </c>
      <c r="B17" s="1" t="s">
        <v>23</v>
      </c>
      <c r="C17" s="10" t="s">
        <v>2110</v>
      </c>
      <c r="D17" s="1" t="s">
        <v>63</v>
      </c>
    </row>
    <row r="18" customHeight="1" spans="1:9">
      <c r="A18" s="1" t="s">
        <v>17</v>
      </c>
      <c r="B18" s="1" t="s">
        <v>23</v>
      </c>
      <c r="C18" s="9" t="s">
        <v>2111</v>
      </c>
      <c r="D18" s="1" t="s">
        <v>65</v>
      </c>
      <c r="H18" s="5">
        <f>H19+H22+H23+H24</f>
        <v>0</v>
      </c>
      <c r="I18" s="5">
        <f>I19+I22+I23+I24</f>
        <v>0</v>
      </c>
    </row>
    <row r="19" customHeight="1" spans="1:9">
      <c r="A19" s="1" t="s">
        <v>20</v>
      </c>
      <c r="B19" s="1" t="s">
        <v>23</v>
      </c>
      <c r="C19" s="10" t="s">
        <v>2112</v>
      </c>
      <c r="D19" s="1" t="s">
        <v>378</v>
      </c>
      <c r="H19" s="5">
        <f>H20+H21</f>
        <v>0</v>
      </c>
      <c r="I19" s="5">
        <f>I20+I21</f>
        <v>0</v>
      </c>
    </row>
    <row r="20" customHeight="1" spans="1:9">
      <c r="A20" s="1" t="s">
        <v>379</v>
      </c>
      <c r="B20" s="1" t="s">
        <v>23</v>
      </c>
      <c r="C20" s="10" t="s">
        <v>2113</v>
      </c>
      <c r="D20" s="1" t="s">
        <v>381</v>
      </c>
    </row>
    <row r="21" customHeight="1" spans="1:9">
      <c r="A21" s="1" t="s">
        <v>379</v>
      </c>
      <c r="B21" s="1" t="s">
        <v>23</v>
      </c>
      <c r="C21" s="10" t="s">
        <v>2114</v>
      </c>
      <c r="D21" s="1" t="s">
        <v>383</v>
      </c>
    </row>
    <row r="22" customHeight="1" spans="1:9">
      <c r="A22" s="1" t="s">
        <v>20</v>
      </c>
      <c r="B22" s="1" t="s">
        <v>23</v>
      </c>
      <c r="C22" s="10" t="s">
        <v>2115</v>
      </c>
      <c r="D22" s="1" t="s">
        <v>385</v>
      </c>
    </row>
    <row r="23" customHeight="1" spans="1:9">
      <c r="A23" s="1" t="s">
        <v>20</v>
      </c>
      <c r="B23" s="1" t="s">
        <v>23</v>
      </c>
      <c r="C23" s="10" t="s">
        <v>2116</v>
      </c>
      <c r="D23" s="1" t="s">
        <v>387</v>
      </c>
    </row>
    <row r="24" customHeight="1" spans="1:9">
      <c r="A24" s="1" t="s">
        <v>20</v>
      </c>
      <c r="B24" s="1" t="s">
        <v>23</v>
      </c>
      <c r="C24" s="10" t="s">
        <v>2117</v>
      </c>
      <c r="D24" s="1" t="s">
        <v>389</v>
      </c>
    </row>
    <row r="25" customHeight="1" spans="1:9">
      <c r="A25" s="1" t="s">
        <v>17</v>
      </c>
      <c r="B25" s="1" t="s">
        <v>23</v>
      </c>
      <c r="C25" s="9" t="s">
        <v>2118</v>
      </c>
      <c r="D25" s="1" t="s">
        <v>391</v>
      </c>
    </row>
    <row r="26" customHeight="1" spans="1:9">
      <c r="A26" s="1" t="s">
        <v>17</v>
      </c>
      <c r="B26" s="1" t="s">
        <v>23</v>
      </c>
      <c r="C26" s="9" t="s">
        <v>2119</v>
      </c>
      <c r="D26" s="1" t="s">
        <v>67</v>
      </c>
    </row>
    <row r="27" customHeight="1" spans="1:9">
      <c r="A27" s="8" t="s">
        <v>13</v>
      </c>
      <c r="B27" s="1" t="s">
        <v>14</v>
      </c>
      <c r="C27" s="9" t="s">
        <v>2120</v>
      </c>
      <c r="D27" s="8" t="s">
        <v>69</v>
      </c>
    </row>
    <row r="28" customHeight="1" spans="1:9">
      <c r="A28" s="8" t="s">
        <v>13</v>
      </c>
      <c r="B28" s="1" t="s">
        <v>70</v>
      </c>
      <c r="C28" s="9" t="s">
        <v>2121</v>
      </c>
      <c r="D28" s="8" t="s">
        <v>395</v>
      </c>
      <c r="H28" s="5">
        <f>H9-H10-H11+H27</f>
        <v>0</v>
      </c>
      <c r="I28" s="5">
        <f>I9-I10-I11+I27</f>
        <v>0</v>
      </c>
    </row>
    <row r="29" customHeight="1" spans="1:9">
      <c r="A29" s="8" t="s">
        <v>13</v>
      </c>
      <c r="B29" s="1" t="s">
        <v>23</v>
      </c>
      <c r="C29" s="9" t="s">
        <v>2122</v>
      </c>
      <c r="D29" s="8" t="s">
        <v>397</v>
      </c>
    </row>
    <row r="30" customHeight="1" spans="1:9">
      <c r="A30" s="8" t="s">
        <v>13</v>
      </c>
      <c r="B30" s="1" t="s">
        <v>70</v>
      </c>
      <c r="C30" s="9" t="s">
        <v>2123</v>
      </c>
      <c r="D30" s="8" t="s">
        <v>72</v>
      </c>
      <c r="H30" s="5">
        <f>H28-H29</f>
        <v>0</v>
      </c>
      <c r="I30" s="5">
        <f>I28-I29</f>
        <v>0</v>
      </c>
    </row>
    <row r="31" customHeight="1" spans="1:9">
      <c r="A31" s="11"/>
      <c r="B31" s="11"/>
      <c r="C31" s="11"/>
      <c r="D31" s="11"/>
    </row>
    <row r="32" customHeight="1" spans="1:9">
      <c r="A32" s="12" t="s">
        <v>13</v>
      </c>
      <c r="B32" s="12" t="s">
        <v>77</v>
      </c>
      <c r="C32" s="12" t="s">
        <v>2124</v>
      </c>
      <c r="D32" s="12" t="s">
        <v>908</v>
      </c>
      <c r="H32" s="5">
        <f>H33</f>
        <v>0</v>
      </c>
      <c r="I32" s="5">
        <f>I33</f>
        <v>0</v>
      </c>
    </row>
    <row r="33" customHeight="1" spans="1:9">
      <c r="A33" s="11" t="s">
        <v>17</v>
      </c>
      <c r="B33" s="11" t="s">
        <v>77</v>
      </c>
      <c r="C33" s="11" t="s">
        <v>2125</v>
      </c>
      <c r="D33" s="11" t="s">
        <v>407</v>
      </c>
      <c r="H33" s="5">
        <f>H34</f>
        <v>0</v>
      </c>
      <c r="I33" s="5">
        <f>I34</f>
        <v>0</v>
      </c>
    </row>
    <row r="34" customHeight="1" spans="1:9">
      <c r="A34" s="11" t="s">
        <v>20</v>
      </c>
      <c r="B34" s="11" t="s">
        <v>77</v>
      </c>
      <c r="C34" s="11" t="s">
        <v>2126</v>
      </c>
      <c r="D34" s="11" t="s">
        <v>85</v>
      </c>
    </row>
    <row r="35" customHeight="1" spans="1:9">
      <c r="A35" s="12" t="s">
        <v>13</v>
      </c>
      <c r="B35" s="12" t="s">
        <v>182</v>
      </c>
      <c r="C35" s="12" t="s">
        <v>2127</v>
      </c>
      <c r="D35" s="12" t="s">
        <v>405</v>
      </c>
      <c r="H35" s="5">
        <f>H36</f>
        <v>0</v>
      </c>
      <c r="I35" s="5">
        <f>I36</f>
        <v>0</v>
      </c>
    </row>
    <row r="36" customHeight="1" spans="1:9">
      <c r="A36" s="11" t="s">
        <v>17</v>
      </c>
      <c r="B36" s="11" t="s">
        <v>182</v>
      </c>
      <c r="C36" s="11" t="s">
        <v>2128</v>
      </c>
      <c r="D36" s="11" t="s">
        <v>407</v>
      </c>
      <c r="H36" s="5">
        <f>H37</f>
        <v>0</v>
      </c>
      <c r="I36" s="5">
        <f>I37</f>
        <v>0</v>
      </c>
    </row>
    <row r="37" customHeight="1" spans="1:9">
      <c r="A37" s="11" t="s">
        <v>20</v>
      </c>
      <c r="B37" s="11" t="s">
        <v>182</v>
      </c>
      <c r="C37" s="11" t="s">
        <v>2129</v>
      </c>
      <c r="D37" s="11" t="s">
        <v>85</v>
      </c>
    </row>
    <row r="38" customHeight="1" spans="1:9">
      <c r="A38" s="11"/>
      <c r="B38" s="11"/>
      <c r="C38" s="11"/>
      <c r="D38" s="11"/>
    </row>
    <row r="39" customHeight="1" spans="1:9">
      <c r="A39" s="8" t="s">
        <v>13</v>
      </c>
      <c r="B39" s="8" t="s">
        <v>77</v>
      </c>
      <c r="C39" s="9" t="s">
        <v>2130</v>
      </c>
      <c r="D39" s="12" t="s">
        <v>1538</v>
      </c>
      <c r="E39" s="13"/>
      <c r="F39" s="13"/>
      <c r="G39" s="13"/>
      <c r="H39" s="13">
        <f>H40+H41</f>
        <v>0</v>
      </c>
      <c r="I39" s="13">
        <f>I40+I41</f>
        <v>0</v>
      </c>
    </row>
    <row r="40" customHeight="1" spans="1:9">
      <c r="A40" s="11" t="s">
        <v>17</v>
      </c>
      <c r="B40" s="11" t="s">
        <v>77</v>
      </c>
      <c r="C40" s="11" t="s">
        <v>2131</v>
      </c>
      <c r="D40" s="11" t="s">
        <v>1540</v>
      </c>
    </row>
    <row r="41" customHeight="1" spans="1:9">
      <c r="A41" s="11" t="s">
        <v>17</v>
      </c>
      <c r="B41" s="11" t="s">
        <v>77</v>
      </c>
      <c r="C41" s="11" t="s">
        <v>2132</v>
      </c>
      <c r="D41" s="11" t="s">
        <v>1542</v>
      </c>
    </row>
    <row r="42" customHeight="1" spans="1:9">
      <c r="A42" s="12" t="s">
        <v>13</v>
      </c>
      <c r="B42" s="12" t="s">
        <v>182</v>
      </c>
      <c r="C42" s="12" t="s">
        <v>2133</v>
      </c>
      <c r="D42" s="12" t="s">
        <v>1544</v>
      </c>
      <c r="E42" s="13"/>
      <c r="F42" s="13"/>
      <c r="G42" s="13"/>
      <c r="H42" s="13">
        <f>H43+H44</f>
        <v>0</v>
      </c>
      <c r="I42" s="13">
        <f>I43+I44</f>
        <v>0</v>
      </c>
    </row>
    <row r="43" customHeight="1" spans="1:9">
      <c r="A43" s="11" t="s">
        <v>17</v>
      </c>
      <c r="B43" s="11" t="s">
        <v>182</v>
      </c>
      <c r="C43" s="11" t="s">
        <v>2134</v>
      </c>
      <c r="D43" s="11" t="s">
        <v>1540</v>
      </c>
    </row>
    <row r="44" customHeight="1" spans="1:9">
      <c r="A44" s="11" t="s">
        <v>17</v>
      </c>
      <c r="B44" s="11" t="s">
        <v>182</v>
      </c>
      <c r="C44" s="11" t="s">
        <v>2135</v>
      </c>
      <c r="D44" s="11" t="s">
        <v>1542</v>
      </c>
    </row>
    <row r="45" customHeight="1" spans="1:9">
      <c r="A45" s="11"/>
      <c r="B45" s="11"/>
      <c r="C45" s="11"/>
      <c r="D45" s="11"/>
    </row>
    <row r="46" customHeight="1" spans="1:9">
      <c r="A46" s="8" t="s">
        <v>13</v>
      </c>
      <c r="B46" s="8" t="s">
        <v>77</v>
      </c>
      <c r="C46" s="12" t="s">
        <v>2136</v>
      </c>
      <c r="D46" s="12" t="s">
        <v>478</v>
      </c>
      <c r="E46" s="13"/>
      <c r="F46" s="13"/>
      <c r="G46" s="13"/>
      <c r="H46" s="13">
        <f>H47+H48</f>
        <v>0</v>
      </c>
      <c r="I46" s="13">
        <f>I47+I48</f>
        <v>0</v>
      </c>
    </row>
    <row r="47" customHeight="1" spans="1:9">
      <c r="A47" s="11" t="s">
        <v>17</v>
      </c>
      <c r="B47" s="11" t="s">
        <v>77</v>
      </c>
      <c r="C47" s="11" t="s">
        <v>2137</v>
      </c>
      <c r="D47" s="11" t="s">
        <v>298</v>
      </c>
    </row>
    <row r="48" customHeight="1" spans="1:9">
      <c r="A48" s="11" t="s">
        <v>17</v>
      </c>
      <c r="B48" s="11" t="s">
        <v>77</v>
      </c>
      <c r="C48" s="11" t="s">
        <v>2138</v>
      </c>
      <c r="D48" s="11" t="s">
        <v>299</v>
      </c>
    </row>
    <row r="49" customHeight="1" spans="1:10">
      <c r="A49" s="8" t="s">
        <v>13</v>
      </c>
      <c r="B49" s="8" t="s">
        <v>182</v>
      </c>
      <c r="C49" s="12" t="s">
        <v>2139</v>
      </c>
      <c r="D49" s="12" t="s">
        <v>482</v>
      </c>
      <c r="E49" s="13"/>
      <c r="F49" s="13"/>
      <c r="G49" s="13"/>
      <c r="H49" s="13">
        <f>H50+H51</f>
        <v>0</v>
      </c>
      <c r="I49" s="13">
        <f>I50+I51</f>
        <v>0</v>
      </c>
    </row>
    <row r="50" customHeight="1" spans="1:10">
      <c r="A50" s="11" t="s">
        <v>17</v>
      </c>
      <c r="B50" s="11" t="s">
        <v>182</v>
      </c>
      <c r="C50" s="11" t="s">
        <v>2140</v>
      </c>
      <c r="D50" s="11" t="s">
        <v>298</v>
      </c>
    </row>
    <row r="51" customHeight="1" spans="1:10">
      <c r="A51" s="11" t="s">
        <v>17</v>
      </c>
      <c r="B51" s="11" t="s">
        <v>182</v>
      </c>
      <c r="C51" s="11" t="s">
        <v>2141</v>
      </c>
      <c r="D51" s="11" t="s">
        <v>299</v>
      </c>
    </row>
    <row r="52" customHeight="1" spans="1:10">
      <c r="A52" s="11"/>
      <c r="B52" s="11"/>
      <c r="C52" s="11"/>
      <c r="D52" s="11"/>
    </row>
    <row r="53" customHeight="1" spans="1:10">
      <c r="A53" s="8" t="s">
        <v>13</v>
      </c>
      <c r="B53" s="8" t="s">
        <v>92</v>
      </c>
      <c r="C53" s="12" t="s">
        <v>1616</v>
      </c>
      <c r="D53" s="12" t="s">
        <v>486</v>
      </c>
      <c r="E53" s="13"/>
      <c r="F53" s="13"/>
      <c r="G53" s="13"/>
      <c r="H53" s="13">
        <f>H54+H55</f>
        <v>0</v>
      </c>
      <c r="I53" s="13">
        <f>I54+I55</f>
        <v>0</v>
      </c>
    </row>
    <row r="54" customHeight="1" spans="1:10">
      <c r="A54" s="1" t="s">
        <v>17</v>
      </c>
      <c r="B54" s="1" t="s">
        <v>92</v>
      </c>
      <c r="C54" s="11" t="s">
        <v>2142</v>
      </c>
      <c r="D54" s="11" t="s">
        <v>305</v>
      </c>
    </row>
    <row r="55" customHeight="1" spans="1:10">
      <c r="A55" s="11" t="s">
        <v>17</v>
      </c>
      <c r="B55" s="1" t="s">
        <v>92</v>
      </c>
      <c r="C55" s="11" t="s">
        <v>1617</v>
      </c>
      <c r="D55" s="11" t="s">
        <v>306</v>
      </c>
    </row>
    <row r="56" customHeight="1" spans="1:10">
      <c r="A56" s="8" t="s">
        <v>13</v>
      </c>
      <c r="B56" s="8" t="s">
        <v>201</v>
      </c>
      <c r="C56" s="12" t="s">
        <v>1625</v>
      </c>
      <c r="D56" s="12" t="s">
        <v>490</v>
      </c>
      <c r="E56" s="13"/>
      <c r="F56" s="13"/>
      <c r="G56" s="13"/>
      <c r="H56" s="13">
        <f>H57+H58</f>
        <v>0</v>
      </c>
      <c r="I56" s="13">
        <f>I57+I58</f>
        <v>0</v>
      </c>
    </row>
    <row r="57" customHeight="1" spans="1:10">
      <c r="A57" s="1" t="s">
        <v>17</v>
      </c>
      <c r="B57" s="1" t="s">
        <v>201</v>
      </c>
      <c r="C57" s="11" t="s">
        <v>2143</v>
      </c>
      <c r="D57" s="11" t="s">
        <v>305</v>
      </c>
    </row>
    <row r="58" customHeight="1" spans="1:10">
      <c r="A58" s="11" t="s">
        <v>17</v>
      </c>
      <c r="B58" s="1" t="s">
        <v>201</v>
      </c>
      <c r="C58" s="11" t="s">
        <v>1626</v>
      </c>
      <c r="D58" s="11" t="s">
        <v>306</v>
      </c>
    </row>
    <row r="59" customHeight="1" spans="1:10">
      <c r="A59" s="11"/>
      <c r="B59" s="11"/>
      <c r="C59" s="11"/>
      <c r="D59" s="11"/>
    </row>
    <row r="60" customHeight="1" spans="1:10">
      <c r="A60" s="12" t="s">
        <v>13</v>
      </c>
      <c r="B60" s="12" t="s">
        <v>14</v>
      </c>
      <c r="C60" s="12" t="s">
        <v>2144</v>
      </c>
      <c r="D60" s="12" t="s">
        <v>494</v>
      </c>
      <c r="H60" s="5">
        <f>H61+H64</f>
        <v>0</v>
      </c>
      <c r="I60" s="5">
        <f>I61+I64</f>
        <v>0</v>
      </c>
    </row>
    <row r="61" customHeight="1" spans="1:10">
      <c r="A61" s="12" t="s">
        <v>17</v>
      </c>
      <c r="B61" s="12" t="s">
        <v>14</v>
      </c>
      <c r="C61" s="12" t="s">
        <v>2145</v>
      </c>
      <c r="D61" s="12" t="s">
        <v>496</v>
      </c>
      <c r="I61" s="5">
        <f>I36*I62</f>
        <v>0</v>
      </c>
      <c r="J61" s="5" t="s">
        <v>516</v>
      </c>
    </row>
    <row r="62" customHeight="1" spans="1:10">
      <c r="A62" s="11" t="s">
        <v>20</v>
      </c>
      <c r="B62" s="11" t="s">
        <v>103</v>
      </c>
      <c r="C62" s="11" t="s">
        <v>2146</v>
      </c>
      <c r="D62" s="11" t="s">
        <v>931</v>
      </c>
      <c r="H62" s="5" t="e">
        <f>H61/H36</f>
        <v>#DIV/0!</v>
      </c>
      <c r="J62" s="5" t="s">
        <v>329</v>
      </c>
    </row>
    <row r="63" customHeight="1" spans="1:10">
      <c r="A63" s="11"/>
      <c r="B63" s="11"/>
      <c r="C63" s="11"/>
      <c r="D63" s="11"/>
    </row>
    <row r="64" customHeight="1" spans="1:10">
      <c r="A64" s="12" t="s">
        <v>17</v>
      </c>
      <c r="B64" s="12" t="s">
        <v>14</v>
      </c>
      <c r="C64" s="12" t="s">
        <v>2147</v>
      </c>
      <c r="D64" s="12" t="s">
        <v>553</v>
      </c>
      <c r="H64" s="5">
        <f>H65+H67+H69</f>
        <v>0</v>
      </c>
      <c r="I64" s="5">
        <f>I65+I67+I69</f>
        <v>0</v>
      </c>
    </row>
    <row r="65" customHeight="1" spans="1:10">
      <c r="A65" s="8" t="s">
        <v>20</v>
      </c>
      <c r="B65" s="12" t="s">
        <v>14</v>
      </c>
      <c r="C65" s="12" t="s">
        <v>2148</v>
      </c>
      <c r="D65" s="12" t="s">
        <v>1637</v>
      </c>
      <c r="I65" s="5">
        <f>I42*I66</f>
        <v>0</v>
      </c>
      <c r="J65" s="5" t="s">
        <v>516</v>
      </c>
    </row>
    <row r="66" customHeight="1" spans="1:10">
      <c r="A66" s="1" t="s">
        <v>379</v>
      </c>
      <c r="B66" s="1" t="s">
        <v>103</v>
      </c>
      <c r="C66" s="11" t="s">
        <v>2149</v>
      </c>
      <c r="D66" s="11" t="s">
        <v>1639</v>
      </c>
      <c r="H66" s="5" t="e">
        <f>H65/H42</f>
        <v>#DIV/0!</v>
      </c>
      <c r="J66" s="5" t="s">
        <v>329</v>
      </c>
    </row>
    <row r="67" customHeight="1" spans="1:10">
      <c r="A67" s="8" t="s">
        <v>20</v>
      </c>
      <c r="B67" s="12" t="s">
        <v>14</v>
      </c>
      <c r="C67" s="12" t="s">
        <v>2150</v>
      </c>
      <c r="D67" s="12" t="s">
        <v>147</v>
      </c>
      <c r="I67" s="5">
        <f>I50*I68</f>
        <v>0</v>
      </c>
      <c r="J67" s="5" t="s">
        <v>516</v>
      </c>
    </row>
    <row r="68" customHeight="1" spans="1:10">
      <c r="A68" s="1" t="s">
        <v>379</v>
      </c>
      <c r="B68" s="1" t="s">
        <v>103</v>
      </c>
      <c r="C68" s="11" t="s">
        <v>2151</v>
      </c>
      <c r="D68" s="11" t="s">
        <v>1639</v>
      </c>
      <c r="H68" s="5" t="e">
        <f>H67/H50</f>
        <v>#DIV/0!</v>
      </c>
      <c r="J68" s="5" t="s">
        <v>329</v>
      </c>
    </row>
    <row r="69" customHeight="1" spans="1:10">
      <c r="A69" s="8" t="s">
        <v>20</v>
      </c>
      <c r="B69" s="12" t="s">
        <v>14</v>
      </c>
      <c r="C69" s="12" t="s">
        <v>2152</v>
      </c>
      <c r="D69" s="12" t="s">
        <v>149</v>
      </c>
      <c r="I69" s="5">
        <f>I51*I70</f>
        <v>0</v>
      </c>
      <c r="J69" s="5" t="s">
        <v>516</v>
      </c>
    </row>
    <row r="70" customHeight="1" spans="1:10">
      <c r="A70" s="1" t="s">
        <v>379</v>
      </c>
      <c r="B70" s="1" t="s">
        <v>103</v>
      </c>
      <c r="C70" s="11" t="s">
        <v>2153</v>
      </c>
      <c r="D70" s="11" t="s">
        <v>1639</v>
      </c>
      <c r="H70" s="5" t="e">
        <f>H69/H51</f>
        <v>#DIV/0!</v>
      </c>
      <c r="J70" s="5" t="s">
        <v>329</v>
      </c>
    </row>
    <row r="71" customHeight="1" spans="1:10">
      <c r="A71" s="1"/>
      <c r="B71" s="1"/>
      <c r="C71" s="11"/>
      <c r="D71" s="11"/>
    </row>
    <row r="72" customHeight="1" spans="1:10">
      <c r="A72" s="8" t="s">
        <v>13</v>
      </c>
      <c r="B72" s="8" t="s">
        <v>23</v>
      </c>
      <c r="C72" s="9" t="s">
        <v>2154</v>
      </c>
      <c r="D72" s="8" t="s">
        <v>559</v>
      </c>
      <c r="H72" s="5">
        <f>H73</f>
        <v>0</v>
      </c>
      <c r="I72" s="5">
        <f>I73</f>
        <v>0</v>
      </c>
    </row>
    <row r="73" customHeight="1" spans="1:10">
      <c r="A73" s="12" t="s">
        <v>17</v>
      </c>
      <c r="B73" s="12" t="s">
        <v>23</v>
      </c>
      <c r="C73" s="12" t="s">
        <v>2155</v>
      </c>
      <c r="D73" s="12" t="s">
        <v>2156</v>
      </c>
    </row>
    <row r="74" customHeight="1" spans="1:10">
      <c r="A74" s="11"/>
      <c r="B74" s="11"/>
      <c r="C74" s="11"/>
      <c r="D74" s="11"/>
    </row>
    <row r="75" customHeight="1" spans="1:10">
      <c r="A75" s="8" t="s">
        <v>13</v>
      </c>
      <c r="B75" s="8" t="s">
        <v>23</v>
      </c>
      <c r="C75" s="9" t="s">
        <v>2157</v>
      </c>
      <c r="D75" s="12" t="s">
        <v>581</v>
      </c>
      <c r="H75" s="5">
        <f>H76</f>
        <v>0</v>
      </c>
      <c r="I75" s="5">
        <f>I76</f>
        <v>0</v>
      </c>
    </row>
    <row r="76" customHeight="1" spans="1:10">
      <c r="A76" s="8" t="s">
        <v>13</v>
      </c>
      <c r="B76" s="8" t="s">
        <v>23</v>
      </c>
      <c r="C76" s="12" t="s">
        <v>2158</v>
      </c>
      <c r="D76" s="12" t="s">
        <v>943</v>
      </c>
      <c r="H76" s="5">
        <f>H77+H79</f>
        <v>0</v>
      </c>
      <c r="I76" s="5">
        <f>I77+I79</f>
        <v>0</v>
      </c>
    </row>
    <row r="77" customHeight="1" spans="1:10">
      <c r="A77" s="8" t="s">
        <v>17</v>
      </c>
      <c r="B77" s="8" t="s">
        <v>23</v>
      </c>
      <c r="C77" s="12" t="s">
        <v>2159</v>
      </c>
      <c r="D77" s="12" t="s">
        <v>305</v>
      </c>
      <c r="I77" s="5">
        <f>I57*I78</f>
        <v>0</v>
      </c>
      <c r="J77" s="5" t="s">
        <v>516</v>
      </c>
    </row>
    <row r="78" customHeight="1" spans="1:10">
      <c r="A78" s="1" t="s">
        <v>20</v>
      </c>
      <c r="B78" s="1" t="s">
        <v>103</v>
      </c>
      <c r="C78" s="11" t="s">
        <v>2160</v>
      </c>
      <c r="D78" s="11" t="s">
        <v>1776</v>
      </c>
      <c r="H78" s="5" t="e">
        <f>H77/H57</f>
        <v>#DIV/0!</v>
      </c>
      <c r="J78" s="5" t="s">
        <v>329</v>
      </c>
    </row>
    <row r="79" customHeight="1" spans="1:10">
      <c r="A79" s="8" t="s">
        <v>17</v>
      </c>
      <c r="B79" s="8" t="s">
        <v>23</v>
      </c>
      <c r="C79" s="12" t="s">
        <v>2161</v>
      </c>
      <c r="D79" s="12" t="s">
        <v>306</v>
      </c>
      <c r="I79" s="5">
        <f>I58*I80</f>
        <v>0</v>
      </c>
      <c r="J79" s="5" t="s">
        <v>516</v>
      </c>
    </row>
    <row r="80" customHeight="1" spans="1:10">
      <c r="A80" s="1" t="s">
        <v>20</v>
      </c>
      <c r="B80" s="1" t="s">
        <v>103</v>
      </c>
      <c r="C80" s="11" t="s">
        <v>2162</v>
      </c>
      <c r="D80" s="11" t="s">
        <v>1776</v>
      </c>
      <c r="H80" s="5" t="e">
        <f>H79/H58</f>
        <v>#DIV/0!</v>
      </c>
      <c r="J80" s="5" t="s">
        <v>329</v>
      </c>
    </row>
    <row r="81" customHeight="1" spans="1:9">
      <c r="A81" s="11"/>
      <c r="B81" s="11"/>
      <c r="C81" s="11"/>
      <c r="D81" s="11"/>
    </row>
    <row r="82" customHeight="1" spans="1:9">
      <c r="A82" s="8" t="s">
        <v>13</v>
      </c>
      <c r="B82" s="8" t="s">
        <v>23</v>
      </c>
      <c r="C82" s="9" t="s">
        <v>2163</v>
      </c>
      <c r="D82" s="8" t="s">
        <v>593</v>
      </c>
      <c r="H82" s="5">
        <f>H83</f>
        <v>0</v>
      </c>
      <c r="I82" s="5">
        <f>I83</f>
        <v>0</v>
      </c>
    </row>
    <row r="83" customHeight="1" spans="1:9">
      <c r="A83" s="12" t="s">
        <v>17</v>
      </c>
      <c r="B83" s="12" t="s">
        <v>23</v>
      </c>
      <c r="C83" s="12" t="s">
        <v>2164</v>
      </c>
      <c r="D83" s="12" t="s">
        <v>2165</v>
      </c>
    </row>
    <row r="84" customHeight="1" spans="1:9">
      <c r="A84" s="11"/>
      <c r="B84" s="11"/>
      <c r="C84" s="11"/>
      <c r="D84" s="11"/>
    </row>
    <row r="85" customHeight="1" spans="1:9">
      <c r="A85" s="12" t="s">
        <v>13</v>
      </c>
      <c r="B85" s="12" t="s">
        <v>14</v>
      </c>
      <c r="C85" s="9" t="s">
        <v>2166</v>
      </c>
      <c r="D85" s="12" t="s">
        <v>605</v>
      </c>
      <c r="H85" s="5">
        <f>H86</f>
        <v>0</v>
      </c>
      <c r="I85" s="5">
        <f>I86</f>
        <v>0</v>
      </c>
    </row>
    <row r="86" customHeight="1" spans="1:9">
      <c r="A86" s="12" t="s">
        <v>17</v>
      </c>
      <c r="B86" s="12" t="s">
        <v>14</v>
      </c>
      <c r="C86" s="9" t="s">
        <v>2167</v>
      </c>
      <c r="D86" s="12" t="s">
        <v>1162</v>
      </c>
    </row>
    <row r="87" customHeight="1" spans="1:9">
      <c r="A87" s="1"/>
      <c r="B87" s="1"/>
      <c r="C87" s="10"/>
      <c r="D87" s="1"/>
    </row>
    <row r="88" customHeight="1" spans="1:9">
      <c r="A88" s="12" t="s">
        <v>13</v>
      </c>
      <c r="B88" s="12" t="s">
        <v>23</v>
      </c>
      <c r="C88" s="9" t="s">
        <v>2168</v>
      </c>
      <c r="D88" s="12" t="s">
        <v>637</v>
      </c>
      <c r="H88" s="5">
        <f>H89</f>
        <v>0</v>
      </c>
      <c r="I88" s="5">
        <f>I89</f>
        <v>0</v>
      </c>
    </row>
    <row r="89" customHeight="1" spans="1:9">
      <c r="A89" s="12" t="s">
        <v>17</v>
      </c>
      <c r="B89" s="12" t="s">
        <v>23</v>
      </c>
      <c r="C89" s="9" t="s">
        <v>2169</v>
      </c>
      <c r="D89" s="12" t="s">
        <v>1743</v>
      </c>
    </row>
    <row r="90" customHeight="1" spans="1:9">
      <c r="A90" s="11"/>
      <c r="B90" s="11"/>
      <c r="C90" s="11"/>
      <c r="D90" s="11"/>
    </row>
    <row r="91" customHeight="1" spans="1:9">
      <c r="A91" s="12" t="s">
        <v>13</v>
      </c>
      <c r="B91" s="12" t="s">
        <v>14</v>
      </c>
      <c r="C91" s="9" t="s">
        <v>2170</v>
      </c>
      <c r="D91" s="12" t="s">
        <v>677</v>
      </c>
      <c r="H91" s="5">
        <f>H92+H93</f>
        <v>0</v>
      </c>
      <c r="I91" s="5">
        <f>I92+I93</f>
        <v>0</v>
      </c>
    </row>
    <row r="92" customHeight="1" spans="1:9">
      <c r="A92" s="11" t="s">
        <v>17</v>
      </c>
      <c r="B92" s="11" t="s">
        <v>14</v>
      </c>
      <c r="C92" s="11" t="s">
        <v>2171</v>
      </c>
      <c r="D92" s="11" t="s">
        <v>2172</v>
      </c>
      <c r="H92" s="5">
        <f>B02金融市场!H246*-1</f>
        <v>0</v>
      </c>
      <c r="I92" s="5">
        <f>B02金融市场!I246*-1</f>
        <v>0</v>
      </c>
    </row>
    <row r="93" customHeight="1" spans="1:9">
      <c r="A93" s="11" t="s">
        <v>17</v>
      </c>
      <c r="B93" s="11" t="s">
        <v>14</v>
      </c>
      <c r="C93" s="11" t="s">
        <v>2173</v>
      </c>
      <c r="D93" s="11" t="s">
        <v>2174</v>
      </c>
      <c r="H93" s="5">
        <f>B02金融市场!H251*-1</f>
        <v>0</v>
      </c>
      <c r="I93" s="5">
        <f>B02金融市场!I251*-1</f>
        <v>0</v>
      </c>
    </row>
    <row r="94" customHeight="1" spans="1:9">
      <c r="A94" s="11"/>
      <c r="B94" s="11"/>
      <c r="C94" s="11"/>
      <c r="D94" s="11"/>
    </row>
    <row r="95" customHeight="1" spans="1:9">
      <c r="A95" s="12" t="s">
        <v>13</v>
      </c>
      <c r="B95" s="8" t="s">
        <v>14</v>
      </c>
      <c r="C95" s="12" t="s">
        <v>2175</v>
      </c>
      <c r="D95" s="12" t="s">
        <v>679</v>
      </c>
    </row>
  </sheetData>
  <pageMargins left="0.7" right="0.7" top="0.75" bottom="0.75" header="0.3" footer="0.3"/>
  <headerFooter/>
  <ignoredErrors>
    <ignoredError sqref="I82" evalError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E13" sqref="E13"/>
    </sheetView>
  </sheetViews>
  <sheetFormatPr defaultColWidth="9" defaultRowHeight="16.8" outlineLevelCol="7"/>
  <sheetData>
    <row r="1" s="1" customFormat="1" ht="15" customHeight="1" spans="1:8">
      <c r="A1" s="2"/>
      <c r="B1" s="2"/>
      <c r="C1" s="2"/>
      <c r="D1" s="2"/>
      <c r="E1" s="3"/>
      <c r="F1" s="4"/>
      <c r="G1" s="4"/>
      <c r="H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AA业务状况表</vt:lpstr>
      <vt:lpstr>AA资产负债表（余额）</vt:lpstr>
      <vt:lpstr>AA资产负债表（日均）</vt:lpstr>
      <vt:lpstr>AA资产质量表</vt:lpstr>
      <vt:lpstr>AA利息净收入表</vt:lpstr>
      <vt:lpstr>A个金群</vt:lpstr>
      <vt:lpstr>A01泛微粒贷</vt:lpstr>
      <vt:lpstr>A02微账户</vt:lpstr>
      <vt:lpstr>A03汽车金融</vt:lpstr>
      <vt:lpstr>A04财富</vt:lpstr>
      <vt:lpstr>A05小鹅</vt:lpstr>
      <vt:lpstr>B企金群</vt:lpstr>
      <vt:lpstr>B01企业金融</vt:lpstr>
      <vt:lpstr>B02金融市场</vt:lpstr>
      <vt:lpstr>C数字金融</vt:lpstr>
      <vt:lpstr>C01国内业务</vt:lpstr>
      <vt:lpstr>C02国内研发</vt:lpstr>
      <vt:lpstr>D国际业务</vt:lpstr>
      <vt:lpstr>D01国际业务</vt:lpstr>
      <vt:lpstr>E小鹅导流</vt:lpstr>
      <vt:lpstr>E01小鹅导流</vt:lpstr>
      <vt:lpstr>F司库及其他</vt:lpstr>
      <vt:lpstr>F01司库及其他</vt:lpstr>
      <vt:lpstr>AB微众科技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binzhao(赵斌)</dc:creator>
  <cp:lastModifiedBy>HHH</cp:lastModifiedBy>
  <dcterms:created xsi:type="dcterms:W3CDTF">2015-06-06T02:19:00Z</dcterms:created>
  <dcterms:modified xsi:type="dcterms:W3CDTF">2026-06-15T20:10:50Z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9CC7CE9A76388BC9CAEB2F6A552944DC_42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